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Lists!$L$1</definedName>
    <definedName name="QF_M_ClientName">Lists!$L$2</definedName>
    <definedName name="QF_M_Version">Lists!$L$3</definedName>
    <definedName name="QF_M_ExportedAt">Lists!$L$4</definedName>
    <definedName name="QF_M_ExportedBy">Lists!$L$5</definedName>
    <definedName name="QF_M_TemplateVersion">Lists!$L$6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Inputs!$B$98:$K$98</definedName>
    <definedName name="QF_T_deps">Inputs!$B$100:$K$105</definedName>
    <definedName name="QF_L_whom">Inputs!$Z$99:$Z$105</definedName>
    <definedName name="QF_L_dep">Inputs!$Z$100:$Z$105</definedName>
    <definedName name="QF_KidsShare">Inputs!$C$106</definedName>
    <definedName name="QF_SpouseCover">Inputs!$C$107</definedName>
    <definedName name="QF_QuoteNo">Inputs!$C$111</definedName>
    <definedName name="QF_CLFee">Inputs!$C$112</definedName>
    <definedName name="QF_CLConv">Inputs!$C$113</definedName>
    <definedName name="QF_CLPays">Inputs!$C$114</definedName>
    <definedName name="QF_CLLimit">Inputs!$C$115</definedName>
    <definedName name="QF_CLPrem">Inputs!$C$116</definedName>
    <definedName name="QF_A_ExecFee">Inputs!$C$120</definedName>
    <definedName name="QF_A_VAT">Inputs!$C$121</definedName>
    <definedName name="QF_A_Master">Inputs!$C$122</definedName>
    <definedName name="QF_A_Funeral">Inputs!$C$123</definedName>
    <definedName name="QF_A_Sundries">Inputs!$C$124</definedName>
    <definedName name="QF_A_PropCost">Inputs!$C$125</definedName>
    <definedName name="QF_A_Agent">Inputs!$C$126</definedName>
    <definedName name="QF_A_Abatement">Inputs!$C$127</definedName>
    <definedName name="QF_A_DutyRate">Inputs!$C$128</definedName>
    <definedName name="QF_A_DutyBand">Inputs!$C$129</definedName>
    <definedName name="QF_A_DutyHigh">Inputs!$C$130</definedName>
    <definedName name="QF_A_CGTExcl">Inputs!$C$131</definedName>
    <definedName name="QF_A_Inclusion">Inputs!$H$120</definedName>
    <definedName name="QF_A_PRExcl">Inputs!$H$121</definedName>
    <definedName name="QF_A_Gross">Inputs!$H$122</definedName>
    <definedName name="QF_A_TrustFee">Inputs!$H$123</definedName>
    <definedName name="QF_A_Threshold">Inputs!$H$124</definedName>
    <definedName name="QF_A_Interest">Inputs!$H$125</definedName>
    <definedName name="QF_A_Dividends">Inputs!$H$126</definedName>
    <definedName name="QF_A_Growth">Inputs!$H$127</definedName>
    <definedName name="QF_A_DivTax">Inputs!$H$128</definedName>
    <definedName name="QF_A_CPI">Inputs!$H$129</definedName>
    <definedName name="QF_A_Thr65">Inputs!$H$130</definedName>
    <definedName name="QF_A_Thr75">Inputs!$H$131</definedName>
    <definedName name="QF_A_TaxTable">Inputs!$C$134:$E$140</definedName>
    <definedName name="QF_A_LumpTable">Inputs!$G$134:$I$137</definedName>
    <definedName name="QF_K_checks">Inputs!$B$154</definedName>
    <definedName name="QF_T_checks">Inputs!$B$155:$B$168</definedName>
    <definedName name="QF_W_cost">Workings!$C$61</definedName>
    <definedName name="_xlnm.Print_Area" localSheetId="1">'Inputs'!$A1:$K168</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need'!$A1:$F49</definedName>
    <definedName name="_xlnm.Print_Titles" localSheetId="3">'Life cover need'!$1:$2</definedName>
    <definedName name="_xlnm.Print_Area" localSheetId="4">'Figures for quoting'!$A1:$D37</definedName>
    <definedName name="_xlnm.Print_Titles" localSheetId="4">'Figures for quoting'!$1:$2</definedName>
    <definedName name="_xlnm.Print_Area" localSheetId="5">'Workings'!$A1:$D73</definedName>
    <definedName name="_xlnm.Print_Titles" localSheetId="5">'Workings'!$1:$2</definedName>
    <definedName name="_xlnm.Print_Area" localSheetId="6">'Needs workings'!$A1:$I48</definedName>
    <definedName name="_xlnm.Print_Titles" localSheetId="6">'Needs workings'!$1:$2</definedName>
  </definedNames>
  <calcPr calcId="171027" fullCalcOnLoad="1"/>
</workbook>
</file>

<file path=xl/sharedStrings.xml><?xml version="1.0" encoding="utf-8"?>
<sst xmlns="http://schemas.openxmlformats.org/spreadsheetml/2006/main" count="662" uniqueCount="461">
  <si>
    <t>kind</t>
  </si>
  <si>
    <t>passes</t>
  </si>
  <si>
    <t>paidTo</t>
  </si>
  <si>
    <t>yesno</t>
  </si>
  <si>
    <t>residue</t>
  </si>
  <si>
    <t>rel</t>
  </si>
  <si>
    <t>kidsShare</t>
  </si>
  <si>
    <t>spouseCover</t>
  </si>
  <si>
    <t>marital</t>
  </si>
  <si>
    <t>ClientID</t>
  </si>
  <si>
    <t>Property</t>
  </si>
  <si>
    <t>Estate (residue)</t>
  </si>
  <si>
    <t>Estate</t>
  </si>
  <si>
    <t>Yes</t>
  </si>
  <si>
    <t>Heirs (people)</t>
  </si>
  <si>
    <t>Spouse</t>
  </si>
  <si>
    <t>In equal shares</t>
  </si>
  <si>
    <t>The spouse</t>
  </si>
  <si>
    <t>Single</t>
  </si>
  <si>
    <t>ClientName</t>
  </si>
  <si>
    <t>Cash and deposits</t>
  </si>
  <si>
    <t>No</t>
  </si>
  <si>
    <t>Child</t>
  </si>
  <si>
    <t>Not to the dependants</t>
  </si>
  <si>
    <t>A trust for the spouse</t>
  </si>
  <si>
    <t>Engaged</t>
  </si>
  <si>
    <t>Version</t>
  </si>
  <si>
    <t>2.5</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</si>
  <si>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</si>
  <si>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</si>
  <si>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</si>
  <si>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</si>
  <si>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</si>
  <si>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</si>
  <si>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</si>
  <si>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</si>
  <si>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</si>
  <si>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</si>
  <si>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</si>
  <si>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</si>
  <si>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</si>
  <si>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</si>
  <si>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</si>
  <si>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</si>
  <si>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</si>
  <si>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</si>
  <si>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</si>
  <si>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</si>
  <si>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</si>
  <si>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</si>
  <si>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</si>
  <si>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</si>
  <si>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</si>
  <si>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</si>
  <si>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</si>
  <si>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</si>
  <si>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</si>
  <si>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</si>
  <si>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</si>
  <si>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</si>
  <si>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</si>
  <si>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</si>
  <si>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</si>
  <si>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</si>
  <si>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</si>
  <si>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</si>
  <si>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</si>
  <si>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</si>
  <si>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</si>
  <si>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</si>
  <si>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</si>
  <si>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</si>
  <si>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</si>
  <si>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</si>
  <si>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</si>
  <si>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</si>
  <si>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</si>
  <si>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</si>
  <si>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</si>
  <si>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</si>
  <si>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</si>
  <si>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</si>
  <si>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</si>
  <si>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</si>
  <si>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</si>
  <si>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</si>
  <si>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</si>
  <si>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</si>
  <si>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</si>
  <si>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</si>
  <si>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</si>
  <si>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</si>
  <si>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</si>
  <si>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</si>
  <si>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</si>
  <si>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</si>
  <si>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</si>
  <si>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</si>
  <si>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</si>
  <si>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</si>
  <si>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</si>
  <si>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</si>
  <si>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</si>
  <si>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</si>
  <si>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</si>
  <si>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</si>
  <si>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</si>
  <si>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</si>
  <si>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</si>
  <si>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</si>
  <si>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</si>
  <si>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</si>
  <si>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</si>
  <si>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</si>
  <si>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</si>
  <si>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</si>
  <si>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</si>
  <si>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</si>
  <si>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via</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</si>
  <si>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</si>
  <si>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</si>
  <si>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</si>
  <si>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</si>
  <si>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</si>
  <si>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</si>
  <si>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</si>
  <si>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</si>
  <si>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</si>
  <si>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Provided for by the spouse? (children)</t>
  </si>
  <si>
    <t>The children's trust</t>
  </si>
  <si>
    <t>When the residue goes to heirs (not the spouse), the children receive it</t>
  </si>
  <si>
    <t>New life cover for the spouse is nominated to</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</si>
  <si>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 Provided for by the spouse (children): Yes adds the child's need to the spouse's, each with its own term, paid from what reaches the spouse and taxed at the spouse's rate, and the spouse's new cover closes it; No (a child from another relationship, say) keeps the child's need on its own. A child in a trust always stands on its own.</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</si>
  <si>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</si>
  <si>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</si>
  <si>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</si>
  <si>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</si>
  <si>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</si>
  <si>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</si>
  <si>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</si>
  <si>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</si>
  <si>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</si>
  <si>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</si>
  <si>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</si>
  <si>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</si>
  <si>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</si>
  <si>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</si>
  <si>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</si>
  <si>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</si>
  <si>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</si>
  <si>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</si>
  <si>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</si>
  <si>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</si>
  <si>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</si>
  <si>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</si>
  <si>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</si>
  <si>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</si>
  <si>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</si>
  <si>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</si>
  <si>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</si>
  <si>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</si>
  <si>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</si>
  <si>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</si>
  <si>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</si>
  <si>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</si>
  <si>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</si>
  <si>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</si>
  <si>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</si>
  <si>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</si>
  <si>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</si>
  <si>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</si>
  <si>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</si>
  <si>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</si>
  <si>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</si>
  <si>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</si>
  <si>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</si>
  <si>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</si>
  <si>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</si>
  <si>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</si>
  <si>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</si>
  <si>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</si>
  <si>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</si>
  <si>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</si>
  <si>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</si>
  <si>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</si>
  <si>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</si>
  <si>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</si>
  <si>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</si>
  <si>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</si>
  <si>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</si>
  <si>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1. Your estate (the cost of dying)</t>
  </si>
  <si>
    <t>Cash the executor needs</t>
  </si>
  <si>
    <t>Cash the executor has</t>
  </si>
  <si>
    <t>Result</t>
  </si>
  <si>
    <t>2. The people who depend on you</t>
  </si>
  <si>
    <t>You want for them, a month</t>
  </si>
  <si>
    <t>For</t>
  </si>
  <si>
    <t>Rising each year by</t>
  </si>
  <si>
    <t>Once-off needs (in today's money)</t>
  </si>
  <si>
    <t>From a death income benefit, a month</t>
  </si>
  <si>
    <t>Estate duty they pay on that income</t>
  </si>
  <si>
    <t>Capital needed today</t>
  </si>
  <si>
    <t>Capital already reaching them</t>
  </si>
  <si>
    <t>Monthly income they would have</t>
  </si>
  <si>
    <t>Shortfall, or over</t>
  </si>
  <si>
    <t>New life cover for them</t>
  </si>
  <si>
    <t>3. Total life cover needed</t>
  </si>
  <si>
    <t>For your estate</t>
  </si>
  <si>
    <t>For the people who depend on you</t>
  </si>
  <si>
    <t>Total</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</si>
  <si>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</si>
  <si>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</si>
  <si>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</si>
  <si>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</si>
  <si>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</si>
  <si>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</si>
  <si>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</si>
  <si>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</si>
  <si>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</si>
  <si>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</si>
  <si>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</si>
  <si>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</si>
  <si>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(counted for estate duty)</t>
  </si>
  <si>
    <t>Death income for a named person, at its value (counted for estate duty)</t>
  </si>
  <si>
    <t>Policies and death income paid to the spouse (no estate duty, s.4(q))</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</si>
  <si>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</si>
  <si>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</si>
  <si>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</si>
  <si>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</si>
  <si>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</si>
  <si>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</si>
  <si>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</si>
  <si>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</si>
  <si>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</si>
  <si>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</si>
  <si>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</si>
  <si>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</si>
  <si>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</si>
  <si>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</si>
  <si>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</si>
  <si>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</si>
  <si>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</si>
  <si>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</si>
  <si>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</si>
  <si>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</si>
  <si>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</si>
  <si>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</si>
  <si>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</si>
  <si>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</si>
  <si>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</si>
  <si>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</si>
  <si>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</si>
  <si>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</si>
  <si>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</si>
  <si>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</si>
  <si>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counted for estate duty</t>
  </si>
  <si>
    <t>Policies and death income paid to the spouse (counted for estate duty, s.3(3)(a))</t>
  </si>
  <si>
    <t>Less the same: it passes to the spouse (s.4(q))</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</si>
  <si>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</si>
  <si>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</si>
  <si>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</si>
  <si>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</si>
  <si>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</si>
  <si>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</si>
  <si>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</si>
  <si>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</si>
  <si>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</si>
  <si>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</si>
  <si>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assets and residue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</si>
  <si>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</si>
  <si>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</si>
  <si>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</si>
  <si>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</si>
  <si>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</si>
  <si>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</si>
  <si>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</si>
  <si>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</si>
  <si>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</si>
  <si>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</si>
  <si>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and deposits, and investments the executor cashes in</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</si>
  <si>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</si>
  <si>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</si>
  <si>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</si>
  <si>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</si>
  <si>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</si>
  <si>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</si>
  <si>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</si>
  <si>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Once-off needs at death (today's money)</t>
  </si>
  <si>
    <t>Death income paid to them, first month (set against the need while it pays)</t>
  </si>
  <si>
    <t>Estate duty they pay on that death income (taken off their capital)</t>
  </si>
  <si>
    <t>Provided for by the spouse (their need is added to the spouse's)</t>
  </si>
  <si>
    <t>Capital reaching them personally (residue, policies, retirement money, the trust)</t>
  </si>
  <si>
    <t>Capital that pays their need (the spouse's includes the children's they provide for)</t>
  </si>
  <si>
    <t>Their marginal tax rate on what it earns</t>
  </si>
  <si>
    <t>What it earns after tax and trustee fees</t>
  </si>
  <si>
    <t>Their own need (once-off plus the monthly need), at the rate of the money that pays it</t>
  </si>
  <si>
    <t>Capital needed (the spouse's includes the children's they provide for)</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</si>
  <si>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</si>
  <si>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</si>
  <si>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</si>
  <si>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</si>
  <si>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</si>
  <si>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</si>
  <si>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</si>
  <si>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</si>
  <si>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</si>
  <si>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</si>
  <si>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</si>
  <si>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</si>
  <si>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</si>
  <si>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</si>
  <si>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</si>
  <si>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</si>
  <si>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</si>
  <si>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</si>
  <si>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</si>
  <si>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</si>
  <si>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</si>
  <si>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</si>
  <si>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</si>
  <si>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</si>
  <si>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</si>
  <si>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</si>
  <si>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</si>
  <si>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</si>
  <si>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</si>
  <si>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</si>
  <si>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</si>
  <si>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</si>
  <si>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</si>
  <si>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</si>
  <si>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</si>
  <si>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</si>
  <si>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</si>
  <si>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</si>
  <si>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</si>
  <si>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</si>
  <si>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</si>
  <si>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</si>
  <si>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</si>
  <si>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</si>
  <si>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</si>
  <si>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</si>
  <si>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</si>
  <si>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</si>
  <si>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</si>
  <si>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</si>
  <si>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</si>
  <si>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</si>
  <si>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</si>
  <si>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</si>
  <si>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</si>
  <si>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</si>
  <si>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</si>
  <si>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</si>
  <si>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</si>
  <si>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</si>
  <si>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</si>
  <si>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</si>
  <si>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</si>
  <si>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</si>
  <si>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</si>
  <si>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</si>
  <si>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</si>
  <si>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1: own</t>
  </si>
  <si>
    <t>dependant 1: lumpF</t>
  </si>
  <si>
    <t>dependant 1: rr</t>
  </si>
  <si>
    <t>dependant 1: needOwn</t>
  </si>
  <si>
    <t>dependant 1: frac</t>
  </si>
  <si>
    <t>dependant 2: cap</t>
  </si>
  <si>
    <t>dependant 2: ti</t>
  </si>
  <si>
    <t>dependant 2: m</t>
  </si>
  <si>
    <t>dependant 2: r</t>
  </si>
  <si>
    <t>dependant 2: need</t>
  </si>
  <si>
    <t>dependant 2: gap</t>
  </si>
  <si>
    <t>dependant 2: inc</t>
  </si>
  <si>
    <t>dependant 2: own</t>
  </si>
  <si>
    <t>dependant 2: lumpF</t>
  </si>
  <si>
    <t>dependant 2: rr</t>
  </si>
  <si>
    <t>dependant 2: needOwn</t>
  </si>
  <si>
    <t>dependant 2: frac</t>
  </si>
  <si>
    <t>dependant 3: cap</t>
  </si>
  <si>
    <t>dependant 3: ti</t>
  </si>
  <si>
    <t>dependant 3: m</t>
  </si>
  <si>
    <t>dependant 3: r</t>
  </si>
  <si>
    <t>dependant 3: need</t>
  </si>
  <si>
    <t>dependant 3: gap</t>
  </si>
  <si>
    <t>dependant 3: inc</t>
  </si>
  <si>
    <t>dependant 3: own</t>
  </si>
  <si>
    <t>dependant 3: lumpF</t>
  </si>
  <si>
    <t>dependant 3: rr</t>
  </si>
  <si>
    <t>dependant 3: needOwn</t>
  </si>
  <si>
    <t>dependant 3: frac</t>
  </si>
  <si>
    <t>dependant 4: cap</t>
  </si>
  <si>
    <t>dependant 4: ti</t>
  </si>
  <si>
    <t>dependant 4: m</t>
  </si>
  <si>
    <t>dependant 4: r</t>
  </si>
  <si>
    <t>dependant 4: need</t>
  </si>
  <si>
    <t>dependant 4: gap</t>
  </si>
  <si>
    <t>dependant 4: inc</t>
  </si>
  <si>
    <t>dependant 4: own</t>
  </si>
  <si>
    <t>dependant 4: lumpF</t>
  </si>
  <si>
    <t>dependant 4: rr</t>
  </si>
  <si>
    <t>dependant 4: needOwn</t>
  </si>
  <si>
    <t>dependant 4: frac</t>
  </si>
  <si>
    <t>dependant 5: cap</t>
  </si>
  <si>
    <t>dependant 5: ti</t>
  </si>
  <si>
    <t>dependant 5: m</t>
  </si>
  <si>
    <t>dependant 5: r</t>
  </si>
  <si>
    <t>dependant 5: need</t>
  </si>
  <si>
    <t>dependant 5: gap</t>
  </si>
  <si>
    <t>dependant 5: inc</t>
  </si>
  <si>
    <t>dependant 5: own</t>
  </si>
  <si>
    <t>dependant 5: lumpF</t>
  </si>
  <si>
    <t>dependant 5: rr</t>
  </si>
  <si>
    <t>dependant 5: needOwn</t>
  </si>
  <si>
    <t>dependant 5: frac</t>
  </si>
  <si>
    <t>dependant 6: cap</t>
  </si>
  <si>
    <t>dependant 6: ti</t>
  </si>
  <si>
    <t>dependant 6: m</t>
  </si>
  <si>
    <t>dependant 6: r</t>
  </si>
  <si>
    <t>dependant 6: need</t>
  </si>
  <si>
    <t>dependant 6: gap</t>
  </si>
  <si>
    <t>dependant 6: inc</t>
  </si>
  <si>
    <t>dependant 6: own</t>
  </si>
  <si>
    <t>dependant 6: lumpF</t>
  </si>
  <si>
    <t>dependant 6: rr</t>
  </si>
  <si>
    <t>dependant 6: needOwn</t>
  </si>
  <si>
    <t>dependant 6: frac</t>
  </si>
  <si>
    <t>next extra 1</t>
  </si>
  <si>
    <t>next extra 2</t>
  </si>
  <si>
    <t>next extra 3</t>
  </si>
  <si>
    <t>next extra 4</t>
  </si>
  <si>
    <t>next extra 5</t>
  </si>
  <si>
    <t>next extra 6</t>
  </si>
  <si>
    <t>next extra for the estate</t>
  </si>
  <si>
    <t>Spouse who provides for the children</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</si>
  <si>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</si>
  <si>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</si>
  <si>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</si>
  <si>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</si>
  <si>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</si>
  <si>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</si>
  <si>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</si>
  <si>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</si>
  <si>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</si>
  <si>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</si>
  <si>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</si>
  <si>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</si>
  <si>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</si>
  <si>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</si>
  <si>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</si>
  <si>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</si>
  <si>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</si>
  <si>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</si>
  <si>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Death income counted in year 1, a month (R)</t>
  </si>
  <si>
    <t>Death income, months the longest one pays</t>
  </si>
  <si>
    <t>Need left after the death income, all years (R)</t>
  </si>
  <si>
    <t>Lead sentence on the client page</t>
  </si>
  <si>
    <t>Years fully covered by the death income from the start</t>
  </si>
  <si>
    <t>Estate duty they pay on their death income, today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</si>
</sst>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1"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8">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4" borderId="2" xfId="0" applyFont="1" applyFill="1" applyBorder="1" applyAlignment="1">
      <alignment horizontal="left" vertical="top" wrapText="1"/>
    </xf>
    <xf numFmtId="9" fontId="6" fillId="4" borderId="2" xfId="0" applyNumberFormat="1" applyFont="1" applyFill="1" applyBorder="1" applyAlignment="1">
      <alignment horizontal="right" vertical="top"/>
    </xf>
    <xf numFmtId="0" fontId="11" fillId="4" borderId="2" xfId="0" applyFont="1" applyFill="1" applyBorder="1" applyAlignment="1">
      <alignment horizontal="right" vertical="top"/>
    </xf>
    <xf numFmtId="0" fontId="19" fillId="0" borderId="0" xfId="0" applyFont="1" applyAlignment="1">
      <alignment vertical="top" wrapText="1"/>
    </xf>
    <xf numFmtId="0" fontId="7" fillId="0" borderId="2" xfId="0" applyFont="1" applyBorder="1"/>
    <xf numFmtId="0" fontId="20"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cellXfs>
  <cellStyles count="1">
    <cellStyle name="Normal" xfId="0" builtinId="0"/>
  </cellStyles>
  <dxfs count="28">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b/>
        <color rgb="FF9C0006"/>
      </font>
      <fill>
        <patternFill patternType="solid">
          <fgColor rgb="FFFFC7CE"/>
          <bgColor rgb="FFFFC7C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sheetData>
    <row r="1" spans="1:11" x14ac:dyDescent="0.25">
      <c r="A1" t="s">
        <v>0</v>
      </c>
      <c r="B1" t="s">
        <v>1</v>
      </c>
      <c r="C1" t="s">
        <v>2</v>
      </c>
      <c r="D1" t="s">
        <v>3</v>
      </c>
      <c r="E1" t="s">
        <v>4</v>
      </c>
      <c r="F1" t="s">
        <v>5</v>
      </c>
      <c r="G1" t="s">
        <v>6</v>
      </c>
      <c r="H1" t="s">
        <v>7</v>
      </c>
      <c r="I1" t="s">
        <v>8</v>
      </c>
      <c r="K1" t="s">
        <v>9</v>
      </c>
    </row>
    <row r="2" spans="1:11" x14ac:dyDescent="0.25">
      <c r="A2" t="s">
        <v>10</v>
      </c>
      <c r="B2" t="s">
        <v>11</v>
      </c>
      <c r="C2" t="s">
        <v>12</v>
      </c>
      <c r="D2" t="s">
        <v>13</v>
      </c>
      <c r="E2" t="s">
        <v>14</v>
      </c>
      <c r="F2" t="s">
        <v>15</v>
      </c>
      <c r="G2" t="s">
        <v>16</v>
      </c>
      <c r="H2" t="s">
        <v>17</v>
      </c>
      <c r="I2" t="s">
        <v>18</v>
      </c>
      <c r="K2" t="s">
        <v>19</v>
      </c>
    </row>
    <row r="3" spans="1:12" x14ac:dyDescent="0.25">
      <c r="A3" t="s">
        <v>20</v>
      </c>
      <c r="B3" t="s">
        <v>15</v>
      </c>
      <c r="C3" t="s">
        <v>15</v>
      </c>
      <c r="D3" t="s">
        <v>21</v>
      </c>
      <c r="E3" t="s">
        <v>15</v>
      </c>
      <c r="F3" t="s">
        <v>22</v>
      </c>
      <c r="G3" t="s">
        <v>23</v>
      </c>
      <c r="H3" t="s">
        <v>24</v>
      </c>
      <c r="I3" t="s">
        <v>25</v>
      </c>
      <c r="K3" t="s">
        <v>26</v>
      </c>
      <c r="L3" t="s">
        <v>27</v>
      </c>
    </row>
    <row r="4" spans="1:11" x14ac:dyDescent="0.25">
      <c r="A4" t="s">
        <v>28</v>
      </c>
      <c r="B4" t="s">
        <v>29</v>
      </c>
      <c r="C4" t="s">
        <v>30</v>
      </c>
      <c r="F4" t="s">
        <v>31</v>
      </c>
      <c r="I4" t="s">
        <v>32</v>
      </c>
      <c r="K4" t="s">
        <v>33</v>
      </c>
    </row>
    <row r="5" spans="1:11" x14ac:dyDescent="0.25">
      <c r="A5" t="s">
        <v>34</v>
      </c>
      <c r="I5" t="s">
        <v>35</v>
      </c>
      <c r="K5" t="s">
        <v>36</v>
      </c>
    </row>
    <row r="6" spans="1:12" x14ac:dyDescent="0.25">
      <c r="A6" t="s">
        <v>37</v>
      </c>
      <c r="I6" t="s">
        <v>38</v>
      </c>
      <c r="K6" t="s">
        <v>39</v>
      </c>
      <c r="L6" t="s">
        <v>27</v>
      </c>
    </row>
    <row r="7" spans="1:9" x14ac:dyDescent="0.25">
      <c r="A7" t="s">
        <v>40</v>
      </c>
      <c r="I7" t="s">
        <v>41</v>
      </c>
    </row>
    <row r="8" spans="1:9" x14ac:dyDescent="0.25">
      <c r="A8" t="s">
        <v>42</v>
      </c>
      <c r="I8" t="s">
        <v>43</v>
      </c>
    </row>
    <row r="9" spans="1:9" x14ac:dyDescent="0.25">
      <c r="A9" t="s">
        <v>44</v>
      </c>
      <c r="I9" t="s">
        <v>45</v>
      </c>
    </row>
    <row r="10" spans="9:9" x14ac:dyDescent="0.25">
      <c r="I10" t="s">
        <v>46</v>
      </c>
    </row>
    <row r="11" spans="9:9" x14ac:dyDescent="0.25">
      <c r="I11" t="s">
        <v>47</v>
      </c>
    </row>
    <row r="12" spans="9:9" x14ac:dyDescent="0.25">
      <c r="I12" t="s">
        <v>48</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6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1" max="11" width="14"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 min="36" max="36" width="9" hidden="1" customWidth="1"/>
  </cols>
  <sheetData>
    <row r="1" ht="21.75" customHeight="1" spans="2:11" x14ac:dyDescent="0.25">
      <c r="B1" s="1" t="s">
        <v>49</v>
      </c>
      <c r="C1" s="1"/>
      <c r="D1" s="1"/>
      <c r="E1" s="1"/>
      <c r="F1" s="1"/>
      <c r="G1" s="1"/>
      <c r="H1" s="1"/>
      <c r="I1" s="1"/>
      <c r="J1" s="1"/>
      <c r="K1" s="1"/>
    </row>
    <row r="2" ht="15" customHeight="1" spans="2:11" x14ac:dyDescent="0.25">
      <c r="B2" s="2" t="s">
        <v>50</v>
      </c>
      <c r="C2" s="2"/>
      <c r="D2" s="2"/>
      <c r="E2" s="2"/>
      <c r="F2" s="2"/>
      <c r="G2" s="2"/>
      <c r="H2" s="2"/>
      <c r="I2" s="2"/>
      <c r="J2" s="2"/>
      <c r="K2" s="2"/>
    </row>
    <row r="4" ht="20" customHeight="1" spans="2:2" x14ac:dyDescent="0.25">
      <c r="B4" s="3" t="s">
        <v>51</v>
      </c>
    </row>
    <row r="5" spans="2:2" x14ac:dyDescent="0.25">
      <c r="B5" s="4" t="s">
        <v>52</v>
      </c>
    </row>
    <row r="7" ht="18" customHeight="1" spans="2:11" x14ac:dyDescent="0.25">
      <c r="B7" s="5" t="s">
        <v>53</v>
      </c>
      <c r="C7" s="6"/>
      <c r="D7" s="6"/>
      <c r="E7" s="6"/>
      <c r="F7" s="6"/>
      <c r="G7" s="6"/>
      <c r="H7" s="6"/>
      <c r="I7" s="6"/>
      <c r="J7" s="6"/>
      <c r="K7" s="6"/>
    </row>
    <row r="8" spans="2:5" x14ac:dyDescent="0.25">
      <c r="B8" s="7" t="s">
        <v>54</v>
      </c>
      <c r="C8" s="8"/>
      <c r="D8" s="8"/>
      <c r="E8" s="8"/>
    </row>
    <row r="9" spans="2:5" x14ac:dyDescent="0.25">
      <c r="B9" s="7" t="s">
        <v>55</v>
      </c>
      <c r="C9" s="8"/>
      <c r="D9" s="8"/>
      <c r="E9" s="8"/>
    </row>
    <row r="10" spans="2:5" x14ac:dyDescent="0.25">
      <c r="B10" s="7" t="s">
        <v>56</v>
      </c>
      <c r="C10" s="8"/>
      <c r="D10" s="8"/>
      <c r="E10" s="8"/>
    </row>
    <row r="11" spans="2:5" x14ac:dyDescent="0.25">
      <c r="B11" s="7" t="s">
        <v>57</v>
      </c>
      <c r="C11" s="9"/>
      <c r="D11" s="9"/>
      <c r="E11" s="9"/>
    </row>
    <row r="12" spans="2:5" x14ac:dyDescent="0.25">
      <c r="B12" s="7" t="s">
        <v>58</v>
      </c>
      <c r="C12" s="9"/>
      <c r="D12" s="9"/>
      <c r="E12" s="9"/>
    </row>
    <row r="13" spans="2:5" x14ac:dyDescent="0.25">
      <c r="B13" s="7" t="s">
        <v>59</v>
      </c>
      <c r="C13" s="10"/>
      <c r="D13" s="10"/>
      <c r="E13" s="10"/>
    </row>
    <row r="14" spans="2:5" x14ac:dyDescent="0.25">
      <c r="B14" s="7" t="s">
        <v>60</v>
      </c>
      <c r="C14" s="10"/>
      <c r="D14" s="10"/>
      <c r="E14" s="10"/>
    </row>
    <row r="15" ht="27" customHeight="1" spans="2:9" x14ac:dyDescent="0.25">
      <c r="B15" s="7" t="s">
        <v>61</v>
      </c>
      <c r="C15" s="8"/>
      <c r="D15" s="8"/>
      <c r="E15" s="8"/>
      <c r="F15" s="8"/>
      <c r="G15" s="8"/>
      <c r="H15" s="8"/>
      <c r="I15" s="8"/>
    </row>
    <row r="16" spans="2:5" x14ac:dyDescent="0.25">
      <c r="B16" s="7" t="s">
        <v>62</v>
      </c>
      <c r="C16" s="11"/>
      <c r="D16" s="11"/>
      <c r="E16" s="11"/>
    </row>
    <row r="17" ht="27" customHeight="1" spans="2:9" x14ac:dyDescent="0.25">
      <c r="B17" s="7" t="s">
        <v>63</v>
      </c>
      <c r="C17" s="8"/>
      <c r="D17" s="8"/>
      <c r="E17" s="8"/>
      <c r="F17" s="8"/>
      <c r="G17" s="8"/>
      <c r="H17" s="8"/>
      <c r="I17" s="8"/>
    </row>
    <row r="19" ht="18" customHeight="1" spans="2:11" x14ac:dyDescent="0.25">
      <c r="B19" s="5" t="s">
        <v>64</v>
      </c>
      <c r="C19" s="6"/>
      <c r="D19" s="6"/>
      <c r="E19" s="6"/>
      <c r="F19" s="6"/>
      <c r="G19" s="6"/>
      <c r="H19" s="6"/>
      <c r="I19" s="6"/>
      <c r="J19" s="6"/>
      <c r="K19" s="6"/>
    </row>
    <row r="20" hidden="1" spans="2:9" x14ac:dyDescent="0.25">
      <c r="B20" t="s">
        <v>65</v>
      </c>
      <c r="C20" t="s">
        <v>0</v>
      </c>
      <c r="D20" t="s">
        <v>66</v>
      </c>
      <c r="E20" t="s">
        <v>67</v>
      </c>
      <c r="F20" t="s">
        <v>68</v>
      </c>
      <c r="G20" t="s">
        <v>1</v>
      </c>
      <c r="H20" t="s">
        <v>69</v>
      </c>
      <c r="I20" t="s">
        <v>70</v>
      </c>
    </row>
    <row r="21" ht="30" customHeight="1" spans="2:10" x14ac:dyDescent="0.25">
      <c r="B21" s="12" t="s">
        <v>71</v>
      </c>
      <c r="C21" s="12" t="s">
        <v>72</v>
      </c>
      <c r="D21" s="13" t="s">
        <v>73</v>
      </c>
      <c r="E21" s="13" t="s">
        <v>74</v>
      </c>
      <c r="F21" s="12" t="s">
        <v>75</v>
      </c>
      <c r="G21" s="12" t="s">
        <v>76</v>
      </c>
      <c r="H21" s="12" t="s">
        <v>77</v>
      </c>
      <c r="I21" s="12" t="s">
        <v>78</v>
      </c>
      <c r="J21" s="13" t="s">
        <v>79</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IF(AND(L22=1,F22="Yes",M22&gt;0),MIN(M22,'Inputs'!$H$121),0)</f>
      </c>
      <c r="O22">
        <f>IF(OR(C22="Cash and deposits",H22="Yes"),N(D22),0)</f>
      </c>
      <c r="P22">
        <f>IF(C22="Property",ROUND('Inputs'!$C$125/100*N(D22),2),0)</f>
      </c>
      <c r="Q22">
        <f>IF(AND(C22="Property",H22="Yes"),ROUND('Inputs'!$C$126/100*(1+'Inputs'!$C$121/100)*N(D22),2),0)</f>
      </c>
      <c r="R22">
        <f>IF(G22="Spouse",N(D22),0)</f>
      </c>
      <c r="S22">
        <f>IF(G22="Named heir",N(D22),0)</f>
      </c>
      <c r="T22">
        <f>IF(AND(L22=1,N(D22)&gt;0,E22=""),1,0)</f>
      </c>
      <c r="U22">
        <f>ROUND('Workings'!$C$42*S22,2)</f>
      </c>
      <c r="V22">
        <f>ROUND('Workings'!$D$42*S22,2)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IF(AND(L23=1,F23="Yes",M23&gt;0),MIN(M23,'Inputs'!$H$121),0)</f>
      </c>
      <c r="O23">
        <f>IF(OR(C23="Cash and deposits",H23="Yes"),N(D23),0)</f>
      </c>
      <c r="P23">
        <f>IF(C23="Property",ROUND('Inputs'!$C$125/100*N(D23),2),0)</f>
      </c>
      <c r="Q23">
        <f>IF(AND(C23="Property",H23="Yes"),ROUND('Inputs'!$C$126/100*(1+'Inputs'!$C$121/100)*N(D23),2),0)</f>
      </c>
      <c r="R23">
        <f>IF(G23="Spouse",N(D23),0)</f>
      </c>
      <c r="S23">
        <f>IF(G23="Named heir",N(D23),0)</f>
      </c>
      <c r="T23">
        <f>IF(AND(L23=1,N(D23)&gt;0,E23=""),1,0)</f>
      </c>
      <c r="U23">
        <f>ROUND('Workings'!$C$42*S23,2)</f>
      </c>
      <c r="V23">
        <f>ROUND('Workings'!$D$42*S23,2)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IF(AND(L24=1,F24="Yes",M24&gt;0),MIN(M24,'Inputs'!$H$121),0)</f>
      </c>
      <c r="O24">
        <f>IF(OR(C24="Cash and deposits",H24="Yes"),N(D24),0)</f>
      </c>
      <c r="P24">
        <f>IF(C24="Property",ROUND('Inputs'!$C$125/100*N(D24),2),0)</f>
      </c>
      <c r="Q24">
        <f>IF(AND(C24="Property",H24="Yes"),ROUND('Inputs'!$C$126/100*(1+'Inputs'!$C$121/100)*N(D24),2),0)</f>
      </c>
      <c r="R24">
        <f>IF(G24="Spouse",N(D24),0)</f>
      </c>
      <c r="S24">
        <f>IF(G24="Named heir",N(D24),0)</f>
      </c>
      <c r="T24">
        <f>IF(AND(L24=1,N(D24)&gt;0,E24=""),1,0)</f>
      </c>
      <c r="U24">
        <f>ROUND('Workings'!$C$42*S24,2)</f>
      </c>
      <c r="V24">
        <f>ROUND('Workings'!$D$42*S24,2)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IF(AND(L25=1,F25="Yes",M25&gt;0),MIN(M25,'Inputs'!$H$121),0)</f>
      </c>
      <c r="O25">
        <f>IF(OR(C25="Cash and deposits",H25="Yes"),N(D25),0)</f>
      </c>
      <c r="P25">
        <f>IF(C25="Property",ROUND('Inputs'!$C$125/100*N(D25),2),0)</f>
      </c>
      <c r="Q25">
        <f>IF(AND(C25="Property",H25="Yes"),ROUND('Inputs'!$C$126/100*(1+'Inputs'!$C$121/100)*N(D25),2),0)</f>
      </c>
      <c r="R25">
        <f>IF(G25="Spouse",N(D25),0)</f>
      </c>
      <c r="S25">
        <f>IF(G25="Named heir",N(D25),0)</f>
      </c>
      <c r="T25">
        <f>IF(AND(L25=1,N(D25)&gt;0,E25=""),1,0)</f>
      </c>
      <c r="U25">
        <f>ROUND('Workings'!$C$42*S25,2)</f>
      </c>
      <c r="V25">
        <f>ROUND('Workings'!$D$42*S25,2)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IF(AND(L26=1,F26="Yes",M26&gt;0),MIN(M26,'Inputs'!$H$121),0)</f>
      </c>
      <c r="O26">
        <f>IF(OR(C26="Cash and deposits",H26="Yes"),N(D26),0)</f>
      </c>
      <c r="P26">
        <f>IF(C26="Property",ROUND('Inputs'!$C$125/100*N(D26),2),0)</f>
      </c>
      <c r="Q26">
        <f>IF(AND(C26="Property",H26="Yes"),ROUND('Inputs'!$C$126/100*(1+'Inputs'!$C$121/100)*N(D26),2),0)</f>
      </c>
      <c r="R26">
        <f>IF(G26="Spouse",N(D26),0)</f>
      </c>
      <c r="S26">
        <f>IF(G26="Named heir",N(D26),0)</f>
      </c>
      <c r="T26">
        <f>IF(AND(L26=1,N(D26)&gt;0,E26=""),1,0)</f>
      </c>
      <c r="U26">
        <f>ROUND('Workings'!$C$42*S26,2)</f>
      </c>
      <c r="V26">
        <f>ROUND('Workings'!$D$42*S26,2)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IF(AND(L27=1,F27="Yes",M27&gt;0),MIN(M27,'Inputs'!$H$121),0)</f>
      </c>
      <c r="O27">
        <f>IF(OR(C27="Cash and deposits",H27="Yes"),N(D27),0)</f>
      </c>
      <c r="P27">
        <f>IF(C27="Property",ROUND('Inputs'!$C$125/100*N(D27),2),0)</f>
      </c>
      <c r="Q27">
        <f>IF(AND(C27="Property",H27="Yes"),ROUND('Inputs'!$C$126/100*(1+'Inputs'!$C$121/100)*N(D27),2),0)</f>
      </c>
      <c r="R27">
        <f>IF(G27="Spouse",N(D27),0)</f>
      </c>
      <c r="S27">
        <f>IF(G27="Named heir",N(D27),0)</f>
      </c>
      <c r="T27">
        <f>IF(AND(L27=1,N(D27)&gt;0,E27=""),1,0)</f>
      </c>
      <c r="U27">
        <f>ROUND('Workings'!$C$42*S27,2)</f>
      </c>
      <c r="V27">
        <f>ROUND('Workings'!$D$42*S27,2)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IF(AND(L28=1,F28="Yes",M28&gt;0),MIN(M28,'Inputs'!$H$121),0)</f>
      </c>
      <c r="O28">
        <f>IF(OR(C28="Cash and deposits",H28="Yes"),N(D28),0)</f>
      </c>
      <c r="P28">
        <f>IF(C28="Property",ROUND('Inputs'!$C$125/100*N(D28),2),0)</f>
      </c>
      <c r="Q28">
        <f>IF(AND(C28="Property",H28="Yes"),ROUND('Inputs'!$C$126/100*(1+'Inputs'!$C$121/100)*N(D28),2),0)</f>
      </c>
      <c r="R28">
        <f>IF(G28="Spouse",N(D28),0)</f>
      </c>
      <c r="S28">
        <f>IF(G28="Named heir",N(D28),0)</f>
      </c>
      <c r="T28">
        <f>IF(AND(L28=1,N(D28)&gt;0,E28=""),1,0)</f>
      </c>
      <c r="U28">
        <f>ROUND('Workings'!$C$42*S28,2)</f>
      </c>
      <c r="V28">
        <f>ROUND('Workings'!$D$42*S28,2)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IF(AND(L29=1,F29="Yes",M29&gt;0),MIN(M29,'Inputs'!$H$121),0)</f>
      </c>
      <c r="O29">
        <f>IF(OR(C29="Cash and deposits",H29="Yes"),N(D29),0)</f>
      </c>
      <c r="P29">
        <f>IF(C29="Property",ROUND('Inputs'!$C$125/100*N(D29),2),0)</f>
      </c>
      <c r="Q29">
        <f>IF(AND(C29="Property",H29="Yes"),ROUND('Inputs'!$C$126/100*(1+'Inputs'!$C$121/100)*N(D29),2),0)</f>
      </c>
      <c r="R29">
        <f>IF(G29="Spouse",N(D29),0)</f>
      </c>
      <c r="S29">
        <f>IF(G29="Named heir",N(D29),0)</f>
      </c>
      <c r="T29">
        <f>IF(AND(L29=1,N(D29)&gt;0,E29=""),1,0)</f>
      </c>
      <c r="U29">
        <f>ROUND('Workings'!$C$42*S29,2)</f>
      </c>
      <c r="V29">
        <f>ROUND('Workings'!$D$42*S29,2)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IF(AND(L30=1,F30="Yes",M30&gt;0),MIN(M30,'Inputs'!$H$121),0)</f>
      </c>
      <c r="O30">
        <f>IF(OR(C30="Cash and deposits",H30="Yes"),N(D30),0)</f>
      </c>
      <c r="P30">
        <f>IF(C30="Property",ROUND('Inputs'!$C$125/100*N(D30),2),0)</f>
      </c>
      <c r="Q30">
        <f>IF(AND(C30="Property",H30="Yes"),ROUND('Inputs'!$C$126/100*(1+'Inputs'!$C$121/100)*N(D30),2),0)</f>
      </c>
      <c r="R30">
        <f>IF(G30="Spouse",N(D30),0)</f>
      </c>
      <c r="S30">
        <f>IF(G30="Named heir",N(D30),0)</f>
      </c>
      <c r="T30">
        <f>IF(AND(L30=1,N(D30)&gt;0,E30=""),1,0)</f>
      </c>
      <c r="U30">
        <f>ROUND('Workings'!$C$42*S30,2)</f>
      </c>
      <c r="V30">
        <f>ROUND('Workings'!$D$42*S30,2)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IF(AND(L31=1,F31="Yes",M31&gt;0),MIN(M31,'Inputs'!$H$121),0)</f>
      </c>
      <c r="O31">
        <f>IF(OR(C31="Cash and deposits",H31="Yes"),N(D31),0)</f>
      </c>
      <c r="P31">
        <f>IF(C31="Property",ROUND('Inputs'!$C$125/100*N(D31),2),0)</f>
      </c>
      <c r="Q31">
        <f>IF(AND(C31="Property",H31="Yes"),ROUND('Inputs'!$C$126/100*(1+'Inputs'!$C$121/100)*N(D31),2),0)</f>
      </c>
      <c r="R31">
        <f>IF(G31="Spouse",N(D31),0)</f>
      </c>
      <c r="S31">
        <f>IF(G31="Named heir",N(D31),0)</f>
      </c>
      <c r="T31">
        <f>IF(AND(L31=1,N(D31)&gt;0,E31=""),1,0)</f>
      </c>
      <c r="U31">
        <f>ROUND('Workings'!$C$42*S31,2)</f>
      </c>
      <c r="V31">
        <f>ROUND('Workings'!$D$42*S31,2)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IF(AND(L32=1,F32="Yes",M32&gt;0),MIN(M32,'Inputs'!$H$121),0)</f>
      </c>
      <c r="O32">
        <f>IF(OR(C32="Cash and deposits",H32="Yes"),N(D32),0)</f>
      </c>
      <c r="P32">
        <f>IF(C32="Property",ROUND('Inputs'!$C$125/100*N(D32),2),0)</f>
      </c>
      <c r="Q32">
        <f>IF(AND(C32="Property",H32="Yes"),ROUND('Inputs'!$C$126/100*(1+'Inputs'!$C$121/100)*N(D32),2),0)</f>
      </c>
      <c r="R32">
        <f>IF(G32="Spouse",N(D32),0)</f>
      </c>
      <c r="S32">
        <f>IF(G32="Named heir",N(D32),0)</f>
      </c>
      <c r="T32">
        <f>IF(AND(L32=1,N(D32)&gt;0,E32=""),1,0)</f>
      </c>
      <c r="U32">
        <f>ROUND('Workings'!$C$42*S32,2)</f>
      </c>
      <c r="V32">
        <f>ROUND('Workings'!$D$42*S32,2)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IF(AND(L33=1,F33="Yes",M33&gt;0),MIN(M33,'Inputs'!$H$121),0)</f>
      </c>
      <c r="O33">
        <f>IF(OR(C33="Cash and deposits",H33="Yes"),N(D33),0)</f>
      </c>
      <c r="P33">
        <f>IF(C33="Property",ROUND('Inputs'!$C$125/100*N(D33),2),0)</f>
      </c>
      <c r="Q33">
        <f>IF(AND(C33="Property",H33="Yes"),ROUND('Inputs'!$C$126/100*(1+'Inputs'!$C$121/100)*N(D33),2),0)</f>
      </c>
      <c r="R33">
        <f>IF(G33="Spouse",N(D33),0)</f>
      </c>
      <c r="S33">
        <f>IF(G33="Named heir",N(D33),0)</f>
      </c>
      <c r="T33">
        <f>IF(AND(L33=1,N(D33)&gt;0,E33=""),1,0)</f>
      </c>
      <c r="U33">
        <f>ROUND('Workings'!$C$42*S33,2)</f>
      </c>
      <c r="V33">
        <f>ROUND('Workings'!$D$42*S33,2)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IF(AND(L34=1,F34="Yes",M34&gt;0),MIN(M34,'Inputs'!$H$121),0)</f>
      </c>
      <c r="O34">
        <f>IF(OR(C34="Cash and deposits",H34="Yes"),N(D34),0)</f>
      </c>
      <c r="P34">
        <f>IF(C34="Property",ROUND('Inputs'!$C$125/100*N(D34),2),0)</f>
      </c>
      <c r="Q34">
        <f>IF(AND(C34="Property",H34="Yes"),ROUND('Inputs'!$C$126/100*(1+'Inputs'!$C$121/100)*N(D34),2),0)</f>
      </c>
      <c r="R34">
        <f>IF(G34="Spouse",N(D34),0)</f>
      </c>
      <c r="S34">
        <f>IF(G34="Named heir",N(D34),0)</f>
      </c>
      <c r="T34">
        <f>IF(AND(L34=1,N(D34)&gt;0,E34=""),1,0)</f>
      </c>
      <c r="U34">
        <f>ROUND('Workings'!$C$42*S34,2)</f>
      </c>
      <c r="V34">
        <f>ROUND('Workings'!$D$42*S34,2)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IF(AND(L35=1,F35="Yes",M35&gt;0),MIN(M35,'Inputs'!$H$121),0)</f>
      </c>
      <c r="O35">
        <f>IF(OR(C35="Cash and deposits",H35="Yes"),N(D35),0)</f>
      </c>
      <c r="P35">
        <f>IF(C35="Property",ROUND('Inputs'!$C$125/100*N(D35),2),0)</f>
      </c>
      <c r="Q35">
        <f>IF(AND(C35="Property",H35="Yes"),ROUND('Inputs'!$C$126/100*(1+'Inputs'!$C$121/100)*N(D35),2),0)</f>
      </c>
      <c r="R35">
        <f>IF(G35="Spouse",N(D35),0)</f>
      </c>
      <c r="S35">
        <f>IF(G35="Named heir",N(D35),0)</f>
      </c>
      <c r="T35">
        <f>IF(AND(L35=1,N(D35)&gt;0,E35=""),1,0)</f>
      </c>
      <c r="U35">
        <f>ROUND('Workings'!$C$42*S35,2)</f>
      </c>
      <c r="V35">
        <f>ROUND('Workings'!$D$42*S35,2)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IF(AND(L36=1,F36="Yes",M36&gt;0),MIN(M36,'Inputs'!$H$121),0)</f>
      </c>
      <c r="O36">
        <f>IF(OR(C36="Cash and deposits",H36="Yes"),N(D36),0)</f>
      </c>
      <c r="P36">
        <f>IF(C36="Property",ROUND('Inputs'!$C$125/100*N(D36),2),0)</f>
      </c>
      <c r="Q36">
        <f>IF(AND(C36="Property",H36="Yes"),ROUND('Inputs'!$C$126/100*(1+'Inputs'!$C$121/100)*N(D36),2),0)</f>
      </c>
      <c r="R36">
        <f>IF(G36="Spouse",N(D36),0)</f>
      </c>
      <c r="S36">
        <f>IF(G36="Named heir",N(D36),0)</f>
      </c>
      <c r="T36">
        <f>IF(AND(L36=1,N(D36)&gt;0,E36=""),1,0)</f>
      </c>
      <c r="U36">
        <f>ROUND('Workings'!$C$42*S36,2)</f>
      </c>
      <c r="V36">
        <f>ROUND('Workings'!$D$42*S36,2)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IF(AND(L37=1,F37="Yes",M37&gt;0),MIN(M37,'Inputs'!$H$121),0)</f>
      </c>
      <c r="O37">
        <f>IF(OR(C37="Cash and deposits",H37="Yes"),N(D37),0)</f>
      </c>
      <c r="P37">
        <f>IF(C37="Property",ROUND('Inputs'!$C$125/100*N(D37),2),0)</f>
      </c>
      <c r="Q37">
        <f>IF(AND(C37="Property",H37="Yes"),ROUND('Inputs'!$C$126/100*(1+'Inputs'!$C$121/100)*N(D37),2),0)</f>
      </c>
      <c r="R37">
        <f>IF(G37="Spouse",N(D37),0)</f>
      </c>
      <c r="S37">
        <f>IF(G37="Named heir",N(D37),0)</f>
      </c>
      <c r="T37">
        <f>IF(AND(L37=1,N(D37)&gt;0,E37=""),1,0)</f>
      </c>
      <c r="U37">
        <f>ROUND('Workings'!$C$42*S37,2)</f>
      </c>
      <c r="V37">
        <f>ROUND('Workings'!$D$42*S37,2)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IF(AND(L38=1,F38="Yes",M38&gt;0),MIN(M38,'Inputs'!$H$121),0)</f>
      </c>
      <c r="O38">
        <f>IF(OR(C38="Cash and deposits",H38="Yes"),N(D38),0)</f>
      </c>
      <c r="P38">
        <f>IF(C38="Property",ROUND('Inputs'!$C$125/100*N(D38),2),0)</f>
      </c>
      <c r="Q38">
        <f>IF(AND(C38="Property",H38="Yes"),ROUND('Inputs'!$C$126/100*(1+'Inputs'!$C$121/100)*N(D38),2),0)</f>
      </c>
      <c r="R38">
        <f>IF(G38="Spouse",N(D38),0)</f>
      </c>
      <c r="S38">
        <f>IF(G38="Named heir",N(D38),0)</f>
      </c>
      <c r="T38">
        <f>IF(AND(L38=1,N(D38)&gt;0,E38=""),1,0)</f>
      </c>
      <c r="U38">
        <f>ROUND('Workings'!$C$42*S38,2)</f>
      </c>
      <c r="V38">
        <f>ROUND('Workings'!$D$42*S38,2)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IF(AND(L39=1,F39="Yes",M39&gt;0),MIN(M39,'Inputs'!$H$121),0)</f>
      </c>
      <c r="O39">
        <f>IF(OR(C39="Cash and deposits",H39="Yes"),N(D39),0)</f>
      </c>
      <c r="P39">
        <f>IF(C39="Property",ROUND('Inputs'!$C$125/100*N(D39),2),0)</f>
      </c>
      <c r="Q39">
        <f>IF(AND(C39="Property",H39="Yes"),ROUND('Inputs'!$C$126/100*(1+'Inputs'!$C$121/100)*N(D39),2),0)</f>
      </c>
      <c r="R39">
        <f>IF(G39="Spouse",N(D39),0)</f>
      </c>
      <c r="S39">
        <f>IF(G39="Named heir",N(D39),0)</f>
      </c>
      <c r="T39">
        <f>IF(AND(L39=1,N(D39)&gt;0,E39=""),1,0)</f>
      </c>
      <c r="U39">
        <f>ROUND('Workings'!$C$42*S39,2)</f>
      </c>
      <c r="V39">
        <f>ROUND('Workings'!$D$42*S39,2)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1" x14ac:dyDescent="0.25">
      <c r="B40" s="16" t="s">
        <v>80</v>
      </c>
      <c r="C40" s="16"/>
      <c r="D40" s="16"/>
      <c r="E40" s="16"/>
      <c r="F40" s="16"/>
      <c r="G40" s="16"/>
      <c r="H40" s="16"/>
      <c r="I40" s="16"/>
      <c r="J40" s="16"/>
      <c r="K40" s="16"/>
    </row>
    <row r="42" ht="18" customHeight="1" spans="2:11" x14ac:dyDescent="0.25">
      <c r="B42" s="5" t="s">
        <v>81</v>
      </c>
      <c r="C42" s="6"/>
      <c r="D42" s="6"/>
      <c r="E42" s="6"/>
      <c r="F42" s="6"/>
      <c r="G42" s="6"/>
      <c r="H42" s="6"/>
      <c r="I42" s="6"/>
      <c r="J42" s="6"/>
      <c r="K42" s="6"/>
    </row>
    <row r="43" hidden="1" spans="2:9" x14ac:dyDescent="0.25">
      <c r="B43" t="s">
        <v>65</v>
      </c>
      <c r="D43" t="s">
        <v>82</v>
      </c>
      <c r="I43" t="s">
        <v>70</v>
      </c>
    </row>
    <row r="44" ht="22" customHeight="1" spans="2:9" x14ac:dyDescent="0.25">
      <c r="B44" s="12" t="s">
        <v>83</v>
      </c>
      <c r="D44" s="13" t="s">
        <v>84</v>
      </c>
      <c r="I44" s="12" t="s">
        <v>78</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1" x14ac:dyDescent="0.25">
      <c r="B56" s="5" t="s">
        <v>85</v>
      </c>
      <c r="C56" s="6"/>
      <c r="D56" s="6"/>
      <c r="E56" s="6"/>
      <c r="F56" s="6"/>
      <c r="G56" s="6"/>
      <c r="H56" s="6"/>
      <c r="I56" s="6"/>
      <c r="J56" s="6"/>
      <c r="K56" s="6"/>
    </row>
    <row r="57" hidden="1" spans="2:9" x14ac:dyDescent="0.25">
      <c r="B57" t="s">
        <v>65</v>
      </c>
      <c r="C57" t="s">
        <v>2</v>
      </c>
      <c r="D57" t="s">
        <v>82</v>
      </c>
      <c r="E57" t="s">
        <v>86</v>
      </c>
      <c r="F57" t="s">
        <v>87</v>
      </c>
      <c r="I57" t="s">
        <v>70</v>
      </c>
    </row>
    <row r="58" ht="30" customHeight="1" spans="2:9" x14ac:dyDescent="0.25">
      <c r="B58" s="12" t="s">
        <v>88</v>
      </c>
      <c r="C58" s="12" t="s">
        <v>89</v>
      </c>
      <c r="D58" s="13" t="s">
        <v>90</v>
      </c>
      <c r="E58" s="12" t="s">
        <v>91</v>
      </c>
      <c r="F58" s="12" t="s">
        <v>92</v>
      </c>
      <c r="G58" s="12"/>
      <c r="H58" s="12"/>
      <c r="I58" s="12" t="s">
        <v>78</v>
      </c>
    </row>
    <row r="59" spans="2:18" x14ac:dyDescent="0.25">
      <c r="B59" s="8"/>
      <c r="C59" s="10"/>
      <c r="D59" s="11"/>
      <c r="E59" s="10"/>
      <c r="F59" s="14"/>
      <c r="G59" s="14"/>
      <c r="H59" s="14"/>
      <c r="I59" s="14"/>
      <c r="L59">
        <f>IF(AND(C59="Named person",E59&lt;&gt;"No"),N(D59),0)</f>
      </c>
      <c r="M59">
        <f>ROUND('Workings'!$C$42*L59,2)</f>
      </c>
      <c r="N59">
        <f>ROUND('Workings'!$D$42*L59,2)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ROUND('Workings'!$C$42*L60,2)</f>
      </c>
      <c r="N60">
        <f>ROUND('Workings'!$D$42*L60,2)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ROUND('Workings'!$C$42*L61,2)</f>
      </c>
      <c r="N61">
        <f>ROUND('Workings'!$D$42*L61,2)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ROUND('Workings'!$C$42*L62,2)</f>
      </c>
      <c r="N62">
        <f>ROUND('Workings'!$D$42*L62,2)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ROUND('Workings'!$C$42*L63,2)</f>
      </c>
      <c r="N63">
        <f>ROUND('Workings'!$D$42*L63,2)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ROUND('Workings'!$C$42*L64,2)</f>
      </c>
      <c r="N64">
        <f>ROUND('Workings'!$D$42*L64,2)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ROUND('Workings'!$C$42*L65,2)</f>
      </c>
      <c r="N65">
        <f>ROUND('Workings'!$D$42*L65,2)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ROUND('Workings'!$C$42*L66,2)</f>
      </c>
      <c r="N66">
        <f>ROUND('Workings'!$D$42*L66,2)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ROUND('Workings'!$C$42*L67,2)</f>
      </c>
      <c r="N67">
        <f>ROUND('Workings'!$D$42*L67,2)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ROUND('Workings'!$C$42*L68,2)</f>
      </c>
      <c r="N68">
        <f>ROUND('Workings'!$D$42*L68,2)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ROUND('Workings'!$C$42*L69,2)</f>
      </c>
      <c r="N69">
        <f>ROUND('Workings'!$D$42*L69,2)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ROUND('Workings'!$C$42*L70,2)</f>
      </c>
      <c r="N70">
        <f>ROUND('Workings'!$D$42*L70,2)</f>
      </c>
      <c r="O70">
        <f>IF(L70&gt;0,COUNTIF(S$22:S$39,"&gt;0")+COUNTIF(L$59:L70,"&gt;0"),0)</f>
      </c>
      <c r="P70">
        <v>12</v>
      </c>
      <c r="Q70">
        <f>IF(AND(F70="The children's trust",C70&lt;&gt;"Estate",C70&lt;&gt;""),1,0)</f>
      </c>
      <c r="R70">
        <f>IF(L70&gt;0,1,0)</f>
      </c>
    </row>
    <row r="71" ht="39" customHeight="1" spans="2:11" x14ac:dyDescent="0.25">
      <c r="B71" s="16" t="s">
        <v>93</v>
      </c>
      <c r="C71" s="16"/>
      <c r="D71" s="16"/>
      <c r="E71" s="16"/>
      <c r="F71" s="16"/>
      <c r="G71" s="16"/>
      <c r="H71" s="16"/>
      <c r="I71" s="16"/>
      <c r="J71" s="16"/>
      <c r="K71" s="16"/>
    </row>
    <row r="73" ht="18" customHeight="1" spans="2:11" x14ac:dyDescent="0.25">
      <c r="B73" s="5" t="s">
        <v>94</v>
      </c>
      <c r="C73" s="6"/>
      <c r="D73" s="6"/>
      <c r="E73" s="6"/>
      <c r="F73" s="6"/>
      <c r="G73" s="6"/>
      <c r="H73" s="6"/>
      <c r="I73" s="6"/>
      <c r="J73" s="6"/>
      <c r="K73" s="6"/>
    </row>
    <row r="74" hidden="1" spans="2:9" x14ac:dyDescent="0.25">
      <c r="B74" t="s">
        <v>65</v>
      </c>
      <c r="C74" t="s">
        <v>2</v>
      </c>
      <c r="D74" t="s">
        <v>95</v>
      </c>
      <c r="E74" t="s">
        <v>96</v>
      </c>
      <c r="F74" t="s">
        <v>97</v>
      </c>
      <c r="G74" t="s">
        <v>87</v>
      </c>
      <c r="H74" t="s">
        <v>66</v>
      </c>
      <c r="I74" t="s">
        <v>70</v>
      </c>
    </row>
    <row r="75" ht="42" customHeight="1" spans="2:10" x14ac:dyDescent="0.25">
      <c r="B75" s="12" t="s">
        <v>98</v>
      </c>
      <c r="C75" s="12" t="s">
        <v>89</v>
      </c>
      <c r="D75" s="13" t="s">
        <v>99</v>
      </c>
      <c r="E75" s="13" t="s">
        <v>100</v>
      </c>
      <c r="F75" s="13" t="s">
        <v>101</v>
      </c>
      <c r="G75" s="12" t="s">
        <v>102</v>
      </c>
      <c r="H75" s="13" t="s">
        <v>103</v>
      </c>
      <c r="I75" s="12" t="s">
        <v>78</v>
      </c>
      <c r="J75" s="13" t="s">
        <v>104</v>
      </c>
    </row>
    <row r="76" ht="27" customHeight="1" spans="2:20" x14ac:dyDescent="0.25">
      <c r="B76" s="8"/>
      <c r="C76" s="10"/>
      <c r="D76" s="11"/>
      <c r="E76" s="17"/>
      <c r="F76" s="18"/>
      <c r="G76" s="8"/>
      <c r="H76" s="11"/>
      <c r="I76" s="14"/>
      <c r="J76" s="19">
        <f>IF(N(D76)&gt;0,M76,"")</f>
      </c>
      <c r="L76">
        <f>IF(OR(N(D76)&lt;=0,N(F76)&lt;=0),0,ROUND(N(D76)*(IF(('Inputs'!$H$122/100)=0,12,(1-(1+('Inputs'!$H$122/100))^(-(12)/12))/(1-(1+('Inputs'!$H$122/100))^(-1/12)))*IF(ABS(((1+N(E76)/100)/(1+('Inputs'!$H$122/100)))-1)&lt;1E-12,INT(N(F76)/12),(1-((1+N(E76)/100)/(1+('Inputs'!$H$122/100)))^INT(N(F76)/12))/(1-((1+N(E76)/100)/(1+('Inputs'!$H$122/100)))))+((1+N(E76)/100)/(1+('Inputs'!$H$122/100)))^INT(N(F76)/12)*IF(('Inputs'!$H$122/100)=0,(N(F76)-12*INT(N(F76)/12)),(1-(1+('Inputs'!$H$122/100))^(-((N(F76)-12*INT(N(F76)/12)))/12))/(1-(1+('Inputs'!$H$122/100))^(-1/12)))),2))</f>
      </c>
      <c r="M76">
        <f>IF(N(D76)&lt;=0,0,IF(ISNUMBER(H76),H76,L76))</f>
      </c>
      <c r="N76">
        <f>IF(M76=0,0,IF(OR(C76="Spouse",AND(G76&lt;&gt;"",COUNTIFS($B$100:$B$105,G76,$C$100:$C$105,"Spouse")&gt;0)),1,0))</f>
      </c>
      <c r="O76">
        <f>IF(N76=1,0,M76)</f>
      </c>
      <c r="P76">
        <f>ROUND('Workings'!$C$42*O76,2)</f>
      </c>
      <c r="Q76">
        <f>ROUND('Workings'!$D$42*O76,2)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$122/100)=0,12,(1-(1+('Inputs'!$H$122/100))^(-(12)/12))/(1-(1+('Inputs'!$H$122/100))^(-1/12)))*IF(ABS(((1+N(E77)/100)/(1+('Inputs'!$H$122/100)))-1)&lt;1E-12,INT(N(F77)/12),(1-((1+N(E77)/100)/(1+('Inputs'!$H$122/100)))^INT(N(F77)/12))/(1-((1+N(E77)/100)/(1+('Inputs'!$H$122/100)))))+((1+N(E77)/100)/(1+('Inputs'!$H$122/100)))^INT(N(F77)/12)*IF(('Inputs'!$H$122/100)=0,(N(F77)-12*INT(N(F77)/12)),(1-(1+('Inputs'!$H$122/100))^(-((N(F77)-12*INT(N(F77)/12)))/12))/(1-(1+('Inputs'!$H$122/100))^(-1/12)))),2))</f>
      </c>
      <c r="M77">
        <f>IF(N(D77)&lt;=0,0,IF(ISNUMBER(H77),H77,L77))</f>
      </c>
      <c r="N77">
        <f>IF(M77=0,0,IF(OR(C77="Spouse",AND(G77&lt;&gt;"",COUNTIFS($B$100:$B$105,G77,$C$100:$C$105,"Spouse")&gt;0)),1,0))</f>
      </c>
      <c r="O77">
        <f>IF(N77=1,0,M77)</f>
      </c>
      <c r="P77">
        <f>ROUND('Workings'!$C$42*O77,2)</f>
      </c>
      <c r="Q77">
        <f>ROUND('Workings'!$D$42*O77,2)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$122/100)=0,12,(1-(1+('Inputs'!$H$122/100))^(-(12)/12))/(1-(1+('Inputs'!$H$122/100))^(-1/12)))*IF(ABS(((1+N(E78)/100)/(1+('Inputs'!$H$122/100)))-1)&lt;1E-12,INT(N(F78)/12),(1-((1+N(E78)/100)/(1+('Inputs'!$H$122/100)))^INT(N(F78)/12))/(1-((1+N(E78)/100)/(1+('Inputs'!$H$122/100)))))+((1+N(E78)/100)/(1+('Inputs'!$H$122/100)))^INT(N(F78)/12)*IF(('Inputs'!$H$122/100)=0,(N(F78)-12*INT(N(F78)/12)),(1-(1+('Inputs'!$H$122/100))^(-((N(F78)-12*INT(N(F78)/12)))/12))/(1-(1+('Inputs'!$H$122/100))^(-1/12)))),2))</f>
      </c>
      <c r="M78">
        <f>IF(N(D78)&lt;=0,0,IF(ISNUMBER(H78),H78,L78))</f>
      </c>
      <c r="N78">
        <f>IF(M78=0,0,IF(OR(C78="Spouse",AND(G78&lt;&gt;"",COUNTIFS($B$100:$B$105,G78,$C$100:$C$105,"Spouse")&gt;0)),1,0))</f>
      </c>
      <c r="O78">
        <f>IF(N78=1,0,M78)</f>
      </c>
      <c r="P78">
        <f>ROUND('Workings'!$C$42*O78,2)</f>
      </c>
      <c r="Q78">
        <f>ROUND('Workings'!$D$42*O78,2)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$122/100)=0,12,(1-(1+('Inputs'!$H$122/100))^(-(12)/12))/(1-(1+('Inputs'!$H$122/100))^(-1/12)))*IF(ABS(((1+N(E79)/100)/(1+('Inputs'!$H$122/100)))-1)&lt;1E-12,INT(N(F79)/12),(1-((1+N(E79)/100)/(1+('Inputs'!$H$122/100)))^INT(N(F79)/12))/(1-((1+N(E79)/100)/(1+('Inputs'!$H$122/100)))))+((1+N(E79)/100)/(1+('Inputs'!$H$122/100)))^INT(N(F79)/12)*IF(('Inputs'!$H$122/100)=0,(N(F79)-12*INT(N(F79)/12)),(1-(1+('Inputs'!$H$122/100))^(-((N(F79)-12*INT(N(F79)/12)))/12))/(1-(1+('Inputs'!$H$122/100))^(-1/12)))),2))</f>
      </c>
      <c r="M79">
        <f>IF(N(D79)&lt;=0,0,IF(ISNUMBER(H79),H79,L79))</f>
      </c>
      <c r="N79">
        <f>IF(M79=0,0,IF(OR(C79="Spouse",AND(G79&lt;&gt;"",COUNTIFS($B$100:$B$105,G79,$C$100:$C$105,"Spouse")&gt;0)),1,0))</f>
      </c>
      <c r="O79">
        <f>IF(N79=1,0,M79)</f>
      </c>
      <c r="P79">
        <f>ROUND('Workings'!$C$42*O79,2)</f>
      </c>
      <c r="Q79">
        <f>ROUND('Workings'!$D$42*O79,2)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$122/100)=0,12,(1-(1+('Inputs'!$H$122/100))^(-(12)/12))/(1-(1+('Inputs'!$H$122/100))^(-1/12)))*IF(ABS(((1+N(E80)/100)/(1+('Inputs'!$H$122/100)))-1)&lt;1E-12,INT(N(F80)/12),(1-((1+N(E80)/100)/(1+('Inputs'!$H$122/100)))^INT(N(F80)/12))/(1-((1+N(E80)/100)/(1+('Inputs'!$H$122/100)))))+((1+N(E80)/100)/(1+('Inputs'!$H$122/100)))^INT(N(F80)/12)*IF(('Inputs'!$H$122/100)=0,(N(F80)-12*INT(N(F80)/12)),(1-(1+('Inputs'!$H$122/100))^(-((N(F80)-12*INT(N(F80)/12)))/12))/(1-(1+('Inputs'!$H$122/100))^(-1/12)))),2))</f>
      </c>
      <c r="M80">
        <f>IF(N(D80)&lt;=0,0,IF(ISNUMBER(H80),H80,L80))</f>
      </c>
      <c r="N80">
        <f>IF(M80=0,0,IF(OR(C80="Spouse",AND(G80&lt;&gt;"",COUNTIFS($B$100:$B$105,G80,$C$100:$C$105,"Spouse")&gt;0)),1,0))</f>
      </c>
      <c r="O80">
        <f>IF(N80=1,0,M80)</f>
      </c>
      <c r="P80">
        <f>ROUND('Workings'!$C$42*O80,2)</f>
      </c>
      <c r="Q80">
        <f>ROUND('Workings'!$D$42*O80,2)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$122/100)=0,12,(1-(1+('Inputs'!$H$122/100))^(-(12)/12))/(1-(1+('Inputs'!$H$122/100))^(-1/12)))*IF(ABS(((1+N(E81)/100)/(1+('Inputs'!$H$122/100)))-1)&lt;1E-12,INT(N(F81)/12),(1-((1+N(E81)/100)/(1+('Inputs'!$H$122/100)))^INT(N(F81)/12))/(1-((1+N(E81)/100)/(1+('Inputs'!$H$122/100)))))+((1+N(E81)/100)/(1+('Inputs'!$H$122/100)))^INT(N(F81)/12)*IF(('Inputs'!$H$122/100)=0,(N(F81)-12*INT(N(F81)/12)),(1-(1+('Inputs'!$H$122/100))^(-((N(F81)-12*INT(N(F81)/12)))/12))/(1-(1+('Inputs'!$H$122/100))^(-1/12)))),2))</f>
      </c>
      <c r="M81">
        <f>IF(N(D81)&lt;=0,0,IF(ISNUMBER(H81),H81,L81))</f>
      </c>
      <c r="N81">
        <f>IF(M81=0,0,IF(OR(C81="Spouse",AND(G81&lt;&gt;"",COUNTIFS($B$100:$B$105,G81,$C$100:$C$105,"Spouse")&gt;0)),1,0))</f>
      </c>
      <c r="O81">
        <f>IF(N81=1,0,M81)</f>
      </c>
      <c r="P81">
        <f>ROUND('Workings'!$C$42*O81,2)</f>
      </c>
      <c r="Q81">
        <f>ROUND('Workings'!$D$42*O81,2)</f>
      </c>
      <c r="R81">
        <f>IF(O81&gt;0,COUNTIF(S$22:S$39,"&gt;0")+COUNTIF(L$59:L$70,"&gt;0")+COUNTIF(O$76:O81,"&gt;0"),0)</f>
      </c>
      <c r="S81">
        <f>IF(N81=1,M81,0)</f>
      </c>
      <c r="T81">
        <f>IF(AND(B81="",N(D81)=0),0,IF(OR(C81="",N(D81)&lt;=0,N(F81)&lt;=0,N(F81)&lt;&gt;INT(N(F81)),AND(C81="Estate",G81=""),AND(G81&lt;&gt;"",COUNTIF($B$100:$B$105,G81)=0)),1,0))</f>
      </c>
    </row>
    <row r="82" ht="39" customHeight="1" spans="2:11"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"&amp;FIXED('Inputs'!$H$122,1)&amp;"%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c r="K82" s="16"/>
    </row>
    <row r="84" ht="18" customHeight="1" spans="2:11" x14ac:dyDescent="0.25">
      <c r="B84" s="5" t="s">
        <v>105</v>
      </c>
      <c r="C84" s="6"/>
      <c r="D84" s="6"/>
      <c r="E84" s="6"/>
      <c r="F84" s="6"/>
      <c r="G84" s="6"/>
      <c r="H84" s="6"/>
      <c r="I84" s="6"/>
      <c r="J84" s="6"/>
      <c r="K84" s="6"/>
    </row>
    <row r="85" hidden="1" spans="2:9" x14ac:dyDescent="0.25">
      <c r="B85" t="s">
        <v>65</v>
      </c>
      <c r="D85" t="s">
        <v>66</v>
      </c>
      <c r="F85" t="s">
        <v>106</v>
      </c>
      <c r="I85" t="s">
        <v>70</v>
      </c>
    </row>
    <row r="86" ht="30" customHeight="1" spans="2:10" x14ac:dyDescent="0.25">
      <c r="B86" s="12" t="s">
        <v>107</v>
      </c>
      <c r="D86" s="13" t="s">
        <v>73</v>
      </c>
      <c r="F86" s="12" t="s">
        <v>108</v>
      </c>
      <c r="G86" s="12"/>
      <c r="H86" s="12"/>
      <c r="I86" s="12" t="s">
        <v>78</v>
      </c>
      <c r="J86" s="13" t="s">
        <v>109</v>
      </c>
    </row>
    <row r="87" spans="2:10" x14ac:dyDescent="0.25">
      <c r="B87" s="8"/>
      <c r="D87" s="11"/>
      <c r="F87" s="14"/>
      <c r="G87" s="14"/>
      <c r="H87" s="14"/>
      <c r="I87" s="14"/>
      <c r="J87" s="20">
        <f>IF(N(D87)&gt;0,N(D87)-ROUND((INDEX('Inputs'!$H$134:$H$137,MATCH(SUM('Inputs'!$D$87:$D$94),'Inputs'!$G$134:$G$137,1))+INDEX('Inputs'!$I$134:$I$137,MATCH(SUM('Inputs'!$D$87:$D$94),'Inputs'!$G$134:$G$137,1))/100*((SUM('Inputs'!$D$87:$D$94))-INDEX('Inputs'!$G$134:$G$137,MATCH(SUM('Inputs'!$D$87:$D$94),'Inputs'!$G$134:$G$137,1))))*N(D87)/SUM('Inputs'!$D$87:$D$94),2),0)</f>
      </c>
    </row>
    <row r="88" spans="2:10" x14ac:dyDescent="0.25">
      <c r="B88" s="8"/>
      <c r="D88" s="11"/>
      <c r="F88" s="14"/>
      <c r="G88" s="14"/>
      <c r="H88" s="14"/>
      <c r="I88" s="14"/>
      <c r="J88" s="20">
        <f>IF(N(D88)&gt;0,N(D88)-ROUND((INDEX('Inputs'!$H$134:$H$137,MATCH(SUM('Inputs'!$D$87:$D$94),'Inputs'!$G$134:$G$137,1))+INDEX('Inputs'!$I$134:$I$137,MATCH(SUM('Inputs'!$D$87:$D$94),'Inputs'!$G$134:$G$137,1))/100*((SUM('Inputs'!$D$87:$D$94))-INDEX('Inputs'!$G$134:$G$137,MATCH(SUM('Inputs'!$D$87:$D$94),'Inputs'!$G$134:$G$137,1))))*N(D88)/SUM('Inputs'!$D$87:$D$94),2),0)</f>
      </c>
    </row>
    <row r="89" spans="2:10" x14ac:dyDescent="0.25">
      <c r="B89" s="8"/>
      <c r="D89" s="11"/>
      <c r="F89" s="14"/>
      <c r="G89" s="14"/>
      <c r="H89" s="14"/>
      <c r="I89" s="14"/>
      <c r="J89" s="20">
        <f>IF(N(D89)&gt;0,N(D89)-ROUND((INDEX('Inputs'!$H$134:$H$137,MATCH(SUM('Inputs'!$D$87:$D$94),'Inputs'!$G$134:$G$137,1))+INDEX('Inputs'!$I$134:$I$137,MATCH(SUM('Inputs'!$D$87:$D$94),'Inputs'!$G$134:$G$137,1))/100*((SUM('Inputs'!$D$87:$D$94))-INDEX('Inputs'!$G$134:$G$137,MATCH(SUM('Inputs'!$D$87:$D$94),'Inputs'!$G$134:$G$137,1))))*N(D89)/SUM('Inputs'!$D$87:$D$94),2),0)</f>
      </c>
    </row>
    <row r="90" spans="2:10" x14ac:dyDescent="0.25">
      <c r="B90" s="8"/>
      <c r="D90" s="11"/>
      <c r="F90" s="14"/>
      <c r="G90" s="14"/>
      <c r="H90" s="14"/>
      <c r="I90" s="14"/>
      <c r="J90" s="20">
        <f>IF(N(D90)&gt;0,N(D90)-ROUND((INDEX('Inputs'!$H$134:$H$137,MATCH(SUM('Inputs'!$D$87:$D$94),'Inputs'!$G$134:$G$137,1))+INDEX('Inputs'!$I$134:$I$137,MATCH(SUM('Inputs'!$D$87:$D$94),'Inputs'!$G$134:$G$137,1))/100*((SUM('Inputs'!$D$87:$D$94))-INDEX('Inputs'!$G$134:$G$137,MATCH(SUM('Inputs'!$D$87:$D$94),'Inputs'!$G$134:$G$137,1))))*N(D90)/SUM('Inputs'!$D$87:$D$94),2),0)</f>
      </c>
    </row>
    <row r="91" spans="2:10" x14ac:dyDescent="0.25">
      <c r="B91" s="8"/>
      <c r="D91" s="11"/>
      <c r="F91" s="14"/>
      <c r="G91" s="14"/>
      <c r="H91" s="14"/>
      <c r="I91" s="14"/>
      <c r="J91" s="20">
        <f>IF(N(D91)&gt;0,N(D91)-ROUND((INDEX('Inputs'!$H$134:$H$137,MATCH(SUM('Inputs'!$D$87:$D$94),'Inputs'!$G$134:$G$137,1))+INDEX('Inputs'!$I$134:$I$137,MATCH(SUM('Inputs'!$D$87:$D$94),'Inputs'!$G$134:$G$137,1))/100*((SUM('Inputs'!$D$87:$D$94))-INDEX('Inputs'!$G$134:$G$137,MATCH(SUM('Inputs'!$D$87:$D$94),'Inputs'!$G$134:$G$137,1))))*N(D91)/SUM('Inputs'!$D$87:$D$94),2),0)</f>
      </c>
    </row>
    <row r="92" spans="2:10" x14ac:dyDescent="0.25">
      <c r="B92" s="8"/>
      <c r="D92" s="11"/>
      <c r="F92" s="14"/>
      <c r="G92" s="14"/>
      <c r="H92" s="14"/>
      <c r="I92" s="14"/>
      <c r="J92" s="20">
        <f>IF(N(D92)&gt;0,N(D92)-ROUND((INDEX('Inputs'!$H$134:$H$137,MATCH(SUM('Inputs'!$D$87:$D$94),'Inputs'!$G$134:$G$137,1))+INDEX('Inputs'!$I$134:$I$137,MATCH(SUM('Inputs'!$D$87:$D$94),'Inputs'!$G$134:$G$137,1))/100*((SUM('Inputs'!$D$87:$D$94))-INDEX('Inputs'!$G$134:$G$137,MATCH(SUM('Inputs'!$D$87:$D$94),'Inputs'!$G$134:$G$137,1))))*N(D92)/SUM('Inputs'!$D$87:$D$94),2),0)</f>
      </c>
    </row>
    <row r="93" spans="2:10" x14ac:dyDescent="0.25">
      <c r="B93" s="8"/>
      <c r="D93" s="11"/>
      <c r="F93" s="14"/>
      <c r="G93" s="14"/>
      <c r="H93" s="14"/>
      <c r="I93" s="14"/>
      <c r="J93" s="20">
        <f>IF(N(D93)&gt;0,N(D93)-ROUND((INDEX('Inputs'!$H$134:$H$137,MATCH(SUM('Inputs'!$D$87:$D$94),'Inputs'!$G$134:$G$137,1))+INDEX('Inputs'!$I$134:$I$137,MATCH(SUM('Inputs'!$D$87:$D$94),'Inputs'!$G$134:$G$137,1))/100*((SUM('Inputs'!$D$87:$D$94))-INDEX('Inputs'!$G$134:$G$137,MATCH(SUM('Inputs'!$D$87:$D$94),'Inputs'!$G$134:$G$137,1))))*N(D93)/SUM('Inputs'!$D$87:$D$94),2),0)</f>
      </c>
    </row>
    <row r="94" spans="2:10" x14ac:dyDescent="0.25">
      <c r="B94" s="8"/>
      <c r="D94" s="11"/>
      <c r="F94" s="14"/>
      <c r="G94" s="14"/>
      <c r="H94" s="14"/>
      <c r="I94" s="14"/>
      <c r="J94" s="20">
        <f>IF(N(D94)&gt;0,N(D94)-ROUND((INDEX('Inputs'!$H$134:$H$137,MATCH(SUM('Inputs'!$D$87:$D$94),'Inputs'!$G$134:$G$137,1))+INDEX('Inputs'!$I$134:$I$137,MATCH(SUM('Inputs'!$D$87:$D$94),'Inputs'!$G$134:$G$137,1))/100*((SUM('Inputs'!$D$87:$D$94))-INDEX('Inputs'!$G$134:$G$137,MATCH(SUM('Inputs'!$D$87:$D$94),'Inputs'!$G$134:$G$137,1))))*N(D94)/SUM('Inputs'!$D$87:$D$94),2),0)</f>
      </c>
    </row>
    <row r="95" ht="39" customHeight="1" spans="2:11" x14ac:dyDescent="0.25">
      <c r="B95" s="16" t="s">
        <v>110</v>
      </c>
      <c r="C95" s="16"/>
      <c r="D95" s="16"/>
      <c r="E95" s="16"/>
      <c r="F95" s="16"/>
      <c r="G95" s="16"/>
      <c r="H95" s="16"/>
      <c r="I95" s="16"/>
      <c r="J95" s="16"/>
      <c r="K95" s="16"/>
    </row>
    <row r="97" ht="18" customHeight="1" spans="2:11" x14ac:dyDescent="0.25">
      <c r="B97" s="5" t="s">
        <v>111</v>
      </c>
      <c r="C97" s="6"/>
      <c r="D97" s="6"/>
      <c r="E97" s="6"/>
      <c r="F97" s="6"/>
      <c r="G97" s="6"/>
      <c r="H97" s="6"/>
      <c r="I97" s="6"/>
      <c r="J97" s="6"/>
      <c r="K97" s="6"/>
    </row>
    <row r="98" hidden="1" spans="2:11" x14ac:dyDescent="0.25">
      <c r="B98" t="s">
        <v>65</v>
      </c>
      <c r="C98" t="s">
        <v>5</v>
      </c>
      <c r="D98" t="s">
        <v>112</v>
      </c>
      <c r="E98" t="s">
        <v>113</v>
      </c>
      <c r="F98" t="s">
        <v>114</v>
      </c>
      <c r="G98" t="s">
        <v>96</v>
      </c>
      <c r="H98" t="s">
        <v>115</v>
      </c>
      <c r="I98" t="s">
        <v>116</v>
      </c>
      <c r="J98" t="s">
        <v>117</v>
      </c>
      <c r="K98" t="s">
        <v>118</v>
      </c>
    </row>
    <row r="99" ht="42" customHeight="1" spans="2:26" x14ac:dyDescent="0.25">
      <c r="B99" s="12" t="s">
        <v>119</v>
      </c>
      <c r="C99" s="12" t="s">
        <v>120</v>
      </c>
      <c r="D99" s="13" t="s">
        <v>121</v>
      </c>
      <c r="E99" s="13" t="s">
        <v>122</v>
      </c>
      <c r="F99" s="13" t="s">
        <v>123</v>
      </c>
      <c r="G99" s="13" t="s">
        <v>124</v>
      </c>
      <c r="H99" s="12" t="s">
        <v>125</v>
      </c>
      <c r="I99" s="13" t="s">
        <v>126</v>
      </c>
      <c r="J99" s="13" t="s">
        <v>127</v>
      </c>
      <c r="K99" s="12" t="s">
        <v>128</v>
      </c>
      <c r="Z99" t="s">
        <v>129</v>
      </c>
    </row>
    <row r="100" ht="15" customHeight="1" spans="2:26" x14ac:dyDescent="0.25">
      <c r="B100" s="8"/>
      <c r="C100" s="10"/>
      <c r="D100" s="18"/>
      <c r="E100" s="11"/>
      <c r="F100" s="18"/>
      <c r="G100" s="17"/>
      <c r="H100" s="10"/>
      <c r="I100" s="11"/>
      <c r="J100" s="11"/>
      <c r="K100" s="10"/>
      <c r="L100">
        <f>IF(AND(B100&lt;&gt;"",C100="Child"),1,0)</f>
      </c>
      <c r="M100">
        <f>IF(L100=1,SUM(L$100:L100),0)</f>
      </c>
      <c r="N100">
        <f>IF(AND(L100=1,M100=SUM(L$100:L$105)),1,0)</f>
      </c>
      <c r="O100">
        <f>IF(AND(B100&lt;&gt;"",C100="Spouse",COUNTIF(C$100:C100,"Spouse")=1),1,0)</f>
      </c>
      <c r="P100">
        <f>IF(B100="",0,IF(OR(C100="",AND(N(E100)&lt;=0,N(J100)&lt;=0,NOT(AND(O100=1,SUM(U$100:U$105)&gt;0))),AND(N(E100)&gt;0,N(F100)&lt;=0)),1,0))</f>
      </c>
      <c r="Q100">
        <f>IF(AND(L100=1,H100="Yes"),1,0)</f>
      </c>
      <c r="R100">
        <f>IF(Q100=1,SUM(Q$100:Q100),0)</f>
      </c>
      <c r="S100">
        <f>IF(AND(Q100=1,R100=SUM(Q$100:Q$105)),1,0)</f>
      </c>
      <c r="T100">
        <f>IF(AND(B100&lt;&gt;"",C100="Spouse",'Inputs'!$C$107="The spouse"),1,0)</f>
      </c>
      <c r="U100">
        <f>IF(AND(B100&lt;&gt;"",C100="Child",K100="Yes",H100&lt;&gt;"Yes",COUNTIFS(B$100:B$105,"?*",C$100:C$105,"Spouse")&gt;0),1,0)</f>
      </c>
      <c r="V100">
        <f>IF(AND(B100&lt;&gt;"",K100="Yes",U100=0),1,0)</f>
      </c>
      <c r="Z100">
        <f>IF(B100="","",B100)</f>
      </c>
    </row>
    <row r="101" ht="15" customHeight="1" spans="2:26" x14ac:dyDescent="0.25">
      <c r="B101" s="8"/>
      <c r="C101" s="10"/>
      <c r="D101" s="18"/>
      <c r="E101" s="11"/>
      <c r="F101" s="18"/>
      <c r="G101" s="17"/>
      <c r="H101" s="10"/>
      <c r="I101" s="11"/>
      <c r="J101" s="11"/>
      <c r="K101" s="10"/>
      <c r="L101">
        <f>IF(AND(B101&lt;&gt;"",C101="Child"),1,0)</f>
      </c>
      <c r="M101">
        <f>IF(L101=1,SUM(L$100:L101),0)</f>
      </c>
      <c r="N101">
        <f>IF(AND(L101=1,M101=SUM(L$100:L$105)),1,0)</f>
      </c>
      <c r="O101">
        <f>IF(AND(B101&lt;&gt;"",C101="Spouse",COUNTIF(C$100:C101,"Spouse")=1),1,0)</f>
      </c>
      <c r="P101">
        <f>IF(B101="",0,IF(OR(C101="",AND(N(E101)&lt;=0,N(J101)&lt;=0,NOT(AND(O101=1,SUM(U$100:U$105)&gt;0))),AND(N(E101)&gt;0,N(F101)&lt;=0)),1,0))</f>
      </c>
      <c r="Q101">
        <f>IF(AND(L101=1,H101="Yes"),1,0)</f>
      </c>
      <c r="R101">
        <f>IF(Q101=1,SUM(Q$100:Q101),0)</f>
      </c>
      <c r="S101">
        <f>IF(AND(Q101=1,R101=SUM(Q$100:Q$105)),1,0)</f>
      </c>
      <c r="T101">
        <f>IF(AND(B101&lt;&gt;"",C101="Spouse",'Inputs'!$C$107="The spouse"),1,0)</f>
      </c>
      <c r="U101">
        <f>IF(AND(B101&lt;&gt;"",C101="Child",K101="Yes",H101&lt;&gt;"Yes",COUNTIFS(B$100:B$105,"?*",C$100:C$105,"Spouse")&gt;0),1,0)</f>
      </c>
      <c r="V101">
        <f>IF(AND(B101&lt;&gt;"",K101="Yes",U101=0),1,0)</f>
      </c>
      <c r="Z101">
        <f>IF(B101="","",B101)</f>
      </c>
    </row>
    <row r="102" ht="15" customHeight="1" spans="2:26" x14ac:dyDescent="0.25">
      <c r="B102" s="8"/>
      <c r="C102" s="10"/>
      <c r="D102" s="18"/>
      <c r="E102" s="11"/>
      <c r="F102" s="18"/>
      <c r="G102" s="17"/>
      <c r="H102" s="10"/>
      <c r="I102" s="11"/>
      <c r="J102" s="11"/>
      <c r="K102" s="10"/>
      <c r="L102">
        <f>IF(AND(B102&lt;&gt;"",C102="Child"),1,0)</f>
      </c>
      <c r="M102">
        <f>IF(L102=1,SUM(L$100:L102),0)</f>
      </c>
      <c r="N102">
        <f>IF(AND(L102=1,M102=SUM(L$100:L$105)),1,0)</f>
      </c>
      <c r="O102">
        <f>IF(AND(B102&lt;&gt;"",C102="Spouse",COUNTIF(C$100:C102,"Spouse")=1),1,0)</f>
      </c>
      <c r="P102">
        <f>IF(B102="",0,IF(OR(C102="",AND(N(E102)&lt;=0,N(J102)&lt;=0,NOT(AND(O102=1,SUM(U$100:U$105)&gt;0))),AND(N(E102)&gt;0,N(F102)&lt;=0)),1,0))</f>
      </c>
      <c r="Q102">
        <f>IF(AND(L102=1,H102="Yes"),1,0)</f>
      </c>
      <c r="R102">
        <f>IF(Q102=1,SUM(Q$100:Q102),0)</f>
      </c>
      <c r="S102">
        <f>IF(AND(Q102=1,R102=SUM(Q$100:Q$105)),1,0)</f>
      </c>
      <c r="T102">
        <f>IF(AND(B102&lt;&gt;"",C102="Spouse",'Inputs'!$C$107="The spouse"),1,0)</f>
      </c>
      <c r="U102">
        <f>IF(AND(B102&lt;&gt;"",C102="Child",K102="Yes",H102&lt;&gt;"Yes",COUNTIFS(B$100:B$105,"?*",C$100:C$105,"Spouse")&gt;0),1,0)</f>
      </c>
      <c r="V102">
        <f>IF(AND(B102&lt;&gt;"",K102="Yes",U102=0),1,0)</f>
      </c>
      <c r="Z102">
        <f>IF(B102="","",B102)</f>
      </c>
    </row>
    <row r="103" ht="15" customHeight="1" spans="2:26" x14ac:dyDescent="0.25">
      <c r="B103" s="8"/>
      <c r="C103" s="10"/>
      <c r="D103" s="18"/>
      <c r="E103" s="11"/>
      <c r="F103" s="18"/>
      <c r="G103" s="17"/>
      <c r="H103" s="10"/>
      <c r="I103" s="11"/>
      <c r="J103" s="11"/>
      <c r="K103" s="10"/>
      <c r="L103">
        <f>IF(AND(B103&lt;&gt;"",C103="Child"),1,0)</f>
      </c>
      <c r="M103">
        <f>IF(L103=1,SUM(L$100:L103),0)</f>
      </c>
      <c r="N103">
        <f>IF(AND(L103=1,M103=SUM(L$100:L$105)),1,0)</f>
      </c>
      <c r="O103">
        <f>IF(AND(B103&lt;&gt;"",C103="Spouse",COUNTIF(C$100:C103,"Spouse")=1),1,0)</f>
      </c>
      <c r="P103">
        <f>IF(B103="",0,IF(OR(C103="",AND(N(E103)&lt;=0,N(J103)&lt;=0,NOT(AND(O103=1,SUM(U$100:U$105)&gt;0))),AND(N(E103)&gt;0,N(F103)&lt;=0)),1,0))</f>
      </c>
      <c r="Q103">
        <f>IF(AND(L103=1,H103="Yes"),1,0)</f>
      </c>
      <c r="R103">
        <f>IF(Q103=1,SUM(Q$100:Q103),0)</f>
      </c>
      <c r="S103">
        <f>IF(AND(Q103=1,R103=SUM(Q$100:Q$105)),1,0)</f>
      </c>
      <c r="T103">
        <f>IF(AND(B103&lt;&gt;"",C103="Spouse",'Inputs'!$C$107="The spouse"),1,0)</f>
      </c>
      <c r="U103">
        <f>IF(AND(B103&lt;&gt;"",C103="Child",K103="Yes",H103&lt;&gt;"Yes",COUNTIFS(B$100:B$105,"?*",C$100:C$105,"Spouse")&gt;0),1,0)</f>
      </c>
      <c r="V103">
        <f>IF(AND(B103&lt;&gt;"",K103="Yes",U103=0),1,0)</f>
      </c>
      <c r="Z103">
        <f>IF(B103="","",B103)</f>
      </c>
    </row>
    <row r="104" ht="15" customHeight="1" spans="2:26" x14ac:dyDescent="0.25">
      <c r="B104" s="8"/>
      <c r="C104" s="10"/>
      <c r="D104" s="18"/>
      <c r="E104" s="11"/>
      <c r="F104" s="18"/>
      <c r="G104" s="17"/>
      <c r="H104" s="10"/>
      <c r="I104" s="11"/>
      <c r="J104" s="11"/>
      <c r="K104" s="10"/>
      <c r="L104">
        <f>IF(AND(B104&lt;&gt;"",C104="Child"),1,0)</f>
      </c>
      <c r="M104">
        <f>IF(L104=1,SUM(L$100:L104),0)</f>
      </c>
      <c r="N104">
        <f>IF(AND(L104=1,M104=SUM(L$100:L$105)),1,0)</f>
      </c>
      <c r="O104">
        <f>IF(AND(B104&lt;&gt;"",C104="Spouse",COUNTIF(C$100:C104,"Spouse")=1),1,0)</f>
      </c>
      <c r="P104">
        <f>IF(B104="",0,IF(OR(C104="",AND(N(E104)&lt;=0,N(J104)&lt;=0,NOT(AND(O104=1,SUM(U$100:U$105)&gt;0))),AND(N(E104)&gt;0,N(F104)&lt;=0)),1,0))</f>
      </c>
      <c r="Q104">
        <f>IF(AND(L104=1,H104="Yes"),1,0)</f>
      </c>
      <c r="R104">
        <f>IF(Q104=1,SUM(Q$100:Q104),0)</f>
      </c>
      <c r="S104">
        <f>IF(AND(Q104=1,R104=SUM(Q$100:Q$105)),1,0)</f>
      </c>
      <c r="T104">
        <f>IF(AND(B104&lt;&gt;"",C104="Spouse",'Inputs'!$C$107="The spouse"),1,0)</f>
      </c>
      <c r="U104">
        <f>IF(AND(B104&lt;&gt;"",C104="Child",K104="Yes",H104&lt;&gt;"Yes",COUNTIFS(B$100:B$105,"?*",C$100:C$105,"Spouse")&gt;0),1,0)</f>
      </c>
      <c r="V104">
        <f>IF(AND(B104&lt;&gt;"",K104="Yes",U104=0),1,0)</f>
      </c>
      <c r="Z104">
        <f>IF(B104="","",B104)</f>
      </c>
    </row>
    <row r="105" ht="15" customHeight="1" spans="2:26" x14ac:dyDescent="0.25">
      <c r="B105" s="8"/>
      <c r="C105" s="10"/>
      <c r="D105" s="18"/>
      <c r="E105" s="11"/>
      <c r="F105" s="18"/>
      <c r="G105" s="17"/>
      <c r="H105" s="10"/>
      <c r="I105" s="11"/>
      <c r="J105" s="11"/>
      <c r="K105" s="10"/>
      <c r="L105">
        <f>IF(AND(B105&lt;&gt;"",C105="Child"),1,0)</f>
      </c>
      <c r="M105">
        <f>IF(L105=1,SUM(L$100:L105),0)</f>
      </c>
      <c r="N105">
        <f>IF(AND(L105=1,M105=SUM(L$100:L$105)),1,0)</f>
      </c>
      <c r="O105">
        <f>IF(AND(B105&lt;&gt;"",C105="Spouse",COUNTIF(C$100:C105,"Spouse")=1),1,0)</f>
      </c>
      <c r="P105">
        <f>IF(B105="",0,IF(OR(C105="",AND(N(E105)&lt;=0,N(J105)&lt;=0,NOT(AND(O105=1,SUM(U$100:U$105)&gt;0))),AND(N(E105)&gt;0,N(F105)&lt;=0)),1,0))</f>
      </c>
      <c r="Q105">
        <f>IF(AND(L105=1,H105="Yes"),1,0)</f>
      </c>
      <c r="R105">
        <f>IF(Q105=1,SUM(Q$100:Q105),0)</f>
      </c>
      <c r="S105">
        <f>IF(AND(Q105=1,R105=SUM(Q$100:Q$105)),1,0)</f>
      </c>
      <c r="T105">
        <f>IF(AND(B105&lt;&gt;"",C105="Spouse",'Inputs'!$C$107="The spouse"),1,0)</f>
      </c>
      <c r="U105">
        <f>IF(AND(B105&lt;&gt;"",C105="Child",K105="Yes",H105&lt;&gt;"Yes",COUNTIFS(B$100:B$105,"?*",C$100:C$105,"Spouse")&gt;0),1,0)</f>
      </c>
      <c r="V105">
        <f>IF(AND(B105&lt;&gt;"",K105="Yes",U105=0),1,0)</f>
      </c>
      <c r="Z105">
        <f>IF(B105="","",B105)</f>
      </c>
    </row>
    <row r="106" ht="27" customHeight="1" spans="2:5" x14ac:dyDescent="0.25">
      <c r="B106" s="7" t="s">
        <v>130</v>
      </c>
      <c r="C106" s="10" t="s">
        <v>16</v>
      </c>
      <c r="D106" s="10"/>
      <c r="E106" s="10"/>
    </row>
    <row r="107" ht="27" customHeight="1" spans="2:5" x14ac:dyDescent="0.25">
      <c r="B107" s="7" t="s">
        <v>131</v>
      </c>
      <c r="C107" s="10" t="s">
        <v>17</v>
      </c>
      <c r="D107" s="10"/>
      <c r="E107" s="10"/>
    </row>
    <row r="108" ht="52" customHeight="1" spans="2:11" x14ac:dyDescent="0.25">
      <c r="B108" s="16" t="s">
        <v>132</v>
      </c>
      <c r="C108" s="16"/>
      <c r="D108" s="16"/>
      <c r="E108" s="16"/>
      <c r="F108" s="16"/>
      <c r="G108" s="16"/>
      <c r="H108" s="16"/>
      <c r="I108" s="16"/>
      <c r="J108" s="16"/>
      <c r="K108" s="16"/>
    </row>
    <row r="110" ht="18" customHeight="1" spans="2:11" x14ac:dyDescent="0.25">
      <c r="B110" s="5" t="s">
        <v>133</v>
      </c>
      <c r="C110" s="6"/>
      <c r="D110" s="6"/>
      <c r="E110" s="6"/>
      <c r="F110" s="6"/>
      <c r="G110" s="6"/>
      <c r="H110" s="6"/>
      <c r="I110" s="6"/>
      <c r="J110" s="6"/>
      <c r="K110" s="6"/>
    </row>
    <row r="111" spans="2:3" x14ac:dyDescent="0.25">
      <c r="B111" s="7" t="s">
        <v>134</v>
      </c>
      <c r="C111" s="8"/>
    </row>
    <row r="112" spans="2:3" x14ac:dyDescent="0.25">
      <c r="B112" s="7" t="s">
        <v>135</v>
      </c>
      <c r="C112" s="17"/>
    </row>
    <row r="113" spans="2:3" x14ac:dyDescent="0.25">
      <c r="B113" s="7" t="s">
        <v>136</v>
      </c>
      <c r="C113" s="11"/>
    </row>
    <row r="114" spans="2:3" x14ac:dyDescent="0.25">
      <c r="B114" s="7" t="s">
        <v>137</v>
      </c>
      <c r="C114" s="17"/>
    </row>
    <row r="115" spans="2:3" x14ac:dyDescent="0.25">
      <c r="B115" s="7" t="s">
        <v>138</v>
      </c>
      <c r="C115" s="11"/>
    </row>
    <row r="116" spans="2:3" x14ac:dyDescent="0.25">
      <c r="B116" s="7" t="s">
        <v>139</v>
      </c>
      <c r="C116" s="11"/>
    </row>
    <row r="117" ht="26" customHeight="1" spans="2:11" x14ac:dyDescent="0.25">
      <c r="B117" s="16" t="s">
        <v>140</v>
      </c>
      <c r="C117" s="16"/>
      <c r="D117" s="16"/>
      <c r="E117" s="16"/>
      <c r="F117" s="16"/>
      <c r="G117" s="16"/>
      <c r="H117" s="16"/>
      <c r="I117" s="16"/>
      <c r="J117" s="16"/>
      <c r="K117" s="16"/>
    </row>
    <row r="119" ht="18" customHeight="1" spans="2:11" x14ac:dyDescent="0.25">
      <c r="B119" s="5" t="s">
        <v>141</v>
      </c>
      <c r="C119" s="6"/>
      <c r="D119" s="6"/>
      <c r="E119" s="6"/>
      <c r="F119" s="6"/>
      <c r="G119" s="6"/>
      <c r="H119" s="6"/>
      <c r="I119" s="6"/>
      <c r="J119" s="6"/>
      <c r="K119" s="6"/>
    </row>
    <row r="120" spans="2:8" x14ac:dyDescent="0.25">
      <c r="B120" s="7" t="s">
        <v>142</v>
      </c>
      <c r="C120" s="17">
        <v>3.5</v>
      </c>
      <c r="E120" s="7" t="s">
        <v>143</v>
      </c>
      <c r="F120" s="7"/>
      <c r="G120" s="7"/>
      <c r="H120" s="17">
        <v>40</v>
      </c>
    </row>
    <row r="121" spans="2:8" x14ac:dyDescent="0.25">
      <c r="B121" s="7" t="s">
        <v>144</v>
      </c>
      <c r="C121" s="17">
        <v>15</v>
      </c>
      <c r="E121" s="7" t="s">
        <v>145</v>
      </c>
      <c r="F121" s="7"/>
      <c r="G121" s="7"/>
      <c r="H121" s="11">
        <v>3000000</v>
      </c>
    </row>
    <row r="122" spans="2:8" x14ac:dyDescent="0.25">
      <c r="B122" s="7" t="s">
        <v>146</v>
      </c>
      <c r="C122" s="11">
        <v>7000</v>
      </c>
      <c r="E122" s="7" t="s">
        <v>147</v>
      </c>
      <c r="F122" s="7"/>
      <c r="G122" s="7"/>
      <c r="H122" s="17">
        <v>7</v>
      </c>
    </row>
    <row r="123" spans="2:8" x14ac:dyDescent="0.25">
      <c r="B123" s="7" t="s">
        <v>148</v>
      </c>
      <c r="C123" s="11">
        <v>50000</v>
      </c>
      <c r="E123" s="7" t="s">
        <v>149</v>
      </c>
      <c r="F123" s="7"/>
      <c r="G123" s="7"/>
      <c r="H123" s="17">
        <v>2</v>
      </c>
    </row>
    <row r="124" spans="2:8" x14ac:dyDescent="0.25">
      <c r="B124" s="7" t="s">
        <v>150</v>
      </c>
      <c r="C124" s="11">
        <v>8000</v>
      </c>
      <c r="E124" s="7" t="s">
        <v>151</v>
      </c>
      <c r="F124" s="7"/>
      <c r="G124" s="7"/>
      <c r="H124" s="11">
        <v>99000</v>
      </c>
    </row>
    <row r="125" spans="2:8" x14ac:dyDescent="0.25">
      <c r="B125" s="7" t="s">
        <v>152</v>
      </c>
      <c r="C125" s="17">
        <v>1</v>
      </c>
      <c r="E125" s="7" t="s">
        <v>153</v>
      </c>
      <c r="F125" s="7"/>
      <c r="G125" s="7"/>
      <c r="H125" s="17">
        <v>52.5</v>
      </c>
    </row>
    <row r="126" spans="2:8" x14ac:dyDescent="0.25">
      <c r="B126" s="7" t="s">
        <v>154</v>
      </c>
      <c r="C126" s="17">
        <v>7.5</v>
      </c>
      <c r="E126" s="7" t="s">
        <v>155</v>
      </c>
      <c r="F126" s="7"/>
      <c r="G126" s="7"/>
      <c r="H126" s="17">
        <v>11.25</v>
      </c>
    </row>
    <row r="127" spans="2:8" x14ac:dyDescent="0.25">
      <c r="B127" s="7" t="s">
        <v>156</v>
      </c>
      <c r="C127" s="11">
        <v>3500000</v>
      </c>
      <c r="E127" s="7" t="s">
        <v>157</v>
      </c>
      <c r="F127" s="7"/>
      <c r="G127" s="7"/>
      <c r="H127" s="17">
        <v>36.25</v>
      </c>
    </row>
    <row r="128" spans="2:8" x14ac:dyDescent="0.25">
      <c r="B128" s="7" t="s">
        <v>158</v>
      </c>
      <c r="C128" s="17">
        <v>20</v>
      </c>
      <c r="E128" s="7" t="s">
        <v>159</v>
      </c>
      <c r="F128" s="7"/>
      <c r="G128" s="7"/>
      <c r="H128" s="17">
        <v>20</v>
      </c>
    </row>
    <row r="129" spans="2:8" x14ac:dyDescent="0.25">
      <c r="B129" s="7" t="s">
        <v>160</v>
      </c>
      <c r="C129" s="11">
        <v>30000000</v>
      </c>
      <c r="E129" s="7" t="s">
        <v>161</v>
      </c>
      <c r="F129" s="7"/>
      <c r="G129" s="7"/>
      <c r="H129" s="17">
        <v>4</v>
      </c>
    </row>
    <row r="130" spans="2:8" x14ac:dyDescent="0.25">
      <c r="B130" s="7" t="s">
        <v>162</v>
      </c>
      <c r="C130" s="17">
        <v>25</v>
      </c>
      <c r="E130" s="7" t="s">
        <v>163</v>
      </c>
      <c r="F130" s="7"/>
      <c r="G130" s="7"/>
      <c r="H130" s="11">
        <v>153250</v>
      </c>
    </row>
    <row r="131" spans="2:8" x14ac:dyDescent="0.25">
      <c r="B131" s="7" t="s">
        <v>164</v>
      </c>
      <c r="C131" s="11">
        <v>440000</v>
      </c>
      <c r="E131" s="7" t="s">
        <v>165</v>
      </c>
      <c r="F131" s="7"/>
      <c r="G131" s="7"/>
      <c r="H131" s="11">
        <v>171300</v>
      </c>
    </row>
    <row r="133" ht="30" customHeight="1" spans="2:7" x14ac:dyDescent="0.25">
      <c r="B133" s="21" t="s">
        <v>166</v>
      </c>
      <c r="C133" s="13" t="s">
        <v>167</v>
      </c>
      <c r="D133" s="13" t="s">
        <v>168</v>
      </c>
      <c r="E133" s="13" t="s">
        <v>169</v>
      </c>
      <c r="G133" s="21" t="s">
        <v>170</v>
      </c>
    </row>
    <row r="134" spans="3:9" x14ac:dyDescent="0.25">
      <c r="C134" s="11">
        <v>0</v>
      </c>
      <c r="D134" s="11">
        <v>0</v>
      </c>
      <c r="E134" s="17">
        <v>18</v>
      </c>
      <c r="G134" s="11">
        <v>0</v>
      </c>
      <c r="H134" s="11">
        <v>0</v>
      </c>
      <c r="I134" s="17">
        <v>0</v>
      </c>
    </row>
    <row r="135" spans="3:9" x14ac:dyDescent="0.25">
      <c r="C135" s="11">
        <v>245100</v>
      </c>
      <c r="D135" s="11">
        <v>44118</v>
      </c>
      <c r="E135" s="17">
        <v>26</v>
      </c>
      <c r="G135" s="11">
        <v>550000</v>
      </c>
      <c r="H135" s="11">
        <v>0</v>
      </c>
      <c r="I135" s="17">
        <v>18</v>
      </c>
    </row>
    <row r="136" spans="3:9" x14ac:dyDescent="0.25">
      <c r="C136" s="11">
        <v>383100</v>
      </c>
      <c r="D136" s="11">
        <v>79998</v>
      </c>
      <c r="E136" s="17">
        <v>31</v>
      </c>
      <c r="G136" s="11">
        <v>770000</v>
      </c>
      <c r="H136" s="11">
        <v>39600</v>
      </c>
      <c r="I136" s="17">
        <v>27</v>
      </c>
    </row>
    <row r="137" spans="3:9" x14ac:dyDescent="0.25">
      <c r="C137" s="11">
        <v>530200</v>
      </c>
      <c r="D137" s="11">
        <v>125599</v>
      </c>
      <c r="E137" s="17">
        <v>36</v>
      </c>
      <c r="G137" s="11">
        <v>1155000</v>
      </c>
      <c r="H137" s="11">
        <v>143550</v>
      </c>
      <c r="I137" s="17">
        <v>36</v>
      </c>
    </row>
    <row r="138" spans="3:5" x14ac:dyDescent="0.25">
      <c r="C138" s="11">
        <v>695800</v>
      </c>
      <c r="D138" s="11">
        <v>185215</v>
      </c>
      <c r="E138" s="17">
        <v>39</v>
      </c>
    </row>
    <row r="139" spans="3:5" x14ac:dyDescent="0.25">
      <c r="C139" s="11">
        <v>887000</v>
      </c>
      <c r="D139" s="11">
        <v>259783</v>
      </c>
      <c r="E139" s="17">
        <v>41</v>
      </c>
    </row>
    <row r="140" spans="3:5" x14ac:dyDescent="0.25">
      <c r="C140" s="11">
        <v>1878600</v>
      </c>
      <c r="D140" s="11">
        <v>666339</v>
      </c>
      <c r="E140" s="17">
        <v>45</v>
      </c>
    </row>
    <row r="141" ht="15" customHeight="1" spans="2:11" x14ac:dyDescent="0.25">
      <c r="B141" s="16" t="s">
        <v>171</v>
      </c>
      <c r="C141" s="16"/>
      <c r="D141" s="16"/>
      <c r="E141" s="16"/>
      <c r="F141" s="16"/>
      <c r="G141" s="16"/>
      <c r="H141" s="16"/>
      <c r="I141" s="16"/>
      <c r="J141" s="16"/>
      <c r="K141" s="16"/>
    </row>
    <row r="143" ht="18" customHeight="1" spans="2:11" x14ac:dyDescent="0.25">
      <c r="B143" s="5" t="s">
        <v>172</v>
      </c>
      <c r="C143" s="6"/>
      <c r="D143" s="6"/>
      <c r="E143" s="6"/>
      <c r="F143" s="6"/>
      <c r="G143" s="6"/>
      <c r="H143" s="6"/>
      <c r="I143" s="6"/>
      <c r="J143" s="6"/>
      <c r="K143" s="6"/>
    </row>
    <row r="144" ht="15" customHeight="1" spans="2:11" x14ac:dyDescent="0.25">
      <c r="B144" s="22">
        <f>IF(SUM(T22:T39)=0,"✓ Every asset taxed on death has a base cost.","✗ "&amp;SUM(T22:T39)&amp;IF(SUM(T22:T39)=1," asset has"," assets have")&amp;" no base cost. Capital gains tax is worked out on the full value (the worst case) until you add it.")</f>
      </c>
      <c r="C144" s="22"/>
      <c r="D144" s="22"/>
      <c r="E144" s="22"/>
      <c r="F144" s="22"/>
      <c r="G144" s="22"/>
      <c r="H144" s="22"/>
      <c r="I144" s="22"/>
      <c r="J144" s="22"/>
      <c r="K144" s="22"/>
    </row>
    <row r="145" ht="15" customHeight="1" spans="2:11" x14ac:dyDescent="0.25">
      <c r="B145" s="22">
        <f>IF(SUM(W22:W39)=0,"✓ Every asset has a kind and says who it passes to.","✗ "&amp;SUM(W22:W39)&amp;IF(SUM(W22:W39)=1," asset is"," assets are")&amp;" missing its kind or who it passes to.")</f>
      </c>
      <c r="C145" s="22"/>
      <c r="D145" s="22"/>
      <c r="E145" s="22"/>
      <c r="F145" s="22"/>
      <c r="G145" s="22"/>
      <c r="H145" s="22"/>
      <c r="I145" s="22"/>
      <c r="J145" s="22"/>
      <c r="K145" s="22"/>
    </row>
    <row r="146" ht="15" customHeight="1" spans="2:11" x14ac:dyDescent="0.25">
      <c r="B146" s="22">
        <f>IF(AND('Inputs'!$C$14="Spouse",LEFT('Inputs'!$C$13,7)&lt;&gt;"Married",'Inputs'!$C$13&lt;&gt;"Life partner",'Inputs'!$C$13&lt;&gt;"Civil Union"),"✗ The residue goes to a spouse, but the marital status is "&amp;'Inputs'!$C$13&amp;".","✓ Who inherits matches the marital status.")</f>
      </c>
      <c r="C146" s="22"/>
      <c r="D146" s="22"/>
      <c r="E146" s="22"/>
      <c r="F146" s="22"/>
      <c r="G146" s="22"/>
      <c r="H146" s="22"/>
      <c r="I146" s="22"/>
      <c r="J146" s="22"/>
      <c r="K146" s="22"/>
    </row>
    <row r="147" ht="15" customHeight="1" spans="2:11" x14ac:dyDescent="0.25">
      <c r="B147"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47" s="22"/>
      <c r="D147" s="22"/>
      <c r="E147" s="22"/>
      <c r="F147" s="22"/>
      <c r="G147" s="22"/>
      <c r="H147" s="22"/>
      <c r="I147" s="22"/>
      <c r="J147" s="22"/>
      <c r="K147" s="22"/>
    </row>
    <row r="148" ht="15" customHeight="1" spans="2:11" x14ac:dyDescent="0.25">
      <c r="B148" s="22">
        <f>IF((COUNTIF(S22:S39,"&gt;0")+COUNTIF(L59:L70,"&gt;0")+COUNTIF(O76:O81,"&gt;0"))&gt;6,"● "&amp;(COUNTIF(S22:S39,"&gt;0")+COUNTIF(L59:L70,"&gt;0")+COUNTIF(O76:O81,"&gt;0"))&amp;" named people pay estate duty: Workings lists the first 6; the total includes them all.","✓ Every named person who pays estate duty is listed on Workings.")</f>
      </c>
      <c r="C148" s="22"/>
      <c r="D148" s="22"/>
      <c r="E148" s="22"/>
      <c r="F148" s="22"/>
      <c r="G148" s="22"/>
      <c r="H148" s="22"/>
      <c r="I148" s="22"/>
      <c r="J148" s="22"/>
      <c r="K148" s="22"/>
    </row>
    <row r="149" ht="15" customHeight="1" spans="2:11" x14ac:dyDescent="0.25">
      <c r="B149"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49" s="22"/>
      <c r="D149" s="22"/>
      <c r="E149" s="22"/>
      <c r="F149" s="22"/>
      <c r="G149" s="22"/>
      <c r="H149" s="22"/>
      <c r="I149" s="22"/>
      <c r="J149" s="22"/>
      <c r="K149" s="22"/>
    </row>
    <row r="150" ht="15" customHeight="1" spans="2:11" x14ac:dyDescent="0.25">
      <c r="B150" s="22">
        <f>IF(((C8&lt;&gt;AB8)+(C9&lt;&gt;AB9)+(C10&lt;&gt;AB10)+(C11&lt;&gt;AB11)+(C12&lt;&gt;AB12)+(C13&lt;&gt;AB13)+(C14&lt;&gt;AB14)+(C16&lt;&gt;AB16)+(C17&lt;&gt;AB17)+(C106&lt;&gt;AB106)+(C107&lt;&gt;AB107)+SUMPRODUCT(--(B22:I39&lt;&gt;AA22:AH39))+SUMPRODUCT(--(B45:I54&lt;&gt;AA45:AH54))+SUMPRODUCT(--(B59:I70&lt;&gt;AA59:AH70))+SUMPRODUCT(--(B76:I81&lt;&gt;AA76:AH81))+SUMPRODUCT(--(B87:I94&lt;&gt;AA87:AH94))+SUMPRODUCT(--(B100:K105&lt;&gt;AA100:AJ105)))=0,"✓ Everything in sections 1 to 6 matches the CRM.","● "&amp;((C8&lt;&gt;AB8)+(C9&lt;&gt;AB9)+(C10&lt;&gt;AB10)+(C11&lt;&gt;AB11)+(C12&lt;&gt;AB12)+(C13&lt;&gt;AB13)+(C14&lt;&gt;AB14)+(C16&lt;&gt;AB16)+(C17&lt;&gt;AB17)+(C106&lt;&gt;AB106)+(C107&lt;&gt;AB107)+SUMPRODUCT(--(B22:I39&lt;&gt;AA22:AH39))+SUMPRODUCT(--(B45:I54&lt;&gt;AA45:AH54))+SUMPRODUCT(--(B59:I70&lt;&gt;AA59:AH70))+SUMPRODUCT(--(B76:I81&lt;&gt;AA76:AH81))+SUMPRODUCT(--(B87:I94&lt;&gt;AA87:AH94))+SUMPRODUCT(--(B100:K105&lt;&gt;AA100:AJ105)))&amp;IF(((C8&lt;&gt;AB8)+(C9&lt;&gt;AB9)+(C10&lt;&gt;AB10)+(C11&lt;&gt;AB11)+(C12&lt;&gt;AB12)+(C13&lt;&gt;AB13)+(C14&lt;&gt;AB14)+(C16&lt;&gt;AB16)+(C17&lt;&gt;AB17)+(C106&lt;&gt;AB106)+(C107&lt;&gt;AB107)+SUMPRODUCT(--(B22:I39&lt;&gt;AA22:AH39))+SUMPRODUCT(--(B45:I54&lt;&gt;AA45:AH54))+SUMPRODUCT(--(B59:I70&lt;&gt;AA59:AH70))+SUMPRODUCT(--(B76:I81&lt;&gt;AA76:AH81))+SUMPRODUCT(--(B87:I94&lt;&gt;AA87:AH94))+SUMPRODUCT(--(B100:K105&lt;&gt;AA100:AJ105)))=1," cell differs"," cells differ")&amp;" from the CRM (orange): update the CRM if they are facts, not a what-if.")</f>
      </c>
      <c r="C150" s="22"/>
      <c r="D150" s="22"/>
      <c r="E150" s="22"/>
      <c r="F150" s="22"/>
      <c r="G150" s="22"/>
      <c r="H150" s="22"/>
      <c r="I150" s="22"/>
      <c r="J150" s="22"/>
      <c r="K150" s="22"/>
    </row>
    <row r="151" ht="15" customHeight="1" spans="2:11" x14ac:dyDescent="0.25">
      <c r="B151"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51" s="22"/>
      <c r="D151" s="22"/>
      <c r="E151" s="22"/>
      <c r="F151" s="22"/>
      <c r="G151" s="22"/>
      <c r="H151" s="22"/>
      <c r="I151" s="22"/>
      <c r="J151" s="22"/>
      <c r="K151" s="22"/>
    </row>
    <row r="152" ht="15" customHeight="1" spans="2:11" x14ac:dyDescent="0.25">
      <c r="B152"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52" s="22"/>
      <c r="D152" s="22"/>
      <c r="E152" s="22"/>
      <c r="F152" s="22"/>
      <c r="G152" s="22"/>
      <c r="H152" s="22"/>
      <c r="I152" s="22"/>
      <c r="J152" s="22"/>
      <c r="K152" s="22"/>
    </row>
    <row r="153" ht="15" customHeight="1" spans="2:11" x14ac:dyDescent="0.25">
      <c r="B153" s="22">
        <f>IF(SUM(V100:V105)&gt;0,"✗ "&amp;SUM(V100:V105)&amp;" person(s) in section 6 marked as provided for by the spouse cannot be: only a child who is not in a trust, with the spouse in section 6, is added to the spouse's need. Their need is costed on its own.",IF(SUM(U100:U105)&gt;0,"● "&amp;SUM(U100:U105)&amp;IF(SUM(U100:U105)=1," child is"," children are")&amp;" provided for by the spouse: their needs are added to the spouse's (each for its own years), paid from what reaches the spouse, and the spouse's new cover closes the gap.",""))</f>
      </c>
      <c r="C153" s="22"/>
      <c r="D153" s="22"/>
      <c r="E153" s="22"/>
      <c r="F153" s="22"/>
      <c r="G153" s="22"/>
      <c r="H153" s="22"/>
      <c r="I153" s="22"/>
      <c r="J153" s="22"/>
      <c r="K153" s="22"/>
    </row>
    <row r="154" hidden="1" spans="2:2" x14ac:dyDescent="0.25">
      <c r="B154" t="s">
        <v>173</v>
      </c>
    </row>
    <row r="155" ht="15" customHeight="1" spans="2:11" x14ac:dyDescent="0.25">
      <c r="B155" s="23"/>
      <c r="C155" s="23"/>
      <c r="D155" s="23"/>
      <c r="E155" s="23"/>
      <c r="F155" s="23"/>
      <c r="G155" s="23"/>
      <c r="H155" s="23"/>
      <c r="I155" s="23"/>
      <c r="J155" s="23"/>
      <c r="K155" s="23"/>
    </row>
    <row r="156" ht="15" customHeight="1" spans="2:11" x14ac:dyDescent="0.25">
      <c r="B156" s="23"/>
      <c r="C156" s="23"/>
      <c r="D156" s="23"/>
      <c r="E156" s="23"/>
      <c r="F156" s="23"/>
      <c r="G156" s="23"/>
      <c r="H156" s="23"/>
      <c r="I156" s="23"/>
      <c r="J156" s="23"/>
      <c r="K156" s="23"/>
    </row>
    <row r="157" ht="15" customHeight="1" spans="2:11" x14ac:dyDescent="0.25">
      <c r="B157" s="23"/>
      <c r="C157" s="23"/>
      <c r="D157" s="23"/>
      <c r="E157" s="23"/>
      <c r="F157" s="23"/>
      <c r="G157" s="23"/>
      <c r="H157" s="23"/>
      <c r="I157" s="23"/>
      <c r="J157" s="23"/>
      <c r="K157" s="23"/>
    </row>
    <row r="158" ht="15" customHeight="1" spans="2:11" x14ac:dyDescent="0.25">
      <c r="B158" s="23"/>
      <c r="C158" s="23"/>
      <c r="D158" s="23"/>
      <c r="E158" s="23"/>
      <c r="F158" s="23"/>
      <c r="G158" s="23"/>
      <c r="H158" s="23"/>
      <c r="I158" s="23"/>
      <c r="J158" s="23"/>
      <c r="K158" s="23"/>
    </row>
    <row r="159" ht="15" customHeight="1" spans="2:11" x14ac:dyDescent="0.25">
      <c r="B159" s="23"/>
      <c r="C159" s="23"/>
      <c r="D159" s="23"/>
      <c r="E159" s="23"/>
      <c r="F159" s="23"/>
      <c r="G159" s="23"/>
      <c r="H159" s="23"/>
      <c r="I159" s="23"/>
      <c r="J159" s="23"/>
      <c r="K159" s="23"/>
    </row>
    <row r="160" ht="15" customHeight="1" spans="2:11" x14ac:dyDescent="0.25">
      <c r="B160" s="23"/>
      <c r="C160" s="23"/>
      <c r="D160" s="23"/>
      <c r="E160" s="23"/>
      <c r="F160" s="23"/>
      <c r="G160" s="23"/>
      <c r="H160" s="23"/>
      <c r="I160" s="23"/>
      <c r="J160" s="23"/>
      <c r="K160" s="23"/>
    </row>
    <row r="161" ht="15" customHeight="1" spans="2:11" x14ac:dyDescent="0.25">
      <c r="B161" s="23"/>
      <c r="C161" s="23"/>
      <c r="D161" s="23"/>
      <c r="E161" s="23"/>
      <c r="F161" s="23"/>
      <c r="G161" s="23"/>
      <c r="H161" s="23"/>
      <c r="I161" s="23"/>
      <c r="J161" s="23"/>
      <c r="K161" s="23"/>
    </row>
    <row r="162" ht="15" customHeight="1" spans="2:11" x14ac:dyDescent="0.25">
      <c r="B162" s="23"/>
      <c r="C162" s="23"/>
      <c r="D162" s="23"/>
      <c r="E162" s="23"/>
      <c r="F162" s="23"/>
      <c r="G162" s="23"/>
      <c r="H162" s="23"/>
      <c r="I162" s="23"/>
      <c r="J162" s="23"/>
      <c r="K162" s="23"/>
    </row>
    <row r="163" ht="15" customHeight="1" spans="2:11" x14ac:dyDescent="0.25">
      <c r="B163" s="23"/>
      <c r="C163" s="23"/>
      <c r="D163" s="23"/>
      <c r="E163" s="23"/>
      <c r="F163" s="23"/>
      <c r="G163" s="23"/>
      <c r="H163" s="23"/>
      <c r="I163" s="23"/>
      <c r="J163" s="23"/>
      <c r="K163" s="23"/>
    </row>
    <row r="164" ht="15" customHeight="1" spans="2:11" x14ac:dyDescent="0.25">
      <c r="B164" s="23"/>
      <c r="C164" s="23"/>
      <c r="D164" s="23"/>
      <c r="E164" s="23"/>
      <c r="F164" s="23"/>
      <c r="G164" s="23"/>
      <c r="H164" s="23"/>
      <c r="I164" s="23"/>
      <c r="J164" s="23"/>
      <c r="K164" s="23"/>
    </row>
    <row r="165" ht="15" customHeight="1" spans="2:11" x14ac:dyDescent="0.25">
      <c r="B165" s="23"/>
      <c r="C165" s="23"/>
      <c r="D165" s="23"/>
      <c r="E165" s="23"/>
      <c r="F165" s="23"/>
      <c r="G165" s="23"/>
      <c r="H165" s="23"/>
      <c r="I165" s="23"/>
      <c r="J165" s="23"/>
      <c r="K165" s="23"/>
    </row>
    <row r="166" ht="15" customHeight="1" spans="2:11" x14ac:dyDescent="0.25">
      <c r="B166" s="23"/>
      <c r="C166" s="23"/>
      <c r="D166" s="23"/>
      <c r="E166" s="23"/>
      <c r="F166" s="23"/>
      <c r="G166" s="23"/>
      <c r="H166" s="23"/>
      <c r="I166" s="23"/>
      <c r="J166" s="23"/>
      <c r="K166" s="23"/>
    </row>
    <row r="167" ht="15" customHeight="1" spans="2:11" x14ac:dyDescent="0.25">
      <c r="B167" s="23"/>
      <c r="C167" s="23"/>
      <c r="D167" s="23"/>
      <c r="E167" s="23"/>
      <c r="F167" s="23"/>
      <c r="G167" s="23"/>
      <c r="H167" s="23"/>
      <c r="I167" s="23"/>
      <c r="J167" s="23"/>
      <c r="K167" s="23"/>
    </row>
    <row r="168" ht="15" customHeight="1" spans="2:11" x14ac:dyDescent="0.25">
      <c r="B168" s="23"/>
      <c r="C168" s="23"/>
      <c r="D168" s="23"/>
      <c r="E168" s="23"/>
      <c r="F168" s="23"/>
      <c r="G168" s="23"/>
      <c r="H168" s="23"/>
      <c r="I168" s="23"/>
      <c r="J168" s="23"/>
      <c r="K168" s="23"/>
    </row>
  </sheetData>
  <sheetProtection sheet="1" formatRows="0"/>
  <mergeCells count="79">
    <mergeCell ref="B1:K1"/>
    <mergeCell ref="B2:K2"/>
    <mergeCell ref="C8:E8"/>
    <mergeCell ref="C9:E9"/>
    <mergeCell ref="C10:E10"/>
    <mergeCell ref="C11:E11"/>
    <mergeCell ref="C12:E12"/>
    <mergeCell ref="C13:E13"/>
    <mergeCell ref="C14:E14"/>
    <mergeCell ref="C15:I15"/>
    <mergeCell ref="C16:E16"/>
    <mergeCell ref="C17:I17"/>
    <mergeCell ref="B40:K40"/>
    <mergeCell ref="F58:H58"/>
    <mergeCell ref="F59:H59"/>
    <mergeCell ref="F60:H60"/>
    <mergeCell ref="F61:H61"/>
    <mergeCell ref="F62:H62"/>
    <mergeCell ref="F63:H63"/>
    <mergeCell ref="F64:H64"/>
    <mergeCell ref="F65:H65"/>
    <mergeCell ref="F66:H66"/>
    <mergeCell ref="F67:H67"/>
    <mergeCell ref="F68:H68"/>
    <mergeCell ref="F69:H69"/>
    <mergeCell ref="F70:H70"/>
    <mergeCell ref="B71:K71"/>
    <mergeCell ref="B82:K82"/>
    <mergeCell ref="F86:H86"/>
    <mergeCell ref="F87:H87"/>
    <mergeCell ref="F88:H88"/>
    <mergeCell ref="F89:H89"/>
    <mergeCell ref="F90:H90"/>
    <mergeCell ref="F91:H91"/>
    <mergeCell ref="F92:H92"/>
    <mergeCell ref="F93:H93"/>
    <mergeCell ref="F94:H94"/>
    <mergeCell ref="B95:K95"/>
    <mergeCell ref="C106:E106"/>
    <mergeCell ref="C107:E107"/>
    <mergeCell ref="B108:K108"/>
    <mergeCell ref="B117:K117"/>
    <mergeCell ref="E120:G120"/>
    <mergeCell ref="E121:G121"/>
    <mergeCell ref="E122:G122"/>
    <mergeCell ref="E123:G123"/>
    <mergeCell ref="E124:G124"/>
    <mergeCell ref="E125:G125"/>
    <mergeCell ref="E126:G126"/>
    <mergeCell ref="E127:G127"/>
    <mergeCell ref="E128:G128"/>
    <mergeCell ref="E129:G129"/>
    <mergeCell ref="E130:G130"/>
    <mergeCell ref="E131:G131"/>
    <mergeCell ref="B141:K141"/>
    <mergeCell ref="B144:K144"/>
    <mergeCell ref="B145:K145"/>
    <mergeCell ref="B146:K146"/>
    <mergeCell ref="B147:K147"/>
    <mergeCell ref="B148:K148"/>
    <mergeCell ref="B149:K149"/>
    <mergeCell ref="B150:K150"/>
    <mergeCell ref="B151:K151"/>
    <mergeCell ref="B152:K152"/>
    <mergeCell ref="B153:K153"/>
    <mergeCell ref="B155:K155"/>
    <mergeCell ref="B156:K156"/>
    <mergeCell ref="B157:K157"/>
    <mergeCell ref="B158:K158"/>
    <mergeCell ref="B159:K159"/>
    <mergeCell ref="B160:K160"/>
    <mergeCell ref="B161:K161"/>
    <mergeCell ref="B162:K162"/>
    <mergeCell ref="B163:K163"/>
    <mergeCell ref="B164:K164"/>
    <mergeCell ref="B165:K165"/>
    <mergeCell ref="B166:K166"/>
    <mergeCell ref="B167:K167"/>
    <mergeCell ref="B168:K168"/>
  </mergeCells>
  <conditionalFormatting sqref="B144:K168">
    <cfRule type="expression" dxfId="0" priority="1">
      <formula>LEFT($B144,1)="✗"</formula>
    </cfRule>
    <cfRule type="expression" dxfId="1" priority="2">
      <formula>LEFT($B144,1)="✓"</formula>
    </cfRule>
    <cfRule type="expression" dxfId="2" priority="3">
      <formula>LEFT($B144,1)="●"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B22:I39">
    <cfRule type="expression" dxfId="14" priority="15">
      <formula>B22&lt;&gt;AA22</formula>
    </cfRule>
  </conditionalFormatting>
  <conditionalFormatting sqref="B45:I54">
    <cfRule type="expression" dxfId="15" priority="16">
      <formula>B45&lt;&gt;AA45</formula>
    </cfRule>
  </conditionalFormatting>
  <conditionalFormatting sqref="B59:I70">
    <cfRule type="expression" dxfId="16" priority="17">
      <formula>B59&lt;&gt;AA59</formula>
    </cfRule>
  </conditionalFormatting>
  <conditionalFormatting sqref="B76:I81">
    <cfRule type="expression" dxfId="17" priority="18">
      <formula>B76&lt;&gt;AA76</formula>
    </cfRule>
  </conditionalFormatting>
  <conditionalFormatting sqref="B87:I94">
    <cfRule type="expression" dxfId="18" priority="19">
      <formula>B87&lt;&gt;AA87</formula>
    </cfRule>
  </conditionalFormatting>
  <conditionalFormatting sqref="B100:K105">
    <cfRule type="expression" dxfId="19" priority="20">
      <formula>B100&lt;&gt;AA100</formula>
    </cfRule>
  </conditionalFormatting>
  <conditionalFormatting sqref="C11:C12">
    <cfRule type="expression" dxfId="20" priority="21">
      <formula>AND(C11&lt;&gt;"",NOT(ISNUMBER(C11)))</formula>
    </cfRule>
  </conditionalFormatting>
  <dataValidations count="54">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showInputMessage="1" promptTitle="Date" prompt="Type a date like 2026-10-17 or 17 Oct 2026. If the cell turns red, Excel did not read it as a date: retype it." sqref="C11:C12"/>
    <dataValidation type="decimal" allowBlank="1" showErrorMessage="1" errorStyle="stop" errorTitle="Percentage" error="Please type the percentage as a plain number, e.g. 2.92 for 2.92%. Do not add the % sign." sqref="C112">
      <formula1>0</formula1>
      <formula2>100</formula2>
    </dataValidation>
    <dataValidation type="decimal" operator="greaterThanOrEqual" allowBlank="1" showErrorMessage="1" errorStyle="stop" errorTitle="Amount" error="Please type the amount in rand as a number, without R or spaces, e.g. 1250000." sqref="C113">
      <formula1>0</formula1>
    </dataValidation>
    <dataValidation type="decimal" allowBlank="1" showErrorMessage="1" errorStyle="stop" errorTitle="Percentage" error="Please type the percentage as a plain number, e.g. 2.92 for 2.92%. Do not add the % sign." sqref="C114">
      <formula1>0</formula1>
      <formula2>100</formula2>
    </dataValidation>
    <dataValidation type="decimal" operator="greaterThanOrEqual" allowBlank="1" showErrorMessage="1" errorStyle="stop" errorTitle="Amount" error="Please type the amount in rand as a number, without R or spaces, e.g. 1250000." sqref="C115:C116">
      <formula1>0</formula1>
    </dataValidation>
    <dataValidation type="decimal" allowBlank="1" showErrorMessage="1" errorStyle="stop" errorTitle="Percentage" error="Please type the percentage as a plain number, e.g. 2.92 for 2.92%. Do not add the % sign." sqref="C120:C121">
      <formula1>0</formula1>
      <formula2>100</formula2>
    </dataValidation>
    <dataValidation type="decimal" operator="greaterThanOrEqual" allowBlank="1" showErrorMessage="1" errorStyle="stop" errorTitle="Amount" error="Please type the amount in rand as a number, without R or spaces, e.g. 1250000." sqref="C122:C124">
      <formula1>0</formula1>
    </dataValidation>
    <dataValidation type="decimal" allowBlank="1" showErrorMessage="1" errorStyle="stop" errorTitle="Percentage" error="Please type the percentage as a plain number, e.g. 2.92 for 2.92%. Do not add the % sign." sqref="C125:C126">
      <formula1>0</formula1>
      <formula2>100</formula2>
    </dataValidation>
    <dataValidation type="decimal" operator="greaterThanOrEqual" allowBlank="1" showErrorMessage="1" errorStyle="stop" errorTitle="Amount" error="Please type the amount in rand as a number, without R or spaces, e.g. 1250000." sqref="C127">
      <formula1>0</formula1>
    </dataValidation>
    <dataValidation type="decimal" allowBlank="1" showErrorMessage="1" errorStyle="stop" errorTitle="Percentage" error="Please type the percentage as a plain number, e.g. 2.92 for 2.92%. Do not add the % sign." sqref="C128">
      <formula1>0</formula1>
      <formula2>100</formula2>
    </dataValidation>
    <dataValidation type="decimal" operator="greaterThanOrEqual" allowBlank="1" showErrorMessage="1" errorStyle="stop" errorTitle="Amount" error="Please type the amount in rand as a number, without R or spaces, e.g. 1250000." sqref="C129">
      <formula1>0</formula1>
    </dataValidation>
    <dataValidation type="list" allowBlank="1" showErrorMessage="1" errorStyle="stop" errorTitle="Please choose from the list" error="Please choose one of the options in the list." sqref="C13">
      <formula1>'Lists'!$I$2:$I$12</formula1>
    </dataValidation>
    <dataValidation type="decimal" allowBlank="1" showErrorMessage="1" errorStyle="stop" errorTitle="Percentage" error="Please type the percentage as a plain number, e.g. 2.92 for 2.92%. Do not add the % sign." sqref="C130">
      <formula1>0</formula1>
      <formula2>100</formula2>
    </dataValidation>
    <dataValidation type="decimal" operator="greaterThanOrEqual" allowBlank="1" showErrorMessage="1" errorStyle="stop" errorTitle="Amount" error="Please type the amount in rand as a number, without R or spaces, e.g. 1250000." sqref="C131">
      <formula1>0</formula1>
    </dataValidation>
    <dataValidation type="decimal" operator="greaterThanOrEqual" allowBlank="1" showErrorMessage="1" errorStyle="stop" errorTitle="Amount" error="Please type the amount in rand as a number, without R or spaces, e.g. 1250000." sqref="C134:D140">
      <formula1>0</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34:E140">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34:H137">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allowBlank="1" showErrorMessage="1" errorStyle="stop" errorTitle="Percentage" error="Please type the percentage as a plain number, e.g. 2.92 for 2.92%. Do not add the % sign." sqref="H120">
      <formula1>0</formula1>
      <formula2>100</formula2>
    </dataValidation>
    <dataValidation type="decimal" operator="greaterThanOrEqual" allowBlank="1" showErrorMessage="1" errorStyle="stop" errorTitle="Amount" error="Please type the amount in rand as a number, without R or spaces, e.g. 1250000." sqref="H121">
      <formula1>0</formula1>
    </dataValidation>
    <dataValidation type="decimal" allowBlank="1" showErrorMessage="1" errorStyle="stop" errorTitle="Percentage" error="Please type the percentage as a plain number, e.g. 2.92 for 2.92%. Do not add the % sign." sqref="H122:H123">
      <formula1>0</formula1>
      <formula2>100</formula2>
    </dataValidation>
    <dataValidation type="decimal" operator="greaterThanOrEqual" allowBlank="1" showErrorMessage="1" errorStyle="stop" errorTitle="Amount" error="Please type the amount in rand as a number, without R or spaces, e.g. 1250000." sqref="H124">
      <formula1>0</formula1>
    </dataValidation>
    <dataValidation type="decimal" allowBlank="1" showErrorMessage="1" errorStyle="stop" errorTitle="Percentage" error="Please type the percentage as a plain number, e.g. 2.92 for 2.92%. Do not add the % sign." sqref="H125:H129">
      <formula1>0</formula1>
      <formula2>100</formula2>
    </dataValidation>
    <dataValidation type="decimal" operator="greaterThanOrEqual" allowBlank="1" showErrorMessage="1" errorStyle="stop" errorTitle="Amount" error="Please type the amount in rand as a number, without R or spaces, e.g. 1250000." sqref="H130:H131">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34:I137">
      <formula1>0</formula1>
      <formula2>100</formula2>
    </dataValidation>
    <dataValidation type="list" allowBlank="1" showErrorMessage="1" errorStyle="stop" errorTitle="Please choose from the list" error="Please choose one of the options in the list." sqref="K100:K105">
      <formula1>'Lists'!$D$2:$D$3</formula1>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49</v>
      </c>
      <c r="C1" s="1"/>
      <c r="D1" s="1"/>
    </row>
    <row r="2" ht="15" customHeight="1" spans="2:4" x14ac:dyDescent="0.25">
      <c r="B2" s="2" t="s">
        <v>50</v>
      </c>
      <c r="C2" s="2"/>
      <c r="D2" s="2"/>
    </row>
    <row r="3" spans="2:4" x14ac:dyDescent="0.25">
      <c r="B3" s="24">
        <f>IF(OR(COUNTIF('Inputs'!$B$155:$B$168,"✗ Full FNA*")&gt;0,LEFT('Inputs'!$B$147,1)="✗"),"NOT FOR THE CLIENT: this case needs the full FNA (see Checks on Inputs)","")</f>
      </c>
      <c r="C3" s="24"/>
      <c r="D3" s="24"/>
    </row>
    <row r="4" ht="20" customHeight="1" spans="2:2" x14ac:dyDescent="0.25">
      <c r="B4" s="3" t="s">
        <v>174</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"&amp;FIXED(('Workings'!$C$61)/1000000,2)&amp;" million"&amp;IF('Workings'!$C$64&gt;0,", and your debts of R "&amp;FIXED(('Workings'!$C$64)/1000000,2)&amp;" million have to be paid too","")&amp;". Your executor would have R "&amp;FIXED(('Workings'!$C$68)/1000000,2)&amp;" million in cash, so "&amp;IF('Workings'!$C$69&gt;0,"would be short by about R "&amp;FIXED(('Workings'!$C$69)/1000000,2)&amp;" million.","would have enough, with about R "&amp;FIXED(ROUND('Workings'!$C$70,-3),0)&amp;" left over.")</f>
      </c>
      <c r="C7" s="25"/>
      <c r="D7" s="25"/>
    </row>
    <row r="8" ht="44" customHeight="1" spans="2:4" x14ac:dyDescent="0.25">
      <c r="B8" s="25">
        <f>IF(AND(ISNUMBER('Inputs'!$C$112),'Inputs'!$C$112&gt;0),"With a Capital Legacy will and the Legacy Protection Plan, the plan pays about R "&amp;FIXED(ROUND(-'Workings'!$D$62,-3),0)&amp;" of the executor's and conveyancing fees, "&amp;IF('Workings'!$D$69=0,IF('Workings'!$C$69&gt;0,"the shortfall disappears","your executor still has enough"),"the shortfall falls to about R "&amp;FIXED(ROUND('Workings'!$D$69,-3),0))&amp;", and your heirs receive about R "&amp;FIXED(('Workings'!$D$71-'Workings'!$C$71)/1000000,2)&amp;" million more.","")</f>
      </c>
      <c r="C8" s="25"/>
      <c r="D8" s="25"/>
    </row>
    <row r="10" spans="2:4" x14ac:dyDescent="0.25">
      <c r="B10" s="26">
        <f>IF('Workings'!$C$69&gt;0,"YOUR EXECUTOR'S CASH SHORTFALL TODAY","CASH LEFT OVER FOR YOUR EXECUTOR TODAY")</f>
      </c>
      <c r="C10" s="26"/>
      <c r="D10" s="26"/>
    </row>
    <row r="11" ht="28" customHeight="1" spans="2:4" x14ac:dyDescent="0.25">
      <c r="B11" s="27">
        <f>"R "&amp;FIXED(ROUND(IF('Workings'!$C$69&gt;0,'Workings'!$C$69,'Workings'!$C$70),-3),0)</f>
      </c>
      <c r="C11" s="27"/>
      <c r="D11" s="27"/>
    </row>
    <row r="12" spans="2:4" x14ac:dyDescent="0.25">
      <c r="B12" s="28">
        <f>IF('Workings'!$C$69&gt;0,"the cash that has to be found before your estate can be wound up","what is left once the costs are paid")</f>
      </c>
      <c r="C12" s="28"/>
      <c r="D12" s="28"/>
    </row>
    <row r="14" ht="42" customHeight="1" spans="2:4" x14ac:dyDescent="0.25">
      <c r="B14" s="12" t="s">
        <v>175</v>
      </c>
      <c r="C14" s="13" t="s">
        <v>176</v>
      </c>
      <c r="D14" s="13">
        <f>IF(AND(ISNUMBER('Inputs'!$C$112),'Inputs'!$C$112&gt;0),"With a Capital Legacy will and the Legacy Protection Plan","Capital Legacy column: enter the quote on Inputs")</f>
      </c>
    </row>
    <row r="15" spans="2:4" x14ac:dyDescent="0.25">
      <c r="B15" s="7" t="s">
        <v>177</v>
      </c>
      <c r="C15" s="15">
        <f>'Workings'!$C$60</f>
      </c>
      <c r="D15" s="15">
        <f>IF(AND(ISNUMBER('Inputs'!$C$112),'Inputs'!$C$112&gt;0),'Workings'!$D$60,"")</f>
      </c>
    </row>
    <row r="16" spans="2:4" x14ac:dyDescent="0.25">
      <c r="B16" s="7" t="s">
        <v>178</v>
      </c>
      <c r="C16" s="15">
        <f>'Workings'!$C$59</f>
      </c>
      <c r="D16" s="15">
        <f>IF(AND(ISNUMBER('Inputs'!$C$112),'Inputs'!$C$112&gt;0),'Workings'!$D$59,"")</f>
      </c>
    </row>
    <row r="17" ht="27" customHeight="1" spans="2:4" x14ac:dyDescent="0.25">
      <c r="B17" s="29">
        <f>"Executor's fees"&amp;CHAR(10)&amp;IF(ROUND('Inputs'!$C$120,0)='Inputs'!$C$120,FIXED('Inputs'!$C$120,0),IF(ROUND('Inputs'!$C$120,1)='Inputs'!$C$120,FIXED('Inputs'!$C$120,1),FIXED('Inputs'!$C$120,2)))&amp;"%"&amp;"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17" s="15">
        <f>'Workings'!$C$56</f>
      </c>
      <c r="D17" s="15">
        <f>IF(AND(ISNUMBER('Inputs'!$C$112),'Inputs'!$C$112&gt;0),'Workings'!$D$56,"")</f>
      </c>
    </row>
    <row r="18" ht="27" customHeight="1" spans="2:4" x14ac:dyDescent="0.25">
      <c r="B18" s="29">
        <f>"Property transfer and conveyancing"&amp;CHAR(10)&amp;IF(ROUND('Inputs'!$C$125,0)='Inputs'!$C$125,FIXED('Inputs'!$C$125,0),IF(ROUND('Inputs'!$C$125,1)='Inputs'!$C$125,FIXED('Inputs'!$C$125,1),FIXED('Inputs'!$C$125,2)))&amp;"%"&amp;" of value"&amp;IF(AND(ISNUMBER('Inputs'!$C$112),'Inputs'!$C$112&gt;0)," / Capital Legacy's estimate","")</f>
      </c>
      <c r="C18" s="15">
        <f>'Workings'!$C$57</f>
      </c>
      <c r="D18" s="15">
        <f>IF(AND(ISNUMBER('Inputs'!$C$112),'Inputs'!$C$112&gt;0),'Workings'!$D$57,"")</f>
      </c>
    </row>
    <row r="19" spans="2:4" x14ac:dyDescent="0.25">
      <c r="B19" s="7" t="s">
        <v>179</v>
      </c>
      <c r="C19" s="15">
        <f>'Workings'!$C$58</f>
      </c>
      <c r="D19" s="15">
        <f>IF(AND(ISNUMBER('Inputs'!$C$112),'Inputs'!$C$112&gt;0),'Workings'!$D$58,"")</f>
      </c>
    </row>
    <row r="20" spans="2:4" x14ac:dyDescent="0.25">
      <c r="B20" s="7" t="s">
        <v>180</v>
      </c>
      <c r="C20" s="15">
        <f>'Workings'!$C$55</f>
      </c>
      <c r="D20" s="15">
        <f>IF(AND(ISNUMBER('Inputs'!$C$112),'Inputs'!$C$112&gt;0),'Workings'!$D$55,"")</f>
      </c>
    </row>
    <row r="21" spans="2:4" x14ac:dyDescent="0.25">
      <c r="B21" s="30" t="s">
        <v>181</v>
      </c>
      <c r="C21" s="31">
        <f>'Workings'!$C$61</f>
      </c>
      <c r="D21" s="31">
        <f>IF(AND(ISNUMBER('Inputs'!$C$112),'Inputs'!$C$112&gt;0),'Workings'!$D$61,"")</f>
      </c>
    </row>
    <row r="22" spans="2:4" x14ac:dyDescent="0.25">
      <c r="B22" s="7" t="s">
        <v>182</v>
      </c>
      <c r="C22" s="15">
        <f>-'Workings'!$C$62</f>
      </c>
      <c r="D22" s="15">
        <f>IF(AND(ISNUMBER('Inputs'!$C$112),'Inputs'!$C$112&gt;0),-'Workings'!$D$62,"")</f>
      </c>
    </row>
    <row r="23" spans="2:4" x14ac:dyDescent="0.25">
      <c r="B23" s="30" t="s">
        <v>183</v>
      </c>
      <c r="C23" s="31">
        <f>'Workings'!$C$63</f>
      </c>
      <c r="D23" s="31">
        <f>IF(AND(ISNUMBER('Inputs'!$C$112),'Inputs'!$C$112&gt;0),'Workings'!$D$63,"")</f>
      </c>
    </row>
    <row r="24" spans="2:4" x14ac:dyDescent="0.25">
      <c r="B24" s="7" t="s">
        <v>184</v>
      </c>
      <c r="C24" s="15">
        <f>'Workings'!$C$64</f>
      </c>
      <c r="D24" s="15">
        <f>IF(AND(ISNUMBER('Inputs'!$C$112),'Inputs'!$C$112&gt;0),'Workings'!$D$64,"")</f>
      </c>
    </row>
    <row r="25" ht="27" customHeight="1" spans="2:4" x14ac:dyDescent="0.25">
      <c r="B25" s="29">
        <f>"Cash your executor has"&amp;CHAR(10)&amp;"bank accounts, deposits and investments cashed in"</f>
      </c>
      <c r="C25" s="15">
        <f>'Workings'!$C$68</f>
      </c>
      <c r="D25" s="15">
        <f>IF(AND(ISNUMBER('Inputs'!$C$112),'Inputs'!$C$112&gt;0),'Workings'!$D$68,"")</f>
      </c>
    </row>
    <row r="26" ht="27" customHeight="1" spans="2:4" x14ac:dyDescent="0.25">
      <c r="B26" s="21" t="s">
        <v>185</v>
      </c>
      <c r="C26" s="32">
        <f>IF('Workings'!$C$69&gt;0,"Short R "&amp;FIXED(ROUND('Workings'!$C$69,-3),0),"Covered: R "&amp;FIXED(ROUND('Workings'!$C$70,-3),0)&amp;" left over")</f>
      </c>
      <c r="D26" s="32">
        <f>IF(AND(ISNUMBER('Inputs'!$C$112),'Inputs'!$C$112&gt;0),IF('Workings'!$D$69&gt;0,"Short R "&amp;FIXED(ROUND('Workings'!$D$69,-3),0),"Covered: R "&amp;FIXED(ROUND('Workings'!$D$70,-3),0)&amp;" left over"),"")</f>
      </c>
    </row>
    <row r="27" ht="27" customHeight="1" spans="2:4" x14ac:dyDescent="0.25">
      <c r="B27" s="29">
        <f>IF(OR(SUM('Inputs'!$R$22:$R$39)&gt;0,'Inputs'!$C$14="Spouse"),"Left for your spouse and heirs","Left for your heirs")&amp;IF('Workings'!$C$69&gt;0,CHAR(10)&amp;"if they pay any shortfall in","")</f>
      </c>
      <c r="C27" s="15">
        <f>'Workings'!$C$71</f>
      </c>
      <c r="D27" s="33">
        <f>IF(AND(ISNUMBER('Inputs'!$C$112),'Inputs'!$C$112&gt;0),'Workings'!$D$71,"")</f>
      </c>
    </row>
    <row r="28" spans="2:4" x14ac:dyDescent="0.25">
      <c r="B28" s="7" t="s">
        <v>186</v>
      </c>
      <c r="C28" s="34" t="s">
        <v>187</v>
      </c>
      <c r="D28" s="34">
        <f>IF(AND(ISNUMBER('Inputs'!$C$112),'Inputs'!$C$112&gt;0),IF(ISNUMBER('Inputs'!$C$116),"From R "&amp;FIXED('Inputs'!$C$116,2)&amp;" a month","Premium: enter it on Inputs"),"")</f>
      </c>
    </row>
    <row r="29" ht="27" customHeight="1" spans="2:4" x14ac:dyDescent="0.25">
      <c r="B29" s="16">
        <f>IF('Workings'!$C$50&lt;0,"The people you leave policies or bequests to directly pay R "&amp;FIXED(-'Workings'!$C$50,0)&amp;" of the estate duty themselves; your executor recovers it from them and it is not in the cost above. If it cannot be recovered, your estate pays it.","")</f>
      </c>
      <c r="C29" s="16"/>
      <c r="D29" s="16"/>
    </row>
    <row r="31" ht="18" customHeight="1" spans="2:4" x14ac:dyDescent="0.25">
      <c r="B31" s="5" t="s">
        <v>188</v>
      </c>
      <c r="C31" s="6"/>
      <c r="D31" s="6"/>
    </row>
    <row r="32" ht="27" customHeight="1" spans="2:4" x14ac:dyDescent="0.25">
      <c r="B32" s="35">
        <f>"1.  Sign a new will that says what you want"&amp;IF(AND(ISNUMBER('Inputs'!$C$112),'Inputs'!$C$112&gt;0),", with Capital Legacy as your executor","")&amp;". Until you do, your current will, or the law if you have none, decides who inherits."</f>
      </c>
      <c r="C32" s="35"/>
      <c r="D32" s="35"/>
    </row>
    <row r="33" ht="27" customHeight="1" spans="2:4" x14ac:dyDescent="0.25">
      <c r="B33" s="35">
        <f>"2.  "&amp;IF('Workings'!$C$69&gt;0,"Decide how your executor will find the cash: life cover paid to your estate (see the life cover need page), "&amp;IF(AND(ISNUMBER('Inputs'!$C$112),'Inputs'!$C$112&gt;0),"the Legacy Protection Plan, ","")&amp;"a property sold, or your heirs paying it in.","Keep enough cash for your executor: today there is enough, with about R "&amp;FIXED(ROUND('Workings'!$C$70,-3),0)&amp;" to spare.")</f>
      </c>
      <c r="C33" s="35"/>
      <c r="D33" s="35"/>
    </row>
    <row r="34" ht="27" customHeight="1" spans="2:4" x14ac:dyDescent="0.25">
      <c r="B34" s="35">
        <f>"3.  Remember that your savings are your executor's cash. Every R 1 spent from them "&amp;IF('Workings'!$C$69&gt;0,"adds about "&amp;ROUND(100*(1-'Inputs'!$C$120/100*(1+'Inputs'!$C$121/100))*IF('Workings'!$C$40&gt;0,1-'Inputs'!$C$128/100,1),0)&amp;" cents to the shortfall.","takes about "&amp;ROUND(100*(1-'Inputs'!$C$120/100*(1+'Inputs'!$C$121/100))*IF('Workings'!$C$40&gt;0,1-'Inputs'!$C$128/100,1),0)&amp;" cents off what your executor has spare.")</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page."&amp;IF(AND(ISNUMBER('Inputs'!$C$112),'Inputs'!$C$112&gt;0)," Capital Legacy quote "&amp;'Inputs'!$C$111&amp;";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1" priority="1">
      <formula>'Workings'!$C$69=0</formula>
    </cfRule>
  </conditionalFormatting>
  <conditionalFormatting sqref="C26:D26">
    <cfRule type="expression" dxfId="22" priority="2">
      <formula>LEFT(C26,5)="Short"</formula>
    </cfRule>
    <cfRule type="expression" dxfId="23"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211</v>
      </c>
    </row>
    <row r="5" spans="2:2" x14ac:dyDescent="0.25">
      <c r="B5" s="4" t="s">
        <v>212</v>
      </c>
    </row>
    <row r="7" ht="30" customHeight="1" spans="2:4" x14ac:dyDescent="0.25">
      <c r="B7" s="12" t="s">
        <v>175</v>
      </c>
      <c r="C7" s="13">
        <f>"If "&amp;'Inputs'!$C$9&amp;" dies"</f>
      </c>
      <c r="D7" s="13">
        <f>IF(AND(ISNUMBER('Inputs'!$C$112),'Inputs'!$C$112&gt;0),"With the Legacy plan","")</f>
      </c>
    </row>
    <row r="8" spans="2:4" x14ac:dyDescent="0.25">
      <c r="B8" s="42" t="s">
        <v>213</v>
      </c>
      <c r="C8" s="42"/>
      <c r="D8" s="42"/>
    </row>
    <row r="9" spans="2:4" x14ac:dyDescent="0.25">
      <c r="B9" s="7" t="s">
        <v>214</v>
      </c>
      <c r="C9" s="15">
        <f>SUMIFS('Inputs'!$D$22:$D$39,'Inputs'!$C$22:$C$39,"Property")</f>
      </c>
      <c r="D9" s="15">
        <f>IF(AND(ISNUMBER('Inputs'!$C$112),'Inputs'!$C$112&gt;0),SUMIFS('Inputs'!$D$22:$D$39,'Inputs'!$C$22:$C$39,"Property"),"")</f>
      </c>
    </row>
    <row r="10" spans="2:4" x14ac:dyDescent="0.25">
      <c r="B10" s="7" t="s">
        <v>215</v>
      </c>
      <c r="C10" s="15">
        <f>SUMIFS('Inputs'!$D$22:$D$39,'Inputs'!$C$22:$C$39,"Vehicle or contents")</f>
      </c>
      <c r="D10" s="15">
        <f>IF(AND(ISNUMBER('Inputs'!$C$112),'Inputs'!$C$112&gt;0),SUMIFS('Inputs'!$D$22:$D$39,'Inputs'!$C$22:$C$39,"Vehicle or contents"),"")</f>
      </c>
    </row>
    <row r="11" spans="2:4" x14ac:dyDescent="0.25">
      <c r="B11" s="7" t="s">
        <v>216</v>
      </c>
      <c r="C11" s="15">
        <f>SUMIFS('Inputs'!$D$22:$D$39,'Inputs'!$C$22:$C$39,"Cash and deposits")</f>
      </c>
      <c r="D11" s="15">
        <f>IF(AND(ISNUMBER('Inputs'!$C$112),'Inputs'!$C$112&gt;0),SUMIFS('Inputs'!$D$22:$D$39,'Inputs'!$C$22:$C$39,"Cash and deposits"),"")</f>
      </c>
    </row>
    <row r="12" spans="2:4" x14ac:dyDescent="0.25">
      <c r="B12" s="7" t="s">
        <v>217</v>
      </c>
      <c r="C12" s="15">
        <f>SUMIFS('Inputs'!$D$22:$D$39,'Inputs'!$C$22:$C$39,"Shares and unit trusts")</f>
      </c>
      <c r="D12" s="15">
        <f>IF(AND(ISNUMBER('Inputs'!$C$112),'Inputs'!$C$112&gt;0),SUMIFS('Inputs'!$D$22:$D$39,'Inputs'!$C$22:$C$39,"Shares and unit trusts"),"")</f>
      </c>
    </row>
    <row r="13" spans="2:4" x14ac:dyDescent="0.25">
      <c r="B13" s="7" t="s">
        <v>218</v>
      </c>
      <c r="C13" s="15">
        <f>SUMIFS('Inputs'!$D$22:$D$39,'Inputs'!$C$22:$C$39,"Other investment")+SUMIFS('Inputs'!$D$22:$D$39,'Inputs'!$C$22:$C$39,"Tax-free investment")+SUMIFS('Inputs'!$D$22:$D$39,'Inputs'!$C$22:$C$39,"Loan account")+SUMIFS('Inputs'!$D$22:$D$39,'Inputs'!$C$22:$C$39,"Business interest")</f>
      </c>
      <c r="D13" s="15">
        <f>IF(AND(ISNUMBER('Inputs'!$C$112),'Inputs'!$C$112&gt;0),SUMIFS('Inputs'!$D$22:$D$39,'Inputs'!$C$22:$C$39,"Other investment")+SUMIFS('Inputs'!$D$22:$D$39,'Inputs'!$C$22:$C$39,"Tax-free investment")+SUMIFS('Inputs'!$D$22:$D$39,'Inputs'!$C$22:$C$39,"Loan account")+SUMIFS('Inputs'!$D$22:$D$39,'Inputs'!$C$22:$C$39,"Business interest"),"")</f>
      </c>
    </row>
    <row r="14" spans="2:4" x14ac:dyDescent="0.25">
      <c r="B14" s="7" t="s">
        <v>219</v>
      </c>
      <c r="C14" s="15">
        <f>'Workings'!$C$20</f>
      </c>
      <c r="D14" s="15">
        <f>IF(AND(ISNUMBER('Inputs'!$C$112),'Inputs'!$C$112&gt;0),'Workings'!$C$20,"")</f>
      </c>
    </row>
    <row r="15" spans="2:4" x14ac:dyDescent="0.25">
      <c r="B15" s="30" t="s">
        <v>220</v>
      </c>
      <c r="C15" s="31">
        <f>SUM(C9:C14)</f>
      </c>
      <c r="D15" s="31">
        <f>IF(AND(ISNUMBER('Inputs'!$C$112),'Inputs'!$C$112&gt;0),SUM(C9:C14),"")</f>
      </c>
    </row>
    <row r="16" spans="2:4" x14ac:dyDescent="0.25">
      <c r="B16" s="42" t="s">
        <v>221</v>
      </c>
      <c r="C16" s="42"/>
      <c r="D16" s="42"/>
    </row>
    <row r="17" spans="2:4" x14ac:dyDescent="0.25">
      <c r="B17" s="7" t="s">
        <v>222</v>
      </c>
      <c r="C17" s="15">
        <f>'Workings'!$C$22</f>
      </c>
      <c r="D17" s="15">
        <f>IF(AND(ISNUMBER('Inputs'!$C$112),'Inputs'!$C$112&gt;0),'Workings'!$C$22,"")</f>
      </c>
    </row>
    <row r="18" spans="2:4" x14ac:dyDescent="0.25">
      <c r="B18" s="7" t="s">
        <v>223</v>
      </c>
      <c r="C18" s="15">
        <f>'Workings'!$C$23</f>
      </c>
      <c r="D18" s="15">
        <f>IF(AND(ISNUMBER('Inputs'!$C$112),'Inputs'!$C$112&gt;0),'Workings'!$C$23,"")</f>
      </c>
    </row>
    <row r="19" spans="2:4" x14ac:dyDescent="0.25">
      <c r="B19" s="7" t="s">
        <v>224</v>
      </c>
      <c r="C19" s="15">
        <f>'Workings'!$C$24</f>
      </c>
      <c r="D19" s="15">
        <f>IF(AND(ISNUMBER('Inputs'!$C$112),'Inputs'!$C$112&gt;0),'Workings'!$C$24,"")</f>
      </c>
    </row>
    <row r="20" spans="2:4" x14ac:dyDescent="0.25">
      <c r="B20" s="7" t="s">
        <v>225</v>
      </c>
      <c r="C20" s="15">
        <f>SUMIFS('Inputs'!$D$59:$D$70,'Inputs'!$E$59:$E$70,"No")</f>
      </c>
      <c r="D20" s="15">
        <f>IF(AND(ISNUMBER('Inputs'!$C$112),'Inputs'!$C$112&gt;0),SUMIFS('Inputs'!$D$59:$D$70,'Inputs'!$E$59:$E$70,"No"),"")</f>
      </c>
    </row>
    <row r="21" spans="2:4" x14ac:dyDescent="0.25">
      <c r="B21" s="7" t="s">
        <v>226</v>
      </c>
      <c r="C21" s="15">
        <f>SUM('Inputs'!$D$87:$D$94)</f>
      </c>
      <c r="D21" s="15">
        <f>IF(AND(ISNUMBER('Inputs'!$C$112),'Inputs'!$C$112&gt;0),SUM('Inputs'!$D$87:$D$94),"")</f>
      </c>
    </row>
    <row r="22" spans="2:4" x14ac:dyDescent="0.25">
      <c r="B22" s="42" t="s">
        <v>227</v>
      </c>
      <c r="C22" s="42"/>
      <c r="D22" s="42"/>
    </row>
    <row r="23" spans="2:4" x14ac:dyDescent="0.25">
      <c r="B23" s="7" t="s">
        <v>228</v>
      </c>
      <c r="C23" s="15">
        <f>C15+SUM(C17:C21)</f>
      </c>
      <c r="D23" s="15">
        <f>IF(AND(ISNUMBER('Inputs'!$C$112),'Inputs'!$C$112&gt;0),C15+SUM(C17:C21),"")</f>
      </c>
    </row>
    <row r="24" spans="2:4" x14ac:dyDescent="0.25">
      <c r="B24" s="7" t="s">
        <v>229</v>
      </c>
      <c r="C24" s="15">
        <f>'Workings'!$C$26</f>
      </c>
      <c r="D24" s="15">
        <f>IF(AND(ISNUMBER('Inputs'!$C$112),'Inputs'!$C$112&gt;0),'Workings'!$C$26,"")</f>
      </c>
    </row>
    <row r="25" spans="2:4" x14ac:dyDescent="0.25">
      <c r="B25" s="7" t="s">
        <v>230</v>
      </c>
      <c r="C25" s="15">
        <f>'Workings'!$C$64</f>
      </c>
      <c r="D25" s="15">
        <f>IF(AND(ISNUMBER('Inputs'!$C$112),'Inputs'!$C$112&gt;0),'Workings'!$C$64,"")</f>
      </c>
    </row>
    <row r="26" spans="2:4" x14ac:dyDescent="0.25">
      <c r="B26" s="42" t="s">
        <v>231</v>
      </c>
      <c r="C26" s="42"/>
      <c r="D26" s="42"/>
    </row>
    <row r="27" spans="2:4" x14ac:dyDescent="0.25">
      <c r="B27" s="7" t="s">
        <v>232</v>
      </c>
      <c r="C27" s="15">
        <f>'Workings'!$C$56</f>
      </c>
      <c r="D27" s="15">
        <f>IF(AND(ISNUMBER('Inputs'!$C$112),'Inputs'!$C$112&gt;0),'Workings'!$D$56,"")</f>
      </c>
    </row>
    <row r="28" spans="2:4" x14ac:dyDescent="0.25">
      <c r="B28" s="7" t="s">
        <v>233</v>
      </c>
      <c r="C28" s="15">
        <f>'Workings'!$C$55</f>
      </c>
      <c r="D28" s="15">
        <f>IF(AND(ISNUMBER('Inputs'!$C$112),'Inputs'!$C$112&gt;0),'Workings'!$D$55,"")</f>
      </c>
    </row>
    <row r="29" spans="2:4" x14ac:dyDescent="0.25">
      <c r="B29" s="7" t="s">
        <v>234</v>
      </c>
      <c r="C29" s="15">
        <f>'Workings'!$C$57</f>
      </c>
      <c r="D29" s="15">
        <f>IF(AND(ISNUMBER('Inputs'!$C$112),'Inputs'!$C$112&gt;0),'Workings'!$D$57,"")</f>
      </c>
    </row>
    <row r="30" spans="2:4" x14ac:dyDescent="0.25">
      <c r="B30" s="7" t="s">
        <v>235</v>
      </c>
      <c r="C30" s="15">
        <f>'Workings'!$C$58</f>
      </c>
      <c r="D30" s="15">
        <f>IF(AND(ISNUMBER('Inputs'!$C$112),'Inputs'!$C$112&gt;0),'Workings'!$D$58,"")</f>
      </c>
    </row>
    <row r="31" spans="2:4" x14ac:dyDescent="0.25">
      <c r="B31" s="7" t="s">
        <v>178</v>
      </c>
      <c r="C31" s="15">
        <f>'Workings'!$C$59</f>
      </c>
      <c r="D31" s="15">
        <f>IF(AND(ISNUMBER('Inputs'!$C$112),'Inputs'!$C$112&gt;0),'Workings'!$D$59,"")</f>
      </c>
    </row>
    <row r="32" spans="2:4" x14ac:dyDescent="0.25">
      <c r="B32" s="7" t="s">
        <v>236</v>
      </c>
      <c r="C32" s="15">
        <f>'Workings'!$C$60</f>
      </c>
      <c r="D32" s="15">
        <f>IF(AND(ISNUMBER('Inputs'!$C$112),'Inputs'!$C$112&gt;0),'Workings'!$D$60,"")</f>
      </c>
    </row>
    <row r="33" spans="2:4" x14ac:dyDescent="0.25">
      <c r="B33" s="30" t="s">
        <v>237</v>
      </c>
      <c r="C33" s="31">
        <f>'Workings'!$C$61</f>
      </c>
      <c r="D33" s="31">
        <f>IF(AND(ISNUMBER('Inputs'!$C$112),'Inputs'!$C$112&gt;0),'Workings'!$D$61,"")</f>
      </c>
    </row>
    <row r="34" spans="2:4" x14ac:dyDescent="0.25">
      <c r="B34" s="7" t="s">
        <v>182</v>
      </c>
      <c r="C34" s="15">
        <f>-'Workings'!$C$62</f>
      </c>
      <c r="D34" s="15">
        <f>IF(AND(ISNUMBER('Inputs'!$C$112),'Inputs'!$C$112&gt;0),-'Workings'!$D$62,"")</f>
      </c>
    </row>
    <row r="35" spans="2:4" x14ac:dyDescent="0.25">
      <c r="B35" s="7" t="s">
        <v>238</v>
      </c>
      <c r="C35" s="15">
        <f>'Workings'!$C$64</f>
      </c>
      <c r="D35" s="15">
        <f>IF(AND(ISNUMBER('Inputs'!$C$112),'Inputs'!$C$112&gt;0),'Workings'!$D$64,"")</f>
      </c>
    </row>
    <row r="37" ht="15" customHeight="1" spans="2:4" x14ac:dyDescent="0.25">
      <c r="B37" s="36" t="s">
        <v>239</v>
      </c>
      <c r="C37" s="36"/>
      <c r="D37" s="36"/>
    </row>
  </sheetData>
  <sheetProtection sheet="1" formatRows="0"/>
  <mergeCells count="7">
    <mergeCell ref="B1:D1"/>
    <mergeCell ref="B2:D2"/>
    <mergeCell ref="B8:D8"/>
    <mergeCell ref="B16:D16"/>
    <mergeCell ref="B22:D22"/>
    <mergeCell ref="B26:D26"/>
    <mergeCell ref="B37:D37"/>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240</v>
      </c>
    </row>
    <row r="5" spans="2:2" x14ac:dyDescent="0.25">
      <c r="B5" s="4" t="s">
        <v>241</v>
      </c>
    </row>
    <row r="7" ht="20" customHeight="1" spans="2:4" x14ac:dyDescent="0.25">
      <c r="B7" s="12" t="s">
        <v>242</v>
      </c>
      <c r="C7" s="13" t="s">
        <v>176</v>
      </c>
      <c r="D7" s="13" t="s">
        <v>243</v>
      </c>
    </row>
    <row r="8" spans="2:4" x14ac:dyDescent="0.25">
      <c r="B8" s="7">
        <f>"Taxable income for the year"&amp;IF('Inputs'!$C$17&lt;&gt;"",": "&amp;'Inputs'!$C$17,"")</f>
      </c>
      <c r="C8" s="19">
        <f>N('Inputs'!$C$16)</f>
      </c>
      <c r="D8" s="19">
        <f>N('Inputs'!$C$16)</f>
      </c>
    </row>
    <row r="9" ht="27" customHeight="1" spans="2:4" x14ac:dyDescent="0.25">
      <c r="B9" s="7" t="s">
        <v>244</v>
      </c>
      <c r="C9" s="19">
        <f>SUM('Inputs'!$M$22:$M$39)</f>
      </c>
      <c r="D9" s="19">
        <f>SUM('Inputs'!$M$22:$M$39)</f>
      </c>
    </row>
    <row r="10" spans="2:4" x14ac:dyDescent="0.25">
      <c r="B10" s="7" t="s">
        <v>245</v>
      </c>
      <c r="C10" s="19">
        <f>-SUM('Inputs'!$N$22:$N$39)</f>
      </c>
      <c r="D10" s="19">
        <f>-SUM('Inputs'!$N$22:$N$39)</f>
      </c>
    </row>
    <row r="11" spans="2:4" x14ac:dyDescent="0.25">
      <c r="B11" s="7" t="s">
        <v>246</v>
      </c>
      <c r="C11" s="19">
        <f>-MIN('Inputs'!$C$131,MAX(0,C9+C10))</f>
      </c>
      <c r="D11" s="19">
        <f>-MIN('Inputs'!$C$131,MAX(0,D9+D10))</f>
      </c>
    </row>
    <row r="12" spans="2:4" x14ac:dyDescent="0.25">
      <c r="B12" s="30" t="s">
        <v>247</v>
      </c>
      <c r="C12" s="43">
        <f>MAX(0,C9+C10+C11)</f>
      </c>
      <c r="D12" s="43">
        <f>MAX(0,D9+D10+D11)</f>
      </c>
    </row>
    <row r="13" ht="27" customHeight="1" spans="2:4" x14ac:dyDescent="0.25">
      <c r="B13" s="7">
        <f>"Added to taxable income: "&amp;FIXED('Inputs'!$H$120,0)&amp;"% of the net gain (the inclusion rate, not a tax rate)"</f>
      </c>
      <c r="C13" s="19">
        <f>C12*'Inputs'!$H$120/100</f>
      </c>
      <c r="D13" s="19">
        <f>D12*'Inputs'!$H$120/100</f>
      </c>
    </row>
    <row r="14" spans="2:4" x14ac:dyDescent="0.25">
      <c r="B14" s="7" t="s">
        <v>248</v>
      </c>
      <c r="C14" s="19">
        <f>(INDEX('Inputs'!$D$134:$D$140,MATCH(C8+C13,'Inputs'!$C$134:$C$140,1))+INDEX('Inputs'!$E$134:$E$140,MATCH(C8+C13,'Inputs'!$C$134:$C$140,1))/100*((C8+C13)-INDEX('Inputs'!$C$134:$C$140,MATCH(C8+C13,'Inputs'!$C$134:$C$140,1))))</f>
      </c>
      <c r="D14" s="19">
        <f>(INDEX('Inputs'!$D$134:$D$140,MATCH(D8+D13,'Inputs'!$C$134:$C$140,1))+INDEX('Inputs'!$E$134:$E$140,MATCH(D8+D13,'Inputs'!$C$134:$C$140,1))/100*((D8+D13)-INDEX('Inputs'!$C$134:$C$140,MATCH(D8+D13,'Inputs'!$C$134:$C$140,1))))</f>
      </c>
    </row>
    <row r="15" spans="2:4" x14ac:dyDescent="0.25">
      <c r="B15" s="7" t="s">
        <v>249</v>
      </c>
      <c r="C15" s="19">
        <f>-(INDEX('Inputs'!$D$134:$D$140,MATCH(C8,'Inputs'!$C$134:$C$140,1))+INDEX('Inputs'!$E$134:$E$140,MATCH(C8,'Inputs'!$C$134:$C$140,1))/100*((C8)-INDEX('Inputs'!$C$134:$C$140,MATCH(C8,'Inputs'!$C$134:$C$140,1))))</f>
      </c>
      <c r="D15" s="19">
        <f>-(INDEX('Inputs'!$D$134:$D$140,MATCH(D8,'Inputs'!$C$134:$C$140,1))+INDEX('Inputs'!$E$134:$E$140,MATCH(D8,'Inputs'!$C$134:$C$140,1))/100*((D8)-INDEX('Inputs'!$C$134:$C$140,MATCH(D8,'Inputs'!$C$134:$C$140,1))))</f>
      </c>
    </row>
    <row r="16" spans="2:4" x14ac:dyDescent="0.25">
      <c r="B16" s="30" t="s">
        <v>250</v>
      </c>
      <c r="C16" s="43">
        <f>IF(C12&gt;0,ROUND(C14+C15,2),0)</f>
      </c>
      <c r="D16" s="43">
        <f>IF(D12&gt;0,ROUND(D14+D15,2),0)</f>
      </c>
    </row>
    <row r="18" ht="20" customHeight="1" spans="2:4" x14ac:dyDescent="0.25">
      <c r="B18" s="12" t="s">
        <v>251</v>
      </c>
      <c r="C18" s="13" t="s">
        <v>176</v>
      </c>
      <c r="D18" s="13" t="s">
        <v>243</v>
      </c>
    </row>
    <row r="19" spans="2:4" x14ac:dyDescent="0.25">
      <c r="B19" s="7" t="s">
        <v>252</v>
      </c>
      <c r="C19" s="19">
        <f>ROUND(SUM('Inputs'!$D$22:$D$39),2)</f>
      </c>
      <c r="D19" s="19">
        <f>ROUND(SUM('Inputs'!$D$22:$D$39),2)</f>
      </c>
    </row>
    <row r="20" spans="2:4" x14ac:dyDescent="0.25">
      <c r="B20" s="7" t="s">
        <v>253</v>
      </c>
      <c r="C20" s="19">
        <f>SUMIFS('Inputs'!$D$59:$D$70,'Inputs'!$C$59:$C$70,"Estate")</f>
      </c>
      <c r="D20" s="19">
        <f>SUMIFS('Inputs'!$D$59:$D$70,'Inputs'!$C$59:$C$70,"Estate")</f>
      </c>
    </row>
    <row r="21" spans="2:4" x14ac:dyDescent="0.25">
      <c r="B21" s="30" t="s">
        <v>254</v>
      </c>
      <c r="C21" s="43">
        <f>C19+C20</f>
      </c>
      <c r="D21" s="43">
        <f>D19+D20</f>
      </c>
    </row>
    <row r="22" spans="2:4" x14ac:dyDescent="0.25">
      <c r="B22" s="7" t="s">
        <v>255</v>
      </c>
      <c r="C22" s="19">
        <f>SUMIFS('Inputs'!$D$59:$D$70,'Inputs'!$C$59:$C$70,"&lt;&gt;Estate",'Inputs'!$C$59:$C$70,"&lt;&gt;Spouse",'Inputs'!$E$59:$E$70,"&lt;&gt;No")</f>
      </c>
      <c r="D22" s="19">
        <f>SUMIFS('Inputs'!$D$59:$D$70,'Inputs'!$C$59:$C$70,"&lt;&gt;Estate",'Inputs'!$C$59:$C$70,"&lt;&gt;Spouse",'Inputs'!$E$59:$E$70,"&lt;&gt;No")</f>
      </c>
    </row>
    <row r="23" ht="27" customHeight="1" spans="2:4" x14ac:dyDescent="0.25">
      <c r="B23" s="7">
        <f>"Death income for a named person, counted for estate duty (the insurer's value, or worked out at "&amp;FIXED('Inputs'!$H$122,1)&amp;"% a year)"</f>
      </c>
      <c r="C23" s="19">
        <f>SUM('Inputs'!$O$76:$O$81)</f>
      </c>
      <c r="D23" s="19">
        <f>SUM('Inputs'!$O$76:$O$81)</f>
      </c>
    </row>
    <row r="24" ht="27" customHeight="1" spans="2:4" x14ac:dyDescent="0.25">
      <c r="B24" s="7" t="s">
        <v>256</v>
      </c>
      <c r="C24" s="19">
        <f>SUMIFS('Inputs'!$D$59:$D$70,'Inputs'!$C$59:$C$70,"Spouse",'Inputs'!$E$59:$E$70,"&lt;&gt;No")+SUM('Inputs'!$S$76:$S$81)</f>
      </c>
      <c r="D24" s="19">
        <f>SUMIFS('Inputs'!$D$59:$D$70,'Inputs'!$C$59:$C$70,"Spouse",'Inputs'!$E$59:$E$70,"&lt;&gt;No")+SUM('Inputs'!$S$76:$S$81)</f>
      </c>
    </row>
    <row r="25" spans="2:4" x14ac:dyDescent="0.25">
      <c r="B25" s="7" t="s">
        <v>257</v>
      </c>
      <c r="C25" s="19">
        <f>-IF(OR(LEFT('Inputs'!$C$13,7)="Married",'Inputs'!$C$13="Life partner",'Inputs'!$C$13="Civil Union"),C24,0)</f>
      </c>
      <c r="D25" s="19">
        <f>-IF(OR(LEFT('Inputs'!$C$13,7)="Married",'Inputs'!$C$13="Life partner",'Inputs'!$C$13="Civil Union"),D24,0)</f>
      </c>
    </row>
    <row r="26" spans="2:4" x14ac:dyDescent="0.25">
      <c r="B26" s="30" t="s">
        <v>258</v>
      </c>
      <c r="C26" s="43">
        <f>C21+C22+C23+C24+C25</f>
      </c>
      <c r="D26" s="43">
        <f>D21+D22+D23+D24+D25</f>
      </c>
    </row>
    <row r="27" spans="2:4" x14ac:dyDescent="0.25">
      <c r="B27" s="7" t="s">
        <v>259</v>
      </c>
      <c r="C27" s="19">
        <f>-SUM('Inputs'!$D$45:$D$54)</f>
      </c>
      <c r="D27" s="19">
        <f>-SUM('Inputs'!$D$45:$D$54)</f>
      </c>
    </row>
    <row r="28" spans="2:4" x14ac:dyDescent="0.25">
      <c r="B28" s="7" t="s">
        <v>260</v>
      </c>
      <c r="C28" s="19">
        <f>-'Inputs'!$C$123</f>
      </c>
      <c r="D28" s="19">
        <f>-'Inputs'!$C$123</f>
      </c>
    </row>
    <row r="29" spans="2:4" x14ac:dyDescent="0.25">
      <c r="B29" s="7" t="s">
        <v>261</v>
      </c>
      <c r="C29" s="19">
        <f>-'Inputs'!$C$122</f>
      </c>
      <c r="D29" s="19">
        <f>-'Inputs'!$C$122</f>
      </c>
    </row>
    <row r="30" spans="2:4" x14ac:dyDescent="0.25">
      <c r="B30" s="7" t="s">
        <v>262</v>
      </c>
      <c r="C30" s="19">
        <f>-'Inputs'!$C$124</f>
      </c>
      <c r="D30" s="19">
        <f>-'Inputs'!$C$124</f>
      </c>
    </row>
    <row r="31" spans="2:4" x14ac:dyDescent="0.25">
      <c r="B31" s="7">
        <f>"Less executor's fees: "&amp;IF(ROUND('Inputs'!$C$120,0)='Inputs'!$C$120,FIXED('Inputs'!$C$120,0),IF(ROUND('Inputs'!$C$120,1)='Inputs'!$C$120,FIXED('Inputs'!$C$120,1),FIXED('Inputs'!$C$120,2)))&amp;"%"&amp;"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31" s="19">
        <f>-ROUND('Inputs'!$C$120/100*(1+'Inputs'!$C$121/100)*C21,2)</f>
      </c>
      <c r="D31" s="19">
        <f>-ROUND(IF(AND(ISNUMBER('Inputs'!$C$112),'Inputs'!$C$112&gt;0),'Inputs'!$C$112,'Inputs'!$C$120)/100*(1+'Inputs'!$C$121/100)*D21,2)</f>
      </c>
    </row>
    <row r="32" spans="2:4" x14ac:dyDescent="0.25">
      <c r="B32" s="7" t="s">
        <v>263</v>
      </c>
      <c r="C32" s="19">
        <f>-SUM('Inputs'!$P$22:$P$39)</f>
      </c>
      <c r="D32" s="19">
        <f>-IF(AND(AND(ISNUMBER('Inputs'!$C$112),'Inputs'!$C$112&gt;0),ISNUMBER('Inputs'!$C$113)),'Inputs'!$C$113,SUM('Inputs'!$P$22:$P$39))</f>
      </c>
    </row>
    <row r="33" spans="2:4" x14ac:dyDescent="0.25">
      <c r="B33" s="7" t="s">
        <v>264</v>
      </c>
      <c r="C33" s="19">
        <f>-SUM('Inputs'!$Q$22:$Q$39)</f>
      </c>
      <c r="D33" s="19">
        <f>-SUM('Inputs'!$Q$22:$Q$39)</f>
      </c>
    </row>
    <row r="34" spans="2:4" x14ac:dyDescent="0.25">
      <c r="B34" s="7" t="s">
        <v>265</v>
      </c>
      <c r="C34" s="19">
        <f>-C16</f>
      </c>
      <c r="D34" s="19">
        <f>-D16</f>
      </c>
    </row>
    <row r="35" spans="2:4" x14ac:dyDescent="0.25">
      <c r="B35" s="7" t="s">
        <v>266</v>
      </c>
      <c r="C35" s="19">
        <f>ROUND(C21+C27-(-C28-C29-C30-C31-C32-C33-C34)-SUM('Inputs'!$R$22:$R$39)-SUM('Inputs'!$S$22:$S$39),2)</f>
      </c>
      <c r="D35" s="19">
        <f>ROUND(D21+D27-(-D28-D29-D30-D31-D32-D33-D34)-SUM('Inputs'!$R$22:$R$39)-SUM('Inputs'!$S$22:$S$39),2)</f>
      </c>
    </row>
    <row r="36" spans="2:4" x14ac:dyDescent="0.25">
      <c r="B36" s="7" t="s">
        <v>267</v>
      </c>
      <c r="C36" s="44">
        <f>IF(C35&lt;0,IF(SUM('Inputs'!$R$22:$R$39)+SUM('Inputs'!$S$22:$S$39)&gt;0,MAX(0,1+C35/(SUM('Inputs'!$R$22:$R$39)+SUM('Inputs'!$S$22:$S$39))),1),1)</f>
      </c>
      <c r="D36" s="44">
        <f>IF(D35&lt;0,IF(SUM('Inputs'!$R$22:$R$39)+SUM('Inputs'!$S$22:$S$39)&gt;0,MAX(0,1+D35/(SUM('Inputs'!$R$22:$R$39)+SUM('Inputs'!$S$22:$S$39))),1),1)</f>
      </c>
    </row>
    <row r="37" spans="2:4" x14ac:dyDescent="0.25">
      <c r="B37" s="7" t="s">
        <v>268</v>
      </c>
      <c r="C37" s="19">
        <f>-IF(OR(LEFT('Inputs'!$C$13,7)="Married",'Inputs'!$C$13="Life partner",'Inputs'!$C$13="Civil Union"),SUM('Inputs'!$R$22:$R$39)*C36+IF('Inputs'!$C$14="Spouse",MAX(0,C35),0),0)</f>
      </c>
      <c r="D37" s="19">
        <f>-IF(OR(LEFT('Inputs'!$C$13,7)="Married",'Inputs'!$C$13="Life partner",'Inputs'!$C$13="Civil Union"),SUM('Inputs'!$R$22:$R$39)*D36+IF('Inputs'!$C$14="Spouse",MAX(0,D35),0),0)</f>
      </c>
    </row>
    <row r="38" spans="2:4" x14ac:dyDescent="0.25">
      <c r="B38" s="30" t="s">
        <v>269</v>
      </c>
      <c r="C38" s="43">
        <f>ROUND(C26+C27+C28+C29+C30+C31+C32+C33+C34+C37,2)</f>
      </c>
      <c r="D38" s="43">
        <f>ROUND(D26+D27+D28+D29+D30+D31+D32+D33+D34+D37,2)</f>
      </c>
    </row>
    <row r="39" spans="2:4" x14ac:dyDescent="0.25">
      <c r="B39" s="7" t="s">
        <v>270</v>
      </c>
      <c r="C39" s="19">
        <f>-'Inputs'!$C$127</f>
      </c>
      <c r="D39" s="19">
        <f>-'Inputs'!$C$127</f>
      </c>
    </row>
    <row r="40" spans="2:4" x14ac:dyDescent="0.25">
      <c r="B40" s="7" t="s">
        <v>271</v>
      </c>
      <c r="C40" s="19">
        <f>MAX(0,C38+C39)</f>
      </c>
      <c r="D40" s="19">
        <f>MAX(0,D38+D39)</f>
      </c>
    </row>
    <row r="41" spans="2:4" x14ac:dyDescent="0.25">
      <c r="B41" s="30" t="s">
        <v>177</v>
      </c>
      <c r="C41" s="43">
        <f>ROUND(IF(C40&lt;='Inputs'!$C$129,C40*'Inputs'!$C$128/100,'Inputs'!$C$129*'Inputs'!$C$128/100+(C40-'Inputs'!$C$129)*'Inputs'!$C$130/100),2)</f>
      </c>
      <c r="D41" s="43">
        <f>ROUND(IF(D40&lt;='Inputs'!$C$129,D40*'Inputs'!$C$128/100,'Inputs'!$C$129*'Inputs'!$C$128/100+(D40-'Inputs'!$C$129)*'Inputs'!$C$130/100),2)</f>
      </c>
    </row>
    <row r="42" spans="2:4" x14ac:dyDescent="0.25">
      <c r="B42" s="7" t="s">
        <v>272</v>
      </c>
      <c r="C42" s="45">
        <f>IF(C38&gt;0,C41/C38,0)</f>
      </c>
      <c r="D42" s="45">
        <f>IF(D38&gt;0,D41/D38,0)</f>
      </c>
    </row>
    <row r="43" ht="27" customHeight="1" spans="2:2" x14ac:dyDescent="0.25">
      <c r="B43" s="7" t="s">
        <v>273</v>
      </c>
    </row>
    <row r="44" ht="15" customHeight="1" spans="2:4" x14ac:dyDescent="0.25">
      <c r="B44"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4" s="19">
        <f>IFERROR(INDEX('Inputs'!$U$22:$U$39,MATCH(1,'Inputs'!$X$22:$X$39,0)),IFERROR(INDEX('Inputs'!$M$59:$M$70,MATCH(1,'Inputs'!$O$59:$O$70,0)),IFERROR(INDEX('Inputs'!$P$76:$P$81,MATCH(1,'Inputs'!$R$76:$R$81,0)),"")))</f>
      </c>
      <c r="D44" s="19">
        <f>IFERROR(INDEX('Inputs'!$V$22:$V$39,MATCH(1,'Inputs'!$X$22:$X$39,0)),IFERROR(INDEX('Inputs'!$N$59:$N$70,MATCH(1,'Inputs'!$O$59:$O$70,0)),IFERROR(INDEX('Inputs'!$Q$76:$Q$81,MATCH(1,'Inputs'!$R$76:$R$81,0)),"")))</f>
      </c>
    </row>
    <row r="45" ht="15" customHeight="1" spans="2:4" x14ac:dyDescent="0.25">
      <c r="B45"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5" s="19">
        <f>IFERROR(INDEX('Inputs'!$U$22:$U$39,MATCH(2,'Inputs'!$X$22:$X$39,0)),IFERROR(INDEX('Inputs'!$M$59:$M$70,MATCH(2,'Inputs'!$O$59:$O$70,0)),IFERROR(INDEX('Inputs'!$P$76:$P$81,MATCH(2,'Inputs'!$R$76:$R$81,0)),"")))</f>
      </c>
      <c r="D45" s="19">
        <f>IFERROR(INDEX('Inputs'!$V$22:$V$39,MATCH(2,'Inputs'!$X$22:$X$39,0)),IFERROR(INDEX('Inputs'!$N$59:$N$70,MATCH(2,'Inputs'!$O$59:$O$70,0)),IFERROR(INDEX('Inputs'!$Q$76:$Q$81,MATCH(2,'Inputs'!$R$76:$R$81,0)),"")))</f>
      </c>
    </row>
    <row r="46" ht="15" customHeight="1" spans="2:4" x14ac:dyDescent="0.25">
      <c r="B46"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6" s="19">
        <f>IFERROR(INDEX('Inputs'!$U$22:$U$39,MATCH(3,'Inputs'!$X$22:$X$39,0)),IFERROR(INDEX('Inputs'!$M$59:$M$70,MATCH(3,'Inputs'!$O$59:$O$70,0)),IFERROR(INDEX('Inputs'!$P$76:$P$81,MATCH(3,'Inputs'!$R$76:$R$81,0)),"")))</f>
      </c>
      <c r="D46" s="19">
        <f>IFERROR(INDEX('Inputs'!$V$22:$V$39,MATCH(3,'Inputs'!$X$22:$X$39,0)),IFERROR(INDEX('Inputs'!$N$59:$N$70,MATCH(3,'Inputs'!$O$59:$O$70,0)),IFERROR(INDEX('Inputs'!$Q$76:$Q$81,MATCH(3,'Inputs'!$R$76:$R$81,0)),"")))</f>
      </c>
    </row>
    <row r="47" ht="15" customHeight="1" spans="2:4" x14ac:dyDescent="0.25">
      <c r="B47"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7" s="19">
        <f>IFERROR(INDEX('Inputs'!$U$22:$U$39,MATCH(4,'Inputs'!$X$22:$X$39,0)),IFERROR(INDEX('Inputs'!$M$59:$M$70,MATCH(4,'Inputs'!$O$59:$O$70,0)),IFERROR(INDEX('Inputs'!$P$76:$P$81,MATCH(4,'Inputs'!$R$76:$R$81,0)),"")))</f>
      </c>
      <c r="D47" s="19">
        <f>IFERROR(INDEX('Inputs'!$V$22:$V$39,MATCH(4,'Inputs'!$X$22:$X$39,0)),IFERROR(INDEX('Inputs'!$N$59:$N$70,MATCH(4,'Inputs'!$O$59:$O$70,0)),IFERROR(INDEX('Inputs'!$Q$76:$Q$81,MATCH(4,'Inputs'!$R$76:$R$81,0)),"")))</f>
      </c>
    </row>
    <row r="48" ht="15" customHeight="1" spans="2:4" x14ac:dyDescent="0.25">
      <c r="B48"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8" s="19">
        <f>IFERROR(INDEX('Inputs'!$U$22:$U$39,MATCH(5,'Inputs'!$X$22:$X$39,0)),IFERROR(INDEX('Inputs'!$M$59:$M$70,MATCH(5,'Inputs'!$O$59:$O$70,0)),IFERROR(INDEX('Inputs'!$P$76:$P$81,MATCH(5,'Inputs'!$R$76:$R$81,0)),"")))</f>
      </c>
      <c r="D48" s="19">
        <f>IFERROR(INDEX('Inputs'!$V$22:$V$39,MATCH(5,'Inputs'!$X$22:$X$39,0)),IFERROR(INDEX('Inputs'!$N$59:$N$70,MATCH(5,'Inputs'!$O$59:$O$70,0)),IFERROR(INDEX('Inputs'!$Q$76:$Q$81,MATCH(5,'Inputs'!$R$76:$R$81,0)),"")))</f>
      </c>
    </row>
    <row r="49" ht="15" customHeight="1" spans="2:4" x14ac:dyDescent="0.25">
      <c r="B49"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9" s="19">
        <f>IFERROR(INDEX('Inputs'!$U$22:$U$39,MATCH(6,'Inputs'!$X$22:$X$39,0)),IFERROR(INDEX('Inputs'!$M$59:$M$70,MATCH(6,'Inputs'!$O$59:$O$70,0)),IFERROR(INDEX('Inputs'!$P$76:$P$81,MATCH(6,'Inputs'!$R$76:$R$81,0)),"")))</f>
      </c>
      <c r="D49" s="19">
        <f>IFERROR(INDEX('Inputs'!$V$22:$V$39,MATCH(6,'Inputs'!$X$22:$X$39,0)),IFERROR(INDEX('Inputs'!$N$59:$N$70,MATCH(6,'Inputs'!$O$59:$O$70,0)),IFERROR(INDEX('Inputs'!$Q$76:$Q$81,MATCH(6,'Inputs'!$R$76:$R$81,0)),"")))</f>
      </c>
    </row>
    <row r="50" ht="27" customHeight="1" spans="2:4" x14ac:dyDescent="0.25">
      <c r="B50" s="7" t="s">
        <v>274</v>
      </c>
      <c r="C50" s="19">
        <f>-(SUM('Inputs'!$M$59:$M$70)+SUM('Inputs'!$U$22:$U$39)+SUM('Inputs'!$P$76:$P$81))</f>
      </c>
      <c r="D50" s="19">
        <f>-(SUM('Inputs'!$N$59:$N$70)+SUM('Inputs'!$V$22:$V$39)+SUM('Inputs'!$Q$76:$Q$81))</f>
      </c>
    </row>
    <row r="51" spans="2:4" x14ac:dyDescent="0.25">
      <c r="B51" s="30" t="s">
        <v>236</v>
      </c>
      <c r="C51" s="43">
        <f>C41+C50</f>
      </c>
      <c r="D51" s="43">
        <f>D41+D50</f>
      </c>
    </row>
    <row r="52" spans="2:2" x14ac:dyDescent="0.25">
      <c r="B52" s="7" t="s">
        <v>275</v>
      </c>
    </row>
    <row r="54" ht="20" customHeight="1" spans="2:4" x14ac:dyDescent="0.25">
      <c r="B54" s="12" t="s">
        <v>276</v>
      </c>
      <c r="C54" s="13" t="s">
        <v>176</v>
      </c>
      <c r="D54" s="13" t="s">
        <v>243</v>
      </c>
    </row>
    <row r="55" spans="2:4" x14ac:dyDescent="0.25">
      <c r="B55" s="7" t="s">
        <v>180</v>
      </c>
      <c r="C55" s="19">
        <f>-(C28+C29+C30)</f>
      </c>
      <c r="D55" s="19">
        <f>-(D28+D29+D30)</f>
      </c>
    </row>
    <row r="56" spans="2:4" x14ac:dyDescent="0.25">
      <c r="B56" s="7" t="s">
        <v>232</v>
      </c>
      <c r="C56" s="19">
        <f>-C31</f>
      </c>
      <c r="D56" s="19">
        <f>-D31</f>
      </c>
    </row>
    <row r="57" spans="2:4" x14ac:dyDescent="0.25">
      <c r="B57" s="7" t="s">
        <v>277</v>
      </c>
      <c r="C57" s="19">
        <f>-C32</f>
      </c>
      <c r="D57" s="19">
        <f>-D32</f>
      </c>
    </row>
    <row r="58" spans="2:4" x14ac:dyDescent="0.25">
      <c r="B58" s="7" t="s">
        <v>179</v>
      </c>
      <c r="C58" s="19">
        <f>-C33</f>
      </c>
      <c r="D58" s="19">
        <f>-D33</f>
      </c>
    </row>
    <row r="59" spans="2:4" x14ac:dyDescent="0.25">
      <c r="B59" s="7" t="s">
        <v>250</v>
      </c>
      <c r="C59" s="19">
        <f>C16</f>
      </c>
      <c r="D59" s="19">
        <f>D16</f>
      </c>
    </row>
    <row r="60" spans="2:4" x14ac:dyDescent="0.25">
      <c r="B60" s="7" t="s">
        <v>236</v>
      </c>
      <c r="C60" s="19">
        <f>C51</f>
      </c>
      <c r="D60" s="19">
        <f>D51</f>
      </c>
    </row>
    <row r="61" spans="2:4" x14ac:dyDescent="0.25">
      <c r="B61" s="30" t="s">
        <v>237</v>
      </c>
      <c r="C61" s="43">
        <f>ROUND(SUM(C55:C60),2)</f>
      </c>
      <c r="D61" s="43">
        <f>ROUND(SUM(D55:D60),2)</f>
      </c>
    </row>
    <row r="62" ht="27" customHeight="1" spans="2:4" x14ac:dyDescent="0.25">
      <c r="B62" s="7">
        <f>"Less paid by the Legacy plan: "&amp;IF(AND(ISNUMBER('Inputs'!$C$112),'Inputs'!$C$112&gt;0),FIXED(N('Inputs'!$C$114),0)&amp;"% of the executor's fee and conveyancing, up to R "&amp;FIXED(N('Inputs'!$C$115),2),"no quote entered")</f>
      </c>
      <c r="C62" s="19">
        <f>0</f>
      </c>
      <c r="D62" s="19">
        <f>IF(AND(ISNUMBER('Inputs'!$C$112),'Inputs'!$C$112&gt;0),-ROUND(MIN(N('Inputs'!$C$114)/100*(D56+D57),N('Inputs'!$C$115)),2),0)</f>
      </c>
    </row>
    <row r="63" spans="2:4" x14ac:dyDescent="0.25">
      <c r="B63" s="30" t="s">
        <v>278</v>
      </c>
      <c r="C63" s="43">
        <f>ROUND(C61+C62,2)</f>
      </c>
      <c r="D63" s="43">
        <f>ROUND(D61+D62,2)</f>
      </c>
    </row>
    <row r="64" spans="2:4" x14ac:dyDescent="0.25">
      <c r="B64" s="7" t="s">
        <v>184</v>
      </c>
      <c r="C64" s="19">
        <f>-C27</f>
      </c>
      <c r="D64" s="19">
        <f>-D27</f>
      </c>
    </row>
    <row r="65" spans="2:4" x14ac:dyDescent="0.25">
      <c r="B65" s="30" t="s">
        <v>191</v>
      </c>
      <c r="C65" s="43">
        <f>ROUND(C63+C64,2)</f>
      </c>
      <c r="D65" s="43">
        <f>ROUND(D63+D64,2)</f>
      </c>
    </row>
    <row r="66" spans="2:4" x14ac:dyDescent="0.25">
      <c r="B66" s="7" t="s">
        <v>279</v>
      </c>
      <c r="C66" s="19">
        <f>ROUND(SUM('Inputs'!$O$22:$O$39),2)</f>
      </c>
      <c r="D66" s="19">
        <f>ROUND(SUM('Inputs'!$O$22:$O$39),2)</f>
      </c>
    </row>
    <row r="67" spans="2:4" x14ac:dyDescent="0.25">
      <c r="B67" s="7" t="s">
        <v>253</v>
      </c>
      <c r="C67" s="19">
        <f>C20</f>
      </c>
      <c r="D67" s="19">
        <f>D20</f>
      </c>
    </row>
    <row r="68" spans="2:4" x14ac:dyDescent="0.25">
      <c r="B68" s="30" t="s">
        <v>192</v>
      </c>
      <c r="C68" s="43">
        <f>C66+C67</f>
      </c>
      <c r="D68" s="43">
        <f>D66+D67</f>
      </c>
    </row>
    <row r="69" spans="2:4" x14ac:dyDescent="0.25">
      <c r="B69" s="30" t="s">
        <v>280</v>
      </c>
      <c r="C69" s="43">
        <f>ROUND(MAX(0,C65-C68),2)</f>
      </c>
      <c r="D69" s="43">
        <f>ROUND(MAX(0,D65-D68),2)</f>
      </c>
    </row>
    <row r="70" spans="2:4" x14ac:dyDescent="0.25">
      <c r="B70" s="7" t="s">
        <v>281</v>
      </c>
      <c r="C70" s="19">
        <f>ROUND(MAX(0,C68-C65),2)</f>
      </c>
      <c r="D70" s="19">
        <f>ROUND(MAX(0,D68-D65),2)</f>
      </c>
    </row>
    <row r="71" ht="27" customHeight="1" spans="2:4" x14ac:dyDescent="0.25">
      <c r="B71" s="30" t="s">
        <v>282</v>
      </c>
      <c r="C71" s="43">
        <f>ROUND(C21-C65,2)</f>
      </c>
      <c r="D71" s="43">
        <f>ROUND(D21-D65,2)</f>
      </c>
    </row>
    <row r="73" ht="52" customHeight="1" spans="2:4" x14ac:dyDescent="0.25">
      <c r="B73" s="36">
        <f>"Our standard assumptions: executor "&amp;IF(ROUND('Inputs'!$C$120,0)='Inputs'!$C$120,FIXED('Inputs'!$C$120,0),IF(ROUND('Inputs'!$C$120,1)='Inputs'!$C$120,FIXED('Inputs'!$C$120,1),FIXED('Inputs'!$C$120,2)))&amp;"%"&amp;" plus VAT unless Capital Legacy acts; Master's fees R "&amp;FIXED('Inputs'!$C$122,0)&amp;"; funeral R "&amp;FIXED('Inputs'!$C$123,0)&amp;"; sundries R "&amp;FIXED('Inputs'!$C$124,0)&amp;"; property transfer costs "&amp;IF(ROUND('Inputs'!$C$125,0)='Inputs'!$C$125,FIXED('Inputs'!$C$125,0),IF(ROUND('Inputs'!$C$125,1)='Inputs'!$C$125,FIXED('Inputs'!$C$125,1),FIXED('Inputs'!$C$125,2)))&amp;"%"&amp;" of value; agent's commission "&amp;IF(ROUND('Inputs'!$C$126,0)='Inputs'!$C$126,FIXED('Inputs'!$C$126,0),IF(ROUND('Inputs'!$C$126,1)='Inputs'!$C$126,FIXED('Inputs'!$C$126,1),FIXED('Inputs'!$C$126,2)))&amp;"%"&amp;" plus VAT on a property sold; estate duty "&amp;IF(ROUND('Inputs'!$C$128,0)='Inputs'!$C$128,FIXED('Inputs'!$C$128,0),IF(ROUND('Inputs'!$C$128,1)='Inputs'!$C$128,FIXED('Inputs'!$C$128,1),FIXED('Inputs'!$C$128,2)))&amp;"%"&amp;" above R "&amp;FIXED('Inputs'!$C$127,0)&amp;"; 2027 tax tables. Capital gains tax on death (s.9HA): everything treated as sold at its value; assets left to a spouse roll over (no tax now). The Capital Legacy fees stay deductible for estate duty, although the plan pays them."</f>
      </c>
      <c r="C73" s="36"/>
      <c r="D73" s="36"/>
    </row>
  </sheetData>
  <sheetProtection sheet="1" formatRows="0"/>
  <mergeCells count="3">
    <mergeCell ref="B1:D1"/>
    <mergeCell ref="B2:D2"/>
    <mergeCell ref="B73:D73"/>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333"/>
  <sheetFormatPr defaultRowHeight="15" outlineLevelRow="0" outlineLevelCol="0" x14ac:dyDescent="55"/>
  <cols>
    <col min="1" max="1" width="2" customWidth="1"/>
    <col min="2" max="2" width="34" customWidth="1"/>
    <col min="3" max="3" width="16" customWidth="1"/>
  </cols>
  <sheetData>
    <row r="1" spans="2:3" x14ac:dyDescent="0.25">
      <c r="B1" t="s">
        <v>436</v>
      </c>
      <c r="C1">
        <f>IF(SUM('Inputs'!$U$100:$U$105)=0,"",IF('Inputs'!$O$100=1,'Inputs'!$B$100,"")&amp;IF('Inputs'!$O$101=1,'Inputs'!$B$101,"")&amp;IF('Inputs'!$O$102=1,'Inputs'!$B$102,"")&amp;IF('Inputs'!$O$103=1,'Inputs'!$B$103,"")&amp;IF('Inputs'!$O$104=1,'Inputs'!$B$104,"")&amp;IF('Inputs'!$O$105=1,'Inputs'!$B$105,""))</f>
      </c>
    </row>
    <row r="2" spans="2:3" x14ac:dyDescent="0.25">
      <c r="B2" t="s">
        <v>119</v>
      </c>
      <c r="C2">
        <f>IF('Inputs'!$B$100="","",'Inputs'!$B$100)</f>
      </c>
    </row>
    <row r="3" spans="2:17" x14ac:dyDescent="0.25">
      <c r="B3" t="s">
        <v>121</v>
      </c>
      <c r="C3">
        <f>N('Inputs'!$D$100)</f>
      </c>
      <c r="I3" t="s">
        <v>437</v>
      </c>
      <c r="J3" t="s">
        <v>438</v>
      </c>
      <c r="K3" t="s">
        <v>439</v>
      </c>
      <c r="L3" t="s">
        <v>440</v>
      </c>
      <c r="P3" t="s">
        <v>441</v>
      </c>
      <c r="Q3" t="s">
        <v>442</v>
      </c>
    </row>
    <row r="4" spans="2:17" x14ac:dyDescent="0.25">
      <c r="B4" t="s">
        <v>443</v>
      </c>
      <c r="C4">
        <f>IF($C$3&gt;=75,'Inputs'!$H$131,IF($C$3&gt;=65,'Inputs'!$H$130,'Inputs'!$H$124))</f>
      </c>
      <c r="I4">
        <v>0</v>
      </c>
      <c r="J4">
        <f>IF(I4&lt;$C$6,MAX(0,12*$C$7*(1+$C$8)^I4-K4),0)</f>
      </c>
      <c r="K4">
        <f>SUMPRODUCT(('Inputs'!$G$76:$G$81=$C$2)*($C$2&lt;&gt;"")*'Inputs'!$D$76:$D$81*(1+'Inputs'!$E$76:$E$81/100)^I4*(ABS('Inputs'!$F$76:$F$81-12*I4)-ABS(('Inputs'!$F$76:$F$81-12*I4)-12)+12)/2)</f>
      </c>
      <c r="L4">
        <f>IF(J4&gt;0,1,0)</f>
      </c>
      <c r="P4">
        <f>IF($C$9&lt;&gt;1,0,IF($C$14=0,SUM($J$4:$J$53),(1-(1+$C$14)^-1)/(1-(1+$C$14)^(-1/12))/12*SUMPRODUCT($J$4:$J$53,(1+$C$14)^(-$I$4:$I$53))))</f>
      </c>
      <c r="Q4">
        <f>IF($C$9&lt;&gt;1,0,IFERROR((((1+($C$14+'Inputs'!$H$123/100))^(1/12)-1)-((1+$C$14)^(1/12)-1))*(P4*(((1+((1+$C$14)^(1/12)-1))^12-1)/((1+((1+$C$14)^(1/12)-1))-1))-J4/12/((1+((1+$C$14)^(1/12)-1))-1)*((1+((1+$C$14)^(1/12)-1))*(((1+((1+$C$14)^(1/12)-1))^12-1)/((1+((1+$C$14)^(1/12)-1))-1))-12)),0))</f>
      </c>
    </row>
    <row r="5" spans="2:17" x14ac:dyDescent="0.25">
      <c r="B5" t="s">
        <v>444</v>
      </c>
      <c r="C5">
        <f>N('Inputs'!$I$100)</f>
      </c>
      <c r="I5">
        <v>1</v>
      </c>
      <c r="J5">
        <f>IF(I5&lt;$C$6,MAX(0,12*$C$7*(1+$C$8)^I5-K5),0)</f>
      </c>
      <c r="K5">
        <f>SUMPRODUCT(('Inputs'!$G$76:$G$81=$C$2)*($C$2&lt;&gt;"")*'Inputs'!$D$76:$D$81*(1+'Inputs'!$E$76:$E$81/100)^I5*(ABS('Inputs'!$F$76:$F$81-12*I5)-ABS(('Inputs'!$F$76:$F$81-12*I5)-12)+12)/2)</f>
      </c>
      <c r="L5">
        <f>IF(J5&gt;0,1,0)</f>
      </c>
      <c r="P5">
        <f>IF($C$9&lt;&gt;1,0,P4*(1+((1+$C$14)^(1/12)-1))^12-J4/12*(1+((1+$C$14)^(1/12)-1))*(((1+((1+$C$14)^(1/12)-1))^12-1)/((1+((1+$C$14)^(1/12)-1))-1)))</f>
      </c>
      <c r="Q5">
        <f>IF($C$9&lt;&gt;1,0,IFERROR((((1+($C$14+'Inputs'!$H$123/100))^(1/12)-1)-((1+$C$14)^(1/12)-1))*(P5*(((1+((1+$C$14)^(1/12)-1))^12-1)/((1+((1+$C$14)^(1/12)-1))-1))-J5/12/((1+((1+$C$14)^(1/12)-1))-1)*((1+((1+$C$14)^(1/12)-1))*(((1+((1+$C$14)^(1/12)-1))^12-1)/((1+((1+$C$14)^(1/12)-1))-1))-12)),0))</f>
      </c>
    </row>
    <row r="6" spans="2:17" x14ac:dyDescent="0.25">
      <c r="B6" t="s">
        <v>445</v>
      </c>
      <c r="C6">
        <f>IF($C$2="",0,N('Inputs'!$F$100))</f>
      </c>
      <c r="I6">
        <v>2</v>
      </c>
      <c r="J6">
        <f>IF(I6&lt;$C$6,MAX(0,12*$C$7*(1+$C$8)^I6-K6),0)</f>
      </c>
      <c r="K6">
        <f>SUMPRODUCT(('Inputs'!$G$76:$G$81=$C$2)*($C$2&lt;&gt;"")*'Inputs'!$D$76:$D$81*(1+'Inputs'!$E$76:$E$81/100)^I6*(ABS('Inputs'!$F$76:$F$81-12*I6)-ABS(('Inputs'!$F$76:$F$81-12*I6)-12)+12)/2)</f>
      </c>
      <c r="L6">
        <f>IF(J6&gt;0,1,0)</f>
      </c>
      <c r="P6">
        <f>IF($C$9&lt;&gt;1,0,P5*(1+((1+$C$14)^(1/12)-1))^12-J5/12*(1+((1+$C$14)^(1/12)-1))*(((1+((1+$C$14)^(1/12)-1))^12-1)/((1+((1+$C$14)^(1/12)-1))-1)))</f>
      </c>
      <c r="Q6">
        <f>IF($C$9&lt;&gt;1,0,IFERROR((((1+($C$14+'Inputs'!$H$123/100))^(1/12)-1)-((1+$C$14)^(1/12)-1))*(P6*(((1+((1+$C$14)^(1/12)-1))^12-1)/((1+((1+$C$14)^(1/12)-1))-1))-J6/12/((1+((1+$C$14)^(1/12)-1))-1)*((1+((1+$C$14)^(1/12)-1))*(((1+((1+$C$14)^(1/12)-1))^12-1)/((1+((1+$C$14)^(1/12)-1))-1))-12)),0))</f>
      </c>
    </row>
    <row r="7" spans="2:17" x14ac:dyDescent="0.25">
      <c r="B7" t="s">
        <v>446</v>
      </c>
      <c r="C7">
        <f>N('Inputs'!$E$100)</f>
      </c>
      <c r="I7">
        <v>3</v>
      </c>
      <c r="J7">
        <f>IF(I7&lt;$C$6,MAX(0,12*$C$7*(1+$C$8)^I7-K7),0)</f>
      </c>
      <c r="K7">
        <f>SUMPRODUCT(('Inputs'!$G$76:$G$81=$C$2)*($C$2&lt;&gt;"")*'Inputs'!$D$76:$D$81*(1+'Inputs'!$E$76:$E$81/100)^I7*(ABS('Inputs'!$F$76:$F$81-12*I7)-ABS(('Inputs'!$F$76:$F$81-12*I7)-12)+12)/2)</f>
      </c>
      <c r="L7">
        <f>IF(J7&gt;0,1,0)</f>
      </c>
      <c r="P7">
        <f>IF($C$9&lt;&gt;1,0,P6*(1+((1+$C$14)^(1/12)-1))^12-J6/12*(1+((1+$C$14)^(1/12)-1))*(((1+((1+$C$14)^(1/12)-1))^12-1)/((1+((1+$C$14)^(1/12)-1))-1)))</f>
      </c>
      <c r="Q7">
        <f>IF($C$9&lt;&gt;1,0,IFERROR((((1+($C$14+'Inputs'!$H$123/100))^(1/12)-1)-((1+$C$14)^(1/12)-1))*(P7*(((1+((1+$C$14)^(1/12)-1))^12-1)/((1+((1+$C$14)^(1/12)-1))-1))-J7/12/((1+((1+$C$14)^(1/12)-1))-1)*((1+((1+$C$14)^(1/12)-1))*(((1+((1+$C$14)^(1/12)-1))^12-1)/((1+((1+$C$14)^(1/12)-1))-1))-12)),0))</f>
      </c>
    </row>
    <row r="8" spans="2:17" x14ac:dyDescent="0.25">
      <c r="B8" t="s">
        <v>447</v>
      </c>
      <c r="C8">
        <f>IF('Inputs'!$G$100="",'Inputs'!$H$129/100,'Inputs'!$G$100/100)</f>
      </c>
      <c r="I8">
        <v>4</v>
      </c>
      <c r="J8">
        <f>IF(I8&lt;$C$6,MAX(0,12*$C$7*(1+$C$8)^I8-K8),0)</f>
      </c>
      <c r="K8">
        <f>SUMPRODUCT(('Inputs'!$G$76:$G$81=$C$2)*($C$2&lt;&gt;"")*'Inputs'!$D$76:$D$81*(1+'Inputs'!$E$76:$E$81/100)^I8*(ABS('Inputs'!$F$76:$F$81-12*I8)-ABS(('Inputs'!$F$76:$F$81-12*I8)-12)+12)/2)</f>
      </c>
      <c r="L8">
        <f>IF(J8&gt;0,1,0)</f>
      </c>
      <c r="P8">
        <f>IF($C$9&lt;&gt;1,0,P7*(1+((1+$C$14)^(1/12)-1))^12-J7/12*(1+((1+$C$14)^(1/12)-1))*(((1+((1+$C$14)^(1/12)-1))^12-1)/((1+((1+$C$14)^(1/12)-1))-1)))</f>
      </c>
      <c r="Q8">
        <f>IF($C$9&lt;&gt;1,0,IFERROR((((1+($C$14+'Inputs'!$H$123/100))^(1/12)-1)-((1+$C$14)^(1/12)-1))*(P8*(((1+((1+$C$14)^(1/12)-1))^12-1)/((1+((1+$C$14)^(1/12)-1))-1))-J8/12/((1+((1+$C$14)^(1/12)-1))-1)*((1+((1+$C$14)^(1/12)-1))*(((1+((1+$C$14)^(1/12)-1))^12-1)/((1+((1+$C$14)^(1/12)-1))-1))-12)),0))</f>
      </c>
    </row>
    <row r="9" spans="2:17" x14ac:dyDescent="0.25">
      <c r="B9" t="s">
        <v>448</v>
      </c>
      <c r="C9">
        <f>IF('Inputs'!$H$100="Yes",1,0)</f>
      </c>
      <c r="I9">
        <v>5</v>
      </c>
      <c r="J9">
        <f>IF(I9&lt;$C$6,MAX(0,12*$C$7*(1+$C$8)^I9-K9),0)</f>
      </c>
      <c r="K9">
        <f>SUMPRODUCT(('Inputs'!$G$76:$G$81=$C$2)*($C$2&lt;&gt;"")*'Inputs'!$D$76:$D$81*(1+'Inputs'!$E$76:$E$81/100)^I9*(ABS('Inputs'!$F$76:$F$81-12*I9)-ABS(('Inputs'!$F$76:$F$81-12*I9)-12)+12)/2)</f>
      </c>
      <c r="L9">
        <f>IF(J9&gt;0,1,0)</f>
      </c>
      <c r="P9">
        <f>IF($C$9&lt;&gt;1,0,P8*(1+((1+$C$14)^(1/12)-1))^12-J8/12*(1+((1+$C$14)^(1/12)-1))*(((1+((1+$C$14)^(1/12)-1))^12-1)/((1+((1+$C$14)^(1/12)-1))-1)))</f>
      </c>
      <c r="Q9">
        <f>IF($C$9&lt;&gt;1,0,IFERROR((((1+($C$14+'Inputs'!$H$123/100))^(1/12)-1)-((1+$C$14)^(1/12)-1))*(P9*(((1+((1+$C$14)^(1/12)-1))^12-1)/((1+((1+$C$14)^(1/12)-1))-1))-J9/12/((1+((1+$C$14)^(1/12)-1))-1)*((1+((1+$C$14)^(1/12)-1))*(((1+((1+$C$14)^(1/12)-1))^12-1)/((1+((1+$C$14)^(1/12)-1))-1))-12)),0))</f>
      </c>
    </row>
    <row r="10" spans="2:17" x14ac:dyDescent="0.25">
      <c r="B10" t="s">
        <v>449</v>
      </c>
      <c r="C10">
        <f>IF($C$2="",0,N('Inputs'!$J$100))</f>
      </c>
      <c r="I10">
        <v>6</v>
      </c>
      <c r="J10">
        <f>IF(I10&lt;$C$6,MAX(0,12*$C$7*(1+$C$8)^I10-K10),0)</f>
      </c>
      <c r="K10">
        <f>SUMPRODUCT(('Inputs'!$G$76:$G$81=$C$2)*($C$2&lt;&gt;"")*'Inputs'!$D$76:$D$81*(1+'Inputs'!$E$76:$E$81/100)^I10*(ABS('Inputs'!$F$76:$F$81-12*I10)-ABS(('Inputs'!$F$76:$F$81-12*I10)-12)+12)/2)</f>
      </c>
      <c r="L10">
        <f>IF(J10&gt;0,1,0)</f>
      </c>
      <c r="P10">
        <f>IF($C$9&lt;&gt;1,0,P9*(1+((1+$C$14)^(1/12)-1))^12-J9/12*(1+((1+$C$14)^(1/12)-1))*(((1+((1+$C$14)^(1/12)-1))^12-1)/((1+((1+$C$14)^(1/12)-1))-1)))</f>
      </c>
      <c r="Q10">
        <f>IF($C$9&lt;&gt;1,0,IFERROR((((1+($C$14+'Inputs'!$H$123/100))^(1/12)-1)-((1+$C$14)^(1/12)-1))*(P10*(((1+((1+$C$14)^(1/12)-1))^12-1)/((1+((1+$C$14)^(1/12)-1))-1))-J10/12/((1+((1+$C$14)^(1/12)-1))-1)*((1+((1+$C$14)^(1/12)-1))*(((1+((1+$C$14)^(1/12)-1))^12-1)/((1+((1+$C$14)^(1/12)-1))-1))-12)),0))</f>
      </c>
    </row>
    <row r="11" spans="2:17" x14ac:dyDescent="0.25">
      <c r="B11" t="s">
        <v>450</v>
      </c>
      <c r="C11">
        <f>ROUND(Q4,2)</f>
      </c>
      <c r="I11">
        <v>7</v>
      </c>
      <c r="J11">
        <f>IF(I11&lt;$C$6,MAX(0,12*$C$7*(1+$C$8)^I11-K11),0)</f>
      </c>
      <c r="K11">
        <f>SUMPRODUCT(('Inputs'!$G$76:$G$81=$C$2)*($C$2&lt;&gt;"")*'Inputs'!$D$76:$D$81*(1+'Inputs'!$E$76:$E$81/100)^I11*(ABS('Inputs'!$F$76:$F$81-12*I11)-ABS(('Inputs'!$F$76:$F$81-12*I11)-12)+12)/2)</f>
      </c>
      <c r="L11">
        <f>IF(J11&gt;0,1,0)</f>
      </c>
      <c r="P11">
        <f>IF($C$9&lt;&gt;1,0,P10*(1+((1+$C$14)^(1/12)-1))^12-J10/12*(1+((1+$C$14)^(1/12)-1))*(((1+((1+$C$14)^(1/12)-1))^12-1)/((1+((1+$C$14)^(1/12)-1))-1)))</f>
      </c>
      <c r="Q11">
        <f>IF($C$9&lt;&gt;1,0,IFERROR((((1+($C$14+'Inputs'!$H$123/100))^(1/12)-1)-((1+$C$14)^(1/12)-1))*(P11*(((1+((1+$C$14)^(1/12)-1))^12-1)/((1+((1+$C$14)^(1/12)-1))-1))-J11/12/((1+((1+$C$14)^(1/12)-1))-1)*((1+((1+$C$14)^(1/12)-1))*(((1+((1+$C$14)^(1/12)-1))^12-1)/((1+((1+$C$14)^(1/12)-1))-1))-12)),0))</f>
      </c>
    </row>
    <row r="12" spans="2:17" x14ac:dyDescent="0.25">
      <c r="B12" t="s">
        <v>451</v>
      </c>
      <c r="C12">
        <f>ROUND(SUM($Q$4:$Q$53),2)</f>
      </c>
      <c r="I12">
        <v>8</v>
      </c>
      <c r="J12">
        <f>IF(I12&lt;$C$6,MAX(0,12*$C$7*(1+$C$8)^I12-K12),0)</f>
      </c>
      <c r="K12">
        <f>SUMPRODUCT(('Inputs'!$G$76:$G$81=$C$2)*($C$2&lt;&gt;"")*'Inputs'!$D$76:$D$81*(1+'Inputs'!$E$76:$E$81/100)^I12*(ABS('Inputs'!$F$76:$F$81-12*I12)-ABS(('Inputs'!$F$76:$F$81-12*I12)-12)+12)/2)</f>
      </c>
      <c r="L12">
        <f>IF(J12&gt;0,1,0)</f>
      </c>
      <c r="P12">
        <f>IF($C$9&lt;&gt;1,0,P11*(1+((1+$C$14)^(1/12)-1))^12-J11/12*(1+((1+$C$14)^(1/12)-1))*(((1+((1+$C$14)^(1/12)-1))^12-1)/((1+((1+$C$14)^(1/12)-1))-1)))</f>
      </c>
      <c r="Q12">
        <f>IF($C$9&lt;&gt;1,0,IFERROR((((1+($C$14+'Inputs'!$H$123/100))^(1/12)-1)-((1+$C$14)^(1/12)-1))*(P12*(((1+((1+$C$14)^(1/12)-1))^12-1)/((1+((1+$C$14)^(1/12)-1))-1))-J12/12/((1+((1+$C$14)^(1/12)-1))-1)*((1+((1+$C$14)^(1/12)-1))*(((1+((1+$C$14)^(1/12)-1))^12-1)/((1+((1+$C$14)^(1/12)-1))-1))-12)),0))</f>
      </c>
    </row>
    <row r="13" spans="2:17" x14ac:dyDescent="0.25">
      <c r="B13" t="s">
        <v>452</v>
      </c>
      <c r="C13">
        <f>IF($C$9&lt;&gt;1,0,ROUND(IF($C$14=0,SUM($J$4:$J$53),(1-(1+$C$14)^-1)/(1-(1+$C$14)^(-1/12))/12*SUMPRODUCT($J$4:$J$53,(1+$C$14)^(-$I$4:$I$53)))-IF(($C$14+'Inputs'!$H$123/100)=0,SUM($J$4:$J$53),(1-(1+($C$14+'Inputs'!$H$123/100))^-1)/(1-(1+($C$14+'Inputs'!$H$123/100))^(-1/12))/12*SUMPRODUCT($J$4:$J$53,(1+($C$14+'Inputs'!$H$123/100))^(-$I$4:$I$53))),2))</f>
      </c>
      <c r="I13">
        <v>9</v>
      </c>
      <c r="J13">
        <f>IF(I13&lt;$C$6,MAX(0,12*$C$7*(1+$C$8)^I13-K13),0)</f>
      </c>
      <c r="K13">
        <f>SUMPRODUCT(('Inputs'!$G$76:$G$81=$C$2)*($C$2&lt;&gt;"")*'Inputs'!$D$76:$D$81*(1+'Inputs'!$E$76:$E$81/100)^I13*(ABS('Inputs'!$F$76:$F$81-12*I13)-ABS(('Inputs'!$F$76:$F$81-12*I13)-12)+12)/2)</f>
      </c>
      <c r="L13">
        <f>IF(J13&gt;0,1,0)</f>
      </c>
      <c r="P13">
        <f>IF($C$9&lt;&gt;1,0,P12*(1+((1+$C$14)^(1/12)-1))^12-J12/12*(1+((1+$C$14)^(1/12)-1))*(((1+((1+$C$14)^(1/12)-1))^12-1)/((1+((1+$C$14)^(1/12)-1))-1)))</f>
      </c>
      <c r="Q13">
        <f>IF($C$9&lt;&gt;1,0,IFERROR((((1+($C$14+'Inputs'!$H$123/100))^(1/12)-1)-((1+$C$14)^(1/12)-1))*(P13*(((1+((1+$C$14)^(1/12)-1))^12-1)/((1+((1+$C$14)^(1/12)-1))-1))-J13/12/((1+((1+$C$14)^(1/12)-1))-1)*((1+((1+$C$14)^(1/12)-1))*(((1+((1+$C$14)^(1/12)-1))^12-1)/((1+((1+$C$14)^(1/12)-1))-1))-12)),0))</f>
      </c>
    </row>
    <row r="14" spans="2:17" x14ac:dyDescent="0.25">
      <c r="B14" t="s">
        <v>453</v>
      </c>
      <c r="C14">
        <f>IF($C$9=1,'Needs calc'!$C$43,0)</f>
      </c>
      <c r="I14">
        <v>10</v>
      </c>
      <c r="J14">
        <f>IF(I14&lt;$C$6,MAX(0,12*$C$7*(1+$C$8)^I14-K14),0)</f>
      </c>
      <c r="K14">
        <f>SUMPRODUCT(('Inputs'!$G$76:$G$81=$C$2)*($C$2&lt;&gt;"")*'Inputs'!$D$76:$D$81*(1+'Inputs'!$E$76:$E$81/100)^I14*(ABS('Inputs'!$F$76:$F$81-12*I14)-ABS(('Inputs'!$F$76:$F$81-12*I14)-12)+12)/2)</f>
      </c>
      <c r="L14">
        <f>IF(J14&gt;0,1,0)</f>
      </c>
      <c r="P14">
        <f>IF($C$9&lt;&gt;1,0,P13*(1+((1+$C$14)^(1/12)-1))^12-J13/12*(1+((1+$C$14)^(1/12)-1))*(((1+((1+$C$14)^(1/12)-1))^12-1)/((1+((1+$C$14)^(1/12)-1))-1)))</f>
      </c>
      <c r="Q14">
        <f>IF($C$9&lt;&gt;1,0,IFERROR((((1+($C$14+'Inputs'!$H$123/100))^(1/12)-1)-((1+$C$14)^(1/12)-1))*(P14*(((1+((1+$C$14)^(1/12)-1))^12-1)/((1+((1+$C$14)^(1/12)-1))-1))-J14/12/((1+((1+$C$14)^(1/12)-1))-1)*((1+((1+$C$14)^(1/12)-1))*(((1+((1+$C$14)^(1/12)-1))^12-1)/((1+((1+$C$14)^(1/12)-1))-1))-12)),0))</f>
      </c>
    </row>
    <row r="15" spans="2:17" x14ac:dyDescent="0.25">
      <c r="B15" t="s">
        <v>454</v>
      </c>
      <c r="C15">
        <f>SUMPRODUCT(('Inputs'!$G$76:$G$81=$C$2)*($C$2&lt;&gt;"")*('Inputs'!$F$76:$F$81&gt;0)*'Inputs'!$D$76:$D$81)</f>
      </c>
      <c r="I15">
        <v>11</v>
      </c>
      <c r="J15">
        <f>IF(I15&lt;$C$6,MAX(0,12*$C$7*(1+$C$8)^I15-K15),0)</f>
      </c>
      <c r="K15">
        <f>SUMPRODUCT(('Inputs'!$G$76:$G$81=$C$2)*($C$2&lt;&gt;"")*'Inputs'!$D$76:$D$81*(1+'Inputs'!$E$76:$E$81/100)^I15*(ABS('Inputs'!$F$76:$F$81-12*I15)-ABS(('Inputs'!$F$76:$F$81-12*I15)-12)+12)/2)</f>
      </c>
      <c r="L15">
        <f>IF(J15&gt;0,1,0)</f>
      </c>
      <c r="P15">
        <f>IF($C$9&lt;&gt;1,0,P14*(1+((1+$C$14)^(1/12)-1))^12-J14/12*(1+((1+$C$14)^(1/12)-1))*(((1+((1+$C$14)^(1/12)-1))^12-1)/((1+((1+$C$14)^(1/12)-1))-1)))</f>
      </c>
      <c r="Q15">
        <f>IF($C$9&lt;&gt;1,0,IFERROR((((1+($C$14+'Inputs'!$H$123/100))^(1/12)-1)-((1+$C$14)^(1/12)-1))*(P15*(((1+((1+$C$14)^(1/12)-1))^12-1)/((1+((1+$C$14)^(1/12)-1))-1))-J15/12/((1+((1+$C$14)^(1/12)-1))-1)*((1+((1+$C$14)^(1/12)-1))*(((1+((1+$C$14)^(1/12)-1))^12-1)/((1+((1+$C$14)^(1/12)-1))-1))-12)),0))</f>
      </c>
    </row>
    <row r="16" spans="2:17" x14ac:dyDescent="0.25">
      <c r="B16" t="s">
        <v>455</v>
      </c>
      <c r="C16">
        <f>IF($C$6&gt;0,$C$7-J4/12,0)</f>
      </c>
      <c r="I16">
        <v>12</v>
      </c>
      <c r="J16">
        <f>IF(I16&lt;$C$6,MAX(0,12*$C$7*(1+$C$8)^I16-K16),0)</f>
      </c>
      <c r="K16">
        <f>SUMPRODUCT(('Inputs'!$G$76:$G$81=$C$2)*($C$2&lt;&gt;"")*'Inputs'!$D$76:$D$81*(1+'Inputs'!$E$76:$E$81/100)^I16*(ABS('Inputs'!$F$76:$F$81-12*I16)-ABS(('Inputs'!$F$76:$F$81-12*I16)-12)+12)/2)</f>
      </c>
      <c r="L16">
        <f>IF(J16&gt;0,1,0)</f>
      </c>
      <c r="P16">
        <f>IF($C$9&lt;&gt;1,0,P15*(1+((1+$C$14)^(1/12)-1))^12-J15/12*(1+((1+$C$14)^(1/12)-1))*(((1+((1+$C$14)^(1/12)-1))^12-1)/((1+((1+$C$14)^(1/12)-1))-1)))</f>
      </c>
      <c r="Q16">
        <f>IF($C$9&lt;&gt;1,0,IFERROR((((1+($C$14+'Inputs'!$H$123/100))^(1/12)-1)-((1+$C$14)^(1/12)-1))*(P16*(((1+((1+$C$14)^(1/12)-1))^12-1)/((1+((1+$C$14)^(1/12)-1))-1))-J16/12/((1+((1+$C$14)^(1/12)-1))-1)*((1+((1+$C$14)^(1/12)-1))*(((1+((1+$C$14)^(1/12)-1))^12-1)/((1+((1+$C$14)^(1/12)-1))-1))-12)),0))</f>
      </c>
    </row>
    <row r="17" spans="2:17" x14ac:dyDescent="0.25">
      <c r="B17" t="s">
        <v>456</v>
      </c>
      <c r="C17">
        <f>SUMPRODUCT(MAX(('Inputs'!$G$76:$G$81=$C$2)*($C$2&lt;&gt;"")*'Inputs'!$F$76:$F$81))</f>
      </c>
      <c r="I17">
        <v>13</v>
      </c>
      <c r="J17">
        <f>IF(I17&lt;$C$6,MAX(0,12*$C$7*(1+$C$8)^I17-K17),0)</f>
      </c>
      <c r="K17">
        <f>SUMPRODUCT(('Inputs'!$G$76:$G$81=$C$2)*($C$2&lt;&gt;"")*'Inputs'!$D$76:$D$81*(1+'Inputs'!$E$76:$E$81/100)^I17*(ABS('Inputs'!$F$76:$F$81-12*I17)-ABS(('Inputs'!$F$76:$F$81-12*I17)-12)+12)/2)</f>
      </c>
      <c r="L17">
        <f>IF(J17&gt;0,1,0)</f>
      </c>
      <c r="P17">
        <f>IF($C$9&lt;&gt;1,0,P16*(1+((1+$C$14)^(1/12)-1))^12-J16/12*(1+((1+$C$14)^(1/12)-1))*(((1+((1+$C$14)^(1/12)-1))^12-1)/((1+((1+$C$14)^(1/12)-1))-1)))</f>
      </c>
      <c r="Q17">
        <f>IF($C$9&lt;&gt;1,0,IFERROR((((1+($C$14+'Inputs'!$H$123/100))^(1/12)-1)-((1+$C$14)^(1/12)-1))*(P17*(((1+((1+$C$14)^(1/12)-1))^12-1)/((1+((1+$C$14)^(1/12)-1))-1))-J17/12/((1+((1+$C$14)^(1/12)-1))-1)*((1+((1+$C$14)^(1/12)-1))*(((1+((1+$C$14)^(1/12)-1))^12-1)/((1+((1+$C$14)^(1/12)-1))-1))-12)),0))</f>
      </c>
    </row>
    <row r="18" spans="2:17" x14ac:dyDescent="0.25">
      <c r="B18" t="s">
        <v>457</v>
      </c>
      <c r="C18">
        <f>SUM($J$4:$J$53)</f>
      </c>
      <c r="I18">
        <v>14</v>
      </c>
      <c r="J18">
        <f>IF(I18&lt;$C$6,MAX(0,12*$C$7*(1+$C$8)^I18-K18),0)</f>
      </c>
      <c r="K18">
        <f>SUMPRODUCT(('Inputs'!$G$76:$G$81=$C$2)*($C$2&lt;&gt;"")*'Inputs'!$D$76:$D$81*(1+'Inputs'!$E$76:$E$81/100)^I18*(ABS('Inputs'!$F$76:$F$81-12*I18)-ABS(('Inputs'!$F$76:$F$81-12*I18)-12)+12)/2)</f>
      </c>
      <c r="L18">
        <f>IF(J18&gt;0,1,0)</f>
      </c>
      <c r="P18">
        <f>IF($C$9&lt;&gt;1,0,P17*(1+((1+$C$14)^(1/12)-1))^12-J17/12*(1+((1+$C$14)^(1/12)-1))*(((1+((1+$C$14)^(1/12)-1))^12-1)/((1+((1+$C$14)^(1/12)-1))-1)))</f>
      </c>
      <c r="Q18">
        <f>IF($C$9&lt;&gt;1,0,IFERROR((((1+($C$14+'Inputs'!$H$123/100))^(1/12)-1)-((1+$C$14)^(1/12)-1))*(P18*(((1+((1+$C$14)^(1/12)-1))^12-1)/((1+((1+$C$14)^(1/12)-1))-1))-J18/12/((1+((1+$C$14)^(1/12)-1))-1)*((1+((1+$C$14)^(1/12)-1))*(((1+((1+$C$14)^(1/12)-1))^12-1)/((1+((1+$C$14)^(1/12)-1))-1))-12)),0))</f>
      </c>
    </row>
    <row r="19" spans="2:17" x14ac:dyDescent="0.25">
      <c r="B19" t="s">
        <v>458</v>
      </c>
      <c r="C19">
        <f>IF('Needs calc'!$C$45&gt;0,IF('Inputs'!$O$100*SUM('Inputs'!$U$100:$U$105)&gt;0,IF('Needs calc'!$C$40&gt;='Needs calc'!$C$48,'Inputs'!$B$100&amp;IF(SUM('Inputs'!$U$100:$U$105)=1," and "&amp;IF('Inputs'!$U$100=1,'Inputs'!$B$100,"")&amp;IF('Inputs'!$U$101=1,'Inputs'!$B$101,"")&amp;IF('Inputs'!$U$102=1,'Inputs'!$B$102,"")&amp;IF('Inputs'!$U$103=1,'Inputs'!$B$103,"")&amp;IF('Inputs'!$U$104=1,'Inputs'!$B$104,"")&amp;IF('Inputs'!$U$105=1,'Inputs'!$B$105,"")," and the children")&amp;" would have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you want for them"&amp;IF('Needs calc'!$C$48&gt;0,", after the R "&amp;FIXED(ROUND('Needs calc'!$C$48,-3),0)&amp;" once-off","")&amp;". ",'Inputs'!$B$100&amp;IF(SUM('Inputs'!$U$100:$U$105)=1," and "&amp;IF('Inputs'!$U$100=1,'Inputs'!$B$100,"")&amp;IF('Inputs'!$U$101=1,'Inputs'!$B$101,"")&amp;IF('Inputs'!$U$102=1,'Inputs'!$B$102,"")&amp;IF('Inputs'!$U$103=1,'Inputs'!$B$103,"")&amp;IF('Inputs'!$U$104=1,'Inputs'!$B$104,"")&amp;IF('Inputs'!$U$105=1,'Inputs'!$B$105,"")," and the children")&amp;" would have "&amp;IF('Needs calc'!$C$40&lt;=0,"nothing","about R "&amp;FIXED(ROUND('Needs calc'!$C$40,-3),0))&amp;" of the R "&amp;FIXED(ROUND('Needs calc'!$C$48,-3),0)&amp;" once-off you want for them, and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"),IF(N('Inputs'!$E$100)&gt;0,IF('Needs years'!$C$15&lt;=0,IF('Needs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death income covers the R "&amp;FIXED(ROUND('Inputs'!$E$100,-2),0)&amp;" a month you want"&amp;", but "&amp;'Inputs'!$B$100&amp;" would have "&amp;IF('Needs calc'!$C$40&lt;=0,"nothing","about R "&amp;FIXED(ROUND('Needs calc'!$C$40,-3),0))&amp;" of the R "&amp;FIXED(ROUND('Needs years'!$C$10,-3),0)&amp;" once-off you want for them. ",'Inputs'!$B$100&amp;"'s death income covers the R "&amp;FIXED(ROUND('Inputs'!$E$100,-2),0)&amp;" a month you want"&amp;", but the estate duty on it, about R "&amp;FIXED(ROUND('Needs years'!$C$21,-3),0)&amp;", leaves "&amp;'Inputs'!$B$100&amp;" short. "),IF('Needs years'!$J$4&lt;=0,'Inputs'!$B$100&amp;"'s death income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death income, and less once it stops. ",IF('Needs calc'!$C$40&gt;='Needs years'!$C$10,'Inputs'!$B$100&amp;" would have about R "&amp;FIXED(ROUND('Needs calc'!$C$46,-2),0)&amp;" a month of the R "&amp;FIXED(ROUND('Inputs'!$E$100,-2),0)&amp;" you want, part of it from the death income,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death income,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f>
      </c>
      <c r="L19">
        <f>IF(J19&gt;0,1,0)</f>
      </c>
      <c r="P19">
        <f>IF($C$9&lt;&gt;1,0,P18*(1+((1+$C$14)^(1/12)-1))^12-J18/12*(1+((1+$C$14)^(1/12)-1))*(((1+((1+$C$14)^(1/12)-1))^12-1)/((1+((1+$C$14)^(1/12)-1))-1)))</f>
      </c>
      <c r="Q19">
        <f>IF($C$9&lt;&gt;1,0,IFERROR((((1+($C$14+'Inputs'!$H$123/100))^(1/12)-1)-((1+$C$14)^(1/12)-1))*(P19*(((1+((1+$C$14)^(1/12)-1))^12-1)/((1+((1+$C$14)^(1/12)-1))-1))-J19/12/((1+((1+$C$14)^(1/12)-1))-1)*((1+((1+$C$14)^(1/12)-1))*(((1+((1+$C$14)^(1/12)-1))^12-1)/((1+((1+$C$14)^(1/12)-1))-1))-12)),0))</f>
      </c>
    </row>
    <row r="20" spans="2:17" x14ac:dyDescent="0.25">
      <c r="B20" t="s">
        <v>459</v>
      </c>
      <c r="C20">
        <f>IFERROR(MATCH(1,$L$4:$L$53,0)-1,$C$6)</f>
      </c>
      <c r="I20">
        <v>16</v>
      </c>
      <c r="J20">
        <f>IF(I20&lt;$C$6,MAX(0,12*$C$7*(1+$C$8)^I20-K20),0)</f>
      </c>
      <c r="K20">
        <f>SUMPRODUCT(('Inputs'!$G$76:$G$81=$C$2)*($C$2&lt;&gt;"")*'Inputs'!$D$76:$D$81*(1+'Inputs'!$E$76:$E$81/100)^I20*(ABS('Inputs'!$F$76:$F$81-12*I20)-ABS(('Inputs'!$F$76:$F$81-12*I20)-12)+12)/2)</f>
      </c>
      <c r="L20">
        <f>IF(J20&gt;0,1,0)</f>
      </c>
      <c r="P20">
        <f>IF($C$9&lt;&gt;1,0,P19*(1+((1+$C$14)^(1/12)-1))^12-J19/12*(1+((1+$C$14)^(1/12)-1))*(((1+((1+$C$14)^(1/12)-1))^12-1)/((1+((1+$C$14)^(1/12)-1))-1)))</f>
      </c>
      <c r="Q20">
        <f>IF($C$9&lt;&gt;1,0,IFERROR((((1+($C$14+'Inputs'!$H$123/100))^(1/12)-1)-((1+$C$14)^(1/12)-1))*(P20*(((1+((1+$C$14)^(1/12)-1))^12-1)/((1+((1+$C$14)^(1/12)-1))-1))-J20/12/((1+((1+$C$14)^(1/12)-1))-1)*((1+((1+$C$14)^(1/12)-1))*(((1+((1+$C$14)^(1/12)-1))^12-1)/((1+((1+$C$14)^(1/12)-1))-1))-12)),0))</f>
      </c>
    </row>
    <row r="21" spans="2:17" x14ac:dyDescent="0.25">
      <c r="B21" t="s">
        <v>460</v>
      </c>
      <c r="C21">
        <f>SUMPRODUCT(('Inputs'!$G$76:$G$81=$C$2)*($C$2&lt;&gt;"")*'Inputs'!$P$76:$P$81)</f>
      </c>
      <c r="I21">
        <v>17</v>
      </c>
      <c r="J21">
        <f>IF(I21&lt;$C$6,MAX(0,12*$C$7*(1+$C$8)^I21-K21),0)</f>
      </c>
      <c r="K21">
        <f>SUMPRODUCT(('Inputs'!$G$76:$G$81=$C$2)*($C$2&lt;&gt;"")*'Inputs'!$D$76:$D$81*(1+'Inputs'!$E$76:$E$81/100)^I21*(ABS('Inputs'!$F$76:$F$81-12*I21)-ABS(('Inputs'!$F$76:$F$81-12*I21)-12)+12)/2)</f>
      </c>
      <c r="L21">
        <f>IF(J21&gt;0,1,0)</f>
      </c>
      <c r="P21">
        <f>IF($C$9&lt;&gt;1,0,P20*(1+((1+$C$14)^(1/12)-1))^12-J20/12*(1+((1+$C$14)^(1/12)-1))*(((1+((1+$C$14)^(1/12)-1))^12-1)/((1+((1+$C$14)^(1/12)-1))-1)))</f>
      </c>
      <c r="Q21">
        <f>IF($C$9&lt;&gt;1,0,IFERROR((((1+($C$14+'Inputs'!$H$123/100))^(1/12)-1)-((1+$C$14)^(1/12)-1))*(P21*(((1+((1+$C$14)^(1/12)-1))^12-1)/((1+((1+$C$14)^(1/12)-1))-1))-J21/12/((1+((1+$C$14)^(1/12)-1))-1)*((1+((1+$C$14)^(1/12)-1))*(((1+((1+$C$14)^(1/12)-1))^12-1)/((1+((1+$C$14)^(1/12)-1))-1))-12)),0))</f>
      </c>
    </row>
    <row r="22" spans="9:17" x14ac:dyDescent="0.25">
      <c r="I22">
        <v>18</v>
      </c>
      <c r="J22">
        <f>IF(I22&lt;$C$6,MAX(0,12*$C$7*(1+$C$8)^I22-K22),0)</f>
      </c>
      <c r="K22">
        <f>SUMPRODUCT(('Inputs'!$G$76:$G$81=$C$2)*($C$2&lt;&gt;"")*'Inputs'!$D$76:$D$81*(1+'Inputs'!$E$76:$E$81/100)^I22*(ABS('Inputs'!$F$76:$F$81-12*I22)-ABS(('Inputs'!$F$76:$F$81-12*I22)-12)+12)/2)</f>
      </c>
      <c r="L22">
        <f>IF(J22&gt;0,1,0)</f>
      </c>
      <c r="P22">
        <f>IF($C$9&lt;&gt;1,0,P21*(1+((1+$C$14)^(1/12)-1))^12-J21/12*(1+((1+$C$14)^(1/12)-1))*(((1+((1+$C$14)^(1/12)-1))^12-1)/((1+((1+$C$14)^(1/12)-1))-1)))</f>
      </c>
      <c r="Q22">
        <f>IF($C$9&lt;&gt;1,0,IFERROR((((1+($C$14+'Inputs'!$H$123/100))^(1/12)-1)-((1+$C$14)^(1/12)-1))*(P22*(((1+((1+$C$14)^(1/12)-1))^12-1)/((1+((1+$C$14)^(1/12)-1))-1))-J22/12/((1+((1+$C$14)^(1/12)-1))-1)*((1+((1+$C$14)^(1/12)-1))*(((1+((1+$C$14)^(1/12)-1))^12-1)/((1+((1+$C$14)^(1/12)-1))-1))-12)),0))</f>
      </c>
    </row>
    <row r="23" spans="9:17" x14ac:dyDescent="0.25">
      <c r="I23">
        <v>19</v>
      </c>
      <c r="J23">
        <f>IF(I23&lt;$C$6,MAX(0,12*$C$7*(1+$C$8)^I23-K23),0)</f>
      </c>
      <c r="K23">
        <f>SUMPRODUCT(('Inputs'!$G$76:$G$81=$C$2)*($C$2&lt;&gt;"")*'Inputs'!$D$76:$D$81*(1+'Inputs'!$E$76:$E$81/100)^I23*(ABS('Inputs'!$F$76:$F$81-12*I23)-ABS(('Inputs'!$F$76:$F$81-12*I23)-12)+12)/2)</f>
      </c>
      <c r="L23">
        <f>IF(J23&gt;0,1,0)</f>
      </c>
      <c r="P23">
        <f>IF($C$9&lt;&gt;1,0,P22*(1+((1+$C$14)^(1/12)-1))^12-J22/12*(1+((1+$C$14)^(1/12)-1))*(((1+((1+$C$14)^(1/12)-1))^12-1)/((1+((1+$C$14)^(1/12)-1))-1)))</f>
      </c>
      <c r="Q23">
        <f>IF($C$9&lt;&gt;1,0,IFERROR((((1+($C$14+'Inputs'!$H$123/100))^(1/12)-1)-((1+$C$14)^(1/12)-1))*(P23*(((1+((1+$C$14)^(1/12)-1))^12-1)/((1+((1+$C$14)^(1/12)-1))-1))-J23/12/((1+((1+$C$14)^(1/12)-1))-1)*((1+((1+$C$14)^(1/12)-1))*(((1+((1+$C$14)^(1/12)-1))^12-1)/((1+((1+$C$14)^(1/12)-1))-1))-12)),0))</f>
      </c>
    </row>
    <row r="24" spans="9:17" x14ac:dyDescent="0.25">
      <c r="I24">
        <v>20</v>
      </c>
      <c r="J24">
        <f>IF(I24&lt;$C$6,MAX(0,12*$C$7*(1+$C$8)^I24-K24),0)</f>
      </c>
      <c r="K24">
        <f>SUMPRODUCT(('Inputs'!$G$76:$G$81=$C$2)*($C$2&lt;&gt;"")*'Inputs'!$D$76:$D$81*(1+'Inputs'!$E$76:$E$81/100)^I24*(ABS('Inputs'!$F$76:$F$81-12*I24)-ABS(('Inputs'!$F$76:$F$81-12*I24)-12)+12)/2)</f>
      </c>
      <c r="L24">
        <f>IF(J24&gt;0,1,0)</f>
      </c>
      <c r="P24">
        <f>IF($C$9&lt;&gt;1,0,P23*(1+((1+$C$14)^(1/12)-1))^12-J23/12*(1+((1+$C$14)^(1/12)-1))*(((1+((1+$C$14)^(1/12)-1))^12-1)/((1+((1+$C$14)^(1/12)-1))-1)))</f>
      </c>
      <c r="Q24">
        <f>IF($C$9&lt;&gt;1,0,IFERROR((((1+($C$14+'Inputs'!$H$123/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f>
      </c>
      <c r="L25">
        <f>IF(J25&gt;0,1,0)</f>
      </c>
      <c r="P25">
        <f>IF($C$9&lt;&gt;1,0,P24*(1+((1+$C$14)^(1/12)-1))^12-J24/12*(1+((1+$C$14)^(1/12)-1))*(((1+((1+$C$14)^(1/12)-1))^12-1)/((1+((1+$C$14)^(1/12)-1))-1)))</f>
      </c>
      <c r="Q25">
        <f>IF($C$9&lt;&gt;1,0,IFERROR((((1+($C$14+'Inputs'!$H$123/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f>
      </c>
      <c r="L26">
        <f>IF(J26&gt;0,1,0)</f>
      </c>
      <c r="P26">
        <f>IF($C$9&lt;&gt;1,0,P25*(1+((1+$C$14)^(1/12)-1))^12-J25/12*(1+((1+$C$14)^(1/12)-1))*(((1+((1+$C$14)^(1/12)-1))^12-1)/((1+((1+$C$14)^(1/12)-1))-1)))</f>
      </c>
      <c r="Q26">
        <f>IF($C$9&lt;&gt;1,0,IFERROR((((1+($C$14+'Inputs'!$H$123/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f>
      </c>
      <c r="L27">
        <f>IF(J27&gt;0,1,0)</f>
      </c>
      <c r="P27">
        <f>IF($C$9&lt;&gt;1,0,P26*(1+((1+$C$14)^(1/12)-1))^12-J26/12*(1+((1+$C$14)^(1/12)-1))*(((1+((1+$C$14)^(1/12)-1))^12-1)/((1+((1+$C$14)^(1/12)-1))-1)))</f>
      </c>
      <c r="Q27">
        <f>IF($C$9&lt;&gt;1,0,IFERROR((((1+($C$14+'Inputs'!$H$123/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f>
      </c>
      <c r="L28">
        <f>IF(J28&gt;0,1,0)</f>
      </c>
      <c r="P28">
        <f>IF($C$9&lt;&gt;1,0,P27*(1+((1+$C$14)^(1/12)-1))^12-J27/12*(1+((1+$C$14)^(1/12)-1))*(((1+((1+$C$14)^(1/12)-1))^12-1)/((1+((1+$C$14)^(1/12)-1))-1)))</f>
      </c>
      <c r="Q28">
        <f>IF($C$9&lt;&gt;1,0,IFERROR((((1+($C$14+'Inputs'!$H$123/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f>
      </c>
      <c r="L29">
        <f>IF(J29&gt;0,1,0)</f>
      </c>
      <c r="P29">
        <f>IF($C$9&lt;&gt;1,0,P28*(1+((1+$C$14)^(1/12)-1))^12-J28/12*(1+((1+$C$14)^(1/12)-1))*(((1+((1+$C$14)^(1/12)-1))^12-1)/((1+((1+$C$14)^(1/12)-1))-1)))</f>
      </c>
      <c r="Q29">
        <f>IF($C$9&lt;&gt;1,0,IFERROR((((1+($C$14+'Inputs'!$H$123/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f>
      </c>
      <c r="L30">
        <f>IF(J30&gt;0,1,0)</f>
      </c>
      <c r="P30">
        <f>IF($C$9&lt;&gt;1,0,P29*(1+((1+$C$14)^(1/12)-1))^12-J29/12*(1+((1+$C$14)^(1/12)-1))*(((1+((1+$C$14)^(1/12)-1))^12-1)/((1+((1+$C$14)^(1/12)-1))-1)))</f>
      </c>
      <c r="Q30">
        <f>IF($C$9&lt;&gt;1,0,IFERROR((((1+($C$14+'Inputs'!$H$123/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f>
      </c>
      <c r="L31">
        <f>IF(J31&gt;0,1,0)</f>
      </c>
      <c r="P31">
        <f>IF($C$9&lt;&gt;1,0,P30*(1+((1+$C$14)^(1/12)-1))^12-J30/12*(1+((1+$C$14)^(1/12)-1))*(((1+((1+$C$14)^(1/12)-1))^12-1)/((1+((1+$C$14)^(1/12)-1))-1)))</f>
      </c>
      <c r="Q31">
        <f>IF($C$9&lt;&gt;1,0,IFERROR((((1+($C$14+'Inputs'!$H$123/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f>
      </c>
      <c r="L32">
        <f>IF(J32&gt;0,1,0)</f>
      </c>
      <c r="P32">
        <f>IF($C$9&lt;&gt;1,0,P31*(1+((1+$C$14)^(1/12)-1))^12-J31/12*(1+((1+$C$14)^(1/12)-1))*(((1+((1+$C$14)^(1/12)-1))^12-1)/((1+((1+$C$14)^(1/12)-1))-1)))</f>
      </c>
      <c r="Q32">
        <f>IF($C$9&lt;&gt;1,0,IFERROR((((1+($C$14+'Inputs'!$H$123/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f>
      </c>
      <c r="L33">
        <f>IF(J33&gt;0,1,0)</f>
      </c>
      <c r="P33">
        <f>IF($C$9&lt;&gt;1,0,P32*(1+((1+$C$14)^(1/12)-1))^12-J32/12*(1+((1+$C$14)^(1/12)-1))*(((1+((1+$C$14)^(1/12)-1))^12-1)/((1+((1+$C$14)^(1/12)-1))-1)))</f>
      </c>
      <c r="Q33">
        <f>IF($C$9&lt;&gt;1,0,IFERROR((((1+($C$14+'Inputs'!$H$123/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f>
      </c>
      <c r="L34">
        <f>IF(J34&gt;0,1,0)</f>
      </c>
      <c r="P34">
        <f>IF($C$9&lt;&gt;1,0,P33*(1+((1+$C$14)^(1/12)-1))^12-J33/12*(1+((1+$C$14)^(1/12)-1))*(((1+((1+$C$14)^(1/12)-1))^12-1)/((1+((1+$C$14)^(1/12)-1))-1)))</f>
      </c>
      <c r="Q34">
        <f>IF($C$9&lt;&gt;1,0,IFERROR((((1+($C$14+'Inputs'!$H$123/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f>
      </c>
      <c r="L35">
        <f>IF(J35&gt;0,1,0)</f>
      </c>
      <c r="P35">
        <f>IF($C$9&lt;&gt;1,0,P34*(1+((1+$C$14)^(1/12)-1))^12-J34/12*(1+((1+$C$14)^(1/12)-1))*(((1+((1+$C$14)^(1/12)-1))^12-1)/((1+((1+$C$14)^(1/12)-1))-1)))</f>
      </c>
      <c r="Q35">
        <f>IF($C$9&lt;&gt;1,0,IFERROR((((1+($C$14+'Inputs'!$H$123/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f>
      </c>
      <c r="L36">
        <f>IF(J36&gt;0,1,0)</f>
      </c>
      <c r="P36">
        <f>IF($C$9&lt;&gt;1,0,P35*(1+((1+$C$14)^(1/12)-1))^12-J35/12*(1+((1+$C$14)^(1/12)-1))*(((1+((1+$C$14)^(1/12)-1))^12-1)/((1+((1+$C$14)^(1/12)-1))-1)))</f>
      </c>
      <c r="Q36">
        <f>IF($C$9&lt;&gt;1,0,IFERROR((((1+($C$14+'Inputs'!$H$123/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f>
      </c>
      <c r="L37">
        <f>IF(J37&gt;0,1,0)</f>
      </c>
      <c r="P37">
        <f>IF($C$9&lt;&gt;1,0,P36*(1+((1+$C$14)^(1/12)-1))^12-J36/12*(1+((1+$C$14)^(1/12)-1))*(((1+((1+$C$14)^(1/12)-1))^12-1)/((1+((1+$C$14)^(1/12)-1))-1)))</f>
      </c>
      <c r="Q37">
        <f>IF($C$9&lt;&gt;1,0,IFERROR((((1+($C$14+'Inputs'!$H$123/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f>
      </c>
      <c r="L38">
        <f>IF(J38&gt;0,1,0)</f>
      </c>
      <c r="P38">
        <f>IF($C$9&lt;&gt;1,0,P37*(1+((1+$C$14)^(1/12)-1))^12-J37/12*(1+((1+$C$14)^(1/12)-1))*(((1+((1+$C$14)^(1/12)-1))^12-1)/((1+((1+$C$14)^(1/12)-1))-1)))</f>
      </c>
      <c r="Q38">
        <f>IF($C$9&lt;&gt;1,0,IFERROR((((1+($C$14+'Inputs'!$H$123/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f>
      </c>
      <c r="L39">
        <f>IF(J39&gt;0,1,0)</f>
      </c>
      <c r="P39">
        <f>IF($C$9&lt;&gt;1,0,P38*(1+((1+$C$14)^(1/12)-1))^12-J38/12*(1+((1+$C$14)^(1/12)-1))*(((1+((1+$C$14)^(1/12)-1))^12-1)/((1+((1+$C$14)^(1/12)-1))-1)))</f>
      </c>
      <c r="Q39">
        <f>IF($C$9&lt;&gt;1,0,IFERROR((((1+($C$14+'Inputs'!$H$123/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f>
      </c>
      <c r="L40">
        <f>IF(J40&gt;0,1,0)</f>
      </c>
      <c r="P40">
        <f>IF($C$9&lt;&gt;1,0,P39*(1+((1+$C$14)^(1/12)-1))^12-J39/12*(1+((1+$C$14)^(1/12)-1))*(((1+((1+$C$14)^(1/12)-1))^12-1)/((1+((1+$C$14)^(1/12)-1))-1)))</f>
      </c>
      <c r="Q40">
        <f>IF($C$9&lt;&gt;1,0,IFERROR((((1+($C$14+'Inputs'!$H$123/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f>
      </c>
      <c r="L41">
        <f>IF(J41&gt;0,1,0)</f>
      </c>
      <c r="P41">
        <f>IF($C$9&lt;&gt;1,0,P40*(1+((1+$C$14)^(1/12)-1))^12-J40/12*(1+((1+$C$14)^(1/12)-1))*(((1+((1+$C$14)^(1/12)-1))^12-1)/((1+((1+$C$14)^(1/12)-1))-1)))</f>
      </c>
      <c r="Q41">
        <f>IF($C$9&lt;&gt;1,0,IFERROR((((1+($C$14+'Inputs'!$H$123/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f>
      </c>
      <c r="L42">
        <f>IF(J42&gt;0,1,0)</f>
      </c>
      <c r="P42">
        <f>IF($C$9&lt;&gt;1,0,P41*(1+((1+$C$14)^(1/12)-1))^12-J41/12*(1+((1+$C$14)^(1/12)-1))*(((1+((1+$C$14)^(1/12)-1))^12-1)/((1+((1+$C$14)^(1/12)-1))-1)))</f>
      </c>
      <c r="Q42">
        <f>IF($C$9&lt;&gt;1,0,IFERROR((((1+($C$14+'Inputs'!$H$123/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f>
      </c>
      <c r="L43">
        <f>IF(J43&gt;0,1,0)</f>
      </c>
      <c r="P43">
        <f>IF($C$9&lt;&gt;1,0,P42*(1+((1+$C$14)^(1/12)-1))^12-J42/12*(1+((1+$C$14)^(1/12)-1))*(((1+((1+$C$14)^(1/12)-1))^12-1)/((1+((1+$C$14)^(1/12)-1))-1)))</f>
      </c>
      <c r="Q43">
        <f>IF($C$9&lt;&gt;1,0,IFERROR((((1+($C$14+'Inputs'!$H$123/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f>
      </c>
      <c r="L44">
        <f>IF(J44&gt;0,1,0)</f>
      </c>
      <c r="P44">
        <f>IF($C$9&lt;&gt;1,0,P43*(1+((1+$C$14)^(1/12)-1))^12-J43/12*(1+((1+$C$14)^(1/12)-1))*(((1+((1+$C$14)^(1/12)-1))^12-1)/((1+((1+$C$14)^(1/12)-1))-1)))</f>
      </c>
      <c r="Q44">
        <f>IF($C$9&lt;&gt;1,0,IFERROR((((1+($C$14+'Inputs'!$H$123/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f>
      </c>
      <c r="L45">
        <f>IF(J45&gt;0,1,0)</f>
      </c>
      <c r="P45">
        <f>IF($C$9&lt;&gt;1,0,P44*(1+((1+$C$14)^(1/12)-1))^12-J44/12*(1+((1+$C$14)^(1/12)-1))*(((1+((1+$C$14)^(1/12)-1))^12-1)/((1+((1+$C$14)^(1/12)-1))-1)))</f>
      </c>
      <c r="Q45">
        <f>IF($C$9&lt;&gt;1,0,IFERROR((((1+($C$14+'Inputs'!$H$123/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f>
      </c>
      <c r="L46">
        <f>IF(J46&gt;0,1,0)</f>
      </c>
      <c r="P46">
        <f>IF($C$9&lt;&gt;1,0,P45*(1+((1+$C$14)^(1/12)-1))^12-J45/12*(1+((1+$C$14)^(1/12)-1))*(((1+((1+$C$14)^(1/12)-1))^12-1)/((1+((1+$C$14)^(1/12)-1))-1)))</f>
      </c>
      <c r="Q46">
        <f>IF($C$9&lt;&gt;1,0,IFERROR((((1+($C$14+'Inputs'!$H$123/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f>
      </c>
      <c r="L47">
        <f>IF(J47&gt;0,1,0)</f>
      </c>
      <c r="P47">
        <f>IF($C$9&lt;&gt;1,0,P46*(1+((1+$C$14)^(1/12)-1))^12-J46/12*(1+((1+$C$14)^(1/12)-1))*(((1+((1+$C$14)^(1/12)-1))^12-1)/((1+((1+$C$14)^(1/12)-1))-1)))</f>
      </c>
      <c r="Q47">
        <f>IF($C$9&lt;&gt;1,0,IFERROR((((1+($C$14+'Inputs'!$H$123/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f>
      </c>
      <c r="L48">
        <f>IF(J48&gt;0,1,0)</f>
      </c>
      <c r="P48">
        <f>IF($C$9&lt;&gt;1,0,P47*(1+((1+$C$14)^(1/12)-1))^12-J47/12*(1+((1+$C$14)^(1/12)-1))*(((1+((1+$C$14)^(1/12)-1))^12-1)/((1+((1+$C$14)^(1/12)-1))-1)))</f>
      </c>
      <c r="Q48">
        <f>IF($C$9&lt;&gt;1,0,IFERROR((((1+($C$14+'Inputs'!$H$123/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f>
      </c>
      <c r="L49">
        <f>IF(J49&gt;0,1,0)</f>
      </c>
      <c r="P49">
        <f>IF($C$9&lt;&gt;1,0,P48*(1+((1+$C$14)^(1/12)-1))^12-J48/12*(1+((1+$C$14)^(1/12)-1))*(((1+((1+$C$14)^(1/12)-1))^12-1)/((1+((1+$C$14)^(1/12)-1))-1)))</f>
      </c>
      <c r="Q49">
        <f>IF($C$9&lt;&gt;1,0,IFERROR((((1+($C$14+'Inputs'!$H$123/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f>
      </c>
      <c r="L50">
        <f>IF(J50&gt;0,1,0)</f>
      </c>
      <c r="P50">
        <f>IF($C$9&lt;&gt;1,0,P49*(1+((1+$C$14)^(1/12)-1))^12-J49/12*(1+((1+$C$14)^(1/12)-1))*(((1+((1+$C$14)^(1/12)-1))^12-1)/((1+((1+$C$14)^(1/12)-1))-1)))</f>
      </c>
      <c r="Q50">
        <f>IF($C$9&lt;&gt;1,0,IFERROR((((1+($C$14+'Inputs'!$H$123/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f>
      </c>
      <c r="L51">
        <f>IF(J51&gt;0,1,0)</f>
      </c>
      <c r="P51">
        <f>IF($C$9&lt;&gt;1,0,P50*(1+((1+$C$14)^(1/12)-1))^12-J50/12*(1+((1+$C$14)^(1/12)-1))*(((1+((1+$C$14)^(1/12)-1))^12-1)/((1+((1+$C$14)^(1/12)-1))-1)))</f>
      </c>
      <c r="Q51">
        <f>IF($C$9&lt;&gt;1,0,IFERROR((((1+($C$14+'Inputs'!$H$123/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f>
      </c>
      <c r="L52">
        <f>IF(J52&gt;0,1,0)</f>
      </c>
      <c r="P52">
        <f>IF($C$9&lt;&gt;1,0,P51*(1+((1+$C$14)^(1/12)-1))^12-J51/12*(1+((1+$C$14)^(1/12)-1))*(((1+((1+$C$14)^(1/12)-1))^12-1)/((1+((1+$C$14)^(1/12)-1))-1)))</f>
      </c>
      <c r="Q52">
        <f>IF($C$9&lt;&gt;1,0,IFERROR((((1+($C$14+'Inputs'!$H$123/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f>
      </c>
      <c r="L53">
        <f>IF(J53&gt;0,1,0)</f>
      </c>
      <c r="P53">
        <f>IF($C$9&lt;&gt;1,0,P52*(1+((1+$C$14)^(1/12)-1))^12-J52/12*(1+((1+$C$14)^(1/12)-1))*(((1+((1+$C$14)^(1/12)-1))^12-1)/((1+((1+$C$14)^(1/12)-1))-1)))</f>
      </c>
      <c r="Q53">
        <f>IF($C$9&lt;&gt;1,0,IFERROR((((1+($C$14+'Inputs'!$H$123/100))^(1/12)-1)-((1+$C$14)^(1/12)-1))*(P53*(((1+((1+$C$14)^(1/12)-1))^12-1)/((1+((1+$C$14)^(1/12)-1))-1))-J53/12/((1+((1+$C$14)^(1/12)-1))-1)*((1+((1+$C$14)^(1/12)-1))*(((1+((1+$C$14)^(1/12)-1))^12-1)/((1+((1+$C$14)^(1/12)-1))-1))-12)),0))</f>
      </c>
    </row>
    <row r="58" spans="2:3" x14ac:dyDescent="0.25">
      <c r="B58" t="s">
        <v>119</v>
      </c>
      <c r="C58">
        <f>IF('Inputs'!$B$101="","",'Inputs'!$B$101)</f>
      </c>
    </row>
    <row r="59" spans="2:17" x14ac:dyDescent="0.25">
      <c r="B59" t="s">
        <v>121</v>
      </c>
      <c r="C59">
        <f>N('Inputs'!$D$101)</f>
      </c>
      <c r="I59" t="s">
        <v>437</v>
      </c>
      <c r="J59" t="s">
        <v>438</v>
      </c>
      <c r="K59" t="s">
        <v>439</v>
      </c>
      <c r="L59" t="s">
        <v>440</v>
      </c>
      <c r="P59" t="s">
        <v>441</v>
      </c>
      <c r="Q59" t="s">
        <v>442</v>
      </c>
    </row>
    <row r="60" spans="2:17" x14ac:dyDescent="0.25">
      <c r="B60" t="s">
        <v>443</v>
      </c>
      <c r="C60">
        <f>IF($C$59&gt;=75,'Inputs'!$H$131,IF($C$59&gt;=65,'Inputs'!$H$130,'Inputs'!$H$124))</f>
      </c>
      <c r="I60">
        <v>0</v>
      </c>
      <c r="J60">
        <f>IF(I60&lt;$C$62,MAX(0,12*$C$63*(1+$C$64)^I60-K60),0)</f>
      </c>
      <c r="K60">
        <f>SUMPRODUCT(('Inputs'!$G$76:$G$81=$C$58)*($C$58&lt;&gt;"")*'Inputs'!$D$76:$D$81*(1+'Inputs'!$E$76:$E$81/100)^I60*(ABS('Inputs'!$F$76:$F$81-12*I60)-ABS(('Inputs'!$F$76:$F$81-12*I60)-12)+12)/2)</f>
      </c>
      <c r="L60">
        <f>IF(J60&gt;0,1,0)</f>
      </c>
      <c r="P60">
        <f>IF($C$65&lt;&gt;1,0,IF($C$70=0,SUM($J$60:$J$109),(1-(1+$C$70)^-1)/(1-(1+$C$70)^(-1/12))/12*SUMPRODUCT($J$60:$J$109,(1+$C$70)^(-$I$60:$I$109))))</f>
      </c>
      <c r="Q60">
        <f>IF($C$65&lt;&gt;1,0,IFERROR((((1+($C$70+'Inputs'!$H$123/100))^(1/12)-1)-((1+$C$70)^(1/12)-1))*(P60*(((1+((1+$C$70)^(1/12)-1))^12-1)/((1+((1+$C$70)^(1/12)-1))-1))-J60/12/((1+((1+$C$70)^(1/12)-1))-1)*((1+((1+$C$70)^(1/12)-1))*(((1+((1+$C$70)^(1/12)-1))^12-1)/((1+((1+$C$70)^(1/12)-1))-1))-12)),0))</f>
      </c>
    </row>
    <row r="61" spans="2:17" x14ac:dyDescent="0.25">
      <c r="B61" t="s">
        <v>444</v>
      </c>
      <c r="C61">
        <f>N('Inputs'!$I$101)</f>
      </c>
      <c r="I61">
        <v>1</v>
      </c>
      <c r="J61">
        <f>IF(I61&lt;$C$62,MAX(0,12*$C$63*(1+$C$64)^I61-K61),0)</f>
      </c>
      <c r="K61">
        <f>SUMPRODUCT(('Inputs'!$G$76:$G$81=$C$58)*($C$58&lt;&gt;"")*'Inputs'!$D$76:$D$81*(1+'Inputs'!$E$76:$E$81/100)^I61*(ABS('Inputs'!$F$76:$F$81-12*I61)-ABS(('Inputs'!$F$76:$F$81-12*I61)-12)+12)/2)</f>
      </c>
      <c r="L61">
        <f>IF(J61&gt;0,1,0)</f>
      </c>
      <c r="P61">
        <f>IF($C$65&lt;&gt;1,0,P60*(1+((1+$C$70)^(1/12)-1))^12-J60/12*(1+((1+$C$70)^(1/12)-1))*(((1+((1+$C$70)^(1/12)-1))^12-1)/((1+((1+$C$70)^(1/12)-1))-1)))</f>
      </c>
      <c r="Q61">
        <f>IF($C$65&lt;&gt;1,0,IFERROR((((1+($C$70+'Inputs'!$H$123/100))^(1/12)-1)-((1+$C$70)^(1/12)-1))*(P61*(((1+((1+$C$70)^(1/12)-1))^12-1)/((1+((1+$C$70)^(1/12)-1))-1))-J61/12/((1+((1+$C$70)^(1/12)-1))-1)*((1+((1+$C$70)^(1/12)-1))*(((1+((1+$C$70)^(1/12)-1))^12-1)/((1+((1+$C$70)^(1/12)-1))-1))-12)),0))</f>
      </c>
    </row>
    <row r="62" spans="2:17" x14ac:dyDescent="0.25">
      <c r="B62" t="s">
        <v>445</v>
      </c>
      <c r="C62">
        <f>IF($C$58="",0,N('Inputs'!$F$101))</f>
      </c>
      <c r="I62">
        <v>2</v>
      </c>
      <c r="J62">
        <f>IF(I62&lt;$C$62,MAX(0,12*$C$63*(1+$C$64)^I62-K62),0)</f>
      </c>
      <c r="K62">
        <f>SUMPRODUCT(('Inputs'!$G$76:$G$81=$C$58)*($C$58&lt;&gt;"")*'Inputs'!$D$76:$D$81*(1+'Inputs'!$E$76:$E$81/100)^I62*(ABS('Inputs'!$F$76:$F$81-12*I62)-ABS(('Inputs'!$F$76:$F$81-12*I62)-12)+12)/2)</f>
      </c>
      <c r="L62">
        <f>IF(J62&gt;0,1,0)</f>
      </c>
      <c r="P62">
        <f>IF($C$65&lt;&gt;1,0,P61*(1+((1+$C$70)^(1/12)-1))^12-J61/12*(1+((1+$C$70)^(1/12)-1))*(((1+((1+$C$70)^(1/12)-1))^12-1)/((1+((1+$C$70)^(1/12)-1))-1)))</f>
      </c>
      <c r="Q62">
        <f>IF($C$65&lt;&gt;1,0,IFERROR((((1+($C$70+'Inputs'!$H$123/100))^(1/12)-1)-((1+$C$70)^(1/12)-1))*(P62*(((1+((1+$C$70)^(1/12)-1))^12-1)/((1+((1+$C$70)^(1/12)-1))-1))-J62/12/((1+((1+$C$70)^(1/12)-1))-1)*((1+((1+$C$70)^(1/12)-1))*(((1+((1+$C$70)^(1/12)-1))^12-1)/((1+((1+$C$70)^(1/12)-1))-1))-12)),0))</f>
      </c>
    </row>
    <row r="63" spans="2:17" x14ac:dyDescent="0.25">
      <c r="B63" t="s">
        <v>446</v>
      </c>
      <c r="C63">
        <f>N('Inputs'!$E$101)</f>
      </c>
      <c r="I63">
        <v>3</v>
      </c>
      <c r="J63">
        <f>IF(I63&lt;$C$62,MAX(0,12*$C$63*(1+$C$64)^I63-K63),0)</f>
      </c>
      <c r="K63">
        <f>SUMPRODUCT(('Inputs'!$G$76:$G$81=$C$58)*($C$58&lt;&gt;"")*'Inputs'!$D$76:$D$81*(1+'Inputs'!$E$76:$E$81/100)^I63*(ABS('Inputs'!$F$76:$F$81-12*I63)-ABS(('Inputs'!$F$76:$F$81-12*I63)-12)+12)/2)</f>
      </c>
      <c r="L63">
        <f>IF(J63&gt;0,1,0)</f>
      </c>
      <c r="P63">
        <f>IF($C$65&lt;&gt;1,0,P62*(1+((1+$C$70)^(1/12)-1))^12-J62/12*(1+((1+$C$70)^(1/12)-1))*(((1+((1+$C$70)^(1/12)-1))^12-1)/((1+((1+$C$70)^(1/12)-1))-1)))</f>
      </c>
      <c r="Q63">
        <f>IF($C$65&lt;&gt;1,0,IFERROR((((1+($C$70+'Inputs'!$H$123/100))^(1/12)-1)-((1+$C$70)^(1/12)-1))*(P63*(((1+((1+$C$70)^(1/12)-1))^12-1)/((1+((1+$C$70)^(1/12)-1))-1))-J63/12/((1+((1+$C$70)^(1/12)-1))-1)*((1+((1+$C$70)^(1/12)-1))*(((1+((1+$C$70)^(1/12)-1))^12-1)/((1+((1+$C$70)^(1/12)-1))-1))-12)),0))</f>
      </c>
    </row>
    <row r="64" spans="2:17" x14ac:dyDescent="0.25">
      <c r="B64" t="s">
        <v>447</v>
      </c>
      <c r="C64">
        <f>IF('Inputs'!$G$101="",'Inputs'!$H$129/100,'Inputs'!$G$101/100)</f>
      </c>
      <c r="I64">
        <v>4</v>
      </c>
      <c r="J64">
        <f>IF(I64&lt;$C$62,MAX(0,12*$C$63*(1+$C$64)^I64-K64),0)</f>
      </c>
      <c r="K64">
        <f>SUMPRODUCT(('Inputs'!$G$76:$G$81=$C$58)*($C$58&lt;&gt;"")*'Inputs'!$D$76:$D$81*(1+'Inputs'!$E$76:$E$81/100)^I64*(ABS('Inputs'!$F$76:$F$81-12*I64)-ABS(('Inputs'!$F$76:$F$81-12*I64)-12)+12)/2)</f>
      </c>
      <c r="L64">
        <f>IF(J64&gt;0,1,0)</f>
      </c>
      <c r="P64">
        <f>IF($C$65&lt;&gt;1,0,P63*(1+((1+$C$70)^(1/12)-1))^12-J63/12*(1+((1+$C$70)^(1/12)-1))*(((1+((1+$C$70)^(1/12)-1))^12-1)/((1+((1+$C$70)^(1/12)-1))-1)))</f>
      </c>
      <c r="Q64">
        <f>IF($C$65&lt;&gt;1,0,IFERROR((((1+($C$70+'Inputs'!$H$123/100))^(1/12)-1)-((1+$C$70)^(1/12)-1))*(P64*(((1+((1+$C$70)^(1/12)-1))^12-1)/((1+((1+$C$70)^(1/12)-1))-1))-J64/12/((1+((1+$C$70)^(1/12)-1))-1)*((1+((1+$C$70)^(1/12)-1))*(((1+((1+$C$70)^(1/12)-1))^12-1)/((1+((1+$C$70)^(1/12)-1))-1))-12)),0))</f>
      </c>
    </row>
    <row r="65" spans="2:17" x14ac:dyDescent="0.25">
      <c r="B65" t="s">
        <v>448</v>
      </c>
      <c r="C65">
        <f>IF('Inputs'!$H$101="Yes",1,0)</f>
      </c>
      <c r="I65">
        <v>5</v>
      </c>
      <c r="J65">
        <f>IF(I65&lt;$C$62,MAX(0,12*$C$63*(1+$C$64)^I65-K65),0)</f>
      </c>
      <c r="K65">
        <f>SUMPRODUCT(('Inputs'!$G$76:$G$81=$C$58)*($C$58&lt;&gt;"")*'Inputs'!$D$76:$D$81*(1+'Inputs'!$E$76:$E$81/100)^I65*(ABS('Inputs'!$F$76:$F$81-12*I65)-ABS(('Inputs'!$F$76:$F$81-12*I65)-12)+12)/2)</f>
      </c>
      <c r="L65">
        <f>IF(J65&gt;0,1,0)</f>
      </c>
      <c r="P65">
        <f>IF($C$65&lt;&gt;1,0,P64*(1+((1+$C$70)^(1/12)-1))^12-J64/12*(1+((1+$C$70)^(1/12)-1))*(((1+((1+$C$70)^(1/12)-1))^12-1)/((1+((1+$C$70)^(1/12)-1))-1)))</f>
      </c>
      <c r="Q65">
        <f>IF($C$65&lt;&gt;1,0,IFERROR((((1+($C$70+'Inputs'!$H$123/100))^(1/12)-1)-((1+$C$70)^(1/12)-1))*(P65*(((1+((1+$C$70)^(1/12)-1))^12-1)/((1+((1+$C$70)^(1/12)-1))-1))-J65/12/((1+((1+$C$70)^(1/12)-1))-1)*((1+((1+$C$70)^(1/12)-1))*(((1+((1+$C$70)^(1/12)-1))^12-1)/((1+((1+$C$70)^(1/12)-1))-1))-12)),0))</f>
      </c>
    </row>
    <row r="66" spans="2:17" x14ac:dyDescent="0.25">
      <c r="B66" t="s">
        <v>449</v>
      </c>
      <c r="C66">
        <f>IF($C$58="",0,N('Inputs'!$J$101))</f>
      </c>
      <c r="I66">
        <v>6</v>
      </c>
      <c r="J66">
        <f>IF(I66&lt;$C$62,MAX(0,12*$C$63*(1+$C$64)^I66-K66),0)</f>
      </c>
      <c r="K66">
        <f>SUMPRODUCT(('Inputs'!$G$76:$G$81=$C$58)*($C$58&lt;&gt;"")*'Inputs'!$D$76:$D$81*(1+'Inputs'!$E$76:$E$81/100)^I66*(ABS('Inputs'!$F$76:$F$81-12*I66)-ABS(('Inputs'!$F$76:$F$81-12*I66)-12)+12)/2)</f>
      </c>
      <c r="L66">
        <f>IF(J66&gt;0,1,0)</f>
      </c>
      <c r="P66">
        <f>IF($C$65&lt;&gt;1,0,P65*(1+((1+$C$70)^(1/12)-1))^12-J65/12*(1+((1+$C$70)^(1/12)-1))*(((1+((1+$C$70)^(1/12)-1))^12-1)/((1+((1+$C$70)^(1/12)-1))-1)))</f>
      </c>
      <c r="Q66">
        <f>IF($C$65&lt;&gt;1,0,IFERROR((((1+($C$70+'Inputs'!$H$123/100))^(1/12)-1)-((1+$C$70)^(1/12)-1))*(P66*(((1+((1+$C$70)^(1/12)-1))^12-1)/((1+((1+$C$70)^(1/12)-1))-1))-J66/12/((1+((1+$C$70)^(1/12)-1))-1)*((1+((1+$C$70)^(1/12)-1))*(((1+((1+$C$70)^(1/12)-1))^12-1)/((1+((1+$C$70)^(1/12)-1))-1))-12)),0))</f>
      </c>
    </row>
    <row r="67" spans="2:17" x14ac:dyDescent="0.25">
      <c r="B67" t="s">
        <v>450</v>
      </c>
      <c r="C67">
        <f>ROUND(Q60,2)</f>
      </c>
      <c r="I67">
        <v>7</v>
      </c>
      <c r="J67">
        <f>IF(I67&lt;$C$62,MAX(0,12*$C$63*(1+$C$64)^I67-K67),0)</f>
      </c>
      <c r="K67">
        <f>SUMPRODUCT(('Inputs'!$G$76:$G$81=$C$58)*($C$58&lt;&gt;"")*'Inputs'!$D$76:$D$81*(1+'Inputs'!$E$76:$E$81/100)^I67*(ABS('Inputs'!$F$76:$F$81-12*I67)-ABS(('Inputs'!$F$76:$F$81-12*I67)-12)+12)/2)</f>
      </c>
      <c r="L67">
        <f>IF(J67&gt;0,1,0)</f>
      </c>
      <c r="P67">
        <f>IF($C$65&lt;&gt;1,0,P66*(1+((1+$C$70)^(1/12)-1))^12-J66/12*(1+((1+$C$70)^(1/12)-1))*(((1+((1+$C$70)^(1/12)-1))^12-1)/((1+((1+$C$70)^(1/12)-1))-1)))</f>
      </c>
      <c r="Q67">
        <f>IF($C$65&lt;&gt;1,0,IFERROR((((1+($C$70+'Inputs'!$H$123/100))^(1/12)-1)-((1+$C$70)^(1/12)-1))*(P67*(((1+((1+$C$70)^(1/12)-1))^12-1)/((1+((1+$C$70)^(1/12)-1))-1))-J67/12/((1+((1+$C$70)^(1/12)-1))-1)*((1+((1+$C$70)^(1/12)-1))*(((1+((1+$C$70)^(1/12)-1))^12-1)/((1+((1+$C$70)^(1/12)-1))-1))-12)),0))</f>
      </c>
    </row>
    <row r="68" spans="2:17" x14ac:dyDescent="0.25">
      <c r="B68" t="s">
        <v>451</v>
      </c>
      <c r="C68">
        <f>ROUND(SUM($Q$60:$Q$109),2)</f>
      </c>
      <c r="I68">
        <v>8</v>
      </c>
      <c r="J68">
        <f>IF(I68&lt;$C$62,MAX(0,12*$C$63*(1+$C$64)^I68-K68),0)</f>
      </c>
      <c r="K68">
        <f>SUMPRODUCT(('Inputs'!$G$76:$G$81=$C$58)*($C$58&lt;&gt;"")*'Inputs'!$D$76:$D$81*(1+'Inputs'!$E$76:$E$81/100)^I68*(ABS('Inputs'!$F$76:$F$81-12*I68)-ABS(('Inputs'!$F$76:$F$81-12*I68)-12)+12)/2)</f>
      </c>
      <c r="L68">
        <f>IF(J68&gt;0,1,0)</f>
      </c>
      <c r="P68">
        <f>IF($C$65&lt;&gt;1,0,P67*(1+((1+$C$70)^(1/12)-1))^12-J67/12*(1+((1+$C$70)^(1/12)-1))*(((1+((1+$C$70)^(1/12)-1))^12-1)/((1+((1+$C$70)^(1/12)-1))-1)))</f>
      </c>
      <c r="Q68">
        <f>IF($C$65&lt;&gt;1,0,IFERROR((((1+($C$70+'Inputs'!$H$123/100))^(1/12)-1)-((1+$C$70)^(1/12)-1))*(P68*(((1+((1+$C$70)^(1/12)-1))^12-1)/((1+((1+$C$70)^(1/12)-1))-1))-J68/12/((1+((1+$C$70)^(1/12)-1))-1)*((1+((1+$C$70)^(1/12)-1))*(((1+((1+$C$70)^(1/12)-1))^12-1)/((1+((1+$C$70)^(1/12)-1))-1))-12)),0))</f>
      </c>
    </row>
    <row r="69" spans="2:17" x14ac:dyDescent="0.25">
      <c r="B69" t="s">
        <v>452</v>
      </c>
      <c r="C69">
        <f>IF($C$65&lt;&gt;1,0,ROUND(IF($C$70=0,SUM($J$60:$J$109),(1-(1+$C$70)^-1)/(1-(1+$C$70)^(-1/12))/12*SUMPRODUCT($J$60:$J$109,(1+$C$70)^(-$I$60:$I$109)))-IF(($C$70+'Inputs'!$H$123/100)=0,SUM($J$60:$J$109),(1-(1+($C$70+'Inputs'!$H$123/100))^-1)/(1-(1+($C$70+'Inputs'!$H$123/100))^(-1/12))/12*SUMPRODUCT($J$60:$J$109,(1+($C$70+'Inputs'!$H$123/100))^(-$I$60:$I$109))),2))</f>
      </c>
      <c r="I69">
        <v>9</v>
      </c>
      <c r="J69">
        <f>IF(I69&lt;$C$62,MAX(0,12*$C$63*(1+$C$64)^I69-K69),0)</f>
      </c>
      <c r="K69">
        <f>SUMPRODUCT(('Inputs'!$G$76:$G$81=$C$58)*($C$58&lt;&gt;"")*'Inputs'!$D$76:$D$81*(1+'Inputs'!$E$76:$E$81/100)^I69*(ABS('Inputs'!$F$76:$F$81-12*I69)-ABS(('Inputs'!$F$76:$F$81-12*I69)-12)+12)/2)</f>
      </c>
      <c r="L69">
        <f>IF(J69&gt;0,1,0)</f>
      </c>
      <c r="P69">
        <f>IF($C$65&lt;&gt;1,0,P68*(1+((1+$C$70)^(1/12)-1))^12-J68/12*(1+((1+$C$70)^(1/12)-1))*(((1+((1+$C$70)^(1/12)-1))^12-1)/((1+((1+$C$70)^(1/12)-1))-1)))</f>
      </c>
      <c r="Q69">
        <f>IF($C$65&lt;&gt;1,0,IFERROR((((1+($C$70+'Inputs'!$H$123/100))^(1/12)-1)-((1+$C$70)^(1/12)-1))*(P69*(((1+((1+$C$70)^(1/12)-1))^12-1)/((1+((1+$C$70)^(1/12)-1))-1))-J69/12/((1+((1+$C$70)^(1/12)-1))-1)*((1+((1+$C$70)^(1/12)-1))*(((1+((1+$C$70)^(1/12)-1))^12-1)/((1+((1+$C$70)^(1/12)-1))-1))-12)),0))</f>
      </c>
    </row>
    <row r="70" spans="2:17" x14ac:dyDescent="0.25">
      <c r="B70" t="s">
        <v>453</v>
      </c>
      <c r="C70">
        <f>IF($C$65=1,'Needs calc'!$C$55,0)</f>
      </c>
      <c r="I70">
        <v>10</v>
      </c>
      <c r="J70">
        <f>IF(I70&lt;$C$62,MAX(0,12*$C$63*(1+$C$64)^I70-K70),0)</f>
      </c>
      <c r="K70">
        <f>SUMPRODUCT(('Inputs'!$G$76:$G$81=$C$58)*($C$58&lt;&gt;"")*'Inputs'!$D$76:$D$81*(1+'Inputs'!$E$76:$E$81/100)^I70*(ABS('Inputs'!$F$76:$F$81-12*I70)-ABS(('Inputs'!$F$76:$F$81-12*I70)-12)+12)/2)</f>
      </c>
      <c r="L70">
        <f>IF(J70&gt;0,1,0)</f>
      </c>
      <c r="P70">
        <f>IF($C$65&lt;&gt;1,0,P69*(1+((1+$C$70)^(1/12)-1))^12-J69/12*(1+((1+$C$70)^(1/12)-1))*(((1+((1+$C$70)^(1/12)-1))^12-1)/((1+((1+$C$70)^(1/12)-1))-1)))</f>
      </c>
      <c r="Q70">
        <f>IF($C$65&lt;&gt;1,0,IFERROR((((1+($C$70+'Inputs'!$H$123/100))^(1/12)-1)-((1+$C$70)^(1/12)-1))*(P70*(((1+((1+$C$70)^(1/12)-1))^12-1)/((1+((1+$C$70)^(1/12)-1))-1))-J70/12/((1+((1+$C$70)^(1/12)-1))-1)*((1+((1+$C$70)^(1/12)-1))*(((1+((1+$C$70)^(1/12)-1))^12-1)/((1+((1+$C$70)^(1/12)-1))-1))-12)),0))</f>
      </c>
    </row>
    <row r="71" spans="2:17" x14ac:dyDescent="0.25">
      <c r="B71" t="s">
        <v>454</v>
      </c>
      <c r="C71">
        <f>SUMPRODUCT(('Inputs'!$G$76:$G$81=$C$58)*($C$58&lt;&gt;"")*('Inputs'!$F$76:$F$81&gt;0)*'Inputs'!$D$76:$D$81)</f>
      </c>
      <c r="I71">
        <v>11</v>
      </c>
      <c r="J71">
        <f>IF(I71&lt;$C$62,MAX(0,12*$C$63*(1+$C$64)^I71-K71),0)</f>
      </c>
      <c r="K71">
        <f>SUMPRODUCT(('Inputs'!$G$76:$G$81=$C$58)*($C$58&lt;&gt;"")*'Inputs'!$D$76:$D$81*(1+'Inputs'!$E$76:$E$81/100)^I71*(ABS('Inputs'!$F$76:$F$81-12*I71)-ABS(('Inputs'!$F$76:$F$81-12*I71)-12)+12)/2)</f>
      </c>
      <c r="L71">
        <f>IF(J71&gt;0,1,0)</f>
      </c>
      <c r="P71">
        <f>IF($C$65&lt;&gt;1,0,P70*(1+((1+$C$70)^(1/12)-1))^12-J70/12*(1+((1+$C$70)^(1/12)-1))*(((1+((1+$C$70)^(1/12)-1))^12-1)/((1+((1+$C$70)^(1/12)-1))-1)))</f>
      </c>
      <c r="Q71">
        <f>IF($C$65&lt;&gt;1,0,IFERROR((((1+($C$70+'Inputs'!$H$123/100))^(1/12)-1)-((1+$C$70)^(1/12)-1))*(P71*(((1+((1+$C$70)^(1/12)-1))^12-1)/((1+((1+$C$70)^(1/12)-1))-1))-J71/12/((1+((1+$C$70)^(1/12)-1))-1)*((1+((1+$C$70)^(1/12)-1))*(((1+((1+$C$70)^(1/12)-1))^12-1)/((1+((1+$C$70)^(1/12)-1))-1))-12)),0))</f>
      </c>
    </row>
    <row r="72" spans="2:17" x14ac:dyDescent="0.25">
      <c r="B72" t="s">
        <v>455</v>
      </c>
      <c r="C72">
        <f>IF($C$62&gt;0,$C$63-J60/12,0)</f>
      </c>
      <c r="I72">
        <v>12</v>
      </c>
      <c r="J72">
        <f>IF(I72&lt;$C$62,MAX(0,12*$C$63*(1+$C$64)^I72-K72),0)</f>
      </c>
      <c r="K72">
        <f>SUMPRODUCT(('Inputs'!$G$76:$G$81=$C$58)*($C$58&lt;&gt;"")*'Inputs'!$D$76:$D$81*(1+'Inputs'!$E$76:$E$81/100)^I72*(ABS('Inputs'!$F$76:$F$81-12*I72)-ABS(('Inputs'!$F$76:$F$81-12*I72)-12)+12)/2)</f>
      </c>
      <c r="L72">
        <f>IF(J72&gt;0,1,0)</f>
      </c>
      <c r="P72">
        <f>IF($C$65&lt;&gt;1,0,P71*(1+((1+$C$70)^(1/12)-1))^12-J71/12*(1+((1+$C$70)^(1/12)-1))*(((1+((1+$C$70)^(1/12)-1))^12-1)/((1+((1+$C$70)^(1/12)-1))-1)))</f>
      </c>
      <c r="Q72">
        <f>IF($C$65&lt;&gt;1,0,IFERROR((((1+($C$70+'Inputs'!$H$123/100))^(1/12)-1)-((1+$C$70)^(1/12)-1))*(P72*(((1+((1+$C$70)^(1/12)-1))^12-1)/((1+((1+$C$70)^(1/12)-1))-1))-J72/12/((1+((1+$C$70)^(1/12)-1))-1)*((1+((1+$C$70)^(1/12)-1))*(((1+((1+$C$70)^(1/12)-1))^12-1)/((1+((1+$C$70)^(1/12)-1))-1))-12)),0))</f>
      </c>
    </row>
    <row r="73" spans="2:17" x14ac:dyDescent="0.25">
      <c r="B73" t="s">
        <v>456</v>
      </c>
      <c r="C73">
        <f>SUMPRODUCT(MAX(('Inputs'!$G$76:$G$81=$C$58)*($C$58&lt;&gt;"")*'Inputs'!$F$76:$F$81))</f>
      </c>
      <c r="I73">
        <v>13</v>
      </c>
      <c r="J73">
        <f>IF(I73&lt;$C$62,MAX(0,12*$C$63*(1+$C$64)^I73-K73),0)</f>
      </c>
      <c r="K73">
        <f>SUMPRODUCT(('Inputs'!$G$76:$G$81=$C$58)*($C$58&lt;&gt;"")*'Inputs'!$D$76:$D$81*(1+'Inputs'!$E$76:$E$81/100)^I73*(ABS('Inputs'!$F$76:$F$81-12*I73)-ABS(('Inputs'!$F$76:$F$81-12*I73)-12)+12)/2)</f>
      </c>
      <c r="L73">
        <f>IF(J73&gt;0,1,0)</f>
      </c>
      <c r="P73">
        <f>IF($C$65&lt;&gt;1,0,P72*(1+((1+$C$70)^(1/12)-1))^12-J72/12*(1+((1+$C$70)^(1/12)-1))*(((1+((1+$C$70)^(1/12)-1))^12-1)/((1+((1+$C$70)^(1/12)-1))-1)))</f>
      </c>
      <c r="Q73">
        <f>IF($C$65&lt;&gt;1,0,IFERROR((((1+($C$70+'Inputs'!$H$123/100))^(1/12)-1)-((1+$C$70)^(1/12)-1))*(P73*(((1+((1+$C$70)^(1/12)-1))^12-1)/((1+((1+$C$70)^(1/12)-1))-1))-J73/12/((1+((1+$C$70)^(1/12)-1))-1)*((1+((1+$C$70)^(1/12)-1))*(((1+((1+$C$70)^(1/12)-1))^12-1)/((1+((1+$C$70)^(1/12)-1))-1))-12)),0))</f>
      </c>
    </row>
    <row r="74" spans="2:17" x14ac:dyDescent="0.25">
      <c r="B74" t="s">
        <v>457</v>
      </c>
      <c r="C74">
        <f>SUM($J$60:$J$109)</f>
      </c>
      <c r="I74">
        <v>14</v>
      </c>
      <c r="J74">
        <f>IF(I74&lt;$C$62,MAX(0,12*$C$63*(1+$C$64)^I74-K74),0)</f>
      </c>
      <c r="K74">
        <f>SUMPRODUCT(('Inputs'!$G$76:$G$81=$C$58)*($C$58&lt;&gt;"")*'Inputs'!$D$76:$D$81*(1+'Inputs'!$E$76:$E$81/100)^I74*(ABS('Inputs'!$F$76:$F$81-12*I74)-ABS(('Inputs'!$F$76:$F$81-12*I74)-12)+12)/2)</f>
      </c>
      <c r="L74">
        <f>IF(J74&gt;0,1,0)</f>
      </c>
      <c r="P74">
        <f>IF($C$65&lt;&gt;1,0,P73*(1+((1+$C$70)^(1/12)-1))^12-J73/12*(1+((1+$C$70)^(1/12)-1))*(((1+((1+$C$70)^(1/12)-1))^12-1)/((1+((1+$C$70)^(1/12)-1))-1)))</f>
      </c>
      <c r="Q74">
        <f>IF($C$65&lt;&gt;1,0,IFERROR((((1+($C$70+'Inputs'!$H$123/100))^(1/12)-1)-((1+$C$70)^(1/12)-1))*(P74*(((1+((1+$C$70)^(1/12)-1))^12-1)/((1+((1+$C$70)^(1/12)-1))-1))-J74/12/((1+((1+$C$70)^(1/12)-1))-1)*((1+((1+$C$70)^(1/12)-1))*(((1+((1+$C$70)^(1/12)-1))^12-1)/((1+((1+$C$70)^(1/12)-1))-1))-12)),0))</f>
      </c>
    </row>
    <row r="75" spans="2:17" x14ac:dyDescent="0.25">
      <c r="B75" t="s">
        <v>458</v>
      </c>
      <c r="C75">
        <f>IF('Needs calc'!$C$57&gt;0,IF('Inputs'!$O$101*SUM('Inputs'!$U$100:$U$105)&gt;0,IF('Needs calc'!$C$52&gt;='Needs calc'!$C$60,'Inputs'!$B$101&amp;IF(SUM('Inputs'!$U$100:$U$105)=1," and "&amp;IF('Inputs'!$U$100=1,'Inputs'!$B$100,"")&amp;IF('Inputs'!$U$101=1,'Inputs'!$B$101,"")&amp;IF('Inputs'!$U$102=1,'Inputs'!$B$102,"")&amp;IF('Inputs'!$U$103=1,'Inputs'!$B$103,"")&amp;IF('Inputs'!$U$104=1,'Inputs'!$B$104,"")&amp;IF('Inputs'!$U$105=1,'Inputs'!$B$105,"")," and the children")&amp;" would have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you want for them"&amp;IF('Needs calc'!$C$60&gt;0,", after the R "&amp;FIXED(ROUND('Needs calc'!$C$60,-3),0)&amp;" once-off","")&amp;". ",'Inputs'!$B$101&amp;IF(SUM('Inputs'!$U$100:$U$105)=1," and "&amp;IF('Inputs'!$U$100=1,'Inputs'!$B$100,"")&amp;IF('Inputs'!$U$101=1,'Inputs'!$B$101,"")&amp;IF('Inputs'!$U$102=1,'Inputs'!$B$102,"")&amp;IF('Inputs'!$U$103=1,'Inputs'!$B$103,"")&amp;IF('Inputs'!$U$104=1,'Inputs'!$B$104,"")&amp;IF('Inputs'!$U$105=1,'Inputs'!$B$105,"")," and the children")&amp;" would have "&amp;IF('Needs calc'!$C$52&lt;=0,"nothing","about R "&amp;FIXED(ROUND('Needs calc'!$C$52,-3),0))&amp;" of the R "&amp;FIXED(ROUND('Needs calc'!$C$60,-3),0)&amp;" once-off you want for them, and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"),IF(N('Inputs'!$E$101)&gt;0,IF('Needs years'!$C$71&lt;=0,IF('Needs years'!$C$66&lt;=0,'Inputs'!$B$101&amp;" would have about R "&amp;FIXED(ROUND('Needs calc'!$C$58,-2),0)&amp;" a month of the R "&amp;FIXED(ROUND('Inputs'!$E$101,-2),0)&amp;" you want. ",IF('Needs calc'!$C$52&gt;='Needs years'!$C$66,'Inputs'!$B$101&amp;" would have about R "&amp;FIXED(ROUND('Needs calc'!$C$58,-2),0)&amp;" a month of the R "&amp;FIXED(ROUND('Inputs'!$E$101,-2),0)&amp;" you want,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")),IF('Needs years'!$C$74&lt;=0,IF('Needs years'!$C$66&gt;0,'Inputs'!$B$101&amp;"'s death income covers the R "&amp;FIXED(ROUND('Inputs'!$E$101,-2),0)&amp;" a month you want"&amp;", but "&amp;'Inputs'!$B$101&amp;" would have "&amp;IF('Needs calc'!$C$52&lt;=0,"nothing","about R "&amp;FIXED(ROUND('Needs calc'!$C$52,-3),0))&amp;" of the R "&amp;FIXED(ROUND('Needs years'!$C$66,-3),0)&amp;" once-off you want for them. ",'Inputs'!$B$101&amp;"'s death income covers the R "&amp;FIXED(ROUND('Inputs'!$E$101,-2),0)&amp;" a month you want"&amp;", but the estate duty on it, about R "&amp;FIXED(ROUND('Needs years'!$C$77,-3),0)&amp;", leaves "&amp;'Inputs'!$B$101&amp;" short. "),IF('Needs years'!$J$60&lt;=0,'Inputs'!$B$101&amp;"'s death income covers the R "&amp;FIXED(ROUND('Inputs'!$E$101,-2),0)&amp;" a month you want"&amp;" for "&amp;IF('Needs years'!$C$76=1,"the first year","the first "&amp;'Needs years'!$C$76&amp;" years")&amp;"; after that "&amp;'Inputs'!$B$101&amp;" would be short"&amp;IF(AND('Needs years'!$C$66&gt;0,'Needs calc'!$C$52&lt;'Needs years'!$C$66),", and would have "&amp;IF('Needs calc'!$C$52&lt;=0,"nothing","about R "&amp;FIXED(ROUND('Needs calc'!$C$52,-3),0))&amp;" of the R "&amp;FIXED(ROUND('Needs years'!$C$66,-3),0)&amp;" once-off","")&amp;". ",IF('Needs years'!$C$66&lt;=0,'Inputs'!$B$101&amp;" would have about R "&amp;FIXED(ROUND('Needs calc'!$C$58,-2),0)&amp;" a month of the R "&amp;FIXED(ROUND('Inputs'!$E$101,-2),0)&amp;" you want, part of it from the death income, and less once it stops. ",IF('Needs calc'!$C$52&gt;='Needs years'!$C$66,'Inputs'!$B$101&amp;" would have about R "&amp;FIXED(ROUND('Needs calc'!$C$58,-2),0)&amp;" a month of the R "&amp;FIXED(ROUND('Inputs'!$E$101,-2),0)&amp;" you want, part of it from the death income, and less once it stops,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part of it from the death income, and less once it stops. "))))),'Inputs'!$B$101&amp;" would have "&amp;IF('Needs calc'!$C$52&lt;=0,"nothing","about R "&amp;FIXED(ROUND('Needs calc'!$C$52,-3),0))&amp;" of the R "&amp;FIXED(ROUND('Needs years'!$C$66,-3),0)&amp;" you want to leave them. ")),"")</f>
      </c>
      <c r="I75">
        <v>15</v>
      </c>
      <c r="J75">
        <f>IF(I75&lt;$C$62,MAX(0,12*$C$63*(1+$C$64)^I75-K75),0)</f>
      </c>
      <c r="K75">
        <f>SUMPRODUCT(('Inputs'!$G$76:$G$81=$C$58)*($C$58&lt;&gt;"")*'Inputs'!$D$76:$D$81*(1+'Inputs'!$E$76:$E$81/100)^I75*(ABS('Inputs'!$F$76:$F$81-12*I75)-ABS(('Inputs'!$F$76:$F$81-12*I75)-12)+12)/2)</f>
      </c>
      <c r="L75">
        <f>IF(J75&gt;0,1,0)</f>
      </c>
      <c r="P75">
        <f>IF($C$65&lt;&gt;1,0,P74*(1+((1+$C$70)^(1/12)-1))^12-J74/12*(1+((1+$C$70)^(1/12)-1))*(((1+((1+$C$70)^(1/12)-1))^12-1)/((1+((1+$C$70)^(1/12)-1))-1)))</f>
      </c>
      <c r="Q75">
        <f>IF($C$65&lt;&gt;1,0,IFERROR((((1+($C$70+'Inputs'!$H$123/100))^(1/12)-1)-((1+$C$70)^(1/12)-1))*(P75*(((1+((1+$C$70)^(1/12)-1))^12-1)/((1+((1+$C$70)^(1/12)-1))-1))-J75/12/((1+((1+$C$70)^(1/12)-1))-1)*((1+((1+$C$70)^(1/12)-1))*(((1+((1+$C$70)^(1/12)-1))^12-1)/((1+((1+$C$70)^(1/12)-1))-1))-12)),0))</f>
      </c>
    </row>
    <row r="76" spans="2:17" x14ac:dyDescent="0.25">
      <c r="B76" t="s">
        <v>459</v>
      </c>
      <c r="C76">
        <f>IFERROR(MATCH(1,$L$60:$L$109,0)-1,$C$62)</f>
      </c>
      <c r="I76">
        <v>16</v>
      </c>
      <c r="J76">
        <f>IF(I76&lt;$C$62,MAX(0,12*$C$63*(1+$C$64)^I76-K76),0)</f>
      </c>
      <c r="K76">
        <f>SUMPRODUCT(('Inputs'!$G$76:$G$81=$C$58)*($C$58&lt;&gt;"")*'Inputs'!$D$76:$D$81*(1+'Inputs'!$E$76:$E$81/100)^I76*(ABS('Inputs'!$F$76:$F$81-12*I76)-ABS(('Inputs'!$F$76:$F$81-12*I76)-12)+12)/2)</f>
      </c>
      <c r="L76">
        <f>IF(J76&gt;0,1,0)</f>
      </c>
      <c r="P76">
        <f>IF($C$65&lt;&gt;1,0,P75*(1+((1+$C$70)^(1/12)-1))^12-J75/12*(1+((1+$C$70)^(1/12)-1))*(((1+((1+$C$70)^(1/12)-1))^12-1)/((1+((1+$C$70)^(1/12)-1))-1)))</f>
      </c>
      <c r="Q76">
        <f>IF($C$65&lt;&gt;1,0,IFERROR((((1+($C$70+'Inputs'!$H$123/100))^(1/12)-1)-((1+$C$70)^(1/12)-1))*(P76*(((1+((1+$C$70)^(1/12)-1))^12-1)/((1+((1+$C$70)^(1/12)-1))-1))-J76/12/((1+((1+$C$70)^(1/12)-1))-1)*((1+((1+$C$70)^(1/12)-1))*(((1+((1+$C$70)^(1/12)-1))^12-1)/((1+((1+$C$70)^(1/12)-1))-1))-12)),0))</f>
      </c>
    </row>
    <row r="77" spans="2:17" x14ac:dyDescent="0.25">
      <c r="B77" t="s">
        <v>460</v>
      </c>
      <c r="C77">
        <f>SUMPRODUCT(('Inputs'!$G$76:$G$81=$C$58)*($C$58&lt;&gt;"")*'Inputs'!$P$76:$P$81)</f>
      </c>
      <c r="I77">
        <v>17</v>
      </c>
      <c r="J77">
        <f>IF(I77&lt;$C$62,MAX(0,12*$C$63*(1+$C$64)^I77-K77),0)</f>
      </c>
      <c r="K77">
        <f>SUMPRODUCT(('Inputs'!$G$76:$G$81=$C$58)*($C$58&lt;&gt;"")*'Inputs'!$D$76:$D$81*(1+'Inputs'!$E$76:$E$81/100)^I77*(ABS('Inputs'!$F$76:$F$81-12*I77)-ABS(('Inputs'!$F$76:$F$81-12*I77)-12)+12)/2)</f>
      </c>
      <c r="L77">
        <f>IF(J77&gt;0,1,0)</f>
      </c>
      <c r="P77">
        <f>IF($C$65&lt;&gt;1,0,P76*(1+((1+$C$70)^(1/12)-1))^12-J76/12*(1+((1+$C$70)^(1/12)-1))*(((1+((1+$C$70)^(1/12)-1))^12-1)/((1+((1+$C$70)^(1/12)-1))-1)))</f>
      </c>
      <c r="Q77">
        <f>IF($C$65&lt;&gt;1,0,IFERROR((((1+($C$70+'Inputs'!$H$123/100))^(1/12)-1)-((1+$C$70)^(1/12)-1))*(P77*(((1+((1+$C$70)^(1/12)-1))^12-1)/((1+((1+$C$70)^(1/12)-1))-1))-J77/12/((1+((1+$C$70)^(1/12)-1))-1)*((1+((1+$C$70)^(1/12)-1))*(((1+((1+$C$70)^(1/12)-1))^12-1)/((1+((1+$C$70)^(1/12)-1))-1))-12)),0))</f>
      </c>
    </row>
    <row r="78" spans="9:17" x14ac:dyDescent="0.25">
      <c r="I78">
        <v>18</v>
      </c>
      <c r="J78">
        <f>IF(I78&lt;$C$62,MAX(0,12*$C$63*(1+$C$64)^I78-K78),0)</f>
      </c>
      <c r="K78">
        <f>SUMPRODUCT(('Inputs'!$G$76:$G$81=$C$58)*($C$58&lt;&gt;"")*'Inputs'!$D$76:$D$81*(1+'Inputs'!$E$76:$E$81/100)^I78*(ABS('Inputs'!$F$76:$F$81-12*I78)-ABS(('Inputs'!$F$76:$F$81-12*I78)-12)+12)/2)</f>
      </c>
      <c r="L78">
        <f>IF(J78&gt;0,1,0)</f>
      </c>
      <c r="P78">
        <f>IF($C$65&lt;&gt;1,0,P77*(1+((1+$C$70)^(1/12)-1))^12-J77/12*(1+((1+$C$70)^(1/12)-1))*(((1+((1+$C$70)^(1/12)-1))^12-1)/((1+((1+$C$70)^(1/12)-1))-1)))</f>
      </c>
      <c r="Q78">
        <f>IF($C$65&lt;&gt;1,0,IFERROR((((1+($C$70+'Inputs'!$H$123/100))^(1/12)-1)-((1+$C$70)^(1/12)-1))*(P78*(((1+((1+$C$70)^(1/12)-1))^12-1)/((1+((1+$C$70)^(1/12)-1))-1))-J78/12/((1+((1+$C$70)^(1/12)-1))-1)*((1+((1+$C$70)^(1/12)-1))*(((1+((1+$C$70)^(1/12)-1))^12-1)/((1+((1+$C$70)^(1/12)-1))-1))-12)),0))</f>
      </c>
    </row>
    <row r="79" spans="9:17" x14ac:dyDescent="0.25">
      <c r="I79">
        <v>19</v>
      </c>
      <c r="J79">
        <f>IF(I79&lt;$C$62,MAX(0,12*$C$63*(1+$C$64)^I79-K79),0)</f>
      </c>
      <c r="K79">
        <f>SUMPRODUCT(('Inputs'!$G$76:$G$81=$C$58)*($C$58&lt;&gt;"")*'Inputs'!$D$76:$D$81*(1+'Inputs'!$E$76:$E$81/100)^I79*(ABS('Inputs'!$F$76:$F$81-12*I79)-ABS(('Inputs'!$F$76:$F$81-12*I79)-12)+12)/2)</f>
      </c>
      <c r="L79">
        <f>IF(J79&gt;0,1,0)</f>
      </c>
      <c r="P79">
        <f>IF($C$65&lt;&gt;1,0,P78*(1+((1+$C$70)^(1/12)-1))^12-J78/12*(1+((1+$C$70)^(1/12)-1))*(((1+((1+$C$70)^(1/12)-1))^12-1)/((1+((1+$C$70)^(1/12)-1))-1)))</f>
      </c>
      <c r="Q79">
        <f>IF($C$65&lt;&gt;1,0,IFERROR((((1+($C$70+'Inputs'!$H$123/100))^(1/12)-1)-((1+$C$70)^(1/12)-1))*(P79*(((1+((1+$C$70)^(1/12)-1))^12-1)/((1+((1+$C$70)^(1/12)-1))-1))-J79/12/((1+((1+$C$70)^(1/12)-1))-1)*((1+((1+$C$70)^(1/12)-1))*(((1+((1+$C$70)^(1/12)-1))^12-1)/((1+((1+$C$70)^(1/12)-1))-1))-12)),0))</f>
      </c>
    </row>
    <row r="80" spans="9:17" x14ac:dyDescent="0.25">
      <c r="I80">
        <v>20</v>
      </c>
      <c r="J80">
        <f>IF(I80&lt;$C$62,MAX(0,12*$C$63*(1+$C$64)^I80-K80),0)</f>
      </c>
      <c r="K80">
        <f>SUMPRODUCT(('Inputs'!$G$76:$G$81=$C$58)*($C$58&lt;&gt;"")*'Inputs'!$D$76:$D$81*(1+'Inputs'!$E$76:$E$81/100)^I80*(ABS('Inputs'!$F$76:$F$81-12*I80)-ABS(('Inputs'!$F$76:$F$81-12*I80)-12)+12)/2)</f>
      </c>
      <c r="L80">
        <f>IF(J80&gt;0,1,0)</f>
      </c>
      <c r="P80">
        <f>IF($C$65&lt;&gt;1,0,P79*(1+((1+$C$70)^(1/12)-1))^12-J79/12*(1+((1+$C$70)^(1/12)-1))*(((1+((1+$C$70)^(1/12)-1))^12-1)/((1+((1+$C$70)^(1/12)-1))-1)))</f>
      </c>
      <c r="Q80">
        <f>IF($C$65&lt;&gt;1,0,IFERROR((((1+($C$70+'Inputs'!$H$123/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f>
      </c>
      <c r="L81">
        <f>IF(J81&gt;0,1,0)</f>
      </c>
      <c r="P81">
        <f>IF($C$65&lt;&gt;1,0,P80*(1+((1+$C$70)^(1/12)-1))^12-J80/12*(1+((1+$C$70)^(1/12)-1))*(((1+((1+$C$70)^(1/12)-1))^12-1)/((1+((1+$C$70)^(1/12)-1))-1)))</f>
      </c>
      <c r="Q81">
        <f>IF($C$65&lt;&gt;1,0,IFERROR((((1+($C$70+'Inputs'!$H$123/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f>
      </c>
      <c r="L82">
        <f>IF(J82&gt;0,1,0)</f>
      </c>
      <c r="P82">
        <f>IF($C$65&lt;&gt;1,0,P81*(1+((1+$C$70)^(1/12)-1))^12-J81/12*(1+((1+$C$70)^(1/12)-1))*(((1+((1+$C$70)^(1/12)-1))^12-1)/((1+((1+$C$70)^(1/12)-1))-1)))</f>
      </c>
      <c r="Q82">
        <f>IF($C$65&lt;&gt;1,0,IFERROR((((1+($C$70+'Inputs'!$H$123/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f>
      </c>
      <c r="L83">
        <f>IF(J83&gt;0,1,0)</f>
      </c>
      <c r="P83">
        <f>IF($C$65&lt;&gt;1,0,P82*(1+((1+$C$70)^(1/12)-1))^12-J82/12*(1+((1+$C$70)^(1/12)-1))*(((1+((1+$C$70)^(1/12)-1))^12-1)/((1+((1+$C$70)^(1/12)-1))-1)))</f>
      </c>
      <c r="Q83">
        <f>IF($C$65&lt;&gt;1,0,IFERROR((((1+($C$70+'Inputs'!$H$123/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f>
      </c>
      <c r="L84">
        <f>IF(J84&gt;0,1,0)</f>
      </c>
      <c r="P84">
        <f>IF($C$65&lt;&gt;1,0,P83*(1+((1+$C$70)^(1/12)-1))^12-J83/12*(1+((1+$C$70)^(1/12)-1))*(((1+((1+$C$70)^(1/12)-1))^12-1)/((1+((1+$C$70)^(1/12)-1))-1)))</f>
      </c>
      <c r="Q84">
        <f>IF($C$65&lt;&gt;1,0,IFERROR((((1+($C$70+'Inputs'!$H$123/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f>
      </c>
      <c r="L85">
        <f>IF(J85&gt;0,1,0)</f>
      </c>
      <c r="P85">
        <f>IF($C$65&lt;&gt;1,0,P84*(1+((1+$C$70)^(1/12)-1))^12-J84/12*(1+((1+$C$70)^(1/12)-1))*(((1+((1+$C$70)^(1/12)-1))^12-1)/((1+((1+$C$70)^(1/12)-1))-1)))</f>
      </c>
      <c r="Q85">
        <f>IF($C$65&lt;&gt;1,0,IFERROR((((1+($C$70+'Inputs'!$H$123/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f>
      </c>
      <c r="L86">
        <f>IF(J86&gt;0,1,0)</f>
      </c>
      <c r="P86">
        <f>IF($C$65&lt;&gt;1,0,P85*(1+((1+$C$70)^(1/12)-1))^12-J85/12*(1+((1+$C$70)^(1/12)-1))*(((1+((1+$C$70)^(1/12)-1))^12-1)/((1+((1+$C$70)^(1/12)-1))-1)))</f>
      </c>
      <c r="Q86">
        <f>IF($C$65&lt;&gt;1,0,IFERROR((((1+($C$70+'Inputs'!$H$123/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f>
      </c>
      <c r="L87">
        <f>IF(J87&gt;0,1,0)</f>
      </c>
      <c r="P87">
        <f>IF($C$65&lt;&gt;1,0,P86*(1+((1+$C$70)^(1/12)-1))^12-J86/12*(1+((1+$C$70)^(1/12)-1))*(((1+((1+$C$70)^(1/12)-1))^12-1)/((1+((1+$C$70)^(1/12)-1))-1)))</f>
      </c>
      <c r="Q87">
        <f>IF($C$65&lt;&gt;1,0,IFERROR((((1+($C$70+'Inputs'!$H$123/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f>
      </c>
      <c r="L88">
        <f>IF(J88&gt;0,1,0)</f>
      </c>
      <c r="P88">
        <f>IF($C$65&lt;&gt;1,0,P87*(1+((1+$C$70)^(1/12)-1))^12-J87/12*(1+((1+$C$70)^(1/12)-1))*(((1+((1+$C$70)^(1/12)-1))^12-1)/((1+((1+$C$70)^(1/12)-1))-1)))</f>
      </c>
      <c r="Q88">
        <f>IF($C$65&lt;&gt;1,0,IFERROR((((1+($C$70+'Inputs'!$H$123/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f>
      </c>
      <c r="L89">
        <f>IF(J89&gt;0,1,0)</f>
      </c>
      <c r="P89">
        <f>IF($C$65&lt;&gt;1,0,P88*(1+((1+$C$70)^(1/12)-1))^12-J88/12*(1+((1+$C$70)^(1/12)-1))*(((1+((1+$C$70)^(1/12)-1))^12-1)/((1+((1+$C$70)^(1/12)-1))-1)))</f>
      </c>
      <c r="Q89">
        <f>IF($C$65&lt;&gt;1,0,IFERROR((((1+($C$70+'Inputs'!$H$123/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f>
      </c>
      <c r="L90">
        <f>IF(J90&gt;0,1,0)</f>
      </c>
      <c r="P90">
        <f>IF($C$65&lt;&gt;1,0,P89*(1+((1+$C$70)^(1/12)-1))^12-J89/12*(1+((1+$C$70)^(1/12)-1))*(((1+((1+$C$70)^(1/12)-1))^12-1)/((1+((1+$C$70)^(1/12)-1))-1)))</f>
      </c>
      <c r="Q90">
        <f>IF($C$65&lt;&gt;1,0,IFERROR((((1+($C$70+'Inputs'!$H$123/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f>
      </c>
      <c r="L91">
        <f>IF(J91&gt;0,1,0)</f>
      </c>
      <c r="P91">
        <f>IF($C$65&lt;&gt;1,0,P90*(1+((1+$C$70)^(1/12)-1))^12-J90/12*(1+((1+$C$70)^(1/12)-1))*(((1+((1+$C$70)^(1/12)-1))^12-1)/((1+((1+$C$70)^(1/12)-1))-1)))</f>
      </c>
      <c r="Q91">
        <f>IF($C$65&lt;&gt;1,0,IFERROR((((1+($C$70+'Inputs'!$H$123/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f>
      </c>
      <c r="L92">
        <f>IF(J92&gt;0,1,0)</f>
      </c>
      <c r="P92">
        <f>IF($C$65&lt;&gt;1,0,P91*(1+((1+$C$70)^(1/12)-1))^12-J91/12*(1+((1+$C$70)^(1/12)-1))*(((1+((1+$C$70)^(1/12)-1))^12-1)/((1+((1+$C$70)^(1/12)-1))-1)))</f>
      </c>
      <c r="Q92">
        <f>IF($C$65&lt;&gt;1,0,IFERROR((((1+($C$70+'Inputs'!$H$123/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f>
      </c>
      <c r="L93">
        <f>IF(J93&gt;0,1,0)</f>
      </c>
      <c r="P93">
        <f>IF($C$65&lt;&gt;1,0,P92*(1+((1+$C$70)^(1/12)-1))^12-J92/12*(1+((1+$C$70)^(1/12)-1))*(((1+((1+$C$70)^(1/12)-1))^12-1)/((1+((1+$C$70)^(1/12)-1))-1)))</f>
      </c>
      <c r="Q93">
        <f>IF($C$65&lt;&gt;1,0,IFERROR((((1+($C$70+'Inputs'!$H$123/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f>
      </c>
      <c r="L94">
        <f>IF(J94&gt;0,1,0)</f>
      </c>
      <c r="P94">
        <f>IF($C$65&lt;&gt;1,0,P93*(1+((1+$C$70)^(1/12)-1))^12-J93/12*(1+((1+$C$70)^(1/12)-1))*(((1+((1+$C$70)^(1/12)-1))^12-1)/((1+((1+$C$70)^(1/12)-1))-1)))</f>
      </c>
      <c r="Q94">
        <f>IF($C$65&lt;&gt;1,0,IFERROR((((1+($C$70+'Inputs'!$H$123/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f>
      </c>
      <c r="L95">
        <f>IF(J95&gt;0,1,0)</f>
      </c>
      <c r="P95">
        <f>IF($C$65&lt;&gt;1,0,P94*(1+((1+$C$70)^(1/12)-1))^12-J94/12*(1+((1+$C$70)^(1/12)-1))*(((1+((1+$C$70)^(1/12)-1))^12-1)/((1+((1+$C$70)^(1/12)-1))-1)))</f>
      </c>
      <c r="Q95">
        <f>IF($C$65&lt;&gt;1,0,IFERROR((((1+($C$70+'Inputs'!$H$123/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f>
      </c>
      <c r="L96">
        <f>IF(J96&gt;0,1,0)</f>
      </c>
      <c r="P96">
        <f>IF($C$65&lt;&gt;1,0,P95*(1+((1+$C$70)^(1/12)-1))^12-J95/12*(1+((1+$C$70)^(1/12)-1))*(((1+((1+$C$70)^(1/12)-1))^12-1)/((1+((1+$C$70)^(1/12)-1))-1)))</f>
      </c>
      <c r="Q96">
        <f>IF($C$65&lt;&gt;1,0,IFERROR((((1+($C$70+'Inputs'!$H$123/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f>
      </c>
      <c r="L97">
        <f>IF(J97&gt;0,1,0)</f>
      </c>
      <c r="P97">
        <f>IF($C$65&lt;&gt;1,0,P96*(1+((1+$C$70)^(1/12)-1))^12-J96/12*(1+((1+$C$70)^(1/12)-1))*(((1+((1+$C$70)^(1/12)-1))^12-1)/((1+((1+$C$70)^(1/12)-1))-1)))</f>
      </c>
      <c r="Q97">
        <f>IF($C$65&lt;&gt;1,0,IFERROR((((1+($C$70+'Inputs'!$H$123/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f>
      </c>
      <c r="L98">
        <f>IF(J98&gt;0,1,0)</f>
      </c>
      <c r="P98">
        <f>IF($C$65&lt;&gt;1,0,P97*(1+((1+$C$70)^(1/12)-1))^12-J97/12*(1+((1+$C$70)^(1/12)-1))*(((1+((1+$C$70)^(1/12)-1))^12-1)/((1+((1+$C$70)^(1/12)-1))-1)))</f>
      </c>
      <c r="Q98">
        <f>IF($C$65&lt;&gt;1,0,IFERROR((((1+($C$70+'Inputs'!$H$123/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f>
      </c>
      <c r="L99">
        <f>IF(J99&gt;0,1,0)</f>
      </c>
      <c r="P99">
        <f>IF($C$65&lt;&gt;1,0,P98*(1+((1+$C$70)^(1/12)-1))^12-J98/12*(1+((1+$C$70)^(1/12)-1))*(((1+((1+$C$70)^(1/12)-1))^12-1)/((1+((1+$C$70)^(1/12)-1))-1)))</f>
      </c>
      <c r="Q99">
        <f>IF($C$65&lt;&gt;1,0,IFERROR((((1+($C$70+'Inputs'!$H$123/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f>
      </c>
      <c r="L100">
        <f>IF(J100&gt;0,1,0)</f>
      </c>
      <c r="P100">
        <f>IF($C$65&lt;&gt;1,0,P99*(1+((1+$C$70)^(1/12)-1))^12-J99/12*(1+((1+$C$70)^(1/12)-1))*(((1+((1+$C$70)^(1/12)-1))^12-1)/((1+((1+$C$70)^(1/12)-1))-1)))</f>
      </c>
      <c r="Q100">
        <f>IF($C$65&lt;&gt;1,0,IFERROR((((1+($C$70+'Inputs'!$H$123/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f>
      </c>
      <c r="L101">
        <f>IF(J101&gt;0,1,0)</f>
      </c>
      <c r="P101">
        <f>IF($C$65&lt;&gt;1,0,P100*(1+((1+$C$70)^(1/12)-1))^12-J100/12*(1+((1+$C$70)^(1/12)-1))*(((1+((1+$C$70)^(1/12)-1))^12-1)/((1+((1+$C$70)^(1/12)-1))-1)))</f>
      </c>
      <c r="Q101">
        <f>IF($C$65&lt;&gt;1,0,IFERROR((((1+($C$70+'Inputs'!$H$123/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f>
      </c>
      <c r="L102">
        <f>IF(J102&gt;0,1,0)</f>
      </c>
      <c r="P102">
        <f>IF($C$65&lt;&gt;1,0,P101*(1+((1+$C$70)^(1/12)-1))^12-J101/12*(1+((1+$C$70)^(1/12)-1))*(((1+((1+$C$70)^(1/12)-1))^12-1)/((1+((1+$C$70)^(1/12)-1))-1)))</f>
      </c>
      <c r="Q102">
        <f>IF($C$65&lt;&gt;1,0,IFERROR((((1+($C$70+'Inputs'!$H$123/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f>
      </c>
      <c r="L103">
        <f>IF(J103&gt;0,1,0)</f>
      </c>
      <c r="P103">
        <f>IF($C$65&lt;&gt;1,0,P102*(1+((1+$C$70)^(1/12)-1))^12-J102/12*(1+((1+$C$70)^(1/12)-1))*(((1+((1+$C$70)^(1/12)-1))^12-1)/((1+((1+$C$70)^(1/12)-1))-1)))</f>
      </c>
      <c r="Q103">
        <f>IF($C$65&lt;&gt;1,0,IFERROR((((1+($C$70+'Inputs'!$H$123/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f>
      </c>
      <c r="L104">
        <f>IF(J104&gt;0,1,0)</f>
      </c>
      <c r="P104">
        <f>IF($C$65&lt;&gt;1,0,P103*(1+((1+$C$70)^(1/12)-1))^12-J103/12*(1+((1+$C$70)^(1/12)-1))*(((1+((1+$C$70)^(1/12)-1))^12-1)/((1+((1+$C$70)^(1/12)-1))-1)))</f>
      </c>
      <c r="Q104">
        <f>IF($C$65&lt;&gt;1,0,IFERROR((((1+($C$70+'Inputs'!$H$123/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f>
      </c>
      <c r="L105">
        <f>IF(J105&gt;0,1,0)</f>
      </c>
      <c r="P105">
        <f>IF($C$65&lt;&gt;1,0,P104*(1+((1+$C$70)^(1/12)-1))^12-J104/12*(1+((1+$C$70)^(1/12)-1))*(((1+((1+$C$70)^(1/12)-1))^12-1)/((1+((1+$C$70)^(1/12)-1))-1)))</f>
      </c>
      <c r="Q105">
        <f>IF($C$65&lt;&gt;1,0,IFERROR((((1+($C$70+'Inputs'!$H$123/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f>
      </c>
      <c r="L106">
        <f>IF(J106&gt;0,1,0)</f>
      </c>
      <c r="P106">
        <f>IF($C$65&lt;&gt;1,0,P105*(1+((1+$C$70)^(1/12)-1))^12-J105/12*(1+((1+$C$70)^(1/12)-1))*(((1+((1+$C$70)^(1/12)-1))^12-1)/((1+((1+$C$70)^(1/12)-1))-1)))</f>
      </c>
      <c r="Q106">
        <f>IF($C$65&lt;&gt;1,0,IFERROR((((1+($C$70+'Inputs'!$H$123/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f>
      </c>
      <c r="L107">
        <f>IF(J107&gt;0,1,0)</f>
      </c>
      <c r="P107">
        <f>IF($C$65&lt;&gt;1,0,P106*(1+((1+$C$70)^(1/12)-1))^12-J106/12*(1+((1+$C$70)^(1/12)-1))*(((1+((1+$C$70)^(1/12)-1))^12-1)/((1+((1+$C$70)^(1/12)-1))-1)))</f>
      </c>
      <c r="Q107">
        <f>IF($C$65&lt;&gt;1,0,IFERROR((((1+($C$70+'Inputs'!$H$123/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f>
      </c>
      <c r="L108">
        <f>IF(J108&gt;0,1,0)</f>
      </c>
      <c r="P108">
        <f>IF($C$65&lt;&gt;1,0,P107*(1+((1+$C$70)^(1/12)-1))^12-J107/12*(1+((1+$C$70)^(1/12)-1))*(((1+((1+$C$70)^(1/12)-1))^12-1)/((1+((1+$C$70)^(1/12)-1))-1)))</f>
      </c>
      <c r="Q108">
        <f>IF($C$65&lt;&gt;1,0,IFERROR((((1+($C$70+'Inputs'!$H$123/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f>
      </c>
      <c r="L109">
        <f>IF(J109&gt;0,1,0)</f>
      </c>
      <c r="P109">
        <f>IF($C$65&lt;&gt;1,0,P108*(1+((1+$C$70)^(1/12)-1))^12-J108/12*(1+((1+$C$70)^(1/12)-1))*(((1+((1+$C$70)^(1/12)-1))^12-1)/((1+((1+$C$70)^(1/12)-1))-1)))</f>
      </c>
      <c r="Q109">
        <f>IF($C$65&lt;&gt;1,0,IFERROR((((1+($C$70+'Inputs'!$H$123/100))^(1/12)-1)-((1+$C$70)^(1/12)-1))*(P109*(((1+((1+$C$70)^(1/12)-1))^12-1)/((1+((1+$C$70)^(1/12)-1))-1))-J109/12/((1+((1+$C$70)^(1/12)-1))-1)*((1+((1+$C$70)^(1/12)-1))*(((1+((1+$C$70)^(1/12)-1))^12-1)/((1+((1+$C$70)^(1/12)-1))-1))-12)),0))</f>
      </c>
    </row>
    <row r="114" spans="2:3" x14ac:dyDescent="0.25">
      <c r="B114" t="s">
        <v>119</v>
      </c>
      <c r="C114">
        <f>IF('Inputs'!$B$102="","",'Inputs'!$B$102)</f>
      </c>
    </row>
    <row r="115" spans="2:17" x14ac:dyDescent="0.25">
      <c r="B115" t="s">
        <v>121</v>
      </c>
      <c r="C115">
        <f>N('Inputs'!$D$102)</f>
      </c>
      <c r="I115" t="s">
        <v>437</v>
      </c>
      <c r="J115" t="s">
        <v>438</v>
      </c>
      <c r="K115" t="s">
        <v>439</v>
      </c>
      <c r="L115" t="s">
        <v>440</v>
      </c>
      <c r="P115" t="s">
        <v>441</v>
      </c>
      <c r="Q115" t="s">
        <v>442</v>
      </c>
    </row>
    <row r="116" spans="2:17" x14ac:dyDescent="0.25">
      <c r="B116" t="s">
        <v>443</v>
      </c>
      <c r="C116">
        <f>IF($C$115&gt;=75,'Inputs'!$H$131,IF($C$115&gt;=65,'Inputs'!$H$130,'Inputs'!$H$124))</f>
      </c>
      <c r="I116">
        <v>0</v>
      </c>
      <c r="J116">
        <f>IF(I116&lt;$C$118,MAX(0,12*$C$119*(1+$C$120)^I116-K116),0)</f>
      </c>
      <c r="K116">
        <f>SUMPRODUCT(('Inputs'!$G$76:$G$81=$C$114)*($C$114&lt;&gt;"")*'Inputs'!$D$76:$D$81*(1+'Inputs'!$E$76:$E$81/100)^I116*(ABS('Inputs'!$F$76:$F$81-12*I116)-ABS(('Inputs'!$F$76:$F$81-12*I116)-12)+12)/2)</f>
      </c>
      <c r="L116">
        <f>IF(J116&gt;0,1,0)</f>
      </c>
      <c r="P116">
        <f>IF($C$121&lt;&gt;1,0,IF($C$126=0,SUM($J$116:$J$165),(1-(1+$C$126)^-1)/(1-(1+$C$126)^(-1/12))/12*SUMPRODUCT($J$116:$J$165,(1+$C$126)^(-$I$116:$I$165))))</f>
      </c>
      <c r="Q116">
        <f>IF($C$121&lt;&gt;1,0,IFERROR((((1+($C$126+'Inputs'!$H$123/100))^(1/12)-1)-((1+$C$126)^(1/12)-1))*(P116*(((1+((1+$C$126)^(1/12)-1))^12-1)/((1+((1+$C$126)^(1/12)-1))-1))-J116/12/((1+((1+$C$126)^(1/12)-1))-1)*((1+((1+$C$126)^(1/12)-1))*(((1+((1+$C$126)^(1/12)-1))^12-1)/((1+((1+$C$126)^(1/12)-1))-1))-12)),0))</f>
      </c>
    </row>
    <row r="117" spans="2:17" x14ac:dyDescent="0.25">
      <c r="B117" t="s">
        <v>444</v>
      </c>
      <c r="C117">
        <f>N('Inputs'!$I$102)</f>
      </c>
      <c r="I117">
        <v>1</v>
      </c>
      <c r="J117">
        <f>IF(I117&lt;$C$118,MAX(0,12*$C$119*(1+$C$120)^I117-K117),0)</f>
      </c>
      <c r="K117">
        <f>SUMPRODUCT(('Inputs'!$G$76:$G$81=$C$114)*($C$114&lt;&gt;"")*'Inputs'!$D$76:$D$81*(1+'Inputs'!$E$76:$E$81/100)^I117*(ABS('Inputs'!$F$76:$F$81-12*I117)-ABS(('Inputs'!$F$76:$F$81-12*I117)-12)+12)/2)</f>
      </c>
      <c r="L117">
        <f>IF(J117&gt;0,1,0)</f>
      </c>
      <c r="P117">
        <f>IF($C$121&lt;&gt;1,0,P116*(1+((1+$C$126)^(1/12)-1))^12-J116/12*(1+((1+$C$126)^(1/12)-1))*(((1+((1+$C$126)^(1/12)-1))^12-1)/((1+((1+$C$126)^(1/12)-1))-1)))</f>
      </c>
      <c r="Q117">
        <f>IF($C$121&lt;&gt;1,0,IFERROR((((1+($C$126+'Inputs'!$H$123/100))^(1/12)-1)-((1+$C$126)^(1/12)-1))*(P117*(((1+((1+$C$126)^(1/12)-1))^12-1)/((1+((1+$C$126)^(1/12)-1))-1))-J117/12/((1+((1+$C$126)^(1/12)-1))-1)*((1+((1+$C$126)^(1/12)-1))*(((1+((1+$C$126)^(1/12)-1))^12-1)/((1+((1+$C$126)^(1/12)-1))-1))-12)),0))</f>
      </c>
    </row>
    <row r="118" spans="2:17" x14ac:dyDescent="0.25">
      <c r="B118" t="s">
        <v>445</v>
      </c>
      <c r="C118">
        <f>IF($C$114="",0,N('Inputs'!$F$102))</f>
      </c>
      <c r="I118">
        <v>2</v>
      </c>
      <c r="J118">
        <f>IF(I118&lt;$C$118,MAX(0,12*$C$119*(1+$C$120)^I118-K118),0)</f>
      </c>
      <c r="K118">
        <f>SUMPRODUCT(('Inputs'!$G$76:$G$81=$C$114)*($C$114&lt;&gt;"")*'Inputs'!$D$76:$D$81*(1+'Inputs'!$E$76:$E$81/100)^I118*(ABS('Inputs'!$F$76:$F$81-12*I118)-ABS(('Inputs'!$F$76:$F$81-12*I118)-12)+12)/2)</f>
      </c>
      <c r="L118">
        <f>IF(J118&gt;0,1,0)</f>
      </c>
      <c r="P118">
        <f>IF($C$121&lt;&gt;1,0,P117*(1+((1+$C$126)^(1/12)-1))^12-J117/12*(1+((1+$C$126)^(1/12)-1))*(((1+((1+$C$126)^(1/12)-1))^12-1)/((1+((1+$C$126)^(1/12)-1))-1)))</f>
      </c>
      <c r="Q118">
        <f>IF($C$121&lt;&gt;1,0,IFERROR((((1+($C$126+'Inputs'!$H$123/100))^(1/12)-1)-((1+$C$126)^(1/12)-1))*(P118*(((1+((1+$C$126)^(1/12)-1))^12-1)/((1+((1+$C$126)^(1/12)-1))-1))-J118/12/((1+((1+$C$126)^(1/12)-1))-1)*((1+((1+$C$126)^(1/12)-1))*(((1+((1+$C$126)^(1/12)-1))^12-1)/((1+((1+$C$126)^(1/12)-1))-1))-12)),0))</f>
      </c>
    </row>
    <row r="119" spans="2:17" x14ac:dyDescent="0.25">
      <c r="B119" t="s">
        <v>446</v>
      </c>
      <c r="C119">
        <f>N('Inputs'!$E$102)</f>
      </c>
      <c r="I119">
        <v>3</v>
      </c>
      <c r="J119">
        <f>IF(I119&lt;$C$118,MAX(0,12*$C$119*(1+$C$120)^I119-K119),0)</f>
      </c>
      <c r="K119">
        <f>SUMPRODUCT(('Inputs'!$G$76:$G$81=$C$114)*($C$114&lt;&gt;"")*'Inputs'!$D$76:$D$81*(1+'Inputs'!$E$76:$E$81/100)^I119*(ABS('Inputs'!$F$76:$F$81-12*I119)-ABS(('Inputs'!$F$76:$F$81-12*I119)-12)+12)/2)</f>
      </c>
      <c r="L119">
        <f>IF(J119&gt;0,1,0)</f>
      </c>
      <c r="P119">
        <f>IF($C$121&lt;&gt;1,0,P118*(1+((1+$C$126)^(1/12)-1))^12-J118/12*(1+((1+$C$126)^(1/12)-1))*(((1+((1+$C$126)^(1/12)-1))^12-1)/((1+((1+$C$126)^(1/12)-1))-1)))</f>
      </c>
      <c r="Q119">
        <f>IF($C$121&lt;&gt;1,0,IFERROR((((1+($C$126+'Inputs'!$H$123/100))^(1/12)-1)-((1+$C$126)^(1/12)-1))*(P119*(((1+((1+$C$126)^(1/12)-1))^12-1)/((1+((1+$C$126)^(1/12)-1))-1))-J119/12/((1+((1+$C$126)^(1/12)-1))-1)*((1+((1+$C$126)^(1/12)-1))*(((1+((1+$C$126)^(1/12)-1))^12-1)/((1+((1+$C$126)^(1/12)-1))-1))-12)),0))</f>
      </c>
    </row>
    <row r="120" spans="2:17" x14ac:dyDescent="0.25">
      <c r="B120" t="s">
        <v>447</v>
      </c>
      <c r="C120">
        <f>IF('Inputs'!$G$102="",'Inputs'!$H$129/100,'Inputs'!$G$102/100)</f>
      </c>
      <c r="I120">
        <v>4</v>
      </c>
      <c r="J120">
        <f>IF(I120&lt;$C$118,MAX(0,12*$C$119*(1+$C$120)^I120-K120),0)</f>
      </c>
      <c r="K120">
        <f>SUMPRODUCT(('Inputs'!$G$76:$G$81=$C$114)*($C$114&lt;&gt;"")*'Inputs'!$D$76:$D$81*(1+'Inputs'!$E$76:$E$81/100)^I120*(ABS('Inputs'!$F$76:$F$81-12*I120)-ABS(('Inputs'!$F$76:$F$81-12*I120)-12)+12)/2)</f>
      </c>
      <c r="L120">
        <f>IF(J120&gt;0,1,0)</f>
      </c>
      <c r="P120">
        <f>IF($C$121&lt;&gt;1,0,P119*(1+((1+$C$126)^(1/12)-1))^12-J119/12*(1+((1+$C$126)^(1/12)-1))*(((1+((1+$C$126)^(1/12)-1))^12-1)/((1+((1+$C$126)^(1/12)-1))-1)))</f>
      </c>
      <c r="Q120">
        <f>IF($C$121&lt;&gt;1,0,IFERROR((((1+($C$126+'Inputs'!$H$123/100))^(1/12)-1)-((1+$C$126)^(1/12)-1))*(P120*(((1+((1+$C$126)^(1/12)-1))^12-1)/((1+((1+$C$126)^(1/12)-1))-1))-J120/12/((1+((1+$C$126)^(1/12)-1))-1)*((1+((1+$C$126)^(1/12)-1))*(((1+((1+$C$126)^(1/12)-1))^12-1)/((1+((1+$C$126)^(1/12)-1))-1))-12)),0))</f>
      </c>
    </row>
    <row r="121" spans="2:17" x14ac:dyDescent="0.25">
      <c r="B121" t="s">
        <v>448</v>
      </c>
      <c r="C121">
        <f>IF('Inputs'!$H$102="Yes",1,0)</f>
      </c>
      <c r="I121">
        <v>5</v>
      </c>
      <c r="J121">
        <f>IF(I121&lt;$C$118,MAX(0,12*$C$119*(1+$C$120)^I121-K121),0)</f>
      </c>
      <c r="K121">
        <f>SUMPRODUCT(('Inputs'!$G$76:$G$81=$C$114)*($C$114&lt;&gt;"")*'Inputs'!$D$76:$D$81*(1+'Inputs'!$E$76:$E$81/100)^I121*(ABS('Inputs'!$F$76:$F$81-12*I121)-ABS(('Inputs'!$F$76:$F$81-12*I121)-12)+12)/2)</f>
      </c>
      <c r="L121">
        <f>IF(J121&gt;0,1,0)</f>
      </c>
      <c r="P121">
        <f>IF($C$121&lt;&gt;1,0,P120*(1+((1+$C$126)^(1/12)-1))^12-J120/12*(1+((1+$C$126)^(1/12)-1))*(((1+((1+$C$126)^(1/12)-1))^12-1)/((1+((1+$C$126)^(1/12)-1))-1)))</f>
      </c>
      <c r="Q121">
        <f>IF($C$121&lt;&gt;1,0,IFERROR((((1+($C$126+'Inputs'!$H$123/100))^(1/12)-1)-((1+$C$126)^(1/12)-1))*(P121*(((1+((1+$C$126)^(1/12)-1))^12-1)/((1+((1+$C$126)^(1/12)-1))-1))-J121/12/((1+((1+$C$126)^(1/12)-1))-1)*((1+((1+$C$126)^(1/12)-1))*(((1+((1+$C$126)^(1/12)-1))^12-1)/((1+((1+$C$126)^(1/12)-1))-1))-12)),0))</f>
      </c>
    </row>
    <row r="122" spans="2:17" x14ac:dyDescent="0.25">
      <c r="B122" t="s">
        <v>449</v>
      </c>
      <c r="C122">
        <f>IF($C$114="",0,N('Inputs'!$J$102))</f>
      </c>
      <c r="I122">
        <v>6</v>
      </c>
      <c r="J122">
        <f>IF(I122&lt;$C$118,MAX(0,12*$C$119*(1+$C$120)^I122-K122),0)</f>
      </c>
      <c r="K122">
        <f>SUMPRODUCT(('Inputs'!$G$76:$G$81=$C$114)*($C$114&lt;&gt;"")*'Inputs'!$D$76:$D$81*(1+'Inputs'!$E$76:$E$81/100)^I122*(ABS('Inputs'!$F$76:$F$81-12*I122)-ABS(('Inputs'!$F$76:$F$81-12*I122)-12)+12)/2)</f>
      </c>
      <c r="L122">
        <f>IF(J122&gt;0,1,0)</f>
      </c>
      <c r="P122">
        <f>IF($C$121&lt;&gt;1,0,P121*(1+((1+$C$126)^(1/12)-1))^12-J121/12*(1+((1+$C$126)^(1/12)-1))*(((1+((1+$C$126)^(1/12)-1))^12-1)/((1+((1+$C$126)^(1/12)-1))-1)))</f>
      </c>
      <c r="Q122">
        <f>IF($C$121&lt;&gt;1,0,IFERROR((((1+($C$126+'Inputs'!$H$123/100))^(1/12)-1)-((1+$C$126)^(1/12)-1))*(P122*(((1+((1+$C$126)^(1/12)-1))^12-1)/((1+((1+$C$126)^(1/12)-1))-1))-J122/12/((1+((1+$C$126)^(1/12)-1))-1)*((1+((1+$C$126)^(1/12)-1))*(((1+((1+$C$126)^(1/12)-1))^12-1)/((1+((1+$C$126)^(1/12)-1))-1))-12)),0))</f>
      </c>
    </row>
    <row r="123" spans="2:17" x14ac:dyDescent="0.25">
      <c r="B123" t="s">
        <v>450</v>
      </c>
      <c r="C123">
        <f>ROUND(Q116,2)</f>
      </c>
      <c r="I123">
        <v>7</v>
      </c>
      <c r="J123">
        <f>IF(I123&lt;$C$118,MAX(0,12*$C$119*(1+$C$120)^I123-K123),0)</f>
      </c>
      <c r="K123">
        <f>SUMPRODUCT(('Inputs'!$G$76:$G$81=$C$114)*($C$114&lt;&gt;"")*'Inputs'!$D$76:$D$81*(1+'Inputs'!$E$76:$E$81/100)^I123*(ABS('Inputs'!$F$76:$F$81-12*I123)-ABS(('Inputs'!$F$76:$F$81-12*I123)-12)+12)/2)</f>
      </c>
      <c r="L123">
        <f>IF(J123&gt;0,1,0)</f>
      </c>
      <c r="P123">
        <f>IF($C$121&lt;&gt;1,0,P122*(1+((1+$C$126)^(1/12)-1))^12-J122/12*(1+((1+$C$126)^(1/12)-1))*(((1+((1+$C$126)^(1/12)-1))^12-1)/((1+((1+$C$126)^(1/12)-1))-1)))</f>
      </c>
      <c r="Q123">
        <f>IF($C$121&lt;&gt;1,0,IFERROR((((1+($C$126+'Inputs'!$H$123/100))^(1/12)-1)-((1+$C$126)^(1/12)-1))*(P123*(((1+((1+$C$126)^(1/12)-1))^12-1)/((1+((1+$C$126)^(1/12)-1))-1))-J123/12/((1+((1+$C$126)^(1/12)-1))-1)*((1+((1+$C$126)^(1/12)-1))*(((1+((1+$C$126)^(1/12)-1))^12-1)/((1+((1+$C$126)^(1/12)-1))-1))-12)),0))</f>
      </c>
    </row>
    <row r="124" spans="2:17" x14ac:dyDescent="0.25">
      <c r="B124" t="s">
        <v>451</v>
      </c>
      <c r="C124">
        <f>ROUND(SUM($Q$116:$Q$165),2)</f>
      </c>
      <c r="I124">
        <v>8</v>
      </c>
      <c r="J124">
        <f>IF(I124&lt;$C$118,MAX(0,12*$C$119*(1+$C$120)^I124-K124),0)</f>
      </c>
      <c r="K124">
        <f>SUMPRODUCT(('Inputs'!$G$76:$G$81=$C$114)*($C$114&lt;&gt;"")*'Inputs'!$D$76:$D$81*(1+'Inputs'!$E$76:$E$81/100)^I124*(ABS('Inputs'!$F$76:$F$81-12*I124)-ABS(('Inputs'!$F$76:$F$81-12*I124)-12)+12)/2)</f>
      </c>
      <c r="L124">
        <f>IF(J124&gt;0,1,0)</f>
      </c>
      <c r="P124">
        <f>IF($C$121&lt;&gt;1,0,P123*(1+((1+$C$126)^(1/12)-1))^12-J123/12*(1+((1+$C$126)^(1/12)-1))*(((1+((1+$C$126)^(1/12)-1))^12-1)/((1+((1+$C$126)^(1/12)-1))-1)))</f>
      </c>
      <c r="Q124">
        <f>IF($C$121&lt;&gt;1,0,IFERROR((((1+($C$126+'Inputs'!$H$123/100))^(1/12)-1)-((1+$C$126)^(1/12)-1))*(P124*(((1+((1+$C$126)^(1/12)-1))^12-1)/((1+((1+$C$126)^(1/12)-1))-1))-J124/12/((1+((1+$C$126)^(1/12)-1))-1)*((1+((1+$C$126)^(1/12)-1))*(((1+((1+$C$126)^(1/12)-1))^12-1)/((1+((1+$C$126)^(1/12)-1))-1))-12)),0))</f>
      </c>
    </row>
    <row r="125" spans="2:17" x14ac:dyDescent="0.25">
      <c r="B125" t="s">
        <v>452</v>
      </c>
      <c r="C125">
        <f>IF($C$121&lt;&gt;1,0,ROUND(IF($C$126=0,SUM($J$116:$J$165),(1-(1+$C$126)^-1)/(1-(1+$C$126)^(-1/12))/12*SUMPRODUCT($J$116:$J$165,(1+$C$126)^(-$I$116:$I$165)))-IF(($C$126+'Inputs'!$H$123/100)=0,SUM($J$116:$J$165),(1-(1+($C$126+'Inputs'!$H$123/100))^-1)/(1-(1+($C$126+'Inputs'!$H$123/100))^(-1/12))/12*SUMPRODUCT($J$116:$J$165,(1+($C$126+'Inputs'!$H$123/100))^(-$I$116:$I$165))),2))</f>
      </c>
      <c r="I125">
        <v>9</v>
      </c>
      <c r="J125">
        <f>IF(I125&lt;$C$118,MAX(0,12*$C$119*(1+$C$120)^I125-K125),0)</f>
      </c>
      <c r="K125">
        <f>SUMPRODUCT(('Inputs'!$G$76:$G$81=$C$114)*($C$114&lt;&gt;"")*'Inputs'!$D$76:$D$81*(1+'Inputs'!$E$76:$E$81/100)^I125*(ABS('Inputs'!$F$76:$F$81-12*I125)-ABS(('Inputs'!$F$76:$F$81-12*I125)-12)+12)/2)</f>
      </c>
      <c r="L125">
        <f>IF(J125&gt;0,1,0)</f>
      </c>
      <c r="P125">
        <f>IF($C$121&lt;&gt;1,0,P124*(1+((1+$C$126)^(1/12)-1))^12-J124/12*(1+((1+$C$126)^(1/12)-1))*(((1+((1+$C$126)^(1/12)-1))^12-1)/((1+((1+$C$126)^(1/12)-1))-1)))</f>
      </c>
      <c r="Q125">
        <f>IF($C$121&lt;&gt;1,0,IFERROR((((1+($C$126+'Inputs'!$H$123/100))^(1/12)-1)-((1+$C$126)^(1/12)-1))*(P125*(((1+((1+$C$126)^(1/12)-1))^12-1)/((1+((1+$C$126)^(1/12)-1))-1))-J125/12/((1+((1+$C$126)^(1/12)-1))-1)*((1+((1+$C$126)^(1/12)-1))*(((1+((1+$C$126)^(1/12)-1))^12-1)/((1+((1+$C$126)^(1/12)-1))-1))-12)),0))</f>
      </c>
    </row>
    <row r="126" spans="2:17" x14ac:dyDescent="0.25">
      <c r="B126" t="s">
        <v>453</v>
      </c>
      <c r="C126">
        <f>IF($C$121=1,'Needs calc'!$C$67,0)</f>
      </c>
      <c r="I126">
        <v>10</v>
      </c>
      <c r="J126">
        <f>IF(I126&lt;$C$118,MAX(0,12*$C$119*(1+$C$120)^I126-K126),0)</f>
      </c>
      <c r="K126">
        <f>SUMPRODUCT(('Inputs'!$G$76:$G$81=$C$114)*($C$114&lt;&gt;"")*'Inputs'!$D$76:$D$81*(1+'Inputs'!$E$76:$E$81/100)^I126*(ABS('Inputs'!$F$76:$F$81-12*I126)-ABS(('Inputs'!$F$76:$F$81-12*I126)-12)+12)/2)</f>
      </c>
      <c r="L126">
        <f>IF(J126&gt;0,1,0)</f>
      </c>
      <c r="P126">
        <f>IF($C$121&lt;&gt;1,0,P125*(1+((1+$C$126)^(1/12)-1))^12-J125/12*(1+((1+$C$126)^(1/12)-1))*(((1+((1+$C$126)^(1/12)-1))^12-1)/((1+((1+$C$126)^(1/12)-1))-1)))</f>
      </c>
      <c r="Q126">
        <f>IF($C$121&lt;&gt;1,0,IFERROR((((1+($C$126+'Inputs'!$H$123/100))^(1/12)-1)-((1+$C$126)^(1/12)-1))*(P126*(((1+((1+$C$126)^(1/12)-1))^12-1)/((1+((1+$C$126)^(1/12)-1))-1))-J126/12/((1+((1+$C$126)^(1/12)-1))-1)*((1+((1+$C$126)^(1/12)-1))*(((1+((1+$C$126)^(1/12)-1))^12-1)/((1+((1+$C$126)^(1/12)-1))-1))-12)),0))</f>
      </c>
    </row>
    <row r="127" spans="2:17" x14ac:dyDescent="0.25">
      <c r="B127" t="s">
        <v>454</v>
      </c>
      <c r="C127">
        <f>SUMPRODUCT(('Inputs'!$G$76:$G$81=$C$114)*($C$114&lt;&gt;"")*('Inputs'!$F$76:$F$81&gt;0)*'Inputs'!$D$76:$D$81)</f>
      </c>
      <c r="I127">
        <v>11</v>
      </c>
      <c r="J127">
        <f>IF(I127&lt;$C$118,MAX(0,12*$C$119*(1+$C$120)^I127-K127),0)</f>
      </c>
      <c r="K127">
        <f>SUMPRODUCT(('Inputs'!$G$76:$G$81=$C$114)*($C$114&lt;&gt;"")*'Inputs'!$D$76:$D$81*(1+'Inputs'!$E$76:$E$81/100)^I127*(ABS('Inputs'!$F$76:$F$81-12*I127)-ABS(('Inputs'!$F$76:$F$81-12*I127)-12)+12)/2)</f>
      </c>
      <c r="L127">
        <f>IF(J127&gt;0,1,0)</f>
      </c>
      <c r="P127">
        <f>IF($C$121&lt;&gt;1,0,P126*(1+((1+$C$126)^(1/12)-1))^12-J126/12*(1+((1+$C$126)^(1/12)-1))*(((1+((1+$C$126)^(1/12)-1))^12-1)/((1+((1+$C$126)^(1/12)-1))-1)))</f>
      </c>
      <c r="Q127">
        <f>IF($C$121&lt;&gt;1,0,IFERROR((((1+($C$126+'Inputs'!$H$123/100))^(1/12)-1)-((1+$C$126)^(1/12)-1))*(P127*(((1+((1+$C$126)^(1/12)-1))^12-1)/((1+((1+$C$126)^(1/12)-1))-1))-J127/12/((1+((1+$C$126)^(1/12)-1))-1)*((1+((1+$C$126)^(1/12)-1))*(((1+((1+$C$126)^(1/12)-1))^12-1)/((1+((1+$C$126)^(1/12)-1))-1))-12)),0))</f>
      </c>
    </row>
    <row r="128" spans="2:17" x14ac:dyDescent="0.25">
      <c r="B128" t="s">
        <v>455</v>
      </c>
      <c r="C128">
        <f>IF($C$118&gt;0,$C$119-J116/12,0)</f>
      </c>
      <c r="I128">
        <v>12</v>
      </c>
      <c r="J128">
        <f>IF(I128&lt;$C$118,MAX(0,12*$C$119*(1+$C$120)^I128-K128),0)</f>
      </c>
      <c r="K128">
        <f>SUMPRODUCT(('Inputs'!$G$76:$G$81=$C$114)*($C$114&lt;&gt;"")*'Inputs'!$D$76:$D$81*(1+'Inputs'!$E$76:$E$81/100)^I128*(ABS('Inputs'!$F$76:$F$81-12*I128)-ABS(('Inputs'!$F$76:$F$81-12*I128)-12)+12)/2)</f>
      </c>
      <c r="L128">
        <f>IF(J128&gt;0,1,0)</f>
      </c>
      <c r="P128">
        <f>IF($C$121&lt;&gt;1,0,P127*(1+((1+$C$126)^(1/12)-1))^12-J127/12*(1+((1+$C$126)^(1/12)-1))*(((1+((1+$C$126)^(1/12)-1))^12-1)/((1+((1+$C$126)^(1/12)-1))-1)))</f>
      </c>
      <c r="Q128">
        <f>IF($C$121&lt;&gt;1,0,IFERROR((((1+($C$126+'Inputs'!$H$123/100))^(1/12)-1)-((1+$C$126)^(1/12)-1))*(P128*(((1+((1+$C$126)^(1/12)-1))^12-1)/((1+((1+$C$126)^(1/12)-1))-1))-J128/12/((1+((1+$C$126)^(1/12)-1))-1)*((1+((1+$C$126)^(1/12)-1))*(((1+((1+$C$126)^(1/12)-1))^12-1)/((1+((1+$C$126)^(1/12)-1))-1))-12)),0))</f>
      </c>
    </row>
    <row r="129" spans="2:17" x14ac:dyDescent="0.25">
      <c r="B129" t="s">
        <v>456</v>
      </c>
      <c r="C129">
        <f>SUMPRODUCT(MAX(('Inputs'!$G$76:$G$81=$C$114)*($C$114&lt;&gt;"")*'Inputs'!$F$76:$F$81))</f>
      </c>
      <c r="I129">
        <v>13</v>
      </c>
      <c r="J129">
        <f>IF(I129&lt;$C$118,MAX(0,12*$C$119*(1+$C$120)^I129-K129),0)</f>
      </c>
      <c r="K129">
        <f>SUMPRODUCT(('Inputs'!$G$76:$G$81=$C$114)*($C$114&lt;&gt;"")*'Inputs'!$D$76:$D$81*(1+'Inputs'!$E$76:$E$81/100)^I129*(ABS('Inputs'!$F$76:$F$81-12*I129)-ABS(('Inputs'!$F$76:$F$81-12*I129)-12)+12)/2)</f>
      </c>
      <c r="L129">
        <f>IF(J129&gt;0,1,0)</f>
      </c>
      <c r="P129">
        <f>IF($C$121&lt;&gt;1,0,P128*(1+((1+$C$126)^(1/12)-1))^12-J128/12*(1+((1+$C$126)^(1/12)-1))*(((1+((1+$C$126)^(1/12)-1))^12-1)/((1+((1+$C$126)^(1/12)-1))-1)))</f>
      </c>
      <c r="Q129">
        <f>IF($C$121&lt;&gt;1,0,IFERROR((((1+($C$126+'Inputs'!$H$123/100))^(1/12)-1)-((1+$C$126)^(1/12)-1))*(P129*(((1+((1+$C$126)^(1/12)-1))^12-1)/((1+((1+$C$126)^(1/12)-1))-1))-J129/12/((1+((1+$C$126)^(1/12)-1))-1)*((1+((1+$C$126)^(1/12)-1))*(((1+((1+$C$126)^(1/12)-1))^12-1)/((1+((1+$C$126)^(1/12)-1))-1))-12)),0))</f>
      </c>
    </row>
    <row r="130" spans="2:17" x14ac:dyDescent="0.25">
      <c r="B130" t="s">
        <v>457</v>
      </c>
      <c r="C130">
        <f>SUM($J$116:$J$165)</f>
      </c>
      <c r="I130">
        <v>14</v>
      </c>
      <c r="J130">
        <f>IF(I130&lt;$C$118,MAX(0,12*$C$119*(1+$C$120)^I130-K130),0)</f>
      </c>
      <c r="K130">
        <f>SUMPRODUCT(('Inputs'!$G$76:$G$81=$C$114)*($C$114&lt;&gt;"")*'Inputs'!$D$76:$D$81*(1+'Inputs'!$E$76:$E$81/100)^I130*(ABS('Inputs'!$F$76:$F$81-12*I130)-ABS(('Inputs'!$F$76:$F$81-12*I130)-12)+12)/2)</f>
      </c>
      <c r="L130">
        <f>IF(J130&gt;0,1,0)</f>
      </c>
      <c r="P130">
        <f>IF($C$121&lt;&gt;1,0,P129*(1+((1+$C$126)^(1/12)-1))^12-J129/12*(1+((1+$C$126)^(1/12)-1))*(((1+((1+$C$126)^(1/12)-1))^12-1)/((1+((1+$C$126)^(1/12)-1))-1)))</f>
      </c>
      <c r="Q130">
        <f>IF($C$121&lt;&gt;1,0,IFERROR((((1+($C$126+'Inputs'!$H$123/100))^(1/12)-1)-((1+$C$126)^(1/12)-1))*(P130*(((1+((1+$C$126)^(1/12)-1))^12-1)/((1+((1+$C$126)^(1/12)-1))-1))-J130/12/((1+((1+$C$126)^(1/12)-1))-1)*((1+((1+$C$126)^(1/12)-1))*(((1+((1+$C$126)^(1/12)-1))^12-1)/((1+((1+$C$126)^(1/12)-1))-1))-12)),0))</f>
      </c>
    </row>
    <row r="131" spans="2:17" x14ac:dyDescent="0.25">
      <c r="B131" t="s">
        <v>458</v>
      </c>
      <c r="C131">
        <f>IF('Needs calc'!$C$69&gt;0,IF('Inputs'!$O$102*SUM('Inputs'!$U$100:$U$105)&gt;0,IF('Needs calc'!$C$64&gt;='Needs calc'!$C$72,'Inputs'!$B$102&amp;IF(SUM('Inputs'!$U$100:$U$105)=1," and "&amp;IF('Inputs'!$U$100=1,'Inputs'!$B$100,"")&amp;IF('Inputs'!$U$101=1,'Inputs'!$B$101,"")&amp;IF('Inputs'!$U$102=1,'Inputs'!$B$102,"")&amp;IF('Inputs'!$U$103=1,'Inputs'!$B$103,"")&amp;IF('Inputs'!$U$104=1,'Inputs'!$B$104,"")&amp;IF('Inputs'!$U$105=1,'Inputs'!$B$105,"")," and the children")&amp;" would have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you want for them"&amp;IF('Needs calc'!$C$72&gt;0,", after the R "&amp;FIXED(ROUND('Needs calc'!$C$72,-3),0)&amp;" once-off","")&amp;". ",'Inputs'!$B$102&amp;IF(SUM('Inputs'!$U$100:$U$105)=1," and "&amp;IF('Inputs'!$U$100=1,'Inputs'!$B$100,"")&amp;IF('Inputs'!$U$101=1,'Inputs'!$B$101,"")&amp;IF('Inputs'!$U$102=1,'Inputs'!$B$102,"")&amp;IF('Inputs'!$U$103=1,'Inputs'!$B$103,"")&amp;IF('Inputs'!$U$104=1,'Inputs'!$B$104,"")&amp;IF('Inputs'!$U$105=1,'Inputs'!$B$105,"")," and the children")&amp;" would have "&amp;IF('Needs calc'!$C$64&lt;=0,"nothing","about R "&amp;FIXED(ROUND('Needs calc'!$C$64,-3),0))&amp;" of the R "&amp;FIXED(ROUND('Needs calc'!$C$72,-3),0)&amp;" once-off you want for them, and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"),IF(N('Inputs'!$E$102)&gt;0,IF('Needs years'!$C$127&lt;=0,IF('Needs years'!$C$122&lt;=0,'Inputs'!$B$102&amp;" would have about R "&amp;FIXED(ROUND('Needs calc'!$C$70,-2),0)&amp;" a month of the R "&amp;FIXED(ROUND('Inputs'!$E$102,-2),0)&amp;" you want. ",IF('Needs calc'!$C$64&gt;='Needs years'!$C$122,'Inputs'!$B$102&amp;" would have about R "&amp;FIXED(ROUND('Needs calc'!$C$70,-2),0)&amp;" a month of the R "&amp;FIXED(ROUND('Inputs'!$E$102,-2),0)&amp;" you want,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")),IF('Needs years'!$C$130&lt;=0,IF('Needs years'!$C$122&gt;0,'Inputs'!$B$102&amp;"'s death income covers the R "&amp;FIXED(ROUND('Inputs'!$E$102,-2),0)&amp;" a month you want"&amp;", but "&amp;'Inputs'!$B$102&amp;" would have "&amp;IF('Needs calc'!$C$64&lt;=0,"nothing","about R "&amp;FIXED(ROUND('Needs calc'!$C$64,-3),0))&amp;" of the R "&amp;FIXED(ROUND('Needs years'!$C$122,-3),0)&amp;" once-off you want for them. ",'Inputs'!$B$102&amp;"'s death income covers the R "&amp;FIXED(ROUND('Inputs'!$E$102,-2),0)&amp;" a month you want"&amp;", but the estate duty on it, about R "&amp;FIXED(ROUND('Needs years'!$C$133,-3),0)&amp;", leaves "&amp;'Inputs'!$B$102&amp;" short. "),IF('Needs years'!$J$116&lt;=0,'Inputs'!$B$102&amp;"'s death income covers the R "&amp;FIXED(ROUND('Inputs'!$E$102,-2),0)&amp;" a month you want"&amp;" for "&amp;IF('Needs years'!$C$132=1,"the first year","the first "&amp;'Needs years'!$C$132&amp;" years")&amp;"; after that "&amp;'Inputs'!$B$102&amp;" would be short"&amp;IF(AND('Needs years'!$C$122&gt;0,'Needs calc'!$C$64&lt;'Needs years'!$C$122),", and would have "&amp;IF('Needs calc'!$C$64&lt;=0,"nothing","about R "&amp;FIXED(ROUND('Needs calc'!$C$64,-3),0))&amp;" of the R "&amp;FIXED(ROUND('Needs years'!$C$122,-3),0)&amp;" once-off","")&amp;". ",IF('Needs years'!$C$122&lt;=0,'Inputs'!$B$102&amp;" would have about R "&amp;FIXED(ROUND('Needs calc'!$C$70,-2),0)&amp;" a month of the R "&amp;FIXED(ROUND('Inputs'!$E$102,-2),0)&amp;" you want, part of it from the death income, and less once it stops. ",IF('Needs calc'!$C$64&gt;='Needs years'!$C$122,'Inputs'!$B$102&amp;" would have about R "&amp;FIXED(ROUND('Needs calc'!$C$70,-2),0)&amp;" a month of the R "&amp;FIXED(ROUND('Inputs'!$E$102,-2),0)&amp;" you want, part of it from the death income, and less once it stops,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part of it from the death income, and less once it stops. "))))),'Inputs'!$B$102&amp;" would have "&amp;IF('Needs calc'!$C$64&lt;=0,"nothing","about R "&amp;FIXED(ROUND('Needs calc'!$C$64,-3),0))&amp;" of the R "&amp;FIXED(ROUND('Needs years'!$C$122,-3),0)&amp;" you want to leave them. ")),"")</f>
      </c>
      <c r="I131">
        <v>15</v>
      </c>
      <c r="J131">
        <f>IF(I131&lt;$C$118,MAX(0,12*$C$119*(1+$C$120)^I131-K131),0)</f>
      </c>
      <c r="K131">
        <f>SUMPRODUCT(('Inputs'!$G$76:$G$81=$C$114)*($C$114&lt;&gt;"")*'Inputs'!$D$76:$D$81*(1+'Inputs'!$E$76:$E$81/100)^I131*(ABS('Inputs'!$F$76:$F$81-12*I131)-ABS(('Inputs'!$F$76:$F$81-12*I131)-12)+12)/2)</f>
      </c>
      <c r="L131">
        <f>IF(J131&gt;0,1,0)</f>
      </c>
      <c r="P131">
        <f>IF($C$121&lt;&gt;1,0,P130*(1+((1+$C$126)^(1/12)-1))^12-J130/12*(1+((1+$C$126)^(1/12)-1))*(((1+((1+$C$126)^(1/12)-1))^12-1)/((1+((1+$C$126)^(1/12)-1))-1)))</f>
      </c>
      <c r="Q131">
        <f>IF($C$121&lt;&gt;1,0,IFERROR((((1+($C$126+'Inputs'!$H$123/100))^(1/12)-1)-((1+$C$126)^(1/12)-1))*(P131*(((1+((1+$C$126)^(1/12)-1))^12-1)/((1+((1+$C$126)^(1/12)-1))-1))-J131/12/((1+((1+$C$126)^(1/12)-1))-1)*((1+((1+$C$126)^(1/12)-1))*(((1+((1+$C$126)^(1/12)-1))^12-1)/((1+((1+$C$126)^(1/12)-1))-1))-12)),0))</f>
      </c>
    </row>
    <row r="132" spans="2:17" x14ac:dyDescent="0.25">
      <c r="B132" t="s">
        <v>459</v>
      </c>
      <c r="C132">
        <f>IFERROR(MATCH(1,$L$116:$L$165,0)-1,$C$118)</f>
      </c>
      <c r="I132">
        <v>16</v>
      </c>
      <c r="J132">
        <f>IF(I132&lt;$C$118,MAX(0,12*$C$119*(1+$C$120)^I132-K132),0)</f>
      </c>
      <c r="K132">
        <f>SUMPRODUCT(('Inputs'!$G$76:$G$81=$C$114)*($C$114&lt;&gt;"")*'Inputs'!$D$76:$D$81*(1+'Inputs'!$E$76:$E$81/100)^I132*(ABS('Inputs'!$F$76:$F$81-12*I132)-ABS(('Inputs'!$F$76:$F$81-12*I132)-12)+12)/2)</f>
      </c>
      <c r="L132">
        <f>IF(J132&gt;0,1,0)</f>
      </c>
      <c r="P132">
        <f>IF($C$121&lt;&gt;1,0,P131*(1+((1+$C$126)^(1/12)-1))^12-J131/12*(1+((1+$C$126)^(1/12)-1))*(((1+((1+$C$126)^(1/12)-1))^12-1)/((1+((1+$C$126)^(1/12)-1))-1)))</f>
      </c>
      <c r="Q132">
        <f>IF($C$121&lt;&gt;1,0,IFERROR((((1+($C$126+'Inputs'!$H$123/100))^(1/12)-1)-((1+$C$126)^(1/12)-1))*(P132*(((1+((1+$C$126)^(1/12)-1))^12-1)/((1+((1+$C$126)^(1/12)-1))-1))-J132/12/((1+((1+$C$126)^(1/12)-1))-1)*((1+((1+$C$126)^(1/12)-1))*(((1+((1+$C$126)^(1/12)-1))^12-1)/((1+((1+$C$126)^(1/12)-1))-1))-12)),0))</f>
      </c>
    </row>
    <row r="133" spans="2:17" x14ac:dyDescent="0.25">
      <c r="B133" t="s">
        <v>460</v>
      </c>
      <c r="C133">
        <f>SUMPRODUCT(('Inputs'!$G$76:$G$81=$C$114)*($C$114&lt;&gt;"")*'Inputs'!$P$76:$P$81)</f>
      </c>
      <c r="I133">
        <v>17</v>
      </c>
      <c r="J133">
        <f>IF(I133&lt;$C$118,MAX(0,12*$C$119*(1+$C$120)^I133-K133),0)</f>
      </c>
      <c r="K133">
        <f>SUMPRODUCT(('Inputs'!$G$76:$G$81=$C$114)*($C$114&lt;&gt;"")*'Inputs'!$D$76:$D$81*(1+'Inputs'!$E$76:$E$81/100)^I133*(ABS('Inputs'!$F$76:$F$81-12*I133)-ABS(('Inputs'!$F$76:$F$81-12*I133)-12)+12)/2)</f>
      </c>
      <c r="L133">
        <f>IF(J133&gt;0,1,0)</f>
      </c>
      <c r="P133">
        <f>IF($C$121&lt;&gt;1,0,P132*(1+((1+$C$126)^(1/12)-1))^12-J132/12*(1+((1+$C$126)^(1/12)-1))*(((1+((1+$C$126)^(1/12)-1))^12-1)/((1+((1+$C$126)^(1/12)-1))-1)))</f>
      </c>
      <c r="Q133">
        <f>IF($C$121&lt;&gt;1,0,IFERROR((((1+($C$126+'Inputs'!$H$123/100))^(1/12)-1)-((1+$C$126)^(1/12)-1))*(P133*(((1+((1+$C$126)^(1/12)-1))^12-1)/((1+((1+$C$126)^(1/12)-1))-1))-J133/12/((1+((1+$C$126)^(1/12)-1))-1)*((1+((1+$C$126)^(1/12)-1))*(((1+((1+$C$126)^(1/12)-1))^12-1)/((1+((1+$C$126)^(1/12)-1))-1))-12)),0))</f>
      </c>
    </row>
    <row r="134" spans="9:17" x14ac:dyDescent="0.25">
      <c r="I134">
        <v>18</v>
      </c>
      <c r="J134">
        <f>IF(I134&lt;$C$118,MAX(0,12*$C$119*(1+$C$120)^I134-K134),0)</f>
      </c>
      <c r="K134">
        <f>SUMPRODUCT(('Inputs'!$G$76:$G$81=$C$114)*($C$114&lt;&gt;"")*'Inputs'!$D$76:$D$81*(1+'Inputs'!$E$76:$E$81/100)^I134*(ABS('Inputs'!$F$76:$F$81-12*I134)-ABS(('Inputs'!$F$76:$F$81-12*I134)-12)+12)/2)</f>
      </c>
      <c r="L134">
        <f>IF(J134&gt;0,1,0)</f>
      </c>
      <c r="P134">
        <f>IF($C$121&lt;&gt;1,0,P133*(1+((1+$C$126)^(1/12)-1))^12-J133/12*(1+((1+$C$126)^(1/12)-1))*(((1+((1+$C$126)^(1/12)-1))^12-1)/((1+((1+$C$126)^(1/12)-1))-1)))</f>
      </c>
      <c r="Q134">
        <f>IF($C$121&lt;&gt;1,0,IFERROR((((1+($C$126+'Inputs'!$H$123/100))^(1/12)-1)-((1+$C$126)^(1/12)-1))*(P134*(((1+((1+$C$126)^(1/12)-1))^12-1)/((1+((1+$C$126)^(1/12)-1))-1))-J134/12/((1+((1+$C$126)^(1/12)-1))-1)*((1+((1+$C$126)^(1/12)-1))*(((1+((1+$C$126)^(1/12)-1))^12-1)/((1+((1+$C$126)^(1/12)-1))-1))-12)),0))</f>
      </c>
    </row>
    <row r="135" spans="9:17" x14ac:dyDescent="0.25">
      <c r="I135">
        <v>19</v>
      </c>
      <c r="J135">
        <f>IF(I135&lt;$C$118,MAX(0,12*$C$119*(1+$C$120)^I135-K135),0)</f>
      </c>
      <c r="K135">
        <f>SUMPRODUCT(('Inputs'!$G$76:$G$81=$C$114)*($C$114&lt;&gt;"")*'Inputs'!$D$76:$D$81*(1+'Inputs'!$E$76:$E$81/100)^I135*(ABS('Inputs'!$F$76:$F$81-12*I135)-ABS(('Inputs'!$F$76:$F$81-12*I135)-12)+12)/2)</f>
      </c>
      <c r="L135">
        <f>IF(J135&gt;0,1,0)</f>
      </c>
      <c r="P135">
        <f>IF($C$121&lt;&gt;1,0,P134*(1+((1+$C$126)^(1/12)-1))^12-J134/12*(1+((1+$C$126)^(1/12)-1))*(((1+((1+$C$126)^(1/12)-1))^12-1)/((1+((1+$C$126)^(1/12)-1))-1)))</f>
      </c>
      <c r="Q135">
        <f>IF($C$121&lt;&gt;1,0,IFERROR((((1+($C$126+'Inputs'!$H$123/100))^(1/12)-1)-((1+$C$126)^(1/12)-1))*(P135*(((1+((1+$C$126)^(1/12)-1))^12-1)/((1+((1+$C$126)^(1/12)-1))-1))-J135/12/((1+((1+$C$126)^(1/12)-1))-1)*((1+((1+$C$126)^(1/12)-1))*(((1+((1+$C$126)^(1/12)-1))^12-1)/((1+((1+$C$126)^(1/12)-1))-1))-12)),0))</f>
      </c>
    </row>
    <row r="136" spans="9:17" x14ac:dyDescent="0.25">
      <c r="I136">
        <v>20</v>
      </c>
      <c r="J136">
        <f>IF(I136&lt;$C$118,MAX(0,12*$C$119*(1+$C$120)^I136-K136),0)</f>
      </c>
      <c r="K136">
        <f>SUMPRODUCT(('Inputs'!$G$76:$G$81=$C$114)*($C$114&lt;&gt;"")*'Inputs'!$D$76:$D$81*(1+'Inputs'!$E$76:$E$81/100)^I136*(ABS('Inputs'!$F$76:$F$81-12*I136)-ABS(('Inputs'!$F$76:$F$81-12*I136)-12)+12)/2)</f>
      </c>
      <c r="L136">
        <f>IF(J136&gt;0,1,0)</f>
      </c>
      <c r="P136">
        <f>IF($C$121&lt;&gt;1,0,P135*(1+((1+$C$126)^(1/12)-1))^12-J135/12*(1+((1+$C$126)^(1/12)-1))*(((1+((1+$C$126)^(1/12)-1))^12-1)/((1+((1+$C$126)^(1/12)-1))-1)))</f>
      </c>
      <c r="Q136">
        <f>IF($C$121&lt;&gt;1,0,IFERROR((((1+($C$126+'Inputs'!$H$123/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f>
      </c>
      <c r="L137">
        <f>IF(J137&gt;0,1,0)</f>
      </c>
      <c r="P137">
        <f>IF($C$121&lt;&gt;1,0,P136*(1+((1+$C$126)^(1/12)-1))^12-J136/12*(1+((1+$C$126)^(1/12)-1))*(((1+((1+$C$126)^(1/12)-1))^12-1)/((1+((1+$C$126)^(1/12)-1))-1)))</f>
      </c>
      <c r="Q137">
        <f>IF($C$121&lt;&gt;1,0,IFERROR((((1+($C$126+'Inputs'!$H$123/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f>
      </c>
      <c r="L138">
        <f>IF(J138&gt;0,1,0)</f>
      </c>
      <c r="P138">
        <f>IF($C$121&lt;&gt;1,0,P137*(1+((1+$C$126)^(1/12)-1))^12-J137/12*(1+((1+$C$126)^(1/12)-1))*(((1+((1+$C$126)^(1/12)-1))^12-1)/((1+((1+$C$126)^(1/12)-1))-1)))</f>
      </c>
      <c r="Q138">
        <f>IF($C$121&lt;&gt;1,0,IFERROR((((1+($C$126+'Inputs'!$H$123/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f>
      </c>
      <c r="L139">
        <f>IF(J139&gt;0,1,0)</f>
      </c>
      <c r="P139">
        <f>IF($C$121&lt;&gt;1,0,P138*(1+((1+$C$126)^(1/12)-1))^12-J138/12*(1+((1+$C$126)^(1/12)-1))*(((1+((1+$C$126)^(1/12)-1))^12-1)/((1+((1+$C$126)^(1/12)-1))-1)))</f>
      </c>
      <c r="Q139">
        <f>IF($C$121&lt;&gt;1,0,IFERROR((((1+($C$126+'Inputs'!$H$123/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f>
      </c>
      <c r="L140">
        <f>IF(J140&gt;0,1,0)</f>
      </c>
      <c r="P140">
        <f>IF($C$121&lt;&gt;1,0,P139*(1+((1+$C$126)^(1/12)-1))^12-J139/12*(1+((1+$C$126)^(1/12)-1))*(((1+((1+$C$126)^(1/12)-1))^12-1)/((1+((1+$C$126)^(1/12)-1))-1)))</f>
      </c>
      <c r="Q140">
        <f>IF($C$121&lt;&gt;1,0,IFERROR((((1+($C$126+'Inputs'!$H$123/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f>
      </c>
      <c r="L141">
        <f>IF(J141&gt;0,1,0)</f>
      </c>
      <c r="P141">
        <f>IF($C$121&lt;&gt;1,0,P140*(1+((1+$C$126)^(1/12)-1))^12-J140/12*(1+((1+$C$126)^(1/12)-1))*(((1+((1+$C$126)^(1/12)-1))^12-1)/((1+((1+$C$126)^(1/12)-1))-1)))</f>
      </c>
      <c r="Q141">
        <f>IF($C$121&lt;&gt;1,0,IFERROR((((1+($C$126+'Inputs'!$H$123/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f>
      </c>
      <c r="L142">
        <f>IF(J142&gt;0,1,0)</f>
      </c>
      <c r="P142">
        <f>IF($C$121&lt;&gt;1,0,P141*(1+((1+$C$126)^(1/12)-1))^12-J141/12*(1+((1+$C$126)^(1/12)-1))*(((1+((1+$C$126)^(1/12)-1))^12-1)/((1+((1+$C$126)^(1/12)-1))-1)))</f>
      </c>
      <c r="Q142">
        <f>IF($C$121&lt;&gt;1,0,IFERROR((((1+($C$126+'Inputs'!$H$123/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f>
      </c>
      <c r="L143">
        <f>IF(J143&gt;0,1,0)</f>
      </c>
      <c r="P143">
        <f>IF($C$121&lt;&gt;1,0,P142*(1+((1+$C$126)^(1/12)-1))^12-J142/12*(1+((1+$C$126)^(1/12)-1))*(((1+((1+$C$126)^(1/12)-1))^12-1)/((1+((1+$C$126)^(1/12)-1))-1)))</f>
      </c>
      <c r="Q143">
        <f>IF($C$121&lt;&gt;1,0,IFERROR((((1+($C$126+'Inputs'!$H$123/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f>
      </c>
      <c r="L144">
        <f>IF(J144&gt;0,1,0)</f>
      </c>
      <c r="P144">
        <f>IF($C$121&lt;&gt;1,0,P143*(1+((1+$C$126)^(1/12)-1))^12-J143/12*(1+((1+$C$126)^(1/12)-1))*(((1+((1+$C$126)^(1/12)-1))^12-1)/((1+((1+$C$126)^(1/12)-1))-1)))</f>
      </c>
      <c r="Q144">
        <f>IF($C$121&lt;&gt;1,0,IFERROR((((1+($C$126+'Inputs'!$H$123/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f>
      </c>
      <c r="L145">
        <f>IF(J145&gt;0,1,0)</f>
      </c>
      <c r="P145">
        <f>IF($C$121&lt;&gt;1,0,P144*(1+((1+$C$126)^(1/12)-1))^12-J144/12*(1+((1+$C$126)^(1/12)-1))*(((1+((1+$C$126)^(1/12)-1))^12-1)/((1+((1+$C$126)^(1/12)-1))-1)))</f>
      </c>
      <c r="Q145">
        <f>IF($C$121&lt;&gt;1,0,IFERROR((((1+($C$126+'Inputs'!$H$123/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f>
      </c>
      <c r="L146">
        <f>IF(J146&gt;0,1,0)</f>
      </c>
      <c r="P146">
        <f>IF($C$121&lt;&gt;1,0,P145*(1+((1+$C$126)^(1/12)-1))^12-J145/12*(1+((1+$C$126)^(1/12)-1))*(((1+((1+$C$126)^(1/12)-1))^12-1)/((1+((1+$C$126)^(1/12)-1))-1)))</f>
      </c>
      <c r="Q146">
        <f>IF($C$121&lt;&gt;1,0,IFERROR((((1+($C$126+'Inputs'!$H$123/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f>
      </c>
      <c r="L147">
        <f>IF(J147&gt;0,1,0)</f>
      </c>
      <c r="P147">
        <f>IF($C$121&lt;&gt;1,0,P146*(1+((1+$C$126)^(1/12)-1))^12-J146/12*(1+((1+$C$126)^(1/12)-1))*(((1+((1+$C$126)^(1/12)-1))^12-1)/((1+((1+$C$126)^(1/12)-1))-1)))</f>
      </c>
      <c r="Q147">
        <f>IF($C$121&lt;&gt;1,0,IFERROR((((1+($C$126+'Inputs'!$H$123/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f>
      </c>
      <c r="L148">
        <f>IF(J148&gt;0,1,0)</f>
      </c>
      <c r="P148">
        <f>IF($C$121&lt;&gt;1,0,P147*(1+((1+$C$126)^(1/12)-1))^12-J147/12*(1+((1+$C$126)^(1/12)-1))*(((1+((1+$C$126)^(1/12)-1))^12-1)/((1+((1+$C$126)^(1/12)-1))-1)))</f>
      </c>
      <c r="Q148">
        <f>IF($C$121&lt;&gt;1,0,IFERROR((((1+($C$126+'Inputs'!$H$123/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f>
      </c>
      <c r="L149">
        <f>IF(J149&gt;0,1,0)</f>
      </c>
      <c r="P149">
        <f>IF($C$121&lt;&gt;1,0,P148*(1+((1+$C$126)^(1/12)-1))^12-J148/12*(1+((1+$C$126)^(1/12)-1))*(((1+((1+$C$126)^(1/12)-1))^12-1)/((1+((1+$C$126)^(1/12)-1))-1)))</f>
      </c>
      <c r="Q149">
        <f>IF($C$121&lt;&gt;1,0,IFERROR((((1+($C$126+'Inputs'!$H$123/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f>
      </c>
      <c r="L150">
        <f>IF(J150&gt;0,1,0)</f>
      </c>
      <c r="P150">
        <f>IF($C$121&lt;&gt;1,0,P149*(1+((1+$C$126)^(1/12)-1))^12-J149/12*(1+((1+$C$126)^(1/12)-1))*(((1+((1+$C$126)^(1/12)-1))^12-1)/((1+((1+$C$126)^(1/12)-1))-1)))</f>
      </c>
      <c r="Q150">
        <f>IF($C$121&lt;&gt;1,0,IFERROR((((1+($C$126+'Inputs'!$H$123/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f>
      </c>
      <c r="L151">
        <f>IF(J151&gt;0,1,0)</f>
      </c>
      <c r="P151">
        <f>IF($C$121&lt;&gt;1,0,P150*(1+((1+$C$126)^(1/12)-1))^12-J150/12*(1+((1+$C$126)^(1/12)-1))*(((1+((1+$C$126)^(1/12)-1))^12-1)/((1+((1+$C$126)^(1/12)-1))-1)))</f>
      </c>
      <c r="Q151">
        <f>IF($C$121&lt;&gt;1,0,IFERROR((((1+($C$126+'Inputs'!$H$123/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f>
      </c>
      <c r="L152">
        <f>IF(J152&gt;0,1,0)</f>
      </c>
      <c r="P152">
        <f>IF($C$121&lt;&gt;1,0,P151*(1+((1+$C$126)^(1/12)-1))^12-J151/12*(1+((1+$C$126)^(1/12)-1))*(((1+((1+$C$126)^(1/12)-1))^12-1)/((1+((1+$C$126)^(1/12)-1))-1)))</f>
      </c>
      <c r="Q152">
        <f>IF($C$121&lt;&gt;1,0,IFERROR((((1+($C$126+'Inputs'!$H$123/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f>
      </c>
      <c r="L153">
        <f>IF(J153&gt;0,1,0)</f>
      </c>
      <c r="P153">
        <f>IF($C$121&lt;&gt;1,0,P152*(1+((1+$C$126)^(1/12)-1))^12-J152/12*(1+((1+$C$126)^(1/12)-1))*(((1+((1+$C$126)^(1/12)-1))^12-1)/((1+((1+$C$126)^(1/12)-1))-1)))</f>
      </c>
      <c r="Q153">
        <f>IF($C$121&lt;&gt;1,0,IFERROR((((1+($C$126+'Inputs'!$H$123/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f>
      </c>
      <c r="L154">
        <f>IF(J154&gt;0,1,0)</f>
      </c>
      <c r="P154">
        <f>IF($C$121&lt;&gt;1,0,P153*(1+((1+$C$126)^(1/12)-1))^12-J153/12*(1+((1+$C$126)^(1/12)-1))*(((1+((1+$C$126)^(1/12)-1))^12-1)/((1+((1+$C$126)^(1/12)-1))-1)))</f>
      </c>
      <c r="Q154">
        <f>IF($C$121&lt;&gt;1,0,IFERROR((((1+($C$126+'Inputs'!$H$123/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f>
      </c>
      <c r="L155">
        <f>IF(J155&gt;0,1,0)</f>
      </c>
      <c r="P155">
        <f>IF($C$121&lt;&gt;1,0,P154*(1+((1+$C$126)^(1/12)-1))^12-J154/12*(1+((1+$C$126)^(1/12)-1))*(((1+((1+$C$126)^(1/12)-1))^12-1)/((1+((1+$C$126)^(1/12)-1))-1)))</f>
      </c>
      <c r="Q155">
        <f>IF($C$121&lt;&gt;1,0,IFERROR((((1+($C$126+'Inputs'!$H$123/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f>
      </c>
      <c r="L156">
        <f>IF(J156&gt;0,1,0)</f>
      </c>
      <c r="P156">
        <f>IF($C$121&lt;&gt;1,0,P155*(1+((1+$C$126)^(1/12)-1))^12-J155/12*(1+((1+$C$126)^(1/12)-1))*(((1+((1+$C$126)^(1/12)-1))^12-1)/((1+((1+$C$126)^(1/12)-1))-1)))</f>
      </c>
      <c r="Q156">
        <f>IF($C$121&lt;&gt;1,0,IFERROR((((1+($C$126+'Inputs'!$H$123/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f>
      </c>
      <c r="L157">
        <f>IF(J157&gt;0,1,0)</f>
      </c>
      <c r="P157">
        <f>IF($C$121&lt;&gt;1,0,P156*(1+((1+$C$126)^(1/12)-1))^12-J156/12*(1+((1+$C$126)^(1/12)-1))*(((1+((1+$C$126)^(1/12)-1))^12-1)/((1+((1+$C$126)^(1/12)-1))-1)))</f>
      </c>
      <c r="Q157">
        <f>IF($C$121&lt;&gt;1,0,IFERROR((((1+($C$126+'Inputs'!$H$123/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f>
      </c>
      <c r="L158">
        <f>IF(J158&gt;0,1,0)</f>
      </c>
      <c r="P158">
        <f>IF($C$121&lt;&gt;1,0,P157*(1+((1+$C$126)^(1/12)-1))^12-J157/12*(1+((1+$C$126)^(1/12)-1))*(((1+((1+$C$126)^(1/12)-1))^12-1)/((1+((1+$C$126)^(1/12)-1))-1)))</f>
      </c>
      <c r="Q158">
        <f>IF($C$121&lt;&gt;1,0,IFERROR((((1+($C$126+'Inputs'!$H$123/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f>
      </c>
      <c r="L159">
        <f>IF(J159&gt;0,1,0)</f>
      </c>
      <c r="P159">
        <f>IF($C$121&lt;&gt;1,0,P158*(1+((1+$C$126)^(1/12)-1))^12-J158/12*(1+((1+$C$126)^(1/12)-1))*(((1+((1+$C$126)^(1/12)-1))^12-1)/((1+((1+$C$126)^(1/12)-1))-1)))</f>
      </c>
      <c r="Q159">
        <f>IF($C$121&lt;&gt;1,0,IFERROR((((1+($C$126+'Inputs'!$H$123/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f>
      </c>
      <c r="L160">
        <f>IF(J160&gt;0,1,0)</f>
      </c>
      <c r="P160">
        <f>IF($C$121&lt;&gt;1,0,P159*(1+((1+$C$126)^(1/12)-1))^12-J159/12*(1+((1+$C$126)^(1/12)-1))*(((1+((1+$C$126)^(1/12)-1))^12-1)/((1+((1+$C$126)^(1/12)-1))-1)))</f>
      </c>
      <c r="Q160">
        <f>IF($C$121&lt;&gt;1,0,IFERROR((((1+($C$126+'Inputs'!$H$123/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f>
      </c>
      <c r="L161">
        <f>IF(J161&gt;0,1,0)</f>
      </c>
      <c r="P161">
        <f>IF($C$121&lt;&gt;1,0,P160*(1+((1+$C$126)^(1/12)-1))^12-J160/12*(1+((1+$C$126)^(1/12)-1))*(((1+((1+$C$126)^(1/12)-1))^12-1)/((1+((1+$C$126)^(1/12)-1))-1)))</f>
      </c>
      <c r="Q161">
        <f>IF($C$121&lt;&gt;1,0,IFERROR((((1+($C$126+'Inputs'!$H$123/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f>
      </c>
      <c r="L162">
        <f>IF(J162&gt;0,1,0)</f>
      </c>
      <c r="P162">
        <f>IF($C$121&lt;&gt;1,0,P161*(1+((1+$C$126)^(1/12)-1))^12-J161/12*(1+((1+$C$126)^(1/12)-1))*(((1+((1+$C$126)^(1/12)-1))^12-1)/((1+((1+$C$126)^(1/12)-1))-1)))</f>
      </c>
      <c r="Q162">
        <f>IF($C$121&lt;&gt;1,0,IFERROR((((1+($C$126+'Inputs'!$H$123/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f>
      </c>
      <c r="L163">
        <f>IF(J163&gt;0,1,0)</f>
      </c>
      <c r="P163">
        <f>IF($C$121&lt;&gt;1,0,P162*(1+((1+$C$126)^(1/12)-1))^12-J162/12*(1+((1+$C$126)^(1/12)-1))*(((1+((1+$C$126)^(1/12)-1))^12-1)/((1+((1+$C$126)^(1/12)-1))-1)))</f>
      </c>
      <c r="Q163">
        <f>IF($C$121&lt;&gt;1,0,IFERROR((((1+($C$126+'Inputs'!$H$123/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f>
      </c>
      <c r="L164">
        <f>IF(J164&gt;0,1,0)</f>
      </c>
      <c r="P164">
        <f>IF($C$121&lt;&gt;1,0,P163*(1+((1+$C$126)^(1/12)-1))^12-J163/12*(1+((1+$C$126)^(1/12)-1))*(((1+((1+$C$126)^(1/12)-1))^12-1)/((1+((1+$C$126)^(1/12)-1))-1)))</f>
      </c>
      <c r="Q164">
        <f>IF($C$121&lt;&gt;1,0,IFERROR((((1+($C$126+'Inputs'!$H$123/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f>
      </c>
      <c r="L165">
        <f>IF(J165&gt;0,1,0)</f>
      </c>
      <c r="P165">
        <f>IF($C$121&lt;&gt;1,0,P164*(1+((1+$C$126)^(1/12)-1))^12-J164/12*(1+((1+$C$126)^(1/12)-1))*(((1+((1+$C$126)^(1/12)-1))^12-1)/((1+((1+$C$126)^(1/12)-1))-1)))</f>
      </c>
      <c r="Q165">
        <f>IF($C$121&lt;&gt;1,0,IFERROR((((1+($C$126+'Inputs'!$H$123/100))^(1/12)-1)-((1+$C$126)^(1/12)-1))*(P165*(((1+((1+$C$126)^(1/12)-1))^12-1)/((1+((1+$C$126)^(1/12)-1))-1))-J165/12/((1+((1+$C$126)^(1/12)-1))-1)*((1+((1+$C$126)^(1/12)-1))*(((1+((1+$C$126)^(1/12)-1))^12-1)/((1+((1+$C$126)^(1/12)-1))-1))-12)),0))</f>
      </c>
    </row>
    <row r="170" spans="2:3" x14ac:dyDescent="0.25">
      <c r="B170" t="s">
        <v>119</v>
      </c>
      <c r="C170">
        <f>IF('Inputs'!$B$103="","",'Inputs'!$B$103)</f>
      </c>
    </row>
    <row r="171" spans="2:17" x14ac:dyDescent="0.25">
      <c r="B171" t="s">
        <v>121</v>
      </c>
      <c r="C171">
        <f>N('Inputs'!$D$103)</f>
      </c>
      <c r="I171" t="s">
        <v>437</v>
      </c>
      <c r="J171" t="s">
        <v>438</v>
      </c>
      <c r="K171" t="s">
        <v>439</v>
      </c>
      <c r="L171" t="s">
        <v>440</v>
      </c>
      <c r="P171" t="s">
        <v>441</v>
      </c>
      <c r="Q171" t="s">
        <v>442</v>
      </c>
    </row>
    <row r="172" spans="2:17" x14ac:dyDescent="0.25">
      <c r="B172" t="s">
        <v>443</v>
      </c>
      <c r="C172">
        <f>IF($C$171&gt;=75,'Inputs'!$H$131,IF($C$171&gt;=65,'Inputs'!$H$130,'Inputs'!$H$124))</f>
      </c>
      <c r="I172">
        <v>0</v>
      </c>
      <c r="J172">
        <f>IF(I172&lt;$C$174,MAX(0,12*$C$175*(1+$C$176)^I172-K172),0)</f>
      </c>
      <c r="K172">
        <f>SUMPRODUCT(('Inputs'!$G$76:$G$81=$C$170)*($C$170&lt;&gt;"")*'Inputs'!$D$76:$D$81*(1+'Inputs'!$E$76:$E$81/100)^I172*(ABS('Inputs'!$F$76:$F$81-12*I172)-ABS(('Inputs'!$F$76:$F$81-12*I172)-12)+12)/2)</f>
      </c>
      <c r="L172">
        <f>IF(J172&gt;0,1,0)</f>
      </c>
      <c r="P172">
        <f>IF($C$177&lt;&gt;1,0,IF($C$182=0,SUM($J$172:$J$221),(1-(1+$C$182)^-1)/(1-(1+$C$182)^(-1/12))/12*SUMPRODUCT($J$172:$J$221,(1+$C$182)^(-$I$172:$I$221))))</f>
      </c>
      <c r="Q172">
        <f>IF($C$177&lt;&gt;1,0,IFERROR((((1+($C$182+'Inputs'!$H$123/100))^(1/12)-1)-((1+$C$182)^(1/12)-1))*(P172*(((1+((1+$C$182)^(1/12)-1))^12-1)/((1+((1+$C$182)^(1/12)-1))-1))-J172/12/((1+((1+$C$182)^(1/12)-1))-1)*((1+((1+$C$182)^(1/12)-1))*(((1+((1+$C$182)^(1/12)-1))^12-1)/((1+((1+$C$182)^(1/12)-1))-1))-12)),0))</f>
      </c>
    </row>
    <row r="173" spans="2:17" x14ac:dyDescent="0.25">
      <c r="B173" t="s">
        <v>444</v>
      </c>
      <c r="C173">
        <f>N('Inputs'!$I$103)</f>
      </c>
      <c r="I173">
        <v>1</v>
      </c>
      <c r="J173">
        <f>IF(I173&lt;$C$174,MAX(0,12*$C$175*(1+$C$176)^I173-K173),0)</f>
      </c>
      <c r="K173">
        <f>SUMPRODUCT(('Inputs'!$G$76:$G$81=$C$170)*($C$170&lt;&gt;"")*'Inputs'!$D$76:$D$81*(1+'Inputs'!$E$76:$E$81/100)^I173*(ABS('Inputs'!$F$76:$F$81-12*I173)-ABS(('Inputs'!$F$76:$F$81-12*I173)-12)+12)/2)</f>
      </c>
      <c r="L173">
        <f>IF(J173&gt;0,1,0)</f>
      </c>
      <c r="P173">
        <f>IF($C$177&lt;&gt;1,0,P172*(1+((1+$C$182)^(1/12)-1))^12-J172/12*(1+((1+$C$182)^(1/12)-1))*(((1+((1+$C$182)^(1/12)-1))^12-1)/((1+((1+$C$182)^(1/12)-1))-1)))</f>
      </c>
      <c r="Q173">
        <f>IF($C$177&lt;&gt;1,0,IFERROR((((1+($C$182+'Inputs'!$H$123/100))^(1/12)-1)-((1+$C$182)^(1/12)-1))*(P173*(((1+((1+$C$182)^(1/12)-1))^12-1)/((1+((1+$C$182)^(1/12)-1))-1))-J173/12/((1+((1+$C$182)^(1/12)-1))-1)*((1+((1+$C$182)^(1/12)-1))*(((1+((1+$C$182)^(1/12)-1))^12-1)/((1+((1+$C$182)^(1/12)-1))-1))-12)),0))</f>
      </c>
    </row>
    <row r="174" spans="2:17" x14ac:dyDescent="0.25">
      <c r="B174" t="s">
        <v>445</v>
      </c>
      <c r="C174">
        <f>IF($C$170="",0,N('Inputs'!$F$103))</f>
      </c>
      <c r="I174">
        <v>2</v>
      </c>
      <c r="J174">
        <f>IF(I174&lt;$C$174,MAX(0,12*$C$175*(1+$C$176)^I174-K174),0)</f>
      </c>
      <c r="K174">
        <f>SUMPRODUCT(('Inputs'!$G$76:$G$81=$C$170)*($C$170&lt;&gt;"")*'Inputs'!$D$76:$D$81*(1+'Inputs'!$E$76:$E$81/100)^I174*(ABS('Inputs'!$F$76:$F$81-12*I174)-ABS(('Inputs'!$F$76:$F$81-12*I174)-12)+12)/2)</f>
      </c>
      <c r="L174">
        <f>IF(J174&gt;0,1,0)</f>
      </c>
      <c r="P174">
        <f>IF($C$177&lt;&gt;1,0,P173*(1+((1+$C$182)^(1/12)-1))^12-J173/12*(1+((1+$C$182)^(1/12)-1))*(((1+((1+$C$182)^(1/12)-1))^12-1)/((1+((1+$C$182)^(1/12)-1))-1)))</f>
      </c>
      <c r="Q174">
        <f>IF($C$177&lt;&gt;1,0,IFERROR((((1+($C$182+'Inputs'!$H$123/100))^(1/12)-1)-((1+$C$182)^(1/12)-1))*(P174*(((1+((1+$C$182)^(1/12)-1))^12-1)/((1+((1+$C$182)^(1/12)-1))-1))-J174/12/((1+((1+$C$182)^(1/12)-1))-1)*((1+((1+$C$182)^(1/12)-1))*(((1+((1+$C$182)^(1/12)-1))^12-1)/((1+((1+$C$182)^(1/12)-1))-1))-12)),0))</f>
      </c>
    </row>
    <row r="175" spans="2:17" x14ac:dyDescent="0.25">
      <c r="B175" t="s">
        <v>446</v>
      </c>
      <c r="C175">
        <f>N('Inputs'!$E$103)</f>
      </c>
      <c r="I175">
        <v>3</v>
      </c>
      <c r="J175">
        <f>IF(I175&lt;$C$174,MAX(0,12*$C$175*(1+$C$176)^I175-K175),0)</f>
      </c>
      <c r="K175">
        <f>SUMPRODUCT(('Inputs'!$G$76:$G$81=$C$170)*($C$170&lt;&gt;"")*'Inputs'!$D$76:$D$81*(1+'Inputs'!$E$76:$E$81/100)^I175*(ABS('Inputs'!$F$76:$F$81-12*I175)-ABS(('Inputs'!$F$76:$F$81-12*I175)-12)+12)/2)</f>
      </c>
      <c r="L175">
        <f>IF(J175&gt;0,1,0)</f>
      </c>
      <c r="P175">
        <f>IF($C$177&lt;&gt;1,0,P174*(1+((1+$C$182)^(1/12)-1))^12-J174/12*(1+((1+$C$182)^(1/12)-1))*(((1+((1+$C$182)^(1/12)-1))^12-1)/((1+((1+$C$182)^(1/12)-1))-1)))</f>
      </c>
      <c r="Q175">
        <f>IF($C$177&lt;&gt;1,0,IFERROR((((1+($C$182+'Inputs'!$H$123/100))^(1/12)-1)-((1+$C$182)^(1/12)-1))*(P175*(((1+((1+$C$182)^(1/12)-1))^12-1)/((1+((1+$C$182)^(1/12)-1))-1))-J175/12/((1+((1+$C$182)^(1/12)-1))-1)*((1+((1+$C$182)^(1/12)-1))*(((1+((1+$C$182)^(1/12)-1))^12-1)/((1+((1+$C$182)^(1/12)-1))-1))-12)),0))</f>
      </c>
    </row>
    <row r="176" spans="2:17" x14ac:dyDescent="0.25">
      <c r="B176" t="s">
        <v>447</v>
      </c>
      <c r="C176">
        <f>IF('Inputs'!$G$103="",'Inputs'!$H$129/100,'Inputs'!$G$103/100)</f>
      </c>
      <c r="I176">
        <v>4</v>
      </c>
      <c r="J176">
        <f>IF(I176&lt;$C$174,MAX(0,12*$C$175*(1+$C$176)^I176-K176),0)</f>
      </c>
      <c r="K176">
        <f>SUMPRODUCT(('Inputs'!$G$76:$G$81=$C$170)*($C$170&lt;&gt;"")*'Inputs'!$D$76:$D$81*(1+'Inputs'!$E$76:$E$81/100)^I176*(ABS('Inputs'!$F$76:$F$81-12*I176)-ABS(('Inputs'!$F$76:$F$81-12*I176)-12)+12)/2)</f>
      </c>
      <c r="L176">
        <f>IF(J176&gt;0,1,0)</f>
      </c>
      <c r="P176">
        <f>IF($C$177&lt;&gt;1,0,P175*(1+((1+$C$182)^(1/12)-1))^12-J175/12*(1+((1+$C$182)^(1/12)-1))*(((1+((1+$C$182)^(1/12)-1))^12-1)/((1+((1+$C$182)^(1/12)-1))-1)))</f>
      </c>
      <c r="Q176">
        <f>IF($C$177&lt;&gt;1,0,IFERROR((((1+($C$182+'Inputs'!$H$123/100))^(1/12)-1)-((1+$C$182)^(1/12)-1))*(P176*(((1+((1+$C$182)^(1/12)-1))^12-1)/((1+((1+$C$182)^(1/12)-1))-1))-J176/12/((1+((1+$C$182)^(1/12)-1))-1)*((1+((1+$C$182)^(1/12)-1))*(((1+((1+$C$182)^(1/12)-1))^12-1)/((1+((1+$C$182)^(1/12)-1))-1))-12)),0))</f>
      </c>
    </row>
    <row r="177" spans="2:17" x14ac:dyDescent="0.25">
      <c r="B177" t="s">
        <v>448</v>
      </c>
      <c r="C177">
        <f>IF('Inputs'!$H$103="Yes",1,0)</f>
      </c>
      <c r="I177">
        <v>5</v>
      </c>
      <c r="J177">
        <f>IF(I177&lt;$C$174,MAX(0,12*$C$175*(1+$C$176)^I177-K177),0)</f>
      </c>
      <c r="K177">
        <f>SUMPRODUCT(('Inputs'!$G$76:$G$81=$C$170)*($C$170&lt;&gt;"")*'Inputs'!$D$76:$D$81*(1+'Inputs'!$E$76:$E$81/100)^I177*(ABS('Inputs'!$F$76:$F$81-12*I177)-ABS(('Inputs'!$F$76:$F$81-12*I177)-12)+12)/2)</f>
      </c>
      <c r="L177">
        <f>IF(J177&gt;0,1,0)</f>
      </c>
      <c r="P177">
        <f>IF($C$177&lt;&gt;1,0,P176*(1+((1+$C$182)^(1/12)-1))^12-J176/12*(1+((1+$C$182)^(1/12)-1))*(((1+((1+$C$182)^(1/12)-1))^12-1)/((1+((1+$C$182)^(1/12)-1))-1)))</f>
      </c>
      <c r="Q177">
        <f>IF($C$177&lt;&gt;1,0,IFERROR((((1+($C$182+'Inputs'!$H$123/100))^(1/12)-1)-((1+$C$182)^(1/12)-1))*(P177*(((1+((1+$C$182)^(1/12)-1))^12-1)/((1+((1+$C$182)^(1/12)-1))-1))-J177/12/((1+((1+$C$182)^(1/12)-1))-1)*((1+((1+$C$182)^(1/12)-1))*(((1+((1+$C$182)^(1/12)-1))^12-1)/((1+((1+$C$182)^(1/12)-1))-1))-12)),0))</f>
      </c>
    </row>
    <row r="178" spans="2:17" x14ac:dyDescent="0.25">
      <c r="B178" t="s">
        <v>449</v>
      </c>
      <c r="C178">
        <f>IF($C$170="",0,N('Inputs'!$J$103))</f>
      </c>
      <c r="I178">
        <v>6</v>
      </c>
      <c r="J178">
        <f>IF(I178&lt;$C$174,MAX(0,12*$C$175*(1+$C$176)^I178-K178),0)</f>
      </c>
      <c r="K178">
        <f>SUMPRODUCT(('Inputs'!$G$76:$G$81=$C$170)*($C$170&lt;&gt;"")*'Inputs'!$D$76:$D$81*(1+'Inputs'!$E$76:$E$81/100)^I178*(ABS('Inputs'!$F$76:$F$81-12*I178)-ABS(('Inputs'!$F$76:$F$81-12*I178)-12)+12)/2)</f>
      </c>
      <c r="L178">
        <f>IF(J178&gt;0,1,0)</f>
      </c>
      <c r="P178">
        <f>IF($C$177&lt;&gt;1,0,P177*(1+((1+$C$182)^(1/12)-1))^12-J177/12*(1+((1+$C$182)^(1/12)-1))*(((1+((1+$C$182)^(1/12)-1))^12-1)/((1+((1+$C$182)^(1/12)-1))-1)))</f>
      </c>
      <c r="Q178">
        <f>IF($C$177&lt;&gt;1,0,IFERROR((((1+($C$182+'Inputs'!$H$123/100))^(1/12)-1)-((1+$C$182)^(1/12)-1))*(P178*(((1+((1+$C$182)^(1/12)-1))^12-1)/((1+((1+$C$182)^(1/12)-1))-1))-J178/12/((1+((1+$C$182)^(1/12)-1))-1)*((1+((1+$C$182)^(1/12)-1))*(((1+((1+$C$182)^(1/12)-1))^12-1)/((1+((1+$C$182)^(1/12)-1))-1))-12)),0))</f>
      </c>
    </row>
    <row r="179" spans="2:17" x14ac:dyDescent="0.25">
      <c r="B179" t="s">
        <v>450</v>
      </c>
      <c r="C179">
        <f>ROUND(Q172,2)</f>
      </c>
      <c r="I179">
        <v>7</v>
      </c>
      <c r="J179">
        <f>IF(I179&lt;$C$174,MAX(0,12*$C$175*(1+$C$176)^I179-K179),0)</f>
      </c>
      <c r="K179">
        <f>SUMPRODUCT(('Inputs'!$G$76:$G$81=$C$170)*($C$170&lt;&gt;"")*'Inputs'!$D$76:$D$81*(1+'Inputs'!$E$76:$E$81/100)^I179*(ABS('Inputs'!$F$76:$F$81-12*I179)-ABS(('Inputs'!$F$76:$F$81-12*I179)-12)+12)/2)</f>
      </c>
      <c r="L179">
        <f>IF(J179&gt;0,1,0)</f>
      </c>
      <c r="P179">
        <f>IF($C$177&lt;&gt;1,0,P178*(1+((1+$C$182)^(1/12)-1))^12-J178/12*(1+((1+$C$182)^(1/12)-1))*(((1+((1+$C$182)^(1/12)-1))^12-1)/((1+((1+$C$182)^(1/12)-1))-1)))</f>
      </c>
      <c r="Q179">
        <f>IF($C$177&lt;&gt;1,0,IFERROR((((1+($C$182+'Inputs'!$H$123/100))^(1/12)-1)-((1+$C$182)^(1/12)-1))*(P179*(((1+((1+$C$182)^(1/12)-1))^12-1)/((1+((1+$C$182)^(1/12)-1))-1))-J179/12/((1+((1+$C$182)^(1/12)-1))-1)*((1+((1+$C$182)^(1/12)-1))*(((1+((1+$C$182)^(1/12)-1))^12-1)/((1+((1+$C$182)^(1/12)-1))-1))-12)),0))</f>
      </c>
    </row>
    <row r="180" spans="2:17" x14ac:dyDescent="0.25">
      <c r="B180" t="s">
        <v>451</v>
      </c>
      <c r="C180">
        <f>ROUND(SUM($Q$172:$Q$221),2)</f>
      </c>
      <c r="I180">
        <v>8</v>
      </c>
      <c r="J180">
        <f>IF(I180&lt;$C$174,MAX(0,12*$C$175*(1+$C$176)^I180-K180),0)</f>
      </c>
      <c r="K180">
        <f>SUMPRODUCT(('Inputs'!$G$76:$G$81=$C$170)*($C$170&lt;&gt;"")*'Inputs'!$D$76:$D$81*(1+'Inputs'!$E$76:$E$81/100)^I180*(ABS('Inputs'!$F$76:$F$81-12*I180)-ABS(('Inputs'!$F$76:$F$81-12*I180)-12)+12)/2)</f>
      </c>
      <c r="L180">
        <f>IF(J180&gt;0,1,0)</f>
      </c>
      <c r="P180">
        <f>IF($C$177&lt;&gt;1,0,P179*(1+((1+$C$182)^(1/12)-1))^12-J179/12*(1+((1+$C$182)^(1/12)-1))*(((1+((1+$C$182)^(1/12)-1))^12-1)/((1+((1+$C$182)^(1/12)-1))-1)))</f>
      </c>
      <c r="Q180">
        <f>IF($C$177&lt;&gt;1,0,IFERROR((((1+($C$182+'Inputs'!$H$123/100))^(1/12)-1)-((1+$C$182)^(1/12)-1))*(P180*(((1+((1+$C$182)^(1/12)-1))^12-1)/((1+((1+$C$182)^(1/12)-1))-1))-J180/12/((1+((1+$C$182)^(1/12)-1))-1)*((1+((1+$C$182)^(1/12)-1))*(((1+((1+$C$182)^(1/12)-1))^12-1)/((1+((1+$C$182)^(1/12)-1))-1))-12)),0))</f>
      </c>
    </row>
    <row r="181" spans="2:17" x14ac:dyDescent="0.25">
      <c r="B181" t="s">
        <v>452</v>
      </c>
      <c r="C181">
        <f>IF($C$177&lt;&gt;1,0,ROUND(IF($C$182=0,SUM($J$172:$J$221),(1-(1+$C$182)^-1)/(1-(1+$C$182)^(-1/12))/12*SUMPRODUCT($J$172:$J$221,(1+$C$182)^(-$I$172:$I$221)))-IF(($C$182+'Inputs'!$H$123/100)=0,SUM($J$172:$J$221),(1-(1+($C$182+'Inputs'!$H$123/100))^-1)/(1-(1+($C$182+'Inputs'!$H$123/100))^(-1/12))/12*SUMPRODUCT($J$172:$J$221,(1+($C$182+'Inputs'!$H$123/100))^(-$I$172:$I$221))),2))</f>
      </c>
      <c r="I181">
        <v>9</v>
      </c>
      <c r="J181">
        <f>IF(I181&lt;$C$174,MAX(0,12*$C$175*(1+$C$176)^I181-K181),0)</f>
      </c>
      <c r="K181">
        <f>SUMPRODUCT(('Inputs'!$G$76:$G$81=$C$170)*($C$170&lt;&gt;"")*'Inputs'!$D$76:$D$81*(1+'Inputs'!$E$76:$E$81/100)^I181*(ABS('Inputs'!$F$76:$F$81-12*I181)-ABS(('Inputs'!$F$76:$F$81-12*I181)-12)+12)/2)</f>
      </c>
      <c r="L181">
        <f>IF(J181&gt;0,1,0)</f>
      </c>
      <c r="P181">
        <f>IF($C$177&lt;&gt;1,0,P180*(1+((1+$C$182)^(1/12)-1))^12-J180/12*(1+((1+$C$182)^(1/12)-1))*(((1+((1+$C$182)^(1/12)-1))^12-1)/((1+((1+$C$182)^(1/12)-1))-1)))</f>
      </c>
      <c r="Q181">
        <f>IF($C$177&lt;&gt;1,0,IFERROR((((1+($C$182+'Inputs'!$H$123/100))^(1/12)-1)-((1+$C$182)^(1/12)-1))*(P181*(((1+((1+$C$182)^(1/12)-1))^12-1)/((1+((1+$C$182)^(1/12)-1))-1))-J181/12/((1+((1+$C$182)^(1/12)-1))-1)*((1+((1+$C$182)^(1/12)-1))*(((1+((1+$C$182)^(1/12)-1))^12-1)/((1+((1+$C$182)^(1/12)-1))-1))-12)),0))</f>
      </c>
    </row>
    <row r="182" spans="2:17" x14ac:dyDescent="0.25">
      <c r="B182" t="s">
        <v>453</v>
      </c>
      <c r="C182">
        <f>IF($C$177=1,'Needs calc'!$C$79,0)</f>
      </c>
      <c r="I182">
        <v>10</v>
      </c>
      <c r="J182">
        <f>IF(I182&lt;$C$174,MAX(0,12*$C$175*(1+$C$176)^I182-K182),0)</f>
      </c>
      <c r="K182">
        <f>SUMPRODUCT(('Inputs'!$G$76:$G$81=$C$170)*($C$170&lt;&gt;"")*'Inputs'!$D$76:$D$81*(1+'Inputs'!$E$76:$E$81/100)^I182*(ABS('Inputs'!$F$76:$F$81-12*I182)-ABS(('Inputs'!$F$76:$F$81-12*I182)-12)+12)/2)</f>
      </c>
      <c r="L182">
        <f>IF(J182&gt;0,1,0)</f>
      </c>
      <c r="P182">
        <f>IF($C$177&lt;&gt;1,0,P181*(1+((1+$C$182)^(1/12)-1))^12-J181/12*(1+((1+$C$182)^(1/12)-1))*(((1+((1+$C$182)^(1/12)-1))^12-1)/((1+((1+$C$182)^(1/12)-1))-1)))</f>
      </c>
      <c r="Q182">
        <f>IF($C$177&lt;&gt;1,0,IFERROR((((1+($C$182+'Inputs'!$H$123/100))^(1/12)-1)-((1+$C$182)^(1/12)-1))*(P182*(((1+((1+$C$182)^(1/12)-1))^12-1)/((1+((1+$C$182)^(1/12)-1))-1))-J182/12/((1+((1+$C$182)^(1/12)-1))-1)*((1+((1+$C$182)^(1/12)-1))*(((1+((1+$C$182)^(1/12)-1))^12-1)/((1+((1+$C$182)^(1/12)-1))-1))-12)),0))</f>
      </c>
    </row>
    <row r="183" spans="2:17" x14ac:dyDescent="0.25">
      <c r="B183" t="s">
        <v>454</v>
      </c>
      <c r="C183">
        <f>SUMPRODUCT(('Inputs'!$G$76:$G$81=$C$170)*($C$170&lt;&gt;"")*('Inputs'!$F$76:$F$81&gt;0)*'Inputs'!$D$76:$D$81)</f>
      </c>
      <c r="I183">
        <v>11</v>
      </c>
      <c r="J183">
        <f>IF(I183&lt;$C$174,MAX(0,12*$C$175*(1+$C$176)^I183-K183),0)</f>
      </c>
      <c r="K183">
        <f>SUMPRODUCT(('Inputs'!$G$76:$G$81=$C$170)*($C$170&lt;&gt;"")*'Inputs'!$D$76:$D$81*(1+'Inputs'!$E$76:$E$81/100)^I183*(ABS('Inputs'!$F$76:$F$81-12*I183)-ABS(('Inputs'!$F$76:$F$81-12*I183)-12)+12)/2)</f>
      </c>
      <c r="L183">
        <f>IF(J183&gt;0,1,0)</f>
      </c>
      <c r="P183">
        <f>IF($C$177&lt;&gt;1,0,P182*(1+((1+$C$182)^(1/12)-1))^12-J182/12*(1+((1+$C$182)^(1/12)-1))*(((1+((1+$C$182)^(1/12)-1))^12-1)/((1+((1+$C$182)^(1/12)-1))-1)))</f>
      </c>
      <c r="Q183">
        <f>IF($C$177&lt;&gt;1,0,IFERROR((((1+($C$182+'Inputs'!$H$123/100))^(1/12)-1)-((1+$C$182)^(1/12)-1))*(P183*(((1+((1+$C$182)^(1/12)-1))^12-1)/((1+((1+$C$182)^(1/12)-1))-1))-J183/12/((1+((1+$C$182)^(1/12)-1))-1)*((1+((1+$C$182)^(1/12)-1))*(((1+((1+$C$182)^(1/12)-1))^12-1)/((1+((1+$C$182)^(1/12)-1))-1))-12)),0))</f>
      </c>
    </row>
    <row r="184" spans="2:17" x14ac:dyDescent="0.25">
      <c r="B184" t="s">
        <v>455</v>
      </c>
      <c r="C184">
        <f>IF($C$174&gt;0,$C$175-J172/12,0)</f>
      </c>
      <c r="I184">
        <v>12</v>
      </c>
      <c r="J184">
        <f>IF(I184&lt;$C$174,MAX(0,12*$C$175*(1+$C$176)^I184-K184),0)</f>
      </c>
      <c r="K184">
        <f>SUMPRODUCT(('Inputs'!$G$76:$G$81=$C$170)*($C$170&lt;&gt;"")*'Inputs'!$D$76:$D$81*(1+'Inputs'!$E$76:$E$81/100)^I184*(ABS('Inputs'!$F$76:$F$81-12*I184)-ABS(('Inputs'!$F$76:$F$81-12*I184)-12)+12)/2)</f>
      </c>
      <c r="L184">
        <f>IF(J184&gt;0,1,0)</f>
      </c>
      <c r="P184">
        <f>IF($C$177&lt;&gt;1,0,P183*(1+((1+$C$182)^(1/12)-1))^12-J183/12*(1+((1+$C$182)^(1/12)-1))*(((1+((1+$C$182)^(1/12)-1))^12-1)/((1+((1+$C$182)^(1/12)-1))-1)))</f>
      </c>
      <c r="Q184">
        <f>IF($C$177&lt;&gt;1,0,IFERROR((((1+($C$182+'Inputs'!$H$123/100))^(1/12)-1)-((1+$C$182)^(1/12)-1))*(P184*(((1+((1+$C$182)^(1/12)-1))^12-1)/((1+((1+$C$182)^(1/12)-1))-1))-J184/12/((1+((1+$C$182)^(1/12)-1))-1)*((1+((1+$C$182)^(1/12)-1))*(((1+((1+$C$182)^(1/12)-1))^12-1)/((1+((1+$C$182)^(1/12)-1))-1))-12)),0))</f>
      </c>
    </row>
    <row r="185" spans="2:17" x14ac:dyDescent="0.25">
      <c r="B185" t="s">
        <v>456</v>
      </c>
      <c r="C185">
        <f>SUMPRODUCT(MAX(('Inputs'!$G$76:$G$81=$C$170)*($C$170&lt;&gt;"")*'Inputs'!$F$76:$F$81))</f>
      </c>
      <c r="I185">
        <v>13</v>
      </c>
      <c r="J185">
        <f>IF(I185&lt;$C$174,MAX(0,12*$C$175*(1+$C$176)^I185-K185),0)</f>
      </c>
      <c r="K185">
        <f>SUMPRODUCT(('Inputs'!$G$76:$G$81=$C$170)*($C$170&lt;&gt;"")*'Inputs'!$D$76:$D$81*(1+'Inputs'!$E$76:$E$81/100)^I185*(ABS('Inputs'!$F$76:$F$81-12*I185)-ABS(('Inputs'!$F$76:$F$81-12*I185)-12)+12)/2)</f>
      </c>
      <c r="L185">
        <f>IF(J185&gt;0,1,0)</f>
      </c>
      <c r="P185">
        <f>IF($C$177&lt;&gt;1,0,P184*(1+((1+$C$182)^(1/12)-1))^12-J184/12*(1+((1+$C$182)^(1/12)-1))*(((1+((1+$C$182)^(1/12)-1))^12-1)/((1+((1+$C$182)^(1/12)-1))-1)))</f>
      </c>
      <c r="Q185">
        <f>IF($C$177&lt;&gt;1,0,IFERROR((((1+($C$182+'Inputs'!$H$123/100))^(1/12)-1)-((1+$C$182)^(1/12)-1))*(P185*(((1+((1+$C$182)^(1/12)-1))^12-1)/((1+((1+$C$182)^(1/12)-1))-1))-J185/12/((1+((1+$C$182)^(1/12)-1))-1)*((1+((1+$C$182)^(1/12)-1))*(((1+((1+$C$182)^(1/12)-1))^12-1)/((1+((1+$C$182)^(1/12)-1))-1))-12)),0))</f>
      </c>
    </row>
    <row r="186" spans="2:17" x14ac:dyDescent="0.25">
      <c r="B186" t="s">
        <v>457</v>
      </c>
      <c r="C186">
        <f>SUM($J$172:$J$221)</f>
      </c>
      <c r="I186">
        <v>14</v>
      </c>
      <c r="J186">
        <f>IF(I186&lt;$C$174,MAX(0,12*$C$175*(1+$C$176)^I186-K186),0)</f>
      </c>
      <c r="K186">
        <f>SUMPRODUCT(('Inputs'!$G$76:$G$81=$C$170)*($C$170&lt;&gt;"")*'Inputs'!$D$76:$D$81*(1+'Inputs'!$E$76:$E$81/100)^I186*(ABS('Inputs'!$F$76:$F$81-12*I186)-ABS(('Inputs'!$F$76:$F$81-12*I186)-12)+12)/2)</f>
      </c>
      <c r="L186">
        <f>IF(J186&gt;0,1,0)</f>
      </c>
      <c r="P186">
        <f>IF($C$177&lt;&gt;1,0,P185*(1+((1+$C$182)^(1/12)-1))^12-J185/12*(1+((1+$C$182)^(1/12)-1))*(((1+((1+$C$182)^(1/12)-1))^12-1)/((1+((1+$C$182)^(1/12)-1))-1)))</f>
      </c>
      <c r="Q186">
        <f>IF($C$177&lt;&gt;1,0,IFERROR((((1+($C$182+'Inputs'!$H$123/100))^(1/12)-1)-((1+$C$182)^(1/12)-1))*(P186*(((1+((1+$C$182)^(1/12)-1))^12-1)/((1+((1+$C$182)^(1/12)-1))-1))-J186/12/((1+((1+$C$182)^(1/12)-1))-1)*((1+((1+$C$182)^(1/12)-1))*(((1+((1+$C$182)^(1/12)-1))^12-1)/((1+((1+$C$182)^(1/12)-1))-1))-12)),0))</f>
      </c>
    </row>
    <row r="187" spans="2:17" x14ac:dyDescent="0.25">
      <c r="B187" t="s">
        <v>458</v>
      </c>
      <c r="C187">
        <f>IF('Needs calc'!$C$81&gt;0,IF('Inputs'!$O$103*SUM('Inputs'!$U$100:$U$105)&gt;0,IF('Needs calc'!$C$76&gt;='Needs calc'!$C$84,'Inputs'!$B$103&amp;IF(SUM('Inputs'!$U$100:$U$105)=1," and "&amp;IF('Inputs'!$U$100=1,'Inputs'!$B$100,"")&amp;IF('Inputs'!$U$101=1,'Inputs'!$B$101,"")&amp;IF('Inputs'!$U$102=1,'Inputs'!$B$102,"")&amp;IF('Inputs'!$U$103=1,'Inputs'!$B$103,"")&amp;IF('Inputs'!$U$104=1,'Inputs'!$B$104,"")&amp;IF('Inputs'!$U$105=1,'Inputs'!$B$105,"")," and the children")&amp;" would have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you want for them"&amp;IF('Needs calc'!$C$84&gt;0,", after the R "&amp;FIXED(ROUND('Needs calc'!$C$84,-3),0)&amp;" once-off","")&amp;". ",'Inputs'!$B$103&amp;IF(SUM('Inputs'!$U$100:$U$105)=1," and "&amp;IF('Inputs'!$U$100=1,'Inputs'!$B$100,"")&amp;IF('Inputs'!$U$101=1,'Inputs'!$B$101,"")&amp;IF('Inputs'!$U$102=1,'Inputs'!$B$102,"")&amp;IF('Inputs'!$U$103=1,'Inputs'!$B$103,"")&amp;IF('Inputs'!$U$104=1,'Inputs'!$B$104,"")&amp;IF('Inputs'!$U$105=1,'Inputs'!$B$105,"")," and the children")&amp;" would have "&amp;IF('Needs calc'!$C$76&lt;=0,"nothing","about R "&amp;FIXED(ROUND('Needs calc'!$C$76,-3),0))&amp;" of the R "&amp;FIXED(ROUND('Needs calc'!$C$84,-3),0)&amp;" once-off you want for them, and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"),IF(N('Inputs'!$E$103)&gt;0,IF('Needs years'!$C$183&lt;=0,IF('Needs years'!$C$178&lt;=0,'Inputs'!$B$103&amp;" would have about R "&amp;FIXED(ROUND('Needs calc'!$C$82,-2),0)&amp;" a month of the R "&amp;FIXED(ROUND('Inputs'!$E$103,-2),0)&amp;" you want. ",IF('Needs calc'!$C$76&gt;='Needs years'!$C$178,'Inputs'!$B$103&amp;" would have about R "&amp;FIXED(ROUND('Needs calc'!$C$82,-2),0)&amp;" a month of the R "&amp;FIXED(ROUND('Inputs'!$E$103,-2),0)&amp;" you want,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")),IF('Needs years'!$C$186&lt;=0,IF('Needs years'!$C$178&gt;0,'Inputs'!$B$103&amp;"'s death income covers the R "&amp;FIXED(ROUND('Inputs'!$E$103,-2),0)&amp;" a month you want"&amp;", but "&amp;'Inputs'!$B$103&amp;" would have "&amp;IF('Needs calc'!$C$76&lt;=0,"nothing","about R "&amp;FIXED(ROUND('Needs calc'!$C$76,-3),0))&amp;" of the R "&amp;FIXED(ROUND('Needs years'!$C$178,-3),0)&amp;" once-off you want for them. ",'Inputs'!$B$103&amp;"'s death income covers the R "&amp;FIXED(ROUND('Inputs'!$E$103,-2),0)&amp;" a month you want"&amp;", but the estate duty on it, about R "&amp;FIXED(ROUND('Needs years'!$C$189,-3),0)&amp;", leaves "&amp;'Inputs'!$B$103&amp;" short. "),IF('Needs years'!$J$172&lt;=0,'Inputs'!$B$103&amp;"'s death income covers the R "&amp;FIXED(ROUND('Inputs'!$E$103,-2),0)&amp;" a month you want"&amp;" for "&amp;IF('Needs years'!$C$188=1,"the first year","the first "&amp;'Needs years'!$C$188&amp;" years")&amp;"; after that "&amp;'Inputs'!$B$103&amp;" would be short"&amp;IF(AND('Needs years'!$C$178&gt;0,'Needs calc'!$C$76&lt;'Needs years'!$C$178),", and would have "&amp;IF('Needs calc'!$C$76&lt;=0,"nothing","about R "&amp;FIXED(ROUND('Needs calc'!$C$76,-3),0))&amp;" of the R "&amp;FIXED(ROUND('Needs years'!$C$178,-3),0)&amp;" once-off","")&amp;". ",IF('Needs years'!$C$178&lt;=0,'Inputs'!$B$103&amp;" would have about R "&amp;FIXED(ROUND('Needs calc'!$C$82,-2),0)&amp;" a month of the R "&amp;FIXED(ROUND('Inputs'!$E$103,-2),0)&amp;" you want, part of it from the death income, and less once it stops. ",IF('Needs calc'!$C$76&gt;='Needs years'!$C$178,'Inputs'!$B$103&amp;" would have about R "&amp;FIXED(ROUND('Needs calc'!$C$82,-2),0)&amp;" a month of the R "&amp;FIXED(ROUND('Inputs'!$E$103,-2),0)&amp;" you want, part of it from the death income, and less once it stops,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part of it from the death income, and less once it stops. "))))),'Inputs'!$B$103&amp;" would have "&amp;IF('Needs calc'!$C$76&lt;=0,"nothing","about R "&amp;FIXED(ROUND('Needs calc'!$C$76,-3),0))&amp;" of the R "&amp;FIXED(ROUND('Needs years'!$C$178,-3),0)&amp;" you want to leave them. ")),"")</f>
      </c>
      <c r="I187">
        <v>15</v>
      </c>
      <c r="J187">
        <f>IF(I187&lt;$C$174,MAX(0,12*$C$175*(1+$C$176)^I187-K187),0)</f>
      </c>
      <c r="K187">
        <f>SUMPRODUCT(('Inputs'!$G$76:$G$81=$C$170)*($C$170&lt;&gt;"")*'Inputs'!$D$76:$D$81*(1+'Inputs'!$E$76:$E$81/100)^I187*(ABS('Inputs'!$F$76:$F$81-12*I187)-ABS(('Inputs'!$F$76:$F$81-12*I187)-12)+12)/2)</f>
      </c>
      <c r="L187">
        <f>IF(J187&gt;0,1,0)</f>
      </c>
      <c r="P187">
        <f>IF($C$177&lt;&gt;1,0,P186*(1+((1+$C$182)^(1/12)-1))^12-J186/12*(1+((1+$C$182)^(1/12)-1))*(((1+((1+$C$182)^(1/12)-1))^12-1)/((1+((1+$C$182)^(1/12)-1))-1)))</f>
      </c>
      <c r="Q187">
        <f>IF($C$177&lt;&gt;1,0,IFERROR((((1+($C$182+'Inputs'!$H$123/100))^(1/12)-1)-((1+$C$182)^(1/12)-1))*(P187*(((1+((1+$C$182)^(1/12)-1))^12-1)/((1+((1+$C$182)^(1/12)-1))-1))-J187/12/((1+((1+$C$182)^(1/12)-1))-1)*((1+((1+$C$182)^(1/12)-1))*(((1+((1+$C$182)^(1/12)-1))^12-1)/((1+((1+$C$182)^(1/12)-1))-1))-12)),0))</f>
      </c>
    </row>
    <row r="188" spans="2:17" x14ac:dyDescent="0.25">
      <c r="B188" t="s">
        <v>459</v>
      </c>
      <c r="C188">
        <f>IFERROR(MATCH(1,$L$172:$L$221,0)-1,$C$174)</f>
      </c>
      <c r="I188">
        <v>16</v>
      </c>
      <c r="J188">
        <f>IF(I188&lt;$C$174,MAX(0,12*$C$175*(1+$C$176)^I188-K188),0)</f>
      </c>
      <c r="K188">
        <f>SUMPRODUCT(('Inputs'!$G$76:$G$81=$C$170)*($C$170&lt;&gt;"")*'Inputs'!$D$76:$D$81*(1+'Inputs'!$E$76:$E$81/100)^I188*(ABS('Inputs'!$F$76:$F$81-12*I188)-ABS(('Inputs'!$F$76:$F$81-12*I188)-12)+12)/2)</f>
      </c>
      <c r="L188">
        <f>IF(J188&gt;0,1,0)</f>
      </c>
      <c r="P188">
        <f>IF($C$177&lt;&gt;1,0,P187*(1+((1+$C$182)^(1/12)-1))^12-J187/12*(1+((1+$C$182)^(1/12)-1))*(((1+((1+$C$182)^(1/12)-1))^12-1)/((1+((1+$C$182)^(1/12)-1))-1)))</f>
      </c>
      <c r="Q188">
        <f>IF($C$177&lt;&gt;1,0,IFERROR((((1+($C$182+'Inputs'!$H$123/100))^(1/12)-1)-((1+$C$182)^(1/12)-1))*(P188*(((1+((1+$C$182)^(1/12)-1))^12-1)/((1+((1+$C$182)^(1/12)-1))-1))-J188/12/((1+((1+$C$182)^(1/12)-1))-1)*((1+((1+$C$182)^(1/12)-1))*(((1+((1+$C$182)^(1/12)-1))^12-1)/((1+((1+$C$182)^(1/12)-1))-1))-12)),0))</f>
      </c>
    </row>
    <row r="189" spans="2:17" x14ac:dyDescent="0.25">
      <c r="B189" t="s">
        <v>460</v>
      </c>
      <c r="C189">
        <f>SUMPRODUCT(('Inputs'!$G$76:$G$81=$C$170)*($C$170&lt;&gt;"")*'Inputs'!$P$76:$P$81)</f>
      </c>
      <c r="I189">
        <v>17</v>
      </c>
      <c r="J189">
        <f>IF(I189&lt;$C$174,MAX(0,12*$C$175*(1+$C$176)^I189-K189),0)</f>
      </c>
      <c r="K189">
        <f>SUMPRODUCT(('Inputs'!$G$76:$G$81=$C$170)*($C$170&lt;&gt;"")*'Inputs'!$D$76:$D$81*(1+'Inputs'!$E$76:$E$81/100)^I189*(ABS('Inputs'!$F$76:$F$81-12*I189)-ABS(('Inputs'!$F$76:$F$81-12*I189)-12)+12)/2)</f>
      </c>
      <c r="L189">
        <f>IF(J189&gt;0,1,0)</f>
      </c>
      <c r="P189">
        <f>IF($C$177&lt;&gt;1,0,P188*(1+((1+$C$182)^(1/12)-1))^12-J188/12*(1+((1+$C$182)^(1/12)-1))*(((1+((1+$C$182)^(1/12)-1))^12-1)/((1+((1+$C$182)^(1/12)-1))-1)))</f>
      </c>
      <c r="Q189">
        <f>IF($C$177&lt;&gt;1,0,IFERROR((((1+($C$182+'Inputs'!$H$123/100))^(1/12)-1)-((1+$C$182)^(1/12)-1))*(P189*(((1+((1+$C$182)^(1/12)-1))^12-1)/((1+((1+$C$182)^(1/12)-1))-1))-J189/12/((1+((1+$C$182)^(1/12)-1))-1)*((1+((1+$C$182)^(1/12)-1))*(((1+((1+$C$182)^(1/12)-1))^12-1)/((1+((1+$C$182)^(1/12)-1))-1))-12)),0))</f>
      </c>
    </row>
    <row r="190" spans="9:17" x14ac:dyDescent="0.25">
      <c r="I190">
        <v>18</v>
      </c>
      <c r="J190">
        <f>IF(I190&lt;$C$174,MAX(0,12*$C$175*(1+$C$176)^I190-K190),0)</f>
      </c>
      <c r="K190">
        <f>SUMPRODUCT(('Inputs'!$G$76:$G$81=$C$170)*($C$170&lt;&gt;"")*'Inputs'!$D$76:$D$81*(1+'Inputs'!$E$76:$E$81/100)^I190*(ABS('Inputs'!$F$76:$F$81-12*I190)-ABS(('Inputs'!$F$76:$F$81-12*I190)-12)+12)/2)</f>
      </c>
      <c r="L190">
        <f>IF(J190&gt;0,1,0)</f>
      </c>
      <c r="P190">
        <f>IF($C$177&lt;&gt;1,0,P189*(1+((1+$C$182)^(1/12)-1))^12-J189/12*(1+((1+$C$182)^(1/12)-1))*(((1+((1+$C$182)^(1/12)-1))^12-1)/((1+((1+$C$182)^(1/12)-1))-1)))</f>
      </c>
      <c r="Q190">
        <f>IF($C$177&lt;&gt;1,0,IFERROR((((1+($C$182+'Inputs'!$H$123/100))^(1/12)-1)-((1+$C$182)^(1/12)-1))*(P190*(((1+((1+$C$182)^(1/12)-1))^12-1)/((1+((1+$C$182)^(1/12)-1))-1))-J190/12/((1+((1+$C$182)^(1/12)-1))-1)*((1+((1+$C$182)^(1/12)-1))*(((1+((1+$C$182)^(1/12)-1))^12-1)/((1+((1+$C$182)^(1/12)-1))-1))-12)),0))</f>
      </c>
    </row>
    <row r="191" spans="9:17" x14ac:dyDescent="0.25">
      <c r="I191">
        <v>19</v>
      </c>
      <c r="J191">
        <f>IF(I191&lt;$C$174,MAX(0,12*$C$175*(1+$C$176)^I191-K191),0)</f>
      </c>
      <c r="K191">
        <f>SUMPRODUCT(('Inputs'!$G$76:$G$81=$C$170)*($C$170&lt;&gt;"")*'Inputs'!$D$76:$D$81*(1+'Inputs'!$E$76:$E$81/100)^I191*(ABS('Inputs'!$F$76:$F$81-12*I191)-ABS(('Inputs'!$F$76:$F$81-12*I191)-12)+12)/2)</f>
      </c>
      <c r="L191">
        <f>IF(J191&gt;0,1,0)</f>
      </c>
      <c r="P191">
        <f>IF($C$177&lt;&gt;1,0,P190*(1+((1+$C$182)^(1/12)-1))^12-J190/12*(1+((1+$C$182)^(1/12)-1))*(((1+((1+$C$182)^(1/12)-1))^12-1)/((1+((1+$C$182)^(1/12)-1))-1)))</f>
      </c>
      <c r="Q191">
        <f>IF($C$177&lt;&gt;1,0,IFERROR((((1+($C$182+'Inputs'!$H$123/100))^(1/12)-1)-((1+$C$182)^(1/12)-1))*(P191*(((1+((1+$C$182)^(1/12)-1))^12-1)/((1+((1+$C$182)^(1/12)-1))-1))-J191/12/((1+((1+$C$182)^(1/12)-1))-1)*((1+((1+$C$182)^(1/12)-1))*(((1+((1+$C$182)^(1/12)-1))^12-1)/((1+((1+$C$182)^(1/12)-1))-1))-12)),0))</f>
      </c>
    </row>
    <row r="192" spans="9:17" x14ac:dyDescent="0.25">
      <c r="I192">
        <v>20</v>
      </c>
      <c r="J192">
        <f>IF(I192&lt;$C$174,MAX(0,12*$C$175*(1+$C$176)^I192-K192),0)</f>
      </c>
      <c r="K192">
        <f>SUMPRODUCT(('Inputs'!$G$76:$G$81=$C$170)*($C$170&lt;&gt;"")*'Inputs'!$D$76:$D$81*(1+'Inputs'!$E$76:$E$81/100)^I192*(ABS('Inputs'!$F$76:$F$81-12*I192)-ABS(('Inputs'!$F$76:$F$81-12*I192)-12)+12)/2)</f>
      </c>
      <c r="L192">
        <f>IF(J192&gt;0,1,0)</f>
      </c>
      <c r="P192">
        <f>IF($C$177&lt;&gt;1,0,P191*(1+((1+$C$182)^(1/12)-1))^12-J191/12*(1+((1+$C$182)^(1/12)-1))*(((1+((1+$C$182)^(1/12)-1))^12-1)/((1+((1+$C$182)^(1/12)-1))-1)))</f>
      </c>
      <c r="Q192">
        <f>IF($C$177&lt;&gt;1,0,IFERROR((((1+($C$182+'Inputs'!$H$123/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f>
      </c>
      <c r="L193">
        <f>IF(J193&gt;0,1,0)</f>
      </c>
      <c r="P193">
        <f>IF($C$177&lt;&gt;1,0,P192*(1+((1+$C$182)^(1/12)-1))^12-J192/12*(1+((1+$C$182)^(1/12)-1))*(((1+((1+$C$182)^(1/12)-1))^12-1)/((1+((1+$C$182)^(1/12)-1))-1)))</f>
      </c>
      <c r="Q193">
        <f>IF($C$177&lt;&gt;1,0,IFERROR((((1+($C$182+'Inputs'!$H$123/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f>
      </c>
      <c r="L194">
        <f>IF(J194&gt;0,1,0)</f>
      </c>
      <c r="P194">
        <f>IF($C$177&lt;&gt;1,0,P193*(1+((1+$C$182)^(1/12)-1))^12-J193/12*(1+((1+$C$182)^(1/12)-1))*(((1+((1+$C$182)^(1/12)-1))^12-1)/((1+((1+$C$182)^(1/12)-1))-1)))</f>
      </c>
      <c r="Q194">
        <f>IF($C$177&lt;&gt;1,0,IFERROR((((1+($C$182+'Inputs'!$H$123/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f>
      </c>
      <c r="L195">
        <f>IF(J195&gt;0,1,0)</f>
      </c>
      <c r="P195">
        <f>IF($C$177&lt;&gt;1,0,P194*(1+((1+$C$182)^(1/12)-1))^12-J194/12*(1+((1+$C$182)^(1/12)-1))*(((1+((1+$C$182)^(1/12)-1))^12-1)/((1+((1+$C$182)^(1/12)-1))-1)))</f>
      </c>
      <c r="Q195">
        <f>IF($C$177&lt;&gt;1,0,IFERROR((((1+($C$182+'Inputs'!$H$123/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f>
      </c>
      <c r="L196">
        <f>IF(J196&gt;0,1,0)</f>
      </c>
      <c r="P196">
        <f>IF($C$177&lt;&gt;1,0,P195*(1+((1+$C$182)^(1/12)-1))^12-J195/12*(1+((1+$C$182)^(1/12)-1))*(((1+((1+$C$182)^(1/12)-1))^12-1)/((1+((1+$C$182)^(1/12)-1))-1)))</f>
      </c>
      <c r="Q196">
        <f>IF($C$177&lt;&gt;1,0,IFERROR((((1+($C$182+'Inputs'!$H$123/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f>
      </c>
      <c r="L197">
        <f>IF(J197&gt;0,1,0)</f>
      </c>
      <c r="P197">
        <f>IF($C$177&lt;&gt;1,0,P196*(1+((1+$C$182)^(1/12)-1))^12-J196/12*(1+((1+$C$182)^(1/12)-1))*(((1+((1+$C$182)^(1/12)-1))^12-1)/((1+((1+$C$182)^(1/12)-1))-1)))</f>
      </c>
      <c r="Q197">
        <f>IF($C$177&lt;&gt;1,0,IFERROR((((1+($C$182+'Inputs'!$H$123/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f>
      </c>
      <c r="L198">
        <f>IF(J198&gt;0,1,0)</f>
      </c>
      <c r="P198">
        <f>IF($C$177&lt;&gt;1,0,P197*(1+((1+$C$182)^(1/12)-1))^12-J197/12*(1+((1+$C$182)^(1/12)-1))*(((1+((1+$C$182)^(1/12)-1))^12-1)/((1+((1+$C$182)^(1/12)-1))-1)))</f>
      </c>
      <c r="Q198">
        <f>IF($C$177&lt;&gt;1,0,IFERROR((((1+($C$182+'Inputs'!$H$123/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f>
      </c>
      <c r="L199">
        <f>IF(J199&gt;0,1,0)</f>
      </c>
      <c r="P199">
        <f>IF($C$177&lt;&gt;1,0,P198*(1+((1+$C$182)^(1/12)-1))^12-J198/12*(1+((1+$C$182)^(1/12)-1))*(((1+((1+$C$182)^(1/12)-1))^12-1)/((1+((1+$C$182)^(1/12)-1))-1)))</f>
      </c>
      <c r="Q199">
        <f>IF($C$177&lt;&gt;1,0,IFERROR((((1+($C$182+'Inputs'!$H$123/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f>
      </c>
      <c r="L200">
        <f>IF(J200&gt;0,1,0)</f>
      </c>
      <c r="P200">
        <f>IF($C$177&lt;&gt;1,0,P199*(1+((1+$C$182)^(1/12)-1))^12-J199/12*(1+((1+$C$182)^(1/12)-1))*(((1+((1+$C$182)^(1/12)-1))^12-1)/((1+((1+$C$182)^(1/12)-1))-1)))</f>
      </c>
      <c r="Q200">
        <f>IF($C$177&lt;&gt;1,0,IFERROR((((1+($C$182+'Inputs'!$H$123/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f>
      </c>
      <c r="L201">
        <f>IF(J201&gt;0,1,0)</f>
      </c>
      <c r="P201">
        <f>IF($C$177&lt;&gt;1,0,P200*(1+((1+$C$182)^(1/12)-1))^12-J200/12*(1+((1+$C$182)^(1/12)-1))*(((1+((1+$C$182)^(1/12)-1))^12-1)/((1+((1+$C$182)^(1/12)-1))-1)))</f>
      </c>
      <c r="Q201">
        <f>IF($C$177&lt;&gt;1,0,IFERROR((((1+($C$182+'Inputs'!$H$123/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f>
      </c>
      <c r="L202">
        <f>IF(J202&gt;0,1,0)</f>
      </c>
      <c r="P202">
        <f>IF($C$177&lt;&gt;1,0,P201*(1+((1+$C$182)^(1/12)-1))^12-J201/12*(1+((1+$C$182)^(1/12)-1))*(((1+((1+$C$182)^(1/12)-1))^12-1)/((1+((1+$C$182)^(1/12)-1))-1)))</f>
      </c>
      <c r="Q202">
        <f>IF($C$177&lt;&gt;1,0,IFERROR((((1+($C$182+'Inputs'!$H$123/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f>
      </c>
      <c r="L203">
        <f>IF(J203&gt;0,1,0)</f>
      </c>
      <c r="P203">
        <f>IF($C$177&lt;&gt;1,0,P202*(1+((1+$C$182)^(1/12)-1))^12-J202/12*(1+((1+$C$182)^(1/12)-1))*(((1+((1+$C$182)^(1/12)-1))^12-1)/((1+((1+$C$182)^(1/12)-1))-1)))</f>
      </c>
      <c r="Q203">
        <f>IF($C$177&lt;&gt;1,0,IFERROR((((1+($C$182+'Inputs'!$H$123/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f>
      </c>
      <c r="L204">
        <f>IF(J204&gt;0,1,0)</f>
      </c>
      <c r="P204">
        <f>IF($C$177&lt;&gt;1,0,P203*(1+((1+$C$182)^(1/12)-1))^12-J203/12*(1+((1+$C$182)^(1/12)-1))*(((1+((1+$C$182)^(1/12)-1))^12-1)/((1+((1+$C$182)^(1/12)-1))-1)))</f>
      </c>
      <c r="Q204">
        <f>IF($C$177&lt;&gt;1,0,IFERROR((((1+($C$182+'Inputs'!$H$123/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f>
      </c>
      <c r="L205">
        <f>IF(J205&gt;0,1,0)</f>
      </c>
      <c r="P205">
        <f>IF($C$177&lt;&gt;1,0,P204*(1+((1+$C$182)^(1/12)-1))^12-J204/12*(1+((1+$C$182)^(1/12)-1))*(((1+((1+$C$182)^(1/12)-1))^12-1)/((1+((1+$C$182)^(1/12)-1))-1)))</f>
      </c>
      <c r="Q205">
        <f>IF($C$177&lt;&gt;1,0,IFERROR((((1+($C$182+'Inputs'!$H$123/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f>
      </c>
      <c r="L206">
        <f>IF(J206&gt;0,1,0)</f>
      </c>
      <c r="P206">
        <f>IF($C$177&lt;&gt;1,0,P205*(1+((1+$C$182)^(1/12)-1))^12-J205/12*(1+((1+$C$182)^(1/12)-1))*(((1+((1+$C$182)^(1/12)-1))^12-1)/((1+((1+$C$182)^(1/12)-1))-1)))</f>
      </c>
      <c r="Q206">
        <f>IF($C$177&lt;&gt;1,0,IFERROR((((1+($C$182+'Inputs'!$H$123/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f>
      </c>
      <c r="L207">
        <f>IF(J207&gt;0,1,0)</f>
      </c>
      <c r="P207">
        <f>IF($C$177&lt;&gt;1,0,P206*(1+((1+$C$182)^(1/12)-1))^12-J206/12*(1+((1+$C$182)^(1/12)-1))*(((1+((1+$C$182)^(1/12)-1))^12-1)/((1+((1+$C$182)^(1/12)-1))-1)))</f>
      </c>
      <c r="Q207">
        <f>IF($C$177&lt;&gt;1,0,IFERROR((((1+($C$182+'Inputs'!$H$123/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f>
      </c>
      <c r="L208">
        <f>IF(J208&gt;0,1,0)</f>
      </c>
      <c r="P208">
        <f>IF($C$177&lt;&gt;1,0,P207*(1+((1+$C$182)^(1/12)-1))^12-J207/12*(1+((1+$C$182)^(1/12)-1))*(((1+((1+$C$182)^(1/12)-1))^12-1)/((1+((1+$C$182)^(1/12)-1))-1)))</f>
      </c>
      <c r="Q208">
        <f>IF($C$177&lt;&gt;1,0,IFERROR((((1+($C$182+'Inputs'!$H$123/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f>
      </c>
      <c r="L209">
        <f>IF(J209&gt;0,1,0)</f>
      </c>
      <c r="P209">
        <f>IF($C$177&lt;&gt;1,0,P208*(1+((1+$C$182)^(1/12)-1))^12-J208/12*(1+((1+$C$182)^(1/12)-1))*(((1+((1+$C$182)^(1/12)-1))^12-1)/((1+((1+$C$182)^(1/12)-1))-1)))</f>
      </c>
      <c r="Q209">
        <f>IF($C$177&lt;&gt;1,0,IFERROR((((1+($C$182+'Inputs'!$H$123/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f>
      </c>
      <c r="L210">
        <f>IF(J210&gt;0,1,0)</f>
      </c>
      <c r="P210">
        <f>IF($C$177&lt;&gt;1,0,P209*(1+((1+$C$182)^(1/12)-1))^12-J209/12*(1+((1+$C$182)^(1/12)-1))*(((1+((1+$C$182)^(1/12)-1))^12-1)/((1+((1+$C$182)^(1/12)-1))-1)))</f>
      </c>
      <c r="Q210">
        <f>IF($C$177&lt;&gt;1,0,IFERROR((((1+($C$182+'Inputs'!$H$123/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f>
      </c>
      <c r="L211">
        <f>IF(J211&gt;0,1,0)</f>
      </c>
      <c r="P211">
        <f>IF($C$177&lt;&gt;1,0,P210*(1+((1+$C$182)^(1/12)-1))^12-J210/12*(1+((1+$C$182)^(1/12)-1))*(((1+((1+$C$182)^(1/12)-1))^12-1)/((1+((1+$C$182)^(1/12)-1))-1)))</f>
      </c>
      <c r="Q211">
        <f>IF($C$177&lt;&gt;1,0,IFERROR((((1+($C$182+'Inputs'!$H$123/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f>
      </c>
      <c r="L212">
        <f>IF(J212&gt;0,1,0)</f>
      </c>
      <c r="P212">
        <f>IF($C$177&lt;&gt;1,0,P211*(1+((1+$C$182)^(1/12)-1))^12-J211/12*(1+((1+$C$182)^(1/12)-1))*(((1+((1+$C$182)^(1/12)-1))^12-1)/((1+((1+$C$182)^(1/12)-1))-1)))</f>
      </c>
      <c r="Q212">
        <f>IF($C$177&lt;&gt;1,0,IFERROR((((1+($C$182+'Inputs'!$H$123/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f>
      </c>
      <c r="L213">
        <f>IF(J213&gt;0,1,0)</f>
      </c>
      <c r="P213">
        <f>IF($C$177&lt;&gt;1,0,P212*(1+((1+$C$182)^(1/12)-1))^12-J212/12*(1+((1+$C$182)^(1/12)-1))*(((1+((1+$C$182)^(1/12)-1))^12-1)/((1+((1+$C$182)^(1/12)-1))-1)))</f>
      </c>
      <c r="Q213">
        <f>IF($C$177&lt;&gt;1,0,IFERROR((((1+($C$182+'Inputs'!$H$123/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f>
      </c>
      <c r="L214">
        <f>IF(J214&gt;0,1,0)</f>
      </c>
      <c r="P214">
        <f>IF($C$177&lt;&gt;1,0,P213*(1+((1+$C$182)^(1/12)-1))^12-J213/12*(1+((1+$C$182)^(1/12)-1))*(((1+((1+$C$182)^(1/12)-1))^12-1)/((1+((1+$C$182)^(1/12)-1))-1)))</f>
      </c>
      <c r="Q214">
        <f>IF($C$177&lt;&gt;1,0,IFERROR((((1+($C$182+'Inputs'!$H$123/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f>
      </c>
      <c r="L215">
        <f>IF(J215&gt;0,1,0)</f>
      </c>
      <c r="P215">
        <f>IF($C$177&lt;&gt;1,0,P214*(1+((1+$C$182)^(1/12)-1))^12-J214/12*(1+((1+$C$182)^(1/12)-1))*(((1+((1+$C$182)^(1/12)-1))^12-1)/((1+((1+$C$182)^(1/12)-1))-1)))</f>
      </c>
      <c r="Q215">
        <f>IF($C$177&lt;&gt;1,0,IFERROR((((1+($C$182+'Inputs'!$H$123/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f>
      </c>
      <c r="L216">
        <f>IF(J216&gt;0,1,0)</f>
      </c>
      <c r="P216">
        <f>IF($C$177&lt;&gt;1,0,P215*(1+((1+$C$182)^(1/12)-1))^12-J215/12*(1+((1+$C$182)^(1/12)-1))*(((1+((1+$C$182)^(1/12)-1))^12-1)/((1+((1+$C$182)^(1/12)-1))-1)))</f>
      </c>
      <c r="Q216">
        <f>IF($C$177&lt;&gt;1,0,IFERROR((((1+($C$182+'Inputs'!$H$123/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f>
      </c>
      <c r="L217">
        <f>IF(J217&gt;0,1,0)</f>
      </c>
      <c r="P217">
        <f>IF($C$177&lt;&gt;1,0,P216*(1+((1+$C$182)^(1/12)-1))^12-J216/12*(1+((1+$C$182)^(1/12)-1))*(((1+((1+$C$182)^(1/12)-1))^12-1)/((1+((1+$C$182)^(1/12)-1))-1)))</f>
      </c>
      <c r="Q217">
        <f>IF($C$177&lt;&gt;1,0,IFERROR((((1+($C$182+'Inputs'!$H$123/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f>
      </c>
      <c r="L218">
        <f>IF(J218&gt;0,1,0)</f>
      </c>
      <c r="P218">
        <f>IF($C$177&lt;&gt;1,0,P217*(1+((1+$C$182)^(1/12)-1))^12-J217/12*(1+((1+$C$182)^(1/12)-1))*(((1+((1+$C$182)^(1/12)-1))^12-1)/((1+((1+$C$182)^(1/12)-1))-1)))</f>
      </c>
      <c r="Q218">
        <f>IF($C$177&lt;&gt;1,0,IFERROR((((1+($C$182+'Inputs'!$H$123/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f>
      </c>
      <c r="L219">
        <f>IF(J219&gt;0,1,0)</f>
      </c>
      <c r="P219">
        <f>IF($C$177&lt;&gt;1,0,P218*(1+((1+$C$182)^(1/12)-1))^12-J218/12*(1+((1+$C$182)^(1/12)-1))*(((1+((1+$C$182)^(1/12)-1))^12-1)/((1+((1+$C$182)^(1/12)-1))-1)))</f>
      </c>
      <c r="Q219">
        <f>IF($C$177&lt;&gt;1,0,IFERROR((((1+($C$182+'Inputs'!$H$123/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f>
      </c>
      <c r="L220">
        <f>IF(J220&gt;0,1,0)</f>
      </c>
      <c r="P220">
        <f>IF($C$177&lt;&gt;1,0,P219*(1+((1+$C$182)^(1/12)-1))^12-J219/12*(1+((1+$C$182)^(1/12)-1))*(((1+((1+$C$182)^(1/12)-1))^12-1)/((1+((1+$C$182)^(1/12)-1))-1)))</f>
      </c>
      <c r="Q220">
        <f>IF($C$177&lt;&gt;1,0,IFERROR((((1+($C$182+'Inputs'!$H$123/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f>
      </c>
      <c r="L221">
        <f>IF(J221&gt;0,1,0)</f>
      </c>
      <c r="P221">
        <f>IF($C$177&lt;&gt;1,0,P220*(1+((1+$C$182)^(1/12)-1))^12-J220/12*(1+((1+$C$182)^(1/12)-1))*(((1+((1+$C$182)^(1/12)-1))^12-1)/((1+((1+$C$182)^(1/12)-1))-1)))</f>
      </c>
      <c r="Q221">
        <f>IF($C$177&lt;&gt;1,0,IFERROR((((1+($C$182+'Inputs'!$H$123/100))^(1/12)-1)-((1+$C$182)^(1/12)-1))*(P221*(((1+((1+$C$182)^(1/12)-1))^12-1)/((1+((1+$C$182)^(1/12)-1))-1))-J221/12/((1+((1+$C$182)^(1/12)-1))-1)*((1+((1+$C$182)^(1/12)-1))*(((1+((1+$C$182)^(1/12)-1))^12-1)/((1+((1+$C$182)^(1/12)-1))-1))-12)),0))</f>
      </c>
    </row>
    <row r="226" spans="2:3" x14ac:dyDescent="0.25">
      <c r="B226" t="s">
        <v>119</v>
      </c>
      <c r="C226">
        <f>IF('Inputs'!$B$104="","",'Inputs'!$B$104)</f>
      </c>
    </row>
    <row r="227" spans="2:17" x14ac:dyDescent="0.25">
      <c r="B227" t="s">
        <v>121</v>
      </c>
      <c r="C227">
        <f>N('Inputs'!$D$104)</f>
      </c>
      <c r="I227" t="s">
        <v>437</v>
      </c>
      <c r="J227" t="s">
        <v>438</v>
      </c>
      <c r="K227" t="s">
        <v>439</v>
      </c>
      <c r="L227" t="s">
        <v>440</v>
      </c>
      <c r="P227" t="s">
        <v>441</v>
      </c>
      <c r="Q227" t="s">
        <v>442</v>
      </c>
    </row>
    <row r="228" spans="2:17" x14ac:dyDescent="0.25">
      <c r="B228" t="s">
        <v>443</v>
      </c>
      <c r="C228">
        <f>IF($C$227&gt;=75,'Inputs'!$H$131,IF($C$227&gt;=65,'Inputs'!$H$130,'Inputs'!$H$124))</f>
      </c>
      <c r="I228">
        <v>0</v>
      </c>
      <c r="J228">
        <f>IF(I228&lt;$C$230,MAX(0,12*$C$231*(1+$C$232)^I228-K228),0)</f>
      </c>
      <c r="K228">
        <f>SUMPRODUCT(('Inputs'!$G$76:$G$81=$C$226)*($C$226&lt;&gt;"")*'Inputs'!$D$76:$D$81*(1+'Inputs'!$E$76:$E$81/100)^I228*(ABS('Inputs'!$F$76:$F$81-12*I228)-ABS(('Inputs'!$F$76:$F$81-12*I228)-12)+12)/2)</f>
      </c>
      <c r="L228">
        <f>IF(J228&gt;0,1,0)</f>
      </c>
      <c r="P228">
        <f>IF($C$233&lt;&gt;1,0,IF($C$238=0,SUM($J$228:$J$277),(1-(1+$C$238)^-1)/(1-(1+$C$238)^(-1/12))/12*SUMPRODUCT($J$228:$J$277,(1+$C$238)^(-$I$228:$I$277))))</f>
      </c>
      <c r="Q228">
        <f>IF($C$233&lt;&gt;1,0,IFERROR((((1+($C$238+'Inputs'!$H$123/100))^(1/12)-1)-((1+$C$238)^(1/12)-1))*(P228*(((1+((1+$C$238)^(1/12)-1))^12-1)/((1+((1+$C$238)^(1/12)-1))-1))-J228/12/((1+((1+$C$238)^(1/12)-1))-1)*((1+((1+$C$238)^(1/12)-1))*(((1+((1+$C$238)^(1/12)-1))^12-1)/((1+((1+$C$238)^(1/12)-1))-1))-12)),0))</f>
      </c>
    </row>
    <row r="229" spans="2:17" x14ac:dyDescent="0.25">
      <c r="B229" t="s">
        <v>444</v>
      </c>
      <c r="C229">
        <f>N('Inputs'!$I$104)</f>
      </c>
      <c r="I229">
        <v>1</v>
      </c>
      <c r="J229">
        <f>IF(I229&lt;$C$230,MAX(0,12*$C$231*(1+$C$232)^I229-K229),0)</f>
      </c>
      <c r="K229">
        <f>SUMPRODUCT(('Inputs'!$G$76:$G$81=$C$226)*($C$226&lt;&gt;"")*'Inputs'!$D$76:$D$81*(1+'Inputs'!$E$76:$E$81/100)^I229*(ABS('Inputs'!$F$76:$F$81-12*I229)-ABS(('Inputs'!$F$76:$F$81-12*I229)-12)+12)/2)</f>
      </c>
      <c r="L229">
        <f>IF(J229&gt;0,1,0)</f>
      </c>
      <c r="P229">
        <f>IF($C$233&lt;&gt;1,0,P228*(1+((1+$C$238)^(1/12)-1))^12-J228/12*(1+((1+$C$238)^(1/12)-1))*(((1+((1+$C$238)^(1/12)-1))^12-1)/((1+((1+$C$238)^(1/12)-1))-1)))</f>
      </c>
      <c r="Q229">
        <f>IF($C$233&lt;&gt;1,0,IFERROR((((1+($C$238+'Inputs'!$H$123/100))^(1/12)-1)-((1+$C$238)^(1/12)-1))*(P229*(((1+((1+$C$238)^(1/12)-1))^12-1)/((1+((1+$C$238)^(1/12)-1))-1))-J229/12/((1+((1+$C$238)^(1/12)-1))-1)*((1+((1+$C$238)^(1/12)-1))*(((1+((1+$C$238)^(1/12)-1))^12-1)/((1+((1+$C$238)^(1/12)-1))-1))-12)),0))</f>
      </c>
    </row>
    <row r="230" spans="2:17" x14ac:dyDescent="0.25">
      <c r="B230" t="s">
        <v>445</v>
      </c>
      <c r="C230">
        <f>IF($C$226="",0,N('Inputs'!$F$104))</f>
      </c>
      <c r="I230">
        <v>2</v>
      </c>
      <c r="J230">
        <f>IF(I230&lt;$C$230,MAX(0,12*$C$231*(1+$C$232)^I230-K230),0)</f>
      </c>
      <c r="K230">
        <f>SUMPRODUCT(('Inputs'!$G$76:$G$81=$C$226)*($C$226&lt;&gt;"")*'Inputs'!$D$76:$D$81*(1+'Inputs'!$E$76:$E$81/100)^I230*(ABS('Inputs'!$F$76:$F$81-12*I230)-ABS(('Inputs'!$F$76:$F$81-12*I230)-12)+12)/2)</f>
      </c>
      <c r="L230">
        <f>IF(J230&gt;0,1,0)</f>
      </c>
      <c r="P230">
        <f>IF($C$233&lt;&gt;1,0,P229*(1+((1+$C$238)^(1/12)-1))^12-J229/12*(1+((1+$C$238)^(1/12)-1))*(((1+((1+$C$238)^(1/12)-1))^12-1)/((1+((1+$C$238)^(1/12)-1))-1)))</f>
      </c>
      <c r="Q230">
        <f>IF($C$233&lt;&gt;1,0,IFERROR((((1+($C$238+'Inputs'!$H$123/100))^(1/12)-1)-((1+$C$238)^(1/12)-1))*(P230*(((1+((1+$C$238)^(1/12)-1))^12-1)/((1+((1+$C$238)^(1/12)-1))-1))-J230/12/((1+((1+$C$238)^(1/12)-1))-1)*((1+((1+$C$238)^(1/12)-1))*(((1+((1+$C$238)^(1/12)-1))^12-1)/((1+((1+$C$238)^(1/12)-1))-1))-12)),0))</f>
      </c>
    </row>
    <row r="231" spans="2:17" x14ac:dyDescent="0.25">
      <c r="B231" t="s">
        <v>446</v>
      </c>
      <c r="C231">
        <f>N('Inputs'!$E$104)</f>
      </c>
      <c r="I231">
        <v>3</v>
      </c>
      <c r="J231">
        <f>IF(I231&lt;$C$230,MAX(0,12*$C$231*(1+$C$232)^I231-K231),0)</f>
      </c>
      <c r="K231">
        <f>SUMPRODUCT(('Inputs'!$G$76:$G$81=$C$226)*($C$226&lt;&gt;"")*'Inputs'!$D$76:$D$81*(1+'Inputs'!$E$76:$E$81/100)^I231*(ABS('Inputs'!$F$76:$F$81-12*I231)-ABS(('Inputs'!$F$76:$F$81-12*I231)-12)+12)/2)</f>
      </c>
      <c r="L231">
        <f>IF(J231&gt;0,1,0)</f>
      </c>
      <c r="P231">
        <f>IF($C$233&lt;&gt;1,0,P230*(1+((1+$C$238)^(1/12)-1))^12-J230/12*(1+((1+$C$238)^(1/12)-1))*(((1+((1+$C$238)^(1/12)-1))^12-1)/((1+((1+$C$238)^(1/12)-1))-1)))</f>
      </c>
      <c r="Q231">
        <f>IF($C$233&lt;&gt;1,0,IFERROR((((1+($C$238+'Inputs'!$H$123/100))^(1/12)-1)-((1+$C$238)^(1/12)-1))*(P231*(((1+((1+$C$238)^(1/12)-1))^12-1)/((1+((1+$C$238)^(1/12)-1))-1))-J231/12/((1+((1+$C$238)^(1/12)-1))-1)*((1+((1+$C$238)^(1/12)-1))*(((1+((1+$C$238)^(1/12)-1))^12-1)/((1+((1+$C$238)^(1/12)-1))-1))-12)),0))</f>
      </c>
    </row>
    <row r="232" spans="2:17" x14ac:dyDescent="0.25">
      <c r="B232" t="s">
        <v>447</v>
      </c>
      <c r="C232">
        <f>IF('Inputs'!$G$104="",'Inputs'!$H$129/100,'Inputs'!$G$104/100)</f>
      </c>
      <c r="I232">
        <v>4</v>
      </c>
      <c r="J232">
        <f>IF(I232&lt;$C$230,MAX(0,12*$C$231*(1+$C$232)^I232-K232),0)</f>
      </c>
      <c r="K232">
        <f>SUMPRODUCT(('Inputs'!$G$76:$G$81=$C$226)*($C$226&lt;&gt;"")*'Inputs'!$D$76:$D$81*(1+'Inputs'!$E$76:$E$81/100)^I232*(ABS('Inputs'!$F$76:$F$81-12*I232)-ABS(('Inputs'!$F$76:$F$81-12*I232)-12)+12)/2)</f>
      </c>
      <c r="L232">
        <f>IF(J232&gt;0,1,0)</f>
      </c>
      <c r="P232">
        <f>IF($C$233&lt;&gt;1,0,P231*(1+((1+$C$238)^(1/12)-1))^12-J231/12*(1+((1+$C$238)^(1/12)-1))*(((1+((1+$C$238)^(1/12)-1))^12-1)/((1+((1+$C$238)^(1/12)-1))-1)))</f>
      </c>
      <c r="Q232">
        <f>IF($C$233&lt;&gt;1,0,IFERROR((((1+($C$238+'Inputs'!$H$123/100))^(1/12)-1)-((1+$C$238)^(1/12)-1))*(P232*(((1+((1+$C$238)^(1/12)-1))^12-1)/((1+((1+$C$238)^(1/12)-1))-1))-J232/12/((1+((1+$C$238)^(1/12)-1))-1)*((1+((1+$C$238)^(1/12)-1))*(((1+((1+$C$238)^(1/12)-1))^12-1)/((1+((1+$C$238)^(1/12)-1))-1))-12)),0))</f>
      </c>
    </row>
    <row r="233" spans="2:17" x14ac:dyDescent="0.25">
      <c r="B233" t="s">
        <v>448</v>
      </c>
      <c r="C233">
        <f>IF('Inputs'!$H$104="Yes",1,0)</f>
      </c>
      <c r="I233">
        <v>5</v>
      </c>
      <c r="J233">
        <f>IF(I233&lt;$C$230,MAX(0,12*$C$231*(1+$C$232)^I233-K233),0)</f>
      </c>
      <c r="K233">
        <f>SUMPRODUCT(('Inputs'!$G$76:$G$81=$C$226)*($C$226&lt;&gt;"")*'Inputs'!$D$76:$D$81*(1+'Inputs'!$E$76:$E$81/100)^I233*(ABS('Inputs'!$F$76:$F$81-12*I233)-ABS(('Inputs'!$F$76:$F$81-12*I233)-12)+12)/2)</f>
      </c>
      <c r="L233">
        <f>IF(J233&gt;0,1,0)</f>
      </c>
      <c r="P233">
        <f>IF($C$233&lt;&gt;1,0,P232*(1+((1+$C$238)^(1/12)-1))^12-J232/12*(1+((1+$C$238)^(1/12)-1))*(((1+((1+$C$238)^(1/12)-1))^12-1)/((1+((1+$C$238)^(1/12)-1))-1)))</f>
      </c>
      <c r="Q233">
        <f>IF($C$233&lt;&gt;1,0,IFERROR((((1+($C$238+'Inputs'!$H$123/100))^(1/12)-1)-((1+$C$238)^(1/12)-1))*(P233*(((1+((1+$C$238)^(1/12)-1))^12-1)/((1+((1+$C$238)^(1/12)-1))-1))-J233/12/((1+((1+$C$238)^(1/12)-1))-1)*((1+((1+$C$238)^(1/12)-1))*(((1+((1+$C$238)^(1/12)-1))^12-1)/((1+((1+$C$238)^(1/12)-1))-1))-12)),0))</f>
      </c>
    </row>
    <row r="234" spans="2:17" x14ac:dyDescent="0.25">
      <c r="B234" t="s">
        <v>449</v>
      </c>
      <c r="C234">
        <f>IF($C$226="",0,N('Inputs'!$J$104))</f>
      </c>
      <c r="I234">
        <v>6</v>
      </c>
      <c r="J234">
        <f>IF(I234&lt;$C$230,MAX(0,12*$C$231*(1+$C$232)^I234-K234),0)</f>
      </c>
      <c r="K234">
        <f>SUMPRODUCT(('Inputs'!$G$76:$G$81=$C$226)*($C$226&lt;&gt;"")*'Inputs'!$D$76:$D$81*(1+'Inputs'!$E$76:$E$81/100)^I234*(ABS('Inputs'!$F$76:$F$81-12*I234)-ABS(('Inputs'!$F$76:$F$81-12*I234)-12)+12)/2)</f>
      </c>
      <c r="L234">
        <f>IF(J234&gt;0,1,0)</f>
      </c>
      <c r="P234">
        <f>IF($C$233&lt;&gt;1,0,P233*(1+((1+$C$238)^(1/12)-1))^12-J233/12*(1+((1+$C$238)^(1/12)-1))*(((1+((1+$C$238)^(1/12)-1))^12-1)/((1+((1+$C$238)^(1/12)-1))-1)))</f>
      </c>
      <c r="Q234">
        <f>IF($C$233&lt;&gt;1,0,IFERROR((((1+($C$238+'Inputs'!$H$123/100))^(1/12)-1)-((1+$C$238)^(1/12)-1))*(P234*(((1+((1+$C$238)^(1/12)-1))^12-1)/((1+((1+$C$238)^(1/12)-1))-1))-J234/12/((1+((1+$C$238)^(1/12)-1))-1)*((1+((1+$C$238)^(1/12)-1))*(((1+((1+$C$238)^(1/12)-1))^12-1)/((1+((1+$C$238)^(1/12)-1))-1))-12)),0))</f>
      </c>
    </row>
    <row r="235" spans="2:17" x14ac:dyDescent="0.25">
      <c r="B235" t="s">
        <v>450</v>
      </c>
      <c r="C235">
        <f>ROUND(Q228,2)</f>
      </c>
      <c r="I235">
        <v>7</v>
      </c>
      <c r="J235">
        <f>IF(I235&lt;$C$230,MAX(0,12*$C$231*(1+$C$232)^I235-K235),0)</f>
      </c>
      <c r="K235">
        <f>SUMPRODUCT(('Inputs'!$G$76:$G$81=$C$226)*($C$226&lt;&gt;"")*'Inputs'!$D$76:$D$81*(1+'Inputs'!$E$76:$E$81/100)^I235*(ABS('Inputs'!$F$76:$F$81-12*I235)-ABS(('Inputs'!$F$76:$F$81-12*I235)-12)+12)/2)</f>
      </c>
      <c r="L235">
        <f>IF(J235&gt;0,1,0)</f>
      </c>
      <c r="P235">
        <f>IF($C$233&lt;&gt;1,0,P234*(1+((1+$C$238)^(1/12)-1))^12-J234/12*(1+((1+$C$238)^(1/12)-1))*(((1+((1+$C$238)^(1/12)-1))^12-1)/((1+((1+$C$238)^(1/12)-1))-1)))</f>
      </c>
      <c r="Q235">
        <f>IF($C$233&lt;&gt;1,0,IFERROR((((1+($C$238+'Inputs'!$H$123/100))^(1/12)-1)-((1+$C$238)^(1/12)-1))*(P235*(((1+((1+$C$238)^(1/12)-1))^12-1)/((1+((1+$C$238)^(1/12)-1))-1))-J235/12/((1+((1+$C$238)^(1/12)-1))-1)*((1+((1+$C$238)^(1/12)-1))*(((1+((1+$C$238)^(1/12)-1))^12-1)/((1+((1+$C$238)^(1/12)-1))-1))-12)),0))</f>
      </c>
    </row>
    <row r="236" spans="2:17" x14ac:dyDescent="0.25">
      <c r="B236" t="s">
        <v>451</v>
      </c>
      <c r="C236">
        <f>ROUND(SUM($Q$228:$Q$277),2)</f>
      </c>
      <c r="I236">
        <v>8</v>
      </c>
      <c r="J236">
        <f>IF(I236&lt;$C$230,MAX(0,12*$C$231*(1+$C$232)^I236-K236),0)</f>
      </c>
      <c r="K236">
        <f>SUMPRODUCT(('Inputs'!$G$76:$G$81=$C$226)*($C$226&lt;&gt;"")*'Inputs'!$D$76:$D$81*(1+'Inputs'!$E$76:$E$81/100)^I236*(ABS('Inputs'!$F$76:$F$81-12*I236)-ABS(('Inputs'!$F$76:$F$81-12*I236)-12)+12)/2)</f>
      </c>
      <c r="L236">
        <f>IF(J236&gt;0,1,0)</f>
      </c>
      <c r="P236">
        <f>IF($C$233&lt;&gt;1,0,P235*(1+((1+$C$238)^(1/12)-1))^12-J235/12*(1+((1+$C$238)^(1/12)-1))*(((1+((1+$C$238)^(1/12)-1))^12-1)/((1+((1+$C$238)^(1/12)-1))-1)))</f>
      </c>
      <c r="Q236">
        <f>IF($C$233&lt;&gt;1,0,IFERROR((((1+($C$238+'Inputs'!$H$123/100))^(1/12)-1)-((1+$C$238)^(1/12)-1))*(P236*(((1+((1+$C$238)^(1/12)-1))^12-1)/((1+((1+$C$238)^(1/12)-1))-1))-J236/12/((1+((1+$C$238)^(1/12)-1))-1)*((1+((1+$C$238)^(1/12)-1))*(((1+((1+$C$238)^(1/12)-1))^12-1)/((1+((1+$C$238)^(1/12)-1))-1))-12)),0))</f>
      </c>
    </row>
    <row r="237" spans="2:17" x14ac:dyDescent="0.25">
      <c r="B237" t="s">
        <v>452</v>
      </c>
      <c r="C237">
        <f>IF($C$233&lt;&gt;1,0,ROUND(IF($C$238=0,SUM($J$228:$J$277),(1-(1+$C$238)^-1)/(1-(1+$C$238)^(-1/12))/12*SUMPRODUCT($J$228:$J$277,(1+$C$238)^(-$I$228:$I$277)))-IF(($C$238+'Inputs'!$H$123/100)=0,SUM($J$228:$J$277),(1-(1+($C$238+'Inputs'!$H$123/100))^-1)/(1-(1+($C$238+'Inputs'!$H$123/100))^(-1/12))/12*SUMPRODUCT($J$228:$J$277,(1+($C$238+'Inputs'!$H$123/100))^(-$I$228:$I$277))),2))</f>
      </c>
      <c r="I237">
        <v>9</v>
      </c>
      <c r="J237">
        <f>IF(I237&lt;$C$230,MAX(0,12*$C$231*(1+$C$232)^I237-K237),0)</f>
      </c>
      <c r="K237">
        <f>SUMPRODUCT(('Inputs'!$G$76:$G$81=$C$226)*($C$226&lt;&gt;"")*'Inputs'!$D$76:$D$81*(1+'Inputs'!$E$76:$E$81/100)^I237*(ABS('Inputs'!$F$76:$F$81-12*I237)-ABS(('Inputs'!$F$76:$F$81-12*I237)-12)+12)/2)</f>
      </c>
      <c r="L237">
        <f>IF(J237&gt;0,1,0)</f>
      </c>
      <c r="P237">
        <f>IF($C$233&lt;&gt;1,0,P236*(1+((1+$C$238)^(1/12)-1))^12-J236/12*(1+((1+$C$238)^(1/12)-1))*(((1+((1+$C$238)^(1/12)-1))^12-1)/((1+((1+$C$238)^(1/12)-1))-1)))</f>
      </c>
      <c r="Q237">
        <f>IF($C$233&lt;&gt;1,0,IFERROR((((1+($C$238+'Inputs'!$H$123/100))^(1/12)-1)-((1+$C$238)^(1/12)-1))*(P237*(((1+((1+$C$238)^(1/12)-1))^12-1)/((1+((1+$C$238)^(1/12)-1))-1))-J237/12/((1+((1+$C$238)^(1/12)-1))-1)*((1+((1+$C$238)^(1/12)-1))*(((1+((1+$C$238)^(1/12)-1))^12-1)/((1+((1+$C$238)^(1/12)-1))-1))-12)),0))</f>
      </c>
    </row>
    <row r="238" spans="2:17" x14ac:dyDescent="0.25">
      <c r="B238" t="s">
        <v>453</v>
      </c>
      <c r="C238">
        <f>IF($C$233=1,'Needs calc'!$C$91,0)</f>
      </c>
      <c r="I238">
        <v>10</v>
      </c>
      <c r="J238">
        <f>IF(I238&lt;$C$230,MAX(0,12*$C$231*(1+$C$232)^I238-K238),0)</f>
      </c>
      <c r="K238">
        <f>SUMPRODUCT(('Inputs'!$G$76:$G$81=$C$226)*($C$226&lt;&gt;"")*'Inputs'!$D$76:$D$81*(1+'Inputs'!$E$76:$E$81/100)^I238*(ABS('Inputs'!$F$76:$F$81-12*I238)-ABS(('Inputs'!$F$76:$F$81-12*I238)-12)+12)/2)</f>
      </c>
      <c r="L238">
        <f>IF(J238&gt;0,1,0)</f>
      </c>
      <c r="P238">
        <f>IF($C$233&lt;&gt;1,0,P237*(1+((1+$C$238)^(1/12)-1))^12-J237/12*(1+((1+$C$238)^(1/12)-1))*(((1+((1+$C$238)^(1/12)-1))^12-1)/((1+((1+$C$238)^(1/12)-1))-1)))</f>
      </c>
      <c r="Q238">
        <f>IF($C$233&lt;&gt;1,0,IFERROR((((1+($C$238+'Inputs'!$H$123/100))^(1/12)-1)-((1+$C$238)^(1/12)-1))*(P238*(((1+((1+$C$238)^(1/12)-1))^12-1)/((1+((1+$C$238)^(1/12)-1))-1))-J238/12/((1+((1+$C$238)^(1/12)-1))-1)*((1+((1+$C$238)^(1/12)-1))*(((1+((1+$C$238)^(1/12)-1))^12-1)/((1+((1+$C$238)^(1/12)-1))-1))-12)),0))</f>
      </c>
    </row>
    <row r="239" spans="2:17" x14ac:dyDescent="0.25">
      <c r="B239" t="s">
        <v>454</v>
      </c>
      <c r="C239">
        <f>SUMPRODUCT(('Inputs'!$G$76:$G$81=$C$226)*($C$226&lt;&gt;"")*('Inputs'!$F$76:$F$81&gt;0)*'Inputs'!$D$76:$D$81)</f>
      </c>
      <c r="I239">
        <v>11</v>
      </c>
      <c r="J239">
        <f>IF(I239&lt;$C$230,MAX(0,12*$C$231*(1+$C$232)^I239-K239),0)</f>
      </c>
      <c r="K239">
        <f>SUMPRODUCT(('Inputs'!$G$76:$G$81=$C$226)*($C$226&lt;&gt;"")*'Inputs'!$D$76:$D$81*(1+'Inputs'!$E$76:$E$81/100)^I239*(ABS('Inputs'!$F$76:$F$81-12*I239)-ABS(('Inputs'!$F$76:$F$81-12*I239)-12)+12)/2)</f>
      </c>
      <c r="L239">
        <f>IF(J239&gt;0,1,0)</f>
      </c>
      <c r="P239">
        <f>IF($C$233&lt;&gt;1,0,P238*(1+((1+$C$238)^(1/12)-1))^12-J238/12*(1+((1+$C$238)^(1/12)-1))*(((1+((1+$C$238)^(1/12)-1))^12-1)/((1+((1+$C$238)^(1/12)-1))-1)))</f>
      </c>
      <c r="Q239">
        <f>IF($C$233&lt;&gt;1,0,IFERROR((((1+($C$238+'Inputs'!$H$123/100))^(1/12)-1)-((1+$C$238)^(1/12)-1))*(P239*(((1+((1+$C$238)^(1/12)-1))^12-1)/((1+((1+$C$238)^(1/12)-1))-1))-J239/12/((1+((1+$C$238)^(1/12)-1))-1)*((1+((1+$C$238)^(1/12)-1))*(((1+((1+$C$238)^(1/12)-1))^12-1)/((1+((1+$C$238)^(1/12)-1))-1))-12)),0))</f>
      </c>
    </row>
    <row r="240" spans="2:17" x14ac:dyDescent="0.25">
      <c r="B240" t="s">
        <v>455</v>
      </c>
      <c r="C240">
        <f>IF($C$230&gt;0,$C$231-J228/12,0)</f>
      </c>
      <c r="I240">
        <v>12</v>
      </c>
      <c r="J240">
        <f>IF(I240&lt;$C$230,MAX(0,12*$C$231*(1+$C$232)^I240-K240),0)</f>
      </c>
      <c r="K240">
        <f>SUMPRODUCT(('Inputs'!$G$76:$G$81=$C$226)*($C$226&lt;&gt;"")*'Inputs'!$D$76:$D$81*(1+'Inputs'!$E$76:$E$81/100)^I240*(ABS('Inputs'!$F$76:$F$81-12*I240)-ABS(('Inputs'!$F$76:$F$81-12*I240)-12)+12)/2)</f>
      </c>
      <c r="L240">
        <f>IF(J240&gt;0,1,0)</f>
      </c>
      <c r="P240">
        <f>IF($C$233&lt;&gt;1,0,P239*(1+((1+$C$238)^(1/12)-1))^12-J239/12*(1+((1+$C$238)^(1/12)-1))*(((1+((1+$C$238)^(1/12)-1))^12-1)/((1+((1+$C$238)^(1/12)-1))-1)))</f>
      </c>
      <c r="Q240">
        <f>IF($C$233&lt;&gt;1,0,IFERROR((((1+($C$238+'Inputs'!$H$123/100))^(1/12)-1)-((1+$C$238)^(1/12)-1))*(P240*(((1+((1+$C$238)^(1/12)-1))^12-1)/((1+((1+$C$238)^(1/12)-1))-1))-J240/12/((1+((1+$C$238)^(1/12)-1))-1)*((1+((1+$C$238)^(1/12)-1))*(((1+((1+$C$238)^(1/12)-1))^12-1)/((1+((1+$C$238)^(1/12)-1))-1))-12)),0))</f>
      </c>
    </row>
    <row r="241" spans="2:17" x14ac:dyDescent="0.25">
      <c r="B241" t="s">
        <v>456</v>
      </c>
      <c r="C241">
        <f>SUMPRODUCT(MAX(('Inputs'!$G$76:$G$81=$C$226)*($C$226&lt;&gt;"")*'Inputs'!$F$76:$F$81))</f>
      </c>
      <c r="I241">
        <v>13</v>
      </c>
      <c r="J241">
        <f>IF(I241&lt;$C$230,MAX(0,12*$C$231*(1+$C$232)^I241-K241),0)</f>
      </c>
      <c r="K241">
        <f>SUMPRODUCT(('Inputs'!$G$76:$G$81=$C$226)*($C$226&lt;&gt;"")*'Inputs'!$D$76:$D$81*(1+'Inputs'!$E$76:$E$81/100)^I241*(ABS('Inputs'!$F$76:$F$81-12*I241)-ABS(('Inputs'!$F$76:$F$81-12*I241)-12)+12)/2)</f>
      </c>
      <c r="L241">
        <f>IF(J241&gt;0,1,0)</f>
      </c>
      <c r="P241">
        <f>IF($C$233&lt;&gt;1,0,P240*(1+((1+$C$238)^(1/12)-1))^12-J240/12*(1+((1+$C$238)^(1/12)-1))*(((1+((1+$C$238)^(1/12)-1))^12-1)/((1+((1+$C$238)^(1/12)-1))-1)))</f>
      </c>
      <c r="Q241">
        <f>IF($C$233&lt;&gt;1,0,IFERROR((((1+($C$238+'Inputs'!$H$123/100))^(1/12)-1)-((1+$C$238)^(1/12)-1))*(P241*(((1+((1+$C$238)^(1/12)-1))^12-1)/((1+((1+$C$238)^(1/12)-1))-1))-J241/12/((1+((1+$C$238)^(1/12)-1))-1)*((1+((1+$C$238)^(1/12)-1))*(((1+((1+$C$238)^(1/12)-1))^12-1)/((1+((1+$C$238)^(1/12)-1))-1))-12)),0))</f>
      </c>
    </row>
    <row r="242" spans="2:17" x14ac:dyDescent="0.25">
      <c r="B242" t="s">
        <v>457</v>
      </c>
      <c r="C242">
        <f>SUM($J$228:$J$277)</f>
      </c>
      <c r="I242">
        <v>14</v>
      </c>
      <c r="J242">
        <f>IF(I242&lt;$C$230,MAX(0,12*$C$231*(1+$C$232)^I242-K242),0)</f>
      </c>
      <c r="K242">
        <f>SUMPRODUCT(('Inputs'!$G$76:$G$81=$C$226)*($C$226&lt;&gt;"")*'Inputs'!$D$76:$D$81*(1+'Inputs'!$E$76:$E$81/100)^I242*(ABS('Inputs'!$F$76:$F$81-12*I242)-ABS(('Inputs'!$F$76:$F$81-12*I242)-12)+12)/2)</f>
      </c>
      <c r="L242">
        <f>IF(J242&gt;0,1,0)</f>
      </c>
      <c r="P242">
        <f>IF($C$233&lt;&gt;1,0,P241*(1+((1+$C$238)^(1/12)-1))^12-J241/12*(1+((1+$C$238)^(1/12)-1))*(((1+((1+$C$238)^(1/12)-1))^12-1)/((1+((1+$C$238)^(1/12)-1))-1)))</f>
      </c>
      <c r="Q242">
        <f>IF($C$233&lt;&gt;1,0,IFERROR((((1+($C$238+'Inputs'!$H$123/100))^(1/12)-1)-((1+$C$238)^(1/12)-1))*(P242*(((1+((1+$C$238)^(1/12)-1))^12-1)/((1+((1+$C$238)^(1/12)-1))-1))-J242/12/((1+((1+$C$238)^(1/12)-1))-1)*((1+((1+$C$238)^(1/12)-1))*(((1+((1+$C$238)^(1/12)-1))^12-1)/((1+((1+$C$238)^(1/12)-1))-1))-12)),0))</f>
      </c>
    </row>
    <row r="243" spans="2:17" x14ac:dyDescent="0.25">
      <c r="B243" t="s">
        <v>458</v>
      </c>
      <c r="C243">
        <f>IF('Needs calc'!$C$93&gt;0,IF('Inputs'!$O$104*SUM('Inputs'!$U$100:$U$105)&gt;0,IF('Needs calc'!$C$88&gt;='Needs calc'!$C$96,'Inputs'!$B$104&amp;IF(SUM('Inputs'!$U$100:$U$105)=1," and "&amp;IF('Inputs'!$U$100=1,'Inputs'!$B$100,"")&amp;IF('Inputs'!$U$101=1,'Inputs'!$B$101,"")&amp;IF('Inputs'!$U$102=1,'Inputs'!$B$102,"")&amp;IF('Inputs'!$U$103=1,'Inputs'!$B$103,"")&amp;IF('Inputs'!$U$104=1,'Inputs'!$B$104,"")&amp;IF('Inputs'!$U$105=1,'Inputs'!$B$105,"")," and the children")&amp;" would have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you want for them"&amp;IF('Needs calc'!$C$96&gt;0,", after the R "&amp;FIXED(ROUND('Needs calc'!$C$96,-3),0)&amp;" once-off","")&amp;". ",'Inputs'!$B$104&amp;IF(SUM('Inputs'!$U$100:$U$105)=1," and "&amp;IF('Inputs'!$U$100=1,'Inputs'!$B$100,"")&amp;IF('Inputs'!$U$101=1,'Inputs'!$B$101,"")&amp;IF('Inputs'!$U$102=1,'Inputs'!$B$102,"")&amp;IF('Inputs'!$U$103=1,'Inputs'!$B$103,"")&amp;IF('Inputs'!$U$104=1,'Inputs'!$B$104,"")&amp;IF('Inputs'!$U$105=1,'Inputs'!$B$105,"")," and the children")&amp;" would have "&amp;IF('Needs calc'!$C$88&lt;=0,"nothing","about R "&amp;FIXED(ROUND('Needs calc'!$C$88,-3),0))&amp;" of the R "&amp;FIXED(ROUND('Needs calc'!$C$96,-3),0)&amp;" once-off you want for them, and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"),IF(N('Inputs'!$E$104)&gt;0,IF('Needs years'!$C$239&lt;=0,IF('Needs years'!$C$234&lt;=0,'Inputs'!$B$104&amp;" would have about R "&amp;FIXED(ROUND('Needs calc'!$C$94,-2),0)&amp;" a month of the R "&amp;FIXED(ROUND('Inputs'!$E$104,-2),0)&amp;" you want. ",IF('Needs calc'!$C$88&gt;='Needs years'!$C$234,'Inputs'!$B$104&amp;" would have about R "&amp;FIXED(ROUND('Needs calc'!$C$94,-2),0)&amp;" a month of the R "&amp;FIXED(ROUND('Inputs'!$E$104,-2),0)&amp;" you want,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")),IF('Needs years'!$C$242&lt;=0,IF('Needs years'!$C$234&gt;0,'Inputs'!$B$104&amp;"'s death income covers the R "&amp;FIXED(ROUND('Inputs'!$E$104,-2),0)&amp;" a month you want"&amp;", but "&amp;'Inputs'!$B$104&amp;" would have "&amp;IF('Needs calc'!$C$88&lt;=0,"nothing","about R "&amp;FIXED(ROUND('Needs calc'!$C$88,-3),0))&amp;" of the R "&amp;FIXED(ROUND('Needs years'!$C$234,-3),0)&amp;" once-off you want for them. ",'Inputs'!$B$104&amp;"'s death income covers the R "&amp;FIXED(ROUND('Inputs'!$E$104,-2),0)&amp;" a month you want"&amp;", but the estate duty on it, about R "&amp;FIXED(ROUND('Needs years'!$C$245,-3),0)&amp;", leaves "&amp;'Inputs'!$B$104&amp;" short. "),IF('Needs years'!$J$228&lt;=0,'Inputs'!$B$104&amp;"'s death income covers the R "&amp;FIXED(ROUND('Inputs'!$E$104,-2),0)&amp;" a month you want"&amp;" for "&amp;IF('Needs years'!$C$244=1,"the first year","the first "&amp;'Needs years'!$C$244&amp;" years")&amp;"; after that "&amp;'Inputs'!$B$104&amp;" would be short"&amp;IF(AND('Needs years'!$C$234&gt;0,'Needs calc'!$C$88&lt;'Needs years'!$C$234),", and would have "&amp;IF('Needs calc'!$C$88&lt;=0,"nothing","about R "&amp;FIXED(ROUND('Needs calc'!$C$88,-3),0))&amp;" of the R "&amp;FIXED(ROUND('Needs years'!$C$234,-3),0)&amp;" once-off","")&amp;". ",IF('Needs years'!$C$234&lt;=0,'Inputs'!$B$104&amp;" would have about R "&amp;FIXED(ROUND('Needs calc'!$C$94,-2),0)&amp;" a month of the R "&amp;FIXED(ROUND('Inputs'!$E$104,-2),0)&amp;" you want, part of it from the death income, and less once it stops. ",IF('Needs calc'!$C$88&gt;='Needs years'!$C$234,'Inputs'!$B$104&amp;" would have about R "&amp;FIXED(ROUND('Needs calc'!$C$94,-2),0)&amp;" a month of the R "&amp;FIXED(ROUND('Inputs'!$E$104,-2),0)&amp;" you want, part of it from the death income, and less once it stops,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part of it from the death income, and less once it stops. "))))),'Inputs'!$B$104&amp;" would have "&amp;IF('Needs calc'!$C$88&lt;=0,"nothing","about R "&amp;FIXED(ROUND('Needs calc'!$C$88,-3),0))&amp;" of the R "&amp;FIXED(ROUND('Needs years'!$C$234,-3),0)&amp;" you want to leave them. ")),"")</f>
      </c>
      <c r="I243">
        <v>15</v>
      </c>
      <c r="J243">
        <f>IF(I243&lt;$C$230,MAX(0,12*$C$231*(1+$C$232)^I243-K243),0)</f>
      </c>
      <c r="K243">
        <f>SUMPRODUCT(('Inputs'!$G$76:$G$81=$C$226)*($C$226&lt;&gt;"")*'Inputs'!$D$76:$D$81*(1+'Inputs'!$E$76:$E$81/100)^I243*(ABS('Inputs'!$F$76:$F$81-12*I243)-ABS(('Inputs'!$F$76:$F$81-12*I243)-12)+12)/2)</f>
      </c>
      <c r="L243">
        <f>IF(J243&gt;0,1,0)</f>
      </c>
      <c r="P243">
        <f>IF($C$233&lt;&gt;1,0,P242*(1+((1+$C$238)^(1/12)-1))^12-J242/12*(1+((1+$C$238)^(1/12)-1))*(((1+((1+$C$238)^(1/12)-1))^12-1)/((1+((1+$C$238)^(1/12)-1))-1)))</f>
      </c>
      <c r="Q243">
        <f>IF($C$233&lt;&gt;1,0,IFERROR((((1+($C$238+'Inputs'!$H$123/100))^(1/12)-1)-((1+$C$238)^(1/12)-1))*(P243*(((1+((1+$C$238)^(1/12)-1))^12-1)/((1+((1+$C$238)^(1/12)-1))-1))-J243/12/((1+((1+$C$238)^(1/12)-1))-1)*((1+((1+$C$238)^(1/12)-1))*(((1+((1+$C$238)^(1/12)-1))^12-1)/((1+((1+$C$238)^(1/12)-1))-1))-12)),0))</f>
      </c>
    </row>
    <row r="244" spans="2:17" x14ac:dyDescent="0.25">
      <c r="B244" t="s">
        <v>459</v>
      </c>
      <c r="C244">
        <f>IFERROR(MATCH(1,$L$228:$L$277,0)-1,$C$230)</f>
      </c>
      <c r="I244">
        <v>16</v>
      </c>
      <c r="J244">
        <f>IF(I244&lt;$C$230,MAX(0,12*$C$231*(1+$C$232)^I244-K244),0)</f>
      </c>
      <c r="K244">
        <f>SUMPRODUCT(('Inputs'!$G$76:$G$81=$C$226)*($C$226&lt;&gt;"")*'Inputs'!$D$76:$D$81*(1+'Inputs'!$E$76:$E$81/100)^I244*(ABS('Inputs'!$F$76:$F$81-12*I244)-ABS(('Inputs'!$F$76:$F$81-12*I244)-12)+12)/2)</f>
      </c>
      <c r="L244">
        <f>IF(J244&gt;0,1,0)</f>
      </c>
      <c r="P244">
        <f>IF($C$233&lt;&gt;1,0,P243*(1+((1+$C$238)^(1/12)-1))^12-J243/12*(1+((1+$C$238)^(1/12)-1))*(((1+((1+$C$238)^(1/12)-1))^12-1)/((1+((1+$C$238)^(1/12)-1))-1)))</f>
      </c>
      <c r="Q244">
        <f>IF($C$233&lt;&gt;1,0,IFERROR((((1+($C$238+'Inputs'!$H$123/100))^(1/12)-1)-((1+$C$238)^(1/12)-1))*(P244*(((1+((1+$C$238)^(1/12)-1))^12-1)/((1+((1+$C$238)^(1/12)-1))-1))-J244/12/((1+((1+$C$238)^(1/12)-1))-1)*((1+((1+$C$238)^(1/12)-1))*(((1+((1+$C$238)^(1/12)-1))^12-1)/((1+((1+$C$238)^(1/12)-1))-1))-12)),0))</f>
      </c>
    </row>
    <row r="245" spans="2:17" x14ac:dyDescent="0.25">
      <c r="B245" t="s">
        <v>460</v>
      </c>
      <c r="C245">
        <f>SUMPRODUCT(('Inputs'!$G$76:$G$81=$C$226)*($C$226&lt;&gt;"")*'Inputs'!$P$76:$P$81)</f>
      </c>
      <c r="I245">
        <v>17</v>
      </c>
      <c r="J245">
        <f>IF(I245&lt;$C$230,MAX(0,12*$C$231*(1+$C$232)^I245-K245),0)</f>
      </c>
      <c r="K245">
        <f>SUMPRODUCT(('Inputs'!$G$76:$G$81=$C$226)*($C$226&lt;&gt;"")*'Inputs'!$D$76:$D$81*(1+'Inputs'!$E$76:$E$81/100)^I245*(ABS('Inputs'!$F$76:$F$81-12*I245)-ABS(('Inputs'!$F$76:$F$81-12*I245)-12)+12)/2)</f>
      </c>
      <c r="L245">
        <f>IF(J245&gt;0,1,0)</f>
      </c>
      <c r="P245">
        <f>IF($C$233&lt;&gt;1,0,P244*(1+((1+$C$238)^(1/12)-1))^12-J244/12*(1+((1+$C$238)^(1/12)-1))*(((1+((1+$C$238)^(1/12)-1))^12-1)/((1+((1+$C$238)^(1/12)-1))-1)))</f>
      </c>
      <c r="Q245">
        <f>IF($C$233&lt;&gt;1,0,IFERROR((((1+($C$238+'Inputs'!$H$123/100))^(1/12)-1)-((1+$C$238)^(1/12)-1))*(P245*(((1+((1+$C$238)^(1/12)-1))^12-1)/((1+((1+$C$238)^(1/12)-1))-1))-J245/12/((1+((1+$C$238)^(1/12)-1))-1)*((1+((1+$C$238)^(1/12)-1))*(((1+((1+$C$238)^(1/12)-1))^12-1)/((1+((1+$C$238)^(1/12)-1))-1))-12)),0))</f>
      </c>
    </row>
    <row r="246" spans="9:17" x14ac:dyDescent="0.25">
      <c r="I246">
        <v>18</v>
      </c>
      <c r="J246">
        <f>IF(I246&lt;$C$230,MAX(0,12*$C$231*(1+$C$232)^I246-K246),0)</f>
      </c>
      <c r="K246">
        <f>SUMPRODUCT(('Inputs'!$G$76:$G$81=$C$226)*($C$226&lt;&gt;"")*'Inputs'!$D$76:$D$81*(1+'Inputs'!$E$76:$E$81/100)^I246*(ABS('Inputs'!$F$76:$F$81-12*I246)-ABS(('Inputs'!$F$76:$F$81-12*I246)-12)+12)/2)</f>
      </c>
      <c r="L246">
        <f>IF(J246&gt;0,1,0)</f>
      </c>
      <c r="P246">
        <f>IF($C$233&lt;&gt;1,0,P245*(1+((1+$C$238)^(1/12)-1))^12-J245/12*(1+((1+$C$238)^(1/12)-1))*(((1+((1+$C$238)^(1/12)-1))^12-1)/((1+((1+$C$238)^(1/12)-1))-1)))</f>
      </c>
      <c r="Q246">
        <f>IF($C$233&lt;&gt;1,0,IFERROR((((1+($C$238+'Inputs'!$H$123/100))^(1/12)-1)-((1+$C$238)^(1/12)-1))*(P246*(((1+((1+$C$238)^(1/12)-1))^12-1)/((1+((1+$C$238)^(1/12)-1))-1))-J246/12/((1+((1+$C$238)^(1/12)-1))-1)*((1+((1+$C$238)^(1/12)-1))*(((1+((1+$C$238)^(1/12)-1))^12-1)/((1+((1+$C$238)^(1/12)-1))-1))-12)),0))</f>
      </c>
    </row>
    <row r="247" spans="9:17" x14ac:dyDescent="0.25">
      <c r="I247">
        <v>19</v>
      </c>
      <c r="J247">
        <f>IF(I247&lt;$C$230,MAX(0,12*$C$231*(1+$C$232)^I247-K247),0)</f>
      </c>
      <c r="K247">
        <f>SUMPRODUCT(('Inputs'!$G$76:$G$81=$C$226)*($C$226&lt;&gt;"")*'Inputs'!$D$76:$D$81*(1+'Inputs'!$E$76:$E$81/100)^I247*(ABS('Inputs'!$F$76:$F$81-12*I247)-ABS(('Inputs'!$F$76:$F$81-12*I247)-12)+12)/2)</f>
      </c>
      <c r="L247">
        <f>IF(J247&gt;0,1,0)</f>
      </c>
      <c r="P247">
        <f>IF($C$233&lt;&gt;1,0,P246*(1+((1+$C$238)^(1/12)-1))^12-J246/12*(1+((1+$C$238)^(1/12)-1))*(((1+((1+$C$238)^(1/12)-1))^12-1)/((1+((1+$C$238)^(1/12)-1))-1)))</f>
      </c>
      <c r="Q247">
        <f>IF($C$233&lt;&gt;1,0,IFERROR((((1+($C$238+'Inputs'!$H$123/100))^(1/12)-1)-((1+$C$238)^(1/12)-1))*(P247*(((1+((1+$C$238)^(1/12)-1))^12-1)/((1+((1+$C$238)^(1/12)-1))-1))-J247/12/((1+((1+$C$238)^(1/12)-1))-1)*((1+((1+$C$238)^(1/12)-1))*(((1+((1+$C$238)^(1/12)-1))^12-1)/((1+((1+$C$238)^(1/12)-1))-1))-12)),0))</f>
      </c>
    </row>
    <row r="248" spans="9:17" x14ac:dyDescent="0.25">
      <c r="I248">
        <v>20</v>
      </c>
      <c r="J248">
        <f>IF(I248&lt;$C$230,MAX(0,12*$C$231*(1+$C$232)^I248-K248),0)</f>
      </c>
      <c r="K248">
        <f>SUMPRODUCT(('Inputs'!$G$76:$G$81=$C$226)*($C$226&lt;&gt;"")*'Inputs'!$D$76:$D$81*(1+'Inputs'!$E$76:$E$81/100)^I248*(ABS('Inputs'!$F$76:$F$81-12*I248)-ABS(('Inputs'!$F$76:$F$81-12*I248)-12)+12)/2)</f>
      </c>
      <c r="L248">
        <f>IF(J248&gt;0,1,0)</f>
      </c>
      <c r="P248">
        <f>IF($C$233&lt;&gt;1,0,P247*(1+((1+$C$238)^(1/12)-1))^12-J247/12*(1+((1+$C$238)^(1/12)-1))*(((1+((1+$C$238)^(1/12)-1))^12-1)/((1+((1+$C$238)^(1/12)-1))-1)))</f>
      </c>
      <c r="Q248">
        <f>IF($C$233&lt;&gt;1,0,IFERROR((((1+($C$238+'Inputs'!$H$123/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f>
      </c>
      <c r="L249">
        <f>IF(J249&gt;0,1,0)</f>
      </c>
      <c r="P249">
        <f>IF($C$233&lt;&gt;1,0,P248*(1+((1+$C$238)^(1/12)-1))^12-J248/12*(1+((1+$C$238)^(1/12)-1))*(((1+((1+$C$238)^(1/12)-1))^12-1)/((1+((1+$C$238)^(1/12)-1))-1)))</f>
      </c>
      <c r="Q249">
        <f>IF($C$233&lt;&gt;1,0,IFERROR((((1+($C$238+'Inputs'!$H$123/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f>
      </c>
      <c r="L250">
        <f>IF(J250&gt;0,1,0)</f>
      </c>
      <c r="P250">
        <f>IF($C$233&lt;&gt;1,0,P249*(1+((1+$C$238)^(1/12)-1))^12-J249/12*(1+((1+$C$238)^(1/12)-1))*(((1+((1+$C$238)^(1/12)-1))^12-1)/((1+((1+$C$238)^(1/12)-1))-1)))</f>
      </c>
      <c r="Q250">
        <f>IF($C$233&lt;&gt;1,0,IFERROR((((1+($C$238+'Inputs'!$H$123/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f>
      </c>
      <c r="L251">
        <f>IF(J251&gt;0,1,0)</f>
      </c>
      <c r="P251">
        <f>IF($C$233&lt;&gt;1,0,P250*(1+((1+$C$238)^(1/12)-1))^12-J250/12*(1+((1+$C$238)^(1/12)-1))*(((1+((1+$C$238)^(1/12)-1))^12-1)/((1+((1+$C$238)^(1/12)-1))-1)))</f>
      </c>
      <c r="Q251">
        <f>IF($C$233&lt;&gt;1,0,IFERROR((((1+($C$238+'Inputs'!$H$123/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f>
      </c>
      <c r="L252">
        <f>IF(J252&gt;0,1,0)</f>
      </c>
      <c r="P252">
        <f>IF($C$233&lt;&gt;1,0,P251*(1+((1+$C$238)^(1/12)-1))^12-J251/12*(1+((1+$C$238)^(1/12)-1))*(((1+((1+$C$238)^(1/12)-1))^12-1)/((1+((1+$C$238)^(1/12)-1))-1)))</f>
      </c>
      <c r="Q252">
        <f>IF($C$233&lt;&gt;1,0,IFERROR((((1+($C$238+'Inputs'!$H$123/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f>
      </c>
      <c r="L253">
        <f>IF(J253&gt;0,1,0)</f>
      </c>
      <c r="P253">
        <f>IF($C$233&lt;&gt;1,0,P252*(1+((1+$C$238)^(1/12)-1))^12-J252/12*(1+((1+$C$238)^(1/12)-1))*(((1+((1+$C$238)^(1/12)-1))^12-1)/((1+((1+$C$238)^(1/12)-1))-1)))</f>
      </c>
      <c r="Q253">
        <f>IF($C$233&lt;&gt;1,0,IFERROR((((1+($C$238+'Inputs'!$H$123/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f>
      </c>
      <c r="L254">
        <f>IF(J254&gt;0,1,0)</f>
      </c>
      <c r="P254">
        <f>IF($C$233&lt;&gt;1,0,P253*(1+((1+$C$238)^(1/12)-1))^12-J253/12*(1+((1+$C$238)^(1/12)-1))*(((1+((1+$C$238)^(1/12)-1))^12-1)/((1+((1+$C$238)^(1/12)-1))-1)))</f>
      </c>
      <c r="Q254">
        <f>IF($C$233&lt;&gt;1,0,IFERROR((((1+($C$238+'Inputs'!$H$123/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f>
      </c>
      <c r="L255">
        <f>IF(J255&gt;0,1,0)</f>
      </c>
      <c r="P255">
        <f>IF($C$233&lt;&gt;1,0,P254*(1+((1+$C$238)^(1/12)-1))^12-J254/12*(1+((1+$C$238)^(1/12)-1))*(((1+((1+$C$238)^(1/12)-1))^12-1)/((1+((1+$C$238)^(1/12)-1))-1)))</f>
      </c>
      <c r="Q255">
        <f>IF($C$233&lt;&gt;1,0,IFERROR((((1+($C$238+'Inputs'!$H$123/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f>
      </c>
      <c r="L256">
        <f>IF(J256&gt;0,1,0)</f>
      </c>
      <c r="P256">
        <f>IF($C$233&lt;&gt;1,0,P255*(1+((1+$C$238)^(1/12)-1))^12-J255/12*(1+((1+$C$238)^(1/12)-1))*(((1+((1+$C$238)^(1/12)-1))^12-1)/((1+((1+$C$238)^(1/12)-1))-1)))</f>
      </c>
      <c r="Q256">
        <f>IF($C$233&lt;&gt;1,0,IFERROR((((1+($C$238+'Inputs'!$H$123/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f>
      </c>
      <c r="L257">
        <f>IF(J257&gt;0,1,0)</f>
      </c>
      <c r="P257">
        <f>IF($C$233&lt;&gt;1,0,P256*(1+((1+$C$238)^(1/12)-1))^12-J256/12*(1+((1+$C$238)^(1/12)-1))*(((1+((1+$C$238)^(1/12)-1))^12-1)/((1+((1+$C$238)^(1/12)-1))-1)))</f>
      </c>
      <c r="Q257">
        <f>IF($C$233&lt;&gt;1,0,IFERROR((((1+($C$238+'Inputs'!$H$123/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f>
      </c>
      <c r="L258">
        <f>IF(J258&gt;0,1,0)</f>
      </c>
      <c r="P258">
        <f>IF($C$233&lt;&gt;1,0,P257*(1+((1+$C$238)^(1/12)-1))^12-J257/12*(1+((1+$C$238)^(1/12)-1))*(((1+((1+$C$238)^(1/12)-1))^12-1)/((1+((1+$C$238)^(1/12)-1))-1)))</f>
      </c>
      <c r="Q258">
        <f>IF($C$233&lt;&gt;1,0,IFERROR((((1+($C$238+'Inputs'!$H$123/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f>
      </c>
      <c r="L259">
        <f>IF(J259&gt;0,1,0)</f>
      </c>
      <c r="P259">
        <f>IF($C$233&lt;&gt;1,0,P258*(1+((1+$C$238)^(1/12)-1))^12-J258/12*(1+((1+$C$238)^(1/12)-1))*(((1+((1+$C$238)^(1/12)-1))^12-1)/((1+((1+$C$238)^(1/12)-1))-1)))</f>
      </c>
      <c r="Q259">
        <f>IF($C$233&lt;&gt;1,0,IFERROR((((1+($C$238+'Inputs'!$H$123/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f>
      </c>
      <c r="L260">
        <f>IF(J260&gt;0,1,0)</f>
      </c>
      <c r="P260">
        <f>IF($C$233&lt;&gt;1,0,P259*(1+((1+$C$238)^(1/12)-1))^12-J259/12*(1+((1+$C$238)^(1/12)-1))*(((1+((1+$C$238)^(1/12)-1))^12-1)/((1+((1+$C$238)^(1/12)-1))-1)))</f>
      </c>
      <c r="Q260">
        <f>IF($C$233&lt;&gt;1,0,IFERROR((((1+($C$238+'Inputs'!$H$123/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f>
      </c>
      <c r="L261">
        <f>IF(J261&gt;0,1,0)</f>
      </c>
      <c r="P261">
        <f>IF($C$233&lt;&gt;1,0,P260*(1+((1+$C$238)^(1/12)-1))^12-J260/12*(1+((1+$C$238)^(1/12)-1))*(((1+((1+$C$238)^(1/12)-1))^12-1)/((1+((1+$C$238)^(1/12)-1))-1)))</f>
      </c>
      <c r="Q261">
        <f>IF($C$233&lt;&gt;1,0,IFERROR((((1+($C$238+'Inputs'!$H$123/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f>
      </c>
      <c r="L262">
        <f>IF(J262&gt;0,1,0)</f>
      </c>
      <c r="P262">
        <f>IF($C$233&lt;&gt;1,0,P261*(1+((1+$C$238)^(1/12)-1))^12-J261/12*(1+((1+$C$238)^(1/12)-1))*(((1+((1+$C$238)^(1/12)-1))^12-1)/((1+((1+$C$238)^(1/12)-1))-1)))</f>
      </c>
      <c r="Q262">
        <f>IF($C$233&lt;&gt;1,0,IFERROR((((1+($C$238+'Inputs'!$H$123/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f>
      </c>
      <c r="L263">
        <f>IF(J263&gt;0,1,0)</f>
      </c>
      <c r="P263">
        <f>IF($C$233&lt;&gt;1,0,P262*(1+((1+$C$238)^(1/12)-1))^12-J262/12*(1+((1+$C$238)^(1/12)-1))*(((1+((1+$C$238)^(1/12)-1))^12-1)/((1+((1+$C$238)^(1/12)-1))-1)))</f>
      </c>
      <c r="Q263">
        <f>IF($C$233&lt;&gt;1,0,IFERROR((((1+($C$238+'Inputs'!$H$123/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f>
      </c>
      <c r="L264">
        <f>IF(J264&gt;0,1,0)</f>
      </c>
      <c r="P264">
        <f>IF($C$233&lt;&gt;1,0,P263*(1+((1+$C$238)^(1/12)-1))^12-J263/12*(1+((1+$C$238)^(1/12)-1))*(((1+((1+$C$238)^(1/12)-1))^12-1)/((1+((1+$C$238)^(1/12)-1))-1)))</f>
      </c>
      <c r="Q264">
        <f>IF($C$233&lt;&gt;1,0,IFERROR((((1+($C$238+'Inputs'!$H$123/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f>
      </c>
      <c r="L265">
        <f>IF(J265&gt;0,1,0)</f>
      </c>
      <c r="P265">
        <f>IF($C$233&lt;&gt;1,0,P264*(1+((1+$C$238)^(1/12)-1))^12-J264/12*(1+((1+$C$238)^(1/12)-1))*(((1+((1+$C$238)^(1/12)-1))^12-1)/((1+((1+$C$238)^(1/12)-1))-1)))</f>
      </c>
      <c r="Q265">
        <f>IF($C$233&lt;&gt;1,0,IFERROR((((1+($C$238+'Inputs'!$H$123/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f>
      </c>
      <c r="L266">
        <f>IF(J266&gt;0,1,0)</f>
      </c>
      <c r="P266">
        <f>IF($C$233&lt;&gt;1,0,P265*(1+((1+$C$238)^(1/12)-1))^12-J265/12*(1+((1+$C$238)^(1/12)-1))*(((1+((1+$C$238)^(1/12)-1))^12-1)/((1+((1+$C$238)^(1/12)-1))-1)))</f>
      </c>
      <c r="Q266">
        <f>IF($C$233&lt;&gt;1,0,IFERROR((((1+($C$238+'Inputs'!$H$123/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f>
      </c>
      <c r="L267">
        <f>IF(J267&gt;0,1,0)</f>
      </c>
      <c r="P267">
        <f>IF($C$233&lt;&gt;1,0,P266*(1+((1+$C$238)^(1/12)-1))^12-J266/12*(1+((1+$C$238)^(1/12)-1))*(((1+((1+$C$238)^(1/12)-1))^12-1)/((1+((1+$C$238)^(1/12)-1))-1)))</f>
      </c>
      <c r="Q267">
        <f>IF($C$233&lt;&gt;1,0,IFERROR((((1+($C$238+'Inputs'!$H$123/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f>
      </c>
      <c r="L268">
        <f>IF(J268&gt;0,1,0)</f>
      </c>
      <c r="P268">
        <f>IF($C$233&lt;&gt;1,0,P267*(1+((1+$C$238)^(1/12)-1))^12-J267/12*(1+((1+$C$238)^(1/12)-1))*(((1+((1+$C$238)^(1/12)-1))^12-1)/((1+((1+$C$238)^(1/12)-1))-1)))</f>
      </c>
      <c r="Q268">
        <f>IF($C$233&lt;&gt;1,0,IFERROR((((1+($C$238+'Inputs'!$H$123/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f>
      </c>
      <c r="L269">
        <f>IF(J269&gt;0,1,0)</f>
      </c>
      <c r="P269">
        <f>IF($C$233&lt;&gt;1,0,P268*(1+((1+$C$238)^(1/12)-1))^12-J268/12*(1+((1+$C$238)^(1/12)-1))*(((1+((1+$C$238)^(1/12)-1))^12-1)/((1+((1+$C$238)^(1/12)-1))-1)))</f>
      </c>
      <c r="Q269">
        <f>IF($C$233&lt;&gt;1,0,IFERROR((((1+($C$238+'Inputs'!$H$123/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f>
      </c>
      <c r="L270">
        <f>IF(J270&gt;0,1,0)</f>
      </c>
      <c r="P270">
        <f>IF($C$233&lt;&gt;1,0,P269*(1+((1+$C$238)^(1/12)-1))^12-J269/12*(1+((1+$C$238)^(1/12)-1))*(((1+((1+$C$238)^(1/12)-1))^12-1)/((1+((1+$C$238)^(1/12)-1))-1)))</f>
      </c>
      <c r="Q270">
        <f>IF($C$233&lt;&gt;1,0,IFERROR((((1+($C$238+'Inputs'!$H$123/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f>
      </c>
      <c r="L271">
        <f>IF(J271&gt;0,1,0)</f>
      </c>
      <c r="P271">
        <f>IF($C$233&lt;&gt;1,0,P270*(1+((1+$C$238)^(1/12)-1))^12-J270/12*(1+((1+$C$238)^(1/12)-1))*(((1+((1+$C$238)^(1/12)-1))^12-1)/((1+((1+$C$238)^(1/12)-1))-1)))</f>
      </c>
      <c r="Q271">
        <f>IF($C$233&lt;&gt;1,0,IFERROR((((1+($C$238+'Inputs'!$H$123/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f>
      </c>
      <c r="L272">
        <f>IF(J272&gt;0,1,0)</f>
      </c>
      <c r="P272">
        <f>IF($C$233&lt;&gt;1,0,P271*(1+((1+$C$238)^(1/12)-1))^12-J271/12*(1+((1+$C$238)^(1/12)-1))*(((1+((1+$C$238)^(1/12)-1))^12-1)/((1+((1+$C$238)^(1/12)-1))-1)))</f>
      </c>
      <c r="Q272">
        <f>IF($C$233&lt;&gt;1,0,IFERROR((((1+($C$238+'Inputs'!$H$123/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f>
      </c>
      <c r="L273">
        <f>IF(J273&gt;0,1,0)</f>
      </c>
      <c r="P273">
        <f>IF($C$233&lt;&gt;1,0,P272*(1+((1+$C$238)^(1/12)-1))^12-J272/12*(1+((1+$C$238)^(1/12)-1))*(((1+((1+$C$238)^(1/12)-1))^12-1)/((1+((1+$C$238)^(1/12)-1))-1)))</f>
      </c>
      <c r="Q273">
        <f>IF($C$233&lt;&gt;1,0,IFERROR((((1+($C$238+'Inputs'!$H$123/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f>
      </c>
      <c r="L274">
        <f>IF(J274&gt;0,1,0)</f>
      </c>
      <c r="P274">
        <f>IF($C$233&lt;&gt;1,0,P273*(1+((1+$C$238)^(1/12)-1))^12-J273/12*(1+((1+$C$238)^(1/12)-1))*(((1+((1+$C$238)^(1/12)-1))^12-1)/((1+((1+$C$238)^(1/12)-1))-1)))</f>
      </c>
      <c r="Q274">
        <f>IF($C$233&lt;&gt;1,0,IFERROR((((1+($C$238+'Inputs'!$H$123/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f>
      </c>
      <c r="L275">
        <f>IF(J275&gt;0,1,0)</f>
      </c>
      <c r="P275">
        <f>IF($C$233&lt;&gt;1,0,P274*(1+((1+$C$238)^(1/12)-1))^12-J274/12*(1+((1+$C$238)^(1/12)-1))*(((1+((1+$C$238)^(1/12)-1))^12-1)/((1+((1+$C$238)^(1/12)-1))-1)))</f>
      </c>
      <c r="Q275">
        <f>IF($C$233&lt;&gt;1,0,IFERROR((((1+($C$238+'Inputs'!$H$123/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f>
      </c>
      <c r="L276">
        <f>IF(J276&gt;0,1,0)</f>
      </c>
      <c r="P276">
        <f>IF($C$233&lt;&gt;1,0,P275*(1+((1+$C$238)^(1/12)-1))^12-J275/12*(1+((1+$C$238)^(1/12)-1))*(((1+((1+$C$238)^(1/12)-1))^12-1)/((1+((1+$C$238)^(1/12)-1))-1)))</f>
      </c>
      <c r="Q276">
        <f>IF($C$233&lt;&gt;1,0,IFERROR((((1+($C$238+'Inputs'!$H$123/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f>
      </c>
      <c r="L277">
        <f>IF(J277&gt;0,1,0)</f>
      </c>
      <c r="P277">
        <f>IF($C$233&lt;&gt;1,0,P276*(1+((1+$C$238)^(1/12)-1))^12-J276/12*(1+((1+$C$238)^(1/12)-1))*(((1+((1+$C$238)^(1/12)-1))^12-1)/((1+((1+$C$238)^(1/12)-1))-1)))</f>
      </c>
      <c r="Q277">
        <f>IF($C$233&lt;&gt;1,0,IFERROR((((1+($C$238+'Inputs'!$H$123/100))^(1/12)-1)-((1+$C$238)^(1/12)-1))*(P277*(((1+((1+$C$238)^(1/12)-1))^12-1)/((1+((1+$C$238)^(1/12)-1))-1))-J277/12/((1+((1+$C$238)^(1/12)-1))-1)*((1+((1+$C$238)^(1/12)-1))*(((1+((1+$C$238)^(1/12)-1))^12-1)/((1+((1+$C$238)^(1/12)-1))-1))-12)),0))</f>
      </c>
    </row>
    <row r="282" spans="2:3" x14ac:dyDescent="0.25">
      <c r="B282" t="s">
        <v>119</v>
      </c>
      <c r="C282">
        <f>IF('Inputs'!$B$105="","",'Inputs'!$B$105)</f>
      </c>
    </row>
    <row r="283" spans="2:17" x14ac:dyDescent="0.25">
      <c r="B283" t="s">
        <v>121</v>
      </c>
      <c r="C283">
        <f>N('Inputs'!$D$105)</f>
      </c>
      <c r="I283" t="s">
        <v>437</v>
      </c>
      <c r="J283" t="s">
        <v>438</v>
      </c>
      <c r="K283" t="s">
        <v>439</v>
      </c>
      <c r="L283" t="s">
        <v>440</v>
      </c>
      <c r="P283" t="s">
        <v>441</v>
      </c>
      <c r="Q283" t="s">
        <v>442</v>
      </c>
    </row>
    <row r="284" spans="2:17" x14ac:dyDescent="0.25">
      <c r="B284" t="s">
        <v>443</v>
      </c>
      <c r="C284">
        <f>IF($C$283&gt;=75,'Inputs'!$H$131,IF($C$283&gt;=65,'Inputs'!$H$130,'Inputs'!$H$124))</f>
      </c>
      <c r="I284">
        <v>0</v>
      </c>
      <c r="J284">
        <f>IF(I284&lt;$C$286,MAX(0,12*$C$287*(1+$C$288)^I284-K284),0)</f>
      </c>
      <c r="K284">
        <f>SUMPRODUCT(('Inputs'!$G$76:$G$81=$C$282)*($C$282&lt;&gt;"")*'Inputs'!$D$76:$D$81*(1+'Inputs'!$E$76:$E$81/100)^I284*(ABS('Inputs'!$F$76:$F$81-12*I284)-ABS(('Inputs'!$F$76:$F$81-12*I284)-12)+12)/2)</f>
      </c>
      <c r="L284">
        <f>IF(J284&gt;0,1,0)</f>
      </c>
      <c r="P284">
        <f>IF($C$289&lt;&gt;1,0,IF($C$294=0,SUM($J$284:$J$333),(1-(1+$C$294)^-1)/(1-(1+$C$294)^(-1/12))/12*SUMPRODUCT($J$284:$J$333,(1+$C$294)^(-$I$284:$I$333))))</f>
      </c>
      <c r="Q284">
        <f>IF($C$289&lt;&gt;1,0,IFERROR((((1+($C$294+'Inputs'!$H$123/100))^(1/12)-1)-((1+$C$294)^(1/12)-1))*(P284*(((1+((1+$C$294)^(1/12)-1))^12-1)/((1+((1+$C$294)^(1/12)-1))-1))-J284/12/((1+((1+$C$294)^(1/12)-1))-1)*((1+((1+$C$294)^(1/12)-1))*(((1+((1+$C$294)^(1/12)-1))^12-1)/((1+((1+$C$294)^(1/12)-1))-1))-12)),0))</f>
      </c>
    </row>
    <row r="285" spans="2:17" x14ac:dyDescent="0.25">
      <c r="B285" t="s">
        <v>444</v>
      </c>
      <c r="C285">
        <f>N('Inputs'!$I$105)</f>
      </c>
      <c r="I285">
        <v>1</v>
      </c>
      <c r="J285">
        <f>IF(I285&lt;$C$286,MAX(0,12*$C$287*(1+$C$288)^I285-K285),0)</f>
      </c>
      <c r="K285">
        <f>SUMPRODUCT(('Inputs'!$G$76:$G$81=$C$282)*($C$282&lt;&gt;"")*'Inputs'!$D$76:$D$81*(1+'Inputs'!$E$76:$E$81/100)^I285*(ABS('Inputs'!$F$76:$F$81-12*I285)-ABS(('Inputs'!$F$76:$F$81-12*I285)-12)+12)/2)</f>
      </c>
      <c r="L285">
        <f>IF(J285&gt;0,1,0)</f>
      </c>
      <c r="P285">
        <f>IF($C$289&lt;&gt;1,0,P284*(1+((1+$C$294)^(1/12)-1))^12-J284/12*(1+((1+$C$294)^(1/12)-1))*(((1+((1+$C$294)^(1/12)-1))^12-1)/((1+((1+$C$294)^(1/12)-1))-1)))</f>
      </c>
      <c r="Q285">
        <f>IF($C$289&lt;&gt;1,0,IFERROR((((1+($C$294+'Inputs'!$H$123/100))^(1/12)-1)-((1+$C$294)^(1/12)-1))*(P285*(((1+((1+$C$294)^(1/12)-1))^12-1)/((1+((1+$C$294)^(1/12)-1))-1))-J285/12/((1+((1+$C$294)^(1/12)-1))-1)*((1+((1+$C$294)^(1/12)-1))*(((1+((1+$C$294)^(1/12)-1))^12-1)/((1+((1+$C$294)^(1/12)-1))-1))-12)),0))</f>
      </c>
    </row>
    <row r="286" spans="2:17" x14ac:dyDescent="0.25">
      <c r="B286" t="s">
        <v>445</v>
      </c>
      <c r="C286">
        <f>IF($C$282="",0,N('Inputs'!$F$105))</f>
      </c>
      <c r="I286">
        <v>2</v>
      </c>
      <c r="J286">
        <f>IF(I286&lt;$C$286,MAX(0,12*$C$287*(1+$C$288)^I286-K286),0)</f>
      </c>
      <c r="K286">
        <f>SUMPRODUCT(('Inputs'!$G$76:$G$81=$C$282)*($C$282&lt;&gt;"")*'Inputs'!$D$76:$D$81*(1+'Inputs'!$E$76:$E$81/100)^I286*(ABS('Inputs'!$F$76:$F$81-12*I286)-ABS(('Inputs'!$F$76:$F$81-12*I286)-12)+12)/2)</f>
      </c>
      <c r="L286">
        <f>IF(J286&gt;0,1,0)</f>
      </c>
      <c r="P286">
        <f>IF($C$289&lt;&gt;1,0,P285*(1+((1+$C$294)^(1/12)-1))^12-J285/12*(1+((1+$C$294)^(1/12)-1))*(((1+((1+$C$294)^(1/12)-1))^12-1)/((1+((1+$C$294)^(1/12)-1))-1)))</f>
      </c>
      <c r="Q286">
        <f>IF($C$289&lt;&gt;1,0,IFERROR((((1+($C$294+'Inputs'!$H$123/100))^(1/12)-1)-((1+$C$294)^(1/12)-1))*(P286*(((1+((1+$C$294)^(1/12)-1))^12-1)/((1+((1+$C$294)^(1/12)-1))-1))-J286/12/((1+((1+$C$294)^(1/12)-1))-1)*((1+((1+$C$294)^(1/12)-1))*(((1+((1+$C$294)^(1/12)-1))^12-1)/((1+((1+$C$294)^(1/12)-1))-1))-12)),0))</f>
      </c>
    </row>
    <row r="287" spans="2:17" x14ac:dyDescent="0.25">
      <c r="B287" t="s">
        <v>446</v>
      </c>
      <c r="C287">
        <f>N('Inputs'!$E$105)</f>
      </c>
      <c r="I287">
        <v>3</v>
      </c>
      <c r="J287">
        <f>IF(I287&lt;$C$286,MAX(0,12*$C$287*(1+$C$288)^I287-K287),0)</f>
      </c>
      <c r="K287">
        <f>SUMPRODUCT(('Inputs'!$G$76:$G$81=$C$282)*($C$282&lt;&gt;"")*'Inputs'!$D$76:$D$81*(1+'Inputs'!$E$76:$E$81/100)^I287*(ABS('Inputs'!$F$76:$F$81-12*I287)-ABS(('Inputs'!$F$76:$F$81-12*I287)-12)+12)/2)</f>
      </c>
      <c r="L287">
        <f>IF(J287&gt;0,1,0)</f>
      </c>
      <c r="P287">
        <f>IF($C$289&lt;&gt;1,0,P286*(1+((1+$C$294)^(1/12)-1))^12-J286/12*(1+((1+$C$294)^(1/12)-1))*(((1+((1+$C$294)^(1/12)-1))^12-1)/((1+((1+$C$294)^(1/12)-1))-1)))</f>
      </c>
      <c r="Q287">
        <f>IF($C$289&lt;&gt;1,0,IFERROR((((1+($C$294+'Inputs'!$H$123/100))^(1/12)-1)-((1+$C$294)^(1/12)-1))*(P287*(((1+((1+$C$294)^(1/12)-1))^12-1)/((1+((1+$C$294)^(1/12)-1))-1))-J287/12/((1+((1+$C$294)^(1/12)-1))-1)*((1+((1+$C$294)^(1/12)-1))*(((1+((1+$C$294)^(1/12)-1))^12-1)/((1+((1+$C$294)^(1/12)-1))-1))-12)),0))</f>
      </c>
    </row>
    <row r="288" spans="2:17" x14ac:dyDescent="0.25">
      <c r="B288" t="s">
        <v>447</v>
      </c>
      <c r="C288">
        <f>IF('Inputs'!$G$105="",'Inputs'!$H$129/100,'Inputs'!$G$105/100)</f>
      </c>
      <c r="I288">
        <v>4</v>
      </c>
      <c r="J288">
        <f>IF(I288&lt;$C$286,MAX(0,12*$C$287*(1+$C$288)^I288-K288),0)</f>
      </c>
      <c r="K288">
        <f>SUMPRODUCT(('Inputs'!$G$76:$G$81=$C$282)*($C$282&lt;&gt;"")*'Inputs'!$D$76:$D$81*(1+'Inputs'!$E$76:$E$81/100)^I288*(ABS('Inputs'!$F$76:$F$81-12*I288)-ABS(('Inputs'!$F$76:$F$81-12*I288)-12)+12)/2)</f>
      </c>
      <c r="L288">
        <f>IF(J288&gt;0,1,0)</f>
      </c>
      <c r="P288">
        <f>IF($C$289&lt;&gt;1,0,P287*(1+((1+$C$294)^(1/12)-1))^12-J287/12*(1+((1+$C$294)^(1/12)-1))*(((1+((1+$C$294)^(1/12)-1))^12-1)/((1+((1+$C$294)^(1/12)-1))-1)))</f>
      </c>
      <c r="Q288">
        <f>IF($C$289&lt;&gt;1,0,IFERROR((((1+($C$294+'Inputs'!$H$123/100))^(1/12)-1)-((1+$C$294)^(1/12)-1))*(P288*(((1+((1+$C$294)^(1/12)-1))^12-1)/((1+((1+$C$294)^(1/12)-1))-1))-J288/12/((1+((1+$C$294)^(1/12)-1))-1)*((1+((1+$C$294)^(1/12)-1))*(((1+((1+$C$294)^(1/12)-1))^12-1)/((1+((1+$C$294)^(1/12)-1))-1))-12)),0))</f>
      </c>
    </row>
    <row r="289" spans="2:17" x14ac:dyDescent="0.25">
      <c r="B289" t="s">
        <v>448</v>
      </c>
      <c r="C289">
        <f>IF('Inputs'!$H$105="Yes",1,0)</f>
      </c>
      <c r="I289">
        <v>5</v>
      </c>
      <c r="J289">
        <f>IF(I289&lt;$C$286,MAX(0,12*$C$287*(1+$C$288)^I289-K289),0)</f>
      </c>
      <c r="K289">
        <f>SUMPRODUCT(('Inputs'!$G$76:$G$81=$C$282)*($C$282&lt;&gt;"")*'Inputs'!$D$76:$D$81*(1+'Inputs'!$E$76:$E$81/100)^I289*(ABS('Inputs'!$F$76:$F$81-12*I289)-ABS(('Inputs'!$F$76:$F$81-12*I289)-12)+12)/2)</f>
      </c>
      <c r="L289">
        <f>IF(J289&gt;0,1,0)</f>
      </c>
      <c r="P289">
        <f>IF($C$289&lt;&gt;1,0,P288*(1+((1+$C$294)^(1/12)-1))^12-J288/12*(1+((1+$C$294)^(1/12)-1))*(((1+((1+$C$294)^(1/12)-1))^12-1)/((1+((1+$C$294)^(1/12)-1))-1)))</f>
      </c>
      <c r="Q289">
        <f>IF($C$289&lt;&gt;1,0,IFERROR((((1+($C$294+'Inputs'!$H$123/100))^(1/12)-1)-((1+$C$294)^(1/12)-1))*(P289*(((1+((1+$C$294)^(1/12)-1))^12-1)/((1+((1+$C$294)^(1/12)-1))-1))-J289/12/((1+((1+$C$294)^(1/12)-1))-1)*((1+((1+$C$294)^(1/12)-1))*(((1+((1+$C$294)^(1/12)-1))^12-1)/((1+((1+$C$294)^(1/12)-1))-1))-12)),0))</f>
      </c>
    </row>
    <row r="290" spans="2:17" x14ac:dyDescent="0.25">
      <c r="B290" t="s">
        <v>449</v>
      </c>
      <c r="C290">
        <f>IF($C$282="",0,N('Inputs'!$J$105))</f>
      </c>
      <c r="I290">
        <v>6</v>
      </c>
      <c r="J290">
        <f>IF(I290&lt;$C$286,MAX(0,12*$C$287*(1+$C$288)^I290-K290),0)</f>
      </c>
      <c r="K290">
        <f>SUMPRODUCT(('Inputs'!$G$76:$G$81=$C$282)*($C$282&lt;&gt;"")*'Inputs'!$D$76:$D$81*(1+'Inputs'!$E$76:$E$81/100)^I290*(ABS('Inputs'!$F$76:$F$81-12*I290)-ABS(('Inputs'!$F$76:$F$81-12*I290)-12)+12)/2)</f>
      </c>
      <c r="L290">
        <f>IF(J290&gt;0,1,0)</f>
      </c>
      <c r="P290">
        <f>IF($C$289&lt;&gt;1,0,P289*(1+((1+$C$294)^(1/12)-1))^12-J289/12*(1+((1+$C$294)^(1/12)-1))*(((1+((1+$C$294)^(1/12)-1))^12-1)/((1+((1+$C$294)^(1/12)-1))-1)))</f>
      </c>
      <c r="Q290">
        <f>IF($C$289&lt;&gt;1,0,IFERROR((((1+($C$294+'Inputs'!$H$123/100))^(1/12)-1)-((1+$C$294)^(1/12)-1))*(P290*(((1+((1+$C$294)^(1/12)-1))^12-1)/((1+((1+$C$294)^(1/12)-1))-1))-J290/12/((1+((1+$C$294)^(1/12)-1))-1)*((1+((1+$C$294)^(1/12)-1))*(((1+((1+$C$294)^(1/12)-1))^12-1)/((1+((1+$C$294)^(1/12)-1))-1))-12)),0))</f>
      </c>
    </row>
    <row r="291" spans="2:17" x14ac:dyDescent="0.25">
      <c r="B291" t="s">
        <v>450</v>
      </c>
      <c r="C291">
        <f>ROUND(Q284,2)</f>
      </c>
      <c r="I291">
        <v>7</v>
      </c>
      <c r="J291">
        <f>IF(I291&lt;$C$286,MAX(0,12*$C$287*(1+$C$288)^I291-K291),0)</f>
      </c>
      <c r="K291">
        <f>SUMPRODUCT(('Inputs'!$G$76:$G$81=$C$282)*($C$282&lt;&gt;"")*'Inputs'!$D$76:$D$81*(1+'Inputs'!$E$76:$E$81/100)^I291*(ABS('Inputs'!$F$76:$F$81-12*I291)-ABS(('Inputs'!$F$76:$F$81-12*I291)-12)+12)/2)</f>
      </c>
      <c r="L291">
        <f>IF(J291&gt;0,1,0)</f>
      </c>
      <c r="P291">
        <f>IF($C$289&lt;&gt;1,0,P290*(1+((1+$C$294)^(1/12)-1))^12-J290/12*(1+((1+$C$294)^(1/12)-1))*(((1+((1+$C$294)^(1/12)-1))^12-1)/((1+((1+$C$294)^(1/12)-1))-1)))</f>
      </c>
      <c r="Q291">
        <f>IF($C$289&lt;&gt;1,0,IFERROR((((1+($C$294+'Inputs'!$H$123/100))^(1/12)-1)-((1+$C$294)^(1/12)-1))*(P291*(((1+((1+$C$294)^(1/12)-1))^12-1)/((1+((1+$C$294)^(1/12)-1))-1))-J291/12/((1+((1+$C$294)^(1/12)-1))-1)*((1+((1+$C$294)^(1/12)-1))*(((1+((1+$C$294)^(1/12)-1))^12-1)/((1+((1+$C$294)^(1/12)-1))-1))-12)),0))</f>
      </c>
    </row>
    <row r="292" spans="2:17" x14ac:dyDescent="0.25">
      <c r="B292" t="s">
        <v>451</v>
      </c>
      <c r="C292">
        <f>ROUND(SUM($Q$284:$Q$333),2)</f>
      </c>
      <c r="I292">
        <v>8</v>
      </c>
      <c r="J292">
        <f>IF(I292&lt;$C$286,MAX(0,12*$C$287*(1+$C$288)^I292-K292),0)</f>
      </c>
      <c r="K292">
        <f>SUMPRODUCT(('Inputs'!$G$76:$G$81=$C$282)*($C$282&lt;&gt;"")*'Inputs'!$D$76:$D$81*(1+'Inputs'!$E$76:$E$81/100)^I292*(ABS('Inputs'!$F$76:$F$81-12*I292)-ABS(('Inputs'!$F$76:$F$81-12*I292)-12)+12)/2)</f>
      </c>
      <c r="L292">
        <f>IF(J292&gt;0,1,0)</f>
      </c>
      <c r="P292">
        <f>IF($C$289&lt;&gt;1,0,P291*(1+((1+$C$294)^(1/12)-1))^12-J291/12*(1+((1+$C$294)^(1/12)-1))*(((1+((1+$C$294)^(1/12)-1))^12-1)/((1+((1+$C$294)^(1/12)-1))-1)))</f>
      </c>
      <c r="Q292">
        <f>IF($C$289&lt;&gt;1,0,IFERROR((((1+($C$294+'Inputs'!$H$123/100))^(1/12)-1)-((1+$C$294)^(1/12)-1))*(P292*(((1+((1+$C$294)^(1/12)-1))^12-1)/((1+((1+$C$294)^(1/12)-1))-1))-J292/12/((1+((1+$C$294)^(1/12)-1))-1)*((1+((1+$C$294)^(1/12)-1))*(((1+((1+$C$294)^(1/12)-1))^12-1)/((1+((1+$C$294)^(1/12)-1))-1))-12)),0))</f>
      </c>
    </row>
    <row r="293" spans="2:17" x14ac:dyDescent="0.25">
      <c r="B293" t="s">
        <v>452</v>
      </c>
      <c r="C293">
        <f>IF($C$289&lt;&gt;1,0,ROUND(IF($C$294=0,SUM($J$284:$J$333),(1-(1+$C$294)^-1)/(1-(1+$C$294)^(-1/12))/12*SUMPRODUCT($J$284:$J$333,(1+$C$294)^(-$I$284:$I$333)))-IF(($C$294+'Inputs'!$H$123/100)=0,SUM($J$284:$J$333),(1-(1+($C$294+'Inputs'!$H$123/100))^-1)/(1-(1+($C$294+'Inputs'!$H$123/100))^(-1/12))/12*SUMPRODUCT($J$284:$J$333,(1+($C$294+'Inputs'!$H$123/100))^(-$I$284:$I$333))),2))</f>
      </c>
      <c r="I293">
        <v>9</v>
      </c>
      <c r="J293">
        <f>IF(I293&lt;$C$286,MAX(0,12*$C$287*(1+$C$288)^I293-K293),0)</f>
      </c>
      <c r="K293">
        <f>SUMPRODUCT(('Inputs'!$G$76:$G$81=$C$282)*($C$282&lt;&gt;"")*'Inputs'!$D$76:$D$81*(1+'Inputs'!$E$76:$E$81/100)^I293*(ABS('Inputs'!$F$76:$F$81-12*I293)-ABS(('Inputs'!$F$76:$F$81-12*I293)-12)+12)/2)</f>
      </c>
      <c r="L293">
        <f>IF(J293&gt;0,1,0)</f>
      </c>
      <c r="P293">
        <f>IF($C$289&lt;&gt;1,0,P292*(1+((1+$C$294)^(1/12)-1))^12-J292/12*(1+((1+$C$294)^(1/12)-1))*(((1+((1+$C$294)^(1/12)-1))^12-1)/((1+((1+$C$294)^(1/12)-1))-1)))</f>
      </c>
      <c r="Q293">
        <f>IF($C$289&lt;&gt;1,0,IFERROR((((1+($C$294+'Inputs'!$H$123/100))^(1/12)-1)-((1+$C$294)^(1/12)-1))*(P293*(((1+((1+$C$294)^(1/12)-1))^12-1)/((1+((1+$C$294)^(1/12)-1))-1))-J293/12/((1+((1+$C$294)^(1/12)-1))-1)*((1+((1+$C$294)^(1/12)-1))*(((1+((1+$C$294)^(1/12)-1))^12-1)/((1+((1+$C$294)^(1/12)-1))-1))-12)),0))</f>
      </c>
    </row>
    <row r="294" spans="2:17" x14ac:dyDescent="0.25">
      <c r="B294" t="s">
        <v>453</v>
      </c>
      <c r="C294">
        <f>IF($C$289=1,'Needs calc'!$C$103,0)</f>
      </c>
      <c r="I294">
        <v>10</v>
      </c>
      <c r="J294">
        <f>IF(I294&lt;$C$286,MAX(0,12*$C$287*(1+$C$288)^I294-K294),0)</f>
      </c>
      <c r="K294">
        <f>SUMPRODUCT(('Inputs'!$G$76:$G$81=$C$282)*($C$282&lt;&gt;"")*'Inputs'!$D$76:$D$81*(1+'Inputs'!$E$76:$E$81/100)^I294*(ABS('Inputs'!$F$76:$F$81-12*I294)-ABS(('Inputs'!$F$76:$F$81-12*I294)-12)+12)/2)</f>
      </c>
      <c r="L294">
        <f>IF(J294&gt;0,1,0)</f>
      </c>
      <c r="P294">
        <f>IF($C$289&lt;&gt;1,0,P293*(1+((1+$C$294)^(1/12)-1))^12-J293/12*(1+((1+$C$294)^(1/12)-1))*(((1+((1+$C$294)^(1/12)-1))^12-1)/((1+((1+$C$294)^(1/12)-1))-1)))</f>
      </c>
      <c r="Q294">
        <f>IF($C$289&lt;&gt;1,0,IFERROR((((1+($C$294+'Inputs'!$H$123/100))^(1/12)-1)-((1+$C$294)^(1/12)-1))*(P294*(((1+((1+$C$294)^(1/12)-1))^12-1)/((1+((1+$C$294)^(1/12)-1))-1))-J294/12/((1+((1+$C$294)^(1/12)-1))-1)*((1+((1+$C$294)^(1/12)-1))*(((1+((1+$C$294)^(1/12)-1))^12-1)/((1+((1+$C$294)^(1/12)-1))-1))-12)),0))</f>
      </c>
    </row>
    <row r="295" spans="2:17" x14ac:dyDescent="0.25">
      <c r="B295" t="s">
        <v>454</v>
      </c>
      <c r="C295">
        <f>SUMPRODUCT(('Inputs'!$G$76:$G$81=$C$282)*($C$282&lt;&gt;"")*('Inputs'!$F$76:$F$81&gt;0)*'Inputs'!$D$76:$D$81)</f>
      </c>
      <c r="I295">
        <v>11</v>
      </c>
      <c r="J295">
        <f>IF(I295&lt;$C$286,MAX(0,12*$C$287*(1+$C$288)^I295-K295),0)</f>
      </c>
      <c r="K295">
        <f>SUMPRODUCT(('Inputs'!$G$76:$G$81=$C$282)*($C$282&lt;&gt;"")*'Inputs'!$D$76:$D$81*(1+'Inputs'!$E$76:$E$81/100)^I295*(ABS('Inputs'!$F$76:$F$81-12*I295)-ABS(('Inputs'!$F$76:$F$81-12*I295)-12)+12)/2)</f>
      </c>
      <c r="L295">
        <f>IF(J295&gt;0,1,0)</f>
      </c>
      <c r="P295">
        <f>IF($C$289&lt;&gt;1,0,P294*(1+((1+$C$294)^(1/12)-1))^12-J294/12*(1+((1+$C$294)^(1/12)-1))*(((1+((1+$C$294)^(1/12)-1))^12-1)/((1+((1+$C$294)^(1/12)-1))-1)))</f>
      </c>
      <c r="Q295">
        <f>IF($C$289&lt;&gt;1,0,IFERROR((((1+($C$294+'Inputs'!$H$123/100))^(1/12)-1)-((1+$C$294)^(1/12)-1))*(P295*(((1+((1+$C$294)^(1/12)-1))^12-1)/((1+((1+$C$294)^(1/12)-1))-1))-J295/12/((1+((1+$C$294)^(1/12)-1))-1)*((1+((1+$C$294)^(1/12)-1))*(((1+((1+$C$294)^(1/12)-1))^12-1)/((1+((1+$C$294)^(1/12)-1))-1))-12)),0))</f>
      </c>
    </row>
    <row r="296" spans="2:17" x14ac:dyDescent="0.25">
      <c r="B296" t="s">
        <v>455</v>
      </c>
      <c r="C296">
        <f>IF($C$286&gt;0,$C$287-J284/12,0)</f>
      </c>
      <c r="I296">
        <v>12</v>
      </c>
      <c r="J296">
        <f>IF(I296&lt;$C$286,MAX(0,12*$C$287*(1+$C$288)^I296-K296),0)</f>
      </c>
      <c r="K296">
        <f>SUMPRODUCT(('Inputs'!$G$76:$G$81=$C$282)*($C$282&lt;&gt;"")*'Inputs'!$D$76:$D$81*(1+'Inputs'!$E$76:$E$81/100)^I296*(ABS('Inputs'!$F$76:$F$81-12*I296)-ABS(('Inputs'!$F$76:$F$81-12*I296)-12)+12)/2)</f>
      </c>
      <c r="L296">
        <f>IF(J296&gt;0,1,0)</f>
      </c>
      <c r="P296">
        <f>IF($C$289&lt;&gt;1,0,P295*(1+((1+$C$294)^(1/12)-1))^12-J295/12*(1+((1+$C$294)^(1/12)-1))*(((1+((1+$C$294)^(1/12)-1))^12-1)/((1+((1+$C$294)^(1/12)-1))-1)))</f>
      </c>
      <c r="Q296">
        <f>IF($C$289&lt;&gt;1,0,IFERROR((((1+($C$294+'Inputs'!$H$123/100))^(1/12)-1)-((1+$C$294)^(1/12)-1))*(P296*(((1+((1+$C$294)^(1/12)-1))^12-1)/((1+((1+$C$294)^(1/12)-1))-1))-J296/12/((1+((1+$C$294)^(1/12)-1))-1)*((1+((1+$C$294)^(1/12)-1))*(((1+((1+$C$294)^(1/12)-1))^12-1)/((1+((1+$C$294)^(1/12)-1))-1))-12)),0))</f>
      </c>
    </row>
    <row r="297" spans="2:17" x14ac:dyDescent="0.25">
      <c r="B297" t="s">
        <v>456</v>
      </c>
      <c r="C297">
        <f>SUMPRODUCT(MAX(('Inputs'!$G$76:$G$81=$C$282)*($C$282&lt;&gt;"")*'Inputs'!$F$76:$F$81))</f>
      </c>
      <c r="I297">
        <v>13</v>
      </c>
      <c r="J297">
        <f>IF(I297&lt;$C$286,MAX(0,12*$C$287*(1+$C$288)^I297-K297),0)</f>
      </c>
      <c r="K297">
        <f>SUMPRODUCT(('Inputs'!$G$76:$G$81=$C$282)*($C$282&lt;&gt;"")*'Inputs'!$D$76:$D$81*(1+'Inputs'!$E$76:$E$81/100)^I297*(ABS('Inputs'!$F$76:$F$81-12*I297)-ABS(('Inputs'!$F$76:$F$81-12*I297)-12)+12)/2)</f>
      </c>
      <c r="L297">
        <f>IF(J297&gt;0,1,0)</f>
      </c>
      <c r="P297">
        <f>IF($C$289&lt;&gt;1,0,P296*(1+((1+$C$294)^(1/12)-1))^12-J296/12*(1+((1+$C$294)^(1/12)-1))*(((1+((1+$C$294)^(1/12)-1))^12-1)/((1+((1+$C$294)^(1/12)-1))-1)))</f>
      </c>
      <c r="Q297">
        <f>IF($C$289&lt;&gt;1,0,IFERROR((((1+($C$294+'Inputs'!$H$123/100))^(1/12)-1)-((1+$C$294)^(1/12)-1))*(P297*(((1+((1+$C$294)^(1/12)-1))^12-1)/((1+((1+$C$294)^(1/12)-1))-1))-J297/12/((1+((1+$C$294)^(1/12)-1))-1)*((1+((1+$C$294)^(1/12)-1))*(((1+((1+$C$294)^(1/12)-1))^12-1)/((1+((1+$C$294)^(1/12)-1))-1))-12)),0))</f>
      </c>
    </row>
    <row r="298" spans="2:17" x14ac:dyDescent="0.25">
      <c r="B298" t="s">
        <v>457</v>
      </c>
      <c r="C298">
        <f>SUM($J$284:$J$333)</f>
      </c>
      <c r="I298">
        <v>14</v>
      </c>
      <c r="J298">
        <f>IF(I298&lt;$C$286,MAX(0,12*$C$287*(1+$C$288)^I298-K298),0)</f>
      </c>
      <c r="K298">
        <f>SUMPRODUCT(('Inputs'!$G$76:$G$81=$C$282)*($C$282&lt;&gt;"")*'Inputs'!$D$76:$D$81*(1+'Inputs'!$E$76:$E$81/100)^I298*(ABS('Inputs'!$F$76:$F$81-12*I298)-ABS(('Inputs'!$F$76:$F$81-12*I298)-12)+12)/2)</f>
      </c>
      <c r="L298">
        <f>IF(J298&gt;0,1,0)</f>
      </c>
      <c r="P298">
        <f>IF($C$289&lt;&gt;1,0,P297*(1+((1+$C$294)^(1/12)-1))^12-J297/12*(1+((1+$C$294)^(1/12)-1))*(((1+((1+$C$294)^(1/12)-1))^12-1)/((1+((1+$C$294)^(1/12)-1))-1)))</f>
      </c>
      <c r="Q298">
        <f>IF($C$289&lt;&gt;1,0,IFERROR((((1+($C$294+'Inputs'!$H$123/100))^(1/12)-1)-((1+$C$294)^(1/12)-1))*(P298*(((1+((1+$C$294)^(1/12)-1))^12-1)/((1+((1+$C$294)^(1/12)-1))-1))-J298/12/((1+((1+$C$294)^(1/12)-1))-1)*((1+((1+$C$294)^(1/12)-1))*(((1+((1+$C$294)^(1/12)-1))^12-1)/((1+((1+$C$294)^(1/12)-1))-1))-12)),0))</f>
      </c>
    </row>
    <row r="299" spans="2:17" x14ac:dyDescent="0.25">
      <c r="B299" t="s">
        <v>458</v>
      </c>
      <c r="C299">
        <f>IF('Needs calc'!$C$105&gt;0,IF('Inputs'!$O$105*SUM('Inputs'!$U$100:$U$105)&gt;0,IF('Needs calc'!$C$100&gt;='Needs calc'!$C$108,'Inputs'!$B$105&amp;IF(SUM('Inputs'!$U$100:$U$105)=1," and "&amp;IF('Inputs'!$U$100=1,'Inputs'!$B$100,"")&amp;IF('Inputs'!$U$101=1,'Inputs'!$B$101,"")&amp;IF('Inputs'!$U$102=1,'Inputs'!$B$102,"")&amp;IF('Inputs'!$U$103=1,'Inputs'!$B$103,"")&amp;IF('Inputs'!$U$104=1,'Inputs'!$B$104,"")&amp;IF('Inputs'!$U$105=1,'Inputs'!$B$105,"")," and the children")&amp;" would have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you want for them"&amp;IF('Needs calc'!$C$108&gt;0,", after the R "&amp;FIXED(ROUND('Needs calc'!$C$108,-3),0)&amp;" once-off","")&amp;". ",'Inputs'!$B$105&amp;IF(SUM('Inputs'!$U$100:$U$105)=1," and "&amp;IF('Inputs'!$U$100=1,'Inputs'!$B$100,"")&amp;IF('Inputs'!$U$101=1,'Inputs'!$B$101,"")&amp;IF('Inputs'!$U$102=1,'Inputs'!$B$102,"")&amp;IF('Inputs'!$U$103=1,'Inputs'!$B$103,"")&amp;IF('Inputs'!$U$104=1,'Inputs'!$B$104,"")&amp;IF('Inputs'!$U$105=1,'Inputs'!$B$105,"")," and the children")&amp;" would have "&amp;IF('Needs calc'!$C$100&lt;=0,"nothing","about R "&amp;FIXED(ROUND('Needs calc'!$C$100,-3),0))&amp;" of the R "&amp;FIXED(ROUND('Needs calc'!$C$108,-3),0)&amp;" once-off you want for them, and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"),IF(N('Inputs'!$E$105)&gt;0,IF('Needs years'!$C$295&lt;=0,IF('Needs years'!$C$290&lt;=0,'Inputs'!$B$105&amp;" would have about R "&amp;FIXED(ROUND('Needs calc'!$C$106,-2),0)&amp;" a month of the R "&amp;FIXED(ROUND('Inputs'!$E$105,-2),0)&amp;" you want. ",IF('Needs calc'!$C$100&gt;='Needs years'!$C$290,'Inputs'!$B$105&amp;" would have about R "&amp;FIXED(ROUND('Needs calc'!$C$106,-2),0)&amp;" a month of the R "&amp;FIXED(ROUND('Inputs'!$E$105,-2),0)&amp;" you want,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")),IF('Needs years'!$C$298&lt;=0,IF('Needs years'!$C$290&gt;0,'Inputs'!$B$105&amp;"'s death income covers the R "&amp;FIXED(ROUND('Inputs'!$E$105,-2),0)&amp;" a month you want"&amp;", but "&amp;'Inputs'!$B$105&amp;" would have "&amp;IF('Needs calc'!$C$100&lt;=0,"nothing","about R "&amp;FIXED(ROUND('Needs calc'!$C$100,-3),0))&amp;" of the R "&amp;FIXED(ROUND('Needs years'!$C$290,-3),0)&amp;" once-off you want for them. ",'Inputs'!$B$105&amp;"'s death income covers the R "&amp;FIXED(ROUND('Inputs'!$E$105,-2),0)&amp;" a month you want"&amp;", but the estate duty on it, about R "&amp;FIXED(ROUND('Needs years'!$C$301,-3),0)&amp;", leaves "&amp;'Inputs'!$B$105&amp;" short. "),IF('Needs years'!$J$284&lt;=0,'Inputs'!$B$105&amp;"'s death income covers the R "&amp;FIXED(ROUND('Inputs'!$E$105,-2),0)&amp;" a month you want"&amp;" for "&amp;IF('Needs years'!$C$300=1,"the first year","the first "&amp;'Needs years'!$C$300&amp;" years")&amp;"; after that "&amp;'Inputs'!$B$105&amp;" would be short"&amp;IF(AND('Needs years'!$C$290&gt;0,'Needs calc'!$C$100&lt;'Needs years'!$C$290),", and would have "&amp;IF('Needs calc'!$C$100&lt;=0,"nothing","about R "&amp;FIXED(ROUND('Needs calc'!$C$100,-3),0))&amp;" of the R "&amp;FIXED(ROUND('Needs years'!$C$290,-3),0)&amp;" once-off","")&amp;". ",IF('Needs years'!$C$290&lt;=0,'Inputs'!$B$105&amp;" would have about R "&amp;FIXED(ROUND('Needs calc'!$C$106,-2),0)&amp;" a month of the R "&amp;FIXED(ROUND('Inputs'!$E$105,-2),0)&amp;" you want, part of it from the death income, and less once it stops. ",IF('Needs calc'!$C$100&gt;='Needs years'!$C$290,'Inputs'!$B$105&amp;" would have about R "&amp;FIXED(ROUND('Needs calc'!$C$106,-2),0)&amp;" a month of the R "&amp;FIXED(ROUND('Inputs'!$E$105,-2),0)&amp;" you want, part of it from the death income, and less once it stops,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part of it from the death income, and less once it stops. "))))),'Inputs'!$B$105&amp;" would have "&amp;IF('Needs calc'!$C$100&lt;=0,"nothing","about R "&amp;FIXED(ROUND('Needs calc'!$C$100,-3),0))&amp;" of the R "&amp;FIXED(ROUND('Needs years'!$C$290,-3),0)&amp;" you want to leave them. ")),"")</f>
      </c>
      <c r="I299">
        <v>15</v>
      </c>
      <c r="J299">
        <f>IF(I299&lt;$C$286,MAX(0,12*$C$287*(1+$C$288)^I299-K299),0)</f>
      </c>
      <c r="K299">
        <f>SUMPRODUCT(('Inputs'!$G$76:$G$81=$C$282)*($C$282&lt;&gt;"")*'Inputs'!$D$76:$D$81*(1+'Inputs'!$E$76:$E$81/100)^I299*(ABS('Inputs'!$F$76:$F$81-12*I299)-ABS(('Inputs'!$F$76:$F$81-12*I299)-12)+12)/2)</f>
      </c>
      <c r="L299">
        <f>IF(J299&gt;0,1,0)</f>
      </c>
      <c r="P299">
        <f>IF($C$289&lt;&gt;1,0,P298*(1+((1+$C$294)^(1/12)-1))^12-J298/12*(1+((1+$C$294)^(1/12)-1))*(((1+((1+$C$294)^(1/12)-1))^12-1)/((1+((1+$C$294)^(1/12)-1))-1)))</f>
      </c>
      <c r="Q299">
        <f>IF($C$289&lt;&gt;1,0,IFERROR((((1+($C$294+'Inputs'!$H$123/100))^(1/12)-1)-((1+$C$294)^(1/12)-1))*(P299*(((1+((1+$C$294)^(1/12)-1))^12-1)/((1+((1+$C$294)^(1/12)-1))-1))-J299/12/((1+((1+$C$294)^(1/12)-1))-1)*((1+((1+$C$294)^(1/12)-1))*(((1+((1+$C$294)^(1/12)-1))^12-1)/((1+((1+$C$294)^(1/12)-1))-1))-12)),0))</f>
      </c>
    </row>
    <row r="300" spans="2:17" x14ac:dyDescent="0.25">
      <c r="B300" t="s">
        <v>459</v>
      </c>
      <c r="C300">
        <f>IFERROR(MATCH(1,$L$284:$L$333,0)-1,$C$286)</f>
      </c>
      <c r="I300">
        <v>16</v>
      </c>
      <c r="J300">
        <f>IF(I300&lt;$C$286,MAX(0,12*$C$287*(1+$C$288)^I300-K300),0)</f>
      </c>
      <c r="K300">
        <f>SUMPRODUCT(('Inputs'!$G$76:$G$81=$C$282)*($C$282&lt;&gt;"")*'Inputs'!$D$76:$D$81*(1+'Inputs'!$E$76:$E$81/100)^I300*(ABS('Inputs'!$F$76:$F$81-12*I300)-ABS(('Inputs'!$F$76:$F$81-12*I300)-12)+12)/2)</f>
      </c>
      <c r="L300">
        <f>IF(J300&gt;0,1,0)</f>
      </c>
      <c r="P300">
        <f>IF($C$289&lt;&gt;1,0,P299*(1+((1+$C$294)^(1/12)-1))^12-J299/12*(1+((1+$C$294)^(1/12)-1))*(((1+((1+$C$294)^(1/12)-1))^12-1)/((1+((1+$C$294)^(1/12)-1))-1)))</f>
      </c>
      <c r="Q300">
        <f>IF($C$289&lt;&gt;1,0,IFERROR((((1+($C$294+'Inputs'!$H$123/100))^(1/12)-1)-((1+$C$294)^(1/12)-1))*(P300*(((1+((1+$C$294)^(1/12)-1))^12-1)/((1+((1+$C$294)^(1/12)-1))-1))-J300/12/((1+((1+$C$294)^(1/12)-1))-1)*((1+((1+$C$294)^(1/12)-1))*(((1+((1+$C$294)^(1/12)-1))^12-1)/((1+((1+$C$294)^(1/12)-1))-1))-12)),0))</f>
      </c>
    </row>
    <row r="301" spans="2:17" x14ac:dyDescent="0.25">
      <c r="B301" t="s">
        <v>460</v>
      </c>
      <c r="C301">
        <f>SUMPRODUCT(('Inputs'!$G$76:$G$81=$C$282)*($C$282&lt;&gt;"")*'Inputs'!$P$76:$P$81)</f>
      </c>
      <c r="I301">
        <v>17</v>
      </c>
      <c r="J301">
        <f>IF(I301&lt;$C$286,MAX(0,12*$C$287*(1+$C$288)^I301-K301),0)</f>
      </c>
      <c r="K301">
        <f>SUMPRODUCT(('Inputs'!$G$76:$G$81=$C$282)*($C$282&lt;&gt;"")*'Inputs'!$D$76:$D$81*(1+'Inputs'!$E$76:$E$81/100)^I301*(ABS('Inputs'!$F$76:$F$81-12*I301)-ABS(('Inputs'!$F$76:$F$81-12*I301)-12)+12)/2)</f>
      </c>
      <c r="L301">
        <f>IF(J301&gt;0,1,0)</f>
      </c>
      <c r="P301">
        <f>IF($C$289&lt;&gt;1,0,P300*(1+((1+$C$294)^(1/12)-1))^12-J300/12*(1+((1+$C$294)^(1/12)-1))*(((1+((1+$C$294)^(1/12)-1))^12-1)/((1+((1+$C$294)^(1/12)-1))-1)))</f>
      </c>
      <c r="Q301">
        <f>IF($C$289&lt;&gt;1,0,IFERROR((((1+($C$294+'Inputs'!$H$123/100))^(1/12)-1)-((1+$C$294)^(1/12)-1))*(P301*(((1+((1+$C$294)^(1/12)-1))^12-1)/((1+((1+$C$294)^(1/12)-1))-1))-J301/12/((1+((1+$C$294)^(1/12)-1))-1)*((1+((1+$C$294)^(1/12)-1))*(((1+((1+$C$294)^(1/12)-1))^12-1)/((1+((1+$C$294)^(1/12)-1))-1))-12)),0))</f>
      </c>
    </row>
    <row r="302" spans="9:17" x14ac:dyDescent="0.25">
      <c r="I302">
        <v>18</v>
      </c>
      <c r="J302">
        <f>IF(I302&lt;$C$286,MAX(0,12*$C$287*(1+$C$288)^I302-K302),0)</f>
      </c>
      <c r="K302">
        <f>SUMPRODUCT(('Inputs'!$G$76:$G$81=$C$282)*($C$282&lt;&gt;"")*'Inputs'!$D$76:$D$81*(1+'Inputs'!$E$76:$E$81/100)^I302*(ABS('Inputs'!$F$76:$F$81-12*I302)-ABS(('Inputs'!$F$76:$F$81-12*I302)-12)+12)/2)</f>
      </c>
      <c r="L302">
        <f>IF(J302&gt;0,1,0)</f>
      </c>
      <c r="P302">
        <f>IF($C$289&lt;&gt;1,0,P301*(1+((1+$C$294)^(1/12)-1))^12-J301/12*(1+((1+$C$294)^(1/12)-1))*(((1+((1+$C$294)^(1/12)-1))^12-1)/((1+((1+$C$294)^(1/12)-1))-1)))</f>
      </c>
      <c r="Q302">
        <f>IF($C$289&lt;&gt;1,0,IFERROR((((1+($C$294+'Inputs'!$H$123/100))^(1/12)-1)-((1+$C$294)^(1/12)-1))*(P302*(((1+((1+$C$294)^(1/12)-1))^12-1)/((1+((1+$C$294)^(1/12)-1))-1))-J302/12/((1+((1+$C$294)^(1/12)-1))-1)*((1+((1+$C$294)^(1/12)-1))*(((1+((1+$C$294)^(1/12)-1))^12-1)/((1+((1+$C$294)^(1/12)-1))-1))-12)),0))</f>
      </c>
    </row>
    <row r="303" spans="9:17" x14ac:dyDescent="0.25">
      <c r="I303">
        <v>19</v>
      </c>
      <c r="J303">
        <f>IF(I303&lt;$C$286,MAX(0,12*$C$287*(1+$C$288)^I303-K303),0)</f>
      </c>
      <c r="K303">
        <f>SUMPRODUCT(('Inputs'!$G$76:$G$81=$C$282)*($C$282&lt;&gt;"")*'Inputs'!$D$76:$D$81*(1+'Inputs'!$E$76:$E$81/100)^I303*(ABS('Inputs'!$F$76:$F$81-12*I303)-ABS(('Inputs'!$F$76:$F$81-12*I303)-12)+12)/2)</f>
      </c>
      <c r="L303">
        <f>IF(J303&gt;0,1,0)</f>
      </c>
      <c r="P303">
        <f>IF($C$289&lt;&gt;1,0,P302*(1+((1+$C$294)^(1/12)-1))^12-J302/12*(1+((1+$C$294)^(1/12)-1))*(((1+((1+$C$294)^(1/12)-1))^12-1)/((1+((1+$C$294)^(1/12)-1))-1)))</f>
      </c>
      <c r="Q303">
        <f>IF($C$289&lt;&gt;1,0,IFERROR((((1+($C$294+'Inputs'!$H$123/100))^(1/12)-1)-((1+$C$294)^(1/12)-1))*(P303*(((1+((1+$C$294)^(1/12)-1))^12-1)/((1+((1+$C$294)^(1/12)-1))-1))-J303/12/((1+((1+$C$294)^(1/12)-1))-1)*((1+((1+$C$294)^(1/12)-1))*(((1+((1+$C$294)^(1/12)-1))^12-1)/((1+((1+$C$294)^(1/12)-1))-1))-12)),0))</f>
      </c>
    </row>
    <row r="304" spans="9:17" x14ac:dyDescent="0.25">
      <c r="I304">
        <v>20</v>
      </c>
      <c r="J304">
        <f>IF(I304&lt;$C$286,MAX(0,12*$C$287*(1+$C$288)^I304-K304),0)</f>
      </c>
      <c r="K304">
        <f>SUMPRODUCT(('Inputs'!$G$76:$G$81=$C$282)*($C$282&lt;&gt;"")*'Inputs'!$D$76:$D$81*(1+'Inputs'!$E$76:$E$81/100)^I304*(ABS('Inputs'!$F$76:$F$81-12*I304)-ABS(('Inputs'!$F$76:$F$81-12*I304)-12)+12)/2)</f>
      </c>
      <c r="L304">
        <f>IF(J304&gt;0,1,0)</f>
      </c>
      <c r="P304">
        <f>IF($C$289&lt;&gt;1,0,P303*(1+((1+$C$294)^(1/12)-1))^12-J303/12*(1+((1+$C$294)^(1/12)-1))*(((1+((1+$C$294)^(1/12)-1))^12-1)/((1+((1+$C$294)^(1/12)-1))-1)))</f>
      </c>
      <c r="Q304">
        <f>IF($C$289&lt;&gt;1,0,IFERROR((((1+($C$294+'Inputs'!$H$123/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f>
      </c>
      <c r="L305">
        <f>IF(J305&gt;0,1,0)</f>
      </c>
      <c r="P305">
        <f>IF($C$289&lt;&gt;1,0,P304*(1+((1+$C$294)^(1/12)-1))^12-J304/12*(1+((1+$C$294)^(1/12)-1))*(((1+((1+$C$294)^(1/12)-1))^12-1)/((1+((1+$C$294)^(1/12)-1))-1)))</f>
      </c>
      <c r="Q305">
        <f>IF($C$289&lt;&gt;1,0,IFERROR((((1+($C$294+'Inputs'!$H$123/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f>
      </c>
      <c r="L306">
        <f>IF(J306&gt;0,1,0)</f>
      </c>
      <c r="P306">
        <f>IF($C$289&lt;&gt;1,0,P305*(1+((1+$C$294)^(1/12)-1))^12-J305/12*(1+((1+$C$294)^(1/12)-1))*(((1+((1+$C$294)^(1/12)-1))^12-1)/((1+((1+$C$294)^(1/12)-1))-1)))</f>
      </c>
      <c r="Q306">
        <f>IF($C$289&lt;&gt;1,0,IFERROR((((1+($C$294+'Inputs'!$H$123/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f>
      </c>
      <c r="L307">
        <f>IF(J307&gt;0,1,0)</f>
      </c>
      <c r="P307">
        <f>IF($C$289&lt;&gt;1,0,P306*(1+((1+$C$294)^(1/12)-1))^12-J306/12*(1+((1+$C$294)^(1/12)-1))*(((1+((1+$C$294)^(1/12)-1))^12-1)/((1+((1+$C$294)^(1/12)-1))-1)))</f>
      </c>
      <c r="Q307">
        <f>IF($C$289&lt;&gt;1,0,IFERROR((((1+($C$294+'Inputs'!$H$123/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f>
      </c>
      <c r="L308">
        <f>IF(J308&gt;0,1,0)</f>
      </c>
      <c r="P308">
        <f>IF($C$289&lt;&gt;1,0,P307*(1+((1+$C$294)^(1/12)-1))^12-J307/12*(1+((1+$C$294)^(1/12)-1))*(((1+((1+$C$294)^(1/12)-1))^12-1)/((1+((1+$C$294)^(1/12)-1))-1)))</f>
      </c>
      <c r="Q308">
        <f>IF($C$289&lt;&gt;1,0,IFERROR((((1+($C$294+'Inputs'!$H$123/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f>
      </c>
      <c r="L309">
        <f>IF(J309&gt;0,1,0)</f>
      </c>
      <c r="P309">
        <f>IF($C$289&lt;&gt;1,0,P308*(1+((1+$C$294)^(1/12)-1))^12-J308/12*(1+((1+$C$294)^(1/12)-1))*(((1+((1+$C$294)^(1/12)-1))^12-1)/((1+((1+$C$294)^(1/12)-1))-1)))</f>
      </c>
      <c r="Q309">
        <f>IF($C$289&lt;&gt;1,0,IFERROR((((1+($C$294+'Inputs'!$H$123/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f>
      </c>
      <c r="L310">
        <f>IF(J310&gt;0,1,0)</f>
      </c>
      <c r="P310">
        <f>IF($C$289&lt;&gt;1,0,P309*(1+((1+$C$294)^(1/12)-1))^12-J309/12*(1+((1+$C$294)^(1/12)-1))*(((1+((1+$C$294)^(1/12)-1))^12-1)/((1+((1+$C$294)^(1/12)-1))-1)))</f>
      </c>
      <c r="Q310">
        <f>IF($C$289&lt;&gt;1,0,IFERROR((((1+($C$294+'Inputs'!$H$123/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f>
      </c>
      <c r="L311">
        <f>IF(J311&gt;0,1,0)</f>
      </c>
      <c r="P311">
        <f>IF($C$289&lt;&gt;1,0,P310*(1+((1+$C$294)^(1/12)-1))^12-J310/12*(1+((1+$C$294)^(1/12)-1))*(((1+((1+$C$294)^(1/12)-1))^12-1)/((1+((1+$C$294)^(1/12)-1))-1)))</f>
      </c>
      <c r="Q311">
        <f>IF($C$289&lt;&gt;1,0,IFERROR((((1+($C$294+'Inputs'!$H$123/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f>
      </c>
      <c r="L312">
        <f>IF(J312&gt;0,1,0)</f>
      </c>
      <c r="P312">
        <f>IF($C$289&lt;&gt;1,0,P311*(1+((1+$C$294)^(1/12)-1))^12-J311/12*(1+((1+$C$294)^(1/12)-1))*(((1+((1+$C$294)^(1/12)-1))^12-1)/((1+((1+$C$294)^(1/12)-1))-1)))</f>
      </c>
      <c r="Q312">
        <f>IF($C$289&lt;&gt;1,0,IFERROR((((1+($C$294+'Inputs'!$H$123/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f>
      </c>
      <c r="L313">
        <f>IF(J313&gt;0,1,0)</f>
      </c>
      <c r="P313">
        <f>IF($C$289&lt;&gt;1,0,P312*(1+((1+$C$294)^(1/12)-1))^12-J312/12*(1+((1+$C$294)^(1/12)-1))*(((1+((1+$C$294)^(1/12)-1))^12-1)/((1+((1+$C$294)^(1/12)-1))-1)))</f>
      </c>
      <c r="Q313">
        <f>IF($C$289&lt;&gt;1,0,IFERROR((((1+($C$294+'Inputs'!$H$123/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f>
      </c>
      <c r="L314">
        <f>IF(J314&gt;0,1,0)</f>
      </c>
      <c r="P314">
        <f>IF($C$289&lt;&gt;1,0,P313*(1+((1+$C$294)^(1/12)-1))^12-J313/12*(1+((1+$C$294)^(1/12)-1))*(((1+((1+$C$294)^(1/12)-1))^12-1)/((1+((1+$C$294)^(1/12)-1))-1)))</f>
      </c>
      <c r="Q314">
        <f>IF($C$289&lt;&gt;1,0,IFERROR((((1+($C$294+'Inputs'!$H$123/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f>
      </c>
      <c r="L315">
        <f>IF(J315&gt;0,1,0)</f>
      </c>
      <c r="P315">
        <f>IF($C$289&lt;&gt;1,0,P314*(1+((1+$C$294)^(1/12)-1))^12-J314/12*(1+((1+$C$294)^(1/12)-1))*(((1+((1+$C$294)^(1/12)-1))^12-1)/((1+((1+$C$294)^(1/12)-1))-1)))</f>
      </c>
      <c r="Q315">
        <f>IF($C$289&lt;&gt;1,0,IFERROR((((1+($C$294+'Inputs'!$H$123/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f>
      </c>
      <c r="L316">
        <f>IF(J316&gt;0,1,0)</f>
      </c>
      <c r="P316">
        <f>IF($C$289&lt;&gt;1,0,P315*(1+((1+$C$294)^(1/12)-1))^12-J315/12*(1+((1+$C$294)^(1/12)-1))*(((1+((1+$C$294)^(1/12)-1))^12-1)/((1+((1+$C$294)^(1/12)-1))-1)))</f>
      </c>
      <c r="Q316">
        <f>IF($C$289&lt;&gt;1,0,IFERROR((((1+($C$294+'Inputs'!$H$123/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f>
      </c>
      <c r="L317">
        <f>IF(J317&gt;0,1,0)</f>
      </c>
      <c r="P317">
        <f>IF($C$289&lt;&gt;1,0,P316*(1+((1+$C$294)^(1/12)-1))^12-J316/12*(1+((1+$C$294)^(1/12)-1))*(((1+((1+$C$294)^(1/12)-1))^12-1)/((1+((1+$C$294)^(1/12)-1))-1)))</f>
      </c>
      <c r="Q317">
        <f>IF($C$289&lt;&gt;1,0,IFERROR((((1+($C$294+'Inputs'!$H$123/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f>
      </c>
      <c r="L318">
        <f>IF(J318&gt;0,1,0)</f>
      </c>
      <c r="P318">
        <f>IF($C$289&lt;&gt;1,0,P317*(1+((1+$C$294)^(1/12)-1))^12-J317/12*(1+((1+$C$294)^(1/12)-1))*(((1+((1+$C$294)^(1/12)-1))^12-1)/((1+((1+$C$294)^(1/12)-1))-1)))</f>
      </c>
      <c r="Q318">
        <f>IF($C$289&lt;&gt;1,0,IFERROR((((1+($C$294+'Inputs'!$H$123/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f>
      </c>
      <c r="L319">
        <f>IF(J319&gt;0,1,0)</f>
      </c>
      <c r="P319">
        <f>IF($C$289&lt;&gt;1,0,P318*(1+((1+$C$294)^(1/12)-1))^12-J318/12*(1+((1+$C$294)^(1/12)-1))*(((1+((1+$C$294)^(1/12)-1))^12-1)/((1+((1+$C$294)^(1/12)-1))-1)))</f>
      </c>
      <c r="Q319">
        <f>IF($C$289&lt;&gt;1,0,IFERROR((((1+($C$294+'Inputs'!$H$123/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f>
      </c>
      <c r="L320">
        <f>IF(J320&gt;0,1,0)</f>
      </c>
      <c r="P320">
        <f>IF($C$289&lt;&gt;1,0,P319*(1+((1+$C$294)^(1/12)-1))^12-J319/12*(1+((1+$C$294)^(1/12)-1))*(((1+((1+$C$294)^(1/12)-1))^12-1)/((1+((1+$C$294)^(1/12)-1))-1)))</f>
      </c>
      <c r="Q320">
        <f>IF($C$289&lt;&gt;1,0,IFERROR((((1+($C$294+'Inputs'!$H$123/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f>
      </c>
      <c r="L321">
        <f>IF(J321&gt;0,1,0)</f>
      </c>
      <c r="P321">
        <f>IF($C$289&lt;&gt;1,0,P320*(1+((1+$C$294)^(1/12)-1))^12-J320/12*(1+((1+$C$294)^(1/12)-1))*(((1+((1+$C$294)^(1/12)-1))^12-1)/((1+((1+$C$294)^(1/12)-1))-1)))</f>
      </c>
      <c r="Q321">
        <f>IF($C$289&lt;&gt;1,0,IFERROR((((1+($C$294+'Inputs'!$H$123/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f>
      </c>
      <c r="L322">
        <f>IF(J322&gt;0,1,0)</f>
      </c>
      <c r="P322">
        <f>IF($C$289&lt;&gt;1,0,P321*(1+((1+$C$294)^(1/12)-1))^12-J321/12*(1+((1+$C$294)^(1/12)-1))*(((1+((1+$C$294)^(1/12)-1))^12-1)/((1+((1+$C$294)^(1/12)-1))-1)))</f>
      </c>
      <c r="Q322">
        <f>IF($C$289&lt;&gt;1,0,IFERROR((((1+($C$294+'Inputs'!$H$123/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f>
      </c>
      <c r="L323">
        <f>IF(J323&gt;0,1,0)</f>
      </c>
      <c r="P323">
        <f>IF($C$289&lt;&gt;1,0,P322*(1+((1+$C$294)^(1/12)-1))^12-J322/12*(1+((1+$C$294)^(1/12)-1))*(((1+((1+$C$294)^(1/12)-1))^12-1)/((1+((1+$C$294)^(1/12)-1))-1)))</f>
      </c>
      <c r="Q323">
        <f>IF($C$289&lt;&gt;1,0,IFERROR((((1+($C$294+'Inputs'!$H$123/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f>
      </c>
      <c r="L324">
        <f>IF(J324&gt;0,1,0)</f>
      </c>
      <c r="P324">
        <f>IF($C$289&lt;&gt;1,0,P323*(1+((1+$C$294)^(1/12)-1))^12-J323/12*(1+((1+$C$294)^(1/12)-1))*(((1+((1+$C$294)^(1/12)-1))^12-1)/((1+((1+$C$294)^(1/12)-1))-1)))</f>
      </c>
      <c r="Q324">
        <f>IF($C$289&lt;&gt;1,0,IFERROR((((1+($C$294+'Inputs'!$H$123/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f>
      </c>
      <c r="L325">
        <f>IF(J325&gt;0,1,0)</f>
      </c>
      <c r="P325">
        <f>IF($C$289&lt;&gt;1,0,P324*(1+((1+$C$294)^(1/12)-1))^12-J324/12*(1+((1+$C$294)^(1/12)-1))*(((1+((1+$C$294)^(1/12)-1))^12-1)/((1+((1+$C$294)^(1/12)-1))-1)))</f>
      </c>
      <c r="Q325">
        <f>IF($C$289&lt;&gt;1,0,IFERROR((((1+($C$294+'Inputs'!$H$123/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f>
      </c>
      <c r="L326">
        <f>IF(J326&gt;0,1,0)</f>
      </c>
      <c r="P326">
        <f>IF($C$289&lt;&gt;1,0,P325*(1+((1+$C$294)^(1/12)-1))^12-J325/12*(1+((1+$C$294)^(1/12)-1))*(((1+((1+$C$294)^(1/12)-1))^12-1)/((1+((1+$C$294)^(1/12)-1))-1)))</f>
      </c>
      <c r="Q326">
        <f>IF($C$289&lt;&gt;1,0,IFERROR((((1+($C$294+'Inputs'!$H$123/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f>
      </c>
      <c r="L327">
        <f>IF(J327&gt;0,1,0)</f>
      </c>
      <c r="P327">
        <f>IF($C$289&lt;&gt;1,0,P326*(1+((1+$C$294)^(1/12)-1))^12-J326/12*(1+((1+$C$294)^(1/12)-1))*(((1+((1+$C$294)^(1/12)-1))^12-1)/((1+((1+$C$294)^(1/12)-1))-1)))</f>
      </c>
      <c r="Q327">
        <f>IF($C$289&lt;&gt;1,0,IFERROR((((1+($C$294+'Inputs'!$H$123/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f>
      </c>
      <c r="L328">
        <f>IF(J328&gt;0,1,0)</f>
      </c>
      <c r="P328">
        <f>IF($C$289&lt;&gt;1,0,P327*(1+((1+$C$294)^(1/12)-1))^12-J327/12*(1+((1+$C$294)^(1/12)-1))*(((1+((1+$C$294)^(1/12)-1))^12-1)/((1+((1+$C$294)^(1/12)-1))-1)))</f>
      </c>
      <c r="Q328">
        <f>IF($C$289&lt;&gt;1,0,IFERROR((((1+($C$294+'Inputs'!$H$123/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f>
      </c>
      <c r="L329">
        <f>IF(J329&gt;0,1,0)</f>
      </c>
      <c r="P329">
        <f>IF($C$289&lt;&gt;1,0,P328*(1+((1+$C$294)^(1/12)-1))^12-J328/12*(1+((1+$C$294)^(1/12)-1))*(((1+((1+$C$294)^(1/12)-1))^12-1)/((1+((1+$C$294)^(1/12)-1))-1)))</f>
      </c>
      <c r="Q329">
        <f>IF($C$289&lt;&gt;1,0,IFERROR((((1+($C$294+'Inputs'!$H$123/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f>
      </c>
      <c r="L330">
        <f>IF(J330&gt;0,1,0)</f>
      </c>
      <c r="P330">
        <f>IF($C$289&lt;&gt;1,0,P329*(1+((1+$C$294)^(1/12)-1))^12-J329/12*(1+((1+$C$294)^(1/12)-1))*(((1+((1+$C$294)^(1/12)-1))^12-1)/((1+((1+$C$294)^(1/12)-1))-1)))</f>
      </c>
      <c r="Q330">
        <f>IF($C$289&lt;&gt;1,0,IFERROR((((1+($C$294+'Inputs'!$H$123/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f>
      </c>
      <c r="L331">
        <f>IF(J331&gt;0,1,0)</f>
      </c>
      <c r="P331">
        <f>IF($C$289&lt;&gt;1,0,P330*(1+((1+$C$294)^(1/12)-1))^12-J330/12*(1+((1+$C$294)^(1/12)-1))*(((1+((1+$C$294)^(1/12)-1))^12-1)/((1+((1+$C$294)^(1/12)-1))-1)))</f>
      </c>
      <c r="Q331">
        <f>IF($C$289&lt;&gt;1,0,IFERROR((((1+($C$294+'Inputs'!$H$123/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f>
      </c>
      <c r="L332">
        <f>IF(J332&gt;0,1,0)</f>
      </c>
      <c r="P332">
        <f>IF($C$289&lt;&gt;1,0,P331*(1+((1+$C$294)^(1/12)-1))^12-J331/12*(1+((1+$C$294)^(1/12)-1))*(((1+((1+$C$294)^(1/12)-1))^12-1)/((1+((1+$C$294)^(1/12)-1))-1)))</f>
      </c>
      <c r="Q332">
        <f>IF($C$289&lt;&gt;1,0,IFERROR((((1+($C$294+'Inputs'!$H$123/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f>
      </c>
      <c r="L333">
        <f>IF(J333&gt;0,1,0)</f>
      </c>
      <c r="P333">
        <f>IF($C$289&lt;&gt;1,0,P332*(1+((1+$C$294)^(1/12)-1))^12-J332/12*(1+((1+$C$294)^(1/12)-1))*(((1+((1+$C$294)^(1/12)-1))^12-1)/((1+((1+$C$294)^(1/12)-1))-1)))</f>
      </c>
      <c r="Q333">
        <f>IF($C$289&lt;&gt;1,0,IFERROR((((1+($C$294+'Inputs'!$H$123/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118"/>
  <sheetFormatPr defaultRowHeight="15" outlineLevelRow="0" outlineLevelCol="0" x14ac:dyDescent="55"/>
  <cols>
    <col min="1" max="1" width="2" customWidth="1"/>
    <col min="2" max="2" width="28" customWidth="1"/>
  </cols>
  <sheetData>
    <row r="2" spans="3:5" x14ac:dyDescent="0.25">
      <c r="C2" t="s">
        <v>318</v>
      </c>
      <c r="E2" t="s">
        <v>319</v>
      </c>
    </row>
    <row r="3" spans="2:20" x14ac:dyDescent="0.25">
      <c r="B3" t="s">
        <v>320</v>
      </c>
      <c r="C3">
        <f>0</f>
      </c>
      <c r="E3">
        <f>1</f>
      </c>
      <c r="F3">
        <f>1</f>
      </c>
      <c r="G3">
        <f>1</f>
      </c>
      <c r="H3">
        <f>1</f>
      </c>
      <c r="I3">
        <f>1</f>
      </c>
      <c r="J3">
        <f>1</f>
      </c>
      <c r="K3">
        <f>1</f>
      </c>
      <c r="L3">
        <f>1</f>
      </c>
      <c r="M3">
        <f>1</f>
      </c>
      <c r="N3">
        <f>1</f>
      </c>
      <c r="O3">
        <f>1</f>
      </c>
      <c r="P3">
        <f>1</f>
      </c>
      <c r="Q3">
        <f>1</f>
      </c>
      <c r="R3">
        <f>1</f>
      </c>
      <c r="S3">
        <f>1</f>
      </c>
      <c r="T3">
        <f>1</f>
      </c>
    </row>
    <row r="4" spans="2:20" x14ac:dyDescent="0.25">
      <c r="B4" t="s">
        <v>321</v>
      </c>
      <c r="C4">
        <f>0</f>
      </c>
      <c r="E4">
        <f>0</f>
      </c>
      <c r="F4">
        <f>E112</f>
      </c>
      <c r="G4">
        <f>F112</f>
      </c>
      <c r="H4">
        <f>G112</f>
      </c>
      <c r="I4">
        <f>H112</f>
      </c>
      <c r="J4">
        <f>I112</f>
      </c>
      <c r="K4">
        <f>J112</f>
      </c>
      <c r="L4">
        <f>K112</f>
      </c>
      <c r="M4">
        <f>L112</f>
      </c>
      <c r="N4">
        <f>M112</f>
      </c>
      <c r="O4">
        <f>N112</f>
      </c>
      <c r="P4">
        <f>O112</f>
      </c>
      <c r="Q4">
        <f>IF(ROUND(P112,2)&gt;0,MAX(0,ROUND(P112,2)-0.01),0)</f>
      </c>
      <c r="R4">
        <f>ROUND(P112,2)</f>
      </c>
      <c r="S4">
        <f>IF(ROUND(P112,2)&gt;0,ROUND(P112,2)+0.01,0)</f>
      </c>
      <c r="T4">
        <f>IF(ROUND(P112,2)=0,0,IF(R45&lt;=0,ROUND(P112,2),IF(S45&lt;=0,ROUND(P112,2)+0.01,ROUND(P112,2)+0.02)))</f>
      </c>
    </row>
    <row r="5" spans="2:20" x14ac:dyDescent="0.25">
      <c r="B5" t="s">
        <v>322</v>
      </c>
      <c r="C5">
        <f>0</f>
      </c>
      <c r="E5">
        <f>0</f>
      </c>
      <c r="F5">
        <f>E113</f>
      </c>
      <c r="G5">
        <f>F113</f>
      </c>
      <c r="H5">
        <f>G113</f>
      </c>
      <c r="I5">
        <f>H113</f>
      </c>
      <c r="J5">
        <f>I113</f>
      </c>
      <c r="K5">
        <f>J113</f>
      </c>
      <c r="L5">
        <f>K113</f>
      </c>
      <c r="M5">
        <f>L113</f>
      </c>
      <c r="N5">
        <f>M113</f>
      </c>
      <c r="O5">
        <f>N113</f>
      </c>
      <c r="P5">
        <f>O113</f>
      </c>
      <c r="Q5">
        <f>IF(ROUND(P113,2)&gt;0,MAX(0,ROUND(P113,2)-0.01),0)</f>
      </c>
      <c r="R5">
        <f>ROUND(P113,2)</f>
      </c>
      <c r="S5">
        <f>IF(ROUND(P113,2)&gt;0,ROUND(P113,2)+0.01,0)</f>
      </c>
      <c r="T5">
        <f>IF(ROUND(P113,2)=0,0,IF(R57&lt;=0,ROUND(P113,2),IF(S57&lt;=0,ROUND(P113,2)+0.01,ROUND(P113,2)+0.02)))</f>
      </c>
    </row>
    <row r="6" spans="2:20" x14ac:dyDescent="0.25">
      <c r="B6" t="s">
        <v>323</v>
      </c>
      <c r="C6">
        <f>0</f>
      </c>
      <c r="E6">
        <f>0</f>
      </c>
      <c r="F6">
        <f>E114</f>
      </c>
      <c r="G6">
        <f>F114</f>
      </c>
      <c r="H6">
        <f>G114</f>
      </c>
      <c r="I6">
        <f>H114</f>
      </c>
      <c r="J6">
        <f>I114</f>
      </c>
      <c r="K6">
        <f>J114</f>
      </c>
      <c r="L6">
        <f>K114</f>
      </c>
      <c r="M6">
        <f>L114</f>
      </c>
      <c r="N6">
        <f>M114</f>
      </c>
      <c r="O6">
        <f>N114</f>
      </c>
      <c r="P6">
        <f>O114</f>
      </c>
      <c r="Q6">
        <f>IF(ROUND(P114,2)&gt;0,MAX(0,ROUND(P114,2)-0.01),0)</f>
      </c>
      <c r="R6">
        <f>ROUND(P114,2)</f>
      </c>
      <c r="S6">
        <f>IF(ROUND(P114,2)&gt;0,ROUND(P114,2)+0.01,0)</f>
      </c>
      <c r="T6">
        <f>IF(ROUND(P114,2)=0,0,IF(R69&lt;=0,ROUND(P114,2),IF(S69&lt;=0,ROUND(P114,2)+0.01,ROUND(P114,2)+0.02)))</f>
      </c>
    </row>
    <row r="7" spans="2:20" x14ac:dyDescent="0.25">
      <c r="B7" t="s">
        <v>324</v>
      </c>
      <c r="C7">
        <f>0</f>
      </c>
      <c r="E7">
        <f>0</f>
      </c>
      <c r="F7">
        <f>E115</f>
      </c>
      <c r="G7">
        <f>F115</f>
      </c>
      <c r="H7">
        <f>G115</f>
      </c>
      <c r="I7">
        <f>H115</f>
      </c>
      <c r="J7">
        <f>I115</f>
      </c>
      <c r="K7">
        <f>J115</f>
      </c>
      <c r="L7">
        <f>K115</f>
      </c>
      <c r="M7">
        <f>L115</f>
      </c>
      <c r="N7">
        <f>M115</f>
      </c>
      <c r="O7">
        <f>N115</f>
      </c>
      <c r="P7">
        <f>O115</f>
      </c>
      <c r="Q7">
        <f>IF(ROUND(P115,2)&gt;0,MAX(0,ROUND(P115,2)-0.01),0)</f>
      </c>
      <c r="R7">
        <f>ROUND(P115,2)</f>
      </c>
      <c r="S7">
        <f>IF(ROUND(P115,2)&gt;0,ROUND(P115,2)+0.01,0)</f>
      </c>
      <c r="T7">
        <f>IF(ROUND(P115,2)=0,0,IF(R81&lt;=0,ROUND(P115,2),IF(S81&lt;=0,ROUND(P115,2)+0.01,ROUND(P115,2)+0.02)))</f>
      </c>
    </row>
    <row r="8" spans="2:20" x14ac:dyDescent="0.25">
      <c r="B8" t="s">
        <v>325</v>
      </c>
      <c r="C8">
        <f>0</f>
      </c>
      <c r="E8">
        <f>0</f>
      </c>
      <c r="F8">
        <f>E116</f>
      </c>
      <c r="G8">
        <f>F116</f>
      </c>
      <c r="H8">
        <f>G116</f>
      </c>
      <c r="I8">
        <f>H116</f>
      </c>
      <c r="J8">
        <f>I116</f>
      </c>
      <c r="K8">
        <f>J116</f>
      </c>
      <c r="L8">
        <f>K116</f>
      </c>
      <c r="M8">
        <f>L116</f>
      </c>
      <c r="N8">
        <f>M116</f>
      </c>
      <c r="O8">
        <f>N116</f>
      </c>
      <c r="P8">
        <f>O116</f>
      </c>
      <c r="Q8">
        <f>IF(ROUND(P116,2)&gt;0,MAX(0,ROUND(P116,2)-0.01),0)</f>
      </c>
      <c r="R8">
        <f>ROUND(P116,2)</f>
      </c>
      <c r="S8">
        <f>IF(ROUND(P116,2)&gt;0,ROUND(P116,2)+0.01,0)</f>
      </c>
      <c r="T8">
        <f>IF(ROUND(P116,2)=0,0,IF(R93&lt;=0,ROUND(P116,2),IF(S93&lt;=0,ROUND(P116,2)+0.01,ROUND(P116,2)+0.02)))</f>
      </c>
    </row>
    <row r="9" spans="2:20" x14ac:dyDescent="0.25">
      <c r="B9" t="s">
        <v>326</v>
      </c>
      <c r="C9">
        <f>0</f>
      </c>
      <c r="E9">
        <f>0</f>
      </c>
      <c r="F9">
        <f>E117</f>
      </c>
      <c r="G9">
        <f>F117</f>
      </c>
      <c r="H9">
        <f>G117</f>
      </c>
      <c r="I9">
        <f>H117</f>
      </c>
      <c r="J9">
        <f>I117</f>
      </c>
      <c r="K9">
        <f>J117</f>
      </c>
      <c r="L9">
        <f>K117</f>
      </c>
      <c r="M9">
        <f>L117</f>
      </c>
      <c r="N9">
        <f>M117</f>
      </c>
      <c r="O9">
        <f>N117</f>
      </c>
      <c r="P9">
        <f>O117</f>
      </c>
      <c r="Q9">
        <f>IF(ROUND(P117,2)&gt;0,MAX(0,ROUND(P117,2)-0.01),0)</f>
      </c>
      <c r="R9">
        <f>ROUND(P117,2)</f>
      </c>
      <c r="S9">
        <f>IF(ROUND(P117,2)&gt;0,ROUND(P117,2)+0.01,0)</f>
      </c>
      <c r="T9">
        <f>IF(ROUND(P117,2)=0,0,IF(R105&lt;=0,ROUND(P117,2),IF(S105&lt;=0,ROUND(P117,2)+0.01,ROUND(P117,2)+0.02)))</f>
      </c>
    </row>
    <row r="10" spans="2:20" x14ac:dyDescent="0.25">
      <c r="B10" t="s">
        <v>327</v>
      </c>
      <c r="C10">
        <f>0</f>
      </c>
      <c r="E10">
        <f>0</f>
      </c>
      <c r="F10">
        <f>E118</f>
      </c>
      <c r="G10">
        <f>F118</f>
      </c>
      <c r="H10">
        <f>G118</f>
      </c>
      <c r="I10">
        <f>H118</f>
      </c>
      <c r="J10">
        <f>I118</f>
      </c>
      <c r="K10">
        <f>J118</f>
      </c>
      <c r="L10">
        <f>K118</f>
      </c>
      <c r="M10">
        <f>L118</f>
      </c>
      <c r="N10">
        <f>M118</f>
      </c>
      <c r="O10">
        <f>N118</f>
      </c>
      <c r="P10">
        <f>O118</f>
      </c>
      <c r="Q10">
        <f>IF(ROUND(P118,2)&gt;0,MAX(0,ROUND(P118,2)-0.01),0)</f>
      </c>
      <c r="R10">
        <f>ROUND(P118,2)</f>
      </c>
      <c r="S10">
        <f>IF(ROUND(P118,2)&gt;0,ROUND(P118,2)+0.01,0)</f>
      </c>
      <c r="T10">
        <f>IF(ROUND(P118,2)=0,0,IF(R27&lt;=0,ROUND(P118,2),IF(S27&lt;=0,ROUND(P118,2)+0.01,ROUND(P118,2)+0.02)))</f>
      </c>
    </row>
    <row r="11" spans="2:20" x14ac:dyDescent="0.25">
      <c r="B11" t="s">
        <v>328</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329</v>
      </c>
      <c r="C12">
        <f>IF(C10&gt;0,ROUND(('Inputs'!$C$120/100*(1+'Inputs'!$C$121/100))*('Workings'!$C$21+C10),2)+'Workings'!$C$31,0)</f>
      </c>
      <c r="E12">
        <f>IF(E10&gt;0,ROUND(('Inputs'!$C$120/100*(1+'Inputs'!$C$121/100))*('Workings'!$C$21+E10),2)+'Workings'!$C$31,0)</f>
      </c>
      <c r="F12">
        <f>IF(F10&gt;0,ROUND(('Inputs'!$C$120/100*(1+'Inputs'!$C$121/100))*('Workings'!$C$21+F10),2)+'Workings'!$C$31,0)</f>
      </c>
      <c r="G12">
        <f>IF(G10&gt;0,ROUND(('Inputs'!$C$120/100*(1+'Inputs'!$C$121/100))*('Workings'!$C$21+G10),2)+'Workings'!$C$31,0)</f>
      </c>
      <c r="H12">
        <f>IF(H10&gt;0,ROUND(('Inputs'!$C$120/100*(1+'Inputs'!$C$121/100))*('Workings'!$C$21+H10),2)+'Workings'!$C$31,0)</f>
      </c>
      <c r="I12">
        <f>IF(I10&gt;0,ROUND(('Inputs'!$C$120/100*(1+'Inputs'!$C$121/100))*('Workings'!$C$21+I10),2)+'Workings'!$C$31,0)</f>
      </c>
      <c r="J12">
        <f>IF(J10&gt;0,ROUND(('Inputs'!$C$120/100*(1+'Inputs'!$C$121/100))*('Workings'!$C$21+J10),2)+'Workings'!$C$31,0)</f>
      </c>
      <c r="K12">
        <f>IF(K10&gt;0,ROUND(('Inputs'!$C$120/100*(1+'Inputs'!$C$121/100))*('Workings'!$C$21+K10),2)+'Workings'!$C$31,0)</f>
      </c>
      <c r="L12">
        <f>IF(L10&gt;0,ROUND(('Inputs'!$C$120/100*(1+'Inputs'!$C$121/100))*('Workings'!$C$21+L10),2)+'Workings'!$C$31,0)</f>
      </c>
      <c r="M12">
        <f>IF(M10&gt;0,ROUND(('Inputs'!$C$120/100*(1+'Inputs'!$C$121/100))*('Workings'!$C$21+M10),2)+'Workings'!$C$31,0)</f>
      </c>
      <c r="N12">
        <f>IF(N10&gt;0,ROUND(('Inputs'!$C$120/100*(1+'Inputs'!$C$121/100))*('Workings'!$C$21+N10),2)+'Workings'!$C$31,0)</f>
      </c>
      <c r="O12">
        <f>IF(O10&gt;0,ROUND(('Inputs'!$C$120/100*(1+'Inputs'!$C$121/100))*('Workings'!$C$21+O10),2)+'Workings'!$C$31,0)</f>
      </c>
      <c r="P12">
        <f>IF(P10&gt;0,ROUND(('Inputs'!$C$120/100*(1+'Inputs'!$C$121/100))*('Workings'!$C$21+P10),2)+'Workings'!$C$31,0)</f>
      </c>
      <c r="Q12">
        <f>IF(Q10&gt;0,ROUND(('Inputs'!$C$120/100*(1+'Inputs'!$C$121/100))*('Workings'!$C$21+Q10),2)+'Workings'!$C$31,0)</f>
      </c>
      <c r="R12">
        <f>IF(R10&gt;0,ROUND(('Inputs'!$C$120/100*(1+'Inputs'!$C$121/100))*('Workings'!$C$21+R10),2)+'Workings'!$C$31,0)</f>
      </c>
      <c r="S12">
        <f>IF(S10&gt;0,ROUND(('Inputs'!$C$120/100*(1+'Inputs'!$C$121/100))*('Workings'!$C$21+S10),2)+'Workings'!$C$31,0)</f>
      </c>
      <c r="T12">
        <f>IF(T10&gt;0,ROUND(('Inputs'!$C$120/100*(1+'Inputs'!$C$121/100))*('Workings'!$C$21+T10),2)+'Workings'!$C$31,0)</f>
      </c>
    </row>
    <row r="13" spans="2:20" x14ac:dyDescent="0.25">
      <c r="B13" t="s">
        <v>330</v>
      </c>
      <c r="C13">
        <f>ROUND('Workings'!$C$35+C10-C12,2)</f>
      </c>
      <c r="E13">
        <f>ROUND('Workings'!$C$35+E10-E12,2)</f>
      </c>
      <c r="F13">
        <f>ROUND('Workings'!$C$35+F10-F12,2)</f>
      </c>
      <c r="G13">
        <f>ROUND('Workings'!$C$35+G10-G12,2)</f>
      </c>
      <c r="H13">
        <f>ROUND('Workings'!$C$35+H10-H12,2)</f>
      </c>
      <c r="I13">
        <f>ROUND('Workings'!$C$35+I10-I12,2)</f>
      </c>
      <c r="J13">
        <f>ROUND('Workings'!$C$35+J10-J12,2)</f>
      </c>
      <c r="K13">
        <f>ROUND('Workings'!$C$35+K10-K12,2)</f>
      </c>
      <c r="L13">
        <f>ROUND('Workings'!$C$35+L10-L12,2)</f>
      </c>
      <c r="M13">
        <f>ROUND('Workings'!$C$35+M10-M12,2)</f>
      </c>
      <c r="N13">
        <f>ROUND('Workings'!$C$35+N10-N12,2)</f>
      </c>
      <c r="O13">
        <f>ROUND('Workings'!$C$35+O10-O12,2)</f>
      </c>
      <c r="P13">
        <f>ROUND('Workings'!$C$35+P10-P12,2)</f>
      </c>
      <c r="Q13">
        <f>ROUND('Workings'!$C$35+Q10-Q12,2)</f>
      </c>
      <c r="R13">
        <f>ROUND('Workings'!$C$35+R10-R12,2)</f>
      </c>
      <c r="S13">
        <f>ROUND('Workings'!$C$35+S10-S12,2)</f>
      </c>
      <c r="T13">
        <f>ROUND('Workings'!$C$35+T10-T12,2)</f>
      </c>
    </row>
    <row r="14" spans="2:20" x14ac:dyDescent="0.25">
      <c r="B14" t="s">
        <v>331</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332</v>
      </c>
      <c r="C15">
        <f>IF(OR(LEFT('Inputs'!$C$13,7)="Married",'Inputs'!$C$13="Life partner",'Inputs'!$C$13="Civil Union"),SUM('Inputs'!$R$22:$R$39)*C14+IF('Inputs'!$C$14="Spouse",MAX(0,C13),0),0)</f>
      </c>
      <c r="E15">
        <f>IF(OR(LEFT('Inputs'!$C$13,7)="Married",'Inputs'!$C$13="Life partner",'Inputs'!$C$13="Civil Union"),SUM('Inputs'!$R$22:$R$39)*E14+IF('Inputs'!$C$14="Spouse",MAX(0,E13),0),0)</f>
      </c>
      <c r="F15">
        <f>IF(OR(LEFT('Inputs'!$C$13,7)="Married",'Inputs'!$C$13="Life partner",'Inputs'!$C$13="Civil Union"),SUM('Inputs'!$R$22:$R$39)*F14+IF('Inputs'!$C$14="Spouse",MAX(0,F13),0),0)</f>
      </c>
      <c r="G15">
        <f>IF(OR(LEFT('Inputs'!$C$13,7)="Married",'Inputs'!$C$13="Life partner",'Inputs'!$C$13="Civil Union"),SUM('Inputs'!$R$22:$R$39)*G14+IF('Inputs'!$C$14="Spouse",MAX(0,G13),0),0)</f>
      </c>
      <c r="H15">
        <f>IF(OR(LEFT('Inputs'!$C$13,7)="Married",'Inputs'!$C$13="Life partner",'Inputs'!$C$13="Civil Union"),SUM('Inputs'!$R$22:$R$39)*H14+IF('Inputs'!$C$14="Spouse",MAX(0,H13),0),0)</f>
      </c>
      <c r="I15">
        <f>IF(OR(LEFT('Inputs'!$C$13,7)="Married",'Inputs'!$C$13="Life partner",'Inputs'!$C$13="Civil Union"),SUM('Inputs'!$R$22:$R$39)*I14+IF('Inputs'!$C$14="Spouse",MAX(0,I13),0),0)</f>
      </c>
      <c r="J15">
        <f>IF(OR(LEFT('Inputs'!$C$13,7)="Married",'Inputs'!$C$13="Life partner",'Inputs'!$C$13="Civil Union"),SUM('Inputs'!$R$22:$R$39)*J14+IF('Inputs'!$C$14="Spouse",MAX(0,J13),0),0)</f>
      </c>
      <c r="K15">
        <f>IF(OR(LEFT('Inputs'!$C$13,7)="Married",'Inputs'!$C$13="Life partner",'Inputs'!$C$13="Civil Union"),SUM('Inputs'!$R$22:$R$39)*K14+IF('Inputs'!$C$14="Spouse",MAX(0,K13),0),0)</f>
      </c>
      <c r="L15">
        <f>IF(OR(LEFT('Inputs'!$C$13,7)="Married",'Inputs'!$C$13="Life partner",'Inputs'!$C$13="Civil Union"),SUM('Inputs'!$R$22:$R$39)*L14+IF('Inputs'!$C$14="Spouse",MAX(0,L13),0),0)</f>
      </c>
      <c r="M15">
        <f>IF(OR(LEFT('Inputs'!$C$13,7)="Married",'Inputs'!$C$13="Life partner",'Inputs'!$C$13="Civil Union"),SUM('Inputs'!$R$22:$R$39)*M14+IF('Inputs'!$C$14="Spouse",MAX(0,M13),0),0)</f>
      </c>
      <c r="N15">
        <f>IF(OR(LEFT('Inputs'!$C$13,7)="Married",'Inputs'!$C$13="Life partner",'Inputs'!$C$13="Civil Union"),SUM('Inputs'!$R$22:$R$39)*N14+IF('Inputs'!$C$14="Spouse",MAX(0,N13),0),0)</f>
      </c>
      <c r="O15">
        <f>IF(OR(LEFT('Inputs'!$C$13,7)="Married",'Inputs'!$C$13="Life partner",'Inputs'!$C$13="Civil Union"),SUM('Inputs'!$R$22:$R$39)*O14+IF('Inputs'!$C$14="Spouse",MAX(0,O13),0),0)</f>
      </c>
      <c r="P15">
        <f>IF(OR(LEFT('Inputs'!$C$13,7)="Married",'Inputs'!$C$13="Life partner",'Inputs'!$C$13="Civil Union"),SUM('Inputs'!$R$22:$R$39)*P14+IF('Inputs'!$C$14="Spouse",MAX(0,P13),0),0)</f>
      </c>
      <c r="Q15">
        <f>IF(OR(LEFT('Inputs'!$C$13,7)="Married",'Inputs'!$C$13="Life partner",'Inputs'!$C$13="Civil Union"),SUM('Inputs'!$R$22:$R$39)*Q14+IF('Inputs'!$C$14="Spouse",MAX(0,Q13),0),0)</f>
      </c>
      <c r="R15">
        <f>IF(OR(LEFT('Inputs'!$C$13,7)="Married",'Inputs'!$C$13="Life partner",'Inputs'!$C$13="Civil Union"),SUM('Inputs'!$R$22:$R$39)*R14+IF('Inputs'!$C$14="Spouse",MAX(0,R13),0),0)</f>
      </c>
      <c r="S15">
        <f>IF(OR(LEFT('Inputs'!$C$13,7)="Married",'Inputs'!$C$13="Life partner",'Inputs'!$C$13="Civil Union"),SUM('Inputs'!$R$22:$R$39)*S14+IF('Inputs'!$C$14="Spouse",MAX(0,S13),0),0)</f>
      </c>
      <c r="T15">
        <f>IF(OR(LEFT('Inputs'!$C$13,7)="Married",'Inputs'!$C$13="Life partner",'Inputs'!$C$13="Civil Union"),SUM('Inputs'!$R$22:$R$39)*T14+IF('Inputs'!$C$14="Spouse",MAX(0,T13),0),0)</f>
      </c>
    </row>
    <row r="16" spans="2:20" x14ac:dyDescent="0.25">
      <c r="B16" t="s">
        <v>333</v>
      </c>
      <c r="C16">
        <f>ROUND('Workings'!$C$38+C11+C10-C12-(C15+'Workings'!$C$37),2)</f>
      </c>
      <c r="E16">
        <f>ROUND('Workings'!$C$38+E11+E10-E12-(E15+'Workings'!$C$37),2)</f>
      </c>
      <c r="F16">
        <f>ROUND('Workings'!$C$38+F11+F10-F12-(F15+'Workings'!$C$37),2)</f>
      </c>
      <c r="G16">
        <f>ROUND('Workings'!$C$38+G11+G10-G12-(G15+'Workings'!$C$37),2)</f>
      </c>
      <c r="H16">
        <f>ROUND('Workings'!$C$38+H11+H10-H12-(H15+'Workings'!$C$37),2)</f>
      </c>
      <c r="I16">
        <f>ROUND('Workings'!$C$38+I11+I10-I12-(I15+'Workings'!$C$37),2)</f>
      </c>
      <c r="J16">
        <f>ROUND('Workings'!$C$38+J11+J10-J12-(J15+'Workings'!$C$37),2)</f>
      </c>
      <c r="K16">
        <f>ROUND('Workings'!$C$38+K11+K10-K12-(K15+'Workings'!$C$37),2)</f>
      </c>
      <c r="L16">
        <f>ROUND('Workings'!$C$38+L11+L10-L12-(L15+'Workings'!$C$37),2)</f>
      </c>
      <c r="M16">
        <f>ROUND('Workings'!$C$38+M11+M10-M12-(M15+'Workings'!$C$37),2)</f>
      </c>
      <c r="N16">
        <f>ROUND('Workings'!$C$38+N11+N10-N12-(N15+'Workings'!$C$37),2)</f>
      </c>
      <c r="O16">
        <f>ROUND('Workings'!$C$38+O11+O10-O12-(O15+'Workings'!$C$37),2)</f>
      </c>
      <c r="P16">
        <f>ROUND('Workings'!$C$38+P11+P10-P12-(P15+'Workings'!$C$37),2)</f>
      </c>
      <c r="Q16">
        <f>ROUND('Workings'!$C$38+Q11+Q10-Q12-(Q15+'Workings'!$C$37),2)</f>
      </c>
      <c r="R16">
        <f>ROUND('Workings'!$C$38+R11+R10-R12-(R15+'Workings'!$C$37),2)</f>
      </c>
      <c r="S16">
        <f>ROUND('Workings'!$C$38+S11+S10-S12-(S15+'Workings'!$C$37),2)</f>
      </c>
      <c r="T16">
        <f>ROUND('Workings'!$C$38+T11+T10-T12-(T15+'Workings'!$C$37),2)</f>
      </c>
    </row>
    <row r="17" spans="2:20" x14ac:dyDescent="0.25">
      <c r="B17" t="s">
        <v>334</v>
      </c>
      <c r="C17">
        <f>ROUND(IF(MAX(0,C16-'Inputs'!$C$127)&lt;='Inputs'!$C$129,MAX(0,C16-'Inputs'!$C$127)*'Inputs'!$C$128/100,'Inputs'!$C$129*'Inputs'!$C$128/100+(MAX(0,C16-'Inputs'!$C$127)-'Inputs'!$C$129)*'Inputs'!$C$130/100),2)</f>
      </c>
      <c r="E17">
        <f>ROUND(IF(MAX(0,E16-'Inputs'!$C$127)&lt;='Inputs'!$C$129,MAX(0,E16-'Inputs'!$C$127)*'Inputs'!$C$128/100,'Inputs'!$C$129*'Inputs'!$C$128/100+(MAX(0,E16-'Inputs'!$C$127)-'Inputs'!$C$129)*'Inputs'!$C$130/100),2)</f>
      </c>
      <c r="F17">
        <f>ROUND(IF(MAX(0,F16-'Inputs'!$C$127)&lt;='Inputs'!$C$129,MAX(0,F16-'Inputs'!$C$127)*'Inputs'!$C$128/100,'Inputs'!$C$129*'Inputs'!$C$128/100+(MAX(0,F16-'Inputs'!$C$127)-'Inputs'!$C$129)*'Inputs'!$C$130/100),2)</f>
      </c>
      <c r="G17">
        <f>ROUND(IF(MAX(0,G16-'Inputs'!$C$127)&lt;='Inputs'!$C$129,MAX(0,G16-'Inputs'!$C$127)*'Inputs'!$C$128/100,'Inputs'!$C$129*'Inputs'!$C$128/100+(MAX(0,G16-'Inputs'!$C$127)-'Inputs'!$C$129)*'Inputs'!$C$130/100),2)</f>
      </c>
      <c r="H17">
        <f>ROUND(IF(MAX(0,H16-'Inputs'!$C$127)&lt;='Inputs'!$C$129,MAX(0,H16-'Inputs'!$C$127)*'Inputs'!$C$128/100,'Inputs'!$C$129*'Inputs'!$C$128/100+(MAX(0,H16-'Inputs'!$C$127)-'Inputs'!$C$129)*'Inputs'!$C$130/100),2)</f>
      </c>
      <c r="I17">
        <f>ROUND(IF(MAX(0,I16-'Inputs'!$C$127)&lt;='Inputs'!$C$129,MAX(0,I16-'Inputs'!$C$127)*'Inputs'!$C$128/100,'Inputs'!$C$129*'Inputs'!$C$128/100+(MAX(0,I16-'Inputs'!$C$127)-'Inputs'!$C$129)*'Inputs'!$C$130/100),2)</f>
      </c>
      <c r="J17">
        <f>ROUND(IF(MAX(0,J16-'Inputs'!$C$127)&lt;='Inputs'!$C$129,MAX(0,J16-'Inputs'!$C$127)*'Inputs'!$C$128/100,'Inputs'!$C$129*'Inputs'!$C$128/100+(MAX(0,J16-'Inputs'!$C$127)-'Inputs'!$C$129)*'Inputs'!$C$130/100),2)</f>
      </c>
      <c r="K17">
        <f>ROUND(IF(MAX(0,K16-'Inputs'!$C$127)&lt;='Inputs'!$C$129,MAX(0,K16-'Inputs'!$C$127)*'Inputs'!$C$128/100,'Inputs'!$C$129*'Inputs'!$C$128/100+(MAX(0,K16-'Inputs'!$C$127)-'Inputs'!$C$129)*'Inputs'!$C$130/100),2)</f>
      </c>
      <c r="L17">
        <f>ROUND(IF(MAX(0,L16-'Inputs'!$C$127)&lt;='Inputs'!$C$129,MAX(0,L16-'Inputs'!$C$127)*'Inputs'!$C$128/100,'Inputs'!$C$129*'Inputs'!$C$128/100+(MAX(0,L16-'Inputs'!$C$127)-'Inputs'!$C$129)*'Inputs'!$C$130/100),2)</f>
      </c>
      <c r="M17">
        <f>ROUND(IF(MAX(0,M16-'Inputs'!$C$127)&lt;='Inputs'!$C$129,MAX(0,M16-'Inputs'!$C$127)*'Inputs'!$C$128/100,'Inputs'!$C$129*'Inputs'!$C$128/100+(MAX(0,M16-'Inputs'!$C$127)-'Inputs'!$C$129)*'Inputs'!$C$130/100),2)</f>
      </c>
      <c r="N17">
        <f>ROUND(IF(MAX(0,N16-'Inputs'!$C$127)&lt;='Inputs'!$C$129,MAX(0,N16-'Inputs'!$C$127)*'Inputs'!$C$128/100,'Inputs'!$C$129*'Inputs'!$C$128/100+(MAX(0,N16-'Inputs'!$C$127)-'Inputs'!$C$129)*'Inputs'!$C$130/100),2)</f>
      </c>
      <c r="O17">
        <f>ROUND(IF(MAX(0,O16-'Inputs'!$C$127)&lt;='Inputs'!$C$129,MAX(0,O16-'Inputs'!$C$127)*'Inputs'!$C$128/100,'Inputs'!$C$129*'Inputs'!$C$128/100+(MAX(0,O16-'Inputs'!$C$127)-'Inputs'!$C$129)*'Inputs'!$C$130/100),2)</f>
      </c>
      <c r="P17">
        <f>ROUND(IF(MAX(0,P16-'Inputs'!$C$127)&lt;='Inputs'!$C$129,MAX(0,P16-'Inputs'!$C$127)*'Inputs'!$C$128/100,'Inputs'!$C$129*'Inputs'!$C$128/100+(MAX(0,P16-'Inputs'!$C$127)-'Inputs'!$C$129)*'Inputs'!$C$130/100),2)</f>
      </c>
      <c r="Q17">
        <f>ROUND(IF(MAX(0,Q16-'Inputs'!$C$127)&lt;='Inputs'!$C$129,MAX(0,Q16-'Inputs'!$C$127)*'Inputs'!$C$128/100,'Inputs'!$C$129*'Inputs'!$C$128/100+(MAX(0,Q16-'Inputs'!$C$127)-'Inputs'!$C$129)*'Inputs'!$C$130/100),2)</f>
      </c>
      <c r="R17">
        <f>ROUND(IF(MAX(0,R16-'Inputs'!$C$127)&lt;='Inputs'!$C$129,MAX(0,R16-'Inputs'!$C$127)*'Inputs'!$C$128/100,'Inputs'!$C$129*'Inputs'!$C$128/100+(MAX(0,R16-'Inputs'!$C$127)-'Inputs'!$C$129)*'Inputs'!$C$130/100),2)</f>
      </c>
      <c r="S17">
        <f>ROUND(IF(MAX(0,S16-'Inputs'!$C$127)&lt;='Inputs'!$C$129,MAX(0,S16-'Inputs'!$C$127)*'Inputs'!$C$128/100,'Inputs'!$C$129*'Inputs'!$C$128/100+(MAX(0,S16-'Inputs'!$C$127)-'Inputs'!$C$129)*'Inputs'!$C$130/100),2)</f>
      </c>
      <c r="T17">
        <f>ROUND(IF(MAX(0,T16-'Inputs'!$C$127)&lt;='Inputs'!$C$129,MAX(0,T16-'Inputs'!$C$127)*'Inputs'!$C$128/100,'Inputs'!$C$129*'Inputs'!$C$128/100+(MAX(0,T16-'Inputs'!$C$127)-'Inputs'!$C$129)*'Inputs'!$C$130/100),2)</f>
      </c>
    </row>
    <row r="18" spans="2:20" x14ac:dyDescent="0.25">
      <c r="B18" t="s">
        <v>335</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336</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337</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338</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339</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340</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341</v>
      </c>
      <c r="C24">
        <f>ROUND('Workings'!$C$65-'Workings'!$C$51+C23+C12,2)</f>
      </c>
      <c r="E24">
        <f>ROUND('Workings'!$C$65-'Workings'!$C$51+E23+E12,2)</f>
      </c>
      <c r="F24">
        <f>ROUND('Workings'!$C$65-'Workings'!$C$51+F23+F12,2)</f>
      </c>
      <c r="G24">
        <f>ROUND('Workings'!$C$65-'Workings'!$C$51+G23+G12,2)</f>
      </c>
      <c r="H24">
        <f>ROUND('Workings'!$C$65-'Workings'!$C$51+H23+H12,2)</f>
      </c>
      <c r="I24">
        <f>ROUND('Workings'!$C$65-'Workings'!$C$51+I23+I12,2)</f>
      </c>
      <c r="J24">
        <f>ROUND('Workings'!$C$65-'Workings'!$C$51+J23+J12,2)</f>
      </c>
      <c r="K24">
        <f>ROUND('Workings'!$C$65-'Workings'!$C$51+K23+K12,2)</f>
      </c>
      <c r="L24">
        <f>ROUND('Workings'!$C$65-'Workings'!$C$51+L23+L12,2)</f>
      </c>
      <c r="M24">
        <f>ROUND('Workings'!$C$65-'Workings'!$C$51+M23+M12,2)</f>
      </c>
      <c r="N24">
        <f>ROUND('Workings'!$C$65-'Workings'!$C$51+N23+N12,2)</f>
      </c>
      <c r="O24">
        <f>ROUND('Workings'!$C$65-'Workings'!$C$51+O23+O12,2)</f>
      </c>
      <c r="P24">
        <f>ROUND('Workings'!$C$65-'Workings'!$C$51+P23+P12,2)</f>
      </c>
      <c r="Q24">
        <f>ROUND('Workings'!$C$65-'Workings'!$C$51+Q23+Q12,2)</f>
      </c>
      <c r="R24">
        <f>ROUND('Workings'!$C$65-'Workings'!$C$51+R23+R12,2)</f>
      </c>
      <c r="S24">
        <f>ROUND('Workings'!$C$65-'Workings'!$C$51+S23+S12,2)</f>
      </c>
      <c r="T24">
        <f>ROUND('Workings'!$C$65-'Workings'!$C$51+T23+T12,2)</f>
      </c>
    </row>
    <row r="25" spans="2:20" x14ac:dyDescent="0.25">
      <c r="B25" t="s">
        <v>342</v>
      </c>
      <c r="C25">
        <f>ROUND('Workings'!$C$68+C10,2)</f>
      </c>
      <c r="E25">
        <f>ROUND('Workings'!$C$68+E10,2)</f>
      </c>
      <c r="F25">
        <f>ROUND('Workings'!$C$68+F10,2)</f>
      </c>
      <c r="G25">
        <f>ROUND('Workings'!$C$68+G10,2)</f>
      </c>
      <c r="H25">
        <f>ROUND('Workings'!$C$68+H10,2)</f>
      </c>
      <c r="I25">
        <f>ROUND('Workings'!$C$68+I10,2)</f>
      </c>
      <c r="J25">
        <f>ROUND('Workings'!$C$68+J10,2)</f>
      </c>
      <c r="K25">
        <f>ROUND('Workings'!$C$68+K10,2)</f>
      </c>
      <c r="L25">
        <f>ROUND('Workings'!$C$68+L10,2)</f>
      </c>
      <c r="M25">
        <f>ROUND('Workings'!$C$68+M10,2)</f>
      </c>
      <c r="N25">
        <f>ROUND('Workings'!$C$68+N10,2)</f>
      </c>
      <c r="O25">
        <f>ROUND('Workings'!$C$68+O10,2)</f>
      </c>
      <c r="P25">
        <f>ROUND('Workings'!$C$68+P10,2)</f>
      </c>
      <c r="Q25">
        <f>ROUND('Workings'!$C$68+Q10,2)</f>
      </c>
      <c r="R25">
        <f>ROUND('Workings'!$C$68+R10,2)</f>
      </c>
      <c r="S25">
        <f>ROUND('Workings'!$C$68+S10,2)</f>
      </c>
      <c r="T25">
        <f>ROUND('Workings'!$C$68+T10,2)</f>
      </c>
    </row>
    <row r="26" spans="2:20" x14ac:dyDescent="0.25">
      <c r="B26" t="s">
        <v>343</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344</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345</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346</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347</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348</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349</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350</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351</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352</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353</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354</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355</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356</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357</v>
      </c>
      <c r="C40">
        <f>IF('Inputs'!$B$100="",0,IF('Inputs'!$U$100=1,0,ROUND(C47+'Inputs'!$O$100*('Inputs'!$U$100*C47+'Inputs'!$U$101*C59+'Inputs'!$U$102*C71+'Inputs'!$U$103*C83+'Inputs'!$U$104*C95+'Inputs'!$U$105*C107),2)))</f>
      </c>
      <c r="E40">
        <f>IF('Inputs'!$B$100="",0,IF('Inputs'!$U$100=1,0,ROUND(E47+'Inputs'!$O$100*('Inputs'!$U$100*E47+'Inputs'!$U$101*E59+'Inputs'!$U$102*E71+'Inputs'!$U$103*E83+'Inputs'!$U$104*E95+'Inputs'!$U$105*E107),2)))</f>
      </c>
      <c r="F40">
        <f>IF('Inputs'!$B$100="",0,IF('Inputs'!$U$100=1,0,ROUND(F47+'Inputs'!$O$100*('Inputs'!$U$100*F47+'Inputs'!$U$101*F59+'Inputs'!$U$102*F71+'Inputs'!$U$103*F83+'Inputs'!$U$104*F95+'Inputs'!$U$105*F107),2)))</f>
      </c>
      <c r="G40">
        <f>IF('Inputs'!$B$100="",0,IF('Inputs'!$U$100=1,0,ROUND(G47+'Inputs'!$O$100*('Inputs'!$U$100*G47+'Inputs'!$U$101*G59+'Inputs'!$U$102*G71+'Inputs'!$U$103*G83+'Inputs'!$U$104*G95+'Inputs'!$U$105*G107),2)))</f>
      </c>
      <c r="H40">
        <f>IF('Inputs'!$B$100="",0,IF('Inputs'!$U$100=1,0,ROUND(H47+'Inputs'!$O$100*('Inputs'!$U$100*H47+'Inputs'!$U$101*H59+'Inputs'!$U$102*H71+'Inputs'!$U$103*H83+'Inputs'!$U$104*H95+'Inputs'!$U$105*H107),2)))</f>
      </c>
      <c r="I40">
        <f>IF('Inputs'!$B$100="",0,IF('Inputs'!$U$100=1,0,ROUND(I47+'Inputs'!$O$100*('Inputs'!$U$100*I47+'Inputs'!$U$101*I59+'Inputs'!$U$102*I71+'Inputs'!$U$103*I83+'Inputs'!$U$104*I95+'Inputs'!$U$105*I107),2)))</f>
      </c>
      <c r="J40">
        <f>IF('Inputs'!$B$100="",0,IF('Inputs'!$U$100=1,0,ROUND(J47+'Inputs'!$O$100*('Inputs'!$U$100*J47+'Inputs'!$U$101*J59+'Inputs'!$U$102*J71+'Inputs'!$U$103*J83+'Inputs'!$U$104*J95+'Inputs'!$U$105*J107),2)))</f>
      </c>
      <c r="K40">
        <f>IF('Inputs'!$B$100="",0,IF('Inputs'!$U$100=1,0,ROUND(K47+'Inputs'!$O$100*('Inputs'!$U$100*K47+'Inputs'!$U$101*K59+'Inputs'!$U$102*K71+'Inputs'!$U$103*K83+'Inputs'!$U$104*K95+'Inputs'!$U$105*K107),2)))</f>
      </c>
      <c r="L40">
        <f>IF('Inputs'!$B$100="",0,IF('Inputs'!$U$100=1,0,ROUND(L47+'Inputs'!$O$100*('Inputs'!$U$100*L47+'Inputs'!$U$101*L59+'Inputs'!$U$102*L71+'Inputs'!$U$103*L83+'Inputs'!$U$104*L95+'Inputs'!$U$105*L107),2)))</f>
      </c>
      <c r="M40">
        <f>IF('Inputs'!$B$100="",0,IF('Inputs'!$U$100=1,0,ROUND(M47+'Inputs'!$O$100*('Inputs'!$U$100*M47+'Inputs'!$U$101*M59+'Inputs'!$U$102*M71+'Inputs'!$U$103*M83+'Inputs'!$U$104*M95+'Inputs'!$U$105*M107),2)))</f>
      </c>
      <c r="N40">
        <f>IF('Inputs'!$B$100="",0,IF('Inputs'!$U$100=1,0,ROUND(N47+'Inputs'!$O$100*('Inputs'!$U$100*N47+'Inputs'!$U$101*N59+'Inputs'!$U$102*N71+'Inputs'!$U$103*N83+'Inputs'!$U$104*N95+'Inputs'!$U$105*N107),2)))</f>
      </c>
      <c r="O40">
        <f>IF('Inputs'!$B$100="",0,IF('Inputs'!$U$100=1,0,ROUND(O47+'Inputs'!$O$100*('Inputs'!$U$100*O47+'Inputs'!$U$101*O59+'Inputs'!$U$102*O71+'Inputs'!$U$103*O83+'Inputs'!$U$104*O95+'Inputs'!$U$105*O107),2)))</f>
      </c>
      <c r="P40">
        <f>IF('Inputs'!$B$100="",0,IF('Inputs'!$U$100=1,0,ROUND(P47+'Inputs'!$O$100*('Inputs'!$U$100*P47+'Inputs'!$U$101*P59+'Inputs'!$U$102*P71+'Inputs'!$U$103*P83+'Inputs'!$U$104*P95+'Inputs'!$U$105*P107),2)))</f>
      </c>
      <c r="Q40">
        <f>IF('Inputs'!$B$100="",0,IF('Inputs'!$U$100=1,0,ROUND(Q47+'Inputs'!$O$100*('Inputs'!$U$100*Q47+'Inputs'!$U$101*Q59+'Inputs'!$U$102*Q71+'Inputs'!$U$103*Q83+'Inputs'!$U$104*Q95+'Inputs'!$U$105*Q107),2)))</f>
      </c>
      <c r="R40">
        <f>IF('Inputs'!$B$100="",0,IF('Inputs'!$U$100=1,0,ROUND(R47+'Inputs'!$O$100*('Inputs'!$U$100*R47+'Inputs'!$U$101*R59+'Inputs'!$U$102*R71+'Inputs'!$U$103*R83+'Inputs'!$U$104*R95+'Inputs'!$U$105*R107),2)))</f>
      </c>
      <c r="S40">
        <f>IF('Inputs'!$B$100="",0,IF('Inputs'!$U$100=1,0,ROUND(S47+'Inputs'!$O$100*('Inputs'!$U$100*S47+'Inputs'!$U$101*S59+'Inputs'!$U$102*S71+'Inputs'!$U$103*S83+'Inputs'!$U$104*S95+'Inputs'!$U$105*S107),2)))</f>
      </c>
      <c r="T40">
        <f>IF('Inputs'!$B$100="",0,IF('Inputs'!$U$100=1,0,ROUND(T47+'Inputs'!$O$100*('Inputs'!$U$100*T47+'Inputs'!$U$101*T59+'Inputs'!$U$102*T71+'Inputs'!$U$103*T83+'Inputs'!$U$104*T95+'Inputs'!$U$105*T107),2)))</f>
      </c>
    </row>
    <row r="41" spans="2:20" x14ac:dyDescent="0.25">
      <c r="B41" t="s">
        <v>358</v>
      </c>
      <c r="C41">
        <f>'Needs years'!$C$5+MAX(0,C40-C48)*('Inputs'!$H$122/100*('Inputs'!$H$125/100+'Inputs'!$H$120/100*'Inputs'!$H$127/100))</f>
      </c>
      <c r="E41">
        <f>'Needs years'!$C$5+MAX(0,E40-E48)*('Inputs'!$H$122/100*('Inputs'!$H$125/100+'Inputs'!$H$120/100*'Inputs'!$H$127/100))</f>
      </c>
      <c r="F41">
        <f>'Needs years'!$C$5+MAX(0,F40-F48)*('Inputs'!$H$122/100*('Inputs'!$H$125/100+'Inputs'!$H$120/100*'Inputs'!$H$127/100))</f>
      </c>
      <c r="G41">
        <f>'Needs years'!$C$5+MAX(0,G40-G48)*('Inputs'!$H$122/100*('Inputs'!$H$125/100+'Inputs'!$H$120/100*'Inputs'!$H$127/100))</f>
      </c>
      <c r="H41">
        <f>'Needs years'!$C$5+MAX(0,H40-H48)*('Inputs'!$H$122/100*('Inputs'!$H$125/100+'Inputs'!$H$120/100*'Inputs'!$H$127/100))</f>
      </c>
      <c r="I41">
        <f>'Needs years'!$C$5+MAX(0,I40-I48)*('Inputs'!$H$122/100*('Inputs'!$H$125/100+'Inputs'!$H$120/100*'Inputs'!$H$127/100))</f>
      </c>
      <c r="J41">
        <f>'Needs years'!$C$5+MAX(0,J40-J48)*('Inputs'!$H$122/100*('Inputs'!$H$125/100+'Inputs'!$H$120/100*'Inputs'!$H$127/100))</f>
      </c>
      <c r="K41">
        <f>'Needs years'!$C$5+MAX(0,K40-K48)*('Inputs'!$H$122/100*('Inputs'!$H$125/100+'Inputs'!$H$120/100*'Inputs'!$H$127/100))</f>
      </c>
      <c r="L41">
        <f>'Needs years'!$C$5+MAX(0,L40-L48)*('Inputs'!$H$122/100*('Inputs'!$H$125/100+'Inputs'!$H$120/100*'Inputs'!$H$127/100))</f>
      </c>
      <c r="M41">
        <f>'Needs years'!$C$5+MAX(0,M40-M48)*('Inputs'!$H$122/100*('Inputs'!$H$125/100+'Inputs'!$H$120/100*'Inputs'!$H$127/100))</f>
      </c>
      <c r="N41">
        <f>'Needs years'!$C$5+MAX(0,N40-N48)*('Inputs'!$H$122/100*('Inputs'!$H$125/100+'Inputs'!$H$120/100*'Inputs'!$H$127/100))</f>
      </c>
      <c r="O41">
        <f>'Needs years'!$C$5+MAX(0,O40-O48)*('Inputs'!$H$122/100*('Inputs'!$H$125/100+'Inputs'!$H$120/100*'Inputs'!$H$127/100))</f>
      </c>
      <c r="P41">
        <f>'Needs years'!$C$5+MAX(0,P40-P48)*('Inputs'!$H$122/100*('Inputs'!$H$125/100+'Inputs'!$H$120/100*'Inputs'!$H$127/100))</f>
      </c>
      <c r="Q41">
        <f>'Needs years'!$C$5+MAX(0,Q40-Q48)*('Inputs'!$H$122/100*('Inputs'!$H$125/100+'Inputs'!$H$120/100*'Inputs'!$H$127/100))</f>
      </c>
      <c r="R41">
        <f>'Needs years'!$C$5+MAX(0,R40-R48)*('Inputs'!$H$122/100*('Inputs'!$H$125/100+'Inputs'!$H$120/100*'Inputs'!$H$127/100))</f>
      </c>
      <c r="S41">
        <f>'Needs years'!$C$5+MAX(0,S40-S48)*('Inputs'!$H$122/100*('Inputs'!$H$125/100+'Inputs'!$H$120/100*'Inputs'!$H$127/100))</f>
      </c>
      <c r="T41">
        <f>'Needs years'!$C$5+MAX(0,T40-T48)*('Inputs'!$H$122/100*('Inputs'!$H$125/100+'Inputs'!$H$120/100*'Inputs'!$H$127/100))</f>
      </c>
    </row>
    <row r="42" spans="2:20" x14ac:dyDescent="0.25">
      <c r="B42" t="s">
        <v>359</v>
      </c>
      <c r="C42">
        <f>IF(C41&lt;='Needs years'!$C$4,0,INDEX('Inputs'!$E$134:$E$140,MATCH(C41,'Inputs'!$C$134:$C$140,1)-IF(COUNTIF('Inputs'!$C$134:$C$140,C41)&gt;0,1,0))/100)</f>
      </c>
      <c r="E42">
        <f>IF(E41&lt;='Needs years'!$C$4,0,INDEX('Inputs'!$E$134:$E$140,MATCH(E41,'Inputs'!$C$134:$C$140,1)-IF(COUNTIF('Inputs'!$C$134:$C$140,E41)&gt;0,1,0))/100)</f>
      </c>
      <c r="F42">
        <f>IF(F41&lt;='Needs years'!$C$4,0,INDEX('Inputs'!$E$134:$E$140,MATCH(F41,'Inputs'!$C$134:$C$140,1)-IF(COUNTIF('Inputs'!$C$134:$C$140,F41)&gt;0,1,0))/100)</f>
      </c>
      <c r="G42">
        <f>IF(G41&lt;='Needs years'!$C$4,0,INDEX('Inputs'!$E$134:$E$140,MATCH(G41,'Inputs'!$C$134:$C$140,1)-IF(COUNTIF('Inputs'!$C$134:$C$140,G41)&gt;0,1,0))/100)</f>
      </c>
      <c r="H42">
        <f>IF(H41&lt;='Needs years'!$C$4,0,INDEX('Inputs'!$E$134:$E$140,MATCH(H41,'Inputs'!$C$134:$C$140,1)-IF(COUNTIF('Inputs'!$C$134:$C$140,H41)&gt;0,1,0))/100)</f>
      </c>
      <c r="I42">
        <f>IF(I41&lt;='Needs years'!$C$4,0,INDEX('Inputs'!$E$134:$E$140,MATCH(I41,'Inputs'!$C$134:$C$140,1)-IF(COUNTIF('Inputs'!$C$134:$C$140,I41)&gt;0,1,0))/100)</f>
      </c>
      <c r="J42">
        <f>IF(J41&lt;='Needs years'!$C$4,0,INDEX('Inputs'!$E$134:$E$140,MATCH(J41,'Inputs'!$C$134:$C$140,1)-IF(COUNTIF('Inputs'!$C$134:$C$140,J41)&gt;0,1,0))/100)</f>
      </c>
      <c r="K42">
        <f>IF(K41&lt;='Needs years'!$C$4,0,INDEX('Inputs'!$E$134:$E$140,MATCH(K41,'Inputs'!$C$134:$C$140,1)-IF(COUNTIF('Inputs'!$C$134:$C$140,K41)&gt;0,1,0))/100)</f>
      </c>
      <c r="L42">
        <f>IF(L41&lt;='Needs years'!$C$4,0,INDEX('Inputs'!$E$134:$E$140,MATCH(L41,'Inputs'!$C$134:$C$140,1)-IF(COUNTIF('Inputs'!$C$134:$C$140,L41)&gt;0,1,0))/100)</f>
      </c>
      <c r="M42">
        <f>IF(M41&lt;='Needs years'!$C$4,0,INDEX('Inputs'!$E$134:$E$140,MATCH(M41,'Inputs'!$C$134:$C$140,1)-IF(COUNTIF('Inputs'!$C$134:$C$140,M41)&gt;0,1,0))/100)</f>
      </c>
      <c r="N42">
        <f>IF(N41&lt;='Needs years'!$C$4,0,INDEX('Inputs'!$E$134:$E$140,MATCH(N41,'Inputs'!$C$134:$C$140,1)-IF(COUNTIF('Inputs'!$C$134:$C$140,N41)&gt;0,1,0))/100)</f>
      </c>
      <c r="O42">
        <f>IF(O41&lt;='Needs years'!$C$4,0,INDEX('Inputs'!$E$134:$E$140,MATCH(O41,'Inputs'!$C$134:$C$140,1)-IF(COUNTIF('Inputs'!$C$134:$C$140,O41)&gt;0,1,0))/100)</f>
      </c>
      <c r="P42">
        <f>IF(P41&lt;='Needs years'!$C$4,0,INDEX('Inputs'!$E$134:$E$140,MATCH(P41,'Inputs'!$C$134:$C$140,1)-IF(COUNTIF('Inputs'!$C$134:$C$140,P41)&gt;0,1,0))/100)</f>
      </c>
      <c r="Q42">
        <f>IF(Q41&lt;='Needs years'!$C$4,0,INDEX('Inputs'!$E$134:$E$140,MATCH(Q41,'Inputs'!$C$134:$C$140,1)-IF(COUNTIF('Inputs'!$C$134:$C$140,Q41)&gt;0,1,0))/100)</f>
      </c>
      <c r="R42">
        <f>IF(R41&lt;='Needs years'!$C$4,0,INDEX('Inputs'!$E$134:$E$140,MATCH(R41,'Inputs'!$C$134:$C$140,1)-IF(COUNTIF('Inputs'!$C$134:$C$140,R41)&gt;0,1,0))/100)</f>
      </c>
      <c r="S42">
        <f>IF(S41&lt;='Needs years'!$C$4,0,INDEX('Inputs'!$E$134:$E$140,MATCH(S41,'Inputs'!$C$134:$C$140,1)-IF(COUNTIF('Inputs'!$C$134:$C$140,S41)&gt;0,1,0))/100)</f>
      </c>
      <c r="T42">
        <f>IF(T41&lt;='Needs years'!$C$4,0,INDEX('Inputs'!$E$134:$E$140,MATCH(T41,'Inputs'!$C$134:$C$140,1)-IF(COUNTIF('Inputs'!$C$134:$C$140,T41)&gt;0,1,0))/100)</f>
      </c>
    </row>
    <row r="43" spans="2:20" x14ac:dyDescent="0.25">
      <c r="B43" t="s">
        <v>360</v>
      </c>
      <c r="C43">
        <f>('Inputs'!$H$122/100*(1-('Inputs'!$H$125/100*C42+'Inputs'!$H$126/100*'Inputs'!$H$128/100+'Inputs'!$H$127/100*'Inputs'!$H$120/100*C42))-IF('Needs years'!$C$9=1,'Inputs'!$H$123/100,0))</f>
      </c>
      <c r="E43">
        <f>('Inputs'!$H$122/100*(1-('Inputs'!$H$125/100*E42+'Inputs'!$H$126/100*'Inputs'!$H$128/100+'Inputs'!$H$127/100*'Inputs'!$H$120/100*E42))-IF('Needs years'!$C$9=1,'Inputs'!$H$123/100,0))</f>
      </c>
      <c r="F43">
        <f>('Inputs'!$H$122/100*(1-('Inputs'!$H$125/100*F42+'Inputs'!$H$126/100*'Inputs'!$H$128/100+'Inputs'!$H$127/100*'Inputs'!$H$120/100*F42))-IF('Needs years'!$C$9=1,'Inputs'!$H$123/100,0))</f>
      </c>
      <c r="G43">
        <f>('Inputs'!$H$122/100*(1-('Inputs'!$H$125/100*G42+'Inputs'!$H$126/100*'Inputs'!$H$128/100+'Inputs'!$H$127/100*'Inputs'!$H$120/100*G42))-IF('Needs years'!$C$9=1,'Inputs'!$H$123/100,0))</f>
      </c>
      <c r="H43">
        <f>('Inputs'!$H$122/100*(1-('Inputs'!$H$125/100*H42+'Inputs'!$H$126/100*'Inputs'!$H$128/100+'Inputs'!$H$127/100*'Inputs'!$H$120/100*H42))-IF('Needs years'!$C$9=1,'Inputs'!$H$123/100,0))</f>
      </c>
      <c r="I43">
        <f>('Inputs'!$H$122/100*(1-('Inputs'!$H$125/100*I42+'Inputs'!$H$126/100*'Inputs'!$H$128/100+'Inputs'!$H$127/100*'Inputs'!$H$120/100*I42))-IF('Needs years'!$C$9=1,'Inputs'!$H$123/100,0))</f>
      </c>
      <c r="J43">
        <f>('Inputs'!$H$122/100*(1-('Inputs'!$H$125/100*J42+'Inputs'!$H$126/100*'Inputs'!$H$128/100+'Inputs'!$H$127/100*'Inputs'!$H$120/100*J42))-IF('Needs years'!$C$9=1,'Inputs'!$H$123/100,0))</f>
      </c>
      <c r="K43">
        <f>('Inputs'!$H$122/100*(1-('Inputs'!$H$125/100*K42+'Inputs'!$H$126/100*'Inputs'!$H$128/100+'Inputs'!$H$127/100*'Inputs'!$H$120/100*K42))-IF('Needs years'!$C$9=1,'Inputs'!$H$123/100,0))</f>
      </c>
      <c r="L43">
        <f>('Inputs'!$H$122/100*(1-('Inputs'!$H$125/100*L42+'Inputs'!$H$126/100*'Inputs'!$H$128/100+'Inputs'!$H$127/100*'Inputs'!$H$120/100*L42))-IF('Needs years'!$C$9=1,'Inputs'!$H$123/100,0))</f>
      </c>
      <c r="M43">
        <f>('Inputs'!$H$122/100*(1-('Inputs'!$H$125/100*M42+'Inputs'!$H$126/100*'Inputs'!$H$128/100+'Inputs'!$H$127/100*'Inputs'!$H$120/100*M42))-IF('Needs years'!$C$9=1,'Inputs'!$H$123/100,0))</f>
      </c>
      <c r="N43">
        <f>('Inputs'!$H$122/100*(1-('Inputs'!$H$125/100*N42+'Inputs'!$H$126/100*'Inputs'!$H$128/100+'Inputs'!$H$127/100*'Inputs'!$H$120/100*N42))-IF('Needs years'!$C$9=1,'Inputs'!$H$123/100,0))</f>
      </c>
      <c r="O43">
        <f>('Inputs'!$H$122/100*(1-('Inputs'!$H$125/100*O42+'Inputs'!$H$126/100*'Inputs'!$H$128/100+'Inputs'!$H$127/100*'Inputs'!$H$120/100*O42))-IF('Needs years'!$C$9=1,'Inputs'!$H$123/100,0))</f>
      </c>
      <c r="P43">
        <f>('Inputs'!$H$122/100*(1-('Inputs'!$H$125/100*P42+'Inputs'!$H$126/100*'Inputs'!$H$128/100+'Inputs'!$H$127/100*'Inputs'!$H$120/100*P42))-IF('Needs years'!$C$9=1,'Inputs'!$H$123/100,0))</f>
      </c>
      <c r="Q43">
        <f>('Inputs'!$H$122/100*(1-('Inputs'!$H$125/100*Q42+'Inputs'!$H$126/100*'Inputs'!$H$128/100+'Inputs'!$H$127/100*'Inputs'!$H$120/100*Q42))-IF('Needs years'!$C$9=1,'Inputs'!$H$123/100,0))</f>
      </c>
      <c r="R43">
        <f>('Inputs'!$H$122/100*(1-('Inputs'!$H$125/100*R42+'Inputs'!$H$126/100*'Inputs'!$H$128/100+'Inputs'!$H$127/100*'Inputs'!$H$120/100*R42))-IF('Needs years'!$C$9=1,'Inputs'!$H$123/100,0))</f>
      </c>
      <c r="S43">
        <f>('Inputs'!$H$122/100*(1-('Inputs'!$H$125/100*S42+'Inputs'!$H$126/100*'Inputs'!$H$128/100+'Inputs'!$H$127/100*'Inputs'!$H$120/100*S42))-IF('Needs years'!$C$9=1,'Inputs'!$H$123/100,0))</f>
      </c>
      <c r="T43">
        <f>('Inputs'!$H$122/100*(1-('Inputs'!$H$125/100*T42+'Inputs'!$H$126/100*'Inputs'!$H$128/100+'Inputs'!$H$127/100*'Inputs'!$H$120/100*T42))-IF('Needs years'!$C$9=1,'Inputs'!$H$123/100,0))</f>
      </c>
    </row>
    <row r="44" spans="2:20" x14ac:dyDescent="0.25">
      <c r="B44" t="s">
        <v>361</v>
      </c>
      <c r="C44">
        <f>IF('Inputs'!$B$100="",0,IF('Inputs'!$U$100=1,0,ROUND(C50+'Inputs'!$O$100*('Inputs'!$U$100*C50+'Inputs'!$U$101*C62+'Inputs'!$U$102*C74+'Inputs'!$U$103*C86+'Inputs'!$U$104*C98+'Inputs'!$U$105*C110),2)))</f>
      </c>
      <c r="E44">
        <f>IF('Inputs'!$B$100="",0,IF('Inputs'!$U$100=1,0,ROUND(E50+'Inputs'!$O$100*('Inputs'!$U$100*E50+'Inputs'!$U$101*E62+'Inputs'!$U$102*E74+'Inputs'!$U$103*E86+'Inputs'!$U$104*E98+'Inputs'!$U$105*E110),2)))</f>
      </c>
      <c r="F44">
        <f>IF('Inputs'!$B$100="",0,IF('Inputs'!$U$100=1,0,ROUND(F50+'Inputs'!$O$100*('Inputs'!$U$100*F50+'Inputs'!$U$101*F62+'Inputs'!$U$102*F74+'Inputs'!$U$103*F86+'Inputs'!$U$104*F98+'Inputs'!$U$105*F110),2)))</f>
      </c>
      <c r="G44">
        <f>IF('Inputs'!$B$100="",0,IF('Inputs'!$U$100=1,0,ROUND(G50+'Inputs'!$O$100*('Inputs'!$U$100*G50+'Inputs'!$U$101*G62+'Inputs'!$U$102*G74+'Inputs'!$U$103*G86+'Inputs'!$U$104*G98+'Inputs'!$U$105*G110),2)))</f>
      </c>
      <c r="H44">
        <f>IF('Inputs'!$B$100="",0,IF('Inputs'!$U$100=1,0,ROUND(H50+'Inputs'!$O$100*('Inputs'!$U$100*H50+'Inputs'!$U$101*H62+'Inputs'!$U$102*H74+'Inputs'!$U$103*H86+'Inputs'!$U$104*H98+'Inputs'!$U$105*H110),2)))</f>
      </c>
      <c r="I44">
        <f>IF('Inputs'!$B$100="",0,IF('Inputs'!$U$100=1,0,ROUND(I50+'Inputs'!$O$100*('Inputs'!$U$100*I50+'Inputs'!$U$101*I62+'Inputs'!$U$102*I74+'Inputs'!$U$103*I86+'Inputs'!$U$104*I98+'Inputs'!$U$105*I110),2)))</f>
      </c>
      <c r="J44">
        <f>IF('Inputs'!$B$100="",0,IF('Inputs'!$U$100=1,0,ROUND(J50+'Inputs'!$O$100*('Inputs'!$U$100*J50+'Inputs'!$U$101*J62+'Inputs'!$U$102*J74+'Inputs'!$U$103*J86+'Inputs'!$U$104*J98+'Inputs'!$U$105*J110),2)))</f>
      </c>
      <c r="K44">
        <f>IF('Inputs'!$B$100="",0,IF('Inputs'!$U$100=1,0,ROUND(K50+'Inputs'!$O$100*('Inputs'!$U$100*K50+'Inputs'!$U$101*K62+'Inputs'!$U$102*K74+'Inputs'!$U$103*K86+'Inputs'!$U$104*K98+'Inputs'!$U$105*K110),2)))</f>
      </c>
      <c r="L44">
        <f>IF('Inputs'!$B$100="",0,IF('Inputs'!$U$100=1,0,ROUND(L50+'Inputs'!$O$100*('Inputs'!$U$100*L50+'Inputs'!$U$101*L62+'Inputs'!$U$102*L74+'Inputs'!$U$103*L86+'Inputs'!$U$104*L98+'Inputs'!$U$105*L110),2)))</f>
      </c>
      <c r="M44">
        <f>IF('Inputs'!$B$100="",0,IF('Inputs'!$U$100=1,0,ROUND(M50+'Inputs'!$O$100*('Inputs'!$U$100*M50+'Inputs'!$U$101*M62+'Inputs'!$U$102*M74+'Inputs'!$U$103*M86+'Inputs'!$U$104*M98+'Inputs'!$U$105*M110),2)))</f>
      </c>
      <c r="N44">
        <f>IF('Inputs'!$B$100="",0,IF('Inputs'!$U$100=1,0,ROUND(N50+'Inputs'!$O$100*('Inputs'!$U$100*N50+'Inputs'!$U$101*N62+'Inputs'!$U$102*N74+'Inputs'!$U$103*N86+'Inputs'!$U$104*N98+'Inputs'!$U$105*N110),2)))</f>
      </c>
      <c r="O44">
        <f>IF('Inputs'!$B$100="",0,IF('Inputs'!$U$100=1,0,ROUND(O50+'Inputs'!$O$100*('Inputs'!$U$100*O50+'Inputs'!$U$101*O62+'Inputs'!$U$102*O74+'Inputs'!$U$103*O86+'Inputs'!$U$104*O98+'Inputs'!$U$105*O110),2)))</f>
      </c>
      <c r="P44">
        <f>IF('Inputs'!$B$100="",0,IF('Inputs'!$U$100=1,0,ROUND(P50+'Inputs'!$O$100*('Inputs'!$U$100*P50+'Inputs'!$U$101*P62+'Inputs'!$U$102*P74+'Inputs'!$U$103*P86+'Inputs'!$U$104*P98+'Inputs'!$U$105*P110),2)))</f>
      </c>
      <c r="Q44">
        <f>IF('Inputs'!$B$100="",0,IF('Inputs'!$U$100=1,0,ROUND(Q50+'Inputs'!$O$100*('Inputs'!$U$100*Q50+'Inputs'!$U$101*Q62+'Inputs'!$U$102*Q74+'Inputs'!$U$103*Q86+'Inputs'!$U$104*Q98+'Inputs'!$U$105*Q110),2)))</f>
      </c>
      <c r="R44">
        <f>IF('Inputs'!$B$100="",0,IF('Inputs'!$U$100=1,0,ROUND(R50+'Inputs'!$O$100*('Inputs'!$U$100*R50+'Inputs'!$U$101*R62+'Inputs'!$U$102*R74+'Inputs'!$U$103*R86+'Inputs'!$U$104*R98+'Inputs'!$U$105*R110),2)))</f>
      </c>
      <c r="S44">
        <f>IF('Inputs'!$B$100="",0,IF('Inputs'!$U$100=1,0,ROUND(S50+'Inputs'!$O$100*('Inputs'!$U$100*S50+'Inputs'!$U$101*S62+'Inputs'!$U$102*S74+'Inputs'!$U$103*S86+'Inputs'!$U$104*S98+'Inputs'!$U$105*S110),2)))</f>
      </c>
      <c r="T44">
        <f>IF('Inputs'!$B$100="",0,IF('Inputs'!$U$100=1,0,ROUND(T50+'Inputs'!$O$100*('Inputs'!$U$100*T50+'Inputs'!$U$101*T62+'Inputs'!$U$102*T74+'Inputs'!$U$103*T86+'Inputs'!$U$104*T98+'Inputs'!$U$105*T110),2)))</f>
      </c>
    </row>
    <row r="45" spans="2:20" x14ac:dyDescent="0.25">
      <c r="B45" t="s">
        <v>362</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363</v>
      </c>
      <c r="C46">
        <f>IF('Inputs'!$B$100="",0,'Needs years'!$C$16+IF('Inputs'!$U$100=1,('Inputs'!$O$100*C51+'Inputs'!$O$101*C63+'Inputs'!$O$102*C75+'Inputs'!$O$103*C87+'Inputs'!$O$104*C99+'Inputs'!$O$105*C111),C51)*'Needs years'!$J$4/12)</f>
      </c>
      <c r="E46">
        <f>IF('Inputs'!$B$100="",0,'Needs years'!$C$16+IF('Inputs'!$U$100=1,('Inputs'!$O$100*E51+'Inputs'!$O$101*E63+'Inputs'!$O$102*E75+'Inputs'!$O$103*E87+'Inputs'!$O$104*E99+'Inputs'!$O$105*E111),E51)*'Needs years'!$J$4/12)</f>
      </c>
      <c r="F46">
        <f>IF('Inputs'!$B$100="",0,'Needs years'!$C$16+IF('Inputs'!$U$100=1,('Inputs'!$O$100*F51+'Inputs'!$O$101*F63+'Inputs'!$O$102*F75+'Inputs'!$O$103*F87+'Inputs'!$O$104*F99+'Inputs'!$O$105*F111),F51)*'Needs years'!$J$4/12)</f>
      </c>
      <c r="G46">
        <f>IF('Inputs'!$B$100="",0,'Needs years'!$C$16+IF('Inputs'!$U$100=1,('Inputs'!$O$100*G51+'Inputs'!$O$101*G63+'Inputs'!$O$102*G75+'Inputs'!$O$103*G87+'Inputs'!$O$104*G99+'Inputs'!$O$105*G111),G51)*'Needs years'!$J$4/12)</f>
      </c>
      <c r="H46">
        <f>IF('Inputs'!$B$100="",0,'Needs years'!$C$16+IF('Inputs'!$U$100=1,('Inputs'!$O$100*H51+'Inputs'!$O$101*H63+'Inputs'!$O$102*H75+'Inputs'!$O$103*H87+'Inputs'!$O$104*H99+'Inputs'!$O$105*H111),H51)*'Needs years'!$J$4/12)</f>
      </c>
      <c r="I46">
        <f>IF('Inputs'!$B$100="",0,'Needs years'!$C$16+IF('Inputs'!$U$100=1,('Inputs'!$O$100*I51+'Inputs'!$O$101*I63+'Inputs'!$O$102*I75+'Inputs'!$O$103*I87+'Inputs'!$O$104*I99+'Inputs'!$O$105*I111),I51)*'Needs years'!$J$4/12)</f>
      </c>
      <c r="J46">
        <f>IF('Inputs'!$B$100="",0,'Needs years'!$C$16+IF('Inputs'!$U$100=1,('Inputs'!$O$100*J51+'Inputs'!$O$101*J63+'Inputs'!$O$102*J75+'Inputs'!$O$103*J87+'Inputs'!$O$104*J99+'Inputs'!$O$105*J111),J51)*'Needs years'!$J$4/12)</f>
      </c>
      <c r="K46">
        <f>IF('Inputs'!$B$100="",0,'Needs years'!$C$16+IF('Inputs'!$U$100=1,('Inputs'!$O$100*K51+'Inputs'!$O$101*K63+'Inputs'!$O$102*K75+'Inputs'!$O$103*K87+'Inputs'!$O$104*K99+'Inputs'!$O$105*K111),K51)*'Needs years'!$J$4/12)</f>
      </c>
      <c r="L46">
        <f>IF('Inputs'!$B$100="",0,'Needs years'!$C$16+IF('Inputs'!$U$100=1,('Inputs'!$O$100*L51+'Inputs'!$O$101*L63+'Inputs'!$O$102*L75+'Inputs'!$O$103*L87+'Inputs'!$O$104*L99+'Inputs'!$O$105*L111),L51)*'Needs years'!$J$4/12)</f>
      </c>
      <c r="M46">
        <f>IF('Inputs'!$B$100="",0,'Needs years'!$C$16+IF('Inputs'!$U$100=1,('Inputs'!$O$100*M51+'Inputs'!$O$101*M63+'Inputs'!$O$102*M75+'Inputs'!$O$103*M87+'Inputs'!$O$104*M99+'Inputs'!$O$105*M111),M51)*'Needs years'!$J$4/12)</f>
      </c>
      <c r="N46">
        <f>IF('Inputs'!$B$100="",0,'Needs years'!$C$16+IF('Inputs'!$U$100=1,('Inputs'!$O$100*N51+'Inputs'!$O$101*N63+'Inputs'!$O$102*N75+'Inputs'!$O$103*N87+'Inputs'!$O$104*N99+'Inputs'!$O$105*N111),N51)*'Needs years'!$J$4/12)</f>
      </c>
      <c r="O46">
        <f>IF('Inputs'!$B$100="",0,'Needs years'!$C$16+IF('Inputs'!$U$100=1,('Inputs'!$O$100*O51+'Inputs'!$O$101*O63+'Inputs'!$O$102*O75+'Inputs'!$O$103*O87+'Inputs'!$O$104*O99+'Inputs'!$O$105*O111),O51)*'Needs years'!$J$4/12)</f>
      </c>
      <c r="P46">
        <f>IF('Inputs'!$B$100="",0,'Needs years'!$C$16+IF('Inputs'!$U$100=1,('Inputs'!$O$100*P51+'Inputs'!$O$101*P63+'Inputs'!$O$102*P75+'Inputs'!$O$103*P87+'Inputs'!$O$104*P99+'Inputs'!$O$105*P111),P51)*'Needs years'!$J$4/12)</f>
      </c>
      <c r="Q46">
        <f>IF('Inputs'!$B$100="",0,'Needs years'!$C$16+IF('Inputs'!$U$100=1,('Inputs'!$O$100*Q51+'Inputs'!$O$101*Q63+'Inputs'!$O$102*Q75+'Inputs'!$O$103*Q87+'Inputs'!$O$104*Q99+'Inputs'!$O$105*Q111),Q51)*'Needs years'!$J$4/12)</f>
      </c>
      <c r="R46">
        <f>IF('Inputs'!$B$100="",0,'Needs years'!$C$16+IF('Inputs'!$U$100=1,('Inputs'!$O$100*R51+'Inputs'!$O$101*R63+'Inputs'!$O$102*R75+'Inputs'!$O$103*R87+'Inputs'!$O$104*R99+'Inputs'!$O$105*R111),R51)*'Needs years'!$J$4/12)</f>
      </c>
      <c r="S46">
        <f>IF('Inputs'!$B$100="",0,'Needs years'!$C$16+IF('Inputs'!$U$100=1,('Inputs'!$O$100*S51+'Inputs'!$O$101*S63+'Inputs'!$O$102*S75+'Inputs'!$O$103*S87+'Inputs'!$O$104*S99+'Inputs'!$O$105*S111),S51)*'Needs years'!$J$4/12)</f>
      </c>
      <c r="T46">
        <f>IF('Inputs'!$B$100="",0,'Needs years'!$C$16+IF('Inputs'!$U$100=1,('Inputs'!$O$100*T51+'Inputs'!$O$101*T63+'Inputs'!$O$102*T75+'Inputs'!$O$103*T87+'Inputs'!$O$104*T99+'Inputs'!$O$105*T111),T51)*'Needs years'!$J$4/12)</f>
      </c>
    </row>
    <row r="47" spans="2:20" x14ac:dyDescent="0.25">
      <c r="B47" t="s">
        <v>364</v>
      </c>
      <c r="C47">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7">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7">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7">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7">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7">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7">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7">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7">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7">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7">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7">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7">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7">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7">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7">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7">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8" spans="2:20" x14ac:dyDescent="0.25">
      <c r="B48" t="s">
        <v>365</v>
      </c>
      <c r="C48">
        <f>IF('Inputs'!$U$100=1,0,'Needs years'!$C$10+'Inputs'!$O$100*('Inputs'!$U$100*'Needs years'!$C$10+'Inputs'!$U$101*'Needs years'!$C$66+'Inputs'!$U$102*'Needs years'!$C$122+'Inputs'!$U$103*'Needs years'!$C$178+'Inputs'!$U$104*'Needs years'!$C$234+'Inputs'!$U$105*'Needs years'!$C$290))</f>
      </c>
      <c r="E48">
        <f>IF('Inputs'!$U$100=1,0,'Needs years'!$C$10+'Inputs'!$O$100*('Inputs'!$U$100*'Needs years'!$C$10+'Inputs'!$U$101*'Needs years'!$C$66+'Inputs'!$U$102*'Needs years'!$C$122+'Inputs'!$U$103*'Needs years'!$C$178+'Inputs'!$U$104*'Needs years'!$C$234+'Inputs'!$U$105*'Needs years'!$C$290))</f>
      </c>
      <c r="F48">
        <f>IF('Inputs'!$U$100=1,0,'Needs years'!$C$10+'Inputs'!$O$100*('Inputs'!$U$100*'Needs years'!$C$10+'Inputs'!$U$101*'Needs years'!$C$66+'Inputs'!$U$102*'Needs years'!$C$122+'Inputs'!$U$103*'Needs years'!$C$178+'Inputs'!$U$104*'Needs years'!$C$234+'Inputs'!$U$105*'Needs years'!$C$290))</f>
      </c>
      <c r="G48">
        <f>IF('Inputs'!$U$100=1,0,'Needs years'!$C$10+'Inputs'!$O$100*('Inputs'!$U$100*'Needs years'!$C$10+'Inputs'!$U$101*'Needs years'!$C$66+'Inputs'!$U$102*'Needs years'!$C$122+'Inputs'!$U$103*'Needs years'!$C$178+'Inputs'!$U$104*'Needs years'!$C$234+'Inputs'!$U$105*'Needs years'!$C$290))</f>
      </c>
      <c r="H48">
        <f>IF('Inputs'!$U$100=1,0,'Needs years'!$C$10+'Inputs'!$O$100*('Inputs'!$U$100*'Needs years'!$C$10+'Inputs'!$U$101*'Needs years'!$C$66+'Inputs'!$U$102*'Needs years'!$C$122+'Inputs'!$U$103*'Needs years'!$C$178+'Inputs'!$U$104*'Needs years'!$C$234+'Inputs'!$U$105*'Needs years'!$C$290))</f>
      </c>
      <c r="I48">
        <f>IF('Inputs'!$U$100=1,0,'Needs years'!$C$10+'Inputs'!$O$100*('Inputs'!$U$100*'Needs years'!$C$10+'Inputs'!$U$101*'Needs years'!$C$66+'Inputs'!$U$102*'Needs years'!$C$122+'Inputs'!$U$103*'Needs years'!$C$178+'Inputs'!$U$104*'Needs years'!$C$234+'Inputs'!$U$105*'Needs years'!$C$290))</f>
      </c>
      <c r="J48">
        <f>IF('Inputs'!$U$100=1,0,'Needs years'!$C$10+'Inputs'!$O$100*('Inputs'!$U$100*'Needs years'!$C$10+'Inputs'!$U$101*'Needs years'!$C$66+'Inputs'!$U$102*'Needs years'!$C$122+'Inputs'!$U$103*'Needs years'!$C$178+'Inputs'!$U$104*'Needs years'!$C$234+'Inputs'!$U$105*'Needs years'!$C$290))</f>
      </c>
      <c r="K48">
        <f>IF('Inputs'!$U$100=1,0,'Needs years'!$C$10+'Inputs'!$O$100*('Inputs'!$U$100*'Needs years'!$C$10+'Inputs'!$U$101*'Needs years'!$C$66+'Inputs'!$U$102*'Needs years'!$C$122+'Inputs'!$U$103*'Needs years'!$C$178+'Inputs'!$U$104*'Needs years'!$C$234+'Inputs'!$U$105*'Needs years'!$C$290))</f>
      </c>
      <c r="L48">
        <f>IF('Inputs'!$U$100=1,0,'Needs years'!$C$10+'Inputs'!$O$100*('Inputs'!$U$100*'Needs years'!$C$10+'Inputs'!$U$101*'Needs years'!$C$66+'Inputs'!$U$102*'Needs years'!$C$122+'Inputs'!$U$103*'Needs years'!$C$178+'Inputs'!$U$104*'Needs years'!$C$234+'Inputs'!$U$105*'Needs years'!$C$290))</f>
      </c>
      <c r="M48">
        <f>IF('Inputs'!$U$100=1,0,'Needs years'!$C$10+'Inputs'!$O$100*('Inputs'!$U$100*'Needs years'!$C$10+'Inputs'!$U$101*'Needs years'!$C$66+'Inputs'!$U$102*'Needs years'!$C$122+'Inputs'!$U$103*'Needs years'!$C$178+'Inputs'!$U$104*'Needs years'!$C$234+'Inputs'!$U$105*'Needs years'!$C$290))</f>
      </c>
      <c r="N48">
        <f>IF('Inputs'!$U$100=1,0,'Needs years'!$C$10+'Inputs'!$O$100*('Inputs'!$U$100*'Needs years'!$C$10+'Inputs'!$U$101*'Needs years'!$C$66+'Inputs'!$U$102*'Needs years'!$C$122+'Inputs'!$U$103*'Needs years'!$C$178+'Inputs'!$U$104*'Needs years'!$C$234+'Inputs'!$U$105*'Needs years'!$C$290))</f>
      </c>
      <c r="O48">
        <f>IF('Inputs'!$U$100=1,0,'Needs years'!$C$10+'Inputs'!$O$100*('Inputs'!$U$100*'Needs years'!$C$10+'Inputs'!$U$101*'Needs years'!$C$66+'Inputs'!$U$102*'Needs years'!$C$122+'Inputs'!$U$103*'Needs years'!$C$178+'Inputs'!$U$104*'Needs years'!$C$234+'Inputs'!$U$105*'Needs years'!$C$290))</f>
      </c>
      <c r="P48">
        <f>IF('Inputs'!$U$100=1,0,'Needs years'!$C$10+'Inputs'!$O$100*('Inputs'!$U$100*'Needs years'!$C$10+'Inputs'!$U$101*'Needs years'!$C$66+'Inputs'!$U$102*'Needs years'!$C$122+'Inputs'!$U$103*'Needs years'!$C$178+'Inputs'!$U$104*'Needs years'!$C$234+'Inputs'!$U$105*'Needs years'!$C$290))</f>
      </c>
      <c r="Q48">
        <f>IF('Inputs'!$U$100=1,0,'Needs years'!$C$10+'Inputs'!$O$100*('Inputs'!$U$100*'Needs years'!$C$10+'Inputs'!$U$101*'Needs years'!$C$66+'Inputs'!$U$102*'Needs years'!$C$122+'Inputs'!$U$103*'Needs years'!$C$178+'Inputs'!$U$104*'Needs years'!$C$234+'Inputs'!$U$105*'Needs years'!$C$290))</f>
      </c>
      <c r="R48">
        <f>IF('Inputs'!$U$100=1,0,'Needs years'!$C$10+'Inputs'!$O$100*('Inputs'!$U$100*'Needs years'!$C$10+'Inputs'!$U$101*'Needs years'!$C$66+'Inputs'!$U$102*'Needs years'!$C$122+'Inputs'!$U$103*'Needs years'!$C$178+'Inputs'!$U$104*'Needs years'!$C$234+'Inputs'!$U$105*'Needs years'!$C$290))</f>
      </c>
      <c r="S48">
        <f>IF('Inputs'!$U$100=1,0,'Needs years'!$C$10+'Inputs'!$O$100*('Inputs'!$U$100*'Needs years'!$C$10+'Inputs'!$U$101*'Needs years'!$C$66+'Inputs'!$U$102*'Needs years'!$C$122+'Inputs'!$U$103*'Needs years'!$C$178+'Inputs'!$U$104*'Needs years'!$C$234+'Inputs'!$U$105*'Needs years'!$C$290))</f>
      </c>
      <c r="T48">
        <f>IF('Inputs'!$U$100=1,0,'Needs years'!$C$10+'Inputs'!$O$100*('Inputs'!$U$100*'Needs years'!$C$10+'Inputs'!$U$101*'Needs years'!$C$66+'Inputs'!$U$102*'Needs years'!$C$122+'Inputs'!$U$103*'Needs years'!$C$178+'Inputs'!$U$104*'Needs years'!$C$234+'Inputs'!$U$105*'Needs years'!$C$290))</f>
      </c>
    </row>
    <row r="49" spans="2:20" x14ac:dyDescent="0.25">
      <c r="B49" t="s">
        <v>366</v>
      </c>
      <c r="C49">
        <f>IF('Inputs'!$U$100=1,('Inputs'!$O$100*C43+'Inputs'!$O$101*C55+'Inputs'!$O$102*C67+'Inputs'!$O$103*C79+'Inputs'!$O$104*C91+'Inputs'!$O$105*C103),C43)</f>
      </c>
      <c r="E49">
        <f>IF('Inputs'!$U$100=1,('Inputs'!$O$100*E43+'Inputs'!$O$101*E55+'Inputs'!$O$102*E67+'Inputs'!$O$103*E79+'Inputs'!$O$104*E91+'Inputs'!$O$105*E103),E43)</f>
      </c>
      <c r="F49">
        <f>IF('Inputs'!$U$100=1,('Inputs'!$O$100*F43+'Inputs'!$O$101*F55+'Inputs'!$O$102*F67+'Inputs'!$O$103*F79+'Inputs'!$O$104*F91+'Inputs'!$O$105*F103),F43)</f>
      </c>
      <c r="G49">
        <f>IF('Inputs'!$U$100=1,('Inputs'!$O$100*G43+'Inputs'!$O$101*G55+'Inputs'!$O$102*G67+'Inputs'!$O$103*G79+'Inputs'!$O$104*G91+'Inputs'!$O$105*G103),G43)</f>
      </c>
      <c r="H49">
        <f>IF('Inputs'!$U$100=1,('Inputs'!$O$100*H43+'Inputs'!$O$101*H55+'Inputs'!$O$102*H67+'Inputs'!$O$103*H79+'Inputs'!$O$104*H91+'Inputs'!$O$105*H103),H43)</f>
      </c>
      <c r="I49">
        <f>IF('Inputs'!$U$100=1,('Inputs'!$O$100*I43+'Inputs'!$O$101*I55+'Inputs'!$O$102*I67+'Inputs'!$O$103*I79+'Inputs'!$O$104*I91+'Inputs'!$O$105*I103),I43)</f>
      </c>
      <c r="J49">
        <f>IF('Inputs'!$U$100=1,('Inputs'!$O$100*J43+'Inputs'!$O$101*J55+'Inputs'!$O$102*J67+'Inputs'!$O$103*J79+'Inputs'!$O$104*J91+'Inputs'!$O$105*J103),J43)</f>
      </c>
      <c r="K49">
        <f>IF('Inputs'!$U$100=1,('Inputs'!$O$100*K43+'Inputs'!$O$101*K55+'Inputs'!$O$102*K67+'Inputs'!$O$103*K79+'Inputs'!$O$104*K91+'Inputs'!$O$105*K103),K43)</f>
      </c>
      <c r="L49">
        <f>IF('Inputs'!$U$100=1,('Inputs'!$O$100*L43+'Inputs'!$O$101*L55+'Inputs'!$O$102*L67+'Inputs'!$O$103*L79+'Inputs'!$O$104*L91+'Inputs'!$O$105*L103),L43)</f>
      </c>
      <c r="M49">
        <f>IF('Inputs'!$U$100=1,('Inputs'!$O$100*M43+'Inputs'!$O$101*M55+'Inputs'!$O$102*M67+'Inputs'!$O$103*M79+'Inputs'!$O$104*M91+'Inputs'!$O$105*M103),M43)</f>
      </c>
      <c r="N49">
        <f>IF('Inputs'!$U$100=1,('Inputs'!$O$100*N43+'Inputs'!$O$101*N55+'Inputs'!$O$102*N67+'Inputs'!$O$103*N79+'Inputs'!$O$104*N91+'Inputs'!$O$105*N103),N43)</f>
      </c>
      <c r="O49">
        <f>IF('Inputs'!$U$100=1,('Inputs'!$O$100*O43+'Inputs'!$O$101*O55+'Inputs'!$O$102*O67+'Inputs'!$O$103*O79+'Inputs'!$O$104*O91+'Inputs'!$O$105*O103),O43)</f>
      </c>
      <c r="P49">
        <f>IF('Inputs'!$U$100=1,('Inputs'!$O$100*P43+'Inputs'!$O$101*P55+'Inputs'!$O$102*P67+'Inputs'!$O$103*P79+'Inputs'!$O$104*P91+'Inputs'!$O$105*P103),P43)</f>
      </c>
      <c r="Q49">
        <f>IF('Inputs'!$U$100=1,('Inputs'!$O$100*Q43+'Inputs'!$O$101*Q55+'Inputs'!$O$102*Q67+'Inputs'!$O$103*Q79+'Inputs'!$O$104*Q91+'Inputs'!$O$105*Q103),Q43)</f>
      </c>
      <c r="R49">
        <f>IF('Inputs'!$U$100=1,('Inputs'!$O$100*R43+'Inputs'!$O$101*R55+'Inputs'!$O$102*R67+'Inputs'!$O$103*R79+'Inputs'!$O$104*R91+'Inputs'!$O$105*R103),R43)</f>
      </c>
      <c r="S49">
        <f>IF('Inputs'!$U$100=1,('Inputs'!$O$100*S43+'Inputs'!$O$101*S55+'Inputs'!$O$102*S67+'Inputs'!$O$103*S79+'Inputs'!$O$104*S91+'Inputs'!$O$105*S103),S43)</f>
      </c>
      <c r="T49">
        <f>IF('Inputs'!$U$100=1,('Inputs'!$O$100*T43+'Inputs'!$O$101*T55+'Inputs'!$O$102*T67+'Inputs'!$O$103*T79+'Inputs'!$O$104*T91+'Inputs'!$O$105*T103),T43)</f>
      </c>
    </row>
    <row r="50" spans="2:20" x14ac:dyDescent="0.25">
      <c r="B50" t="s">
        <v>367</v>
      </c>
      <c r="C50">
        <f>IF('Inputs'!$B$100="",0,ROUND('Needs years'!$C$10+ROUND(IF(C49=0,SUM('Needs years'!$J$4:$J$53),(1-(1+C49)^-1)/(1-(1+C49)^(-1/12))/12*SUMPRODUCT('Needs years'!$J$4:$J$53,(1+C49)^(-'Needs years'!$I$4:$I$53))),2),2))</f>
      </c>
      <c r="E50">
        <f>IF('Inputs'!$B$100="",0,ROUND('Needs years'!$C$10+ROUND(IF(E49=0,SUM('Needs years'!$J$4:$J$53),(1-(1+E49)^-1)/(1-(1+E49)^(-1/12))/12*SUMPRODUCT('Needs years'!$J$4:$J$53,(1+E49)^(-'Needs years'!$I$4:$I$53))),2),2))</f>
      </c>
      <c r="F50">
        <f>IF('Inputs'!$B$100="",0,ROUND('Needs years'!$C$10+ROUND(IF(F49=0,SUM('Needs years'!$J$4:$J$53),(1-(1+F49)^-1)/(1-(1+F49)^(-1/12))/12*SUMPRODUCT('Needs years'!$J$4:$J$53,(1+F49)^(-'Needs years'!$I$4:$I$53))),2),2))</f>
      </c>
      <c r="G50">
        <f>IF('Inputs'!$B$100="",0,ROUND('Needs years'!$C$10+ROUND(IF(G49=0,SUM('Needs years'!$J$4:$J$53),(1-(1+G49)^-1)/(1-(1+G49)^(-1/12))/12*SUMPRODUCT('Needs years'!$J$4:$J$53,(1+G49)^(-'Needs years'!$I$4:$I$53))),2),2))</f>
      </c>
      <c r="H50">
        <f>IF('Inputs'!$B$100="",0,ROUND('Needs years'!$C$10+ROUND(IF(H49=0,SUM('Needs years'!$J$4:$J$53),(1-(1+H49)^-1)/(1-(1+H49)^(-1/12))/12*SUMPRODUCT('Needs years'!$J$4:$J$53,(1+H49)^(-'Needs years'!$I$4:$I$53))),2),2))</f>
      </c>
      <c r="I50">
        <f>IF('Inputs'!$B$100="",0,ROUND('Needs years'!$C$10+ROUND(IF(I49=0,SUM('Needs years'!$J$4:$J$53),(1-(1+I49)^-1)/(1-(1+I49)^(-1/12))/12*SUMPRODUCT('Needs years'!$J$4:$J$53,(1+I49)^(-'Needs years'!$I$4:$I$53))),2),2))</f>
      </c>
      <c r="J50">
        <f>IF('Inputs'!$B$100="",0,ROUND('Needs years'!$C$10+ROUND(IF(J49=0,SUM('Needs years'!$J$4:$J$53),(1-(1+J49)^-1)/(1-(1+J49)^(-1/12))/12*SUMPRODUCT('Needs years'!$J$4:$J$53,(1+J49)^(-'Needs years'!$I$4:$I$53))),2),2))</f>
      </c>
      <c r="K50">
        <f>IF('Inputs'!$B$100="",0,ROUND('Needs years'!$C$10+ROUND(IF(K49=0,SUM('Needs years'!$J$4:$J$53),(1-(1+K49)^-1)/(1-(1+K49)^(-1/12))/12*SUMPRODUCT('Needs years'!$J$4:$J$53,(1+K49)^(-'Needs years'!$I$4:$I$53))),2),2))</f>
      </c>
      <c r="L50">
        <f>IF('Inputs'!$B$100="",0,ROUND('Needs years'!$C$10+ROUND(IF(L49=0,SUM('Needs years'!$J$4:$J$53),(1-(1+L49)^-1)/(1-(1+L49)^(-1/12))/12*SUMPRODUCT('Needs years'!$J$4:$J$53,(1+L49)^(-'Needs years'!$I$4:$I$53))),2),2))</f>
      </c>
      <c r="M50">
        <f>IF('Inputs'!$B$100="",0,ROUND('Needs years'!$C$10+ROUND(IF(M49=0,SUM('Needs years'!$J$4:$J$53),(1-(1+M49)^-1)/(1-(1+M49)^(-1/12))/12*SUMPRODUCT('Needs years'!$J$4:$J$53,(1+M49)^(-'Needs years'!$I$4:$I$53))),2),2))</f>
      </c>
      <c r="N50">
        <f>IF('Inputs'!$B$100="",0,ROUND('Needs years'!$C$10+ROUND(IF(N49=0,SUM('Needs years'!$J$4:$J$53),(1-(1+N49)^-1)/(1-(1+N49)^(-1/12))/12*SUMPRODUCT('Needs years'!$J$4:$J$53,(1+N49)^(-'Needs years'!$I$4:$I$53))),2),2))</f>
      </c>
      <c r="O50">
        <f>IF('Inputs'!$B$100="",0,ROUND('Needs years'!$C$10+ROUND(IF(O49=0,SUM('Needs years'!$J$4:$J$53),(1-(1+O49)^-1)/(1-(1+O49)^(-1/12))/12*SUMPRODUCT('Needs years'!$J$4:$J$53,(1+O49)^(-'Needs years'!$I$4:$I$53))),2),2))</f>
      </c>
      <c r="P50">
        <f>IF('Inputs'!$B$100="",0,ROUND('Needs years'!$C$10+ROUND(IF(P49=0,SUM('Needs years'!$J$4:$J$53),(1-(1+P49)^-1)/(1-(1+P49)^(-1/12))/12*SUMPRODUCT('Needs years'!$J$4:$J$53,(1+P49)^(-'Needs years'!$I$4:$I$53))),2),2))</f>
      </c>
      <c r="Q50">
        <f>IF('Inputs'!$B$100="",0,ROUND('Needs years'!$C$10+ROUND(IF(Q49=0,SUM('Needs years'!$J$4:$J$53),(1-(1+Q49)^-1)/(1-(1+Q49)^(-1/12))/12*SUMPRODUCT('Needs years'!$J$4:$J$53,(1+Q49)^(-'Needs years'!$I$4:$I$53))),2),2))</f>
      </c>
      <c r="R50">
        <f>IF('Inputs'!$B$100="",0,ROUND('Needs years'!$C$10+ROUND(IF(R49=0,SUM('Needs years'!$J$4:$J$53),(1-(1+R49)^-1)/(1-(1+R49)^(-1/12))/12*SUMPRODUCT('Needs years'!$J$4:$J$53,(1+R49)^(-'Needs years'!$I$4:$I$53))),2),2))</f>
      </c>
      <c r="S50">
        <f>IF('Inputs'!$B$100="",0,ROUND('Needs years'!$C$10+ROUND(IF(S49=0,SUM('Needs years'!$J$4:$J$53),(1-(1+S49)^-1)/(1-(1+S49)^(-1/12))/12*SUMPRODUCT('Needs years'!$J$4:$J$53,(1+S49)^(-'Needs years'!$I$4:$I$53))),2),2))</f>
      </c>
      <c r="T50">
        <f>IF('Inputs'!$B$100="",0,ROUND('Needs years'!$C$10+ROUND(IF(T49=0,SUM('Needs years'!$J$4:$J$53),(1-(1+T49)^-1)/(1-(1+T49)^(-1/12))/12*SUMPRODUCT('Needs years'!$J$4:$J$53,(1+T49)^(-'Needs years'!$I$4:$I$53))),2),2))</f>
      </c>
    </row>
    <row r="51" spans="2:20" x14ac:dyDescent="0.25">
      <c r="B51" t="s">
        <v>368</v>
      </c>
      <c r="C51">
        <f>IF('Inputs'!$U$100=1,0,IF((C44-C48)&gt;0,MAX(0,C40-C48)/(C44-C48),0))</f>
      </c>
      <c r="E51">
        <f>IF('Inputs'!$U$100=1,0,IF((E44-E48)&gt;0,MAX(0,E40-E48)/(E44-E48),0))</f>
      </c>
      <c r="F51">
        <f>IF('Inputs'!$U$100=1,0,IF((F44-F48)&gt;0,MAX(0,F40-F48)/(F44-F48),0))</f>
      </c>
      <c r="G51">
        <f>IF('Inputs'!$U$100=1,0,IF((G44-G48)&gt;0,MAX(0,G40-G48)/(G44-G48),0))</f>
      </c>
      <c r="H51">
        <f>IF('Inputs'!$U$100=1,0,IF((H44-H48)&gt;0,MAX(0,H40-H48)/(H44-H48),0))</f>
      </c>
      <c r="I51">
        <f>IF('Inputs'!$U$100=1,0,IF((I44-I48)&gt;0,MAX(0,I40-I48)/(I44-I48),0))</f>
      </c>
      <c r="J51">
        <f>IF('Inputs'!$U$100=1,0,IF((J44-J48)&gt;0,MAX(0,J40-J48)/(J44-J48),0))</f>
      </c>
      <c r="K51">
        <f>IF('Inputs'!$U$100=1,0,IF((K44-K48)&gt;0,MAX(0,K40-K48)/(K44-K48),0))</f>
      </c>
      <c r="L51">
        <f>IF('Inputs'!$U$100=1,0,IF((L44-L48)&gt;0,MAX(0,L40-L48)/(L44-L48),0))</f>
      </c>
      <c r="M51">
        <f>IF('Inputs'!$U$100=1,0,IF((M44-M48)&gt;0,MAX(0,M40-M48)/(M44-M48),0))</f>
      </c>
      <c r="N51">
        <f>IF('Inputs'!$U$100=1,0,IF((N44-N48)&gt;0,MAX(0,N40-N48)/(N44-N48),0))</f>
      </c>
      <c r="O51">
        <f>IF('Inputs'!$U$100=1,0,IF((O44-O48)&gt;0,MAX(0,O40-O48)/(O44-O48),0))</f>
      </c>
      <c r="P51">
        <f>IF('Inputs'!$U$100=1,0,IF((P44-P48)&gt;0,MAX(0,P40-P48)/(P44-P48),0))</f>
      </c>
      <c r="Q51">
        <f>IF('Inputs'!$U$100=1,0,IF((Q44-Q48)&gt;0,MAX(0,Q40-Q48)/(Q44-Q48),0))</f>
      </c>
      <c r="R51">
        <f>IF('Inputs'!$U$100=1,0,IF((R44-R48)&gt;0,MAX(0,R40-R48)/(R44-R48),0))</f>
      </c>
      <c r="S51">
        <f>IF('Inputs'!$U$100=1,0,IF((S44-S48)&gt;0,MAX(0,S40-S48)/(S44-S48),0))</f>
      </c>
      <c r="T51">
        <f>IF('Inputs'!$U$100=1,0,IF((T44-T48)&gt;0,MAX(0,T40-T48)/(T44-T48),0))</f>
      </c>
    </row>
    <row r="52" spans="2:20" x14ac:dyDescent="0.25">
      <c r="B52" t="s">
        <v>369</v>
      </c>
      <c r="C52">
        <f>IF('Inputs'!$B$101="",0,IF('Inputs'!$U$101=1,0,ROUND(C59+'Inputs'!$O$101*('Inputs'!$U$100*C47+'Inputs'!$U$101*C59+'Inputs'!$U$102*C71+'Inputs'!$U$103*C83+'Inputs'!$U$104*C95+'Inputs'!$U$105*C107),2)))</f>
      </c>
      <c r="E52">
        <f>IF('Inputs'!$B$101="",0,IF('Inputs'!$U$101=1,0,ROUND(E59+'Inputs'!$O$101*('Inputs'!$U$100*E47+'Inputs'!$U$101*E59+'Inputs'!$U$102*E71+'Inputs'!$U$103*E83+'Inputs'!$U$104*E95+'Inputs'!$U$105*E107),2)))</f>
      </c>
      <c r="F52">
        <f>IF('Inputs'!$B$101="",0,IF('Inputs'!$U$101=1,0,ROUND(F59+'Inputs'!$O$101*('Inputs'!$U$100*F47+'Inputs'!$U$101*F59+'Inputs'!$U$102*F71+'Inputs'!$U$103*F83+'Inputs'!$U$104*F95+'Inputs'!$U$105*F107),2)))</f>
      </c>
      <c r="G52">
        <f>IF('Inputs'!$B$101="",0,IF('Inputs'!$U$101=1,0,ROUND(G59+'Inputs'!$O$101*('Inputs'!$U$100*G47+'Inputs'!$U$101*G59+'Inputs'!$U$102*G71+'Inputs'!$U$103*G83+'Inputs'!$U$104*G95+'Inputs'!$U$105*G107),2)))</f>
      </c>
      <c r="H52">
        <f>IF('Inputs'!$B$101="",0,IF('Inputs'!$U$101=1,0,ROUND(H59+'Inputs'!$O$101*('Inputs'!$U$100*H47+'Inputs'!$U$101*H59+'Inputs'!$U$102*H71+'Inputs'!$U$103*H83+'Inputs'!$U$104*H95+'Inputs'!$U$105*H107),2)))</f>
      </c>
      <c r="I52">
        <f>IF('Inputs'!$B$101="",0,IF('Inputs'!$U$101=1,0,ROUND(I59+'Inputs'!$O$101*('Inputs'!$U$100*I47+'Inputs'!$U$101*I59+'Inputs'!$U$102*I71+'Inputs'!$U$103*I83+'Inputs'!$U$104*I95+'Inputs'!$U$105*I107),2)))</f>
      </c>
      <c r="J52">
        <f>IF('Inputs'!$B$101="",0,IF('Inputs'!$U$101=1,0,ROUND(J59+'Inputs'!$O$101*('Inputs'!$U$100*J47+'Inputs'!$U$101*J59+'Inputs'!$U$102*J71+'Inputs'!$U$103*J83+'Inputs'!$U$104*J95+'Inputs'!$U$105*J107),2)))</f>
      </c>
      <c r="K52">
        <f>IF('Inputs'!$B$101="",0,IF('Inputs'!$U$101=1,0,ROUND(K59+'Inputs'!$O$101*('Inputs'!$U$100*K47+'Inputs'!$U$101*K59+'Inputs'!$U$102*K71+'Inputs'!$U$103*K83+'Inputs'!$U$104*K95+'Inputs'!$U$105*K107),2)))</f>
      </c>
      <c r="L52">
        <f>IF('Inputs'!$B$101="",0,IF('Inputs'!$U$101=1,0,ROUND(L59+'Inputs'!$O$101*('Inputs'!$U$100*L47+'Inputs'!$U$101*L59+'Inputs'!$U$102*L71+'Inputs'!$U$103*L83+'Inputs'!$U$104*L95+'Inputs'!$U$105*L107),2)))</f>
      </c>
      <c r="M52">
        <f>IF('Inputs'!$B$101="",0,IF('Inputs'!$U$101=1,0,ROUND(M59+'Inputs'!$O$101*('Inputs'!$U$100*M47+'Inputs'!$U$101*M59+'Inputs'!$U$102*M71+'Inputs'!$U$103*M83+'Inputs'!$U$104*M95+'Inputs'!$U$105*M107),2)))</f>
      </c>
      <c r="N52">
        <f>IF('Inputs'!$B$101="",0,IF('Inputs'!$U$101=1,0,ROUND(N59+'Inputs'!$O$101*('Inputs'!$U$100*N47+'Inputs'!$U$101*N59+'Inputs'!$U$102*N71+'Inputs'!$U$103*N83+'Inputs'!$U$104*N95+'Inputs'!$U$105*N107),2)))</f>
      </c>
      <c r="O52">
        <f>IF('Inputs'!$B$101="",0,IF('Inputs'!$U$101=1,0,ROUND(O59+'Inputs'!$O$101*('Inputs'!$U$100*O47+'Inputs'!$U$101*O59+'Inputs'!$U$102*O71+'Inputs'!$U$103*O83+'Inputs'!$U$104*O95+'Inputs'!$U$105*O107),2)))</f>
      </c>
      <c r="P52">
        <f>IF('Inputs'!$B$101="",0,IF('Inputs'!$U$101=1,0,ROUND(P59+'Inputs'!$O$101*('Inputs'!$U$100*P47+'Inputs'!$U$101*P59+'Inputs'!$U$102*P71+'Inputs'!$U$103*P83+'Inputs'!$U$104*P95+'Inputs'!$U$105*P107),2)))</f>
      </c>
      <c r="Q52">
        <f>IF('Inputs'!$B$101="",0,IF('Inputs'!$U$101=1,0,ROUND(Q59+'Inputs'!$O$101*('Inputs'!$U$100*Q47+'Inputs'!$U$101*Q59+'Inputs'!$U$102*Q71+'Inputs'!$U$103*Q83+'Inputs'!$U$104*Q95+'Inputs'!$U$105*Q107),2)))</f>
      </c>
      <c r="R52">
        <f>IF('Inputs'!$B$101="",0,IF('Inputs'!$U$101=1,0,ROUND(R59+'Inputs'!$O$101*('Inputs'!$U$100*R47+'Inputs'!$U$101*R59+'Inputs'!$U$102*R71+'Inputs'!$U$103*R83+'Inputs'!$U$104*R95+'Inputs'!$U$105*R107),2)))</f>
      </c>
      <c r="S52">
        <f>IF('Inputs'!$B$101="",0,IF('Inputs'!$U$101=1,0,ROUND(S59+'Inputs'!$O$101*('Inputs'!$U$100*S47+'Inputs'!$U$101*S59+'Inputs'!$U$102*S71+'Inputs'!$U$103*S83+'Inputs'!$U$104*S95+'Inputs'!$U$105*S107),2)))</f>
      </c>
      <c r="T52">
        <f>IF('Inputs'!$B$101="",0,IF('Inputs'!$U$101=1,0,ROUND(T59+'Inputs'!$O$101*('Inputs'!$U$100*T47+'Inputs'!$U$101*T59+'Inputs'!$U$102*T71+'Inputs'!$U$103*T83+'Inputs'!$U$104*T95+'Inputs'!$U$105*T107),2)))</f>
      </c>
    </row>
    <row r="53" spans="2:20" x14ac:dyDescent="0.25">
      <c r="B53" t="s">
        <v>370</v>
      </c>
      <c r="C53">
        <f>'Needs years'!$C$61+MAX(0,C52-C60)*('Inputs'!$H$122/100*('Inputs'!$H$125/100+'Inputs'!$H$120/100*'Inputs'!$H$127/100))</f>
      </c>
      <c r="E53">
        <f>'Needs years'!$C$61+MAX(0,E52-E60)*('Inputs'!$H$122/100*('Inputs'!$H$125/100+'Inputs'!$H$120/100*'Inputs'!$H$127/100))</f>
      </c>
      <c r="F53">
        <f>'Needs years'!$C$61+MAX(0,F52-F60)*('Inputs'!$H$122/100*('Inputs'!$H$125/100+'Inputs'!$H$120/100*'Inputs'!$H$127/100))</f>
      </c>
      <c r="G53">
        <f>'Needs years'!$C$61+MAX(0,G52-G60)*('Inputs'!$H$122/100*('Inputs'!$H$125/100+'Inputs'!$H$120/100*'Inputs'!$H$127/100))</f>
      </c>
      <c r="H53">
        <f>'Needs years'!$C$61+MAX(0,H52-H60)*('Inputs'!$H$122/100*('Inputs'!$H$125/100+'Inputs'!$H$120/100*'Inputs'!$H$127/100))</f>
      </c>
      <c r="I53">
        <f>'Needs years'!$C$61+MAX(0,I52-I60)*('Inputs'!$H$122/100*('Inputs'!$H$125/100+'Inputs'!$H$120/100*'Inputs'!$H$127/100))</f>
      </c>
      <c r="J53">
        <f>'Needs years'!$C$61+MAX(0,J52-J60)*('Inputs'!$H$122/100*('Inputs'!$H$125/100+'Inputs'!$H$120/100*'Inputs'!$H$127/100))</f>
      </c>
      <c r="K53">
        <f>'Needs years'!$C$61+MAX(0,K52-K60)*('Inputs'!$H$122/100*('Inputs'!$H$125/100+'Inputs'!$H$120/100*'Inputs'!$H$127/100))</f>
      </c>
      <c r="L53">
        <f>'Needs years'!$C$61+MAX(0,L52-L60)*('Inputs'!$H$122/100*('Inputs'!$H$125/100+'Inputs'!$H$120/100*'Inputs'!$H$127/100))</f>
      </c>
      <c r="M53">
        <f>'Needs years'!$C$61+MAX(0,M52-M60)*('Inputs'!$H$122/100*('Inputs'!$H$125/100+'Inputs'!$H$120/100*'Inputs'!$H$127/100))</f>
      </c>
      <c r="N53">
        <f>'Needs years'!$C$61+MAX(0,N52-N60)*('Inputs'!$H$122/100*('Inputs'!$H$125/100+'Inputs'!$H$120/100*'Inputs'!$H$127/100))</f>
      </c>
      <c r="O53">
        <f>'Needs years'!$C$61+MAX(0,O52-O60)*('Inputs'!$H$122/100*('Inputs'!$H$125/100+'Inputs'!$H$120/100*'Inputs'!$H$127/100))</f>
      </c>
      <c r="P53">
        <f>'Needs years'!$C$61+MAX(0,P52-P60)*('Inputs'!$H$122/100*('Inputs'!$H$125/100+'Inputs'!$H$120/100*'Inputs'!$H$127/100))</f>
      </c>
      <c r="Q53">
        <f>'Needs years'!$C$61+MAX(0,Q52-Q60)*('Inputs'!$H$122/100*('Inputs'!$H$125/100+'Inputs'!$H$120/100*'Inputs'!$H$127/100))</f>
      </c>
      <c r="R53">
        <f>'Needs years'!$C$61+MAX(0,R52-R60)*('Inputs'!$H$122/100*('Inputs'!$H$125/100+'Inputs'!$H$120/100*'Inputs'!$H$127/100))</f>
      </c>
      <c r="S53">
        <f>'Needs years'!$C$61+MAX(0,S52-S60)*('Inputs'!$H$122/100*('Inputs'!$H$125/100+'Inputs'!$H$120/100*'Inputs'!$H$127/100))</f>
      </c>
      <c r="T53">
        <f>'Needs years'!$C$61+MAX(0,T52-T60)*('Inputs'!$H$122/100*('Inputs'!$H$125/100+'Inputs'!$H$120/100*'Inputs'!$H$127/100))</f>
      </c>
    </row>
    <row r="54" spans="2:20" x14ac:dyDescent="0.25">
      <c r="B54" t="s">
        <v>371</v>
      </c>
      <c r="C54">
        <f>IF(C53&lt;='Needs years'!$C$60,0,INDEX('Inputs'!$E$134:$E$140,MATCH(C53,'Inputs'!$C$134:$C$140,1)-IF(COUNTIF('Inputs'!$C$134:$C$140,C53)&gt;0,1,0))/100)</f>
      </c>
      <c r="E54">
        <f>IF(E53&lt;='Needs years'!$C$60,0,INDEX('Inputs'!$E$134:$E$140,MATCH(E53,'Inputs'!$C$134:$C$140,1)-IF(COUNTIF('Inputs'!$C$134:$C$140,E53)&gt;0,1,0))/100)</f>
      </c>
      <c r="F54">
        <f>IF(F53&lt;='Needs years'!$C$60,0,INDEX('Inputs'!$E$134:$E$140,MATCH(F53,'Inputs'!$C$134:$C$140,1)-IF(COUNTIF('Inputs'!$C$134:$C$140,F53)&gt;0,1,0))/100)</f>
      </c>
      <c r="G54">
        <f>IF(G53&lt;='Needs years'!$C$60,0,INDEX('Inputs'!$E$134:$E$140,MATCH(G53,'Inputs'!$C$134:$C$140,1)-IF(COUNTIF('Inputs'!$C$134:$C$140,G53)&gt;0,1,0))/100)</f>
      </c>
      <c r="H54">
        <f>IF(H53&lt;='Needs years'!$C$60,0,INDEX('Inputs'!$E$134:$E$140,MATCH(H53,'Inputs'!$C$134:$C$140,1)-IF(COUNTIF('Inputs'!$C$134:$C$140,H53)&gt;0,1,0))/100)</f>
      </c>
      <c r="I54">
        <f>IF(I53&lt;='Needs years'!$C$60,0,INDEX('Inputs'!$E$134:$E$140,MATCH(I53,'Inputs'!$C$134:$C$140,1)-IF(COUNTIF('Inputs'!$C$134:$C$140,I53)&gt;0,1,0))/100)</f>
      </c>
      <c r="J54">
        <f>IF(J53&lt;='Needs years'!$C$60,0,INDEX('Inputs'!$E$134:$E$140,MATCH(J53,'Inputs'!$C$134:$C$140,1)-IF(COUNTIF('Inputs'!$C$134:$C$140,J53)&gt;0,1,0))/100)</f>
      </c>
      <c r="K54">
        <f>IF(K53&lt;='Needs years'!$C$60,0,INDEX('Inputs'!$E$134:$E$140,MATCH(K53,'Inputs'!$C$134:$C$140,1)-IF(COUNTIF('Inputs'!$C$134:$C$140,K53)&gt;0,1,0))/100)</f>
      </c>
      <c r="L54">
        <f>IF(L53&lt;='Needs years'!$C$60,0,INDEX('Inputs'!$E$134:$E$140,MATCH(L53,'Inputs'!$C$134:$C$140,1)-IF(COUNTIF('Inputs'!$C$134:$C$140,L53)&gt;0,1,0))/100)</f>
      </c>
      <c r="M54">
        <f>IF(M53&lt;='Needs years'!$C$60,0,INDEX('Inputs'!$E$134:$E$140,MATCH(M53,'Inputs'!$C$134:$C$140,1)-IF(COUNTIF('Inputs'!$C$134:$C$140,M53)&gt;0,1,0))/100)</f>
      </c>
      <c r="N54">
        <f>IF(N53&lt;='Needs years'!$C$60,0,INDEX('Inputs'!$E$134:$E$140,MATCH(N53,'Inputs'!$C$134:$C$140,1)-IF(COUNTIF('Inputs'!$C$134:$C$140,N53)&gt;0,1,0))/100)</f>
      </c>
      <c r="O54">
        <f>IF(O53&lt;='Needs years'!$C$60,0,INDEX('Inputs'!$E$134:$E$140,MATCH(O53,'Inputs'!$C$134:$C$140,1)-IF(COUNTIF('Inputs'!$C$134:$C$140,O53)&gt;0,1,0))/100)</f>
      </c>
      <c r="P54">
        <f>IF(P53&lt;='Needs years'!$C$60,0,INDEX('Inputs'!$E$134:$E$140,MATCH(P53,'Inputs'!$C$134:$C$140,1)-IF(COUNTIF('Inputs'!$C$134:$C$140,P53)&gt;0,1,0))/100)</f>
      </c>
      <c r="Q54">
        <f>IF(Q53&lt;='Needs years'!$C$60,0,INDEX('Inputs'!$E$134:$E$140,MATCH(Q53,'Inputs'!$C$134:$C$140,1)-IF(COUNTIF('Inputs'!$C$134:$C$140,Q53)&gt;0,1,0))/100)</f>
      </c>
      <c r="R54">
        <f>IF(R53&lt;='Needs years'!$C$60,0,INDEX('Inputs'!$E$134:$E$140,MATCH(R53,'Inputs'!$C$134:$C$140,1)-IF(COUNTIF('Inputs'!$C$134:$C$140,R53)&gt;0,1,0))/100)</f>
      </c>
      <c r="S54">
        <f>IF(S53&lt;='Needs years'!$C$60,0,INDEX('Inputs'!$E$134:$E$140,MATCH(S53,'Inputs'!$C$134:$C$140,1)-IF(COUNTIF('Inputs'!$C$134:$C$140,S53)&gt;0,1,0))/100)</f>
      </c>
      <c r="T54">
        <f>IF(T53&lt;='Needs years'!$C$60,0,INDEX('Inputs'!$E$134:$E$140,MATCH(T53,'Inputs'!$C$134:$C$140,1)-IF(COUNTIF('Inputs'!$C$134:$C$140,T53)&gt;0,1,0))/100)</f>
      </c>
    </row>
    <row r="55" spans="2:20" x14ac:dyDescent="0.25">
      <c r="B55" t="s">
        <v>372</v>
      </c>
      <c r="C55">
        <f>('Inputs'!$H$122/100*(1-('Inputs'!$H$125/100*C54+'Inputs'!$H$126/100*'Inputs'!$H$128/100+'Inputs'!$H$127/100*'Inputs'!$H$120/100*C54))-IF('Needs years'!$C$65=1,'Inputs'!$H$123/100,0))</f>
      </c>
      <c r="E55">
        <f>('Inputs'!$H$122/100*(1-('Inputs'!$H$125/100*E54+'Inputs'!$H$126/100*'Inputs'!$H$128/100+'Inputs'!$H$127/100*'Inputs'!$H$120/100*E54))-IF('Needs years'!$C$65=1,'Inputs'!$H$123/100,0))</f>
      </c>
      <c r="F55">
        <f>('Inputs'!$H$122/100*(1-('Inputs'!$H$125/100*F54+'Inputs'!$H$126/100*'Inputs'!$H$128/100+'Inputs'!$H$127/100*'Inputs'!$H$120/100*F54))-IF('Needs years'!$C$65=1,'Inputs'!$H$123/100,0))</f>
      </c>
      <c r="G55">
        <f>('Inputs'!$H$122/100*(1-('Inputs'!$H$125/100*G54+'Inputs'!$H$126/100*'Inputs'!$H$128/100+'Inputs'!$H$127/100*'Inputs'!$H$120/100*G54))-IF('Needs years'!$C$65=1,'Inputs'!$H$123/100,0))</f>
      </c>
      <c r="H55">
        <f>('Inputs'!$H$122/100*(1-('Inputs'!$H$125/100*H54+'Inputs'!$H$126/100*'Inputs'!$H$128/100+'Inputs'!$H$127/100*'Inputs'!$H$120/100*H54))-IF('Needs years'!$C$65=1,'Inputs'!$H$123/100,0))</f>
      </c>
      <c r="I55">
        <f>('Inputs'!$H$122/100*(1-('Inputs'!$H$125/100*I54+'Inputs'!$H$126/100*'Inputs'!$H$128/100+'Inputs'!$H$127/100*'Inputs'!$H$120/100*I54))-IF('Needs years'!$C$65=1,'Inputs'!$H$123/100,0))</f>
      </c>
      <c r="J55">
        <f>('Inputs'!$H$122/100*(1-('Inputs'!$H$125/100*J54+'Inputs'!$H$126/100*'Inputs'!$H$128/100+'Inputs'!$H$127/100*'Inputs'!$H$120/100*J54))-IF('Needs years'!$C$65=1,'Inputs'!$H$123/100,0))</f>
      </c>
      <c r="K55">
        <f>('Inputs'!$H$122/100*(1-('Inputs'!$H$125/100*K54+'Inputs'!$H$126/100*'Inputs'!$H$128/100+'Inputs'!$H$127/100*'Inputs'!$H$120/100*K54))-IF('Needs years'!$C$65=1,'Inputs'!$H$123/100,0))</f>
      </c>
      <c r="L55">
        <f>('Inputs'!$H$122/100*(1-('Inputs'!$H$125/100*L54+'Inputs'!$H$126/100*'Inputs'!$H$128/100+'Inputs'!$H$127/100*'Inputs'!$H$120/100*L54))-IF('Needs years'!$C$65=1,'Inputs'!$H$123/100,0))</f>
      </c>
      <c r="M55">
        <f>('Inputs'!$H$122/100*(1-('Inputs'!$H$125/100*M54+'Inputs'!$H$126/100*'Inputs'!$H$128/100+'Inputs'!$H$127/100*'Inputs'!$H$120/100*M54))-IF('Needs years'!$C$65=1,'Inputs'!$H$123/100,0))</f>
      </c>
      <c r="N55">
        <f>('Inputs'!$H$122/100*(1-('Inputs'!$H$125/100*N54+'Inputs'!$H$126/100*'Inputs'!$H$128/100+'Inputs'!$H$127/100*'Inputs'!$H$120/100*N54))-IF('Needs years'!$C$65=1,'Inputs'!$H$123/100,0))</f>
      </c>
      <c r="O55">
        <f>('Inputs'!$H$122/100*(1-('Inputs'!$H$125/100*O54+'Inputs'!$H$126/100*'Inputs'!$H$128/100+'Inputs'!$H$127/100*'Inputs'!$H$120/100*O54))-IF('Needs years'!$C$65=1,'Inputs'!$H$123/100,0))</f>
      </c>
      <c r="P55">
        <f>('Inputs'!$H$122/100*(1-('Inputs'!$H$125/100*P54+'Inputs'!$H$126/100*'Inputs'!$H$128/100+'Inputs'!$H$127/100*'Inputs'!$H$120/100*P54))-IF('Needs years'!$C$65=1,'Inputs'!$H$123/100,0))</f>
      </c>
      <c r="Q55">
        <f>('Inputs'!$H$122/100*(1-('Inputs'!$H$125/100*Q54+'Inputs'!$H$126/100*'Inputs'!$H$128/100+'Inputs'!$H$127/100*'Inputs'!$H$120/100*Q54))-IF('Needs years'!$C$65=1,'Inputs'!$H$123/100,0))</f>
      </c>
      <c r="R55">
        <f>('Inputs'!$H$122/100*(1-('Inputs'!$H$125/100*R54+'Inputs'!$H$126/100*'Inputs'!$H$128/100+'Inputs'!$H$127/100*'Inputs'!$H$120/100*R54))-IF('Needs years'!$C$65=1,'Inputs'!$H$123/100,0))</f>
      </c>
      <c r="S55">
        <f>('Inputs'!$H$122/100*(1-('Inputs'!$H$125/100*S54+'Inputs'!$H$126/100*'Inputs'!$H$128/100+'Inputs'!$H$127/100*'Inputs'!$H$120/100*S54))-IF('Needs years'!$C$65=1,'Inputs'!$H$123/100,0))</f>
      </c>
      <c r="T55">
        <f>('Inputs'!$H$122/100*(1-('Inputs'!$H$125/100*T54+'Inputs'!$H$126/100*'Inputs'!$H$128/100+'Inputs'!$H$127/100*'Inputs'!$H$120/100*T54))-IF('Needs years'!$C$65=1,'Inputs'!$H$123/100,0))</f>
      </c>
    </row>
    <row r="56" spans="2:20" x14ac:dyDescent="0.25">
      <c r="B56" t="s">
        <v>373</v>
      </c>
      <c r="C56">
        <f>IF('Inputs'!$B$101="",0,IF('Inputs'!$U$101=1,0,ROUND(C62+'Inputs'!$O$101*('Inputs'!$U$100*C50+'Inputs'!$U$101*C62+'Inputs'!$U$102*C74+'Inputs'!$U$103*C86+'Inputs'!$U$104*C98+'Inputs'!$U$105*C110),2)))</f>
      </c>
      <c r="E56">
        <f>IF('Inputs'!$B$101="",0,IF('Inputs'!$U$101=1,0,ROUND(E62+'Inputs'!$O$101*('Inputs'!$U$100*E50+'Inputs'!$U$101*E62+'Inputs'!$U$102*E74+'Inputs'!$U$103*E86+'Inputs'!$U$104*E98+'Inputs'!$U$105*E110),2)))</f>
      </c>
      <c r="F56">
        <f>IF('Inputs'!$B$101="",0,IF('Inputs'!$U$101=1,0,ROUND(F62+'Inputs'!$O$101*('Inputs'!$U$100*F50+'Inputs'!$U$101*F62+'Inputs'!$U$102*F74+'Inputs'!$U$103*F86+'Inputs'!$U$104*F98+'Inputs'!$U$105*F110),2)))</f>
      </c>
      <c r="G56">
        <f>IF('Inputs'!$B$101="",0,IF('Inputs'!$U$101=1,0,ROUND(G62+'Inputs'!$O$101*('Inputs'!$U$100*G50+'Inputs'!$U$101*G62+'Inputs'!$U$102*G74+'Inputs'!$U$103*G86+'Inputs'!$U$104*G98+'Inputs'!$U$105*G110),2)))</f>
      </c>
      <c r="H56">
        <f>IF('Inputs'!$B$101="",0,IF('Inputs'!$U$101=1,0,ROUND(H62+'Inputs'!$O$101*('Inputs'!$U$100*H50+'Inputs'!$U$101*H62+'Inputs'!$U$102*H74+'Inputs'!$U$103*H86+'Inputs'!$U$104*H98+'Inputs'!$U$105*H110),2)))</f>
      </c>
      <c r="I56">
        <f>IF('Inputs'!$B$101="",0,IF('Inputs'!$U$101=1,0,ROUND(I62+'Inputs'!$O$101*('Inputs'!$U$100*I50+'Inputs'!$U$101*I62+'Inputs'!$U$102*I74+'Inputs'!$U$103*I86+'Inputs'!$U$104*I98+'Inputs'!$U$105*I110),2)))</f>
      </c>
      <c r="J56">
        <f>IF('Inputs'!$B$101="",0,IF('Inputs'!$U$101=1,0,ROUND(J62+'Inputs'!$O$101*('Inputs'!$U$100*J50+'Inputs'!$U$101*J62+'Inputs'!$U$102*J74+'Inputs'!$U$103*J86+'Inputs'!$U$104*J98+'Inputs'!$U$105*J110),2)))</f>
      </c>
      <c r="K56">
        <f>IF('Inputs'!$B$101="",0,IF('Inputs'!$U$101=1,0,ROUND(K62+'Inputs'!$O$101*('Inputs'!$U$100*K50+'Inputs'!$U$101*K62+'Inputs'!$U$102*K74+'Inputs'!$U$103*K86+'Inputs'!$U$104*K98+'Inputs'!$U$105*K110),2)))</f>
      </c>
      <c r="L56">
        <f>IF('Inputs'!$B$101="",0,IF('Inputs'!$U$101=1,0,ROUND(L62+'Inputs'!$O$101*('Inputs'!$U$100*L50+'Inputs'!$U$101*L62+'Inputs'!$U$102*L74+'Inputs'!$U$103*L86+'Inputs'!$U$104*L98+'Inputs'!$U$105*L110),2)))</f>
      </c>
      <c r="M56">
        <f>IF('Inputs'!$B$101="",0,IF('Inputs'!$U$101=1,0,ROUND(M62+'Inputs'!$O$101*('Inputs'!$U$100*M50+'Inputs'!$U$101*M62+'Inputs'!$U$102*M74+'Inputs'!$U$103*M86+'Inputs'!$U$104*M98+'Inputs'!$U$105*M110),2)))</f>
      </c>
      <c r="N56">
        <f>IF('Inputs'!$B$101="",0,IF('Inputs'!$U$101=1,0,ROUND(N62+'Inputs'!$O$101*('Inputs'!$U$100*N50+'Inputs'!$U$101*N62+'Inputs'!$U$102*N74+'Inputs'!$U$103*N86+'Inputs'!$U$104*N98+'Inputs'!$U$105*N110),2)))</f>
      </c>
      <c r="O56">
        <f>IF('Inputs'!$B$101="",0,IF('Inputs'!$U$101=1,0,ROUND(O62+'Inputs'!$O$101*('Inputs'!$U$100*O50+'Inputs'!$U$101*O62+'Inputs'!$U$102*O74+'Inputs'!$U$103*O86+'Inputs'!$U$104*O98+'Inputs'!$U$105*O110),2)))</f>
      </c>
      <c r="P56">
        <f>IF('Inputs'!$B$101="",0,IF('Inputs'!$U$101=1,0,ROUND(P62+'Inputs'!$O$101*('Inputs'!$U$100*P50+'Inputs'!$U$101*P62+'Inputs'!$U$102*P74+'Inputs'!$U$103*P86+'Inputs'!$U$104*P98+'Inputs'!$U$105*P110),2)))</f>
      </c>
      <c r="Q56">
        <f>IF('Inputs'!$B$101="",0,IF('Inputs'!$U$101=1,0,ROUND(Q62+'Inputs'!$O$101*('Inputs'!$U$100*Q50+'Inputs'!$U$101*Q62+'Inputs'!$U$102*Q74+'Inputs'!$U$103*Q86+'Inputs'!$U$104*Q98+'Inputs'!$U$105*Q110),2)))</f>
      </c>
      <c r="R56">
        <f>IF('Inputs'!$B$101="",0,IF('Inputs'!$U$101=1,0,ROUND(R62+'Inputs'!$O$101*('Inputs'!$U$100*R50+'Inputs'!$U$101*R62+'Inputs'!$U$102*R74+'Inputs'!$U$103*R86+'Inputs'!$U$104*R98+'Inputs'!$U$105*R110),2)))</f>
      </c>
      <c r="S56">
        <f>IF('Inputs'!$B$101="",0,IF('Inputs'!$U$101=1,0,ROUND(S62+'Inputs'!$O$101*('Inputs'!$U$100*S50+'Inputs'!$U$101*S62+'Inputs'!$U$102*S74+'Inputs'!$U$103*S86+'Inputs'!$U$104*S98+'Inputs'!$U$105*S110),2)))</f>
      </c>
      <c r="T56">
        <f>IF('Inputs'!$B$101="",0,IF('Inputs'!$U$101=1,0,ROUND(T62+'Inputs'!$O$101*('Inputs'!$U$100*T50+'Inputs'!$U$101*T62+'Inputs'!$U$102*T74+'Inputs'!$U$103*T86+'Inputs'!$U$104*T98+'Inputs'!$U$105*T110),2)))</f>
      </c>
    </row>
    <row r="57" spans="2:20" x14ac:dyDescent="0.25">
      <c r="B57" t="s">
        <v>374</v>
      </c>
      <c r="C57">
        <f>IF('Inputs'!$B$101="",0,ROUND(C56-C52,2))</f>
      </c>
      <c r="E57">
        <f>IF('Inputs'!$B$101="",0,ROUND(E56-E52,2))</f>
      </c>
      <c r="F57">
        <f>IF('Inputs'!$B$101="",0,ROUND(F56-F52,2))</f>
      </c>
      <c r="G57">
        <f>IF('Inputs'!$B$101="",0,ROUND(G56-G52,2))</f>
      </c>
      <c r="H57">
        <f>IF('Inputs'!$B$101="",0,ROUND(H56-H52,2))</f>
      </c>
      <c r="I57">
        <f>IF('Inputs'!$B$101="",0,ROUND(I56-I52,2))</f>
      </c>
      <c r="J57">
        <f>IF('Inputs'!$B$101="",0,ROUND(J56-J52,2))</f>
      </c>
      <c r="K57">
        <f>IF('Inputs'!$B$101="",0,ROUND(K56-K52,2))</f>
      </c>
      <c r="L57">
        <f>IF('Inputs'!$B$101="",0,ROUND(L56-L52,2))</f>
      </c>
      <c r="M57">
        <f>IF('Inputs'!$B$101="",0,ROUND(M56-M52,2))</f>
      </c>
      <c r="N57">
        <f>IF('Inputs'!$B$101="",0,ROUND(N56-N52,2))</f>
      </c>
      <c r="O57">
        <f>IF('Inputs'!$B$101="",0,ROUND(O56-O52,2))</f>
      </c>
      <c r="P57">
        <f>IF('Inputs'!$B$101="",0,ROUND(P56-P52,2))</f>
      </c>
      <c r="Q57">
        <f>IF('Inputs'!$B$101="",0,ROUND(Q56-Q52,2))</f>
      </c>
      <c r="R57">
        <f>IF('Inputs'!$B$101="",0,ROUND(R56-R52,2))</f>
      </c>
      <c r="S57">
        <f>IF('Inputs'!$B$101="",0,ROUND(S56-S52,2))</f>
      </c>
      <c r="T57">
        <f>IF('Inputs'!$B$101="",0,ROUND(T56-T52,2))</f>
      </c>
    </row>
    <row r="58" spans="2:20" x14ac:dyDescent="0.25">
      <c r="B58" t="s">
        <v>375</v>
      </c>
      <c r="C58">
        <f>IF('Inputs'!$B$101="",0,'Needs years'!$C$72+IF('Inputs'!$U$101=1,('Inputs'!$O$100*C51+'Inputs'!$O$101*C63+'Inputs'!$O$102*C75+'Inputs'!$O$103*C87+'Inputs'!$O$104*C99+'Inputs'!$O$105*C111),C63)*'Needs years'!$J$60/12)</f>
      </c>
      <c r="E58">
        <f>IF('Inputs'!$B$101="",0,'Needs years'!$C$72+IF('Inputs'!$U$101=1,('Inputs'!$O$100*E51+'Inputs'!$O$101*E63+'Inputs'!$O$102*E75+'Inputs'!$O$103*E87+'Inputs'!$O$104*E99+'Inputs'!$O$105*E111),E63)*'Needs years'!$J$60/12)</f>
      </c>
      <c r="F58">
        <f>IF('Inputs'!$B$101="",0,'Needs years'!$C$72+IF('Inputs'!$U$101=1,('Inputs'!$O$100*F51+'Inputs'!$O$101*F63+'Inputs'!$O$102*F75+'Inputs'!$O$103*F87+'Inputs'!$O$104*F99+'Inputs'!$O$105*F111),F63)*'Needs years'!$J$60/12)</f>
      </c>
      <c r="G58">
        <f>IF('Inputs'!$B$101="",0,'Needs years'!$C$72+IF('Inputs'!$U$101=1,('Inputs'!$O$100*G51+'Inputs'!$O$101*G63+'Inputs'!$O$102*G75+'Inputs'!$O$103*G87+'Inputs'!$O$104*G99+'Inputs'!$O$105*G111),G63)*'Needs years'!$J$60/12)</f>
      </c>
      <c r="H58">
        <f>IF('Inputs'!$B$101="",0,'Needs years'!$C$72+IF('Inputs'!$U$101=1,('Inputs'!$O$100*H51+'Inputs'!$O$101*H63+'Inputs'!$O$102*H75+'Inputs'!$O$103*H87+'Inputs'!$O$104*H99+'Inputs'!$O$105*H111),H63)*'Needs years'!$J$60/12)</f>
      </c>
      <c r="I58">
        <f>IF('Inputs'!$B$101="",0,'Needs years'!$C$72+IF('Inputs'!$U$101=1,('Inputs'!$O$100*I51+'Inputs'!$O$101*I63+'Inputs'!$O$102*I75+'Inputs'!$O$103*I87+'Inputs'!$O$104*I99+'Inputs'!$O$105*I111),I63)*'Needs years'!$J$60/12)</f>
      </c>
      <c r="J58">
        <f>IF('Inputs'!$B$101="",0,'Needs years'!$C$72+IF('Inputs'!$U$101=1,('Inputs'!$O$100*J51+'Inputs'!$O$101*J63+'Inputs'!$O$102*J75+'Inputs'!$O$103*J87+'Inputs'!$O$104*J99+'Inputs'!$O$105*J111),J63)*'Needs years'!$J$60/12)</f>
      </c>
      <c r="K58">
        <f>IF('Inputs'!$B$101="",0,'Needs years'!$C$72+IF('Inputs'!$U$101=1,('Inputs'!$O$100*K51+'Inputs'!$O$101*K63+'Inputs'!$O$102*K75+'Inputs'!$O$103*K87+'Inputs'!$O$104*K99+'Inputs'!$O$105*K111),K63)*'Needs years'!$J$60/12)</f>
      </c>
      <c r="L58">
        <f>IF('Inputs'!$B$101="",0,'Needs years'!$C$72+IF('Inputs'!$U$101=1,('Inputs'!$O$100*L51+'Inputs'!$O$101*L63+'Inputs'!$O$102*L75+'Inputs'!$O$103*L87+'Inputs'!$O$104*L99+'Inputs'!$O$105*L111),L63)*'Needs years'!$J$60/12)</f>
      </c>
      <c r="M58">
        <f>IF('Inputs'!$B$101="",0,'Needs years'!$C$72+IF('Inputs'!$U$101=1,('Inputs'!$O$100*M51+'Inputs'!$O$101*M63+'Inputs'!$O$102*M75+'Inputs'!$O$103*M87+'Inputs'!$O$104*M99+'Inputs'!$O$105*M111),M63)*'Needs years'!$J$60/12)</f>
      </c>
      <c r="N58">
        <f>IF('Inputs'!$B$101="",0,'Needs years'!$C$72+IF('Inputs'!$U$101=1,('Inputs'!$O$100*N51+'Inputs'!$O$101*N63+'Inputs'!$O$102*N75+'Inputs'!$O$103*N87+'Inputs'!$O$104*N99+'Inputs'!$O$105*N111),N63)*'Needs years'!$J$60/12)</f>
      </c>
      <c r="O58">
        <f>IF('Inputs'!$B$101="",0,'Needs years'!$C$72+IF('Inputs'!$U$101=1,('Inputs'!$O$100*O51+'Inputs'!$O$101*O63+'Inputs'!$O$102*O75+'Inputs'!$O$103*O87+'Inputs'!$O$104*O99+'Inputs'!$O$105*O111),O63)*'Needs years'!$J$60/12)</f>
      </c>
      <c r="P58">
        <f>IF('Inputs'!$B$101="",0,'Needs years'!$C$72+IF('Inputs'!$U$101=1,('Inputs'!$O$100*P51+'Inputs'!$O$101*P63+'Inputs'!$O$102*P75+'Inputs'!$O$103*P87+'Inputs'!$O$104*P99+'Inputs'!$O$105*P111),P63)*'Needs years'!$J$60/12)</f>
      </c>
      <c r="Q58">
        <f>IF('Inputs'!$B$101="",0,'Needs years'!$C$72+IF('Inputs'!$U$101=1,('Inputs'!$O$100*Q51+'Inputs'!$O$101*Q63+'Inputs'!$O$102*Q75+'Inputs'!$O$103*Q87+'Inputs'!$O$104*Q99+'Inputs'!$O$105*Q111),Q63)*'Needs years'!$J$60/12)</f>
      </c>
      <c r="R58">
        <f>IF('Inputs'!$B$101="",0,'Needs years'!$C$72+IF('Inputs'!$U$101=1,('Inputs'!$O$100*R51+'Inputs'!$O$101*R63+'Inputs'!$O$102*R75+'Inputs'!$O$103*R87+'Inputs'!$O$104*R99+'Inputs'!$O$105*R111),R63)*'Needs years'!$J$60/12)</f>
      </c>
      <c r="S58">
        <f>IF('Inputs'!$B$101="",0,'Needs years'!$C$72+IF('Inputs'!$U$101=1,('Inputs'!$O$100*S51+'Inputs'!$O$101*S63+'Inputs'!$O$102*S75+'Inputs'!$O$103*S87+'Inputs'!$O$104*S99+'Inputs'!$O$105*S111),S63)*'Needs years'!$J$60/12)</f>
      </c>
      <c r="T58">
        <f>IF('Inputs'!$B$101="",0,'Needs years'!$C$72+IF('Inputs'!$U$101=1,('Inputs'!$O$100*T51+'Inputs'!$O$101*T63+'Inputs'!$O$102*T75+'Inputs'!$O$103*T87+'Inputs'!$O$104*T99+'Inputs'!$O$105*T111),T63)*'Needs years'!$J$60/12)</f>
      </c>
    </row>
    <row r="59" spans="2:20" x14ac:dyDescent="0.25">
      <c r="B59" t="s">
        <v>376</v>
      </c>
      <c r="C59">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59">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59">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59">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59">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59">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59">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59">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59">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59">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59">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59">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59">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59">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59">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59">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59">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60" spans="2:20" x14ac:dyDescent="0.25">
      <c r="B60" t="s">
        <v>377</v>
      </c>
      <c r="C60">
        <f>IF('Inputs'!$U$101=1,0,'Needs years'!$C$66+'Inputs'!$O$101*('Inputs'!$U$100*'Needs years'!$C$10+'Inputs'!$U$101*'Needs years'!$C$66+'Inputs'!$U$102*'Needs years'!$C$122+'Inputs'!$U$103*'Needs years'!$C$178+'Inputs'!$U$104*'Needs years'!$C$234+'Inputs'!$U$105*'Needs years'!$C$290))</f>
      </c>
      <c r="E60">
        <f>IF('Inputs'!$U$101=1,0,'Needs years'!$C$66+'Inputs'!$O$101*('Inputs'!$U$100*'Needs years'!$C$10+'Inputs'!$U$101*'Needs years'!$C$66+'Inputs'!$U$102*'Needs years'!$C$122+'Inputs'!$U$103*'Needs years'!$C$178+'Inputs'!$U$104*'Needs years'!$C$234+'Inputs'!$U$105*'Needs years'!$C$290))</f>
      </c>
      <c r="F60">
        <f>IF('Inputs'!$U$101=1,0,'Needs years'!$C$66+'Inputs'!$O$101*('Inputs'!$U$100*'Needs years'!$C$10+'Inputs'!$U$101*'Needs years'!$C$66+'Inputs'!$U$102*'Needs years'!$C$122+'Inputs'!$U$103*'Needs years'!$C$178+'Inputs'!$U$104*'Needs years'!$C$234+'Inputs'!$U$105*'Needs years'!$C$290))</f>
      </c>
      <c r="G60">
        <f>IF('Inputs'!$U$101=1,0,'Needs years'!$C$66+'Inputs'!$O$101*('Inputs'!$U$100*'Needs years'!$C$10+'Inputs'!$U$101*'Needs years'!$C$66+'Inputs'!$U$102*'Needs years'!$C$122+'Inputs'!$U$103*'Needs years'!$C$178+'Inputs'!$U$104*'Needs years'!$C$234+'Inputs'!$U$105*'Needs years'!$C$290))</f>
      </c>
      <c r="H60">
        <f>IF('Inputs'!$U$101=1,0,'Needs years'!$C$66+'Inputs'!$O$101*('Inputs'!$U$100*'Needs years'!$C$10+'Inputs'!$U$101*'Needs years'!$C$66+'Inputs'!$U$102*'Needs years'!$C$122+'Inputs'!$U$103*'Needs years'!$C$178+'Inputs'!$U$104*'Needs years'!$C$234+'Inputs'!$U$105*'Needs years'!$C$290))</f>
      </c>
      <c r="I60">
        <f>IF('Inputs'!$U$101=1,0,'Needs years'!$C$66+'Inputs'!$O$101*('Inputs'!$U$100*'Needs years'!$C$10+'Inputs'!$U$101*'Needs years'!$C$66+'Inputs'!$U$102*'Needs years'!$C$122+'Inputs'!$U$103*'Needs years'!$C$178+'Inputs'!$U$104*'Needs years'!$C$234+'Inputs'!$U$105*'Needs years'!$C$290))</f>
      </c>
      <c r="J60">
        <f>IF('Inputs'!$U$101=1,0,'Needs years'!$C$66+'Inputs'!$O$101*('Inputs'!$U$100*'Needs years'!$C$10+'Inputs'!$U$101*'Needs years'!$C$66+'Inputs'!$U$102*'Needs years'!$C$122+'Inputs'!$U$103*'Needs years'!$C$178+'Inputs'!$U$104*'Needs years'!$C$234+'Inputs'!$U$105*'Needs years'!$C$290))</f>
      </c>
      <c r="K60">
        <f>IF('Inputs'!$U$101=1,0,'Needs years'!$C$66+'Inputs'!$O$101*('Inputs'!$U$100*'Needs years'!$C$10+'Inputs'!$U$101*'Needs years'!$C$66+'Inputs'!$U$102*'Needs years'!$C$122+'Inputs'!$U$103*'Needs years'!$C$178+'Inputs'!$U$104*'Needs years'!$C$234+'Inputs'!$U$105*'Needs years'!$C$290))</f>
      </c>
      <c r="L60">
        <f>IF('Inputs'!$U$101=1,0,'Needs years'!$C$66+'Inputs'!$O$101*('Inputs'!$U$100*'Needs years'!$C$10+'Inputs'!$U$101*'Needs years'!$C$66+'Inputs'!$U$102*'Needs years'!$C$122+'Inputs'!$U$103*'Needs years'!$C$178+'Inputs'!$U$104*'Needs years'!$C$234+'Inputs'!$U$105*'Needs years'!$C$290))</f>
      </c>
      <c r="M60">
        <f>IF('Inputs'!$U$101=1,0,'Needs years'!$C$66+'Inputs'!$O$101*('Inputs'!$U$100*'Needs years'!$C$10+'Inputs'!$U$101*'Needs years'!$C$66+'Inputs'!$U$102*'Needs years'!$C$122+'Inputs'!$U$103*'Needs years'!$C$178+'Inputs'!$U$104*'Needs years'!$C$234+'Inputs'!$U$105*'Needs years'!$C$290))</f>
      </c>
      <c r="N60">
        <f>IF('Inputs'!$U$101=1,0,'Needs years'!$C$66+'Inputs'!$O$101*('Inputs'!$U$100*'Needs years'!$C$10+'Inputs'!$U$101*'Needs years'!$C$66+'Inputs'!$U$102*'Needs years'!$C$122+'Inputs'!$U$103*'Needs years'!$C$178+'Inputs'!$U$104*'Needs years'!$C$234+'Inputs'!$U$105*'Needs years'!$C$290))</f>
      </c>
      <c r="O60">
        <f>IF('Inputs'!$U$101=1,0,'Needs years'!$C$66+'Inputs'!$O$101*('Inputs'!$U$100*'Needs years'!$C$10+'Inputs'!$U$101*'Needs years'!$C$66+'Inputs'!$U$102*'Needs years'!$C$122+'Inputs'!$U$103*'Needs years'!$C$178+'Inputs'!$U$104*'Needs years'!$C$234+'Inputs'!$U$105*'Needs years'!$C$290))</f>
      </c>
      <c r="P60">
        <f>IF('Inputs'!$U$101=1,0,'Needs years'!$C$66+'Inputs'!$O$101*('Inputs'!$U$100*'Needs years'!$C$10+'Inputs'!$U$101*'Needs years'!$C$66+'Inputs'!$U$102*'Needs years'!$C$122+'Inputs'!$U$103*'Needs years'!$C$178+'Inputs'!$U$104*'Needs years'!$C$234+'Inputs'!$U$105*'Needs years'!$C$290))</f>
      </c>
      <c r="Q60">
        <f>IF('Inputs'!$U$101=1,0,'Needs years'!$C$66+'Inputs'!$O$101*('Inputs'!$U$100*'Needs years'!$C$10+'Inputs'!$U$101*'Needs years'!$C$66+'Inputs'!$U$102*'Needs years'!$C$122+'Inputs'!$U$103*'Needs years'!$C$178+'Inputs'!$U$104*'Needs years'!$C$234+'Inputs'!$U$105*'Needs years'!$C$290))</f>
      </c>
      <c r="R60">
        <f>IF('Inputs'!$U$101=1,0,'Needs years'!$C$66+'Inputs'!$O$101*('Inputs'!$U$100*'Needs years'!$C$10+'Inputs'!$U$101*'Needs years'!$C$66+'Inputs'!$U$102*'Needs years'!$C$122+'Inputs'!$U$103*'Needs years'!$C$178+'Inputs'!$U$104*'Needs years'!$C$234+'Inputs'!$U$105*'Needs years'!$C$290))</f>
      </c>
      <c r="S60">
        <f>IF('Inputs'!$U$101=1,0,'Needs years'!$C$66+'Inputs'!$O$101*('Inputs'!$U$100*'Needs years'!$C$10+'Inputs'!$U$101*'Needs years'!$C$66+'Inputs'!$U$102*'Needs years'!$C$122+'Inputs'!$U$103*'Needs years'!$C$178+'Inputs'!$U$104*'Needs years'!$C$234+'Inputs'!$U$105*'Needs years'!$C$290))</f>
      </c>
      <c r="T60">
        <f>IF('Inputs'!$U$101=1,0,'Needs years'!$C$66+'Inputs'!$O$101*('Inputs'!$U$100*'Needs years'!$C$10+'Inputs'!$U$101*'Needs years'!$C$66+'Inputs'!$U$102*'Needs years'!$C$122+'Inputs'!$U$103*'Needs years'!$C$178+'Inputs'!$U$104*'Needs years'!$C$234+'Inputs'!$U$105*'Needs years'!$C$290))</f>
      </c>
    </row>
    <row r="61" spans="2:20" x14ac:dyDescent="0.25">
      <c r="B61" t="s">
        <v>378</v>
      </c>
      <c r="C61">
        <f>IF('Inputs'!$U$101=1,('Inputs'!$O$100*C43+'Inputs'!$O$101*C55+'Inputs'!$O$102*C67+'Inputs'!$O$103*C79+'Inputs'!$O$104*C91+'Inputs'!$O$105*C103),C55)</f>
      </c>
      <c r="E61">
        <f>IF('Inputs'!$U$101=1,('Inputs'!$O$100*E43+'Inputs'!$O$101*E55+'Inputs'!$O$102*E67+'Inputs'!$O$103*E79+'Inputs'!$O$104*E91+'Inputs'!$O$105*E103),E55)</f>
      </c>
      <c r="F61">
        <f>IF('Inputs'!$U$101=1,('Inputs'!$O$100*F43+'Inputs'!$O$101*F55+'Inputs'!$O$102*F67+'Inputs'!$O$103*F79+'Inputs'!$O$104*F91+'Inputs'!$O$105*F103),F55)</f>
      </c>
      <c r="G61">
        <f>IF('Inputs'!$U$101=1,('Inputs'!$O$100*G43+'Inputs'!$O$101*G55+'Inputs'!$O$102*G67+'Inputs'!$O$103*G79+'Inputs'!$O$104*G91+'Inputs'!$O$105*G103),G55)</f>
      </c>
      <c r="H61">
        <f>IF('Inputs'!$U$101=1,('Inputs'!$O$100*H43+'Inputs'!$O$101*H55+'Inputs'!$O$102*H67+'Inputs'!$O$103*H79+'Inputs'!$O$104*H91+'Inputs'!$O$105*H103),H55)</f>
      </c>
      <c r="I61">
        <f>IF('Inputs'!$U$101=1,('Inputs'!$O$100*I43+'Inputs'!$O$101*I55+'Inputs'!$O$102*I67+'Inputs'!$O$103*I79+'Inputs'!$O$104*I91+'Inputs'!$O$105*I103),I55)</f>
      </c>
      <c r="J61">
        <f>IF('Inputs'!$U$101=1,('Inputs'!$O$100*J43+'Inputs'!$O$101*J55+'Inputs'!$O$102*J67+'Inputs'!$O$103*J79+'Inputs'!$O$104*J91+'Inputs'!$O$105*J103),J55)</f>
      </c>
      <c r="K61">
        <f>IF('Inputs'!$U$101=1,('Inputs'!$O$100*K43+'Inputs'!$O$101*K55+'Inputs'!$O$102*K67+'Inputs'!$O$103*K79+'Inputs'!$O$104*K91+'Inputs'!$O$105*K103),K55)</f>
      </c>
      <c r="L61">
        <f>IF('Inputs'!$U$101=1,('Inputs'!$O$100*L43+'Inputs'!$O$101*L55+'Inputs'!$O$102*L67+'Inputs'!$O$103*L79+'Inputs'!$O$104*L91+'Inputs'!$O$105*L103),L55)</f>
      </c>
      <c r="M61">
        <f>IF('Inputs'!$U$101=1,('Inputs'!$O$100*M43+'Inputs'!$O$101*M55+'Inputs'!$O$102*M67+'Inputs'!$O$103*M79+'Inputs'!$O$104*M91+'Inputs'!$O$105*M103),M55)</f>
      </c>
      <c r="N61">
        <f>IF('Inputs'!$U$101=1,('Inputs'!$O$100*N43+'Inputs'!$O$101*N55+'Inputs'!$O$102*N67+'Inputs'!$O$103*N79+'Inputs'!$O$104*N91+'Inputs'!$O$105*N103),N55)</f>
      </c>
      <c r="O61">
        <f>IF('Inputs'!$U$101=1,('Inputs'!$O$100*O43+'Inputs'!$O$101*O55+'Inputs'!$O$102*O67+'Inputs'!$O$103*O79+'Inputs'!$O$104*O91+'Inputs'!$O$105*O103),O55)</f>
      </c>
      <c r="P61">
        <f>IF('Inputs'!$U$101=1,('Inputs'!$O$100*P43+'Inputs'!$O$101*P55+'Inputs'!$O$102*P67+'Inputs'!$O$103*P79+'Inputs'!$O$104*P91+'Inputs'!$O$105*P103),P55)</f>
      </c>
      <c r="Q61">
        <f>IF('Inputs'!$U$101=1,('Inputs'!$O$100*Q43+'Inputs'!$O$101*Q55+'Inputs'!$O$102*Q67+'Inputs'!$O$103*Q79+'Inputs'!$O$104*Q91+'Inputs'!$O$105*Q103),Q55)</f>
      </c>
      <c r="R61">
        <f>IF('Inputs'!$U$101=1,('Inputs'!$O$100*R43+'Inputs'!$O$101*R55+'Inputs'!$O$102*R67+'Inputs'!$O$103*R79+'Inputs'!$O$104*R91+'Inputs'!$O$105*R103),R55)</f>
      </c>
      <c r="S61">
        <f>IF('Inputs'!$U$101=1,('Inputs'!$O$100*S43+'Inputs'!$O$101*S55+'Inputs'!$O$102*S67+'Inputs'!$O$103*S79+'Inputs'!$O$104*S91+'Inputs'!$O$105*S103),S55)</f>
      </c>
      <c r="T61">
        <f>IF('Inputs'!$U$101=1,('Inputs'!$O$100*T43+'Inputs'!$O$101*T55+'Inputs'!$O$102*T67+'Inputs'!$O$103*T79+'Inputs'!$O$104*T91+'Inputs'!$O$105*T103),T55)</f>
      </c>
    </row>
    <row r="62" spans="2:20" x14ac:dyDescent="0.25">
      <c r="B62" t="s">
        <v>379</v>
      </c>
      <c r="C62">
        <f>IF('Inputs'!$B$101="",0,ROUND('Needs years'!$C$66+ROUND(IF(C61=0,SUM('Needs years'!$J$60:$J$109),(1-(1+C61)^-1)/(1-(1+C61)^(-1/12))/12*SUMPRODUCT('Needs years'!$J$60:$J$109,(1+C61)^(-'Needs years'!$I$60:$I$109))),2),2))</f>
      </c>
      <c r="E62">
        <f>IF('Inputs'!$B$101="",0,ROUND('Needs years'!$C$66+ROUND(IF(E61=0,SUM('Needs years'!$J$60:$J$109),(1-(1+E61)^-1)/(1-(1+E61)^(-1/12))/12*SUMPRODUCT('Needs years'!$J$60:$J$109,(1+E61)^(-'Needs years'!$I$60:$I$109))),2),2))</f>
      </c>
      <c r="F62">
        <f>IF('Inputs'!$B$101="",0,ROUND('Needs years'!$C$66+ROUND(IF(F61=0,SUM('Needs years'!$J$60:$J$109),(1-(1+F61)^-1)/(1-(1+F61)^(-1/12))/12*SUMPRODUCT('Needs years'!$J$60:$J$109,(1+F61)^(-'Needs years'!$I$60:$I$109))),2),2))</f>
      </c>
      <c r="G62">
        <f>IF('Inputs'!$B$101="",0,ROUND('Needs years'!$C$66+ROUND(IF(G61=0,SUM('Needs years'!$J$60:$J$109),(1-(1+G61)^-1)/(1-(1+G61)^(-1/12))/12*SUMPRODUCT('Needs years'!$J$60:$J$109,(1+G61)^(-'Needs years'!$I$60:$I$109))),2),2))</f>
      </c>
      <c r="H62">
        <f>IF('Inputs'!$B$101="",0,ROUND('Needs years'!$C$66+ROUND(IF(H61=0,SUM('Needs years'!$J$60:$J$109),(1-(1+H61)^-1)/(1-(1+H61)^(-1/12))/12*SUMPRODUCT('Needs years'!$J$60:$J$109,(1+H61)^(-'Needs years'!$I$60:$I$109))),2),2))</f>
      </c>
      <c r="I62">
        <f>IF('Inputs'!$B$101="",0,ROUND('Needs years'!$C$66+ROUND(IF(I61=0,SUM('Needs years'!$J$60:$J$109),(1-(1+I61)^-1)/(1-(1+I61)^(-1/12))/12*SUMPRODUCT('Needs years'!$J$60:$J$109,(1+I61)^(-'Needs years'!$I$60:$I$109))),2),2))</f>
      </c>
      <c r="J62">
        <f>IF('Inputs'!$B$101="",0,ROUND('Needs years'!$C$66+ROUND(IF(J61=0,SUM('Needs years'!$J$60:$J$109),(1-(1+J61)^-1)/(1-(1+J61)^(-1/12))/12*SUMPRODUCT('Needs years'!$J$60:$J$109,(1+J61)^(-'Needs years'!$I$60:$I$109))),2),2))</f>
      </c>
      <c r="K62">
        <f>IF('Inputs'!$B$101="",0,ROUND('Needs years'!$C$66+ROUND(IF(K61=0,SUM('Needs years'!$J$60:$J$109),(1-(1+K61)^-1)/(1-(1+K61)^(-1/12))/12*SUMPRODUCT('Needs years'!$J$60:$J$109,(1+K61)^(-'Needs years'!$I$60:$I$109))),2),2))</f>
      </c>
      <c r="L62">
        <f>IF('Inputs'!$B$101="",0,ROUND('Needs years'!$C$66+ROUND(IF(L61=0,SUM('Needs years'!$J$60:$J$109),(1-(1+L61)^-1)/(1-(1+L61)^(-1/12))/12*SUMPRODUCT('Needs years'!$J$60:$J$109,(1+L61)^(-'Needs years'!$I$60:$I$109))),2),2))</f>
      </c>
      <c r="M62">
        <f>IF('Inputs'!$B$101="",0,ROUND('Needs years'!$C$66+ROUND(IF(M61=0,SUM('Needs years'!$J$60:$J$109),(1-(1+M61)^-1)/(1-(1+M61)^(-1/12))/12*SUMPRODUCT('Needs years'!$J$60:$J$109,(1+M61)^(-'Needs years'!$I$60:$I$109))),2),2))</f>
      </c>
      <c r="N62">
        <f>IF('Inputs'!$B$101="",0,ROUND('Needs years'!$C$66+ROUND(IF(N61=0,SUM('Needs years'!$J$60:$J$109),(1-(1+N61)^-1)/(1-(1+N61)^(-1/12))/12*SUMPRODUCT('Needs years'!$J$60:$J$109,(1+N61)^(-'Needs years'!$I$60:$I$109))),2),2))</f>
      </c>
      <c r="O62">
        <f>IF('Inputs'!$B$101="",0,ROUND('Needs years'!$C$66+ROUND(IF(O61=0,SUM('Needs years'!$J$60:$J$109),(1-(1+O61)^-1)/(1-(1+O61)^(-1/12))/12*SUMPRODUCT('Needs years'!$J$60:$J$109,(1+O61)^(-'Needs years'!$I$60:$I$109))),2),2))</f>
      </c>
      <c r="P62">
        <f>IF('Inputs'!$B$101="",0,ROUND('Needs years'!$C$66+ROUND(IF(P61=0,SUM('Needs years'!$J$60:$J$109),(1-(1+P61)^-1)/(1-(1+P61)^(-1/12))/12*SUMPRODUCT('Needs years'!$J$60:$J$109,(1+P61)^(-'Needs years'!$I$60:$I$109))),2),2))</f>
      </c>
      <c r="Q62">
        <f>IF('Inputs'!$B$101="",0,ROUND('Needs years'!$C$66+ROUND(IF(Q61=0,SUM('Needs years'!$J$60:$J$109),(1-(1+Q61)^-1)/(1-(1+Q61)^(-1/12))/12*SUMPRODUCT('Needs years'!$J$60:$J$109,(1+Q61)^(-'Needs years'!$I$60:$I$109))),2),2))</f>
      </c>
      <c r="R62">
        <f>IF('Inputs'!$B$101="",0,ROUND('Needs years'!$C$66+ROUND(IF(R61=0,SUM('Needs years'!$J$60:$J$109),(1-(1+R61)^-1)/(1-(1+R61)^(-1/12))/12*SUMPRODUCT('Needs years'!$J$60:$J$109,(1+R61)^(-'Needs years'!$I$60:$I$109))),2),2))</f>
      </c>
      <c r="S62">
        <f>IF('Inputs'!$B$101="",0,ROUND('Needs years'!$C$66+ROUND(IF(S61=0,SUM('Needs years'!$J$60:$J$109),(1-(1+S61)^-1)/(1-(1+S61)^(-1/12))/12*SUMPRODUCT('Needs years'!$J$60:$J$109,(1+S61)^(-'Needs years'!$I$60:$I$109))),2),2))</f>
      </c>
      <c r="T62">
        <f>IF('Inputs'!$B$101="",0,ROUND('Needs years'!$C$66+ROUND(IF(T61=0,SUM('Needs years'!$J$60:$J$109),(1-(1+T61)^-1)/(1-(1+T61)^(-1/12))/12*SUMPRODUCT('Needs years'!$J$60:$J$109,(1+T61)^(-'Needs years'!$I$60:$I$109))),2),2))</f>
      </c>
    </row>
    <row r="63" spans="2:20" x14ac:dyDescent="0.25">
      <c r="B63" t="s">
        <v>380</v>
      </c>
      <c r="C63">
        <f>IF('Inputs'!$U$101=1,0,IF((C56-C60)&gt;0,MAX(0,C52-C60)/(C56-C60),0))</f>
      </c>
      <c r="E63">
        <f>IF('Inputs'!$U$101=1,0,IF((E56-E60)&gt;0,MAX(0,E52-E60)/(E56-E60),0))</f>
      </c>
      <c r="F63">
        <f>IF('Inputs'!$U$101=1,0,IF((F56-F60)&gt;0,MAX(0,F52-F60)/(F56-F60),0))</f>
      </c>
      <c r="G63">
        <f>IF('Inputs'!$U$101=1,0,IF((G56-G60)&gt;0,MAX(0,G52-G60)/(G56-G60),0))</f>
      </c>
      <c r="H63">
        <f>IF('Inputs'!$U$101=1,0,IF((H56-H60)&gt;0,MAX(0,H52-H60)/(H56-H60),0))</f>
      </c>
      <c r="I63">
        <f>IF('Inputs'!$U$101=1,0,IF((I56-I60)&gt;0,MAX(0,I52-I60)/(I56-I60),0))</f>
      </c>
      <c r="J63">
        <f>IF('Inputs'!$U$101=1,0,IF((J56-J60)&gt;0,MAX(0,J52-J60)/(J56-J60),0))</f>
      </c>
      <c r="K63">
        <f>IF('Inputs'!$U$101=1,0,IF((K56-K60)&gt;0,MAX(0,K52-K60)/(K56-K60),0))</f>
      </c>
      <c r="L63">
        <f>IF('Inputs'!$U$101=1,0,IF((L56-L60)&gt;0,MAX(0,L52-L60)/(L56-L60),0))</f>
      </c>
      <c r="M63">
        <f>IF('Inputs'!$U$101=1,0,IF((M56-M60)&gt;0,MAX(0,M52-M60)/(M56-M60),0))</f>
      </c>
      <c r="N63">
        <f>IF('Inputs'!$U$101=1,0,IF((N56-N60)&gt;0,MAX(0,N52-N60)/(N56-N60),0))</f>
      </c>
      <c r="O63">
        <f>IF('Inputs'!$U$101=1,0,IF((O56-O60)&gt;0,MAX(0,O52-O60)/(O56-O60),0))</f>
      </c>
      <c r="P63">
        <f>IF('Inputs'!$U$101=1,0,IF((P56-P60)&gt;0,MAX(0,P52-P60)/(P56-P60),0))</f>
      </c>
      <c r="Q63">
        <f>IF('Inputs'!$U$101=1,0,IF((Q56-Q60)&gt;0,MAX(0,Q52-Q60)/(Q56-Q60),0))</f>
      </c>
      <c r="R63">
        <f>IF('Inputs'!$U$101=1,0,IF((R56-R60)&gt;0,MAX(0,R52-R60)/(R56-R60),0))</f>
      </c>
      <c r="S63">
        <f>IF('Inputs'!$U$101=1,0,IF((S56-S60)&gt;0,MAX(0,S52-S60)/(S56-S60),0))</f>
      </c>
      <c r="T63">
        <f>IF('Inputs'!$U$101=1,0,IF((T56-T60)&gt;0,MAX(0,T52-T60)/(T56-T60),0))</f>
      </c>
    </row>
    <row r="64" spans="2:20" x14ac:dyDescent="0.25">
      <c r="B64" t="s">
        <v>381</v>
      </c>
      <c r="C64">
        <f>IF('Inputs'!$B$102="",0,IF('Inputs'!$U$102=1,0,ROUND(C71+'Inputs'!$O$102*('Inputs'!$U$100*C47+'Inputs'!$U$101*C59+'Inputs'!$U$102*C71+'Inputs'!$U$103*C83+'Inputs'!$U$104*C95+'Inputs'!$U$105*C107),2)))</f>
      </c>
      <c r="E64">
        <f>IF('Inputs'!$B$102="",0,IF('Inputs'!$U$102=1,0,ROUND(E71+'Inputs'!$O$102*('Inputs'!$U$100*E47+'Inputs'!$U$101*E59+'Inputs'!$U$102*E71+'Inputs'!$U$103*E83+'Inputs'!$U$104*E95+'Inputs'!$U$105*E107),2)))</f>
      </c>
      <c r="F64">
        <f>IF('Inputs'!$B$102="",0,IF('Inputs'!$U$102=1,0,ROUND(F71+'Inputs'!$O$102*('Inputs'!$U$100*F47+'Inputs'!$U$101*F59+'Inputs'!$U$102*F71+'Inputs'!$U$103*F83+'Inputs'!$U$104*F95+'Inputs'!$U$105*F107),2)))</f>
      </c>
      <c r="G64">
        <f>IF('Inputs'!$B$102="",0,IF('Inputs'!$U$102=1,0,ROUND(G71+'Inputs'!$O$102*('Inputs'!$U$100*G47+'Inputs'!$U$101*G59+'Inputs'!$U$102*G71+'Inputs'!$U$103*G83+'Inputs'!$U$104*G95+'Inputs'!$U$105*G107),2)))</f>
      </c>
      <c r="H64">
        <f>IF('Inputs'!$B$102="",0,IF('Inputs'!$U$102=1,0,ROUND(H71+'Inputs'!$O$102*('Inputs'!$U$100*H47+'Inputs'!$U$101*H59+'Inputs'!$U$102*H71+'Inputs'!$U$103*H83+'Inputs'!$U$104*H95+'Inputs'!$U$105*H107),2)))</f>
      </c>
      <c r="I64">
        <f>IF('Inputs'!$B$102="",0,IF('Inputs'!$U$102=1,0,ROUND(I71+'Inputs'!$O$102*('Inputs'!$U$100*I47+'Inputs'!$U$101*I59+'Inputs'!$U$102*I71+'Inputs'!$U$103*I83+'Inputs'!$U$104*I95+'Inputs'!$U$105*I107),2)))</f>
      </c>
      <c r="J64">
        <f>IF('Inputs'!$B$102="",0,IF('Inputs'!$U$102=1,0,ROUND(J71+'Inputs'!$O$102*('Inputs'!$U$100*J47+'Inputs'!$U$101*J59+'Inputs'!$U$102*J71+'Inputs'!$U$103*J83+'Inputs'!$U$104*J95+'Inputs'!$U$105*J107),2)))</f>
      </c>
      <c r="K64">
        <f>IF('Inputs'!$B$102="",0,IF('Inputs'!$U$102=1,0,ROUND(K71+'Inputs'!$O$102*('Inputs'!$U$100*K47+'Inputs'!$U$101*K59+'Inputs'!$U$102*K71+'Inputs'!$U$103*K83+'Inputs'!$U$104*K95+'Inputs'!$U$105*K107),2)))</f>
      </c>
      <c r="L64">
        <f>IF('Inputs'!$B$102="",0,IF('Inputs'!$U$102=1,0,ROUND(L71+'Inputs'!$O$102*('Inputs'!$U$100*L47+'Inputs'!$U$101*L59+'Inputs'!$U$102*L71+'Inputs'!$U$103*L83+'Inputs'!$U$104*L95+'Inputs'!$U$105*L107),2)))</f>
      </c>
      <c r="M64">
        <f>IF('Inputs'!$B$102="",0,IF('Inputs'!$U$102=1,0,ROUND(M71+'Inputs'!$O$102*('Inputs'!$U$100*M47+'Inputs'!$U$101*M59+'Inputs'!$U$102*M71+'Inputs'!$U$103*M83+'Inputs'!$U$104*M95+'Inputs'!$U$105*M107),2)))</f>
      </c>
      <c r="N64">
        <f>IF('Inputs'!$B$102="",0,IF('Inputs'!$U$102=1,0,ROUND(N71+'Inputs'!$O$102*('Inputs'!$U$100*N47+'Inputs'!$U$101*N59+'Inputs'!$U$102*N71+'Inputs'!$U$103*N83+'Inputs'!$U$104*N95+'Inputs'!$U$105*N107),2)))</f>
      </c>
      <c r="O64">
        <f>IF('Inputs'!$B$102="",0,IF('Inputs'!$U$102=1,0,ROUND(O71+'Inputs'!$O$102*('Inputs'!$U$100*O47+'Inputs'!$U$101*O59+'Inputs'!$U$102*O71+'Inputs'!$U$103*O83+'Inputs'!$U$104*O95+'Inputs'!$U$105*O107),2)))</f>
      </c>
      <c r="P64">
        <f>IF('Inputs'!$B$102="",0,IF('Inputs'!$U$102=1,0,ROUND(P71+'Inputs'!$O$102*('Inputs'!$U$100*P47+'Inputs'!$U$101*P59+'Inputs'!$U$102*P71+'Inputs'!$U$103*P83+'Inputs'!$U$104*P95+'Inputs'!$U$105*P107),2)))</f>
      </c>
      <c r="Q64">
        <f>IF('Inputs'!$B$102="",0,IF('Inputs'!$U$102=1,0,ROUND(Q71+'Inputs'!$O$102*('Inputs'!$U$100*Q47+'Inputs'!$U$101*Q59+'Inputs'!$U$102*Q71+'Inputs'!$U$103*Q83+'Inputs'!$U$104*Q95+'Inputs'!$U$105*Q107),2)))</f>
      </c>
      <c r="R64">
        <f>IF('Inputs'!$B$102="",0,IF('Inputs'!$U$102=1,0,ROUND(R71+'Inputs'!$O$102*('Inputs'!$U$100*R47+'Inputs'!$U$101*R59+'Inputs'!$U$102*R71+'Inputs'!$U$103*R83+'Inputs'!$U$104*R95+'Inputs'!$U$105*R107),2)))</f>
      </c>
      <c r="S64">
        <f>IF('Inputs'!$B$102="",0,IF('Inputs'!$U$102=1,0,ROUND(S71+'Inputs'!$O$102*('Inputs'!$U$100*S47+'Inputs'!$U$101*S59+'Inputs'!$U$102*S71+'Inputs'!$U$103*S83+'Inputs'!$U$104*S95+'Inputs'!$U$105*S107),2)))</f>
      </c>
      <c r="T64">
        <f>IF('Inputs'!$B$102="",0,IF('Inputs'!$U$102=1,0,ROUND(T71+'Inputs'!$O$102*('Inputs'!$U$100*T47+'Inputs'!$U$101*T59+'Inputs'!$U$102*T71+'Inputs'!$U$103*T83+'Inputs'!$U$104*T95+'Inputs'!$U$105*T107),2)))</f>
      </c>
    </row>
    <row r="65" spans="2:20" x14ac:dyDescent="0.25">
      <c r="B65" t="s">
        <v>382</v>
      </c>
      <c r="C65">
        <f>'Needs years'!$C$117+MAX(0,C64-C72)*('Inputs'!$H$122/100*('Inputs'!$H$125/100+'Inputs'!$H$120/100*'Inputs'!$H$127/100))</f>
      </c>
      <c r="E65">
        <f>'Needs years'!$C$117+MAX(0,E64-E72)*('Inputs'!$H$122/100*('Inputs'!$H$125/100+'Inputs'!$H$120/100*'Inputs'!$H$127/100))</f>
      </c>
      <c r="F65">
        <f>'Needs years'!$C$117+MAX(0,F64-F72)*('Inputs'!$H$122/100*('Inputs'!$H$125/100+'Inputs'!$H$120/100*'Inputs'!$H$127/100))</f>
      </c>
      <c r="G65">
        <f>'Needs years'!$C$117+MAX(0,G64-G72)*('Inputs'!$H$122/100*('Inputs'!$H$125/100+'Inputs'!$H$120/100*'Inputs'!$H$127/100))</f>
      </c>
      <c r="H65">
        <f>'Needs years'!$C$117+MAX(0,H64-H72)*('Inputs'!$H$122/100*('Inputs'!$H$125/100+'Inputs'!$H$120/100*'Inputs'!$H$127/100))</f>
      </c>
      <c r="I65">
        <f>'Needs years'!$C$117+MAX(0,I64-I72)*('Inputs'!$H$122/100*('Inputs'!$H$125/100+'Inputs'!$H$120/100*'Inputs'!$H$127/100))</f>
      </c>
      <c r="J65">
        <f>'Needs years'!$C$117+MAX(0,J64-J72)*('Inputs'!$H$122/100*('Inputs'!$H$125/100+'Inputs'!$H$120/100*'Inputs'!$H$127/100))</f>
      </c>
      <c r="K65">
        <f>'Needs years'!$C$117+MAX(0,K64-K72)*('Inputs'!$H$122/100*('Inputs'!$H$125/100+'Inputs'!$H$120/100*'Inputs'!$H$127/100))</f>
      </c>
      <c r="L65">
        <f>'Needs years'!$C$117+MAX(0,L64-L72)*('Inputs'!$H$122/100*('Inputs'!$H$125/100+'Inputs'!$H$120/100*'Inputs'!$H$127/100))</f>
      </c>
      <c r="M65">
        <f>'Needs years'!$C$117+MAX(0,M64-M72)*('Inputs'!$H$122/100*('Inputs'!$H$125/100+'Inputs'!$H$120/100*'Inputs'!$H$127/100))</f>
      </c>
      <c r="N65">
        <f>'Needs years'!$C$117+MAX(0,N64-N72)*('Inputs'!$H$122/100*('Inputs'!$H$125/100+'Inputs'!$H$120/100*'Inputs'!$H$127/100))</f>
      </c>
      <c r="O65">
        <f>'Needs years'!$C$117+MAX(0,O64-O72)*('Inputs'!$H$122/100*('Inputs'!$H$125/100+'Inputs'!$H$120/100*'Inputs'!$H$127/100))</f>
      </c>
      <c r="P65">
        <f>'Needs years'!$C$117+MAX(0,P64-P72)*('Inputs'!$H$122/100*('Inputs'!$H$125/100+'Inputs'!$H$120/100*'Inputs'!$H$127/100))</f>
      </c>
      <c r="Q65">
        <f>'Needs years'!$C$117+MAX(0,Q64-Q72)*('Inputs'!$H$122/100*('Inputs'!$H$125/100+'Inputs'!$H$120/100*'Inputs'!$H$127/100))</f>
      </c>
      <c r="R65">
        <f>'Needs years'!$C$117+MAX(0,R64-R72)*('Inputs'!$H$122/100*('Inputs'!$H$125/100+'Inputs'!$H$120/100*'Inputs'!$H$127/100))</f>
      </c>
      <c r="S65">
        <f>'Needs years'!$C$117+MAX(0,S64-S72)*('Inputs'!$H$122/100*('Inputs'!$H$125/100+'Inputs'!$H$120/100*'Inputs'!$H$127/100))</f>
      </c>
      <c r="T65">
        <f>'Needs years'!$C$117+MAX(0,T64-T72)*('Inputs'!$H$122/100*('Inputs'!$H$125/100+'Inputs'!$H$120/100*'Inputs'!$H$127/100))</f>
      </c>
    </row>
    <row r="66" spans="2:20" x14ac:dyDescent="0.25">
      <c r="B66" t="s">
        <v>383</v>
      </c>
      <c r="C66">
        <f>IF(C65&lt;='Needs years'!$C$116,0,INDEX('Inputs'!$E$134:$E$140,MATCH(C65,'Inputs'!$C$134:$C$140,1)-IF(COUNTIF('Inputs'!$C$134:$C$140,C65)&gt;0,1,0))/100)</f>
      </c>
      <c r="E66">
        <f>IF(E65&lt;='Needs years'!$C$116,0,INDEX('Inputs'!$E$134:$E$140,MATCH(E65,'Inputs'!$C$134:$C$140,1)-IF(COUNTIF('Inputs'!$C$134:$C$140,E65)&gt;0,1,0))/100)</f>
      </c>
      <c r="F66">
        <f>IF(F65&lt;='Needs years'!$C$116,0,INDEX('Inputs'!$E$134:$E$140,MATCH(F65,'Inputs'!$C$134:$C$140,1)-IF(COUNTIF('Inputs'!$C$134:$C$140,F65)&gt;0,1,0))/100)</f>
      </c>
      <c r="G66">
        <f>IF(G65&lt;='Needs years'!$C$116,0,INDEX('Inputs'!$E$134:$E$140,MATCH(G65,'Inputs'!$C$134:$C$140,1)-IF(COUNTIF('Inputs'!$C$134:$C$140,G65)&gt;0,1,0))/100)</f>
      </c>
      <c r="H66">
        <f>IF(H65&lt;='Needs years'!$C$116,0,INDEX('Inputs'!$E$134:$E$140,MATCH(H65,'Inputs'!$C$134:$C$140,1)-IF(COUNTIF('Inputs'!$C$134:$C$140,H65)&gt;0,1,0))/100)</f>
      </c>
      <c r="I66">
        <f>IF(I65&lt;='Needs years'!$C$116,0,INDEX('Inputs'!$E$134:$E$140,MATCH(I65,'Inputs'!$C$134:$C$140,1)-IF(COUNTIF('Inputs'!$C$134:$C$140,I65)&gt;0,1,0))/100)</f>
      </c>
      <c r="J66">
        <f>IF(J65&lt;='Needs years'!$C$116,0,INDEX('Inputs'!$E$134:$E$140,MATCH(J65,'Inputs'!$C$134:$C$140,1)-IF(COUNTIF('Inputs'!$C$134:$C$140,J65)&gt;0,1,0))/100)</f>
      </c>
      <c r="K66">
        <f>IF(K65&lt;='Needs years'!$C$116,0,INDEX('Inputs'!$E$134:$E$140,MATCH(K65,'Inputs'!$C$134:$C$140,1)-IF(COUNTIF('Inputs'!$C$134:$C$140,K65)&gt;0,1,0))/100)</f>
      </c>
      <c r="L66">
        <f>IF(L65&lt;='Needs years'!$C$116,0,INDEX('Inputs'!$E$134:$E$140,MATCH(L65,'Inputs'!$C$134:$C$140,1)-IF(COUNTIF('Inputs'!$C$134:$C$140,L65)&gt;0,1,0))/100)</f>
      </c>
      <c r="M66">
        <f>IF(M65&lt;='Needs years'!$C$116,0,INDEX('Inputs'!$E$134:$E$140,MATCH(M65,'Inputs'!$C$134:$C$140,1)-IF(COUNTIF('Inputs'!$C$134:$C$140,M65)&gt;0,1,0))/100)</f>
      </c>
      <c r="N66">
        <f>IF(N65&lt;='Needs years'!$C$116,0,INDEX('Inputs'!$E$134:$E$140,MATCH(N65,'Inputs'!$C$134:$C$140,1)-IF(COUNTIF('Inputs'!$C$134:$C$140,N65)&gt;0,1,0))/100)</f>
      </c>
      <c r="O66">
        <f>IF(O65&lt;='Needs years'!$C$116,0,INDEX('Inputs'!$E$134:$E$140,MATCH(O65,'Inputs'!$C$134:$C$140,1)-IF(COUNTIF('Inputs'!$C$134:$C$140,O65)&gt;0,1,0))/100)</f>
      </c>
      <c r="P66">
        <f>IF(P65&lt;='Needs years'!$C$116,0,INDEX('Inputs'!$E$134:$E$140,MATCH(P65,'Inputs'!$C$134:$C$140,1)-IF(COUNTIF('Inputs'!$C$134:$C$140,P65)&gt;0,1,0))/100)</f>
      </c>
      <c r="Q66">
        <f>IF(Q65&lt;='Needs years'!$C$116,0,INDEX('Inputs'!$E$134:$E$140,MATCH(Q65,'Inputs'!$C$134:$C$140,1)-IF(COUNTIF('Inputs'!$C$134:$C$140,Q65)&gt;0,1,0))/100)</f>
      </c>
      <c r="R66">
        <f>IF(R65&lt;='Needs years'!$C$116,0,INDEX('Inputs'!$E$134:$E$140,MATCH(R65,'Inputs'!$C$134:$C$140,1)-IF(COUNTIF('Inputs'!$C$134:$C$140,R65)&gt;0,1,0))/100)</f>
      </c>
      <c r="S66">
        <f>IF(S65&lt;='Needs years'!$C$116,0,INDEX('Inputs'!$E$134:$E$140,MATCH(S65,'Inputs'!$C$134:$C$140,1)-IF(COUNTIF('Inputs'!$C$134:$C$140,S65)&gt;0,1,0))/100)</f>
      </c>
      <c r="T66">
        <f>IF(T65&lt;='Needs years'!$C$116,0,INDEX('Inputs'!$E$134:$E$140,MATCH(T65,'Inputs'!$C$134:$C$140,1)-IF(COUNTIF('Inputs'!$C$134:$C$140,T65)&gt;0,1,0))/100)</f>
      </c>
    </row>
    <row r="67" spans="2:20" x14ac:dyDescent="0.25">
      <c r="B67" t="s">
        <v>384</v>
      </c>
      <c r="C67">
        <f>('Inputs'!$H$122/100*(1-('Inputs'!$H$125/100*C66+'Inputs'!$H$126/100*'Inputs'!$H$128/100+'Inputs'!$H$127/100*'Inputs'!$H$120/100*C66))-IF('Needs years'!$C$121=1,'Inputs'!$H$123/100,0))</f>
      </c>
      <c r="E67">
        <f>('Inputs'!$H$122/100*(1-('Inputs'!$H$125/100*E66+'Inputs'!$H$126/100*'Inputs'!$H$128/100+'Inputs'!$H$127/100*'Inputs'!$H$120/100*E66))-IF('Needs years'!$C$121=1,'Inputs'!$H$123/100,0))</f>
      </c>
      <c r="F67">
        <f>('Inputs'!$H$122/100*(1-('Inputs'!$H$125/100*F66+'Inputs'!$H$126/100*'Inputs'!$H$128/100+'Inputs'!$H$127/100*'Inputs'!$H$120/100*F66))-IF('Needs years'!$C$121=1,'Inputs'!$H$123/100,0))</f>
      </c>
      <c r="G67">
        <f>('Inputs'!$H$122/100*(1-('Inputs'!$H$125/100*G66+'Inputs'!$H$126/100*'Inputs'!$H$128/100+'Inputs'!$H$127/100*'Inputs'!$H$120/100*G66))-IF('Needs years'!$C$121=1,'Inputs'!$H$123/100,0))</f>
      </c>
      <c r="H67">
        <f>('Inputs'!$H$122/100*(1-('Inputs'!$H$125/100*H66+'Inputs'!$H$126/100*'Inputs'!$H$128/100+'Inputs'!$H$127/100*'Inputs'!$H$120/100*H66))-IF('Needs years'!$C$121=1,'Inputs'!$H$123/100,0))</f>
      </c>
      <c r="I67">
        <f>('Inputs'!$H$122/100*(1-('Inputs'!$H$125/100*I66+'Inputs'!$H$126/100*'Inputs'!$H$128/100+'Inputs'!$H$127/100*'Inputs'!$H$120/100*I66))-IF('Needs years'!$C$121=1,'Inputs'!$H$123/100,0))</f>
      </c>
      <c r="J67">
        <f>('Inputs'!$H$122/100*(1-('Inputs'!$H$125/100*J66+'Inputs'!$H$126/100*'Inputs'!$H$128/100+'Inputs'!$H$127/100*'Inputs'!$H$120/100*J66))-IF('Needs years'!$C$121=1,'Inputs'!$H$123/100,0))</f>
      </c>
      <c r="K67">
        <f>('Inputs'!$H$122/100*(1-('Inputs'!$H$125/100*K66+'Inputs'!$H$126/100*'Inputs'!$H$128/100+'Inputs'!$H$127/100*'Inputs'!$H$120/100*K66))-IF('Needs years'!$C$121=1,'Inputs'!$H$123/100,0))</f>
      </c>
      <c r="L67">
        <f>('Inputs'!$H$122/100*(1-('Inputs'!$H$125/100*L66+'Inputs'!$H$126/100*'Inputs'!$H$128/100+'Inputs'!$H$127/100*'Inputs'!$H$120/100*L66))-IF('Needs years'!$C$121=1,'Inputs'!$H$123/100,0))</f>
      </c>
      <c r="M67">
        <f>('Inputs'!$H$122/100*(1-('Inputs'!$H$125/100*M66+'Inputs'!$H$126/100*'Inputs'!$H$128/100+'Inputs'!$H$127/100*'Inputs'!$H$120/100*M66))-IF('Needs years'!$C$121=1,'Inputs'!$H$123/100,0))</f>
      </c>
      <c r="N67">
        <f>('Inputs'!$H$122/100*(1-('Inputs'!$H$125/100*N66+'Inputs'!$H$126/100*'Inputs'!$H$128/100+'Inputs'!$H$127/100*'Inputs'!$H$120/100*N66))-IF('Needs years'!$C$121=1,'Inputs'!$H$123/100,0))</f>
      </c>
      <c r="O67">
        <f>('Inputs'!$H$122/100*(1-('Inputs'!$H$125/100*O66+'Inputs'!$H$126/100*'Inputs'!$H$128/100+'Inputs'!$H$127/100*'Inputs'!$H$120/100*O66))-IF('Needs years'!$C$121=1,'Inputs'!$H$123/100,0))</f>
      </c>
      <c r="P67">
        <f>('Inputs'!$H$122/100*(1-('Inputs'!$H$125/100*P66+'Inputs'!$H$126/100*'Inputs'!$H$128/100+'Inputs'!$H$127/100*'Inputs'!$H$120/100*P66))-IF('Needs years'!$C$121=1,'Inputs'!$H$123/100,0))</f>
      </c>
      <c r="Q67">
        <f>('Inputs'!$H$122/100*(1-('Inputs'!$H$125/100*Q66+'Inputs'!$H$126/100*'Inputs'!$H$128/100+'Inputs'!$H$127/100*'Inputs'!$H$120/100*Q66))-IF('Needs years'!$C$121=1,'Inputs'!$H$123/100,0))</f>
      </c>
      <c r="R67">
        <f>('Inputs'!$H$122/100*(1-('Inputs'!$H$125/100*R66+'Inputs'!$H$126/100*'Inputs'!$H$128/100+'Inputs'!$H$127/100*'Inputs'!$H$120/100*R66))-IF('Needs years'!$C$121=1,'Inputs'!$H$123/100,0))</f>
      </c>
      <c r="S67">
        <f>('Inputs'!$H$122/100*(1-('Inputs'!$H$125/100*S66+'Inputs'!$H$126/100*'Inputs'!$H$128/100+'Inputs'!$H$127/100*'Inputs'!$H$120/100*S66))-IF('Needs years'!$C$121=1,'Inputs'!$H$123/100,0))</f>
      </c>
      <c r="T67">
        <f>('Inputs'!$H$122/100*(1-('Inputs'!$H$125/100*T66+'Inputs'!$H$126/100*'Inputs'!$H$128/100+'Inputs'!$H$127/100*'Inputs'!$H$120/100*T66))-IF('Needs years'!$C$121=1,'Inputs'!$H$123/100,0))</f>
      </c>
    </row>
    <row r="68" spans="2:20" x14ac:dyDescent="0.25">
      <c r="B68" t="s">
        <v>385</v>
      </c>
      <c r="C68">
        <f>IF('Inputs'!$B$102="",0,IF('Inputs'!$U$102=1,0,ROUND(C74+'Inputs'!$O$102*('Inputs'!$U$100*C50+'Inputs'!$U$101*C62+'Inputs'!$U$102*C74+'Inputs'!$U$103*C86+'Inputs'!$U$104*C98+'Inputs'!$U$105*C110),2)))</f>
      </c>
      <c r="E68">
        <f>IF('Inputs'!$B$102="",0,IF('Inputs'!$U$102=1,0,ROUND(E74+'Inputs'!$O$102*('Inputs'!$U$100*E50+'Inputs'!$U$101*E62+'Inputs'!$U$102*E74+'Inputs'!$U$103*E86+'Inputs'!$U$104*E98+'Inputs'!$U$105*E110),2)))</f>
      </c>
      <c r="F68">
        <f>IF('Inputs'!$B$102="",0,IF('Inputs'!$U$102=1,0,ROUND(F74+'Inputs'!$O$102*('Inputs'!$U$100*F50+'Inputs'!$U$101*F62+'Inputs'!$U$102*F74+'Inputs'!$U$103*F86+'Inputs'!$U$104*F98+'Inputs'!$U$105*F110),2)))</f>
      </c>
      <c r="G68">
        <f>IF('Inputs'!$B$102="",0,IF('Inputs'!$U$102=1,0,ROUND(G74+'Inputs'!$O$102*('Inputs'!$U$100*G50+'Inputs'!$U$101*G62+'Inputs'!$U$102*G74+'Inputs'!$U$103*G86+'Inputs'!$U$104*G98+'Inputs'!$U$105*G110),2)))</f>
      </c>
      <c r="H68">
        <f>IF('Inputs'!$B$102="",0,IF('Inputs'!$U$102=1,0,ROUND(H74+'Inputs'!$O$102*('Inputs'!$U$100*H50+'Inputs'!$U$101*H62+'Inputs'!$U$102*H74+'Inputs'!$U$103*H86+'Inputs'!$U$104*H98+'Inputs'!$U$105*H110),2)))</f>
      </c>
      <c r="I68">
        <f>IF('Inputs'!$B$102="",0,IF('Inputs'!$U$102=1,0,ROUND(I74+'Inputs'!$O$102*('Inputs'!$U$100*I50+'Inputs'!$U$101*I62+'Inputs'!$U$102*I74+'Inputs'!$U$103*I86+'Inputs'!$U$104*I98+'Inputs'!$U$105*I110),2)))</f>
      </c>
      <c r="J68">
        <f>IF('Inputs'!$B$102="",0,IF('Inputs'!$U$102=1,0,ROUND(J74+'Inputs'!$O$102*('Inputs'!$U$100*J50+'Inputs'!$U$101*J62+'Inputs'!$U$102*J74+'Inputs'!$U$103*J86+'Inputs'!$U$104*J98+'Inputs'!$U$105*J110),2)))</f>
      </c>
      <c r="K68">
        <f>IF('Inputs'!$B$102="",0,IF('Inputs'!$U$102=1,0,ROUND(K74+'Inputs'!$O$102*('Inputs'!$U$100*K50+'Inputs'!$U$101*K62+'Inputs'!$U$102*K74+'Inputs'!$U$103*K86+'Inputs'!$U$104*K98+'Inputs'!$U$105*K110),2)))</f>
      </c>
      <c r="L68">
        <f>IF('Inputs'!$B$102="",0,IF('Inputs'!$U$102=1,0,ROUND(L74+'Inputs'!$O$102*('Inputs'!$U$100*L50+'Inputs'!$U$101*L62+'Inputs'!$U$102*L74+'Inputs'!$U$103*L86+'Inputs'!$U$104*L98+'Inputs'!$U$105*L110),2)))</f>
      </c>
      <c r="M68">
        <f>IF('Inputs'!$B$102="",0,IF('Inputs'!$U$102=1,0,ROUND(M74+'Inputs'!$O$102*('Inputs'!$U$100*M50+'Inputs'!$U$101*M62+'Inputs'!$U$102*M74+'Inputs'!$U$103*M86+'Inputs'!$U$104*M98+'Inputs'!$U$105*M110),2)))</f>
      </c>
      <c r="N68">
        <f>IF('Inputs'!$B$102="",0,IF('Inputs'!$U$102=1,0,ROUND(N74+'Inputs'!$O$102*('Inputs'!$U$100*N50+'Inputs'!$U$101*N62+'Inputs'!$U$102*N74+'Inputs'!$U$103*N86+'Inputs'!$U$104*N98+'Inputs'!$U$105*N110),2)))</f>
      </c>
      <c r="O68">
        <f>IF('Inputs'!$B$102="",0,IF('Inputs'!$U$102=1,0,ROUND(O74+'Inputs'!$O$102*('Inputs'!$U$100*O50+'Inputs'!$U$101*O62+'Inputs'!$U$102*O74+'Inputs'!$U$103*O86+'Inputs'!$U$104*O98+'Inputs'!$U$105*O110),2)))</f>
      </c>
      <c r="P68">
        <f>IF('Inputs'!$B$102="",0,IF('Inputs'!$U$102=1,0,ROUND(P74+'Inputs'!$O$102*('Inputs'!$U$100*P50+'Inputs'!$U$101*P62+'Inputs'!$U$102*P74+'Inputs'!$U$103*P86+'Inputs'!$U$104*P98+'Inputs'!$U$105*P110),2)))</f>
      </c>
      <c r="Q68">
        <f>IF('Inputs'!$B$102="",0,IF('Inputs'!$U$102=1,0,ROUND(Q74+'Inputs'!$O$102*('Inputs'!$U$100*Q50+'Inputs'!$U$101*Q62+'Inputs'!$U$102*Q74+'Inputs'!$U$103*Q86+'Inputs'!$U$104*Q98+'Inputs'!$U$105*Q110),2)))</f>
      </c>
      <c r="R68">
        <f>IF('Inputs'!$B$102="",0,IF('Inputs'!$U$102=1,0,ROUND(R74+'Inputs'!$O$102*('Inputs'!$U$100*R50+'Inputs'!$U$101*R62+'Inputs'!$U$102*R74+'Inputs'!$U$103*R86+'Inputs'!$U$104*R98+'Inputs'!$U$105*R110),2)))</f>
      </c>
      <c r="S68">
        <f>IF('Inputs'!$B$102="",0,IF('Inputs'!$U$102=1,0,ROUND(S74+'Inputs'!$O$102*('Inputs'!$U$100*S50+'Inputs'!$U$101*S62+'Inputs'!$U$102*S74+'Inputs'!$U$103*S86+'Inputs'!$U$104*S98+'Inputs'!$U$105*S110),2)))</f>
      </c>
      <c r="T68">
        <f>IF('Inputs'!$B$102="",0,IF('Inputs'!$U$102=1,0,ROUND(T74+'Inputs'!$O$102*('Inputs'!$U$100*T50+'Inputs'!$U$101*T62+'Inputs'!$U$102*T74+'Inputs'!$U$103*T86+'Inputs'!$U$104*T98+'Inputs'!$U$105*T110),2)))</f>
      </c>
    </row>
    <row r="69" spans="2:20" x14ac:dyDescent="0.25">
      <c r="B69" t="s">
        <v>386</v>
      </c>
      <c r="C69">
        <f>IF('Inputs'!$B$102="",0,ROUND(C68-C64,2))</f>
      </c>
      <c r="E69">
        <f>IF('Inputs'!$B$102="",0,ROUND(E68-E64,2))</f>
      </c>
      <c r="F69">
        <f>IF('Inputs'!$B$102="",0,ROUND(F68-F64,2))</f>
      </c>
      <c r="G69">
        <f>IF('Inputs'!$B$102="",0,ROUND(G68-G64,2))</f>
      </c>
      <c r="H69">
        <f>IF('Inputs'!$B$102="",0,ROUND(H68-H64,2))</f>
      </c>
      <c r="I69">
        <f>IF('Inputs'!$B$102="",0,ROUND(I68-I64,2))</f>
      </c>
      <c r="J69">
        <f>IF('Inputs'!$B$102="",0,ROUND(J68-J64,2))</f>
      </c>
      <c r="K69">
        <f>IF('Inputs'!$B$102="",0,ROUND(K68-K64,2))</f>
      </c>
      <c r="L69">
        <f>IF('Inputs'!$B$102="",0,ROUND(L68-L64,2))</f>
      </c>
      <c r="M69">
        <f>IF('Inputs'!$B$102="",0,ROUND(M68-M64,2))</f>
      </c>
      <c r="N69">
        <f>IF('Inputs'!$B$102="",0,ROUND(N68-N64,2))</f>
      </c>
      <c r="O69">
        <f>IF('Inputs'!$B$102="",0,ROUND(O68-O64,2))</f>
      </c>
      <c r="P69">
        <f>IF('Inputs'!$B$102="",0,ROUND(P68-P64,2))</f>
      </c>
      <c r="Q69">
        <f>IF('Inputs'!$B$102="",0,ROUND(Q68-Q64,2))</f>
      </c>
      <c r="R69">
        <f>IF('Inputs'!$B$102="",0,ROUND(R68-R64,2))</f>
      </c>
      <c r="S69">
        <f>IF('Inputs'!$B$102="",0,ROUND(S68-S64,2))</f>
      </c>
      <c r="T69">
        <f>IF('Inputs'!$B$102="",0,ROUND(T68-T64,2))</f>
      </c>
    </row>
    <row r="70" spans="2:20" x14ac:dyDescent="0.25">
      <c r="B70" t="s">
        <v>387</v>
      </c>
      <c r="C70">
        <f>IF('Inputs'!$B$102="",0,'Needs years'!$C$128+IF('Inputs'!$U$102=1,('Inputs'!$O$100*C51+'Inputs'!$O$101*C63+'Inputs'!$O$102*C75+'Inputs'!$O$103*C87+'Inputs'!$O$104*C99+'Inputs'!$O$105*C111),C75)*'Needs years'!$J$116/12)</f>
      </c>
      <c r="E70">
        <f>IF('Inputs'!$B$102="",0,'Needs years'!$C$128+IF('Inputs'!$U$102=1,('Inputs'!$O$100*E51+'Inputs'!$O$101*E63+'Inputs'!$O$102*E75+'Inputs'!$O$103*E87+'Inputs'!$O$104*E99+'Inputs'!$O$105*E111),E75)*'Needs years'!$J$116/12)</f>
      </c>
      <c r="F70">
        <f>IF('Inputs'!$B$102="",0,'Needs years'!$C$128+IF('Inputs'!$U$102=1,('Inputs'!$O$100*F51+'Inputs'!$O$101*F63+'Inputs'!$O$102*F75+'Inputs'!$O$103*F87+'Inputs'!$O$104*F99+'Inputs'!$O$105*F111),F75)*'Needs years'!$J$116/12)</f>
      </c>
      <c r="G70">
        <f>IF('Inputs'!$B$102="",0,'Needs years'!$C$128+IF('Inputs'!$U$102=1,('Inputs'!$O$100*G51+'Inputs'!$O$101*G63+'Inputs'!$O$102*G75+'Inputs'!$O$103*G87+'Inputs'!$O$104*G99+'Inputs'!$O$105*G111),G75)*'Needs years'!$J$116/12)</f>
      </c>
      <c r="H70">
        <f>IF('Inputs'!$B$102="",0,'Needs years'!$C$128+IF('Inputs'!$U$102=1,('Inputs'!$O$100*H51+'Inputs'!$O$101*H63+'Inputs'!$O$102*H75+'Inputs'!$O$103*H87+'Inputs'!$O$104*H99+'Inputs'!$O$105*H111),H75)*'Needs years'!$J$116/12)</f>
      </c>
      <c r="I70">
        <f>IF('Inputs'!$B$102="",0,'Needs years'!$C$128+IF('Inputs'!$U$102=1,('Inputs'!$O$100*I51+'Inputs'!$O$101*I63+'Inputs'!$O$102*I75+'Inputs'!$O$103*I87+'Inputs'!$O$104*I99+'Inputs'!$O$105*I111),I75)*'Needs years'!$J$116/12)</f>
      </c>
      <c r="J70">
        <f>IF('Inputs'!$B$102="",0,'Needs years'!$C$128+IF('Inputs'!$U$102=1,('Inputs'!$O$100*J51+'Inputs'!$O$101*J63+'Inputs'!$O$102*J75+'Inputs'!$O$103*J87+'Inputs'!$O$104*J99+'Inputs'!$O$105*J111),J75)*'Needs years'!$J$116/12)</f>
      </c>
      <c r="K70">
        <f>IF('Inputs'!$B$102="",0,'Needs years'!$C$128+IF('Inputs'!$U$102=1,('Inputs'!$O$100*K51+'Inputs'!$O$101*K63+'Inputs'!$O$102*K75+'Inputs'!$O$103*K87+'Inputs'!$O$104*K99+'Inputs'!$O$105*K111),K75)*'Needs years'!$J$116/12)</f>
      </c>
      <c r="L70">
        <f>IF('Inputs'!$B$102="",0,'Needs years'!$C$128+IF('Inputs'!$U$102=1,('Inputs'!$O$100*L51+'Inputs'!$O$101*L63+'Inputs'!$O$102*L75+'Inputs'!$O$103*L87+'Inputs'!$O$104*L99+'Inputs'!$O$105*L111),L75)*'Needs years'!$J$116/12)</f>
      </c>
      <c r="M70">
        <f>IF('Inputs'!$B$102="",0,'Needs years'!$C$128+IF('Inputs'!$U$102=1,('Inputs'!$O$100*M51+'Inputs'!$O$101*M63+'Inputs'!$O$102*M75+'Inputs'!$O$103*M87+'Inputs'!$O$104*M99+'Inputs'!$O$105*M111),M75)*'Needs years'!$J$116/12)</f>
      </c>
      <c r="N70">
        <f>IF('Inputs'!$B$102="",0,'Needs years'!$C$128+IF('Inputs'!$U$102=1,('Inputs'!$O$100*N51+'Inputs'!$O$101*N63+'Inputs'!$O$102*N75+'Inputs'!$O$103*N87+'Inputs'!$O$104*N99+'Inputs'!$O$105*N111),N75)*'Needs years'!$J$116/12)</f>
      </c>
      <c r="O70">
        <f>IF('Inputs'!$B$102="",0,'Needs years'!$C$128+IF('Inputs'!$U$102=1,('Inputs'!$O$100*O51+'Inputs'!$O$101*O63+'Inputs'!$O$102*O75+'Inputs'!$O$103*O87+'Inputs'!$O$104*O99+'Inputs'!$O$105*O111),O75)*'Needs years'!$J$116/12)</f>
      </c>
      <c r="P70">
        <f>IF('Inputs'!$B$102="",0,'Needs years'!$C$128+IF('Inputs'!$U$102=1,('Inputs'!$O$100*P51+'Inputs'!$O$101*P63+'Inputs'!$O$102*P75+'Inputs'!$O$103*P87+'Inputs'!$O$104*P99+'Inputs'!$O$105*P111),P75)*'Needs years'!$J$116/12)</f>
      </c>
      <c r="Q70">
        <f>IF('Inputs'!$B$102="",0,'Needs years'!$C$128+IF('Inputs'!$U$102=1,('Inputs'!$O$100*Q51+'Inputs'!$O$101*Q63+'Inputs'!$O$102*Q75+'Inputs'!$O$103*Q87+'Inputs'!$O$104*Q99+'Inputs'!$O$105*Q111),Q75)*'Needs years'!$J$116/12)</f>
      </c>
      <c r="R70">
        <f>IF('Inputs'!$B$102="",0,'Needs years'!$C$128+IF('Inputs'!$U$102=1,('Inputs'!$O$100*R51+'Inputs'!$O$101*R63+'Inputs'!$O$102*R75+'Inputs'!$O$103*R87+'Inputs'!$O$104*R99+'Inputs'!$O$105*R111),R75)*'Needs years'!$J$116/12)</f>
      </c>
      <c r="S70">
        <f>IF('Inputs'!$B$102="",0,'Needs years'!$C$128+IF('Inputs'!$U$102=1,('Inputs'!$O$100*S51+'Inputs'!$O$101*S63+'Inputs'!$O$102*S75+'Inputs'!$O$103*S87+'Inputs'!$O$104*S99+'Inputs'!$O$105*S111),S75)*'Needs years'!$J$116/12)</f>
      </c>
      <c r="T70">
        <f>IF('Inputs'!$B$102="",0,'Needs years'!$C$128+IF('Inputs'!$U$102=1,('Inputs'!$O$100*T51+'Inputs'!$O$101*T63+'Inputs'!$O$102*T75+'Inputs'!$O$103*T87+'Inputs'!$O$104*T99+'Inputs'!$O$105*T111),T75)*'Needs years'!$J$116/12)</f>
      </c>
    </row>
    <row r="71" spans="2:20" x14ac:dyDescent="0.25">
      <c r="B71" t="s">
        <v>388</v>
      </c>
      <c r="C71">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71">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71">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71">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71">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71">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71">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71">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71">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71">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71">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71">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71">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71">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71">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71">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71">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72" spans="2:20" x14ac:dyDescent="0.25">
      <c r="B72" t="s">
        <v>389</v>
      </c>
      <c r="C72">
        <f>IF('Inputs'!$U$102=1,0,'Needs years'!$C$122+'Inputs'!$O$102*('Inputs'!$U$100*'Needs years'!$C$10+'Inputs'!$U$101*'Needs years'!$C$66+'Inputs'!$U$102*'Needs years'!$C$122+'Inputs'!$U$103*'Needs years'!$C$178+'Inputs'!$U$104*'Needs years'!$C$234+'Inputs'!$U$105*'Needs years'!$C$290))</f>
      </c>
      <c r="E72">
        <f>IF('Inputs'!$U$102=1,0,'Needs years'!$C$122+'Inputs'!$O$102*('Inputs'!$U$100*'Needs years'!$C$10+'Inputs'!$U$101*'Needs years'!$C$66+'Inputs'!$U$102*'Needs years'!$C$122+'Inputs'!$U$103*'Needs years'!$C$178+'Inputs'!$U$104*'Needs years'!$C$234+'Inputs'!$U$105*'Needs years'!$C$290))</f>
      </c>
      <c r="F72">
        <f>IF('Inputs'!$U$102=1,0,'Needs years'!$C$122+'Inputs'!$O$102*('Inputs'!$U$100*'Needs years'!$C$10+'Inputs'!$U$101*'Needs years'!$C$66+'Inputs'!$U$102*'Needs years'!$C$122+'Inputs'!$U$103*'Needs years'!$C$178+'Inputs'!$U$104*'Needs years'!$C$234+'Inputs'!$U$105*'Needs years'!$C$290))</f>
      </c>
      <c r="G72">
        <f>IF('Inputs'!$U$102=1,0,'Needs years'!$C$122+'Inputs'!$O$102*('Inputs'!$U$100*'Needs years'!$C$10+'Inputs'!$U$101*'Needs years'!$C$66+'Inputs'!$U$102*'Needs years'!$C$122+'Inputs'!$U$103*'Needs years'!$C$178+'Inputs'!$U$104*'Needs years'!$C$234+'Inputs'!$U$105*'Needs years'!$C$290))</f>
      </c>
      <c r="H72">
        <f>IF('Inputs'!$U$102=1,0,'Needs years'!$C$122+'Inputs'!$O$102*('Inputs'!$U$100*'Needs years'!$C$10+'Inputs'!$U$101*'Needs years'!$C$66+'Inputs'!$U$102*'Needs years'!$C$122+'Inputs'!$U$103*'Needs years'!$C$178+'Inputs'!$U$104*'Needs years'!$C$234+'Inputs'!$U$105*'Needs years'!$C$290))</f>
      </c>
      <c r="I72">
        <f>IF('Inputs'!$U$102=1,0,'Needs years'!$C$122+'Inputs'!$O$102*('Inputs'!$U$100*'Needs years'!$C$10+'Inputs'!$U$101*'Needs years'!$C$66+'Inputs'!$U$102*'Needs years'!$C$122+'Inputs'!$U$103*'Needs years'!$C$178+'Inputs'!$U$104*'Needs years'!$C$234+'Inputs'!$U$105*'Needs years'!$C$290))</f>
      </c>
      <c r="J72">
        <f>IF('Inputs'!$U$102=1,0,'Needs years'!$C$122+'Inputs'!$O$102*('Inputs'!$U$100*'Needs years'!$C$10+'Inputs'!$U$101*'Needs years'!$C$66+'Inputs'!$U$102*'Needs years'!$C$122+'Inputs'!$U$103*'Needs years'!$C$178+'Inputs'!$U$104*'Needs years'!$C$234+'Inputs'!$U$105*'Needs years'!$C$290))</f>
      </c>
      <c r="K72">
        <f>IF('Inputs'!$U$102=1,0,'Needs years'!$C$122+'Inputs'!$O$102*('Inputs'!$U$100*'Needs years'!$C$10+'Inputs'!$U$101*'Needs years'!$C$66+'Inputs'!$U$102*'Needs years'!$C$122+'Inputs'!$U$103*'Needs years'!$C$178+'Inputs'!$U$104*'Needs years'!$C$234+'Inputs'!$U$105*'Needs years'!$C$290))</f>
      </c>
      <c r="L72">
        <f>IF('Inputs'!$U$102=1,0,'Needs years'!$C$122+'Inputs'!$O$102*('Inputs'!$U$100*'Needs years'!$C$10+'Inputs'!$U$101*'Needs years'!$C$66+'Inputs'!$U$102*'Needs years'!$C$122+'Inputs'!$U$103*'Needs years'!$C$178+'Inputs'!$U$104*'Needs years'!$C$234+'Inputs'!$U$105*'Needs years'!$C$290))</f>
      </c>
      <c r="M72">
        <f>IF('Inputs'!$U$102=1,0,'Needs years'!$C$122+'Inputs'!$O$102*('Inputs'!$U$100*'Needs years'!$C$10+'Inputs'!$U$101*'Needs years'!$C$66+'Inputs'!$U$102*'Needs years'!$C$122+'Inputs'!$U$103*'Needs years'!$C$178+'Inputs'!$U$104*'Needs years'!$C$234+'Inputs'!$U$105*'Needs years'!$C$290))</f>
      </c>
      <c r="N72">
        <f>IF('Inputs'!$U$102=1,0,'Needs years'!$C$122+'Inputs'!$O$102*('Inputs'!$U$100*'Needs years'!$C$10+'Inputs'!$U$101*'Needs years'!$C$66+'Inputs'!$U$102*'Needs years'!$C$122+'Inputs'!$U$103*'Needs years'!$C$178+'Inputs'!$U$104*'Needs years'!$C$234+'Inputs'!$U$105*'Needs years'!$C$290))</f>
      </c>
      <c r="O72">
        <f>IF('Inputs'!$U$102=1,0,'Needs years'!$C$122+'Inputs'!$O$102*('Inputs'!$U$100*'Needs years'!$C$10+'Inputs'!$U$101*'Needs years'!$C$66+'Inputs'!$U$102*'Needs years'!$C$122+'Inputs'!$U$103*'Needs years'!$C$178+'Inputs'!$U$104*'Needs years'!$C$234+'Inputs'!$U$105*'Needs years'!$C$290))</f>
      </c>
      <c r="P72">
        <f>IF('Inputs'!$U$102=1,0,'Needs years'!$C$122+'Inputs'!$O$102*('Inputs'!$U$100*'Needs years'!$C$10+'Inputs'!$U$101*'Needs years'!$C$66+'Inputs'!$U$102*'Needs years'!$C$122+'Inputs'!$U$103*'Needs years'!$C$178+'Inputs'!$U$104*'Needs years'!$C$234+'Inputs'!$U$105*'Needs years'!$C$290))</f>
      </c>
      <c r="Q72">
        <f>IF('Inputs'!$U$102=1,0,'Needs years'!$C$122+'Inputs'!$O$102*('Inputs'!$U$100*'Needs years'!$C$10+'Inputs'!$U$101*'Needs years'!$C$66+'Inputs'!$U$102*'Needs years'!$C$122+'Inputs'!$U$103*'Needs years'!$C$178+'Inputs'!$U$104*'Needs years'!$C$234+'Inputs'!$U$105*'Needs years'!$C$290))</f>
      </c>
      <c r="R72">
        <f>IF('Inputs'!$U$102=1,0,'Needs years'!$C$122+'Inputs'!$O$102*('Inputs'!$U$100*'Needs years'!$C$10+'Inputs'!$U$101*'Needs years'!$C$66+'Inputs'!$U$102*'Needs years'!$C$122+'Inputs'!$U$103*'Needs years'!$C$178+'Inputs'!$U$104*'Needs years'!$C$234+'Inputs'!$U$105*'Needs years'!$C$290))</f>
      </c>
      <c r="S72">
        <f>IF('Inputs'!$U$102=1,0,'Needs years'!$C$122+'Inputs'!$O$102*('Inputs'!$U$100*'Needs years'!$C$10+'Inputs'!$U$101*'Needs years'!$C$66+'Inputs'!$U$102*'Needs years'!$C$122+'Inputs'!$U$103*'Needs years'!$C$178+'Inputs'!$U$104*'Needs years'!$C$234+'Inputs'!$U$105*'Needs years'!$C$290))</f>
      </c>
      <c r="T72">
        <f>IF('Inputs'!$U$102=1,0,'Needs years'!$C$122+'Inputs'!$O$102*('Inputs'!$U$100*'Needs years'!$C$10+'Inputs'!$U$101*'Needs years'!$C$66+'Inputs'!$U$102*'Needs years'!$C$122+'Inputs'!$U$103*'Needs years'!$C$178+'Inputs'!$U$104*'Needs years'!$C$234+'Inputs'!$U$105*'Needs years'!$C$290))</f>
      </c>
    </row>
    <row r="73" spans="2:20" x14ac:dyDescent="0.25">
      <c r="B73" t="s">
        <v>390</v>
      </c>
      <c r="C73">
        <f>IF('Inputs'!$U$102=1,('Inputs'!$O$100*C43+'Inputs'!$O$101*C55+'Inputs'!$O$102*C67+'Inputs'!$O$103*C79+'Inputs'!$O$104*C91+'Inputs'!$O$105*C103),C67)</f>
      </c>
      <c r="E73">
        <f>IF('Inputs'!$U$102=1,('Inputs'!$O$100*E43+'Inputs'!$O$101*E55+'Inputs'!$O$102*E67+'Inputs'!$O$103*E79+'Inputs'!$O$104*E91+'Inputs'!$O$105*E103),E67)</f>
      </c>
      <c r="F73">
        <f>IF('Inputs'!$U$102=1,('Inputs'!$O$100*F43+'Inputs'!$O$101*F55+'Inputs'!$O$102*F67+'Inputs'!$O$103*F79+'Inputs'!$O$104*F91+'Inputs'!$O$105*F103),F67)</f>
      </c>
      <c r="G73">
        <f>IF('Inputs'!$U$102=1,('Inputs'!$O$100*G43+'Inputs'!$O$101*G55+'Inputs'!$O$102*G67+'Inputs'!$O$103*G79+'Inputs'!$O$104*G91+'Inputs'!$O$105*G103),G67)</f>
      </c>
      <c r="H73">
        <f>IF('Inputs'!$U$102=1,('Inputs'!$O$100*H43+'Inputs'!$O$101*H55+'Inputs'!$O$102*H67+'Inputs'!$O$103*H79+'Inputs'!$O$104*H91+'Inputs'!$O$105*H103),H67)</f>
      </c>
      <c r="I73">
        <f>IF('Inputs'!$U$102=1,('Inputs'!$O$100*I43+'Inputs'!$O$101*I55+'Inputs'!$O$102*I67+'Inputs'!$O$103*I79+'Inputs'!$O$104*I91+'Inputs'!$O$105*I103),I67)</f>
      </c>
      <c r="J73">
        <f>IF('Inputs'!$U$102=1,('Inputs'!$O$100*J43+'Inputs'!$O$101*J55+'Inputs'!$O$102*J67+'Inputs'!$O$103*J79+'Inputs'!$O$104*J91+'Inputs'!$O$105*J103),J67)</f>
      </c>
      <c r="K73">
        <f>IF('Inputs'!$U$102=1,('Inputs'!$O$100*K43+'Inputs'!$O$101*K55+'Inputs'!$O$102*K67+'Inputs'!$O$103*K79+'Inputs'!$O$104*K91+'Inputs'!$O$105*K103),K67)</f>
      </c>
      <c r="L73">
        <f>IF('Inputs'!$U$102=1,('Inputs'!$O$100*L43+'Inputs'!$O$101*L55+'Inputs'!$O$102*L67+'Inputs'!$O$103*L79+'Inputs'!$O$104*L91+'Inputs'!$O$105*L103),L67)</f>
      </c>
      <c r="M73">
        <f>IF('Inputs'!$U$102=1,('Inputs'!$O$100*M43+'Inputs'!$O$101*M55+'Inputs'!$O$102*M67+'Inputs'!$O$103*M79+'Inputs'!$O$104*M91+'Inputs'!$O$105*M103),M67)</f>
      </c>
      <c r="N73">
        <f>IF('Inputs'!$U$102=1,('Inputs'!$O$100*N43+'Inputs'!$O$101*N55+'Inputs'!$O$102*N67+'Inputs'!$O$103*N79+'Inputs'!$O$104*N91+'Inputs'!$O$105*N103),N67)</f>
      </c>
      <c r="O73">
        <f>IF('Inputs'!$U$102=1,('Inputs'!$O$100*O43+'Inputs'!$O$101*O55+'Inputs'!$O$102*O67+'Inputs'!$O$103*O79+'Inputs'!$O$104*O91+'Inputs'!$O$105*O103),O67)</f>
      </c>
      <c r="P73">
        <f>IF('Inputs'!$U$102=1,('Inputs'!$O$100*P43+'Inputs'!$O$101*P55+'Inputs'!$O$102*P67+'Inputs'!$O$103*P79+'Inputs'!$O$104*P91+'Inputs'!$O$105*P103),P67)</f>
      </c>
      <c r="Q73">
        <f>IF('Inputs'!$U$102=1,('Inputs'!$O$100*Q43+'Inputs'!$O$101*Q55+'Inputs'!$O$102*Q67+'Inputs'!$O$103*Q79+'Inputs'!$O$104*Q91+'Inputs'!$O$105*Q103),Q67)</f>
      </c>
      <c r="R73">
        <f>IF('Inputs'!$U$102=1,('Inputs'!$O$100*R43+'Inputs'!$O$101*R55+'Inputs'!$O$102*R67+'Inputs'!$O$103*R79+'Inputs'!$O$104*R91+'Inputs'!$O$105*R103),R67)</f>
      </c>
      <c r="S73">
        <f>IF('Inputs'!$U$102=1,('Inputs'!$O$100*S43+'Inputs'!$O$101*S55+'Inputs'!$O$102*S67+'Inputs'!$O$103*S79+'Inputs'!$O$104*S91+'Inputs'!$O$105*S103),S67)</f>
      </c>
      <c r="T73">
        <f>IF('Inputs'!$U$102=1,('Inputs'!$O$100*T43+'Inputs'!$O$101*T55+'Inputs'!$O$102*T67+'Inputs'!$O$103*T79+'Inputs'!$O$104*T91+'Inputs'!$O$105*T103),T67)</f>
      </c>
    </row>
    <row r="74" spans="2:20" x14ac:dyDescent="0.25">
      <c r="B74" t="s">
        <v>391</v>
      </c>
      <c r="C74">
        <f>IF('Inputs'!$B$102="",0,ROUND('Needs years'!$C$122+ROUND(IF(C73=0,SUM('Needs years'!$J$116:$J$165),(1-(1+C73)^-1)/(1-(1+C73)^(-1/12))/12*SUMPRODUCT('Needs years'!$J$116:$J$165,(1+C73)^(-'Needs years'!$I$116:$I$165))),2),2))</f>
      </c>
      <c r="E74">
        <f>IF('Inputs'!$B$102="",0,ROUND('Needs years'!$C$122+ROUND(IF(E73=0,SUM('Needs years'!$J$116:$J$165),(1-(1+E73)^-1)/(1-(1+E73)^(-1/12))/12*SUMPRODUCT('Needs years'!$J$116:$J$165,(1+E73)^(-'Needs years'!$I$116:$I$165))),2),2))</f>
      </c>
      <c r="F74">
        <f>IF('Inputs'!$B$102="",0,ROUND('Needs years'!$C$122+ROUND(IF(F73=0,SUM('Needs years'!$J$116:$J$165),(1-(1+F73)^-1)/(1-(1+F73)^(-1/12))/12*SUMPRODUCT('Needs years'!$J$116:$J$165,(1+F73)^(-'Needs years'!$I$116:$I$165))),2),2))</f>
      </c>
      <c r="G74">
        <f>IF('Inputs'!$B$102="",0,ROUND('Needs years'!$C$122+ROUND(IF(G73=0,SUM('Needs years'!$J$116:$J$165),(1-(1+G73)^-1)/(1-(1+G73)^(-1/12))/12*SUMPRODUCT('Needs years'!$J$116:$J$165,(1+G73)^(-'Needs years'!$I$116:$I$165))),2),2))</f>
      </c>
      <c r="H74">
        <f>IF('Inputs'!$B$102="",0,ROUND('Needs years'!$C$122+ROUND(IF(H73=0,SUM('Needs years'!$J$116:$J$165),(1-(1+H73)^-1)/(1-(1+H73)^(-1/12))/12*SUMPRODUCT('Needs years'!$J$116:$J$165,(1+H73)^(-'Needs years'!$I$116:$I$165))),2),2))</f>
      </c>
      <c r="I74">
        <f>IF('Inputs'!$B$102="",0,ROUND('Needs years'!$C$122+ROUND(IF(I73=0,SUM('Needs years'!$J$116:$J$165),(1-(1+I73)^-1)/(1-(1+I73)^(-1/12))/12*SUMPRODUCT('Needs years'!$J$116:$J$165,(1+I73)^(-'Needs years'!$I$116:$I$165))),2),2))</f>
      </c>
      <c r="J74">
        <f>IF('Inputs'!$B$102="",0,ROUND('Needs years'!$C$122+ROUND(IF(J73=0,SUM('Needs years'!$J$116:$J$165),(1-(1+J73)^-1)/(1-(1+J73)^(-1/12))/12*SUMPRODUCT('Needs years'!$J$116:$J$165,(1+J73)^(-'Needs years'!$I$116:$I$165))),2),2))</f>
      </c>
      <c r="K74">
        <f>IF('Inputs'!$B$102="",0,ROUND('Needs years'!$C$122+ROUND(IF(K73=0,SUM('Needs years'!$J$116:$J$165),(1-(1+K73)^-1)/(1-(1+K73)^(-1/12))/12*SUMPRODUCT('Needs years'!$J$116:$J$165,(1+K73)^(-'Needs years'!$I$116:$I$165))),2),2))</f>
      </c>
      <c r="L74">
        <f>IF('Inputs'!$B$102="",0,ROUND('Needs years'!$C$122+ROUND(IF(L73=0,SUM('Needs years'!$J$116:$J$165),(1-(1+L73)^-1)/(1-(1+L73)^(-1/12))/12*SUMPRODUCT('Needs years'!$J$116:$J$165,(1+L73)^(-'Needs years'!$I$116:$I$165))),2),2))</f>
      </c>
      <c r="M74">
        <f>IF('Inputs'!$B$102="",0,ROUND('Needs years'!$C$122+ROUND(IF(M73=0,SUM('Needs years'!$J$116:$J$165),(1-(1+M73)^-1)/(1-(1+M73)^(-1/12))/12*SUMPRODUCT('Needs years'!$J$116:$J$165,(1+M73)^(-'Needs years'!$I$116:$I$165))),2),2))</f>
      </c>
      <c r="N74">
        <f>IF('Inputs'!$B$102="",0,ROUND('Needs years'!$C$122+ROUND(IF(N73=0,SUM('Needs years'!$J$116:$J$165),(1-(1+N73)^-1)/(1-(1+N73)^(-1/12))/12*SUMPRODUCT('Needs years'!$J$116:$J$165,(1+N73)^(-'Needs years'!$I$116:$I$165))),2),2))</f>
      </c>
      <c r="O74">
        <f>IF('Inputs'!$B$102="",0,ROUND('Needs years'!$C$122+ROUND(IF(O73=0,SUM('Needs years'!$J$116:$J$165),(1-(1+O73)^-1)/(1-(1+O73)^(-1/12))/12*SUMPRODUCT('Needs years'!$J$116:$J$165,(1+O73)^(-'Needs years'!$I$116:$I$165))),2),2))</f>
      </c>
      <c r="P74">
        <f>IF('Inputs'!$B$102="",0,ROUND('Needs years'!$C$122+ROUND(IF(P73=0,SUM('Needs years'!$J$116:$J$165),(1-(1+P73)^-1)/(1-(1+P73)^(-1/12))/12*SUMPRODUCT('Needs years'!$J$116:$J$165,(1+P73)^(-'Needs years'!$I$116:$I$165))),2),2))</f>
      </c>
      <c r="Q74">
        <f>IF('Inputs'!$B$102="",0,ROUND('Needs years'!$C$122+ROUND(IF(Q73=0,SUM('Needs years'!$J$116:$J$165),(1-(1+Q73)^-1)/(1-(1+Q73)^(-1/12))/12*SUMPRODUCT('Needs years'!$J$116:$J$165,(1+Q73)^(-'Needs years'!$I$116:$I$165))),2),2))</f>
      </c>
      <c r="R74">
        <f>IF('Inputs'!$B$102="",0,ROUND('Needs years'!$C$122+ROUND(IF(R73=0,SUM('Needs years'!$J$116:$J$165),(1-(1+R73)^-1)/(1-(1+R73)^(-1/12))/12*SUMPRODUCT('Needs years'!$J$116:$J$165,(1+R73)^(-'Needs years'!$I$116:$I$165))),2),2))</f>
      </c>
      <c r="S74">
        <f>IF('Inputs'!$B$102="",0,ROUND('Needs years'!$C$122+ROUND(IF(S73=0,SUM('Needs years'!$J$116:$J$165),(1-(1+S73)^-1)/(1-(1+S73)^(-1/12))/12*SUMPRODUCT('Needs years'!$J$116:$J$165,(1+S73)^(-'Needs years'!$I$116:$I$165))),2),2))</f>
      </c>
      <c r="T74">
        <f>IF('Inputs'!$B$102="",0,ROUND('Needs years'!$C$122+ROUND(IF(T73=0,SUM('Needs years'!$J$116:$J$165),(1-(1+T73)^-1)/(1-(1+T73)^(-1/12))/12*SUMPRODUCT('Needs years'!$J$116:$J$165,(1+T73)^(-'Needs years'!$I$116:$I$165))),2),2))</f>
      </c>
    </row>
    <row r="75" spans="2:20" x14ac:dyDescent="0.25">
      <c r="B75" t="s">
        <v>392</v>
      </c>
      <c r="C75">
        <f>IF('Inputs'!$U$102=1,0,IF((C68-C72)&gt;0,MAX(0,C64-C72)/(C68-C72),0))</f>
      </c>
      <c r="E75">
        <f>IF('Inputs'!$U$102=1,0,IF((E68-E72)&gt;0,MAX(0,E64-E72)/(E68-E72),0))</f>
      </c>
      <c r="F75">
        <f>IF('Inputs'!$U$102=1,0,IF((F68-F72)&gt;0,MAX(0,F64-F72)/(F68-F72),0))</f>
      </c>
      <c r="G75">
        <f>IF('Inputs'!$U$102=1,0,IF((G68-G72)&gt;0,MAX(0,G64-G72)/(G68-G72),0))</f>
      </c>
      <c r="H75">
        <f>IF('Inputs'!$U$102=1,0,IF((H68-H72)&gt;0,MAX(0,H64-H72)/(H68-H72),0))</f>
      </c>
      <c r="I75">
        <f>IF('Inputs'!$U$102=1,0,IF((I68-I72)&gt;0,MAX(0,I64-I72)/(I68-I72),0))</f>
      </c>
      <c r="J75">
        <f>IF('Inputs'!$U$102=1,0,IF((J68-J72)&gt;0,MAX(0,J64-J72)/(J68-J72),0))</f>
      </c>
      <c r="K75">
        <f>IF('Inputs'!$U$102=1,0,IF((K68-K72)&gt;0,MAX(0,K64-K72)/(K68-K72),0))</f>
      </c>
      <c r="L75">
        <f>IF('Inputs'!$U$102=1,0,IF((L68-L72)&gt;0,MAX(0,L64-L72)/(L68-L72),0))</f>
      </c>
      <c r="M75">
        <f>IF('Inputs'!$U$102=1,0,IF((M68-M72)&gt;0,MAX(0,M64-M72)/(M68-M72),0))</f>
      </c>
      <c r="N75">
        <f>IF('Inputs'!$U$102=1,0,IF((N68-N72)&gt;0,MAX(0,N64-N72)/(N68-N72),0))</f>
      </c>
      <c r="O75">
        <f>IF('Inputs'!$U$102=1,0,IF((O68-O72)&gt;0,MAX(0,O64-O72)/(O68-O72),0))</f>
      </c>
      <c r="P75">
        <f>IF('Inputs'!$U$102=1,0,IF((P68-P72)&gt;0,MAX(0,P64-P72)/(P68-P72),0))</f>
      </c>
      <c r="Q75">
        <f>IF('Inputs'!$U$102=1,0,IF((Q68-Q72)&gt;0,MAX(0,Q64-Q72)/(Q68-Q72),0))</f>
      </c>
      <c r="R75">
        <f>IF('Inputs'!$U$102=1,0,IF((R68-R72)&gt;0,MAX(0,R64-R72)/(R68-R72),0))</f>
      </c>
      <c r="S75">
        <f>IF('Inputs'!$U$102=1,0,IF((S68-S72)&gt;0,MAX(0,S64-S72)/(S68-S72),0))</f>
      </c>
      <c r="T75">
        <f>IF('Inputs'!$U$102=1,0,IF((T68-T72)&gt;0,MAX(0,T64-T72)/(T68-T72),0))</f>
      </c>
    </row>
    <row r="76" spans="2:20" x14ac:dyDescent="0.25">
      <c r="B76" t="s">
        <v>393</v>
      </c>
      <c r="C76">
        <f>IF('Inputs'!$B$103="",0,IF('Inputs'!$U$103=1,0,ROUND(C83+'Inputs'!$O$103*('Inputs'!$U$100*C47+'Inputs'!$U$101*C59+'Inputs'!$U$102*C71+'Inputs'!$U$103*C83+'Inputs'!$U$104*C95+'Inputs'!$U$105*C107),2)))</f>
      </c>
      <c r="E76">
        <f>IF('Inputs'!$B$103="",0,IF('Inputs'!$U$103=1,0,ROUND(E83+'Inputs'!$O$103*('Inputs'!$U$100*E47+'Inputs'!$U$101*E59+'Inputs'!$U$102*E71+'Inputs'!$U$103*E83+'Inputs'!$U$104*E95+'Inputs'!$U$105*E107),2)))</f>
      </c>
      <c r="F76">
        <f>IF('Inputs'!$B$103="",0,IF('Inputs'!$U$103=1,0,ROUND(F83+'Inputs'!$O$103*('Inputs'!$U$100*F47+'Inputs'!$U$101*F59+'Inputs'!$U$102*F71+'Inputs'!$U$103*F83+'Inputs'!$U$104*F95+'Inputs'!$U$105*F107),2)))</f>
      </c>
      <c r="G76">
        <f>IF('Inputs'!$B$103="",0,IF('Inputs'!$U$103=1,0,ROUND(G83+'Inputs'!$O$103*('Inputs'!$U$100*G47+'Inputs'!$U$101*G59+'Inputs'!$U$102*G71+'Inputs'!$U$103*G83+'Inputs'!$U$104*G95+'Inputs'!$U$105*G107),2)))</f>
      </c>
      <c r="H76">
        <f>IF('Inputs'!$B$103="",0,IF('Inputs'!$U$103=1,0,ROUND(H83+'Inputs'!$O$103*('Inputs'!$U$100*H47+'Inputs'!$U$101*H59+'Inputs'!$U$102*H71+'Inputs'!$U$103*H83+'Inputs'!$U$104*H95+'Inputs'!$U$105*H107),2)))</f>
      </c>
      <c r="I76">
        <f>IF('Inputs'!$B$103="",0,IF('Inputs'!$U$103=1,0,ROUND(I83+'Inputs'!$O$103*('Inputs'!$U$100*I47+'Inputs'!$U$101*I59+'Inputs'!$U$102*I71+'Inputs'!$U$103*I83+'Inputs'!$U$104*I95+'Inputs'!$U$105*I107),2)))</f>
      </c>
      <c r="J76">
        <f>IF('Inputs'!$B$103="",0,IF('Inputs'!$U$103=1,0,ROUND(J83+'Inputs'!$O$103*('Inputs'!$U$100*J47+'Inputs'!$U$101*J59+'Inputs'!$U$102*J71+'Inputs'!$U$103*J83+'Inputs'!$U$104*J95+'Inputs'!$U$105*J107),2)))</f>
      </c>
      <c r="K76">
        <f>IF('Inputs'!$B$103="",0,IF('Inputs'!$U$103=1,0,ROUND(K83+'Inputs'!$O$103*('Inputs'!$U$100*K47+'Inputs'!$U$101*K59+'Inputs'!$U$102*K71+'Inputs'!$U$103*K83+'Inputs'!$U$104*K95+'Inputs'!$U$105*K107),2)))</f>
      </c>
      <c r="L76">
        <f>IF('Inputs'!$B$103="",0,IF('Inputs'!$U$103=1,0,ROUND(L83+'Inputs'!$O$103*('Inputs'!$U$100*L47+'Inputs'!$U$101*L59+'Inputs'!$U$102*L71+'Inputs'!$U$103*L83+'Inputs'!$U$104*L95+'Inputs'!$U$105*L107),2)))</f>
      </c>
      <c r="M76">
        <f>IF('Inputs'!$B$103="",0,IF('Inputs'!$U$103=1,0,ROUND(M83+'Inputs'!$O$103*('Inputs'!$U$100*M47+'Inputs'!$U$101*M59+'Inputs'!$U$102*M71+'Inputs'!$U$103*M83+'Inputs'!$U$104*M95+'Inputs'!$U$105*M107),2)))</f>
      </c>
      <c r="N76">
        <f>IF('Inputs'!$B$103="",0,IF('Inputs'!$U$103=1,0,ROUND(N83+'Inputs'!$O$103*('Inputs'!$U$100*N47+'Inputs'!$U$101*N59+'Inputs'!$U$102*N71+'Inputs'!$U$103*N83+'Inputs'!$U$104*N95+'Inputs'!$U$105*N107),2)))</f>
      </c>
      <c r="O76">
        <f>IF('Inputs'!$B$103="",0,IF('Inputs'!$U$103=1,0,ROUND(O83+'Inputs'!$O$103*('Inputs'!$U$100*O47+'Inputs'!$U$101*O59+'Inputs'!$U$102*O71+'Inputs'!$U$103*O83+'Inputs'!$U$104*O95+'Inputs'!$U$105*O107),2)))</f>
      </c>
      <c r="P76">
        <f>IF('Inputs'!$B$103="",0,IF('Inputs'!$U$103=1,0,ROUND(P83+'Inputs'!$O$103*('Inputs'!$U$100*P47+'Inputs'!$U$101*P59+'Inputs'!$U$102*P71+'Inputs'!$U$103*P83+'Inputs'!$U$104*P95+'Inputs'!$U$105*P107),2)))</f>
      </c>
      <c r="Q76">
        <f>IF('Inputs'!$B$103="",0,IF('Inputs'!$U$103=1,0,ROUND(Q83+'Inputs'!$O$103*('Inputs'!$U$100*Q47+'Inputs'!$U$101*Q59+'Inputs'!$U$102*Q71+'Inputs'!$U$103*Q83+'Inputs'!$U$104*Q95+'Inputs'!$U$105*Q107),2)))</f>
      </c>
      <c r="R76">
        <f>IF('Inputs'!$B$103="",0,IF('Inputs'!$U$103=1,0,ROUND(R83+'Inputs'!$O$103*('Inputs'!$U$100*R47+'Inputs'!$U$101*R59+'Inputs'!$U$102*R71+'Inputs'!$U$103*R83+'Inputs'!$U$104*R95+'Inputs'!$U$105*R107),2)))</f>
      </c>
      <c r="S76">
        <f>IF('Inputs'!$B$103="",0,IF('Inputs'!$U$103=1,0,ROUND(S83+'Inputs'!$O$103*('Inputs'!$U$100*S47+'Inputs'!$U$101*S59+'Inputs'!$U$102*S71+'Inputs'!$U$103*S83+'Inputs'!$U$104*S95+'Inputs'!$U$105*S107),2)))</f>
      </c>
      <c r="T76">
        <f>IF('Inputs'!$B$103="",0,IF('Inputs'!$U$103=1,0,ROUND(T83+'Inputs'!$O$103*('Inputs'!$U$100*T47+'Inputs'!$U$101*T59+'Inputs'!$U$102*T71+'Inputs'!$U$103*T83+'Inputs'!$U$104*T95+'Inputs'!$U$105*T107),2)))</f>
      </c>
    </row>
    <row r="77" spans="2:20" x14ac:dyDescent="0.25">
      <c r="B77" t="s">
        <v>394</v>
      </c>
      <c r="C77">
        <f>'Needs years'!$C$173+MAX(0,C76-C84)*('Inputs'!$H$122/100*('Inputs'!$H$125/100+'Inputs'!$H$120/100*'Inputs'!$H$127/100))</f>
      </c>
      <c r="E77">
        <f>'Needs years'!$C$173+MAX(0,E76-E84)*('Inputs'!$H$122/100*('Inputs'!$H$125/100+'Inputs'!$H$120/100*'Inputs'!$H$127/100))</f>
      </c>
      <c r="F77">
        <f>'Needs years'!$C$173+MAX(0,F76-F84)*('Inputs'!$H$122/100*('Inputs'!$H$125/100+'Inputs'!$H$120/100*'Inputs'!$H$127/100))</f>
      </c>
      <c r="G77">
        <f>'Needs years'!$C$173+MAX(0,G76-G84)*('Inputs'!$H$122/100*('Inputs'!$H$125/100+'Inputs'!$H$120/100*'Inputs'!$H$127/100))</f>
      </c>
      <c r="H77">
        <f>'Needs years'!$C$173+MAX(0,H76-H84)*('Inputs'!$H$122/100*('Inputs'!$H$125/100+'Inputs'!$H$120/100*'Inputs'!$H$127/100))</f>
      </c>
      <c r="I77">
        <f>'Needs years'!$C$173+MAX(0,I76-I84)*('Inputs'!$H$122/100*('Inputs'!$H$125/100+'Inputs'!$H$120/100*'Inputs'!$H$127/100))</f>
      </c>
      <c r="J77">
        <f>'Needs years'!$C$173+MAX(0,J76-J84)*('Inputs'!$H$122/100*('Inputs'!$H$125/100+'Inputs'!$H$120/100*'Inputs'!$H$127/100))</f>
      </c>
      <c r="K77">
        <f>'Needs years'!$C$173+MAX(0,K76-K84)*('Inputs'!$H$122/100*('Inputs'!$H$125/100+'Inputs'!$H$120/100*'Inputs'!$H$127/100))</f>
      </c>
      <c r="L77">
        <f>'Needs years'!$C$173+MAX(0,L76-L84)*('Inputs'!$H$122/100*('Inputs'!$H$125/100+'Inputs'!$H$120/100*'Inputs'!$H$127/100))</f>
      </c>
      <c r="M77">
        <f>'Needs years'!$C$173+MAX(0,M76-M84)*('Inputs'!$H$122/100*('Inputs'!$H$125/100+'Inputs'!$H$120/100*'Inputs'!$H$127/100))</f>
      </c>
      <c r="N77">
        <f>'Needs years'!$C$173+MAX(0,N76-N84)*('Inputs'!$H$122/100*('Inputs'!$H$125/100+'Inputs'!$H$120/100*'Inputs'!$H$127/100))</f>
      </c>
      <c r="O77">
        <f>'Needs years'!$C$173+MAX(0,O76-O84)*('Inputs'!$H$122/100*('Inputs'!$H$125/100+'Inputs'!$H$120/100*'Inputs'!$H$127/100))</f>
      </c>
      <c r="P77">
        <f>'Needs years'!$C$173+MAX(0,P76-P84)*('Inputs'!$H$122/100*('Inputs'!$H$125/100+'Inputs'!$H$120/100*'Inputs'!$H$127/100))</f>
      </c>
      <c r="Q77">
        <f>'Needs years'!$C$173+MAX(0,Q76-Q84)*('Inputs'!$H$122/100*('Inputs'!$H$125/100+'Inputs'!$H$120/100*'Inputs'!$H$127/100))</f>
      </c>
      <c r="R77">
        <f>'Needs years'!$C$173+MAX(0,R76-R84)*('Inputs'!$H$122/100*('Inputs'!$H$125/100+'Inputs'!$H$120/100*'Inputs'!$H$127/100))</f>
      </c>
      <c r="S77">
        <f>'Needs years'!$C$173+MAX(0,S76-S84)*('Inputs'!$H$122/100*('Inputs'!$H$125/100+'Inputs'!$H$120/100*'Inputs'!$H$127/100))</f>
      </c>
      <c r="T77">
        <f>'Needs years'!$C$173+MAX(0,T76-T84)*('Inputs'!$H$122/100*('Inputs'!$H$125/100+'Inputs'!$H$120/100*'Inputs'!$H$127/100))</f>
      </c>
    </row>
    <row r="78" spans="2:20" x14ac:dyDescent="0.25">
      <c r="B78" t="s">
        <v>395</v>
      </c>
      <c r="C78">
        <f>IF(C77&lt;='Needs years'!$C$172,0,INDEX('Inputs'!$E$134:$E$140,MATCH(C77,'Inputs'!$C$134:$C$140,1)-IF(COUNTIF('Inputs'!$C$134:$C$140,C77)&gt;0,1,0))/100)</f>
      </c>
      <c r="E78">
        <f>IF(E77&lt;='Needs years'!$C$172,0,INDEX('Inputs'!$E$134:$E$140,MATCH(E77,'Inputs'!$C$134:$C$140,1)-IF(COUNTIF('Inputs'!$C$134:$C$140,E77)&gt;0,1,0))/100)</f>
      </c>
      <c r="F78">
        <f>IF(F77&lt;='Needs years'!$C$172,0,INDEX('Inputs'!$E$134:$E$140,MATCH(F77,'Inputs'!$C$134:$C$140,1)-IF(COUNTIF('Inputs'!$C$134:$C$140,F77)&gt;0,1,0))/100)</f>
      </c>
      <c r="G78">
        <f>IF(G77&lt;='Needs years'!$C$172,0,INDEX('Inputs'!$E$134:$E$140,MATCH(G77,'Inputs'!$C$134:$C$140,1)-IF(COUNTIF('Inputs'!$C$134:$C$140,G77)&gt;0,1,0))/100)</f>
      </c>
      <c r="H78">
        <f>IF(H77&lt;='Needs years'!$C$172,0,INDEX('Inputs'!$E$134:$E$140,MATCH(H77,'Inputs'!$C$134:$C$140,1)-IF(COUNTIF('Inputs'!$C$134:$C$140,H77)&gt;0,1,0))/100)</f>
      </c>
      <c r="I78">
        <f>IF(I77&lt;='Needs years'!$C$172,0,INDEX('Inputs'!$E$134:$E$140,MATCH(I77,'Inputs'!$C$134:$C$140,1)-IF(COUNTIF('Inputs'!$C$134:$C$140,I77)&gt;0,1,0))/100)</f>
      </c>
      <c r="J78">
        <f>IF(J77&lt;='Needs years'!$C$172,0,INDEX('Inputs'!$E$134:$E$140,MATCH(J77,'Inputs'!$C$134:$C$140,1)-IF(COUNTIF('Inputs'!$C$134:$C$140,J77)&gt;0,1,0))/100)</f>
      </c>
      <c r="K78">
        <f>IF(K77&lt;='Needs years'!$C$172,0,INDEX('Inputs'!$E$134:$E$140,MATCH(K77,'Inputs'!$C$134:$C$140,1)-IF(COUNTIF('Inputs'!$C$134:$C$140,K77)&gt;0,1,0))/100)</f>
      </c>
      <c r="L78">
        <f>IF(L77&lt;='Needs years'!$C$172,0,INDEX('Inputs'!$E$134:$E$140,MATCH(L77,'Inputs'!$C$134:$C$140,1)-IF(COUNTIF('Inputs'!$C$134:$C$140,L77)&gt;0,1,0))/100)</f>
      </c>
      <c r="M78">
        <f>IF(M77&lt;='Needs years'!$C$172,0,INDEX('Inputs'!$E$134:$E$140,MATCH(M77,'Inputs'!$C$134:$C$140,1)-IF(COUNTIF('Inputs'!$C$134:$C$140,M77)&gt;0,1,0))/100)</f>
      </c>
      <c r="N78">
        <f>IF(N77&lt;='Needs years'!$C$172,0,INDEX('Inputs'!$E$134:$E$140,MATCH(N77,'Inputs'!$C$134:$C$140,1)-IF(COUNTIF('Inputs'!$C$134:$C$140,N77)&gt;0,1,0))/100)</f>
      </c>
      <c r="O78">
        <f>IF(O77&lt;='Needs years'!$C$172,0,INDEX('Inputs'!$E$134:$E$140,MATCH(O77,'Inputs'!$C$134:$C$140,1)-IF(COUNTIF('Inputs'!$C$134:$C$140,O77)&gt;0,1,0))/100)</f>
      </c>
      <c r="P78">
        <f>IF(P77&lt;='Needs years'!$C$172,0,INDEX('Inputs'!$E$134:$E$140,MATCH(P77,'Inputs'!$C$134:$C$140,1)-IF(COUNTIF('Inputs'!$C$134:$C$140,P77)&gt;0,1,0))/100)</f>
      </c>
      <c r="Q78">
        <f>IF(Q77&lt;='Needs years'!$C$172,0,INDEX('Inputs'!$E$134:$E$140,MATCH(Q77,'Inputs'!$C$134:$C$140,1)-IF(COUNTIF('Inputs'!$C$134:$C$140,Q77)&gt;0,1,0))/100)</f>
      </c>
      <c r="R78">
        <f>IF(R77&lt;='Needs years'!$C$172,0,INDEX('Inputs'!$E$134:$E$140,MATCH(R77,'Inputs'!$C$134:$C$140,1)-IF(COUNTIF('Inputs'!$C$134:$C$140,R77)&gt;0,1,0))/100)</f>
      </c>
      <c r="S78">
        <f>IF(S77&lt;='Needs years'!$C$172,0,INDEX('Inputs'!$E$134:$E$140,MATCH(S77,'Inputs'!$C$134:$C$140,1)-IF(COUNTIF('Inputs'!$C$134:$C$140,S77)&gt;0,1,0))/100)</f>
      </c>
      <c r="T78">
        <f>IF(T77&lt;='Needs years'!$C$172,0,INDEX('Inputs'!$E$134:$E$140,MATCH(T77,'Inputs'!$C$134:$C$140,1)-IF(COUNTIF('Inputs'!$C$134:$C$140,T77)&gt;0,1,0))/100)</f>
      </c>
    </row>
    <row r="79" spans="2:20" x14ac:dyDescent="0.25">
      <c r="B79" t="s">
        <v>396</v>
      </c>
      <c r="C79">
        <f>('Inputs'!$H$122/100*(1-('Inputs'!$H$125/100*C78+'Inputs'!$H$126/100*'Inputs'!$H$128/100+'Inputs'!$H$127/100*'Inputs'!$H$120/100*C78))-IF('Needs years'!$C$177=1,'Inputs'!$H$123/100,0))</f>
      </c>
      <c r="E79">
        <f>('Inputs'!$H$122/100*(1-('Inputs'!$H$125/100*E78+'Inputs'!$H$126/100*'Inputs'!$H$128/100+'Inputs'!$H$127/100*'Inputs'!$H$120/100*E78))-IF('Needs years'!$C$177=1,'Inputs'!$H$123/100,0))</f>
      </c>
      <c r="F79">
        <f>('Inputs'!$H$122/100*(1-('Inputs'!$H$125/100*F78+'Inputs'!$H$126/100*'Inputs'!$H$128/100+'Inputs'!$H$127/100*'Inputs'!$H$120/100*F78))-IF('Needs years'!$C$177=1,'Inputs'!$H$123/100,0))</f>
      </c>
      <c r="G79">
        <f>('Inputs'!$H$122/100*(1-('Inputs'!$H$125/100*G78+'Inputs'!$H$126/100*'Inputs'!$H$128/100+'Inputs'!$H$127/100*'Inputs'!$H$120/100*G78))-IF('Needs years'!$C$177=1,'Inputs'!$H$123/100,0))</f>
      </c>
      <c r="H79">
        <f>('Inputs'!$H$122/100*(1-('Inputs'!$H$125/100*H78+'Inputs'!$H$126/100*'Inputs'!$H$128/100+'Inputs'!$H$127/100*'Inputs'!$H$120/100*H78))-IF('Needs years'!$C$177=1,'Inputs'!$H$123/100,0))</f>
      </c>
      <c r="I79">
        <f>('Inputs'!$H$122/100*(1-('Inputs'!$H$125/100*I78+'Inputs'!$H$126/100*'Inputs'!$H$128/100+'Inputs'!$H$127/100*'Inputs'!$H$120/100*I78))-IF('Needs years'!$C$177=1,'Inputs'!$H$123/100,0))</f>
      </c>
      <c r="J79">
        <f>('Inputs'!$H$122/100*(1-('Inputs'!$H$125/100*J78+'Inputs'!$H$126/100*'Inputs'!$H$128/100+'Inputs'!$H$127/100*'Inputs'!$H$120/100*J78))-IF('Needs years'!$C$177=1,'Inputs'!$H$123/100,0))</f>
      </c>
      <c r="K79">
        <f>('Inputs'!$H$122/100*(1-('Inputs'!$H$125/100*K78+'Inputs'!$H$126/100*'Inputs'!$H$128/100+'Inputs'!$H$127/100*'Inputs'!$H$120/100*K78))-IF('Needs years'!$C$177=1,'Inputs'!$H$123/100,0))</f>
      </c>
      <c r="L79">
        <f>('Inputs'!$H$122/100*(1-('Inputs'!$H$125/100*L78+'Inputs'!$H$126/100*'Inputs'!$H$128/100+'Inputs'!$H$127/100*'Inputs'!$H$120/100*L78))-IF('Needs years'!$C$177=1,'Inputs'!$H$123/100,0))</f>
      </c>
      <c r="M79">
        <f>('Inputs'!$H$122/100*(1-('Inputs'!$H$125/100*M78+'Inputs'!$H$126/100*'Inputs'!$H$128/100+'Inputs'!$H$127/100*'Inputs'!$H$120/100*M78))-IF('Needs years'!$C$177=1,'Inputs'!$H$123/100,0))</f>
      </c>
      <c r="N79">
        <f>('Inputs'!$H$122/100*(1-('Inputs'!$H$125/100*N78+'Inputs'!$H$126/100*'Inputs'!$H$128/100+'Inputs'!$H$127/100*'Inputs'!$H$120/100*N78))-IF('Needs years'!$C$177=1,'Inputs'!$H$123/100,0))</f>
      </c>
      <c r="O79">
        <f>('Inputs'!$H$122/100*(1-('Inputs'!$H$125/100*O78+'Inputs'!$H$126/100*'Inputs'!$H$128/100+'Inputs'!$H$127/100*'Inputs'!$H$120/100*O78))-IF('Needs years'!$C$177=1,'Inputs'!$H$123/100,0))</f>
      </c>
      <c r="P79">
        <f>('Inputs'!$H$122/100*(1-('Inputs'!$H$125/100*P78+'Inputs'!$H$126/100*'Inputs'!$H$128/100+'Inputs'!$H$127/100*'Inputs'!$H$120/100*P78))-IF('Needs years'!$C$177=1,'Inputs'!$H$123/100,0))</f>
      </c>
      <c r="Q79">
        <f>('Inputs'!$H$122/100*(1-('Inputs'!$H$125/100*Q78+'Inputs'!$H$126/100*'Inputs'!$H$128/100+'Inputs'!$H$127/100*'Inputs'!$H$120/100*Q78))-IF('Needs years'!$C$177=1,'Inputs'!$H$123/100,0))</f>
      </c>
      <c r="R79">
        <f>('Inputs'!$H$122/100*(1-('Inputs'!$H$125/100*R78+'Inputs'!$H$126/100*'Inputs'!$H$128/100+'Inputs'!$H$127/100*'Inputs'!$H$120/100*R78))-IF('Needs years'!$C$177=1,'Inputs'!$H$123/100,0))</f>
      </c>
      <c r="S79">
        <f>('Inputs'!$H$122/100*(1-('Inputs'!$H$125/100*S78+'Inputs'!$H$126/100*'Inputs'!$H$128/100+'Inputs'!$H$127/100*'Inputs'!$H$120/100*S78))-IF('Needs years'!$C$177=1,'Inputs'!$H$123/100,0))</f>
      </c>
      <c r="T79">
        <f>('Inputs'!$H$122/100*(1-('Inputs'!$H$125/100*T78+'Inputs'!$H$126/100*'Inputs'!$H$128/100+'Inputs'!$H$127/100*'Inputs'!$H$120/100*T78))-IF('Needs years'!$C$177=1,'Inputs'!$H$123/100,0))</f>
      </c>
    </row>
    <row r="80" spans="2:20" x14ac:dyDescent="0.25">
      <c r="B80" t="s">
        <v>397</v>
      </c>
      <c r="C80">
        <f>IF('Inputs'!$B$103="",0,IF('Inputs'!$U$103=1,0,ROUND(C86+'Inputs'!$O$103*('Inputs'!$U$100*C50+'Inputs'!$U$101*C62+'Inputs'!$U$102*C74+'Inputs'!$U$103*C86+'Inputs'!$U$104*C98+'Inputs'!$U$105*C110),2)))</f>
      </c>
      <c r="E80">
        <f>IF('Inputs'!$B$103="",0,IF('Inputs'!$U$103=1,0,ROUND(E86+'Inputs'!$O$103*('Inputs'!$U$100*E50+'Inputs'!$U$101*E62+'Inputs'!$U$102*E74+'Inputs'!$U$103*E86+'Inputs'!$U$104*E98+'Inputs'!$U$105*E110),2)))</f>
      </c>
      <c r="F80">
        <f>IF('Inputs'!$B$103="",0,IF('Inputs'!$U$103=1,0,ROUND(F86+'Inputs'!$O$103*('Inputs'!$U$100*F50+'Inputs'!$U$101*F62+'Inputs'!$U$102*F74+'Inputs'!$U$103*F86+'Inputs'!$U$104*F98+'Inputs'!$U$105*F110),2)))</f>
      </c>
      <c r="G80">
        <f>IF('Inputs'!$B$103="",0,IF('Inputs'!$U$103=1,0,ROUND(G86+'Inputs'!$O$103*('Inputs'!$U$100*G50+'Inputs'!$U$101*G62+'Inputs'!$U$102*G74+'Inputs'!$U$103*G86+'Inputs'!$U$104*G98+'Inputs'!$U$105*G110),2)))</f>
      </c>
      <c r="H80">
        <f>IF('Inputs'!$B$103="",0,IF('Inputs'!$U$103=1,0,ROUND(H86+'Inputs'!$O$103*('Inputs'!$U$100*H50+'Inputs'!$U$101*H62+'Inputs'!$U$102*H74+'Inputs'!$U$103*H86+'Inputs'!$U$104*H98+'Inputs'!$U$105*H110),2)))</f>
      </c>
      <c r="I80">
        <f>IF('Inputs'!$B$103="",0,IF('Inputs'!$U$103=1,0,ROUND(I86+'Inputs'!$O$103*('Inputs'!$U$100*I50+'Inputs'!$U$101*I62+'Inputs'!$U$102*I74+'Inputs'!$U$103*I86+'Inputs'!$U$104*I98+'Inputs'!$U$105*I110),2)))</f>
      </c>
      <c r="J80">
        <f>IF('Inputs'!$B$103="",0,IF('Inputs'!$U$103=1,0,ROUND(J86+'Inputs'!$O$103*('Inputs'!$U$100*J50+'Inputs'!$U$101*J62+'Inputs'!$U$102*J74+'Inputs'!$U$103*J86+'Inputs'!$U$104*J98+'Inputs'!$U$105*J110),2)))</f>
      </c>
      <c r="K80">
        <f>IF('Inputs'!$B$103="",0,IF('Inputs'!$U$103=1,0,ROUND(K86+'Inputs'!$O$103*('Inputs'!$U$100*K50+'Inputs'!$U$101*K62+'Inputs'!$U$102*K74+'Inputs'!$U$103*K86+'Inputs'!$U$104*K98+'Inputs'!$U$105*K110),2)))</f>
      </c>
      <c r="L80">
        <f>IF('Inputs'!$B$103="",0,IF('Inputs'!$U$103=1,0,ROUND(L86+'Inputs'!$O$103*('Inputs'!$U$100*L50+'Inputs'!$U$101*L62+'Inputs'!$U$102*L74+'Inputs'!$U$103*L86+'Inputs'!$U$104*L98+'Inputs'!$U$105*L110),2)))</f>
      </c>
      <c r="M80">
        <f>IF('Inputs'!$B$103="",0,IF('Inputs'!$U$103=1,0,ROUND(M86+'Inputs'!$O$103*('Inputs'!$U$100*M50+'Inputs'!$U$101*M62+'Inputs'!$U$102*M74+'Inputs'!$U$103*M86+'Inputs'!$U$104*M98+'Inputs'!$U$105*M110),2)))</f>
      </c>
      <c r="N80">
        <f>IF('Inputs'!$B$103="",0,IF('Inputs'!$U$103=1,0,ROUND(N86+'Inputs'!$O$103*('Inputs'!$U$100*N50+'Inputs'!$U$101*N62+'Inputs'!$U$102*N74+'Inputs'!$U$103*N86+'Inputs'!$U$104*N98+'Inputs'!$U$105*N110),2)))</f>
      </c>
      <c r="O80">
        <f>IF('Inputs'!$B$103="",0,IF('Inputs'!$U$103=1,0,ROUND(O86+'Inputs'!$O$103*('Inputs'!$U$100*O50+'Inputs'!$U$101*O62+'Inputs'!$U$102*O74+'Inputs'!$U$103*O86+'Inputs'!$U$104*O98+'Inputs'!$U$105*O110),2)))</f>
      </c>
      <c r="P80">
        <f>IF('Inputs'!$B$103="",0,IF('Inputs'!$U$103=1,0,ROUND(P86+'Inputs'!$O$103*('Inputs'!$U$100*P50+'Inputs'!$U$101*P62+'Inputs'!$U$102*P74+'Inputs'!$U$103*P86+'Inputs'!$U$104*P98+'Inputs'!$U$105*P110),2)))</f>
      </c>
      <c r="Q80">
        <f>IF('Inputs'!$B$103="",0,IF('Inputs'!$U$103=1,0,ROUND(Q86+'Inputs'!$O$103*('Inputs'!$U$100*Q50+'Inputs'!$U$101*Q62+'Inputs'!$U$102*Q74+'Inputs'!$U$103*Q86+'Inputs'!$U$104*Q98+'Inputs'!$U$105*Q110),2)))</f>
      </c>
      <c r="R80">
        <f>IF('Inputs'!$B$103="",0,IF('Inputs'!$U$103=1,0,ROUND(R86+'Inputs'!$O$103*('Inputs'!$U$100*R50+'Inputs'!$U$101*R62+'Inputs'!$U$102*R74+'Inputs'!$U$103*R86+'Inputs'!$U$104*R98+'Inputs'!$U$105*R110),2)))</f>
      </c>
      <c r="S80">
        <f>IF('Inputs'!$B$103="",0,IF('Inputs'!$U$103=1,0,ROUND(S86+'Inputs'!$O$103*('Inputs'!$U$100*S50+'Inputs'!$U$101*S62+'Inputs'!$U$102*S74+'Inputs'!$U$103*S86+'Inputs'!$U$104*S98+'Inputs'!$U$105*S110),2)))</f>
      </c>
      <c r="T80">
        <f>IF('Inputs'!$B$103="",0,IF('Inputs'!$U$103=1,0,ROUND(T86+'Inputs'!$O$103*('Inputs'!$U$100*T50+'Inputs'!$U$101*T62+'Inputs'!$U$102*T74+'Inputs'!$U$103*T86+'Inputs'!$U$104*T98+'Inputs'!$U$105*T110),2)))</f>
      </c>
    </row>
    <row r="81" spans="2:20" x14ac:dyDescent="0.25">
      <c r="B81" t="s">
        <v>398</v>
      </c>
      <c r="C81">
        <f>IF('Inputs'!$B$103="",0,ROUND(C80-C76,2))</f>
      </c>
      <c r="E81">
        <f>IF('Inputs'!$B$103="",0,ROUND(E80-E76,2))</f>
      </c>
      <c r="F81">
        <f>IF('Inputs'!$B$103="",0,ROUND(F80-F76,2))</f>
      </c>
      <c r="G81">
        <f>IF('Inputs'!$B$103="",0,ROUND(G80-G76,2))</f>
      </c>
      <c r="H81">
        <f>IF('Inputs'!$B$103="",0,ROUND(H80-H76,2))</f>
      </c>
      <c r="I81">
        <f>IF('Inputs'!$B$103="",0,ROUND(I80-I76,2))</f>
      </c>
      <c r="J81">
        <f>IF('Inputs'!$B$103="",0,ROUND(J80-J76,2))</f>
      </c>
      <c r="K81">
        <f>IF('Inputs'!$B$103="",0,ROUND(K80-K76,2))</f>
      </c>
      <c r="L81">
        <f>IF('Inputs'!$B$103="",0,ROUND(L80-L76,2))</f>
      </c>
      <c r="M81">
        <f>IF('Inputs'!$B$103="",0,ROUND(M80-M76,2))</f>
      </c>
      <c r="N81">
        <f>IF('Inputs'!$B$103="",0,ROUND(N80-N76,2))</f>
      </c>
      <c r="O81">
        <f>IF('Inputs'!$B$103="",0,ROUND(O80-O76,2))</f>
      </c>
      <c r="P81">
        <f>IF('Inputs'!$B$103="",0,ROUND(P80-P76,2))</f>
      </c>
      <c r="Q81">
        <f>IF('Inputs'!$B$103="",0,ROUND(Q80-Q76,2))</f>
      </c>
      <c r="R81">
        <f>IF('Inputs'!$B$103="",0,ROUND(R80-R76,2))</f>
      </c>
      <c r="S81">
        <f>IF('Inputs'!$B$103="",0,ROUND(S80-S76,2))</f>
      </c>
      <c r="T81">
        <f>IF('Inputs'!$B$103="",0,ROUND(T80-T76,2))</f>
      </c>
    </row>
    <row r="82" spans="2:20" x14ac:dyDescent="0.25">
      <c r="B82" t="s">
        <v>399</v>
      </c>
      <c r="C82">
        <f>IF('Inputs'!$B$103="",0,'Needs years'!$C$184+IF('Inputs'!$U$103=1,('Inputs'!$O$100*C51+'Inputs'!$O$101*C63+'Inputs'!$O$102*C75+'Inputs'!$O$103*C87+'Inputs'!$O$104*C99+'Inputs'!$O$105*C111),C87)*'Needs years'!$J$172/12)</f>
      </c>
      <c r="E82">
        <f>IF('Inputs'!$B$103="",0,'Needs years'!$C$184+IF('Inputs'!$U$103=1,('Inputs'!$O$100*E51+'Inputs'!$O$101*E63+'Inputs'!$O$102*E75+'Inputs'!$O$103*E87+'Inputs'!$O$104*E99+'Inputs'!$O$105*E111),E87)*'Needs years'!$J$172/12)</f>
      </c>
      <c r="F82">
        <f>IF('Inputs'!$B$103="",0,'Needs years'!$C$184+IF('Inputs'!$U$103=1,('Inputs'!$O$100*F51+'Inputs'!$O$101*F63+'Inputs'!$O$102*F75+'Inputs'!$O$103*F87+'Inputs'!$O$104*F99+'Inputs'!$O$105*F111),F87)*'Needs years'!$J$172/12)</f>
      </c>
      <c r="G82">
        <f>IF('Inputs'!$B$103="",0,'Needs years'!$C$184+IF('Inputs'!$U$103=1,('Inputs'!$O$100*G51+'Inputs'!$O$101*G63+'Inputs'!$O$102*G75+'Inputs'!$O$103*G87+'Inputs'!$O$104*G99+'Inputs'!$O$105*G111),G87)*'Needs years'!$J$172/12)</f>
      </c>
      <c r="H82">
        <f>IF('Inputs'!$B$103="",0,'Needs years'!$C$184+IF('Inputs'!$U$103=1,('Inputs'!$O$100*H51+'Inputs'!$O$101*H63+'Inputs'!$O$102*H75+'Inputs'!$O$103*H87+'Inputs'!$O$104*H99+'Inputs'!$O$105*H111),H87)*'Needs years'!$J$172/12)</f>
      </c>
      <c r="I82">
        <f>IF('Inputs'!$B$103="",0,'Needs years'!$C$184+IF('Inputs'!$U$103=1,('Inputs'!$O$100*I51+'Inputs'!$O$101*I63+'Inputs'!$O$102*I75+'Inputs'!$O$103*I87+'Inputs'!$O$104*I99+'Inputs'!$O$105*I111),I87)*'Needs years'!$J$172/12)</f>
      </c>
      <c r="J82">
        <f>IF('Inputs'!$B$103="",0,'Needs years'!$C$184+IF('Inputs'!$U$103=1,('Inputs'!$O$100*J51+'Inputs'!$O$101*J63+'Inputs'!$O$102*J75+'Inputs'!$O$103*J87+'Inputs'!$O$104*J99+'Inputs'!$O$105*J111),J87)*'Needs years'!$J$172/12)</f>
      </c>
      <c r="K82">
        <f>IF('Inputs'!$B$103="",0,'Needs years'!$C$184+IF('Inputs'!$U$103=1,('Inputs'!$O$100*K51+'Inputs'!$O$101*K63+'Inputs'!$O$102*K75+'Inputs'!$O$103*K87+'Inputs'!$O$104*K99+'Inputs'!$O$105*K111),K87)*'Needs years'!$J$172/12)</f>
      </c>
      <c r="L82">
        <f>IF('Inputs'!$B$103="",0,'Needs years'!$C$184+IF('Inputs'!$U$103=1,('Inputs'!$O$100*L51+'Inputs'!$O$101*L63+'Inputs'!$O$102*L75+'Inputs'!$O$103*L87+'Inputs'!$O$104*L99+'Inputs'!$O$105*L111),L87)*'Needs years'!$J$172/12)</f>
      </c>
      <c r="M82">
        <f>IF('Inputs'!$B$103="",0,'Needs years'!$C$184+IF('Inputs'!$U$103=1,('Inputs'!$O$100*M51+'Inputs'!$O$101*M63+'Inputs'!$O$102*M75+'Inputs'!$O$103*M87+'Inputs'!$O$104*M99+'Inputs'!$O$105*M111),M87)*'Needs years'!$J$172/12)</f>
      </c>
      <c r="N82">
        <f>IF('Inputs'!$B$103="",0,'Needs years'!$C$184+IF('Inputs'!$U$103=1,('Inputs'!$O$100*N51+'Inputs'!$O$101*N63+'Inputs'!$O$102*N75+'Inputs'!$O$103*N87+'Inputs'!$O$104*N99+'Inputs'!$O$105*N111),N87)*'Needs years'!$J$172/12)</f>
      </c>
      <c r="O82">
        <f>IF('Inputs'!$B$103="",0,'Needs years'!$C$184+IF('Inputs'!$U$103=1,('Inputs'!$O$100*O51+'Inputs'!$O$101*O63+'Inputs'!$O$102*O75+'Inputs'!$O$103*O87+'Inputs'!$O$104*O99+'Inputs'!$O$105*O111),O87)*'Needs years'!$J$172/12)</f>
      </c>
      <c r="P82">
        <f>IF('Inputs'!$B$103="",0,'Needs years'!$C$184+IF('Inputs'!$U$103=1,('Inputs'!$O$100*P51+'Inputs'!$O$101*P63+'Inputs'!$O$102*P75+'Inputs'!$O$103*P87+'Inputs'!$O$104*P99+'Inputs'!$O$105*P111),P87)*'Needs years'!$J$172/12)</f>
      </c>
      <c r="Q82">
        <f>IF('Inputs'!$B$103="",0,'Needs years'!$C$184+IF('Inputs'!$U$103=1,('Inputs'!$O$100*Q51+'Inputs'!$O$101*Q63+'Inputs'!$O$102*Q75+'Inputs'!$O$103*Q87+'Inputs'!$O$104*Q99+'Inputs'!$O$105*Q111),Q87)*'Needs years'!$J$172/12)</f>
      </c>
      <c r="R82">
        <f>IF('Inputs'!$B$103="",0,'Needs years'!$C$184+IF('Inputs'!$U$103=1,('Inputs'!$O$100*R51+'Inputs'!$O$101*R63+'Inputs'!$O$102*R75+'Inputs'!$O$103*R87+'Inputs'!$O$104*R99+'Inputs'!$O$105*R111),R87)*'Needs years'!$J$172/12)</f>
      </c>
      <c r="S82">
        <f>IF('Inputs'!$B$103="",0,'Needs years'!$C$184+IF('Inputs'!$U$103=1,('Inputs'!$O$100*S51+'Inputs'!$O$101*S63+'Inputs'!$O$102*S75+'Inputs'!$O$103*S87+'Inputs'!$O$104*S99+'Inputs'!$O$105*S111),S87)*'Needs years'!$J$172/12)</f>
      </c>
      <c r="T82">
        <f>IF('Inputs'!$B$103="",0,'Needs years'!$C$184+IF('Inputs'!$U$103=1,('Inputs'!$O$100*T51+'Inputs'!$O$101*T63+'Inputs'!$O$102*T75+'Inputs'!$O$103*T87+'Inputs'!$O$104*T99+'Inputs'!$O$105*T111),T87)*'Needs years'!$J$172/12)</f>
      </c>
    </row>
    <row r="83" spans="2:20" x14ac:dyDescent="0.25">
      <c r="B83" t="s">
        <v>400</v>
      </c>
      <c r="C83">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83">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83">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83">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83">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83">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83">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83">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83">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83">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83">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83">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83">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83">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83">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83">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83">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84" spans="2:20" x14ac:dyDescent="0.25">
      <c r="B84" t="s">
        <v>401</v>
      </c>
      <c r="C84">
        <f>IF('Inputs'!$U$103=1,0,'Needs years'!$C$178+'Inputs'!$O$103*('Inputs'!$U$100*'Needs years'!$C$10+'Inputs'!$U$101*'Needs years'!$C$66+'Inputs'!$U$102*'Needs years'!$C$122+'Inputs'!$U$103*'Needs years'!$C$178+'Inputs'!$U$104*'Needs years'!$C$234+'Inputs'!$U$105*'Needs years'!$C$290))</f>
      </c>
      <c r="E84">
        <f>IF('Inputs'!$U$103=1,0,'Needs years'!$C$178+'Inputs'!$O$103*('Inputs'!$U$100*'Needs years'!$C$10+'Inputs'!$U$101*'Needs years'!$C$66+'Inputs'!$U$102*'Needs years'!$C$122+'Inputs'!$U$103*'Needs years'!$C$178+'Inputs'!$U$104*'Needs years'!$C$234+'Inputs'!$U$105*'Needs years'!$C$290))</f>
      </c>
      <c r="F84">
        <f>IF('Inputs'!$U$103=1,0,'Needs years'!$C$178+'Inputs'!$O$103*('Inputs'!$U$100*'Needs years'!$C$10+'Inputs'!$U$101*'Needs years'!$C$66+'Inputs'!$U$102*'Needs years'!$C$122+'Inputs'!$U$103*'Needs years'!$C$178+'Inputs'!$U$104*'Needs years'!$C$234+'Inputs'!$U$105*'Needs years'!$C$290))</f>
      </c>
      <c r="G84">
        <f>IF('Inputs'!$U$103=1,0,'Needs years'!$C$178+'Inputs'!$O$103*('Inputs'!$U$100*'Needs years'!$C$10+'Inputs'!$U$101*'Needs years'!$C$66+'Inputs'!$U$102*'Needs years'!$C$122+'Inputs'!$U$103*'Needs years'!$C$178+'Inputs'!$U$104*'Needs years'!$C$234+'Inputs'!$U$105*'Needs years'!$C$290))</f>
      </c>
      <c r="H84">
        <f>IF('Inputs'!$U$103=1,0,'Needs years'!$C$178+'Inputs'!$O$103*('Inputs'!$U$100*'Needs years'!$C$10+'Inputs'!$U$101*'Needs years'!$C$66+'Inputs'!$U$102*'Needs years'!$C$122+'Inputs'!$U$103*'Needs years'!$C$178+'Inputs'!$U$104*'Needs years'!$C$234+'Inputs'!$U$105*'Needs years'!$C$290))</f>
      </c>
      <c r="I84">
        <f>IF('Inputs'!$U$103=1,0,'Needs years'!$C$178+'Inputs'!$O$103*('Inputs'!$U$100*'Needs years'!$C$10+'Inputs'!$U$101*'Needs years'!$C$66+'Inputs'!$U$102*'Needs years'!$C$122+'Inputs'!$U$103*'Needs years'!$C$178+'Inputs'!$U$104*'Needs years'!$C$234+'Inputs'!$U$105*'Needs years'!$C$290))</f>
      </c>
      <c r="J84">
        <f>IF('Inputs'!$U$103=1,0,'Needs years'!$C$178+'Inputs'!$O$103*('Inputs'!$U$100*'Needs years'!$C$10+'Inputs'!$U$101*'Needs years'!$C$66+'Inputs'!$U$102*'Needs years'!$C$122+'Inputs'!$U$103*'Needs years'!$C$178+'Inputs'!$U$104*'Needs years'!$C$234+'Inputs'!$U$105*'Needs years'!$C$290))</f>
      </c>
      <c r="K84">
        <f>IF('Inputs'!$U$103=1,0,'Needs years'!$C$178+'Inputs'!$O$103*('Inputs'!$U$100*'Needs years'!$C$10+'Inputs'!$U$101*'Needs years'!$C$66+'Inputs'!$U$102*'Needs years'!$C$122+'Inputs'!$U$103*'Needs years'!$C$178+'Inputs'!$U$104*'Needs years'!$C$234+'Inputs'!$U$105*'Needs years'!$C$290))</f>
      </c>
      <c r="L84">
        <f>IF('Inputs'!$U$103=1,0,'Needs years'!$C$178+'Inputs'!$O$103*('Inputs'!$U$100*'Needs years'!$C$10+'Inputs'!$U$101*'Needs years'!$C$66+'Inputs'!$U$102*'Needs years'!$C$122+'Inputs'!$U$103*'Needs years'!$C$178+'Inputs'!$U$104*'Needs years'!$C$234+'Inputs'!$U$105*'Needs years'!$C$290))</f>
      </c>
      <c r="M84">
        <f>IF('Inputs'!$U$103=1,0,'Needs years'!$C$178+'Inputs'!$O$103*('Inputs'!$U$100*'Needs years'!$C$10+'Inputs'!$U$101*'Needs years'!$C$66+'Inputs'!$U$102*'Needs years'!$C$122+'Inputs'!$U$103*'Needs years'!$C$178+'Inputs'!$U$104*'Needs years'!$C$234+'Inputs'!$U$105*'Needs years'!$C$290))</f>
      </c>
      <c r="N84">
        <f>IF('Inputs'!$U$103=1,0,'Needs years'!$C$178+'Inputs'!$O$103*('Inputs'!$U$100*'Needs years'!$C$10+'Inputs'!$U$101*'Needs years'!$C$66+'Inputs'!$U$102*'Needs years'!$C$122+'Inputs'!$U$103*'Needs years'!$C$178+'Inputs'!$U$104*'Needs years'!$C$234+'Inputs'!$U$105*'Needs years'!$C$290))</f>
      </c>
      <c r="O84">
        <f>IF('Inputs'!$U$103=1,0,'Needs years'!$C$178+'Inputs'!$O$103*('Inputs'!$U$100*'Needs years'!$C$10+'Inputs'!$U$101*'Needs years'!$C$66+'Inputs'!$U$102*'Needs years'!$C$122+'Inputs'!$U$103*'Needs years'!$C$178+'Inputs'!$U$104*'Needs years'!$C$234+'Inputs'!$U$105*'Needs years'!$C$290))</f>
      </c>
      <c r="P84">
        <f>IF('Inputs'!$U$103=1,0,'Needs years'!$C$178+'Inputs'!$O$103*('Inputs'!$U$100*'Needs years'!$C$10+'Inputs'!$U$101*'Needs years'!$C$66+'Inputs'!$U$102*'Needs years'!$C$122+'Inputs'!$U$103*'Needs years'!$C$178+'Inputs'!$U$104*'Needs years'!$C$234+'Inputs'!$U$105*'Needs years'!$C$290))</f>
      </c>
      <c r="Q84">
        <f>IF('Inputs'!$U$103=1,0,'Needs years'!$C$178+'Inputs'!$O$103*('Inputs'!$U$100*'Needs years'!$C$10+'Inputs'!$U$101*'Needs years'!$C$66+'Inputs'!$U$102*'Needs years'!$C$122+'Inputs'!$U$103*'Needs years'!$C$178+'Inputs'!$U$104*'Needs years'!$C$234+'Inputs'!$U$105*'Needs years'!$C$290))</f>
      </c>
      <c r="R84">
        <f>IF('Inputs'!$U$103=1,0,'Needs years'!$C$178+'Inputs'!$O$103*('Inputs'!$U$100*'Needs years'!$C$10+'Inputs'!$U$101*'Needs years'!$C$66+'Inputs'!$U$102*'Needs years'!$C$122+'Inputs'!$U$103*'Needs years'!$C$178+'Inputs'!$U$104*'Needs years'!$C$234+'Inputs'!$U$105*'Needs years'!$C$290))</f>
      </c>
      <c r="S84">
        <f>IF('Inputs'!$U$103=1,0,'Needs years'!$C$178+'Inputs'!$O$103*('Inputs'!$U$100*'Needs years'!$C$10+'Inputs'!$U$101*'Needs years'!$C$66+'Inputs'!$U$102*'Needs years'!$C$122+'Inputs'!$U$103*'Needs years'!$C$178+'Inputs'!$U$104*'Needs years'!$C$234+'Inputs'!$U$105*'Needs years'!$C$290))</f>
      </c>
      <c r="T84">
        <f>IF('Inputs'!$U$103=1,0,'Needs years'!$C$178+'Inputs'!$O$103*('Inputs'!$U$100*'Needs years'!$C$10+'Inputs'!$U$101*'Needs years'!$C$66+'Inputs'!$U$102*'Needs years'!$C$122+'Inputs'!$U$103*'Needs years'!$C$178+'Inputs'!$U$104*'Needs years'!$C$234+'Inputs'!$U$105*'Needs years'!$C$290))</f>
      </c>
    </row>
    <row r="85" spans="2:20" x14ac:dyDescent="0.25">
      <c r="B85" t="s">
        <v>402</v>
      </c>
      <c r="C85">
        <f>IF('Inputs'!$U$103=1,('Inputs'!$O$100*C43+'Inputs'!$O$101*C55+'Inputs'!$O$102*C67+'Inputs'!$O$103*C79+'Inputs'!$O$104*C91+'Inputs'!$O$105*C103),C79)</f>
      </c>
      <c r="E85">
        <f>IF('Inputs'!$U$103=1,('Inputs'!$O$100*E43+'Inputs'!$O$101*E55+'Inputs'!$O$102*E67+'Inputs'!$O$103*E79+'Inputs'!$O$104*E91+'Inputs'!$O$105*E103),E79)</f>
      </c>
      <c r="F85">
        <f>IF('Inputs'!$U$103=1,('Inputs'!$O$100*F43+'Inputs'!$O$101*F55+'Inputs'!$O$102*F67+'Inputs'!$O$103*F79+'Inputs'!$O$104*F91+'Inputs'!$O$105*F103),F79)</f>
      </c>
      <c r="G85">
        <f>IF('Inputs'!$U$103=1,('Inputs'!$O$100*G43+'Inputs'!$O$101*G55+'Inputs'!$O$102*G67+'Inputs'!$O$103*G79+'Inputs'!$O$104*G91+'Inputs'!$O$105*G103),G79)</f>
      </c>
      <c r="H85">
        <f>IF('Inputs'!$U$103=1,('Inputs'!$O$100*H43+'Inputs'!$O$101*H55+'Inputs'!$O$102*H67+'Inputs'!$O$103*H79+'Inputs'!$O$104*H91+'Inputs'!$O$105*H103),H79)</f>
      </c>
      <c r="I85">
        <f>IF('Inputs'!$U$103=1,('Inputs'!$O$100*I43+'Inputs'!$O$101*I55+'Inputs'!$O$102*I67+'Inputs'!$O$103*I79+'Inputs'!$O$104*I91+'Inputs'!$O$105*I103),I79)</f>
      </c>
      <c r="J85">
        <f>IF('Inputs'!$U$103=1,('Inputs'!$O$100*J43+'Inputs'!$O$101*J55+'Inputs'!$O$102*J67+'Inputs'!$O$103*J79+'Inputs'!$O$104*J91+'Inputs'!$O$105*J103),J79)</f>
      </c>
      <c r="K85">
        <f>IF('Inputs'!$U$103=1,('Inputs'!$O$100*K43+'Inputs'!$O$101*K55+'Inputs'!$O$102*K67+'Inputs'!$O$103*K79+'Inputs'!$O$104*K91+'Inputs'!$O$105*K103),K79)</f>
      </c>
      <c r="L85">
        <f>IF('Inputs'!$U$103=1,('Inputs'!$O$100*L43+'Inputs'!$O$101*L55+'Inputs'!$O$102*L67+'Inputs'!$O$103*L79+'Inputs'!$O$104*L91+'Inputs'!$O$105*L103),L79)</f>
      </c>
      <c r="M85">
        <f>IF('Inputs'!$U$103=1,('Inputs'!$O$100*M43+'Inputs'!$O$101*M55+'Inputs'!$O$102*M67+'Inputs'!$O$103*M79+'Inputs'!$O$104*M91+'Inputs'!$O$105*M103),M79)</f>
      </c>
      <c r="N85">
        <f>IF('Inputs'!$U$103=1,('Inputs'!$O$100*N43+'Inputs'!$O$101*N55+'Inputs'!$O$102*N67+'Inputs'!$O$103*N79+'Inputs'!$O$104*N91+'Inputs'!$O$105*N103),N79)</f>
      </c>
      <c r="O85">
        <f>IF('Inputs'!$U$103=1,('Inputs'!$O$100*O43+'Inputs'!$O$101*O55+'Inputs'!$O$102*O67+'Inputs'!$O$103*O79+'Inputs'!$O$104*O91+'Inputs'!$O$105*O103),O79)</f>
      </c>
      <c r="P85">
        <f>IF('Inputs'!$U$103=1,('Inputs'!$O$100*P43+'Inputs'!$O$101*P55+'Inputs'!$O$102*P67+'Inputs'!$O$103*P79+'Inputs'!$O$104*P91+'Inputs'!$O$105*P103),P79)</f>
      </c>
      <c r="Q85">
        <f>IF('Inputs'!$U$103=1,('Inputs'!$O$100*Q43+'Inputs'!$O$101*Q55+'Inputs'!$O$102*Q67+'Inputs'!$O$103*Q79+'Inputs'!$O$104*Q91+'Inputs'!$O$105*Q103),Q79)</f>
      </c>
      <c r="R85">
        <f>IF('Inputs'!$U$103=1,('Inputs'!$O$100*R43+'Inputs'!$O$101*R55+'Inputs'!$O$102*R67+'Inputs'!$O$103*R79+'Inputs'!$O$104*R91+'Inputs'!$O$105*R103),R79)</f>
      </c>
      <c r="S85">
        <f>IF('Inputs'!$U$103=1,('Inputs'!$O$100*S43+'Inputs'!$O$101*S55+'Inputs'!$O$102*S67+'Inputs'!$O$103*S79+'Inputs'!$O$104*S91+'Inputs'!$O$105*S103),S79)</f>
      </c>
      <c r="T85">
        <f>IF('Inputs'!$U$103=1,('Inputs'!$O$100*T43+'Inputs'!$O$101*T55+'Inputs'!$O$102*T67+'Inputs'!$O$103*T79+'Inputs'!$O$104*T91+'Inputs'!$O$105*T103),T79)</f>
      </c>
    </row>
    <row r="86" spans="2:20" x14ac:dyDescent="0.25">
      <c r="B86" t="s">
        <v>403</v>
      </c>
      <c r="C86">
        <f>IF('Inputs'!$B$103="",0,ROUND('Needs years'!$C$178+ROUND(IF(C85=0,SUM('Needs years'!$J$172:$J$221),(1-(1+C85)^-1)/(1-(1+C85)^(-1/12))/12*SUMPRODUCT('Needs years'!$J$172:$J$221,(1+C85)^(-'Needs years'!$I$172:$I$221))),2),2))</f>
      </c>
      <c r="E86">
        <f>IF('Inputs'!$B$103="",0,ROUND('Needs years'!$C$178+ROUND(IF(E85=0,SUM('Needs years'!$J$172:$J$221),(1-(1+E85)^-1)/(1-(1+E85)^(-1/12))/12*SUMPRODUCT('Needs years'!$J$172:$J$221,(1+E85)^(-'Needs years'!$I$172:$I$221))),2),2))</f>
      </c>
      <c r="F86">
        <f>IF('Inputs'!$B$103="",0,ROUND('Needs years'!$C$178+ROUND(IF(F85=0,SUM('Needs years'!$J$172:$J$221),(1-(1+F85)^-1)/(1-(1+F85)^(-1/12))/12*SUMPRODUCT('Needs years'!$J$172:$J$221,(1+F85)^(-'Needs years'!$I$172:$I$221))),2),2))</f>
      </c>
      <c r="G86">
        <f>IF('Inputs'!$B$103="",0,ROUND('Needs years'!$C$178+ROUND(IF(G85=0,SUM('Needs years'!$J$172:$J$221),(1-(1+G85)^-1)/(1-(1+G85)^(-1/12))/12*SUMPRODUCT('Needs years'!$J$172:$J$221,(1+G85)^(-'Needs years'!$I$172:$I$221))),2),2))</f>
      </c>
      <c r="H86">
        <f>IF('Inputs'!$B$103="",0,ROUND('Needs years'!$C$178+ROUND(IF(H85=0,SUM('Needs years'!$J$172:$J$221),(1-(1+H85)^-1)/(1-(1+H85)^(-1/12))/12*SUMPRODUCT('Needs years'!$J$172:$J$221,(1+H85)^(-'Needs years'!$I$172:$I$221))),2),2))</f>
      </c>
      <c r="I86">
        <f>IF('Inputs'!$B$103="",0,ROUND('Needs years'!$C$178+ROUND(IF(I85=0,SUM('Needs years'!$J$172:$J$221),(1-(1+I85)^-1)/(1-(1+I85)^(-1/12))/12*SUMPRODUCT('Needs years'!$J$172:$J$221,(1+I85)^(-'Needs years'!$I$172:$I$221))),2),2))</f>
      </c>
      <c r="J86">
        <f>IF('Inputs'!$B$103="",0,ROUND('Needs years'!$C$178+ROUND(IF(J85=0,SUM('Needs years'!$J$172:$J$221),(1-(1+J85)^-1)/(1-(1+J85)^(-1/12))/12*SUMPRODUCT('Needs years'!$J$172:$J$221,(1+J85)^(-'Needs years'!$I$172:$I$221))),2),2))</f>
      </c>
      <c r="K86">
        <f>IF('Inputs'!$B$103="",0,ROUND('Needs years'!$C$178+ROUND(IF(K85=0,SUM('Needs years'!$J$172:$J$221),(1-(1+K85)^-1)/(1-(1+K85)^(-1/12))/12*SUMPRODUCT('Needs years'!$J$172:$J$221,(1+K85)^(-'Needs years'!$I$172:$I$221))),2),2))</f>
      </c>
      <c r="L86">
        <f>IF('Inputs'!$B$103="",0,ROUND('Needs years'!$C$178+ROUND(IF(L85=0,SUM('Needs years'!$J$172:$J$221),(1-(1+L85)^-1)/(1-(1+L85)^(-1/12))/12*SUMPRODUCT('Needs years'!$J$172:$J$221,(1+L85)^(-'Needs years'!$I$172:$I$221))),2),2))</f>
      </c>
      <c r="M86">
        <f>IF('Inputs'!$B$103="",0,ROUND('Needs years'!$C$178+ROUND(IF(M85=0,SUM('Needs years'!$J$172:$J$221),(1-(1+M85)^-1)/(1-(1+M85)^(-1/12))/12*SUMPRODUCT('Needs years'!$J$172:$J$221,(1+M85)^(-'Needs years'!$I$172:$I$221))),2),2))</f>
      </c>
      <c r="N86">
        <f>IF('Inputs'!$B$103="",0,ROUND('Needs years'!$C$178+ROUND(IF(N85=0,SUM('Needs years'!$J$172:$J$221),(1-(1+N85)^-1)/(1-(1+N85)^(-1/12))/12*SUMPRODUCT('Needs years'!$J$172:$J$221,(1+N85)^(-'Needs years'!$I$172:$I$221))),2),2))</f>
      </c>
      <c r="O86">
        <f>IF('Inputs'!$B$103="",0,ROUND('Needs years'!$C$178+ROUND(IF(O85=0,SUM('Needs years'!$J$172:$J$221),(1-(1+O85)^-1)/(1-(1+O85)^(-1/12))/12*SUMPRODUCT('Needs years'!$J$172:$J$221,(1+O85)^(-'Needs years'!$I$172:$I$221))),2),2))</f>
      </c>
      <c r="P86">
        <f>IF('Inputs'!$B$103="",0,ROUND('Needs years'!$C$178+ROUND(IF(P85=0,SUM('Needs years'!$J$172:$J$221),(1-(1+P85)^-1)/(1-(1+P85)^(-1/12))/12*SUMPRODUCT('Needs years'!$J$172:$J$221,(1+P85)^(-'Needs years'!$I$172:$I$221))),2),2))</f>
      </c>
      <c r="Q86">
        <f>IF('Inputs'!$B$103="",0,ROUND('Needs years'!$C$178+ROUND(IF(Q85=0,SUM('Needs years'!$J$172:$J$221),(1-(1+Q85)^-1)/(1-(1+Q85)^(-1/12))/12*SUMPRODUCT('Needs years'!$J$172:$J$221,(1+Q85)^(-'Needs years'!$I$172:$I$221))),2),2))</f>
      </c>
      <c r="R86">
        <f>IF('Inputs'!$B$103="",0,ROUND('Needs years'!$C$178+ROUND(IF(R85=0,SUM('Needs years'!$J$172:$J$221),(1-(1+R85)^-1)/(1-(1+R85)^(-1/12))/12*SUMPRODUCT('Needs years'!$J$172:$J$221,(1+R85)^(-'Needs years'!$I$172:$I$221))),2),2))</f>
      </c>
      <c r="S86">
        <f>IF('Inputs'!$B$103="",0,ROUND('Needs years'!$C$178+ROUND(IF(S85=0,SUM('Needs years'!$J$172:$J$221),(1-(1+S85)^-1)/(1-(1+S85)^(-1/12))/12*SUMPRODUCT('Needs years'!$J$172:$J$221,(1+S85)^(-'Needs years'!$I$172:$I$221))),2),2))</f>
      </c>
      <c r="T86">
        <f>IF('Inputs'!$B$103="",0,ROUND('Needs years'!$C$178+ROUND(IF(T85=0,SUM('Needs years'!$J$172:$J$221),(1-(1+T85)^-1)/(1-(1+T85)^(-1/12))/12*SUMPRODUCT('Needs years'!$J$172:$J$221,(1+T85)^(-'Needs years'!$I$172:$I$221))),2),2))</f>
      </c>
    </row>
    <row r="87" spans="2:20" x14ac:dyDescent="0.25">
      <c r="B87" t="s">
        <v>404</v>
      </c>
      <c r="C87">
        <f>IF('Inputs'!$U$103=1,0,IF((C80-C84)&gt;0,MAX(0,C76-C84)/(C80-C84),0))</f>
      </c>
      <c r="E87">
        <f>IF('Inputs'!$U$103=1,0,IF((E80-E84)&gt;0,MAX(0,E76-E84)/(E80-E84),0))</f>
      </c>
      <c r="F87">
        <f>IF('Inputs'!$U$103=1,0,IF((F80-F84)&gt;0,MAX(0,F76-F84)/(F80-F84),0))</f>
      </c>
      <c r="G87">
        <f>IF('Inputs'!$U$103=1,0,IF((G80-G84)&gt;0,MAX(0,G76-G84)/(G80-G84),0))</f>
      </c>
      <c r="H87">
        <f>IF('Inputs'!$U$103=1,0,IF((H80-H84)&gt;0,MAX(0,H76-H84)/(H80-H84),0))</f>
      </c>
      <c r="I87">
        <f>IF('Inputs'!$U$103=1,0,IF((I80-I84)&gt;0,MAX(0,I76-I84)/(I80-I84),0))</f>
      </c>
      <c r="J87">
        <f>IF('Inputs'!$U$103=1,0,IF((J80-J84)&gt;0,MAX(0,J76-J84)/(J80-J84),0))</f>
      </c>
      <c r="K87">
        <f>IF('Inputs'!$U$103=1,0,IF((K80-K84)&gt;0,MAX(0,K76-K84)/(K80-K84),0))</f>
      </c>
      <c r="L87">
        <f>IF('Inputs'!$U$103=1,0,IF((L80-L84)&gt;0,MAX(0,L76-L84)/(L80-L84),0))</f>
      </c>
      <c r="M87">
        <f>IF('Inputs'!$U$103=1,0,IF((M80-M84)&gt;0,MAX(0,M76-M84)/(M80-M84),0))</f>
      </c>
      <c r="N87">
        <f>IF('Inputs'!$U$103=1,0,IF((N80-N84)&gt;0,MAX(0,N76-N84)/(N80-N84),0))</f>
      </c>
      <c r="O87">
        <f>IF('Inputs'!$U$103=1,0,IF((O80-O84)&gt;0,MAX(0,O76-O84)/(O80-O84),0))</f>
      </c>
      <c r="P87">
        <f>IF('Inputs'!$U$103=1,0,IF((P80-P84)&gt;0,MAX(0,P76-P84)/(P80-P84),0))</f>
      </c>
      <c r="Q87">
        <f>IF('Inputs'!$U$103=1,0,IF((Q80-Q84)&gt;0,MAX(0,Q76-Q84)/(Q80-Q84),0))</f>
      </c>
      <c r="R87">
        <f>IF('Inputs'!$U$103=1,0,IF((R80-R84)&gt;0,MAX(0,R76-R84)/(R80-R84),0))</f>
      </c>
      <c r="S87">
        <f>IF('Inputs'!$U$103=1,0,IF((S80-S84)&gt;0,MAX(0,S76-S84)/(S80-S84),0))</f>
      </c>
      <c r="T87">
        <f>IF('Inputs'!$U$103=1,0,IF((T80-T84)&gt;0,MAX(0,T76-T84)/(T80-T84),0))</f>
      </c>
    </row>
    <row r="88" spans="2:20" x14ac:dyDescent="0.25">
      <c r="B88" t="s">
        <v>405</v>
      </c>
      <c r="C88">
        <f>IF('Inputs'!$B$104="",0,IF('Inputs'!$U$104=1,0,ROUND(C95+'Inputs'!$O$104*('Inputs'!$U$100*C47+'Inputs'!$U$101*C59+'Inputs'!$U$102*C71+'Inputs'!$U$103*C83+'Inputs'!$U$104*C95+'Inputs'!$U$105*C107),2)))</f>
      </c>
      <c r="E88">
        <f>IF('Inputs'!$B$104="",0,IF('Inputs'!$U$104=1,0,ROUND(E95+'Inputs'!$O$104*('Inputs'!$U$100*E47+'Inputs'!$U$101*E59+'Inputs'!$U$102*E71+'Inputs'!$U$103*E83+'Inputs'!$U$104*E95+'Inputs'!$U$105*E107),2)))</f>
      </c>
      <c r="F88">
        <f>IF('Inputs'!$B$104="",0,IF('Inputs'!$U$104=1,0,ROUND(F95+'Inputs'!$O$104*('Inputs'!$U$100*F47+'Inputs'!$U$101*F59+'Inputs'!$U$102*F71+'Inputs'!$U$103*F83+'Inputs'!$U$104*F95+'Inputs'!$U$105*F107),2)))</f>
      </c>
      <c r="G88">
        <f>IF('Inputs'!$B$104="",0,IF('Inputs'!$U$104=1,0,ROUND(G95+'Inputs'!$O$104*('Inputs'!$U$100*G47+'Inputs'!$U$101*G59+'Inputs'!$U$102*G71+'Inputs'!$U$103*G83+'Inputs'!$U$104*G95+'Inputs'!$U$105*G107),2)))</f>
      </c>
      <c r="H88">
        <f>IF('Inputs'!$B$104="",0,IF('Inputs'!$U$104=1,0,ROUND(H95+'Inputs'!$O$104*('Inputs'!$U$100*H47+'Inputs'!$U$101*H59+'Inputs'!$U$102*H71+'Inputs'!$U$103*H83+'Inputs'!$U$104*H95+'Inputs'!$U$105*H107),2)))</f>
      </c>
      <c r="I88">
        <f>IF('Inputs'!$B$104="",0,IF('Inputs'!$U$104=1,0,ROUND(I95+'Inputs'!$O$104*('Inputs'!$U$100*I47+'Inputs'!$U$101*I59+'Inputs'!$U$102*I71+'Inputs'!$U$103*I83+'Inputs'!$U$104*I95+'Inputs'!$U$105*I107),2)))</f>
      </c>
      <c r="J88">
        <f>IF('Inputs'!$B$104="",0,IF('Inputs'!$U$104=1,0,ROUND(J95+'Inputs'!$O$104*('Inputs'!$U$100*J47+'Inputs'!$U$101*J59+'Inputs'!$U$102*J71+'Inputs'!$U$103*J83+'Inputs'!$U$104*J95+'Inputs'!$U$105*J107),2)))</f>
      </c>
      <c r="K88">
        <f>IF('Inputs'!$B$104="",0,IF('Inputs'!$U$104=1,0,ROUND(K95+'Inputs'!$O$104*('Inputs'!$U$100*K47+'Inputs'!$U$101*K59+'Inputs'!$U$102*K71+'Inputs'!$U$103*K83+'Inputs'!$U$104*K95+'Inputs'!$U$105*K107),2)))</f>
      </c>
      <c r="L88">
        <f>IF('Inputs'!$B$104="",0,IF('Inputs'!$U$104=1,0,ROUND(L95+'Inputs'!$O$104*('Inputs'!$U$100*L47+'Inputs'!$U$101*L59+'Inputs'!$U$102*L71+'Inputs'!$U$103*L83+'Inputs'!$U$104*L95+'Inputs'!$U$105*L107),2)))</f>
      </c>
      <c r="M88">
        <f>IF('Inputs'!$B$104="",0,IF('Inputs'!$U$104=1,0,ROUND(M95+'Inputs'!$O$104*('Inputs'!$U$100*M47+'Inputs'!$U$101*M59+'Inputs'!$U$102*M71+'Inputs'!$U$103*M83+'Inputs'!$U$104*M95+'Inputs'!$U$105*M107),2)))</f>
      </c>
      <c r="N88">
        <f>IF('Inputs'!$B$104="",0,IF('Inputs'!$U$104=1,0,ROUND(N95+'Inputs'!$O$104*('Inputs'!$U$100*N47+'Inputs'!$U$101*N59+'Inputs'!$U$102*N71+'Inputs'!$U$103*N83+'Inputs'!$U$104*N95+'Inputs'!$U$105*N107),2)))</f>
      </c>
      <c r="O88">
        <f>IF('Inputs'!$B$104="",0,IF('Inputs'!$U$104=1,0,ROUND(O95+'Inputs'!$O$104*('Inputs'!$U$100*O47+'Inputs'!$U$101*O59+'Inputs'!$U$102*O71+'Inputs'!$U$103*O83+'Inputs'!$U$104*O95+'Inputs'!$U$105*O107),2)))</f>
      </c>
      <c r="P88">
        <f>IF('Inputs'!$B$104="",0,IF('Inputs'!$U$104=1,0,ROUND(P95+'Inputs'!$O$104*('Inputs'!$U$100*P47+'Inputs'!$U$101*P59+'Inputs'!$U$102*P71+'Inputs'!$U$103*P83+'Inputs'!$U$104*P95+'Inputs'!$U$105*P107),2)))</f>
      </c>
      <c r="Q88">
        <f>IF('Inputs'!$B$104="",0,IF('Inputs'!$U$104=1,0,ROUND(Q95+'Inputs'!$O$104*('Inputs'!$U$100*Q47+'Inputs'!$U$101*Q59+'Inputs'!$U$102*Q71+'Inputs'!$U$103*Q83+'Inputs'!$U$104*Q95+'Inputs'!$U$105*Q107),2)))</f>
      </c>
      <c r="R88">
        <f>IF('Inputs'!$B$104="",0,IF('Inputs'!$U$104=1,0,ROUND(R95+'Inputs'!$O$104*('Inputs'!$U$100*R47+'Inputs'!$U$101*R59+'Inputs'!$U$102*R71+'Inputs'!$U$103*R83+'Inputs'!$U$104*R95+'Inputs'!$U$105*R107),2)))</f>
      </c>
      <c r="S88">
        <f>IF('Inputs'!$B$104="",0,IF('Inputs'!$U$104=1,0,ROUND(S95+'Inputs'!$O$104*('Inputs'!$U$100*S47+'Inputs'!$U$101*S59+'Inputs'!$U$102*S71+'Inputs'!$U$103*S83+'Inputs'!$U$104*S95+'Inputs'!$U$105*S107),2)))</f>
      </c>
      <c r="T88">
        <f>IF('Inputs'!$B$104="",0,IF('Inputs'!$U$104=1,0,ROUND(T95+'Inputs'!$O$104*('Inputs'!$U$100*T47+'Inputs'!$U$101*T59+'Inputs'!$U$102*T71+'Inputs'!$U$103*T83+'Inputs'!$U$104*T95+'Inputs'!$U$105*T107),2)))</f>
      </c>
    </row>
    <row r="89" spans="2:20" x14ac:dyDescent="0.25">
      <c r="B89" t="s">
        <v>406</v>
      </c>
      <c r="C89">
        <f>'Needs years'!$C$229+MAX(0,C88-C96)*('Inputs'!$H$122/100*('Inputs'!$H$125/100+'Inputs'!$H$120/100*'Inputs'!$H$127/100))</f>
      </c>
      <c r="E89">
        <f>'Needs years'!$C$229+MAX(0,E88-E96)*('Inputs'!$H$122/100*('Inputs'!$H$125/100+'Inputs'!$H$120/100*'Inputs'!$H$127/100))</f>
      </c>
      <c r="F89">
        <f>'Needs years'!$C$229+MAX(0,F88-F96)*('Inputs'!$H$122/100*('Inputs'!$H$125/100+'Inputs'!$H$120/100*'Inputs'!$H$127/100))</f>
      </c>
      <c r="G89">
        <f>'Needs years'!$C$229+MAX(0,G88-G96)*('Inputs'!$H$122/100*('Inputs'!$H$125/100+'Inputs'!$H$120/100*'Inputs'!$H$127/100))</f>
      </c>
      <c r="H89">
        <f>'Needs years'!$C$229+MAX(0,H88-H96)*('Inputs'!$H$122/100*('Inputs'!$H$125/100+'Inputs'!$H$120/100*'Inputs'!$H$127/100))</f>
      </c>
      <c r="I89">
        <f>'Needs years'!$C$229+MAX(0,I88-I96)*('Inputs'!$H$122/100*('Inputs'!$H$125/100+'Inputs'!$H$120/100*'Inputs'!$H$127/100))</f>
      </c>
      <c r="J89">
        <f>'Needs years'!$C$229+MAX(0,J88-J96)*('Inputs'!$H$122/100*('Inputs'!$H$125/100+'Inputs'!$H$120/100*'Inputs'!$H$127/100))</f>
      </c>
      <c r="K89">
        <f>'Needs years'!$C$229+MAX(0,K88-K96)*('Inputs'!$H$122/100*('Inputs'!$H$125/100+'Inputs'!$H$120/100*'Inputs'!$H$127/100))</f>
      </c>
      <c r="L89">
        <f>'Needs years'!$C$229+MAX(0,L88-L96)*('Inputs'!$H$122/100*('Inputs'!$H$125/100+'Inputs'!$H$120/100*'Inputs'!$H$127/100))</f>
      </c>
      <c r="M89">
        <f>'Needs years'!$C$229+MAX(0,M88-M96)*('Inputs'!$H$122/100*('Inputs'!$H$125/100+'Inputs'!$H$120/100*'Inputs'!$H$127/100))</f>
      </c>
      <c r="N89">
        <f>'Needs years'!$C$229+MAX(0,N88-N96)*('Inputs'!$H$122/100*('Inputs'!$H$125/100+'Inputs'!$H$120/100*'Inputs'!$H$127/100))</f>
      </c>
      <c r="O89">
        <f>'Needs years'!$C$229+MAX(0,O88-O96)*('Inputs'!$H$122/100*('Inputs'!$H$125/100+'Inputs'!$H$120/100*'Inputs'!$H$127/100))</f>
      </c>
      <c r="P89">
        <f>'Needs years'!$C$229+MAX(0,P88-P96)*('Inputs'!$H$122/100*('Inputs'!$H$125/100+'Inputs'!$H$120/100*'Inputs'!$H$127/100))</f>
      </c>
      <c r="Q89">
        <f>'Needs years'!$C$229+MAX(0,Q88-Q96)*('Inputs'!$H$122/100*('Inputs'!$H$125/100+'Inputs'!$H$120/100*'Inputs'!$H$127/100))</f>
      </c>
      <c r="R89">
        <f>'Needs years'!$C$229+MAX(0,R88-R96)*('Inputs'!$H$122/100*('Inputs'!$H$125/100+'Inputs'!$H$120/100*'Inputs'!$H$127/100))</f>
      </c>
      <c r="S89">
        <f>'Needs years'!$C$229+MAX(0,S88-S96)*('Inputs'!$H$122/100*('Inputs'!$H$125/100+'Inputs'!$H$120/100*'Inputs'!$H$127/100))</f>
      </c>
      <c r="T89">
        <f>'Needs years'!$C$229+MAX(0,T88-T96)*('Inputs'!$H$122/100*('Inputs'!$H$125/100+'Inputs'!$H$120/100*'Inputs'!$H$127/100))</f>
      </c>
    </row>
    <row r="90" spans="2:20" x14ac:dyDescent="0.25">
      <c r="B90" t="s">
        <v>407</v>
      </c>
      <c r="C90">
        <f>IF(C89&lt;='Needs years'!$C$228,0,INDEX('Inputs'!$E$134:$E$140,MATCH(C89,'Inputs'!$C$134:$C$140,1)-IF(COUNTIF('Inputs'!$C$134:$C$140,C89)&gt;0,1,0))/100)</f>
      </c>
      <c r="E90">
        <f>IF(E89&lt;='Needs years'!$C$228,0,INDEX('Inputs'!$E$134:$E$140,MATCH(E89,'Inputs'!$C$134:$C$140,1)-IF(COUNTIF('Inputs'!$C$134:$C$140,E89)&gt;0,1,0))/100)</f>
      </c>
      <c r="F90">
        <f>IF(F89&lt;='Needs years'!$C$228,0,INDEX('Inputs'!$E$134:$E$140,MATCH(F89,'Inputs'!$C$134:$C$140,1)-IF(COUNTIF('Inputs'!$C$134:$C$140,F89)&gt;0,1,0))/100)</f>
      </c>
      <c r="G90">
        <f>IF(G89&lt;='Needs years'!$C$228,0,INDEX('Inputs'!$E$134:$E$140,MATCH(G89,'Inputs'!$C$134:$C$140,1)-IF(COUNTIF('Inputs'!$C$134:$C$140,G89)&gt;0,1,0))/100)</f>
      </c>
      <c r="H90">
        <f>IF(H89&lt;='Needs years'!$C$228,0,INDEX('Inputs'!$E$134:$E$140,MATCH(H89,'Inputs'!$C$134:$C$140,1)-IF(COUNTIF('Inputs'!$C$134:$C$140,H89)&gt;0,1,0))/100)</f>
      </c>
      <c r="I90">
        <f>IF(I89&lt;='Needs years'!$C$228,0,INDEX('Inputs'!$E$134:$E$140,MATCH(I89,'Inputs'!$C$134:$C$140,1)-IF(COUNTIF('Inputs'!$C$134:$C$140,I89)&gt;0,1,0))/100)</f>
      </c>
      <c r="J90">
        <f>IF(J89&lt;='Needs years'!$C$228,0,INDEX('Inputs'!$E$134:$E$140,MATCH(J89,'Inputs'!$C$134:$C$140,1)-IF(COUNTIF('Inputs'!$C$134:$C$140,J89)&gt;0,1,0))/100)</f>
      </c>
      <c r="K90">
        <f>IF(K89&lt;='Needs years'!$C$228,0,INDEX('Inputs'!$E$134:$E$140,MATCH(K89,'Inputs'!$C$134:$C$140,1)-IF(COUNTIF('Inputs'!$C$134:$C$140,K89)&gt;0,1,0))/100)</f>
      </c>
      <c r="L90">
        <f>IF(L89&lt;='Needs years'!$C$228,0,INDEX('Inputs'!$E$134:$E$140,MATCH(L89,'Inputs'!$C$134:$C$140,1)-IF(COUNTIF('Inputs'!$C$134:$C$140,L89)&gt;0,1,0))/100)</f>
      </c>
      <c r="M90">
        <f>IF(M89&lt;='Needs years'!$C$228,0,INDEX('Inputs'!$E$134:$E$140,MATCH(M89,'Inputs'!$C$134:$C$140,1)-IF(COUNTIF('Inputs'!$C$134:$C$140,M89)&gt;0,1,0))/100)</f>
      </c>
      <c r="N90">
        <f>IF(N89&lt;='Needs years'!$C$228,0,INDEX('Inputs'!$E$134:$E$140,MATCH(N89,'Inputs'!$C$134:$C$140,1)-IF(COUNTIF('Inputs'!$C$134:$C$140,N89)&gt;0,1,0))/100)</f>
      </c>
      <c r="O90">
        <f>IF(O89&lt;='Needs years'!$C$228,0,INDEX('Inputs'!$E$134:$E$140,MATCH(O89,'Inputs'!$C$134:$C$140,1)-IF(COUNTIF('Inputs'!$C$134:$C$140,O89)&gt;0,1,0))/100)</f>
      </c>
      <c r="P90">
        <f>IF(P89&lt;='Needs years'!$C$228,0,INDEX('Inputs'!$E$134:$E$140,MATCH(P89,'Inputs'!$C$134:$C$140,1)-IF(COUNTIF('Inputs'!$C$134:$C$140,P89)&gt;0,1,0))/100)</f>
      </c>
      <c r="Q90">
        <f>IF(Q89&lt;='Needs years'!$C$228,0,INDEX('Inputs'!$E$134:$E$140,MATCH(Q89,'Inputs'!$C$134:$C$140,1)-IF(COUNTIF('Inputs'!$C$134:$C$140,Q89)&gt;0,1,0))/100)</f>
      </c>
      <c r="R90">
        <f>IF(R89&lt;='Needs years'!$C$228,0,INDEX('Inputs'!$E$134:$E$140,MATCH(R89,'Inputs'!$C$134:$C$140,1)-IF(COUNTIF('Inputs'!$C$134:$C$140,R89)&gt;0,1,0))/100)</f>
      </c>
      <c r="S90">
        <f>IF(S89&lt;='Needs years'!$C$228,0,INDEX('Inputs'!$E$134:$E$140,MATCH(S89,'Inputs'!$C$134:$C$140,1)-IF(COUNTIF('Inputs'!$C$134:$C$140,S89)&gt;0,1,0))/100)</f>
      </c>
      <c r="T90">
        <f>IF(T89&lt;='Needs years'!$C$228,0,INDEX('Inputs'!$E$134:$E$140,MATCH(T89,'Inputs'!$C$134:$C$140,1)-IF(COUNTIF('Inputs'!$C$134:$C$140,T89)&gt;0,1,0))/100)</f>
      </c>
    </row>
    <row r="91" spans="2:20" x14ac:dyDescent="0.25">
      <c r="B91" t="s">
        <v>408</v>
      </c>
      <c r="C91">
        <f>('Inputs'!$H$122/100*(1-('Inputs'!$H$125/100*C90+'Inputs'!$H$126/100*'Inputs'!$H$128/100+'Inputs'!$H$127/100*'Inputs'!$H$120/100*C90))-IF('Needs years'!$C$233=1,'Inputs'!$H$123/100,0))</f>
      </c>
      <c r="E91">
        <f>('Inputs'!$H$122/100*(1-('Inputs'!$H$125/100*E90+'Inputs'!$H$126/100*'Inputs'!$H$128/100+'Inputs'!$H$127/100*'Inputs'!$H$120/100*E90))-IF('Needs years'!$C$233=1,'Inputs'!$H$123/100,0))</f>
      </c>
      <c r="F91">
        <f>('Inputs'!$H$122/100*(1-('Inputs'!$H$125/100*F90+'Inputs'!$H$126/100*'Inputs'!$H$128/100+'Inputs'!$H$127/100*'Inputs'!$H$120/100*F90))-IF('Needs years'!$C$233=1,'Inputs'!$H$123/100,0))</f>
      </c>
      <c r="G91">
        <f>('Inputs'!$H$122/100*(1-('Inputs'!$H$125/100*G90+'Inputs'!$H$126/100*'Inputs'!$H$128/100+'Inputs'!$H$127/100*'Inputs'!$H$120/100*G90))-IF('Needs years'!$C$233=1,'Inputs'!$H$123/100,0))</f>
      </c>
      <c r="H91">
        <f>('Inputs'!$H$122/100*(1-('Inputs'!$H$125/100*H90+'Inputs'!$H$126/100*'Inputs'!$H$128/100+'Inputs'!$H$127/100*'Inputs'!$H$120/100*H90))-IF('Needs years'!$C$233=1,'Inputs'!$H$123/100,0))</f>
      </c>
      <c r="I91">
        <f>('Inputs'!$H$122/100*(1-('Inputs'!$H$125/100*I90+'Inputs'!$H$126/100*'Inputs'!$H$128/100+'Inputs'!$H$127/100*'Inputs'!$H$120/100*I90))-IF('Needs years'!$C$233=1,'Inputs'!$H$123/100,0))</f>
      </c>
      <c r="J91">
        <f>('Inputs'!$H$122/100*(1-('Inputs'!$H$125/100*J90+'Inputs'!$H$126/100*'Inputs'!$H$128/100+'Inputs'!$H$127/100*'Inputs'!$H$120/100*J90))-IF('Needs years'!$C$233=1,'Inputs'!$H$123/100,0))</f>
      </c>
      <c r="K91">
        <f>('Inputs'!$H$122/100*(1-('Inputs'!$H$125/100*K90+'Inputs'!$H$126/100*'Inputs'!$H$128/100+'Inputs'!$H$127/100*'Inputs'!$H$120/100*K90))-IF('Needs years'!$C$233=1,'Inputs'!$H$123/100,0))</f>
      </c>
      <c r="L91">
        <f>('Inputs'!$H$122/100*(1-('Inputs'!$H$125/100*L90+'Inputs'!$H$126/100*'Inputs'!$H$128/100+'Inputs'!$H$127/100*'Inputs'!$H$120/100*L90))-IF('Needs years'!$C$233=1,'Inputs'!$H$123/100,0))</f>
      </c>
      <c r="M91">
        <f>('Inputs'!$H$122/100*(1-('Inputs'!$H$125/100*M90+'Inputs'!$H$126/100*'Inputs'!$H$128/100+'Inputs'!$H$127/100*'Inputs'!$H$120/100*M90))-IF('Needs years'!$C$233=1,'Inputs'!$H$123/100,0))</f>
      </c>
      <c r="N91">
        <f>('Inputs'!$H$122/100*(1-('Inputs'!$H$125/100*N90+'Inputs'!$H$126/100*'Inputs'!$H$128/100+'Inputs'!$H$127/100*'Inputs'!$H$120/100*N90))-IF('Needs years'!$C$233=1,'Inputs'!$H$123/100,0))</f>
      </c>
      <c r="O91">
        <f>('Inputs'!$H$122/100*(1-('Inputs'!$H$125/100*O90+'Inputs'!$H$126/100*'Inputs'!$H$128/100+'Inputs'!$H$127/100*'Inputs'!$H$120/100*O90))-IF('Needs years'!$C$233=1,'Inputs'!$H$123/100,0))</f>
      </c>
      <c r="P91">
        <f>('Inputs'!$H$122/100*(1-('Inputs'!$H$125/100*P90+'Inputs'!$H$126/100*'Inputs'!$H$128/100+'Inputs'!$H$127/100*'Inputs'!$H$120/100*P90))-IF('Needs years'!$C$233=1,'Inputs'!$H$123/100,0))</f>
      </c>
      <c r="Q91">
        <f>('Inputs'!$H$122/100*(1-('Inputs'!$H$125/100*Q90+'Inputs'!$H$126/100*'Inputs'!$H$128/100+'Inputs'!$H$127/100*'Inputs'!$H$120/100*Q90))-IF('Needs years'!$C$233=1,'Inputs'!$H$123/100,0))</f>
      </c>
      <c r="R91">
        <f>('Inputs'!$H$122/100*(1-('Inputs'!$H$125/100*R90+'Inputs'!$H$126/100*'Inputs'!$H$128/100+'Inputs'!$H$127/100*'Inputs'!$H$120/100*R90))-IF('Needs years'!$C$233=1,'Inputs'!$H$123/100,0))</f>
      </c>
      <c r="S91">
        <f>('Inputs'!$H$122/100*(1-('Inputs'!$H$125/100*S90+'Inputs'!$H$126/100*'Inputs'!$H$128/100+'Inputs'!$H$127/100*'Inputs'!$H$120/100*S90))-IF('Needs years'!$C$233=1,'Inputs'!$H$123/100,0))</f>
      </c>
      <c r="T91">
        <f>('Inputs'!$H$122/100*(1-('Inputs'!$H$125/100*T90+'Inputs'!$H$126/100*'Inputs'!$H$128/100+'Inputs'!$H$127/100*'Inputs'!$H$120/100*T90))-IF('Needs years'!$C$233=1,'Inputs'!$H$123/100,0))</f>
      </c>
    </row>
    <row r="92" spans="2:20" x14ac:dyDescent="0.25">
      <c r="B92" t="s">
        <v>409</v>
      </c>
      <c r="C92">
        <f>IF('Inputs'!$B$104="",0,IF('Inputs'!$U$104=1,0,ROUND(C98+'Inputs'!$O$104*('Inputs'!$U$100*C50+'Inputs'!$U$101*C62+'Inputs'!$U$102*C74+'Inputs'!$U$103*C86+'Inputs'!$U$104*C98+'Inputs'!$U$105*C110),2)))</f>
      </c>
      <c r="E92">
        <f>IF('Inputs'!$B$104="",0,IF('Inputs'!$U$104=1,0,ROUND(E98+'Inputs'!$O$104*('Inputs'!$U$100*E50+'Inputs'!$U$101*E62+'Inputs'!$U$102*E74+'Inputs'!$U$103*E86+'Inputs'!$U$104*E98+'Inputs'!$U$105*E110),2)))</f>
      </c>
      <c r="F92">
        <f>IF('Inputs'!$B$104="",0,IF('Inputs'!$U$104=1,0,ROUND(F98+'Inputs'!$O$104*('Inputs'!$U$100*F50+'Inputs'!$U$101*F62+'Inputs'!$U$102*F74+'Inputs'!$U$103*F86+'Inputs'!$U$104*F98+'Inputs'!$U$105*F110),2)))</f>
      </c>
      <c r="G92">
        <f>IF('Inputs'!$B$104="",0,IF('Inputs'!$U$104=1,0,ROUND(G98+'Inputs'!$O$104*('Inputs'!$U$100*G50+'Inputs'!$U$101*G62+'Inputs'!$U$102*G74+'Inputs'!$U$103*G86+'Inputs'!$U$104*G98+'Inputs'!$U$105*G110),2)))</f>
      </c>
      <c r="H92">
        <f>IF('Inputs'!$B$104="",0,IF('Inputs'!$U$104=1,0,ROUND(H98+'Inputs'!$O$104*('Inputs'!$U$100*H50+'Inputs'!$U$101*H62+'Inputs'!$U$102*H74+'Inputs'!$U$103*H86+'Inputs'!$U$104*H98+'Inputs'!$U$105*H110),2)))</f>
      </c>
      <c r="I92">
        <f>IF('Inputs'!$B$104="",0,IF('Inputs'!$U$104=1,0,ROUND(I98+'Inputs'!$O$104*('Inputs'!$U$100*I50+'Inputs'!$U$101*I62+'Inputs'!$U$102*I74+'Inputs'!$U$103*I86+'Inputs'!$U$104*I98+'Inputs'!$U$105*I110),2)))</f>
      </c>
      <c r="J92">
        <f>IF('Inputs'!$B$104="",0,IF('Inputs'!$U$104=1,0,ROUND(J98+'Inputs'!$O$104*('Inputs'!$U$100*J50+'Inputs'!$U$101*J62+'Inputs'!$U$102*J74+'Inputs'!$U$103*J86+'Inputs'!$U$104*J98+'Inputs'!$U$105*J110),2)))</f>
      </c>
      <c r="K92">
        <f>IF('Inputs'!$B$104="",0,IF('Inputs'!$U$104=1,0,ROUND(K98+'Inputs'!$O$104*('Inputs'!$U$100*K50+'Inputs'!$U$101*K62+'Inputs'!$U$102*K74+'Inputs'!$U$103*K86+'Inputs'!$U$104*K98+'Inputs'!$U$105*K110),2)))</f>
      </c>
      <c r="L92">
        <f>IF('Inputs'!$B$104="",0,IF('Inputs'!$U$104=1,0,ROUND(L98+'Inputs'!$O$104*('Inputs'!$U$100*L50+'Inputs'!$U$101*L62+'Inputs'!$U$102*L74+'Inputs'!$U$103*L86+'Inputs'!$U$104*L98+'Inputs'!$U$105*L110),2)))</f>
      </c>
      <c r="M92">
        <f>IF('Inputs'!$B$104="",0,IF('Inputs'!$U$104=1,0,ROUND(M98+'Inputs'!$O$104*('Inputs'!$U$100*M50+'Inputs'!$U$101*M62+'Inputs'!$U$102*M74+'Inputs'!$U$103*M86+'Inputs'!$U$104*M98+'Inputs'!$U$105*M110),2)))</f>
      </c>
      <c r="N92">
        <f>IF('Inputs'!$B$104="",0,IF('Inputs'!$U$104=1,0,ROUND(N98+'Inputs'!$O$104*('Inputs'!$U$100*N50+'Inputs'!$U$101*N62+'Inputs'!$U$102*N74+'Inputs'!$U$103*N86+'Inputs'!$U$104*N98+'Inputs'!$U$105*N110),2)))</f>
      </c>
      <c r="O92">
        <f>IF('Inputs'!$B$104="",0,IF('Inputs'!$U$104=1,0,ROUND(O98+'Inputs'!$O$104*('Inputs'!$U$100*O50+'Inputs'!$U$101*O62+'Inputs'!$U$102*O74+'Inputs'!$U$103*O86+'Inputs'!$U$104*O98+'Inputs'!$U$105*O110),2)))</f>
      </c>
      <c r="P92">
        <f>IF('Inputs'!$B$104="",0,IF('Inputs'!$U$104=1,0,ROUND(P98+'Inputs'!$O$104*('Inputs'!$U$100*P50+'Inputs'!$U$101*P62+'Inputs'!$U$102*P74+'Inputs'!$U$103*P86+'Inputs'!$U$104*P98+'Inputs'!$U$105*P110),2)))</f>
      </c>
      <c r="Q92">
        <f>IF('Inputs'!$B$104="",0,IF('Inputs'!$U$104=1,0,ROUND(Q98+'Inputs'!$O$104*('Inputs'!$U$100*Q50+'Inputs'!$U$101*Q62+'Inputs'!$U$102*Q74+'Inputs'!$U$103*Q86+'Inputs'!$U$104*Q98+'Inputs'!$U$105*Q110),2)))</f>
      </c>
      <c r="R92">
        <f>IF('Inputs'!$B$104="",0,IF('Inputs'!$U$104=1,0,ROUND(R98+'Inputs'!$O$104*('Inputs'!$U$100*R50+'Inputs'!$U$101*R62+'Inputs'!$U$102*R74+'Inputs'!$U$103*R86+'Inputs'!$U$104*R98+'Inputs'!$U$105*R110),2)))</f>
      </c>
      <c r="S92">
        <f>IF('Inputs'!$B$104="",0,IF('Inputs'!$U$104=1,0,ROUND(S98+'Inputs'!$O$104*('Inputs'!$U$100*S50+'Inputs'!$U$101*S62+'Inputs'!$U$102*S74+'Inputs'!$U$103*S86+'Inputs'!$U$104*S98+'Inputs'!$U$105*S110),2)))</f>
      </c>
      <c r="T92">
        <f>IF('Inputs'!$B$104="",0,IF('Inputs'!$U$104=1,0,ROUND(T98+'Inputs'!$O$104*('Inputs'!$U$100*T50+'Inputs'!$U$101*T62+'Inputs'!$U$102*T74+'Inputs'!$U$103*T86+'Inputs'!$U$104*T98+'Inputs'!$U$105*T110),2)))</f>
      </c>
    </row>
    <row r="93" spans="2:20" x14ac:dyDescent="0.25">
      <c r="B93" t="s">
        <v>410</v>
      </c>
      <c r="C93">
        <f>IF('Inputs'!$B$104="",0,ROUND(C92-C88,2))</f>
      </c>
      <c r="E93">
        <f>IF('Inputs'!$B$104="",0,ROUND(E92-E88,2))</f>
      </c>
      <c r="F93">
        <f>IF('Inputs'!$B$104="",0,ROUND(F92-F88,2))</f>
      </c>
      <c r="G93">
        <f>IF('Inputs'!$B$104="",0,ROUND(G92-G88,2))</f>
      </c>
      <c r="H93">
        <f>IF('Inputs'!$B$104="",0,ROUND(H92-H88,2))</f>
      </c>
      <c r="I93">
        <f>IF('Inputs'!$B$104="",0,ROUND(I92-I88,2))</f>
      </c>
      <c r="J93">
        <f>IF('Inputs'!$B$104="",0,ROUND(J92-J88,2))</f>
      </c>
      <c r="K93">
        <f>IF('Inputs'!$B$104="",0,ROUND(K92-K88,2))</f>
      </c>
      <c r="L93">
        <f>IF('Inputs'!$B$104="",0,ROUND(L92-L88,2))</f>
      </c>
      <c r="M93">
        <f>IF('Inputs'!$B$104="",0,ROUND(M92-M88,2))</f>
      </c>
      <c r="N93">
        <f>IF('Inputs'!$B$104="",0,ROUND(N92-N88,2))</f>
      </c>
      <c r="O93">
        <f>IF('Inputs'!$B$104="",0,ROUND(O92-O88,2))</f>
      </c>
      <c r="P93">
        <f>IF('Inputs'!$B$104="",0,ROUND(P92-P88,2))</f>
      </c>
      <c r="Q93">
        <f>IF('Inputs'!$B$104="",0,ROUND(Q92-Q88,2))</f>
      </c>
      <c r="R93">
        <f>IF('Inputs'!$B$104="",0,ROUND(R92-R88,2))</f>
      </c>
      <c r="S93">
        <f>IF('Inputs'!$B$104="",0,ROUND(S92-S88,2))</f>
      </c>
      <c r="T93">
        <f>IF('Inputs'!$B$104="",0,ROUND(T92-T88,2))</f>
      </c>
    </row>
    <row r="94" spans="2:20" x14ac:dyDescent="0.25">
      <c r="B94" t="s">
        <v>411</v>
      </c>
      <c r="C94">
        <f>IF('Inputs'!$B$104="",0,'Needs years'!$C$240+IF('Inputs'!$U$104=1,('Inputs'!$O$100*C51+'Inputs'!$O$101*C63+'Inputs'!$O$102*C75+'Inputs'!$O$103*C87+'Inputs'!$O$104*C99+'Inputs'!$O$105*C111),C99)*'Needs years'!$J$228/12)</f>
      </c>
      <c r="E94">
        <f>IF('Inputs'!$B$104="",0,'Needs years'!$C$240+IF('Inputs'!$U$104=1,('Inputs'!$O$100*E51+'Inputs'!$O$101*E63+'Inputs'!$O$102*E75+'Inputs'!$O$103*E87+'Inputs'!$O$104*E99+'Inputs'!$O$105*E111),E99)*'Needs years'!$J$228/12)</f>
      </c>
      <c r="F94">
        <f>IF('Inputs'!$B$104="",0,'Needs years'!$C$240+IF('Inputs'!$U$104=1,('Inputs'!$O$100*F51+'Inputs'!$O$101*F63+'Inputs'!$O$102*F75+'Inputs'!$O$103*F87+'Inputs'!$O$104*F99+'Inputs'!$O$105*F111),F99)*'Needs years'!$J$228/12)</f>
      </c>
      <c r="G94">
        <f>IF('Inputs'!$B$104="",0,'Needs years'!$C$240+IF('Inputs'!$U$104=1,('Inputs'!$O$100*G51+'Inputs'!$O$101*G63+'Inputs'!$O$102*G75+'Inputs'!$O$103*G87+'Inputs'!$O$104*G99+'Inputs'!$O$105*G111),G99)*'Needs years'!$J$228/12)</f>
      </c>
      <c r="H94">
        <f>IF('Inputs'!$B$104="",0,'Needs years'!$C$240+IF('Inputs'!$U$104=1,('Inputs'!$O$100*H51+'Inputs'!$O$101*H63+'Inputs'!$O$102*H75+'Inputs'!$O$103*H87+'Inputs'!$O$104*H99+'Inputs'!$O$105*H111),H99)*'Needs years'!$J$228/12)</f>
      </c>
      <c r="I94">
        <f>IF('Inputs'!$B$104="",0,'Needs years'!$C$240+IF('Inputs'!$U$104=1,('Inputs'!$O$100*I51+'Inputs'!$O$101*I63+'Inputs'!$O$102*I75+'Inputs'!$O$103*I87+'Inputs'!$O$104*I99+'Inputs'!$O$105*I111),I99)*'Needs years'!$J$228/12)</f>
      </c>
      <c r="J94">
        <f>IF('Inputs'!$B$104="",0,'Needs years'!$C$240+IF('Inputs'!$U$104=1,('Inputs'!$O$100*J51+'Inputs'!$O$101*J63+'Inputs'!$O$102*J75+'Inputs'!$O$103*J87+'Inputs'!$O$104*J99+'Inputs'!$O$105*J111),J99)*'Needs years'!$J$228/12)</f>
      </c>
      <c r="K94">
        <f>IF('Inputs'!$B$104="",0,'Needs years'!$C$240+IF('Inputs'!$U$104=1,('Inputs'!$O$100*K51+'Inputs'!$O$101*K63+'Inputs'!$O$102*K75+'Inputs'!$O$103*K87+'Inputs'!$O$104*K99+'Inputs'!$O$105*K111),K99)*'Needs years'!$J$228/12)</f>
      </c>
      <c r="L94">
        <f>IF('Inputs'!$B$104="",0,'Needs years'!$C$240+IF('Inputs'!$U$104=1,('Inputs'!$O$100*L51+'Inputs'!$O$101*L63+'Inputs'!$O$102*L75+'Inputs'!$O$103*L87+'Inputs'!$O$104*L99+'Inputs'!$O$105*L111),L99)*'Needs years'!$J$228/12)</f>
      </c>
      <c r="M94">
        <f>IF('Inputs'!$B$104="",0,'Needs years'!$C$240+IF('Inputs'!$U$104=1,('Inputs'!$O$100*M51+'Inputs'!$O$101*M63+'Inputs'!$O$102*M75+'Inputs'!$O$103*M87+'Inputs'!$O$104*M99+'Inputs'!$O$105*M111),M99)*'Needs years'!$J$228/12)</f>
      </c>
      <c r="N94">
        <f>IF('Inputs'!$B$104="",0,'Needs years'!$C$240+IF('Inputs'!$U$104=1,('Inputs'!$O$100*N51+'Inputs'!$O$101*N63+'Inputs'!$O$102*N75+'Inputs'!$O$103*N87+'Inputs'!$O$104*N99+'Inputs'!$O$105*N111),N99)*'Needs years'!$J$228/12)</f>
      </c>
      <c r="O94">
        <f>IF('Inputs'!$B$104="",0,'Needs years'!$C$240+IF('Inputs'!$U$104=1,('Inputs'!$O$100*O51+'Inputs'!$O$101*O63+'Inputs'!$O$102*O75+'Inputs'!$O$103*O87+'Inputs'!$O$104*O99+'Inputs'!$O$105*O111),O99)*'Needs years'!$J$228/12)</f>
      </c>
      <c r="P94">
        <f>IF('Inputs'!$B$104="",0,'Needs years'!$C$240+IF('Inputs'!$U$104=1,('Inputs'!$O$100*P51+'Inputs'!$O$101*P63+'Inputs'!$O$102*P75+'Inputs'!$O$103*P87+'Inputs'!$O$104*P99+'Inputs'!$O$105*P111),P99)*'Needs years'!$J$228/12)</f>
      </c>
      <c r="Q94">
        <f>IF('Inputs'!$B$104="",0,'Needs years'!$C$240+IF('Inputs'!$U$104=1,('Inputs'!$O$100*Q51+'Inputs'!$O$101*Q63+'Inputs'!$O$102*Q75+'Inputs'!$O$103*Q87+'Inputs'!$O$104*Q99+'Inputs'!$O$105*Q111),Q99)*'Needs years'!$J$228/12)</f>
      </c>
      <c r="R94">
        <f>IF('Inputs'!$B$104="",0,'Needs years'!$C$240+IF('Inputs'!$U$104=1,('Inputs'!$O$100*R51+'Inputs'!$O$101*R63+'Inputs'!$O$102*R75+'Inputs'!$O$103*R87+'Inputs'!$O$104*R99+'Inputs'!$O$105*R111),R99)*'Needs years'!$J$228/12)</f>
      </c>
      <c r="S94">
        <f>IF('Inputs'!$B$104="",0,'Needs years'!$C$240+IF('Inputs'!$U$104=1,('Inputs'!$O$100*S51+'Inputs'!$O$101*S63+'Inputs'!$O$102*S75+'Inputs'!$O$103*S87+'Inputs'!$O$104*S99+'Inputs'!$O$105*S111),S99)*'Needs years'!$J$228/12)</f>
      </c>
      <c r="T94">
        <f>IF('Inputs'!$B$104="",0,'Needs years'!$C$240+IF('Inputs'!$U$104=1,('Inputs'!$O$100*T51+'Inputs'!$O$101*T63+'Inputs'!$O$102*T75+'Inputs'!$O$103*T87+'Inputs'!$O$104*T99+'Inputs'!$O$105*T111),T99)*'Needs years'!$J$228/12)</f>
      </c>
    </row>
    <row r="95" spans="2:20" x14ac:dyDescent="0.25">
      <c r="B95" t="s">
        <v>412</v>
      </c>
      <c r="C95">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95">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95">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95">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95">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95">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95">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95">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95">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95">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95">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95">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95">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95">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95">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95">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95">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96" spans="2:20" x14ac:dyDescent="0.25">
      <c r="B96" t="s">
        <v>413</v>
      </c>
      <c r="C96">
        <f>IF('Inputs'!$U$104=1,0,'Needs years'!$C$234+'Inputs'!$O$104*('Inputs'!$U$100*'Needs years'!$C$10+'Inputs'!$U$101*'Needs years'!$C$66+'Inputs'!$U$102*'Needs years'!$C$122+'Inputs'!$U$103*'Needs years'!$C$178+'Inputs'!$U$104*'Needs years'!$C$234+'Inputs'!$U$105*'Needs years'!$C$290))</f>
      </c>
      <c r="E96">
        <f>IF('Inputs'!$U$104=1,0,'Needs years'!$C$234+'Inputs'!$O$104*('Inputs'!$U$100*'Needs years'!$C$10+'Inputs'!$U$101*'Needs years'!$C$66+'Inputs'!$U$102*'Needs years'!$C$122+'Inputs'!$U$103*'Needs years'!$C$178+'Inputs'!$U$104*'Needs years'!$C$234+'Inputs'!$U$105*'Needs years'!$C$290))</f>
      </c>
      <c r="F96">
        <f>IF('Inputs'!$U$104=1,0,'Needs years'!$C$234+'Inputs'!$O$104*('Inputs'!$U$100*'Needs years'!$C$10+'Inputs'!$U$101*'Needs years'!$C$66+'Inputs'!$U$102*'Needs years'!$C$122+'Inputs'!$U$103*'Needs years'!$C$178+'Inputs'!$U$104*'Needs years'!$C$234+'Inputs'!$U$105*'Needs years'!$C$290))</f>
      </c>
      <c r="G96">
        <f>IF('Inputs'!$U$104=1,0,'Needs years'!$C$234+'Inputs'!$O$104*('Inputs'!$U$100*'Needs years'!$C$10+'Inputs'!$U$101*'Needs years'!$C$66+'Inputs'!$U$102*'Needs years'!$C$122+'Inputs'!$U$103*'Needs years'!$C$178+'Inputs'!$U$104*'Needs years'!$C$234+'Inputs'!$U$105*'Needs years'!$C$290))</f>
      </c>
      <c r="H96">
        <f>IF('Inputs'!$U$104=1,0,'Needs years'!$C$234+'Inputs'!$O$104*('Inputs'!$U$100*'Needs years'!$C$10+'Inputs'!$U$101*'Needs years'!$C$66+'Inputs'!$U$102*'Needs years'!$C$122+'Inputs'!$U$103*'Needs years'!$C$178+'Inputs'!$U$104*'Needs years'!$C$234+'Inputs'!$U$105*'Needs years'!$C$290))</f>
      </c>
      <c r="I96">
        <f>IF('Inputs'!$U$104=1,0,'Needs years'!$C$234+'Inputs'!$O$104*('Inputs'!$U$100*'Needs years'!$C$10+'Inputs'!$U$101*'Needs years'!$C$66+'Inputs'!$U$102*'Needs years'!$C$122+'Inputs'!$U$103*'Needs years'!$C$178+'Inputs'!$U$104*'Needs years'!$C$234+'Inputs'!$U$105*'Needs years'!$C$290))</f>
      </c>
      <c r="J96">
        <f>IF('Inputs'!$U$104=1,0,'Needs years'!$C$234+'Inputs'!$O$104*('Inputs'!$U$100*'Needs years'!$C$10+'Inputs'!$U$101*'Needs years'!$C$66+'Inputs'!$U$102*'Needs years'!$C$122+'Inputs'!$U$103*'Needs years'!$C$178+'Inputs'!$U$104*'Needs years'!$C$234+'Inputs'!$U$105*'Needs years'!$C$290))</f>
      </c>
      <c r="K96">
        <f>IF('Inputs'!$U$104=1,0,'Needs years'!$C$234+'Inputs'!$O$104*('Inputs'!$U$100*'Needs years'!$C$10+'Inputs'!$U$101*'Needs years'!$C$66+'Inputs'!$U$102*'Needs years'!$C$122+'Inputs'!$U$103*'Needs years'!$C$178+'Inputs'!$U$104*'Needs years'!$C$234+'Inputs'!$U$105*'Needs years'!$C$290))</f>
      </c>
      <c r="L96">
        <f>IF('Inputs'!$U$104=1,0,'Needs years'!$C$234+'Inputs'!$O$104*('Inputs'!$U$100*'Needs years'!$C$10+'Inputs'!$U$101*'Needs years'!$C$66+'Inputs'!$U$102*'Needs years'!$C$122+'Inputs'!$U$103*'Needs years'!$C$178+'Inputs'!$U$104*'Needs years'!$C$234+'Inputs'!$U$105*'Needs years'!$C$290))</f>
      </c>
      <c r="M96">
        <f>IF('Inputs'!$U$104=1,0,'Needs years'!$C$234+'Inputs'!$O$104*('Inputs'!$U$100*'Needs years'!$C$10+'Inputs'!$U$101*'Needs years'!$C$66+'Inputs'!$U$102*'Needs years'!$C$122+'Inputs'!$U$103*'Needs years'!$C$178+'Inputs'!$U$104*'Needs years'!$C$234+'Inputs'!$U$105*'Needs years'!$C$290))</f>
      </c>
      <c r="N96">
        <f>IF('Inputs'!$U$104=1,0,'Needs years'!$C$234+'Inputs'!$O$104*('Inputs'!$U$100*'Needs years'!$C$10+'Inputs'!$U$101*'Needs years'!$C$66+'Inputs'!$U$102*'Needs years'!$C$122+'Inputs'!$U$103*'Needs years'!$C$178+'Inputs'!$U$104*'Needs years'!$C$234+'Inputs'!$U$105*'Needs years'!$C$290))</f>
      </c>
      <c r="O96">
        <f>IF('Inputs'!$U$104=1,0,'Needs years'!$C$234+'Inputs'!$O$104*('Inputs'!$U$100*'Needs years'!$C$10+'Inputs'!$U$101*'Needs years'!$C$66+'Inputs'!$U$102*'Needs years'!$C$122+'Inputs'!$U$103*'Needs years'!$C$178+'Inputs'!$U$104*'Needs years'!$C$234+'Inputs'!$U$105*'Needs years'!$C$290))</f>
      </c>
      <c r="P96">
        <f>IF('Inputs'!$U$104=1,0,'Needs years'!$C$234+'Inputs'!$O$104*('Inputs'!$U$100*'Needs years'!$C$10+'Inputs'!$U$101*'Needs years'!$C$66+'Inputs'!$U$102*'Needs years'!$C$122+'Inputs'!$U$103*'Needs years'!$C$178+'Inputs'!$U$104*'Needs years'!$C$234+'Inputs'!$U$105*'Needs years'!$C$290))</f>
      </c>
      <c r="Q96">
        <f>IF('Inputs'!$U$104=1,0,'Needs years'!$C$234+'Inputs'!$O$104*('Inputs'!$U$100*'Needs years'!$C$10+'Inputs'!$U$101*'Needs years'!$C$66+'Inputs'!$U$102*'Needs years'!$C$122+'Inputs'!$U$103*'Needs years'!$C$178+'Inputs'!$U$104*'Needs years'!$C$234+'Inputs'!$U$105*'Needs years'!$C$290))</f>
      </c>
      <c r="R96">
        <f>IF('Inputs'!$U$104=1,0,'Needs years'!$C$234+'Inputs'!$O$104*('Inputs'!$U$100*'Needs years'!$C$10+'Inputs'!$U$101*'Needs years'!$C$66+'Inputs'!$U$102*'Needs years'!$C$122+'Inputs'!$U$103*'Needs years'!$C$178+'Inputs'!$U$104*'Needs years'!$C$234+'Inputs'!$U$105*'Needs years'!$C$290))</f>
      </c>
      <c r="S96">
        <f>IF('Inputs'!$U$104=1,0,'Needs years'!$C$234+'Inputs'!$O$104*('Inputs'!$U$100*'Needs years'!$C$10+'Inputs'!$U$101*'Needs years'!$C$66+'Inputs'!$U$102*'Needs years'!$C$122+'Inputs'!$U$103*'Needs years'!$C$178+'Inputs'!$U$104*'Needs years'!$C$234+'Inputs'!$U$105*'Needs years'!$C$290))</f>
      </c>
      <c r="T96">
        <f>IF('Inputs'!$U$104=1,0,'Needs years'!$C$234+'Inputs'!$O$104*('Inputs'!$U$100*'Needs years'!$C$10+'Inputs'!$U$101*'Needs years'!$C$66+'Inputs'!$U$102*'Needs years'!$C$122+'Inputs'!$U$103*'Needs years'!$C$178+'Inputs'!$U$104*'Needs years'!$C$234+'Inputs'!$U$105*'Needs years'!$C$290))</f>
      </c>
    </row>
    <row r="97" spans="2:20" x14ac:dyDescent="0.25">
      <c r="B97" t="s">
        <v>414</v>
      </c>
      <c r="C97">
        <f>IF('Inputs'!$U$104=1,('Inputs'!$O$100*C43+'Inputs'!$O$101*C55+'Inputs'!$O$102*C67+'Inputs'!$O$103*C79+'Inputs'!$O$104*C91+'Inputs'!$O$105*C103),C91)</f>
      </c>
      <c r="E97">
        <f>IF('Inputs'!$U$104=1,('Inputs'!$O$100*E43+'Inputs'!$O$101*E55+'Inputs'!$O$102*E67+'Inputs'!$O$103*E79+'Inputs'!$O$104*E91+'Inputs'!$O$105*E103),E91)</f>
      </c>
      <c r="F97">
        <f>IF('Inputs'!$U$104=1,('Inputs'!$O$100*F43+'Inputs'!$O$101*F55+'Inputs'!$O$102*F67+'Inputs'!$O$103*F79+'Inputs'!$O$104*F91+'Inputs'!$O$105*F103),F91)</f>
      </c>
      <c r="G97">
        <f>IF('Inputs'!$U$104=1,('Inputs'!$O$100*G43+'Inputs'!$O$101*G55+'Inputs'!$O$102*G67+'Inputs'!$O$103*G79+'Inputs'!$O$104*G91+'Inputs'!$O$105*G103),G91)</f>
      </c>
      <c r="H97">
        <f>IF('Inputs'!$U$104=1,('Inputs'!$O$100*H43+'Inputs'!$O$101*H55+'Inputs'!$O$102*H67+'Inputs'!$O$103*H79+'Inputs'!$O$104*H91+'Inputs'!$O$105*H103),H91)</f>
      </c>
      <c r="I97">
        <f>IF('Inputs'!$U$104=1,('Inputs'!$O$100*I43+'Inputs'!$O$101*I55+'Inputs'!$O$102*I67+'Inputs'!$O$103*I79+'Inputs'!$O$104*I91+'Inputs'!$O$105*I103),I91)</f>
      </c>
      <c r="J97">
        <f>IF('Inputs'!$U$104=1,('Inputs'!$O$100*J43+'Inputs'!$O$101*J55+'Inputs'!$O$102*J67+'Inputs'!$O$103*J79+'Inputs'!$O$104*J91+'Inputs'!$O$105*J103),J91)</f>
      </c>
      <c r="K97">
        <f>IF('Inputs'!$U$104=1,('Inputs'!$O$100*K43+'Inputs'!$O$101*K55+'Inputs'!$O$102*K67+'Inputs'!$O$103*K79+'Inputs'!$O$104*K91+'Inputs'!$O$105*K103),K91)</f>
      </c>
      <c r="L97">
        <f>IF('Inputs'!$U$104=1,('Inputs'!$O$100*L43+'Inputs'!$O$101*L55+'Inputs'!$O$102*L67+'Inputs'!$O$103*L79+'Inputs'!$O$104*L91+'Inputs'!$O$105*L103),L91)</f>
      </c>
      <c r="M97">
        <f>IF('Inputs'!$U$104=1,('Inputs'!$O$100*M43+'Inputs'!$O$101*M55+'Inputs'!$O$102*M67+'Inputs'!$O$103*M79+'Inputs'!$O$104*M91+'Inputs'!$O$105*M103),M91)</f>
      </c>
      <c r="N97">
        <f>IF('Inputs'!$U$104=1,('Inputs'!$O$100*N43+'Inputs'!$O$101*N55+'Inputs'!$O$102*N67+'Inputs'!$O$103*N79+'Inputs'!$O$104*N91+'Inputs'!$O$105*N103),N91)</f>
      </c>
      <c r="O97">
        <f>IF('Inputs'!$U$104=1,('Inputs'!$O$100*O43+'Inputs'!$O$101*O55+'Inputs'!$O$102*O67+'Inputs'!$O$103*O79+'Inputs'!$O$104*O91+'Inputs'!$O$105*O103),O91)</f>
      </c>
      <c r="P97">
        <f>IF('Inputs'!$U$104=1,('Inputs'!$O$100*P43+'Inputs'!$O$101*P55+'Inputs'!$O$102*P67+'Inputs'!$O$103*P79+'Inputs'!$O$104*P91+'Inputs'!$O$105*P103),P91)</f>
      </c>
      <c r="Q97">
        <f>IF('Inputs'!$U$104=1,('Inputs'!$O$100*Q43+'Inputs'!$O$101*Q55+'Inputs'!$O$102*Q67+'Inputs'!$O$103*Q79+'Inputs'!$O$104*Q91+'Inputs'!$O$105*Q103),Q91)</f>
      </c>
      <c r="R97">
        <f>IF('Inputs'!$U$104=1,('Inputs'!$O$100*R43+'Inputs'!$O$101*R55+'Inputs'!$O$102*R67+'Inputs'!$O$103*R79+'Inputs'!$O$104*R91+'Inputs'!$O$105*R103),R91)</f>
      </c>
      <c r="S97">
        <f>IF('Inputs'!$U$104=1,('Inputs'!$O$100*S43+'Inputs'!$O$101*S55+'Inputs'!$O$102*S67+'Inputs'!$O$103*S79+'Inputs'!$O$104*S91+'Inputs'!$O$105*S103),S91)</f>
      </c>
      <c r="T97">
        <f>IF('Inputs'!$U$104=1,('Inputs'!$O$100*T43+'Inputs'!$O$101*T55+'Inputs'!$O$102*T67+'Inputs'!$O$103*T79+'Inputs'!$O$104*T91+'Inputs'!$O$105*T103),T91)</f>
      </c>
    </row>
    <row r="98" spans="2:20" x14ac:dyDescent="0.25">
      <c r="B98" t="s">
        <v>415</v>
      </c>
      <c r="C98">
        <f>IF('Inputs'!$B$104="",0,ROUND('Needs years'!$C$234+ROUND(IF(C97=0,SUM('Needs years'!$J$228:$J$277),(1-(1+C97)^-1)/(1-(1+C97)^(-1/12))/12*SUMPRODUCT('Needs years'!$J$228:$J$277,(1+C97)^(-'Needs years'!$I$228:$I$277))),2),2))</f>
      </c>
      <c r="E98">
        <f>IF('Inputs'!$B$104="",0,ROUND('Needs years'!$C$234+ROUND(IF(E97=0,SUM('Needs years'!$J$228:$J$277),(1-(1+E97)^-1)/(1-(1+E97)^(-1/12))/12*SUMPRODUCT('Needs years'!$J$228:$J$277,(1+E97)^(-'Needs years'!$I$228:$I$277))),2),2))</f>
      </c>
      <c r="F98">
        <f>IF('Inputs'!$B$104="",0,ROUND('Needs years'!$C$234+ROUND(IF(F97=0,SUM('Needs years'!$J$228:$J$277),(1-(1+F97)^-1)/(1-(1+F97)^(-1/12))/12*SUMPRODUCT('Needs years'!$J$228:$J$277,(1+F97)^(-'Needs years'!$I$228:$I$277))),2),2))</f>
      </c>
      <c r="G98">
        <f>IF('Inputs'!$B$104="",0,ROUND('Needs years'!$C$234+ROUND(IF(G97=0,SUM('Needs years'!$J$228:$J$277),(1-(1+G97)^-1)/(1-(1+G97)^(-1/12))/12*SUMPRODUCT('Needs years'!$J$228:$J$277,(1+G97)^(-'Needs years'!$I$228:$I$277))),2),2))</f>
      </c>
      <c r="H98">
        <f>IF('Inputs'!$B$104="",0,ROUND('Needs years'!$C$234+ROUND(IF(H97=0,SUM('Needs years'!$J$228:$J$277),(1-(1+H97)^-1)/(1-(1+H97)^(-1/12))/12*SUMPRODUCT('Needs years'!$J$228:$J$277,(1+H97)^(-'Needs years'!$I$228:$I$277))),2),2))</f>
      </c>
      <c r="I98">
        <f>IF('Inputs'!$B$104="",0,ROUND('Needs years'!$C$234+ROUND(IF(I97=0,SUM('Needs years'!$J$228:$J$277),(1-(1+I97)^-1)/(1-(1+I97)^(-1/12))/12*SUMPRODUCT('Needs years'!$J$228:$J$277,(1+I97)^(-'Needs years'!$I$228:$I$277))),2),2))</f>
      </c>
      <c r="J98">
        <f>IF('Inputs'!$B$104="",0,ROUND('Needs years'!$C$234+ROUND(IF(J97=0,SUM('Needs years'!$J$228:$J$277),(1-(1+J97)^-1)/(1-(1+J97)^(-1/12))/12*SUMPRODUCT('Needs years'!$J$228:$J$277,(1+J97)^(-'Needs years'!$I$228:$I$277))),2),2))</f>
      </c>
      <c r="K98">
        <f>IF('Inputs'!$B$104="",0,ROUND('Needs years'!$C$234+ROUND(IF(K97=0,SUM('Needs years'!$J$228:$J$277),(1-(1+K97)^-1)/(1-(1+K97)^(-1/12))/12*SUMPRODUCT('Needs years'!$J$228:$J$277,(1+K97)^(-'Needs years'!$I$228:$I$277))),2),2))</f>
      </c>
      <c r="L98">
        <f>IF('Inputs'!$B$104="",0,ROUND('Needs years'!$C$234+ROUND(IF(L97=0,SUM('Needs years'!$J$228:$J$277),(1-(1+L97)^-1)/(1-(1+L97)^(-1/12))/12*SUMPRODUCT('Needs years'!$J$228:$J$277,(1+L97)^(-'Needs years'!$I$228:$I$277))),2),2))</f>
      </c>
      <c r="M98">
        <f>IF('Inputs'!$B$104="",0,ROUND('Needs years'!$C$234+ROUND(IF(M97=0,SUM('Needs years'!$J$228:$J$277),(1-(1+M97)^-1)/(1-(1+M97)^(-1/12))/12*SUMPRODUCT('Needs years'!$J$228:$J$277,(1+M97)^(-'Needs years'!$I$228:$I$277))),2),2))</f>
      </c>
      <c r="N98">
        <f>IF('Inputs'!$B$104="",0,ROUND('Needs years'!$C$234+ROUND(IF(N97=0,SUM('Needs years'!$J$228:$J$277),(1-(1+N97)^-1)/(1-(1+N97)^(-1/12))/12*SUMPRODUCT('Needs years'!$J$228:$J$277,(1+N97)^(-'Needs years'!$I$228:$I$277))),2),2))</f>
      </c>
      <c r="O98">
        <f>IF('Inputs'!$B$104="",0,ROUND('Needs years'!$C$234+ROUND(IF(O97=0,SUM('Needs years'!$J$228:$J$277),(1-(1+O97)^-1)/(1-(1+O97)^(-1/12))/12*SUMPRODUCT('Needs years'!$J$228:$J$277,(1+O97)^(-'Needs years'!$I$228:$I$277))),2),2))</f>
      </c>
      <c r="P98">
        <f>IF('Inputs'!$B$104="",0,ROUND('Needs years'!$C$234+ROUND(IF(P97=0,SUM('Needs years'!$J$228:$J$277),(1-(1+P97)^-1)/(1-(1+P97)^(-1/12))/12*SUMPRODUCT('Needs years'!$J$228:$J$277,(1+P97)^(-'Needs years'!$I$228:$I$277))),2),2))</f>
      </c>
      <c r="Q98">
        <f>IF('Inputs'!$B$104="",0,ROUND('Needs years'!$C$234+ROUND(IF(Q97=0,SUM('Needs years'!$J$228:$J$277),(1-(1+Q97)^-1)/(1-(1+Q97)^(-1/12))/12*SUMPRODUCT('Needs years'!$J$228:$J$277,(1+Q97)^(-'Needs years'!$I$228:$I$277))),2),2))</f>
      </c>
      <c r="R98">
        <f>IF('Inputs'!$B$104="",0,ROUND('Needs years'!$C$234+ROUND(IF(R97=0,SUM('Needs years'!$J$228:$J$277),(1-(1+R97)^-1)/(1-(1+R97)^(-1/12))/12*SUMPRODUCT('Needs years'!$J$228:$J$277,(1+R97)^(-'Needs years'!$I$228:$I$277))),2),2))</f>
      </c>
      <c r="S98">
        <f>IF('Inputs'!$B$104="",0,ROUND('Needs years'!$C$234+ROUND(IF(S97=0,SUM('Needs years'!$J$228:$J$277),(1-(1+S97)^-1)/(1-(1+S97)^(-1/12))/12*SUMPRODUCT('Needs years'!$J$228:$J$277,(1+S97)^(-'Needs years'!$I$228:$I$277))),2),2))</f>
      </c>
      <c r="T98">
        <f>IF('Inputs'!$B$104="",0,ROUND('Needs years'!$C$234+ROUND(IF(T97=0,SUM('Needs years'!$J$228:$J$277),(1-(1+T97)^-1)/(1-(1+T97)^(-1/12))/12*SUMPRODUCT('Needs years'!$J$228:$J$277,(1+T97)^(-'Needs years'!$I$228:$I$277))),2),2))</f>
      </c>
    </row>
    <row r="99" spans="2:20" x14ac:dyDescent="0.25">
      <c r="B99" t="s">
        <v>416</v>
      </c>
      <c r="C99">
        <f>IF('Inputs'!$U$104=1,0,IF((C92-C96)&gt;0,MAX(0,C88-C96)/(C92-C96),0))</f>
      </c>
      <c r="E99">
        <f>IF('Inputs'!$U$104=1,0,IF((E92-E96)&gt;0,MAX(0,E88-E96)/(E92-E96),0))</f>
      </c>
      <c r="F99">
        <f>IF('Inputs'!$U$104=1,0,IF((F92-F96)&gt;0,MAX(0,F88-F96)/(F92-F96),0))</f>
      </c>
      <c r="G99">
        <f>IF('Inputs'!$U$104=1,0,IF((G92-G96)&gt;0,MAX(0,G88-G96)/(G92-G96),0))</f>
      </c>
      <c r="H99">
        <f>IF('Inputs'!$U$104=1,0,IF((H92-H96)&gt;0,MAX(0,H88-H96)/(H92-H96),0))</f>
      </c>
      <c r="I99">
        <f>IF('Inputs'!$U$104=1,0,IF((I92-I96)&gt;0,MAX(0,I88-I96)/(I92-I96),0))</f>
      </c>
      <c r="J99">
        <f>IF('Inputs'!$U$104=1,0,IF((J92-J96)&gt;0,MAX(0,J88-J96)/(J92-J96),0))</f>
      </c>
      <c r="K99">
        <f>IF('Inputs'!$U$104=1,0,IF((K92-K96)&gt;0,MAX(0,K88-K96)/(K92-K96),0))</f>
      </c>
      <c r="L99">
        <f>IF('Inputs'!$U$104=1,0,IF((L92-L96)&gt;0,MAX(0,L88-L96)/(L92-L96),0))</f>
      </c>
      <c r="M99">
        <f>IF('Inputs'!$U$104=1,0,IF((M92-M96)&gt;0,MAX(0,M88-M96)/(M92-M96),0))</f>
      </c>
      <c r="N99">
        <f>IF('Inputs'!$U$104=1,0,IF((N92-N96)&gt;0,MAX(0,N88-N96)/(N92-N96),0))</f>
      </c>
      <c r="O99">
        <f>IF('Inputs'!$U$104=1,0,IF((O92-O96)&gt;0,MAX(0,O88-O96)/(O92-O96),0))</f>
      </c>
      <c r="P99">
        <f>IF('Inputs'!$U$104=1,0,IF((P92-P96)&gt;0,MAX(0,P88-P96)/(P92-P96),0))</f>
      </c>
      <c r="Q99">
        <f>IF('Inputs'!$U$104=1,0,IF((Q92-Q96)&gt;0,MAX(0,Q88-Q96)/(Q92-Q96),0))</f>
      </c>
      <c r="R99">
        <f>IF('Inputs'!$U$104=1,0,IF((R92-R96)&gt;0,MAX(0,R88-R96)/(R92-R96),0))</f>
      </c>
      <c r="S99">
        <f>IF('Inputs'!$U$104=1,0,IF((S92-S96)&gt;0,MAX(0,S88-S96)/(S92-S96),0))</f>
      </c>
      <c r="T99">
        <f>IF('Inputs'!$U$104=1,0,IF((T92-T96)&gt;0,MAX(0,T88-T96)/(T92-T96),0))</f>
      </c>
    </row>
    <row r="100" spans="2:20" x14ac:dyDescent="0.25">
      <c r="B100" t="s">
        <v>417</v>
      </c>
      <c r="C100">
        <f>IF('Inputs'!$B$105="",0,IF('Inputs'!$U$105=1,0,ROUND(C107+'Inputs'!$O$105*('Inputs'!$U$100*C47+'Inputs'!$U$101*C59+'Inputs'!$U$102*C71+'Inputs'!$U$103*C83+'Inputs'!$U$104*C95+'Inputs'!$U$105*C107),2)))</f>
      </c>
      <c r="E100">
        <f>IF('Inputs'!$B$105="",0,IF('Inputs'!$U$105=1,0,ROUND(E107+'Inputs'!$O$105*('Inputs'!$U$100*E47+'Inputs'!$U$101*E59+'Inputs'!$U$102*E71+'Inputs'!$U$103*E83+'Inputs'!$U$104*E95+'Inputs'!$U$105*E107),2)))</f>
      </c>
      <c r="F100">
        <f>IF('Inputs'!$B$105="",0,IF('Inputs'!$U$105=1,0,ROUND(F107+'Inputs'!$O$105*('Inputs'!$U$100*F47+'Inputs'!$U$101*F59+'Inputs'!$U$102*F71+'Inputs'!$U$103*F83+'Inputs'!$U$104*F95+'Inputs'!$U$105*F107),2)))</f>
      </c>
      <c r="G100">
        <f>IF('Inputs'!$B$105="",0,IF('Inputs'!$U$105=1,0,ROUND(G107+'Inputs'!$O$105*('Inputs'!$U$100*G47+'Inputs'!$U$101*G59+'Inputs'!$U$102*G71+'Inputs'!$U$103*G83+'Inputs'!$U$104*G95+'Inputs'!$U$105*G107),2)))</f>
      </c>
      <c r="H100">
        <f>IF('Inputs'!$B$105="",0,IF('Inputs'!$U$105=1,0,ROUND(H107+'Inputs'!$O$105*('Inputs'!$U$100*H47+'Inputs'!$U$101*H59+'Inputs'!$U$102*H71+'Inputs'!$U$103*H83+'Inputs'!$U$104*H95+'Inputs'!$U$105*H107),2)))</f>
      </c>
      <c r="I100">
        <f>IF('Inputs'!$B$105="",0,IF('Inputs'!$U$105=1,0,ROUND(I107+'Inputs'!$O$105*('Inputs'!$U$100*I47+'Inputs'!$U$101*I59+'Inputs'!$U$102*I71+'Inputs'!$U$103*I83+'Inputs'!$U$104*I95+'Inputs'!$U$105*I107),2)))</f>
      </c>
      <c r="J100">
        <f>IF('Inputs'!$B$105="",0,IF('Inputs'!$U$105=1,0,ROUND(J107+'Inputs'!$O$105*('Inputs'!$U$100*J47+'Inputs'!$U$101*J59+'Inputs'!$U$102*J71+'Inputs'!$U$103*J83+'Inputs'!$U$104*J95+'Inputs'!$U$105*J107),2)))</f>
      </c>
      <c r="K100">
        <f>IF('Inputs'!$B$105="",0,IF('Inputs'!$U$105=1,0,ROUND(K107+'Inputs'!$O$105*('Inputs'!$U$100*K47+'Inputs'!$U$101*K59+'Inputs'!$U$102*K71+'Inputs'!$U$103*K83+'Inputs'!$U$104*K95+'Inputs'!$U$105*K107),2)))</f>
      </c>
      <c r="L100">
        <f>IF('Inputs'!$B$105="",0,IF('Inputs'!$U$105=1,0,ROUND(L107+'Inputs'!$O$105*('Inputs'!$U$100*L47+'Inputs'!$U$101*L59+'Inputs'!$U$102*L71+'Inputs'!$U$103*L83+'Inputs'!$U$104*L95+'Inputs'!$U$105*L107),2)))</f>
      </c>
      <c r="M100">
        <f>IF('Inputs'!$B$105="",0,IF('Inputs'!$U$105=1,0,ROUND(M107+'Inputs'!$O$105*('Inputs'!$U$100*M47+'Inputs'!$U$101*M59+'Inputs'!$U$102*M71+'Inputs'!$U$103*M83+'Inputs'!$U$104*M95+'Inputs'!$U$105*M107),2)))</f>
      </c>
      <c r="N100">
        <f>IF('Inputs'!$B$105="",0,IF('Inputs'!$U$105=1,0,ROUND(N107+'Inputs'!$O$105*('Inputs'!$U$100*N47+'Inputs'!$U$101*N59+'Inputs'!$U$102*N71+'Inputs'!$U$103*N83+'Inputs'!$U$104*N95+'Inputs'!$U$105*N107),2)))</f>
      </c>
      <c r="O100">
        <f>IF('Inputs'!$B$105="",0,IF('Inputs'!$U$105=1,0,ROUND(O107+'Inputs'!$O$105*('Inputs'!$U$100*O47+'Inputs'!$U$101*O59+'Inputs'!$U$102*O71+'Inputs'!$U$103*O83+'Inputs'!$U$104*O95+'Inputs'!$U$105*O107),2)))</f>
      </c>
      <c r="P100">
        <f>IF('Inputs'!$B$105="",0,IF('Inputs'!$U$105=1,0,ROUND(P107+'Inputs'!$O$105*('Inputs'!$U$100*P47+'Inputs'!$U$101*P59+'Inputs'!$U$102*P71+'Inputs'!$U$103*P83+'Inputs'!$U$104*P95+'Inputs'!$U$105*P107),2)))</f>
      </c>
      <c r="Q100">
        <f>IF('Inputs'!$B$105="",0,IF('Inputs'!$U$105=1,0,ROUND(Q107+'Inputs'!$O$105*('Inputs'!$U$100*Q47+'Inputs'!$U$101*Q59+'Inputs'!$U$102*Q71+'Inputs'!$U$103*Q83+'Inputs'!$U$104*Q95+'Inputs'!$U$105*Q107),2)))</f>
      </c>
      <c r="R100">
        <f>IF('Inputs'!$B$105="",0,IF('Inputs'!$U$105=1,0,ROUND(R107+'Inputs'!$O$105*('Inputs'!$U$100*R47+'Inputs'!$U$101*R59+'Inputs'!$U$102*R71+'Inputs'!$U$103*R83+'Inputs'!$U$104*R95+'Inputs'!$U$105*R107),2)))</f>
      </c>
      <c r="S100">
        <f>IF('Inputs'!$B$105="",0,IF('Inputs'!$U$105=1,0,ROUND(S107+'Inputs'!$O$105*('Inputs'!$U$100*S47+'Inputs'!$U$101*S59+'Inputs'!$U$102*S71+'Inputs'!$U$103*S83+'Inputs'!$U$104*S95+'Inputs'!$U$105*S107),2)))</f>
      </c>
      <c r="T100">
        <f>IF('Inputs'!$B$105="",0,IF('Inputs'!$U$105=1,0,ROUND(T107+'Inputs'!$O$105*('Inputs'!$U$100*T47+'Inputs'!$U$101*T59+'Inputs'!$U$102*T71+'Inputs'!$U$103*T83+'Inputs'!$U$104*T95+'Inputs'!$U$105*T107),2)))</f>
      </c>
    </row>
    <row r="101" spans="2:20" x14ac:dyDescent="0.25">
      <c r="B101" t="s">
        <v>418</v>
      </c>
      <c r="C101">
        <f>'Needs years'!$C$285+MAX(0,C100-C108)*('Inputs'!$H$122/100*('Inputs'!$H$125/100+'Inputs'!$H$120/100*'Inputs'!$H$127/100))</f>
      </c>
      <c r="E101">
        <f>'Needs years'!$C$285+MAX(0,E100-E108)*('Inputs'!$H$122/100*('Inputs'!$H$125/100+'Inputs'!$H$120/100*'Inputs'!$H$127/100))</f>
      </c>
      <c r="F101">
        <f>'Needs years'!$C$285+MAX(0,F100-F108)*('Inputs'!$H$122/100*('Inputs'!$H$125/100+'Inputs'!$H$120/100*'Inputs'!$H$127/100))</f>
      </c>
      <c r="G101">
        <f>'Needs years'!$C$285+MAX(0,G100-G108)*('Inputs'!$H$122/100*('Inputs'!$H$125/100+'Inputs'!$H$120/100*'Inputs'!$H$127/100))</f>
      </c>
      <c r="H101">
        <f>'Needs years'!$C$285+MAX(0,H100-H108)*('Inputs'!$H$122/100*('Inputs'!$H$125/100+'Inputs'!$H$120/100*'Inputs'!$H$127/100))</f>
      </c>
      <c r="I101">
        <f>'Needs years'!$C$285+MAX(0,I100-I108)*('Inputs'!$H$122/100*('Inputs'!$H$125/100+'Inputs'!$H$120/100*'Inputs'!$H$127/100))</f>
      </c>
      <c r="J101">
        <f>'Needs years'!$C$285+MAX(0,J100-J108)*('Inputs'!$H$122/100*('Inputs'!$H$125/100+'Inputs'!$H$120/100*'Inputs'!$H$127/100))</f>
      </c>
      <c r="K101">
        <f>'Needs years'!$C$285+MAX(0,K100-K108)*('Inputs'!$H$122/100*('Inputs'!$H$125/100+'Inputs'!$H$120/100*'Inputs'!$H$127/100))</f>
      </c>
      <c r="L101">
        <f>'Needs years'!$C$285+MAX(0,L100-L108)*('Inputs'!$H$122/100*('Inputs'!$H$125/100+'Inputs'!$H$120/100*'Inputs'!$H$127/100))</f>
      </c>
      <c r="M101">
        <f>'Needs years'!$C$285+MAX(0,M100-M108)*('Inputs'!$H$122/100*('Inputs'!$H$125/100+'Inputs'!$H$120/100*'Inputs'!$H$127/100))</f>
      </c>
      <c r="N101">
        <f>'Needs years'!$C$285+MAX(0,N100-N108)*('Inputs'!$H$122/100*('Inputs'!$H$125/100+'Inputs'!$H$120/100*'Inputs'!$H$127/100))</f>
      </c>
      <c r="O101">
        <f>'Needs years'!$C$285+MAX(0,O100-O108)*('Inputs'!$H$122/100*('Inputs'!$H$125/100+'Inputs'!$H$120/100*'Inputs'!$H$127/100))</f>
      </c>
      <c r="P101">
        <f>'Needs years'!$C$285+MAX(0,P100-P108)*('Inputs'!$H$122/100*('Inputs'!$H$125/100+'Inputs'!$H$120/100*'Inputs'!$H$127/100))</f>
      </c>
      <c r="Q101">
        <f>'Needs years'!$C$285+MAX(0,Q100-Q108)*('Inputs'!$H$122/100*('Inputs'!$H$125/100+'Inputs'!$H$120/100*'Inputs'!$H$127/100))</f>
      </c>
      <c r="R101">
        <f>'Needs years'!$C$285+MAX(0,R100-R108)*('Inputs'!$H$122/100*('Inputs'!$H$125/100+'Inputs'!$H$120/100*'Inputs'!$H$127/100))</f>
      </c>
      <c r="S101">
        <f>'Needs years'!$C$285+MAX(0,S100-S108)*('Inputs'!$H$122/100*('Inputs'!$H$125/100+'Inputs'!$H$120/100*'Inputs'!$H$127/100))</f>
      </c>
      <c r="T101">
        <f>'Needs years'!$C$285+MAX(0,T100-T108)*('Inputs'!$H$122/100*('Inputs'!$H$125/100+'Inputs'!$H$120/100*'Inputs'!$H$127/100))</f>
      </c>
    </row>
    <row r="102" spans="2:20" x14ac:dyDescent="0.25">
      <c r="B102" t="s">
        <v>419</v>
      </c>
      <c r="C102">
        <f>IF(C101&lt;='Needs years'!$C$284,0,INDEX('Inputs'!$E$134:$E$140,MATCH(C101,'Inputs'!$C$134:$C$140,1)-IF(COUNTIF('Inputs'!$C$134:$C$140,C101)&gt;0,1,0))/100)</f>
      </c>
      <c r="E102">
        <f>IF(E101&lt;='Needs years'!$C$284,0,INDEX('Inputs'!$E$134:$E$140,MATCH(E101,'Inputs'!$C$134:$C$140,1)-IF(COUNTIF('Inputs'!$C$134:$C$140,E101)&gt;0,1,0))/100)</f>
      </c>
      <c r="F102">
        <f>IF(F101&lt;='Needs years'!$C$284,0,INDEX('Inputs'!$E$134:$E$140,MATCH(F101,'Inputs'!$C$134:$C$140,1)-IF(COUNTIF('Inputs'!$C$134:$C$140,F101)&gt;0,1,0))/100)</f>
      </c>
      <c r="G102">
        <f>IF(G101&lt;='Needs years'!$C$284,0,INDEX('Inputs'!$E$134:$E$140,MATCH(G101,'Inputs'!$C$134:$C$140,1)-IF(COUNTIF('Inputs'!$C$134:$C$140,G101)&gt;0,1,0))/100)</f>
      </c>
      <c r="H102">
        <f>IF(H101&lt;='Needs years'!$C$284,0,INDEX('Inputs'!$E$134:$E$140,MATCH(H101,'Inputs'!$C$134:$C$140,1)-IF(COUNTIF('Inputs'!$C$134:$C$140,H101)&gt;0,1,0))/100)</f>
      </c>
      <c r="I102">
        <f>IF(I101&lt;='Needs years'!$C$284,0,INDEX('Inputs'!$E$134:$E$140,MATCH(I101,'Inputs'!$C$134:$C$140,1)-IF(COUNTIF('Inputs'!$C$134:$C$140,I101)&gt;0,1,0))/100)</f>
      </c>
      <c r="J102">
        <f>IF(J101&lt;='Needs years'!$C$284,0,INDEX('Inputs'!$E$134:$E$140,MATCH(J101,'Inputs'!$C$134:$C$140,1)-IF(COUNTIF('Inputs'!$C$134:$C$140,J101)&gt;0,1,0))/100)</f>
      </c>
      <c r="K102">
        <f>IF(K101&lt;='Needs years'!$C$284,0,INDEX('Inputs'!$E$134:$E$140,MATCH(K101,'Inputs'!$C$134:$C$140,1)-IF(COUNTIF('Inputs'!$C$134:$C$140,K101)&gt;0,1,0))/100)</f>
      </c>
      <c r="L102">
        <f>IF(L101&lt;='Needs years'!$C$284,0,INDEX('Inputs'!$E$134:$E$140,MATCH(L101,'Inputs'!$C$134:$C$140,1)-IF(COUNTIF('Inputs'!$C$134:$C$140,L101)&gt;0,1,0))/100)</f>
      </c>
      <c r="M102">
        <f>IF(M101&lt;='Needs years'!$C$284,0,INDEX('Inputs'!$E$134:$E$140,MATCH(M101,'Inputs'!$C$134:$C$140,1)-IF(COUNTIF('Inputs'!$C$134:$C$140,M101)&gt;0,1,0))/100)</f>
      </c>
      <c r="N102">
        <f>IF(N101&lt;='Needs years'!$C$284,0,INDEX('Inputs'!$E$134:$E$140,MATCH(N101,'Inputs'!$C$134:$C$140,1)-IF(COUNTIF('Inputs'!$C$134:$C$140,N101)&gt;0,1,0))/100)</f>
      </c>
      <c r="O102">
        <f>IF(O101&lt;='Needs years'!$C$284,0,INDEX('Inputs'!$E$134:$E$140,MATCH(O101,'Inputs'!$C$134:$C$140,1)-IF(COUNTIF('Inputs'!$C$134:$C$140,O101)&gt;0,1,0))/100)</f>
      </c>
      <c r="P102">
        <f>IF(P101&lt;='Needs years'!$C$284,0,INDEX('Inputs'!$E$134:$E$140,MATCH(P101,'Inputs'!$C$134:$C$140,1)-IF(COUNTIF('Inputs'!$C$134:$C$140,P101)&gt;0,1,0))/100)</f>
      </c>
      <c r="Q102">
        <f>IF(Q101&lt;='Needs years'!$C$284,0,INDEX('Inputs'!$E$134:$E$140,MATCH(Q101,'Inputs'!$C$134:$C$140,1)-IF(COUNTIF('Inputs'!$C$134:$C$140,Q101)&gt;0,1,0))/100)</f>
      </c>
      <c r="R102">
        <f>IF(R101&lt;='Needs years'!$C$284,0,INDEX('Inputs'!$E$134:$E$140,MATCH(R101,'Inputs'!$C$134:$C$140,1)-IF(COUNTIF('Inputs'!$C$134:$C$140,R101)&gt;0,1,0))/100)</f>
      </c>
      <c r="S102">
        <f>IF(S101&lt;='Needs years'!$C$284,0,INDEX('Inputs'!$E$134:$E$140,MATCH(S101,'Inputs'!$C$134:$C$140,1)-IF(COUNTIF('Inputs'!$C$134:$C$140,S101)&gt;0,1,0))/100)</f>
      </c>
      <c r="T102">
        <f>IF(T101&lt;='Needs years'!$C$284,0,INDEX('Inputs'!$E$134:$E$140,MATCH(T101,'Inputs'!$C$134:$C$140,1)-IF(COUNTIF('Inputs'!$C$134:$C$140,T101)&gt;0,1,0))/100)</f>
      </c>
    </row>
    <row r="103" spans="2:20" x14ac:dyDescent="0.25">
      <c r="B103" t="s">
        <v>420</v>
      </c>
      <c r="C103">
        <f>('Inputs'!$H$122/100*(1-('Inputs'!$H$125/100*C102+'Inputs'!$H$126/100*'Inputs'!$H$128/100+'Inputs'!$H$127/100*'Inputs'!$H$120/100*C102))-IF('Needs years'!$C$289=1,'Inputs'!$H$123/100,0))</f>
      </c>
      <c r="E103">
        <f>('Inputs'!$H$122/100*(1-('Inputs'!$H$125/100*E102+'Inputs'!$H$126/100*'Inputs'!$H$128/100+'Inputs'!$H$127/100*'Inputs'!$H$120/100*E102))-IF('Needs years'!$C$289=1,'Inputs'!$H$123/100,0))</f>
      </c>
      <c r="F103">
        <f>('Inputs'!$H$122/100*(1-('Inputs'!$H$125/100*F102+'Inputs'!$H$126/100*'Inputs'!$H$128/100+'Inputs'!$H$127/100*'Inputs'!$H$120/100*F102))-IF('Needs years'!$C$289=1,'Inputs'!$H$123/100,0))</f>
      </c>
      <c r="G103">
        <f>('Inputs'!$H$122/100*(1-('Inputs'!$H$125/100*G102+'Inputs'!$H$126/100*'Inputs'!$H$128/100+'Inputs'!$H$127/100*'Inputs'!$H$120/100*G102))-IF('Needs years'!$C$289=1,'Inputs'!$H$123/100,0))</f>
      </c>
      <c r="H103">
        <f>('Inputs'!$H$122/100*(1-('Inputs'!$H$125/100*H102+'Inputs'!$H$126/100*'Inputs'!$H$128/100+'Inputs'!$H$127/100*'Inputs'!$H$120/100*H102))-IF('Needs years'!$C$289=1,'Inputs'!$H$123/100,0))</f>
      </c>
      <c r="I103">
        <f>('Inputs'!$H$122/100*(1-('Inputs'!$H$125/100*I102+'Inputs'!$H$126/100*'Inputs'!$H$128/100+'Inputs'!$H$127/100*'Inputs'!$H$120/100*I102))-IF('Needs years'!$C$289=1,'Inputs'!$H$123/100,0))</f>
      </c>
      <c r="J103">
        <f>('Inputs'!$H$122/100*(1-('Inputs'!$H$125/100*J102+'Inputs'!$H$126/100*'Inputs'!$H$128/100+'Inputs'!$H$127/100*'Inputs'!$H$120/100*J102))-IF('Needs years'!$C$289=1,'Inputs'!$H$123/100,0))</f>
      </c>
      <c r="K103">
        <f>('Inputs'!$H$122/100*(1-('Inputs'!$H$125/100*K102+'Inputs'!$H$126/100*'Inputs'!$H$128/100+'Inputs'!$H$127/100*'Inputs'!$H$120/100*K102))-IF('Needs years'!$C$289=1,'Inputs'!$H$123/100,0))</f>
      </c>
      <c r="L103">
        <f>('Inputs'!$H$122/100*(1-('Inputs'!$H$125/100*L102+'Inputs'!$H$126/100*'Inputs'!$H$128/100+'Inputs'!$H$127/100*'Inputs'!$H$120/100*L102))-IF('Needs years'!$C$289=1,'Inputs'!$H$123/100,0))</f>
      </c>
      <c r="M103">
        <f>('Inputs'!$H$122/100*(1-('Inputs'!$H$125/100*M102+'Inputs'!$H$126/100*'Inputs'!$H$128/100+'Inputs'!$H$127/100*'Inputs'!$H$120/100*M102))-IF('Needs years'!$C$289=1,'Inputs'!$H$123/100,0))</f>
      </c>
      <c r="N103">
        <f>('Inputs'!$H$122/100*(1-('Inputs'!$H$125/100*N102+'Inputs'!$H$126/100*'Inputs'!$H$128/100+'Inputs'!$H$127/100*'Inputs'!$H$120/100*N102))-IF('Needs years'!$C$289=1,'Inputs'!$H$123/100,0))</f>
      </c>
      <c r="O103">
        <f>('Inputs'!$H$122/100*(1-('Inputs'!$H$125/100*O102+'Inputs'!$H$126/100*'Inputs'!$H$128/100+'Inputs'!$H$127/100*'Inputs'!$H$120/100*O102))-IF('Needs years'!$C$289=1,'Inputs'!$H$123/100,0))</f>
      </c>
      <c r="P103">
        <f>('Inputs'!$H$122/100*(1-('Inputs'!$H$125/100*P102+'Inputs'!$H$126/100*'Inputs'!$H$128/100+'Inputs'!$H$127/100*'Inputs'!$H$120/100*P102))-IF('Needs years'!$C$289=1,'Inputs'!$H$123/100,0))</f>
      </c>
      <c r="Q103">
        <f>('Inputs'!$H$122/100*(1-('Inputs'!$H$125/100*Q102+'Inputs'!$H$126/100*'Inputs'!$H$128/100+'Inputs'!$H$127/100*'Inputs'!$H$120/100*Q102))-IF('Needs years'!$C$289=1,'Inputs'!$H$123/100,0))</f>
      </c>
      <c r="R103">
        <f>('Inputs'!$H$122/100*(1-('Inputs'!$H$125/100*R102+'Inputs'!$H$126/100*'Inputs'!$H$128/100+'Inputs'!$H$127/100*'Inputs'!$H$120/100*R102))-IF('Needs years'!$C$289=1,'Inputs'!$H$123/100,0))</f>
      </c>
      <c r="S103">
        <f>('Inputs'!$H$122/100*(1-('Inputs'!$H$125/100*S102+'Inputs'!$H$126/100*'Inputs'!$H$128/100+'Inputs'!$H$127/100*'Inputs'!$H$120/100*S102))-IF('Needs years'!$C$289=1,'Inputs'!$H$123/100,0))</f>
      </c>
      <c r="T103">
        <f>('Inputs'!$H$122/100*(1-('Inputs'!$H$125/100*T102+'Inputs'!$H$126/100*'Inputs'!$H$128/100+'Inputs'!$H$127/100*'Inputs'!$H$120/100*T102))-IF('Needs years'!$C$289=1,'Inputs'!$H$123/100,0))</f>
      </c>
    </row>
    <row r="104" spans="2:20" x14ac:dyDescent="0.25">
      <c r="B104" t="s">
        <v>421</v>
      </c>
      <c r="C104">
        <f>IF('Inputs'!$B$105="",0,IF('Inputs'!$U$105=1,0,ROUND(C110+'Inputs'!$O$105*('Inputs'!$U$100*C50+'Inputs'!$U$101*C62+'Inputs'!$U$102*C74+'Inputs'!$U$103*C86+'Inputs'!$U$104*C98+'Inputs'!$U$105*C110),2)))</f>
      </c>
      <c r="E104">
        <f>IF('Inputs'!$B$105="",0,IF('Inputs'!$U$105=1,0,ROUND(E110+'Inputs'!$O$105*('Inputs'!$U$100*E50+'Inputs'!$U$101*E62+'Inputs'!$U$102*E74+'Inputs'!$U$103*E86+'Inputs'!$U$104*E98+'Inputs'!$U$105*E110),2)))</f>
      </c>
      <c r="F104">
        <f>IF('Inputs'!$B$105="",0,IF('Inputs'!$U$105=1,0,ROUND(F110+'Inputs'!$O$105*('Inputs'!$U$100*F50+'Inputs'!$U$101*F62+'Inputs'!$U$102*F74+'Inputs'!$U$103*F86+'Inputs'!$U$104*F98+'Inputs'!$U$105*F110),2)))</f>
      </c>
      <c r="G104">
        <f>IF('Inputs'!$B$105="",0,IF('Inputs'!$U$105=1,0,ROUND(G110+'Inputs'!$O$105*('Inputs'!$U$100*G50+'Inputs'!$U$101*G62+'Inputs'!$U$102*G74+'Inputs'!$U$103*G86+'Inputs'!$U$104*G98+'Inputs'!$U$105*G110),2)))</f>
      </c>
      <c r="H104">
        <f>IF('Inputs'!$B$105="",0,IF('Inputs'!$U$105=1,0,ROUND(H110+'Inputs'!$O$105*('Inputs'!$U$100*H50+'Inputs'!$U$101*H62+'Inputs'!$U$102*H74+'Inputs'!$U$103*H86+'Inputs'!$U$104*H98+'Inputs'!$U$105*H110),2)))</f>
      </c>
      <c r="I104">
        <f>IF('Inputs'!$B$105="",0,IF('Inputs'!$U$105=1,0,ROUND(I110+'Inputs'!$O$105*('Inputs'!$U$100*I50+'Inputs'!$U$101*I62+'Inputs'!$U$102*I74+'Inputs'!$U$103*I86+'Inputs'!$U$104*I98+'Inputs'!$U$105*I110),2)))</f>
      </c>
      <c r="J104">
        <f>IF('Inputs'!$B$105="",0,IF('Inputs'!$U$105=1,0,ROUND(J110+'Inputs'!$O$105*('Inputs'!$U$100*J50+'Inputs'!$U$101*J62+'Inputs'!$U$102*J74+'Inputs'!$U$103*J86+'Inputs'!$U$104*J98+'Inputs'!$U$105*J110),2)))</f>
      </c>
      <c r="K104">
        <f>IF('Inputs'!$B$105="",0,IF('Inputs'!$U$105=1,0,ROUND(K110+'Inputs'!$O$105*('Inputs'!$U$100*K50+'Inputs'!$U$101*K62+'Inputs'!$U$102*K74+'Inputs'!$U$103*K86+'Inputs'!$U$104*K98+'Inputs'!$U$105*K110),2)))</f>
      </c>
      <c r="L104">
        <f>IF('Inputs'!$B$105="",0,IF('Inputs'!$U$105=1,0,ROUND(L110+'Inputs'!$O$105*('Inputs'!$U$100*L50+'Inputs'!$U$101*L62+'Inputs'!$U$102*L74+'Inputs'!$U$103*L86+'Inputs'!$U$104*L98+'Inputs'!$U$105*L110),2)))</f>
      </c>
      <c r="M104">
        <f>IF('Inputs'!$B$105="",0,IF('Inputs'!$U$105=1,0,ROUND(M110+'Inputs'!$O$105*('Inputs'!$U$100*M50+'Inputs'!$U$101*M62+'Inputs'!$U$102*M74+'Inputs'!$U$103*M86+'Inputs'!$U$104*M98+'Inputs'!$U$105*M110),2)))</f>
      </c>
      <c r="N104">
        <f>IF('Inputs'!$B$105="",0,IF('Inputs'!$U$105=1,0,ROUND(N110+'Inputs'!$O$105*('Inputs'!$U$100*N50+'Inputs'!$U$101*N62+'Inputs'!$U$102*N74+'Inputs'!$U$103*N86+'Inputs'!$U$104*N98+'Inputs'!$U$105*N110),2)))</f>
      </c>
      <c r="O104">
        <f>IF('Inputs'!$B$105="",0,IF('Inputs'!$U$105=1,0,ROUND(O110+'Inputs'!$O$105*('Inputs'!$U$100*O50+'Inputs'!$U$101*O62+'Inputs'!$U$102*O74+'Inputs'!$U$103*O86+'Inputs'!$U$104*O98+'Inputs'!$U$105*O110),2)))</f>
      </c>
      <c r="P104">
        <f>IF('Inputs'!$B$105="",0,IF('Inputs'!$U$105=1,0,ROUND(P110+'Inputs'!$O$105*('Inputs'!$U$100*P50+'Inputs'!$U$101*P62+'Inputs'!$U$102*P74+'Inputs'!$U$103*P86+'Inputs'!$U$104*P98+'Inputs'!$U$105*P110),2)))</f>
      </c>
      <c r="Q104">
        <f>IF('Inputs'!$B$105="",0,IF('Inputs'!$U$105=1,0,ROUND(Q110+'Inputs'!$O$105*('Inputs'!$U$100*Q50+'Inputs'!$U$101*Q62+'Inputs'!$U$102*Q74+'Inputs'!$U$103*Q86+'Inputs'!$U$104*Q98+'Inputs'!$U$105*Q110),2)))</f>
      </c>
      <c r="R104">
        <f>IF('Inputs'!$B$105="",0,IF('Inputs'!$U$105=1,0,ROUND(R110+'Inputs'!$O$105*('Inputs'!$U$100*R50+'Inputs'!$U$101*R62+'Inputs'!$U$102*R74+'Inputs'!$U$103*R86+'Inputs'!$U$104*R98+'Inputs'!$U$105*R110),2)))</f>
      </c>
      <c r="S104">
        <f>IF('Inputs'!$B$105="",0,IF('Inputs'!$U$105=1,0,ROUND(S110+'Inputs'!$O$105*('Inputs'!$U$100*S50+'Inputs'!$U$101*S62+'Inputs'!$U$102*S74+'Inputs'!$U$103*S86+'Inputs'!$U$104*S98+'Inputs'!$U$105*S110),2)))</f>
      </c>
      <c r="T104">
        <f>IF('Inputs'!$B$105="",0,IF('Inputs'!$U$105=1,0,ROUND(T110+'Inputs'!$O$105*('Inputs'!$U$100*T50+'Inputs'!$U$101*T62+'Inputs'!$U$102*T74+'Inputs'!$U$103*T86+'Inputs'!$U$104*T98+'Inputs'!$U$105*T110),2)))</f>
      </c>
    </row>
    <row r="105" spans="2:20" x14ac:dyDescent="0.25">
      <c r="B105" t="s">
        <v>422</v>
      </c>
      <c r="C105">
        <f>IF('Inputs'!$B$105="",0,ROUND(C104-C100,2))</f>
      </c>
      <c r="E105">
        <f>IF('Inputs'!$B$105="",0,ROUND(E104-E100,2))</f>
      </c>
      <c r="F105">
        <f>IF('Inputs'!$B$105="",0,ROUND(F104-F100,2))</f>
      </c>
      <c r="G105">
        <f>IF('Inputs'!$B$105="",0,ROUND(G104-G100,2))</f>
      </c>
      <c r="H105">
        <f>IF('Inputs'!$B$105="",0,ROUND(H104-H100,2))</f>
      </c>
      <c r="I105">
        <f>IF('Inputs'!$B$105="",0,ROUND(I104-I100,2))</f>
      </c>
      <c r="J105">
        <f>IF('Inputs'!$B$105="",0,ROUND(J104-J100,2))</f>
      </c>
      <c r="K105">
        <f>IF('Inputs'!$B$105="",0,ROUND(K104-K100,2))</f>
      </c>
      <c r="L105">
        <f>IF('Inputs'!$B$105="",0,ROUND(L104-L100,2))</f>
      </c>
      <c r="M105">
        <f>IF('Inputs'!$B$105="",0,ROUND(M104-M100,2))</f>
      </c>
      <c r="N105">
        <f>IF('Inputs'!$B$105="",0,ROUND(N104-N100,2))</f>
      </c>
      <c r="O105">
        <f>IF('Inputs'!$B$105="",0,ROUND(O104-O100,2))</f>
      </c>
      <c r="P105">
        <f>IF('Inputs'!$B$105="",0,ROUND(P104-P100,2))</f>
      </c>
      <c r="Q105">
        <f>IF('Inputs'!$B$105="",0,ROUND(Q104-Q100,2))</f>
      </c>
      <c r="R105">
        <f>IF('Inputs'!$B$105="",0,ROUND(R104-R100,2))</f>
      </c>
      <c r="S105">
        <f>IF('Inputs'!$B$105="",0,ROUND(S104-S100,2))</f>
      </c>
      <c r="T105">
        <f>IF('Inputs'!$B$105="",0,ROUND(T104-T100,2))</f>
      </c>
    </row>
    <row r="106" spans="2:20" x14ac:dyDescent="0.25">
      <c r="B106" t="s">
        <v>423</v>
      </c>
      <c r="C106">
        <f>IF('Inputs'!$B$105="",0,'Needs years'!$C$296+IF('Inputs'!$U$105=1,('Inputs'!$O$100*C51+'Inputs'!$O$101*C63+'Inputs'!$O$102*C75+'Inputs'!$O$103*C87+'Inputs'!$O$104*C99+'Inputs'!$O$105*C111),C111)*'Needs years'!$J$284/12)</f>
      </c>
      <c r="E106">
        <f>IF('Inputs'!$B$105="",0,'Needs years'!$C$296+IF('Inputs'!$U$105=1,('Inputs'!$O$100*E51+'Inputs'!$O$101*E63+'Inputs'!$O$102*E75+'Inputs'!$O$103*E87+'Inputs'!$O$104*E99+'Inputs'!$O$105*E111),E111)*'Needs years'!$J$284/12)</f>
      </c>
      <c r="F106">
        <f>IF('Inputs'!$B$105="",0,'Needs years'!$C$296+IF('Inputs'!$U$105=1,('Inputs'!$O$100*F51+'Inputs'!$O$101*F63+'Inputs'!$O$102*F75+'Inputs'!$O$103*F87+'Inputs'!$O$104*F99+'Inputs'!$O$105*F111),F111)*'Needs years'!$J$284/12)</f>
      </c>
      <c r="G106">
        <f>IF('Inputs'!$B$105="",0,'Needs years'!$C$296+IF('Inputs'!$U$105=1,('Inputs'!$O$100*G51+'Inputs'!$O$101*G63+'Inputs'!$O$102*G75+'Inputs'!$O$103*G87+'Inputs'!$O$104*G99+'Inputs'!$O$105*G111),G111)*'Needs years'!$J$284/12)</f>
      </c>
      <c r="H106">
        <f>IF('Inputs'!$B$105="",0,'Needs years'!$C$296+IF('Inputs'!$U$105=1,('Inputs'!$O$100*H51+'Inputs'!$O$101*H63+'Inputs'!$O$102*H75+'Inputs'!$O$103*H87+'Inputs'!$O$104*H99+'Inputs'!$O$105*H111),H111)*'Needs years'!$J$284/12)</f>
      </c>
      <c r="I106">
        <f>IF('Inputs'!$B$105="",0,'Needs years'!$C$296+IF('Inputs'!$U$105=1,('Inputs'!$O$100*I51+'Inputs'!$O$101*I63+'Inputs'!$O$102*I75+'Inputs'!$O$103*I87+'Inputs'!$O$104*I99+'Inputs'!$O$105*I111),I111)*'Needs years'!$J$284/12)</f>
      </c>
      <c r="J106">
        <f>IF('Inputs'!$B$105="",0,'Needs years'!$C$296+IF('Inputs'!$U$105=1,('Inputs'!$O$100*J51+'Inputs'!$O$101*J63+'Inputs'!$O$102*J75+'Inputs'!$O$103*J87+'Inputs'!$O$104*J99+'Inputs'!$O$105*J111),J111)*'Needs years'!$J$284/12)</f>
      </c>
      <c r="K106">
        <f>IF('Inputs'!$B$105="",0,'Needs years'!$C$296+IF('Inputs'!$U$105=1,('Inputs'!$O$100*K51+'Inputs'!$O$101*K63+'Inputs'!$O$102*K75+'Inputs'!$O$103*K87+'Inputs'!$O$104*K99+'Inputs'!$O$105*K111),K111)*'Needs years'!$J$284/12)</f>
      </c>
      <c r="L106">
        <f>IF('Inputs'!$B$105="",0,'Needs years'!$C$296+IF('Inputs'!$U$105=1,('Inputs'!$O$100*L51+'Inputs'!$O$101*L63+'Inputs'!$O$102*L75+'Inputs'!$O$103*L87+'Inputs'!$O$104*L99+'Inputs'!$O$105*L111),L111)*'Needs years'!$J$284/12)</f>
      </c>
      <c r="M106">
        <f>IF('Inputs'!$B$105="",0,'Needs years'!$C$296+IF('Inputs'!$U$105=1,('Inputs'!$O$100*M51+'Inputs'!$O$101*M63+'Inputs'!$O$102*M75+'Inputs'!$O$103*M87+'Inputs'!$O$104*M99+'Inputs'!$O$105*M111),M111)*'Needs years'!$J$284/12)</f>
      </c>
      <c r="N106">
        <f>IF('Inputs'!$B$105="",0,'Needs years'!$C$296+IF('Inputs'!$U$105=1,('Inputs'!$O$100*N51+'Inputs'!$O$101*N63+'Inputs'!$O$102*N75+'Inputs'!$O$103*N87+'Inputs'!$O$104*N99+'Inputs'!$O$105*N111),N111)*'Needs years'!$J$284/12)</f>
      </c>
      <c r="O106">
        <f>IF('Inputs'!$B$105="",0,'Needs years'!$C$296+IF('Inputs'!$U$105=1,('Inputs'!$O$100*O51+'Inputs'!$O$101*O63+'Inputs'!$O$102*O75+'Inputs'!$O$103*O87+'Inputs'!$O$104*O99+'Inputs'!$O$105*O111),O111)*'Needs years'!$J$284/12)</f>
      </c>
      <c r="P106">
        <f>IF('Inputs'!$B$105="",0,'Needs years'!$C$296+IF('Inputs'!$U$105=1,('Inputs'!$O$100*P51+'Inputs'!$O$101*P63+'Inputs'!$O$102*P75+'Inputs'!$O$103*P87+'Inputs'!$O$104*P99+'Inputs'!$O$105*P111),P111)*'Needs years'!$J$284/12)</f>
      </c>
      <c r="Q106">
        <f>IF('Inputs'!$B$105="",0,'Needs years'!$C$296+IF('Inputs'!$U$105=1,('Inputs'!$O$100*Q51+'Inputs'!$O$101*Q63+'Inputs'!$O$102*Q75+'Inputs'!$O$103*Q87+'Inputs'!$O$104*Q99+'Inputs'!$O$105*Q111),Q111)*'Needs years'!$J$284/12)</f>
      </c>
      <c r="R106">
        <f>IF('Inputs'!$B$105="",0,'Needs years'!$C$296+IF('Inputs'!$U$105=1,('Inputs'!$O$100*R51+'Inputs'!$O$101*R63+'Inputs'!$O$102*R75+'Inputs'!$O$103*R87+'Inputs'!$O$104*R99+'Inputs'!$O$105*R111),R111)*'Needs years'!$J$284/12)</f>
      </c>
      <c r="S106">
        <f>IF('Inputs'!$B$105="",0,'Needs years'!$C$296+IF('Inputs'!$U$105=1,('Inputs'!$O$100*S51+'Inputs'!$O$101*S63+'Inputs'!$O$102*S75+'Inputs'!$O$103*S87+'Inputs'!$O$104*S99+'Inputs'!$O$105*S111),S111)*'Needs years'!$J$284/12)</f>
      </c>
      <c r="T106">
        <f>IF('Inputs'!$B$105="",0,'Needs years'!$C$296+IF('Inputs'!$U$105=1,('Inputs'!$O$100*T51+'Inputs'!$O$101*T63+'Inputs'!$O$102*T75+'Inputs'!$O$103*T87+'Inputs'!$O$104*T99+'Inputs'!$O$105*T111),T111)*'Needs years'!$J$284/12)</f>
      </c>
    </row>
    <row r="107" spans="2:20" x14ac:dyDescent="0.25">
      <c r="B107" t="s">
        <v>424</v>
      </c>
      <c r="C107">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107">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107">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107">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107">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107">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107">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107">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107">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107">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107">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107">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107">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107">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107">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107">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107">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108" spans="2:20" x14ac:dyDescent="0.25">
      <c r="B108" t="s">
        <v>425</v>
      </c>
      <c r="C108">
        <f>IF('Inputs'!$U$105=1,0,'Needs years'!$C$290+'Inputs'!$O$105*('Inputs'!$U$100*'Needs years'!$C$10+'Inputs'!$U$101*'Needs years'!$C$66+'Inputs'!$U$102*'Needs years'!$C$122+'Inputs'!$U$103*'Needs years'!$C$178+'Inputs'!$U$104*'Needs years'!$C$234+'Inputs'!$U$105*'Needs years'!$C$290))</f>
      </c>
      <c r="E108">
        <f>IF('Inputs'!$U$105=1,0,'Needs years'!$C$290+'Inputs'!$O$105*('Inputs'!$U$100*'Needs years'!$C$10+'Inputs'!$U$101*'Needs years'!$C$66+'Inputs'!$U$102*'Needs years'!$C$122+'Inputs'!$U$103*'Needs years'!$C$178+'Inputs'!$U$104*'Needs years'!$C$234+'Inputs'!$U$105*'Needs years'!$C$290))</f>
      </c>
      <c r="F108">
        <f>IF('Inputs'!$U$105=1,0,'Needs years'!$C$290+'Inputs'!$O$105*('Inputs'!$U$100*'Needs years'!$C$10+'Inputs'!$U$101*'Needs years'!$C$66+'Inputs'!$U$102*'Needs years'!$C$122+'Inputs'!$U$103*'Needs years'!$C$178+'Inputs'!$U$104*'Needs years'!$C$234+'Inputs'!$U$105*'Needs years'!$C$290))</f>
      </c>
      <c r="G108">
        <f>IF('Inputs'!$U$105=1,0,'Needs years'!$C$290+'Inputs'!$O$105*('Inputs'!$U$100*'Needs years'!$C$10+'Inputs'!$U$101*'Needs years'!$C$66+'Inputs'!$U$102*'Needs years'!$C$122+'Inputs'!$U$103*'Needs years'!$C$178+'Inputs'!$U$104*'Needs years'!$C$234+'Inputs'!$U$105*'Needs years'!$C$290))</f>
      </c>
      <c r="H108">
        <f>IF('Inputs'!$U$105=1,0,'Needs years'!$C$290+'Inputs'!$O$105*('Inputs'!$U$100*'Needs years'!$C$10+'Inputs'!$U$101*'Needs years'!$C$66+'Inputs'!$U$102*'Needs years'!$C$122+'Inputs'!$U$103*'Needs years'!$C$178+'Inputs'!$U$104*'Needs years'!$C$234+'Inputs'!$U$105*'Needs years'!$C$290))</f>
      </c>
      <c r="I108">
        <f>IF('Inputs'!$U$105=1,0,'Needs years'!$C$290+'Inputs'!$O$105*('Inputs'!$U$100*'Needs years'!$C$10+'Inputs'!$U$101*'Needs years'!$C$66+'Inputs'!$U$102*'Needs years'!$C$122+'Inputs'!$U$103*'Needs years'!$C$178+'Inputs'!$U$104*'Needs years'!$C$234+'Inputs'!$U$105*'Needs years'!$C$290))</f>
      </c>
      <c r="J108">
        <f>IF('Inputs'!$U$105=1,0,'Needs years'!$C$290+'Inputs'!$O$105*('Inputs'!$U$100*'Needs years'!$C$10+'Inputs'!$U$101*'Needs years'!$C$66+'Inputs'!$U$102*'Needs years'!$C$122+'Inputs'!$U$103*'Needs years'!$C$178+'Inputs'!$U$104*'Needs years'!$C$234+'Inputs'!$U$105*'Needs years'!$C$290))</f>
      </c>
      <c r="K108">
        <f>IF('Inputs'!$U$105=1,0,'Needs years'!$C$290+'Inputs'!$O$105*('Inputs'!$U$100*'Needs years'!$C$10+'Inputs'!$U$101*'Needs years'!$C$66+'Inputs'!$U$102*'Needs years'!$C$122+'Inputs'!$U$103*'Needs years'!$C$178+'Inputs'!$U$104*'Needs years'!$C$234+'Inputs'!$U$105*'Needs years'!$C$290))</f>
      </c>
      <c r="L108">
        <f>IF('Inputs'!$U$105=1,0,'Needs years'!$C$290+'Inputs'!$O$105*('Inputs'!$U$100*'Needs years'!$C$10+'Inputs'!$U$101*'Needs years'!$C$66+'Inputs'!$U$102*'Needs years'!$C$122+'Inputs'!$U$103*'Needs years'!$C$178+'Inputs'!$U$104*'Needs years'!$C$234+'Inputs'!$U$105*'Needs years'!$C$290))</f>
      </c>
      <c r="M108">
        <f>IF('Inputs'!$U$105=1,0,'Needs years'!$C$290+'Inputs'!$O$105*('Inputs'!$U$100*'Needs years'!$C$10+'Inputs'!$U$101*'Needs years'!$C$66+'Inputs'!$U$102*'Needs years'!$C$122+'Inputs'!$U$103*'Needs years'!$C$178+'Inputs'!$U$104*'Needs years'!$C$234+'Inputs'!$U$105*'Needs years'!$C$290))</f>
      </c>
      <c r="N108">
        <f>IF('Inputs'!$U$105=1,0,'Needs years'!$C$290+'Inputs'!$O$105*('Inputs'!$U$100*'Needs years'!$C$10+'Inputs'!$U$101*'Needs years'!$C$66+'Inputs'!$U$102*'Needs years'!$C$122+'Inputs'!$U$103*'Needs years'!$C$178+'Inputs'!$U$104*'Needs years'!$C$234+'Inputs'!$U$105*'Needs years'!$C$290))</f>
      </c>
      <c r="O108">
        <f>IF('Inputs'!$U$105=1,0,'Needs years'!$C$290+'Inputs'!$O$105*('Inputs'!$U$100*'Needs years'!$C$10+'Inputs'!$U$101*'Needs years'!$C$66+'Inputs'!$U$102*'Needs years'!$C$122+'Inputs'!$U$103*'Needs years'!$C$178+'Inputs'!$U$104*'Needs years'!$C$234+'Inputs'!$U$105*'Needs years'!$C$290))</f>
      </c>
      <c r="P108">
        <f>IF('Inputs'!$U$105=1,0,'Needs years'!$C$290+'Inputs'!$O$105*('Inputs'!$U$100*'Needs years'!$C$10+'Inputs'!$U$101*'Needs years'!$C$66+'Inputs'!$U$102*'Needs years'!$C$122+'Inputs'!$U$103*'Needs years'!$C$178+'Inputs'!$U$104*'Needs years'!$C$234+'Inputs'!$U$105*'Needs years'!$C$290))</f>
      </c>
      <c r="Q108">
        <f>IF('Inputs'!$U$105=1,0,'Needs years'!$C$290+'Inputs'!$O$105*('Inputs'!$U$100*'Needs years'!$C$10+'Inputs'!$U$101*'Needs years'!$C$66+'Inputs'!$U$102*'Needs years'!$C$122+'Inputs'!$U$103*'Needs years'!$C$178+'Inputs'!$U$104*'Needs years'!$C$234+'Inputs'!$U$105*'Needs years'!$C$290))</f>
      </c>
      <c r="R108">
        <f>IF('Inputs'!$U$105=1,0,'Needs years'!$C$290+'Inputs'!$O$105*('Inputs'!$U$100*'Needs years'!$C$10+'Inputs'!$U$101*'Needs years'!$C$66+'Inputs'!$U$102*'Needs years'!$C$122+'Inputs'!$U$103*'Needs years'!$C$178+'Inputs'!$U$104*'Needs years'!$C$234+'Inputs'!$U$105*'Needs years'!$C$290))</f>
      </c>
      <c r="S108">
        <f>IF('Inputs'!$U$105=1,0,'Needs years'!$C$290+'Inputs'!$O$105*('Inputs'!$U$100*'Needs years'!$C$10+'Inputs'!$U$101*'Needs years'!$C$66+'Inputs'!$U$102*'Needs years'!$C$122+'Inputs'!$U$103*'Needs years'!$C$178+'Inputs'!$U$104*'Needs years'!$C$234+'Inputs'!$U$105*'Needs years'!$C$290))</f>
      </c>
      <c r="T108">
        <f>IF('Inputs'!$U$105=1,0,'Needs years'!$C$290+'Inputs'!$O$105*('Inputs'!$U$100*'Needs years'!$C$10+'Inputs'!$U$101*'Needs years'!$C$66+'Inputs'!$U$102*'Needs years'!$C$122+'Inputs'!$U$103*'Needs years'!$C$178+'Inputs'!$U$104*'Needs years'!$C$234+'Inputs'!$U$105*'Needs years'!$C$290))</f>
      </c>
    </row>
    <row r="109" spans="2:20" x14ac:dyDescent="0.25">
      <c r="B109" t="s">
        <v>426</v>
      </c>
      <c r="C109">
        <f>IF('Inputs'!$U$105=1,('Inputs'!$O$100*C43+'Inputs'!$O$101*C55+'Inputs'!$O$102*C67+'Inputs'!$O$103*C79+'Inputs'!$O$104*C91+'Inputs'!$O$105*C103),C103)</f>
      </c>
      <c r="E109">
        <f>IF('Inputs'!$U$105=1,('Inputs'!$O$100*E43+'Inputs'!$O$101*E55+'Inputs'!$O$102*E67+'Inputs'!$O$103*E79+'Inputs'!$O$104*E91+'Inputs'!$O$105*E103),E103)</f>
      </c>
      <c r="F109">
        <f>IF('Inputs'!$U$105=1,('Inputs'!$O$100*F43+'Inputs'!$O$101*F55+'Inputs'!$O$102*F67+'Inputs'!$O$103*F79+'Inputs'!$O$104*F91+'Inputs'!$O$105*F103),F103)</f>
      </c>
      <c r="G109">
        <f>IF('Inputs'!$U$105=1,('Inputs'!$O$100*G43+'Inputs'!$O$101*G55+'Inputs'!$O$102*G67+'Inputs'!$O$103*G79+'Inputs'!$O$104*G91+'Inputs'!$O$105*G103),G103)</f>
      </c>
      <c r="H109">
        <f>IF('Inputs'!$U$105=1,('Inputs'!$O$100*H43+'Inputs'!$O$101*H55+'Inputs'!$O$102*H67+'Inputs'!$O$103*H79+'Inputs'!$O$104*H91+'Inputs'!$O$105*H103),H103)</f>
      </c>
      <c r="I109">
        <f>IF('Inputs'!$U$105=1,('Inputs'!$O$100*I43+'Inputs'!$O$101*I55+'Inputs'!$O$102*I67+'Inputs'!$O$103*I79+'Inputs'!$O$104*I91+'Inputs'!$O$105*I103),I103)</f>
      </c>
      <c r="J109">
        <f>IF('Inputs'!$U$105=1,('Inputs'!$O$100*J43+'Inputs'!$O$101*J55+'Inputs'!$O$102*J67+'Inputs'!$O$103*J79+'Inputs'!$O$104*J91+'Inputs'!$O$105*J103),J103)</f>
      </c>
      <c r="K109">
        <f>IF('Inputs'!$U$105=1,('Inputs'!$O$100*K43+'Inputs'!$O$101*K55+'Inputs'!$O$102*K67+'Inputs'!$O$103*K79+'Inputs'!$O$104*K91+'Inputs'!$O$105*K103),K103)</f>
      </c>
      <c r="L109">
        <f>IF('Inputs'!$U$105=1,('Inputs'!$O$100*L43+'Inputs'!$O$101*L55+'Inputs'!$O$102*L67+'Inputs'!$O$103*L79+'Inputs'!$O$104*L91+'Inputs'!$O$105*L103),L103)</f>
      </c>
      <c r="M109">
        <f>IF('Inputs'!$U$105=1,('Inputs'!$O$100*M43+'Inputs'!$O$101*M55+'Inputs'!$O$102*M67+'Inputs'!$O$103*M79+'Inputs'!$O$104*M91+'Inputs'!$O$105*M103),M103)</f>
      </c>
      <c r="N109">
        <f>IF('Inputs'!$U$105=1,('Inputs'!$O$100*N43+'Inputs'!$O$101*N55+'Inputs'!$O$102*N67+'Inputs'!$O$103*N79+'Inputs'!$O$104*N91+'Inputs'!$O$105*N103),N103)</f>
      </c>
      <c r="O109">
        <f>IF('Inputs'!$U$105=1,('Inputs'!$O$100*O43+'Inputs'!$O$101*O55+'Inputs'!$O$102*O67+'Inputs'!$O$103*O79+'Inputs'!$O$104*O91+'Inputs'!$O$105*O103),O103)</f>
      </c>
      <c r="P109">
        <f>IF('Inputs'!$U$105=1,('Inputs'!$O$100*P43+'Inputs'!$O$101*P55+'Inputs'!$O$102*P67+'Inputs'!$O$103*P79+'Inputs'!$O$104*P91+'Inputs'!$O$105*P103),P103)</f>
      </c>
      <c r="Q109">
        <f>IF('Inputs'!$U$105=1,('Inputs'!$O$100*Q43+'Inputs'!$O$101*Q55+'Inputs'!$O$102*Q67+'Inputs'!$O$103*Q79+'Inputs'!$O$104*Q91+'Inputs'!$O$105*Q103),Q103)</f>
      </c>
      <c r="R109">
        <f>IF('Inputs'!$U$105=1,('Inputs'!$O$100*R43+'Inputs'!$O$101*R55+'Inputs'!$O$102*R67+'Inputs'!$O$103*R79+'Inputs'!$O$104*R91+'Inputs'!$O$105*R103),R103)</f>
      </c>
      <c r="S109">
        <f>IF('Inputs'!$U$105=1,('Inputs'!$O$100*S43+'Inputs'!$O$101*S55+'Inputs'!$O$102*S67+'Inputs'!$O$103*S79+'Inputs'!$O$104*S91+'Inputs'!$O$105*S103),S103)</f>
      </c>
      <c r="T109">
        <f>IF('Inputs'!$U$105=1,('Inputs'!$O$100*T43+'Inputs'!$O$101*T55+'Inputs'!$O$102*T67+'Inputs'!$O$103*T79+'Inputs'!$O$104*T91+'Inputs'!$O$105*T103),T103)</f>
      </c>
    </row>
    <row r="110" spans="2:20" x14ac:dyDescent="0.25">
      <c r="B110" t="s">
        <v>427</v>
      </c>
      <c r="C110">
        <f>IF('Inputs'!$B$105="",0,ROUND('Needs years'!$C$290+ROUND(IF(C109=0,SUM('Needs years'!$J$284:$J$333),(1-(1+C109)^-1)/(1-(1+C109)^(-1/12))/12*SUMPRODUCT('Needs years'!$J$284:$J$333,(1+C109)^(-'Needs years'!$I$284:$I$333))),2),2))</f>
      </c>
      <c r="E110">
        <f>IF('Inputs'!$B$105="",0,ROUND('Needs years'!$C$290+ROUND(IF(E109=0,SUM('Needs years'!$J$284:$J$333),(1-(1+E109)^-1)/(1-(1+E109)^(-1/12))/12*SUMPRODUCT('Needs years'!$J$284:$J$333,(1+E109)^(-'Needs years'!$I$284:$I$333))),2),2))</f>
      </c>
      <c r="F110">
        <f>IF('Inputs'!$B$105="",0,ROUND('Needs years'!$C$290+ROUND(IF(F109=0,SUM('Needs years'!$J$284:$J$333),(1-(1+F109)^-1)/(1-(1+F109)^(-1/12))/12*SUMPRODUCT('Needs years'!$J$284:$J$333,(1+F109)^(-'Needs years'!$I$284:$I$333))),2),2))</f>
      </c>
      <c r="G110">
        <f>IF('Inputs'!$B$105="",0,ROUND('Needs years'!$C$290+ROUND(IF(G109=0,SUM('Needs years'!$J$284:$J$333),(1-(1+G109)^-1)/(1-(1+G109)^(-1/12))/12*SUMPRODUCT('Needs years'!$J$284:$J$333,(1+G109)^(-'Needs years'!$I$284:$I$333))),2),2))</f>
      </c>
      <c r="H110">
        <f>IF('Inputs'!$B$105="",0,ROUND('Needs years'!$C$290+ROUND(IF(H109=0,SUM('Needs years'!$J$284:$J$333),(1-(1+H109)^-1)/(1-(1+H109)^(-1/12))/12*SUMPRODUCT('Needs years'!$J$284:$J$333,(1+H109)^(-'Needs years'!$I$284:$I$333))),2),2))</f>
      </c>
      <c r="I110">
        <f>IF('Inputs'!$B$105="",0,ROUND('Needs years'!$C$290+ROUND(IF(I109=0,SUM('Needs years'!$J$284:$J$333),(1-(1+I109)^-1)/(1-(1+I109)^(-1/12))/12*SUMPRODUCT('Needs years'!$J$284:$J$333,(1+I109)^(-'Needs years'!$I$284:$I$333))),2),2))</f>
      </c>
      <c r="J110">
        <f>IF('Inputs'!$B$105="",0,ROUND('Needs years'!$C$290+ROUND(IF(J109=0,SUM('Needs years'!$J$284:$J$333),(1-(1+J109)^-1)/(1-(1+J109)^(-1/12))/12*SUMPRODUCT('Needs years'!$J$284:$J$333,(1+J109)^(-'Needs years'!$I$284:$I$333))),2),2))</f>
      </c>
      <c r="K110">
        <f>IF('Inputs'!$B$105="",0,ROUND('Needs years'!$C$290+ROUND(IF(K109=0,SUM('Needs years'!$J$284:$J$333),(1-(1+K109)^-1)/(1-(1+K109)^(-1/12))/12*SUMPRODUCT('Needs years'!$J$284:$J$333,(1+K109)^(-'Needs years'!$I$284:$I$333))),2),2))</f>
      </c>
      <c r="L110">
        <f>IF('Inputs'!$B$105="",0,ROUND('Needs years'!$C$290+ROUND(IF(L109=0,SUM('Needs years'!$J$284:$J$333),(1-(1+L109)^-1)/(1-(1+L109)^(-1/12))/12*SUMPRODUCT('Needs years'!$J$284:$J$333,(1+L109)^(-'Needs years'!$I$284:$I$333))),2),2))</f>
      </c>
      <c r="M110">
        <f>IF('Inputs'!$B$105="",0,ROUND('Needs years'!$C$290+ROUND(IF(M109=0,SUM('Needs years'!$J$284:$J$333),(1-(1+M109)^-1)/(1-(1+M109)^(-1/12))/12*SUMPRODUCT('Needs years'!$J$284:$J$333,(1+M109)^(-'Needs years'!$I$284:$I$333))),2),2))</f>
      </c>
      <c r="N110">
        <f>IF('Inputs'!$B$105="",0,ROUND('Needs years'!$C$290+ROUND(IF(N109=0,SUM('Needs years'!$J$284:$J$333),(1-(1+N109)^-1)/(1-(1+N109)^(-1/12))/12*SUMPRODUCT('Needs years'!$J$284:$J$333,(1+N109)^(-'Needs years'!$I$284:$I$333))),2),2))</f>
      </c>
      <c r="O110">
        <f>IF('Inputs'!$B$105="",0,ROUND('Needs years'!$C$290+ROUND(IF(O109=0,SUM('Needs years'!$J$284:$J$333),(1-(1+O109)^-1)/(1-(1+O109)^(-1/12))/12*SUMPRODUCT('Needs years'!$J$284:$J$333,(1+O109)^(-'Needs years'!$I$284:$I$333))),2),2))</f>
      </c>
      <c r="P110">
        <f>IF('Inputs'!$B$105="",0,ROUND('Needs years'!$C$290+ROUND(IF(P109=0,SUM('Needs years'!$J$284:$J$333),(1-(1+P109)^-1)/(1-(1+P109)^(-1/12))/12*SUMPRODUCT('Needs years'!$J$284:$J$333,(1+P109)^(-'Needs years'!$I$284:$I$333))),2),2))</f>
      </c>
      <c r="Q110">
        <f>IF('Inputs'!$B$105="",0,ROUND('Needs years'!$C$290+ROUND(IF(Q109=0,SUM('Needs years'!$J$284:$J$333),(1-(1+Q109)^-1)/(1-(1+Q109)^(-1/12))/12*SUMPRODUCT('Needs years'!$J$284:$J$333,(1+Q109)^(-'Needs years'!$I$284:$I$333))),2),2))</f>
      </c>
      <c r="R110">
        <f>IF('Inputs'!$B$105="",0,ROUND('Needs years'!$C$290+ROUND(IF(R109=0,SUM('Needs years'!$J$284:$J$333),(1-(1+R109)^-1)/(1-(1+R109)^(-1/12))/12*SUMPRODUCT('Needs years'!$J$284:$J$333,(1+R109)^(-'Needs years'!$I$284:$I$333))),2),2))</f>
      </c>
      <c r="S110">
        <f>IF('Inputs'!$B$105="",0,ROUND('Needs years'!$C$290+ROUND(IF(S109=0,SUM('Needs years'!$J$284:$J$333),(1-(1+S109)^-1)/(1-(1+S109)^(-1/12))/12*SUMPRODUCT('Needs years'!$J$284:$J$333,(1+S109)^(-'Needs years'!$I$284:$I$333))),2),2))</f>
      </c>
      <c r="T110">
        <f>IF('Inputs'!$B$105="",0,ROUND('Needs years'!$C$290+ROUND(IF(T109=0,SUM('Needs years'!$J$284:$J$333),(1-(1+T109)^-1)/(1-(1+T109)^(-1/12))/12*SUMPRODUCT('Needs years'!$J$284:$J$333,(1+T109)^(-'Needs years'!$I$284:$I$333))),2),2))</f>
      </c>
    </row>
    <row r="111" spans="2:20" x14ac:dyDescent="0.25">
      <c r="B111" t="s">
        <v>428</v>
      </c>
      <c r="C111">
        <f>IF('Inputs'!$U$105=1,0,IF((C104-C108)&gt;0,MAX(0,C100-C108)/(C104-C108),0))</f>
      </c>
      <c r="E111">
        <f>IF('Inputs'!$U$105=1,0,IF((E104-E108)&gt;0,MAX(0,E100-E108)/(E104-E108),0))</f>
      </c>
      <c r="F111">
        <f>IF('Inputs'!$U$105=1,0,IF((F104-F108)&gt;0,MAX(0,F100-F108)/(F104-F108),0))</f>
      </c>
      <c r="G111">
        <f>IF('Inputs'!$U$105=1,0,IF((G104-G108)&gt;0,MAX(0,G100-G108)/(G104-G108),0))</f>
      </c>
      <c r="H111">
        <f>IF('Inputs'!$U$105=1,0,IF((H104-H108)&gt;0,MAX(0,H100-H108)/(H104-H108),0))</f>
      </c>
      <c r="I111">
        <f>IF('Inputs'!$U$105=1,0,IF((I104-I108)&gt;0,MAX(0,I100-I108)/(I104-I108),0))</f>
      </c>
      <c r="J111">
        <f>IF('Inputs'!$U$105=1,0,IF((J104-J108)&gt;0,MAX(0,J100-J108)/(J104-J108),0))</f>
      </c>
      <c r="K111">
        <f>IF('Inputs'!$U$105=1,0,IF((K104-K108)&gt;0,MAX(0,K100-K108)/(K104-K108),0))</f>
      </c>
      <c r="L111">
        <f>IF('Inputs'!$U$105=1,0,IF((L104-L108)&gt;0,MAX(0,L100-L108)/(L104-L108),0))</f>
      </c>
      <c r="M111">
        <f>IF('Inputs'!$U$105=1,0,IF((M104-M108)&gt;0,MAX(0,M100-M108)/(M104-M108),0))</f>
      </c>
      <c r="N111">
        <f>IF('Inputs'!$U$105=1,0,IF((N104-N108)&gt;0,MAX(0,N100-N108)/(N104-N108),0))</f>
      </c>
      <c r="O111">
        <f>IF('Inputs'!$U$105=1,0,IF((O104-O108)&gt;0,MAX(0,O100-O108)/(O104-O108),0))</f>
      </c>
      <c r="P111">
        <f>IF('Inputs'!$U$105=1,0,IF((P104-P108)&gt;0,MAX(0,P100-P108)/(P104-P108),0))</f>
      </c>
      <c r="Q111">
        <f>IF('Inputs'!$U$105=1,0,IF((Q104-Q108)&gt;0,MAX(0,Q100-Q108)/(Q104-Q108),0))</f>
      </c>
      <c r="R111">
        <f>IF('Inputs'!$U$105=1,0,IF((R104-R108)&gt;0,MAX(0,R100-R108)/(R104-R108),0))</f>
      </c>
      <c r="S111">
        <f>IF('Inputs'!$U$105=1,0,IF((S104-S108)&gt;0,MAX(0,S100-S108)/(S104-S108),0))</f>
      </c>
      <c r="T111">
        <f>IF('Inputs'!$U$105=1,0,IF((T104-T108)&gt;0,MAX(0,T100-T108)/(T104-T108),0))</f>
      </c>
    </row>
    <row r="112" spans="2:20" x14ac:dyDescent="0.25">
      <c r="B112" t="s">
        <v>429</v>
      </c>
      <c r="C112">
        <f>IF(C3=1,IF(AND(C4=0,C45&lt;=0),0,MAX(0,C4+C45/(1-(1-'Inputs'!$T$100)*C18))),0)</f>
      </c>
      <c r="E112">
        <f>IF(E3=1,IF(AND(E4=0,E45&lt;=0),0,MAX(0,E4+E45/(1-(1-'Inputs'!$T$100)*E18))),0)</f>
      </c>
      <c r="F112">
        <f>IF(F3=1,IF(AND(F4=0,F45&lt;=0),0,MAX(0,F4+F45/(1-(1-'Inputs'!$T$100)*F18))),0)</f>
      </c>
      <c r="G112">
        <f>IF(G3=1,IF(AND(G4=0,G45&lt;=0),0,MAX(0,G4+G45/(1-(1-'Inputs'!$T$100)*G18))),0)</f>
      </c>
      <c r="H112">
        <f>IF(H3=1,IF(AND(H4=0,H45&lt;=0),0,MAX(0,H4+H45/(1-(1-'Inputs'!$T$100)*H18))),0)</f>
      </c>
      <c r="I112">
        <f>IF(I3=1,IF(AND(I4=0,I45&lt;=0),0,MAX(0,I4+I45/(1-(1-'Inputs'!$T$100)*I18))),0)</f>
      </c>
      <c r="J112">
        <f>IF(J3=1,IF(AND(J4=0,J45&lt;=0),0,MAX(0,J4+J45/(1-(1-'Inputs'!$T$100)*J18))),0)</f>
      </c>
      <c r="K112">
        <f>IF(K3=1,IF(AND(K4=0,K45&lt;=0),0,MAX(0,K4+K45/(1-(1-'Inputs'!$T$100)*K18))),0)</f>
      </c>
      <c r="L112">
        <f>IF(L3=1,IF(AND(L4=0,L45&lt;=0),0,MAX(0,L4+L45/(1-(1-'Inputs'!$T$100)*L18))),0)</f>
      </c>
      <c r="M112">
        <f>IF(M3=1,IF(AND(M4=0,M45&lt;=0),0,MAX(0,M4+M45/(1-(1-'Inputs'!$T$100)*M18))),0)</f>
      </c>
      <c r="N112">
        <f>IF(N3=1,IF(AND(N4=0,N45&lt;=0),0,MAX(0,N4+N45/(1-(1-'Inputs'!$T$100)*N18))),0)</f>
      </c>
      <c r="O112">
        <f>IF(O3=1,IF(AND(O4=0,O45&lt;=0),0,MAX(0,O4+O45/(1-(1-'Inputs'!$T$100)*O18))),0)</f>
      </c>
      <c r="P112">
        <f>IF(P3=1,IF(AND(P4=0,P45&lt;=0),0,MAX(0,P4+P45/(1-(1-'Inputs'!$T$100)*P18))),0)</f>
      </c>
      <c r="Q112">
        <f>IF(Q3=1,IF(AND(Q4=0,Q45&lt;=0),0,MAX(0,Q4+Q45/(1-(1-'Inputs'!$T$100)*Q18))),0)</f>
      </c>
      <c r="R112">
        <f>IF(R3=1,IF(AND(R4=0,R45&lt;=0),0,MAX(0,R4+R45/(1-(1-'Inputs'!$T$100)*R18))),0)</f>
      </c>
      <c r="S112">
        <f>IF(S3=1,IF(AND(S4=0,S45&lt;=0),0,MAX(0,S4+S45/(1-(1-'Inputs'!$T$100)*S18))),0)</f>
      </c>
      <c r="T112">
        <f>IF(T3=1,IF(AND(T4=0,T45&lt;=0),0,MAX(0,T4+T45/(1-(1-'Inputs'!$T$100)*T18))),0)</f>
      </c>
    </row>
    <row r="113" spans="2:20" x14ac:dyDescent="0.25">
      <c r="B113" t="s">
        <v>430</v>
      </c>
      <c r="C113">
        <f>IF(C3=1,IF(AND(C5=0,C57&lt;=0),0,MAX(0,C5+C57/(1-(1-'Inputs'!$T$101)*C18))),0)</f>
      </c>
      <c r="E113">
        <f>IF(E3=1,IF(AND(E5=0,E57&lt;=0),0,MAX(0,E5+E57/(1-(1-'Inputs'!$T$101)*E18))),0)</f>
      </c>
      <c r="F113">
        <f>IF(F3=1,IF(AND(F5=0,F57&lt;=0),0,MAX(0,F5+F57/(1-(1-'Inputs'!$T$101)*F18))),0)</f>
      </c>
      <c r="G113">
        <f>IF(G3=1,IF(AND(G5=0,G57&lt;=0),0,MAX(0,G5+G57/(1-(1-'Inputs'!$T$101)*G18))),0)</f>
      </c>
      <c r="H113">
        <f>IF(H3=1,IF(AND(H5=0,H57&lt;=0),0,MAX(0,H5+H57/(1-(1-'Inputs'!$T$101)*H18))),0)</f>
      </c>
      <c r="I113">
        <f>IF(I3=1,IF(AND(I5=0,I57&lt;=0),0,MAX(0,I5+I57/(1-(1-'Inputs'!$T$101)*I18))),0)</f>
      </c>
      <c r="J113">
        <f>IF(J3=1,IF(AND(J5=0,J57&lt;=0),0,MAX(0,J5+J57/(1-(1-'Inputs'!$T$101)*J18))),0)</f>
      </c>
      <c r="K113">
        <f>IF(K3=1,IF(AND(K5=0,K57&lt;=0),0,MAX(0,K5+K57/(1-(1-'Inputs'!$T$101)*K18))),0)</f>
      </c>
      <c r="L113">
        <f>IF(L3=1,IF(AND(L5=0,L57&lt;=0),0,MAX(0,L5+L57/(1-(1-'Inputs'!$T$101)*L18))),0)</f>
      </c>
      <c r="M113">
        <f>IF(M3=1,IF(AND(M5=0,M57&lt;=0),0,MAX(0,M5+M57/(1-(1-'Inputs'!$T$101)*M18))),0)</f>
      </c>
      <c r="N113">
        <f>IF(N3=1,IF(AND(N5=0,N57&lt;=0),0,MAX(0,N5+N57/(1-(1-'Inputs'!$T$101)*N18))),0)</f>
      </c>
      <c r="O113">
        <f>IF(O3=1,IF(AND(O5=0,O57&lt;=0),0,MAX(0,O5+O57/(1-(1-'Inputs'!$T$101)*O18))),0)</f>
      </c>
      <c r="P113">
        <f>IF(P3=1,IF(AND(P5=0,P57&lt;=0),0,MAX(0,P5+P57/(1-(1-'Inputs'!$T$101)*P18))),0)</f>
      </c>
      <c r="Q113">
        <f>IF(Q3=1,IF(AND(Q5=0,Q57&lt;=0),0,MAX(0,Q5+Q57/(1-(1-'Inputs'!$T$101)*Q18))),0)</f>
      </c>
      <c r="R113">
        <f>IF(R3=1,IF(AND(R5=0,R57&lt;=0),0,MAX(0,R5+R57/(1-(1-'Inputs'!$T$101)*R18))),0)</f>
      </c>
      <c r="S113">
        <f>IF(S3=1,IF(AND(S5=0,S57&lt;=0),0,MAX(0,S5+S57/(1-(1-'Inputs'!$T$101)*S18))),0)</f>
      </c>
      <c r="T113">
        <f>IF(T3=1,IF(AND(T5=0,T57&lt;=0),0,MAX(0,T5+T57/(1-(1-'Inputs'!$T$101)*T18))),0)</f>
      </c>
    </row>
    <row r="114" spans="2:20" x14ac:dyDescent="0.25">
      <c r="B114" t="s">
        <v>431</v>
      </c>
      <c r="C114">
        <f>IF(C3=1,IF(AND(C6=0,C69&lt;=0),0,MAX(0,C6+C69/(1-(1-'Inputs'!$T$102)*C18))),0)</f>
      </c>
      <c r="E114">
        <f>IF(E3=1,IF(AND(E6=0,E69&lt;=0),0,MAX(0,E6+E69/(1-(1-'Inputs'!$T$102)*E18))),0)</f>
      </c>
      <c r="F114">
        <f>IF(F3=1,IF(AND(F6=0,F69&lt;=0),0,MAX(0,F6+F69/(1-(1-'Inputs'!$T$102)*F18))),0)</f>
      </c>
      <c r="G114">
        <f>IF(G3=1,IF(AND(G6=0,G69&lt;=0),0,MAX(0,G6+G69/(1-(1-'Inputs'!$T$102)*G18))),0)</f>
      </c>
      <c r="H114">
        <f>IF(H3=1,IF(AND(H6=0,H69&lt;=0),0,MAX(0,H6+H69/(1-(1-'Inputs'!$T$102)*H18))),0)</f>
      </c>
      <c r="I114">
        <f>IF(I3=1,IF(AND(I6=0,I69&lt;=0),0,MAX(0,I6+I69/(1-(1-'Inputs'!$T$102)*I18))),0)</f>
      </c>
      <c r="J114">
        <f>IF(J3=1,IF(AND(J6=0,J69&lt;=0),0,MAX(0,J6+J69/(1-(1-'Inputs'!$T$102)*J18))),0)</f>
      </c>
      <c r="K114">
        <f>IF(K3=1,IF(AND(K6=0,K69&lt;=0),0,MAX(0,K6+K69/(1-(1-'Inputs'!$T$102)*K18))),0)</f>
      </c>
      <c r="L114">
        <f>IF(L3=1,IF(AND(L6=0,L69&lt;=0),0,MAX(0,L6+L69/(1-(1-'Inputs'!$T$102)*L18))),0)</f>
      </c>
      <c r="M114">
        <f>IF(M3=1,IF(AND(M6=0,M69&lt;=0),0,MAX(0,M6+M69/(1-(1-'Inputs'!$T$102)*M18))),0)</f>
      </c>
      <c r="N114">
        <f>IF(N3=1,IF(AND(N6=0,N69&lt;=0),0,MAX(0,N6+N69/(1-(1-'Inputs'!$T$102)*N18))),0)</f>
      </c>
      <c r="O114">
        <f>IF(O3=1,IF(AND(O6=0,O69&lt;=0),0,MAX(0,O6+O69/(1-(1-'Inputs'!$T$102)*O18))),0)</f>
      </c>
      <c r="P114">
        <f>IF(P3=1,IF(AND(P6=0,P69&lt;=0),0,MAX(0,P6+P69/(1-(1-'Inputs'!$T$102)*P18))),0)</f>
      </c>
      <c r="Q114">
        <f>IF(Q3=1,IF(AND(Q6=0,Q69&lt;=0),0,MAX(0,Q6+Q69/(1-(1-'Inputs'!$T$102)*Q18))),0)</f>
      </c>
      <c r="R114">
        <f>IF(R3=1,IF(AND(R6=0,R69&lt;=0),0,MAX(0,R6+R69/(1-(1-'Inputs'!$T$102)*R18))),0)</f>
      </c>
      <c r="S114">
        <f>IF(S3=1,IF(AND(S6=0,S69&lt;=0),0,MAX(0,S6+S69/(1-(1-'Inputs'!$T$102)*S18))),0)</f>
      </c>
      <c r="T114">
        <f>IF(T3=1,IF(AND(T6=0,T69&lt;=0),0,MAX(0,T6+T69/(1-(1-'Inputs'!$T$102)*T18))),0)</f>
      </c>
    </row>
    <row r="115" spans="2:20" x14ac:dyDescent="0.25">
      <c r="B115" t="s">
        <v>432</v>
      </c>
      <c r="C115">
        <f>IF(C3=1,IF(AND(C7=0,C81&lt;=0),0,MAX(0,C7+C81/(1-(1-'Inputs'!$T$103)*C18))),0)</f>
      </c>
      <c r="E115">
        <f>IF(E3=1,IF(AND(E7=0,E81&lt;=0),0,MAX(0,E7+E81/(1-(1-'Inputs'!$T$103)*E18))),0)</f>
      </c>
      <c r="F115">
        <f>IF(F3=1,IF(AND(F7=0,F81&lt;=0),0,MAX(0,F7+F81/(1-(1-'Inputs'!$T$103)*F18))),0)</f>
      </c>
      <c r="G115">
        <f>IF(G3=1,IF(AND(G7=0,G81&lt;=0),0,MAX(0,G7+G81/(1-(1-'Inputs'!$T$103)*G18))),0)</f>
      </c>
      <c r="H115">
        <f>IF(H3=1,IF(AND(H7=0,H81&lt;=0),0,MAX(0,H7+H81/(1-(1-'Inputs'!$T$103)*H18))),0)</f>
      </c>
      <c r="I115">
        <f>IF(I3=1,IF(AND(I7=0,I81&lt;=0),0,MAX(0,I7+I81/(1-(1-'Inputs'!$T$103)*I18))),0)</f>
      </c>
      <c r="J115">
        <f>IF(J3=1,IF(AND(J7=0,J81&lt;=0),0,MAX(0,J7+J81/(1-(1-'Inputs'!$T$103)*J18))),0)</f>
      </c>
      <c r="K115">
        <f>IF(K3=1,IF(AND(K7=0,K81&lt;=0),0,MAX(0,K7+K81/(1-(1-'Inputs'!$T$103)*K18))),0)</f>
      </c>
      <c r="L115">
        <f>IF(L3=1,IF(AND(L7=0,L81&lt;=0),0,MAX(0,L7+L81/(1-(1-'Inputs'!$T$103)*L18))),0)</f>
      </c>
      <c r="M115">
        <f>IF(M3=1,IF(AND(M7=0,M81&lt;=0),0,MAX(0,M7+M81/(1-(1-'Inputs'!$T$103)*M18))),0)</f>
      </c>
      <c r="N115">
        <f>IF(N3=1,IF(AND(N7=0,N81&lt;=0),0,MAX(0,N7+N81/(1-(1-'Inputs'!$T$103)*N18))),0)</f>
      </c>
      <c r="O115">
        <f>IF(O3=1,IF(AND(O7=0,O81&lt;=0),0,MAX(0,O7+O81/(1-(1-'Inputs'!$T$103)*O18))),0)</f>
      </c>
      <c r="P115">
        <f>IF(P3=1,IF(AND(P7=0,P81&lt;=0),0,MAX(0,P7+P81/(1-(1-'Inputs'!$T$103)*P18))),0)</f>
      </c>
      <c r="Q115">
        <f>IF(Q3=1,IF(AND(Q7=0,Q81&lt;=0),0,MAX(0,Q7+Q81/(1-(1-'Inputs'!$T$103)*Q18))),0)</f>
      </c>
      <c r="R115">
        <f>IF(R3=1,IF(AND(R7=0,R81&lt;=0),0,MAX(0,R7+R81/(1-(1-'Inputs'!$T$103)*R18))),0)</f>
      </c>
      <c r="S115">
        <f>IF(S3=1,IF(AND(S7=0,S81&lt;=0),0,MAX(0,S7+S81/(1-(1-'Inputs'!$T$103)*S18))),0)</f>
      </c>
      <c r="T115">
        <f>IF(T3=1,IF(AND(T7=0,T81&lt;=0),0,MAX(0,T7+T81/(1-(1-'Inputs'!$T$103)*T18))),0)</f>
      </c>
    </row>
    <row r="116" spans="2:20" x14ac:dyDescent="0.25">
      <c r="B116" t="s">
        <v>433</v>
      </c>
      <c r="C116">
        <f>IF(C3=1,IF(AND(C8=0,C93&lt;=0),0,MAX(0,C8+C93/(1-(1-'Inputs'!$T$104)*C18))),0)</f>
      </c>
      <c r="E116">
        <f>IF(E3=1,IF(AND(E8=0,E93&lt;=0),0,MAX(0,E8+E93/(1-(1-'Inputs'!$T$104)*E18))),0)</f>
      </c>
      <c r="F116">
        <f>IF(F3=1,IF(AND(F8=0,F93&lt;=0),0,MAX(0,F8+F93/(1-(1-'Inputs'!$T$104)*F18))),0)</f>
      </c>
      <c r="G116">
        <f>IF(G3=1,IF(AND(G8=0,G93&lt;=0),0,MAX(0,G8+G93/(1-(1-'Inputs'!$T$104)*G18))),0)</f>
      </c>
      <c r="H116">
        <f>IF(H3=1,IF(AND(H8=0,H93&lt;=0),0,MAX(0,H8+H93/(1-(1-'Inputs'!$T$104)*H18))),0)</f>
      </c>
      <c r="I116">
        <f>IF(I3=1,IF(AND(I8=0,I93&lt;=0),0,MAX(0,I8+I93/(1-(1-'Inputs'!$T$104)*I18))),0)</f>
      </c>
      <c r="J116">
        <f>IF(J3=1,IF(AND(J8=0,J93&lt;=0),0,MAX(0,J8+J93/(1-(1-'Inputs'!$T$104)*J18))),0)</f>
      </c>
      <c r="K116">
        <f>IF(K3=1,IF(AND(K8=0,K93&lt;=0),0,MAX(0,K8+K93/(1-(1-'Inputs'!$T$104)*K18))),0)</f>
      </c>
      <c r="L116">
        <f>IF(L3=1,IF(AND(L8=0,L93&lt;=0),0,MAX(0,L8+L93/(1-(1-'Inputs'!$T$104)*L18))),0)</f>
      </c>
      <c r="M116">
        <f>IF(M3=1,IF(AND(M8=0,M93&lt;=0),0,MAX(0,M8+M93/(1-(1-'Inputs'!$T$104)*M18))),0)</f>
      </c>
      <c r="N116">
        <f>IF(N3=1,IF(AND(N8=0,N93&lt;=0),0,MAX(0,N8+N93/(1-(1-'Inputs'!$T$104)*N18))),0)</f>
      </c>
      <c r="O116">
        <f>IF(O3=1,IF(AND(O8=0,O93&lt;=0),0,MAX(0,O8+O93/(1-(1-'Inputs'!$T$104)*O18))),0)</f>
      </c>
      <c r="P116">
        <f>IF(P3=1,IF(AND(P8=0,P93&lt;=0),0,MAX(0,P8+P93/(1-(1-'Inputs'!$T$104)*P18))),0)</f>
      </c>
      <c r="Q116">
        <f>IF(Q3=1,IF(AND(Q8=0,Q93&lt;=0),0,MAX(0,Q8+Q93/(1-(1-'Inputs'!$T$104)*Q18))),0)</f>
      </c>
      <c r="R116">
        <f>IF(R3=1,IF(AND(R8=0,R93&lt;=0),0,MAX(0,R8+R93/(1-(1-'Inputs'!$T$104)*R18))),0)</f>
      </c>
      <c r="S116">
        <f>IF(S3=1,IF(AND(S8=0,S93&lt;=0),0,MAX(0,S8+S93/(1-(1-'Inputs'!$T$104)*S18))),0)</f>
      </c>
      <c r="T116">
        <f>IF(T3=1,IF(AND(T8=0,T93&lt;=0),0,MAX(0,T8+T93/(1-(1-'Inputs'!$T$104)*T18))),0)</f>
      </c>
    </row>
    <row r="117" spans="2:20" x14ac:dyDescent="0.25">
      <c r="B117" t="s">
        <v>434</v>
      </c>
      <c r="C117">
        <f>IF(C3=1,IF(AND(C9=0,C105&lt;=0),0,MAX(0,C9+C105/(1-(1-'Inputs'!$T$105)*C18))),0)</f>
      </c>
      <c r="E117">
        <f>IF(E3=1,IF(AND(E9=0,E105&lt;=0),0,MAX(0,E9+E105/(1-(1-'Inputs'!$T$105)*E18))),0)</f>
      </c>
      <c r="F117">
        <f>IF(F3=1,IF(AND(F9=0,F105&lt;=0),0,MAX(0,F9+F105/(1-(1-'Inputs'!$T$105)*F18))),0)</f>
      </c>
      <c r="G117">
        <f>IF(G3=1,IF(AND(G9=0,G105&lt;=0),0,MAX(0,G9+G105/(1-(1-'Inputs'!$T$105)*G18))),0)</f>
      </c>
      <c r="H117">
        <f>IF(H3=1,IF(AND(H9=0,H105&lt;=0),0,MAX(0,H9+H105/(1-(1-'Inputs'!$T$105)*H18))),0)</f>
      </c>
      <c r="I117">
        <f>IF(I3=1,IF(AND(I9=0,I105&lt;=0),0,MAX(0,I9+I105/(1-(1-'Inputs'!$T$105)*I18))),0)</f>
      </c>
      <c r="J117">
        <f>IF(J3=1,IF(AND(J9=0,J105&lt;=0),0,MAX(0,J9+J105/(1-(1-'Inputs'!$T$105)*J18))),0)</f>
      </c>
      <c r="K117">
        <f>IF(K3=1,IF(AND(K9=0,K105&lt;=0),0,MAX(0,K9+K105/(1-(1-'Inputs'!$T$105)*K18))),0)</f>
      </c>
      <c r="L117">
        <f>IF(L3=1,IF(AND(L9=0,L105&lt;=0),0,MAX(0,L9+L105/(1-(1-'Inputs'!$T$105)*L18))),0)</f>
      </c>
      <c r="M117">
        <f>IF(M3=1,IF(AND(M9=0,M105&lt;=0),0,MAX(0,M9+M105/(1-(1-'Inputs'!$T$105)*M18))),0)</f>
      </c>
      <c r="N117">
        <f>IF(N3=1,IF(AND(N9=0,N105&lt;=0),0,MAX(0,N9+N105/(1-(1-'Inputs'!$T$105)*N18))),0)</f>
      </c>
      <c r="O117">
        <f>IF(O3=1,IF(AND(O9=0,O105&lt;=0),0,MAX(0,O9+O105/(1-(1-'Inputs'!$T$105)*O18))),0)</f>
      </c>
      <c r="P117">
        <f>IF(P3=1,IF(AND(P9=0,P105&lt;=0),0,MAX(0,P9+P105/(1-(1-'Inputs'!$T$105)*P18))),0)</f>
      </c>
      <c r="Q117">
        <f>IF(Q3=1,IF(AND(Q9=0,Q105&lt;=0),0,MAX(0,Q9+Q105/(1-(1-'Inputs'!$T$105)*Q18))),0)</f>
      </c>
      <c r="R117">
        <f>IF(R3=1,IF(AND(R9=0,R105&lt;=0),0,MAX(0,R9+R105/(1-(1-'Inputs'!$T$105)*R18))),0)</f>
      </c>
      <c r="S117">
        <f>IF(S3=1,IF(AND(S9=0,S105&lt;=0),0,MAX(0,S9+S105/(1-(1-'Inputs'!$T$105)*S18))),0)</f>
      </c>
      <c r="T117">
        <f>IF(T3=1,IF(AND(T9=0,T105&lt;=0),0,MAX(0,T9+T105/(1-(1-'Inputs'!$T$105)*T18))),0)</f>
      </c>
    </row>
    <row r="118" spans="2:20" x14ac:dyDescent="0.25">
      <c r="B118" t="s">
        <v>435</v>
      </c>
      <c r="C118">
        <f>IF(C3=1,IF(AND(C10=0,C27&lt;=0),0,MAX(0,C10+C27/((1-('Inputs'!$C$120/100*(1+'Inputs'!$C$121/100)))*(1-IF('Inputs'!$C$14="Spouse",0,C18))))),0)</f>
      </c>
      <c r="E118">
        <f>IF(E3=1,IF(AND(E10=0,E27&lt;=0),0,MAX(0,E10+E27/((1-('Inputs'!$C$120/100*(1+'Inputs'!$C$121/100)))*(1-IF('Inputs'!$C$14="Spouse",0,E18))))),0)</f>
      </c>
      <c r="F118">
        <f>IF(F3=1,IF(AND(F10=0,F27&lt;=0),0,MAX(0,F10+F27/((1-('Inputs'!$C$120/100*(1+'Inputs'!$C$121/100)))*(1-IF('Inputs'!$C$14="Spouse",0,F18))))),0)</f>
      </c>
      <c r="G118">
        <f>IF(G3=1,IF(AND(G10=0,G27&lt;=0),0,MAX(0,G10+G27/((1-('Inputs'!$C$120/100*(1+'Inputs'!$C$121/100)))*(1-IF('Inputs'!$C$14="Spouse",0,G18))))),0)</f>
      </c>
      <c r="H118">
        <f>IF(H3=1,IF(AND(H10=0,H27&lt;=0),0,MAX(0,H10+H27/((1-('Inputs'!$C$120/100*(1+'Inputs'!$C$121/100)))*(1-IF('Inputs'!$C$14="Spouse",0,H18))))),0)</f>
      </c>
      <c r="I118">
        <f>IF(I3=1,IF(AND(I10=0,I27&lt;=0),0,MAX(0,I10+I27/((1-('Inputs'!$C$120/100*(1+'Inputs'!$C$121/100)))*(1-IF('Inputs'!$C$14="Spouse",0,I18))))),0)</f>
      </c>
      <c r="J118">
        <f>IF(J3=1,IF(AND(J10=0,J27&lt;=0),0,MAX(0,J10+J27/((1-('Inputs'!$C$120/100*(1+'Inputs'!$C$121/100)))*(1-IF('Inputs'!$C$14="Spouse",0,J18))))),0)</f>
      </c>
      <c r="K118">
        <f>IF(K3=1,IF(AND(K10=0,K27&lt;=0),0,MAX(0,K10+K27/((1-('Inputs'!$C$120/100*(1+'Inputs'!$C$121/100)))*(1-IF('Inputs'!$C$14="Spouse",0,K18))))),0)</f>
      </c>
      <c r="L118">
        <f>IF(L3=1,IF(AND(L10=0,L27&lt;=0),0,MAX(0,L10+L27/((1-('Inputs'!$C$120/100*(1+'Inputs'!$C$121/100)))*(1-IF('Inputs'!$C$14="Spouse",0,L18))))),0)</f>
      </c>
      <c r="M118">
        <f>IF(M3=1,IF(AND(M10=0,M27&lt;=0),0,MAX(0,M10+M27/((1-('Inputs'!$C$120/100*(1+'Inputs'!$C$121/100)))*(1-IF('Inputs'!$C$14="Spouse",0,M18))))),0)</f>
      </c>
      <c r="N118">
        <f>IF(N3=1,IF(AND(N10=0,N27&lt;=0),0,MAX(0,N10+N27/((1-('Inputs'!$C$120/100*(1+'Inputs'!$C$121/100)))*(1-IF('Inputs'!$C$14="Spouse",0,N18))))),0)</f>
      </c>
      <c r="O118">
        <f>IF(O3=1,IF(AND(O10=0,O27&lt;=0),0,MAX(0,O10+O27/((1-('Inputs'!$C$120/100*(1+'Inputs'!$C$121/100)))*(1-IF('Inputs'!$C$14="Spouse",0,O18))))),0)</f>
      </c>
      <c r="P118">
        <f>IF(P3=1,IF(AND(P10=0,P27&lt;=0),0,MAX(0,P10+P27/((1-('Inputs'!$C$120/100*(1+'Inputs'!$C$121/100)))*(1-IF('Inputs'!$C$14="Spouse",0,P18))))),0)</f>
      </c>
      <c r="Q118">
        <f>IF(Q3=1,IF(AND(Q10=0,Q27&lt;=0),0,MAX(0,Q10+Q27/((1-('Inputs'!$C$120/100*(1+'Inputs'!$C$121/100)))*(1-IF('Inputs'!$C$14="Spouse",0,Q18))))),0)</f>
      </c>
      <c r="R118">
        <f>IF(R3=1,IF(AND(R10=0,R27&lt;=0),0,MAX(0,R10+R27/((1-('Inputs'!$C$120/100*(1+'Inputs'!$C$121/100)))*(1-IF('Inputs'!$C$14="Spouse",0,R18))))),0)</f>
      </c>
      <c r="S118">
        <f>IF(S3=1,IF(AND(S10=0,S27&lt;=0),0,MAX(0,S10+S27/((1-('Inputs'!$C$120/100*(1+'Inputs'!$C$121/100)))*(1-IF('Inputs'!$C$14="Spouse",0,S18))))),0)</f>
      </c>
      <c r="T118">
        <f>IF(T3=1,IF(AND(T10=0,T27&lt;=0),0,MAX(0,T10+T27/((1-('Inputs'!$C$120/100*(1+'Inputs'!$C$121/100)))*(1-IF('Inputs'!$C$14="Spouse",0,T18))))),0)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49</v>
      </c>
      <c r="C1" s="1"/>
      <c r="D1" s="1"/>
      <c r="E1" s="1"/>
      <c r="F1" s="1"/>
      <c r="G1" s="1"/>
      <c r="H1" s="1"/>
      <c r="I1" s="1"/>
    </row>
    <row r="2" ht="15" customHeight="1" spans="2:9" x14ac:dyDescent="0.25">
      <c r="B2" s="2" t="s">
        <v>50</v>
      </c>
      <c r="C2" s="2"/>
      <c r="D2" s="2"/>
      <c r="E2" s="2"/>
      <c r="F2" s="2"/>
      <c r="G2" s="2"/>
      <c r="H2" s="2"/>
      <c r="I2" s="2"/>
    </row>
    <row r="4" ht="20" customHeight="1" spans="2:2" x14ac:dyDescent="0.25">
      <c r="B4" s="3" t="s">
        <v>283</v>
      </c>
    </row>
    <row r="5" spans="2:2" x14ac:dyDescent="0.25">
      <c r="B5" s="4" t="s">
        <v>284</v>
      </c>
    </row>
    <row r="6" ht="18" customHeight="1" spans="2:9" x14ac:dyDescent="0.25">
      <c r="B6" s="5" t="s">
        <v>285</v>
      </c>
      <c r="C6" s="6"/>
      <c r="D6" s="6"/>
      <c r="E6" s="6"/>
      <c r="F6" s="6"/>
      <c r="G6" s="6"/>
      <c r="H6" s="6"/>
      <c r="I6" s="6"/>
    </row>
    <row r="7" ht="20" customHeight="1" spans="2:8" x14ac:dyDescent="0.25">
      <c r="B7" s="12" t="s">
        <v>175</v>
      </c>
      <c r="C7" s="13">
        <f>IF('Inputs'!$B$100="","",'Inputs'!$B$100)</f>
      </c>
      <c r="D7" s="13">
        <f>IF('Inputs'!$B$101="","",'Inputs'!$B$101)</f>
      </c>
      <c r="E7" s="13">
        <f>IF('Inputs'!$B$102="","",'Inputs'!$B$102)</f>
      </c>
      <c r="F7" s="13">
        <f>IF('Inputs'!$B$103="","",'Inputs'!$B$103)</f>
      </c>
      <c r="G7" s="13">
        <f>IF('Inputs'!$B$104="","",'Inputs'!$B$104)</f>
      </c>
      <c r="H7" s="13">
        <f>IF('Inputs'!$B$105="","",'Inputs'!$B$105)</f>
      </c>
    </row>
    <row r="8" spans="2:8" x14ac:dyDescent="0.25">
      <c r="B8" s="7" t="s">
        <v>286</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123</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197</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287</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288</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289</v>
      </c>
      <c r="C13" s="19">
        <f>IF('Inputs'!$B$100="","",SUMPRODUCT(('Inputs'!$G$76:$G$81='Inputs'!$B$100)*'Inputs'!$P$76:$P$81))</f>
      </c>
      <c r="D13" s="19">
        <f>IF('Inputs'!$B$101="","",SUMPRODUCT(('Inputs'!$G$76:$G$81='Inputs'!$B$101)*'Inputs'!$P$76:$P$81))</f>
      </c>
      <c r="E13" s="19">
        <f>IF('Inputs'!$B$102="","",SUMPRODUCT(('Inputs'!$G$76:$G$81='Inputs'!$B$102)*'Inputs'!$P$76:$P$81))</f>
      </c>
      <c r="F13" s="19">
        <f>IF('Inputs'!$B$103="","",SUMPRODUCT(('Inputs'!$G$76:$G$81='Inputs'!$B$103)*'Inputs'!$P$76:$P$81))</f>
      </c>
      <c r="G13" s="19">
        <f>IF('Inputs'!$B$104="","",SUMPRODUCT(('Inputs'!$G$76:$G$81='Inputs'!$B$104)*'Inputs'!$P$76:$P$81))</f>
      </c>
      <c r="H13" s="19">
        <f>IF('Inputs'!$B$105="","",SUMPRODUCT(('Inputs'!$G$76:$G$81='Inputs'!$B$105)*'Inputs'!$P$76:$P$81))</f>
      </c>
    </row>
    <row r="14" spans="2:8" x14ac:dyDescent="0.25">
      <c r="B14" s="7" t="s">
        <v>290</v>
      </c>
      <c r="C14" s="19">
        <f>IF('Inputs'!$B$100="","",IF('Inputs'!$U$100=1,"Yes",""))</f>
      </c>
      <c r="D14" s="19">
        <f>IF('Inputs'!$B$101="","",IF('Inputs'!$U$101=1,"Yes",""))</f>
      </c>
      <c r="E14" s="19">
        <f>IF('Inputs'!$B$102="","",IF('Inputs'!$U$102=1,"Yes",""))</f>
      </c>
      <c r="F14" s="19">
        <f>IF('Inputs'!$B$103="","",IF('Inputs'!$U$103=1,"Yes",""))</f>
      </c>
      <c r="G14" s="19">
        <f>IF('Inputs'!$B$104="","",IF('Inputs'!$U$104=1,"Yes",""))</f>
      </c>
      <c r="H14" s="19">
        <f>IF('Inputs'!$B$105="","",IF('Inputs'!$U$105=1,"Yes",""))</f>
      </c>
    </row>
    <row r="15" spans="2:8" x14ac:dyDescent="0.25">
      <c r="B15" s="7" t="s">
        <v>291</v>
      </c>
      <c r="C15" s="19">
        <f>IF('Inputs'!$B$100="","",'Needs calc'!$C$47)</f>
      </c>
      <c r="D15" s="19">
        <f>IF('Inputs'!$B$101="","",'Needs calc'!$C$59)</f>
      </c>
      <c r="E15" s="19">
        <f>IF('Inputs'!$B$102="","",'Needs calc'!$C$71)</f>
      </c>
      <c r="F15" s="19">
        <f>IF('Inputs'!$B$103="","",'Needs calc'!$C$83)</f>
      </c>
      <c r="G15" s="19">
        <f>IF('Inputs'!$B$104="","",'Needs calc'!$C$95)</f>
      </c>
      <c r="H15" s="19">
        <f>IF('Inputs'!$B$105="","",'Needs calc'!$C$107)</f>
      </c>
    </row>
    <row r="16" spans="2:8" x14ac:dyDescent="0.25">
      <c r="B16" s="30" t="s">
        <v>292</v>
      </c>
      <c r="C16" s="43">
        <f>IF('Inputs'!$B$100="","",'Needs calc'!$C$40)</f>
      </c>
      <c r="D16" s="43">
        <f>IF('Inputs'!$B$101="","",'Needs calc'!$C$52)</f>
      </c>
      <c r="E16" s="43">
        <f>IF('Inputs'!$B$102="","",'Needs calc'!$C$64)</f>
      </c>
      <c r="F16" s="43">
        <f>IF('Inputs'!$B$103="","",'Needs calc'!$C$76)</f>
      </c>
      <c r="G16" s="43">
        <f>IF('Inputs'!$B$104="","",'Needs calc'!$C$88)</f>
      </c>
      <c r="H16" s="43">
        <f>IF('Inputs'!$B$105="","",'Needs calc'!$C$100)</f>
      </c>
    </row>
    <row r="17" spans="2:8" x14ac:dyDescent="0.25">
      <c r="B17" s="7" t="s">
        <v>293</v>
      </c>
      <c r="C17" s="38">
        <f>IF('Inputs'!$B$100="","",'Needs calc'!$C$42)</f>
      </c>
      <c r="D17" s="38">
        <f>IF('Inputs'!$B$101="","",'Needs calc'!$C$54)</f>
      </c>
      <c r="E17" s="38">
        <f>IF('Inputs'!$B$102="","",'Needs calc'!$C$66)</f>
      </c>
      <c r="F17" s="38">
        <f>IF('Inputs'!$B$103="","",'Needs calc'!$C$78)</f>
      </c>
      <c r="G17" s="38">
        <f>IF('Inputs'!$B$104="","",'Needs calc'!$C$90)</f>
      </c>
      <c r="H17" s="38">
        <f>IF('Inputs'!$B$105="","",'Needs calc'!$C$102)</f>
      </c>
    </row>
    <row r="18" spans="2:8" x14ac:dyDescent="0.25">
      <c r="B18" s="7" t="s">
        <v>294</v>
      </c>
      <c r="C18" s="47">
        <f>IF('Inputs'!$B$100="","",'Needs calc'!$C$43)</f>
      </c>
      <c r="D18" s="47">
        <f>IF('Inputs'!$B$101="","",'Needs calc'!$C$55)</f>
      </c>
      <c r="E18" s="47">
        <f>IF('Inputs'!$B$102="","",'Needs calc'!$C$67)</f>
      </c>
      <c r="F18" s="47">
        <f>IF('Inputs'!$B$103="","",'Needs calc'!$C$79)</f>
      </c>
      <c r="G18" s="47">
        <f>IF('Inputs'!$B$104="","",'Needs calc'!$C$91)</f>
      </c>
      <c r="H18" s="47">
        <f>IF('Inputs'!$B$105="","",'Needs calc'!$C$103)</f>
      </c>
    </row>
    <row r="19" spans="2:8" x14ac:dyDescent="0.25">
      <c r="B19" s="7" t="s">
        <v>295</v>
      </c>
      <c r="C19" s="19">
        <f>IF('Inputs'!$B$100="","",'Needs calc'!$C$50)</f>
      </c>
      <c r="D19" s="19">
        <f>IF('Inputs'!$B$101="","",'Needs calc'!$C$62)</f>
      </c>
      <c r="E19" s="19">
        <f>IF('Inputs'!$B$102="","",'Needs calc'!$C$74)</f>
      </c>
      <c r="F19" s="19">
        <f>IF('Inputs'!$B$103="","",'Needs calc'!$C$86)</f>
      </c>
      <c r="G19" s="19">
        <f>IF('Inputs'!$B$104="","",'Needs calc'!$C$98)</f>
      </c>
      <c r="H19" s="19">
        <f>IF('Inputs'!$B$105="","",'Needs calc'!$C$110)</f>
      </c>
    </row>
    <row r="20" spans="2:8" x14ac:dyDescent="0.25">
      <c r="B20" s="30" t="s">
        <v>296</v>
      </c>
      <c r="C20" s="43">
        <f>IF('Inputs'!$B$100="","",'Needs calc'!$C$44)</f>
      </c>
      <c r="D20" s="43">
        <f>IF('Inputs'!$B$101="","",'Needs calc'!$C$56)</f>
      </c>
      <c r="E20" s="43">
        <f>IF('Inputs'!$B$102="","",'Needs calc'!$C$68)</f>
      </c>
      <c r="F20" s="43">
        <f>IF('Inputs'!$B$103="","",'Needs calc'!$C$80)</f>
      </c>
      <c r="G20" s="43">
        <f>IF('Inputs'!$B$104="","",'Needs calc'!$C$92)</f>
      </c>
      <c r="H20" s="43">
        <f>IF('Inputs'!$B$105="","",'Needs calc'!$C$104)</f>
      </c>
    </row>
    <row r="21" spans="2:8" x14ac:dyDescent="0.25">
      <c r="B21" s="30" t="s">
        <v>297</v>
      </c>
      <c r="C21" s="43">
        <f>IF('Inputs'!$B$100="","",'Needs calc'!$C$45)</f>
      </c>
      <c r="D21" s="43">
        <f>IF('Inputs'!$B$101="","",'Needs calc'!$C$57)</f>
      </c>
      <c r="E21" s="43">
        <f>IF('Inputs'!$B$102="","",'Needs calc'!$C$69)</f>
      </c>
      <c r="F21" s="43">
        <f>IF('Inputs'!$B$103="","",'Needs calc'!$C$81)</f>
      </c>
      <c r="G21" s="43">
        <f>IF('Inputs'!$B$104="","",'Needs calc'!$C$93)</f>
      </c>
      <c r="H21" s="43">
        <f>IF('Inputs'!$B$105="","",'Needs calc'!$C$105)</f>
      </c>
    </row>
    <row r="22" spans="2:8" x14ac:dyDescent="0.25">
      <c r="B22" s="7" t="s">
        <v>298</v>
      </c>
      <c r="C22" s="19">
        <f>IF('Inputs'!$B$100="","",'Needs calc'!$C$46)</f>
      </c>
      <c r="D22" s="19">
        <f>IF('Inputs'!$B$101="","",'Needs calc'!$C$58)</f>
      </c>
      <c r="E22" s="19">
        <f>IF('Inputs'!$B$102="","",'Needs calc'!$C$70)</f>
      </c>
      <c r="F22" s="19">
        <f>IF('Inputs'!$B$103="","",'Needs calc'!$C$82)</f>
      </c>
      <c r="G22" s="19">
        <f>IF('Inputs'!$B$104="","",'Needs calc'!$C$94)</f>
      </c>
      <c r="H22" s="19">
        <f>IF('Inputs'!$B$105="","",'Needs calc'!$C$106)</f>
      </c>
    </row>
    <row r="24" ht="18" customHeight="1" spans="2:9" x14ac:dyDescent="0.25">
      <c r="B24" s="5" t="s">
        <v>299</v>
      </c>
      <c r="C24" s="6"/>
      <c r="D24" s="6"/>
      <c r="E24" s="6"/>
      <c r="F24" s="6"/>
      <c r="G24" s="6"/>
      <c r="H24" s="6"/>
      <c r="I24" s="6"/>
    </row>
    <row r="25" ht="20" customHeight="1" spans="2:8" x14ac:dyDescent="0.25">
      <c r="B25" s="12" t="s">
        <v>175</v>
      </c>
      <c r="C25" s="13">
        <f>IF('Inputs'!$B$100="","",'Inputs'!$B$100)</f>
      </c>
      <c r="D25" s="13">
        <f>IF('Inputs'!$B$101="","",'Inputs'!$B$101)</f>
      </c>
      <c r="E25" s="13">
        <f>IF('Inputs'!$B$102="","",'Inputs'!$B$102)</f>
      </c>
      <c r="F25" s="13">
        <f>IF('Inputs'!$B$103="","",'Inputs'!$B$103)</f>
      </c>
      <c r="G25" s="13">
        <f>IF('Inputs'!$B$104="","",'Inputs'!$B$104)</f>
      </c>
      <c r="H25" s="13">
        <f>IF('Inputs'!$B$105="","",'Inputs'!$B$105)</f>
      </c>
    </row>
    <row r="26" spans="2:8" x14ac:dyDescent="0.25">
      <c r="B26" s="30" t="s">
        <v>300</v>
      </c>
      <c r="C26" s="43">
        <f>IF('Inputs'!$B$100="","",'Needs calc'!$T$4)</f>
      </c>
      <c r="D26" s="43">
        <f>IF('Inputs'!$B$101="","",'Needs calc'!$T$5)</f>
      </c>
      <c r="E26" s="43">
        <f>IF('Inputs'!$B$102="","",'Needs calc'!$T$6)</f>
      </c>
      <c r="F26" s="43">
        <f>IF('Inputs'!$B$103="","",'Needs calc'!$T$7)</f>
      </c>
      <c r="G26" s="43">
        <f>IF('Inputs'!$B$104="","",'Needs calc'!$T$8)</f>
      </c>
      <c r="H26" s="43">
        <f>IF('Inputs'!$B$105="","",'Needs calc'!$T$9)</f>
      </c>
    </row>
    <row r="27" spans="2:8" x14ac:dyDescent="0.25">
      <c r="B27" s="7" t="s">
        <v>301</v>
      </c>
      <c r="C27" s="19">
        <f>IF('Inputs'!$B$100="","",IF('Needs calc'!$T$4=0,"",IF('Inputs'!$T$100=1,"spouse, no duty",IF('Inputs'!$Q$100=1,"the trust","them"))))</f>
      </c>
      <c r="D27" s="19">
        <f>IF('Inputs'!$B$101="","",IF('Needs calc'!$T$5=0,"",IF('Inputs'!$T$101=1,"spouse, no duty",IF('Inputs'!$Q$101=1,"the trust","them"))))</f>
      </c>
      <c r="E27" s="19">
        <f>IF('Inputs'!$B$102="","",IF('Needs calc'!$T$6=0,"",IF('Inputs'!$T$102=1,"spouse, no duty",IF('Inputs'!$Q$102=1,"the trust","them"))))</f>
      </c>
      <c r="F27" s="19">
        <f>IF('Inputs'!$B$103="","",IF('Needs calc'!$T$7=0,"",IF('Inputs'!$T$103=1,"spouse, no duty",IF('Inputs'!$Q$103=1,"the trust","them"))))</f>
      </c>
      <c r="G27" s="19">
        <f>IF('Inputs'!$B$104="","",IF('Needs calc'!$T$8=0,"",IF('Inputs'!$T$104=1,"spouse, no duty",IF('Inputs'!$Q$104=1,"the trust","them"))))</f>
      </c>
      <c r="H27" s="19">
        <f>IF('Inputs'!$B$105="","",IF('Needs calc'!$T$9=0,"",IF('Inputs'!$T$105=1,"spouse, no duty",IF('Inputs'!$Q$105=1,"the trust","them"))))</f>
      </c>
    </row>
    <row r="28" spans="2:8" x14ac:dyDescent="0.25">
      <c r="B28" s="7" t="s">
        <v>302</v>
      </c>
      <c r="C28" s="19">
        <f>IF('Inputs'!$B$100="","",'Needs calc'!$T$40)</f>
      </c>
      <c r="D28" s="19">
        <f>IF('Inputs'!$B$101="","",'Needs calc'!$T$52)</f>
      </c>
      <c r="E28" s="19">
        <f>IF('Inputs'!$B$102="","",'Needs calc'!$T$64)</f>
      </c>
      <c r="F28" s="19">
        <f>IF('Inputs'!$B$103="","",'Needs calc'!$T$76)</f>
      </c>
      <c r="G28" s="19">
        <f>IF('Inputs'!$B$104="","",'Needs calc'!$T$88)</f>
      </c>
      <c r="H28" s="19">
        <f>IF('Inputs'!$B$105="","",'Needs calc'!$T$100)</f>
      </c>
    </row>
    <row r="29" spans="2:8" x14ac:dyDescent="0.25">
      <c r="B29" s="7" t="s">
        <v>303</v>
      </c>
      <c r="C29" s="38">
        <f>IF('Inputs'!$B$100="","",'Needs calc'!$T$42)</f>
      </c>
      <c r="D29" s="38">
        <f>IF('Inputs'!$B$101="","",'Needs calc'!$T$54)</f>
      </c>
      <c r="E29" s="38">
        <f>IF('Inputs'!$B$102="","",'Needs calc'!$T$66)</f>
      </c>
      <c r="F29" s="38">
        <f>IF('Inputs'!$B$103="","",'Needs calc'!$T$78)</f>
      </c>
      <c r="G29" s="38">
        <f>IF('Inputs'!$B$104="","",'Needs calc'!$T$90)</f>
      </c>
      <c r="H29" s="38">
        <f>IF('Inputs'!$B$105="","",'Needs calc'!$T$102)</f>
      </c>
    </row>
    <row r="30" spans="2:8" x14ac:dyDescent="0.25">
      <c r="B30" s="7" t="s">
        <v>304</v>
      </c>
      <c r="C30" s="19">
        <f>IF('Inputs'!$B$100="","",'Needs calc'!$T$44)</f>
      </c>
      <c r="D30" s="19">
        <f>IF('Inputs'!$B$101="","",'Needs calc'!$T$56)</f>
      </c>
      <c r="E30" s="19">
        <f>IF('Inputs'!$B$102="","",'Needs calc'!$T$68)</f>
      </c>
      <c r="F30" s="19">
        <f>IF('Inputs'!$B$103="","",'Needs calc'!$T$80)</f>
      </c>
      <c r="G30" s="19">
        <f>IF('Inputs'!$B$104="","",'Needs calc'!$T$92)</f>
      </c>
      <c r="H30" s="19">
        <f>IF('Inputs'!$B$105="","",'Needs calc'!$T$104)</f>
      </c>
    </row>
    <row r="31" spans="2:8" x14ac:dyDescent="0.25">
      <c r="B31" s="7" t="s">
        <v>305</v>
      </c>
      <c r="C31" s="19">
        <f>IF('Inputs'!$B$100="","",'Needs calc'!$T$45)</f>
      </c>
      <c r="D31" s="19">
        <f>IF('Inputs'!$B$101="","",'Needs calc'!$T$57)</f>
      </c>
      <c r="E31" s="19">
        <f>IF('Inputs'!$B$102="","",'Needs calc'!$T$69)</f>
      </c>
      <c r="F31" s="19">
        <f>IF('Inputs'!$B$103="","",'Needs calc'!$T$81)</f>
      </c>
      <c r="G31" s="19">
        <f>IF('Inputs'!$B$104="","",'Needs calc'!$T$93)</f>
      </c>
      <c r="H31" s="19">
        <f>IF('Inputs'!$B$105="","",'Needs calc'!$T$105)</f>
      </c>
    </row>
    <row r="33" spans="2:3" x14ac:dyDescent="0.25">
      <c r="B33" s="7" t="s">
        <v>306</v>
      </c>
      <c r="C33" s="19">
        <f>'Workings'!$C$69</f>
      </c>
    </row>
    <row r="34" ht="27" customHeight="1" spans="2:3" x14ac:dyDescent="0.25">
      <c r="B34" s="7" t="s">
        <v>307</v>
      </c>
      <c r="C34" s="19">
        <f>'Needs calc'!$T$10</f>
      </c>
    </row>
    <row r="35" spans="2:3" x14ac:dyDescent="0.25">
      <c r="B35" s="7" t="s">
        <v>308</v>
      </c>
      <c r="C35" s="19">
        <f>'Needs calc'!$T$27</f>
      </c>
    </row>
    <row r="36" ht="27" customHeight="1" spans="2:3" x14ac:dyDescent="0.25">
      <c r="B36" s="7" t="s">
        <v>309</v>
      </c>
      <c r="C36" s="19">
        <f>IF(AND(OR(LEFT('Inputs'!$C$13,7)="Married",'Inputs'!$C$13="Life partner",'Inputs'!$C$13="Civil Union"),'Workings'!$C$69&gt;0),'Workings'!$C$69,0)</f>
      </c>
    </row>
    <row r="37" spans="2:3" x14ac:dyDescent="0.25">
      <c r="B37" s="7" t="s">
        <v>310</v>
      </c>
      <c r="C37" s="19">
        <f>'Needs calc'!$T$17</f>
      </c>
    </row>
    <row r="38" spans="2:3" x14ac:dyDescent="0.25">
      <c r="B38" s="7" t="s">
        <v>311</v>
      </c>
      <c r="C38" s="45">
        <f>'Needs calc'!$T$18</f>
      </c>
    </row>
    <row r="39" spans="2:3" x14ac:dyDescent="0.25">
      <c r="B39" s="7" t="s">
        <v>312</v>
      </c>
      <c r="C39" s="19">
        <f>'Needs calc'!$T$26</f>
      </c>
    </row>
    <row r="40" spans="2:3" x14ac:dyDescent="0.25">
      <c r="B40" s="30" t="s">
        <v>313</v>
      </c>
      <c r="C40" s="43">
        <f>('Needs calc'!$T$10+('Needs calc'!$T$4+'Needs calc'!$T$5+'Needs calc'!$T$6+'Needs calc'!$T$7+'Needs calc'!$T$8+'Needs calc'!$T$9))</f>
      </c>
    </row>
    <row r="42" ht="18" customHeight="1" spans="2:9" x14ac:dyDescent="0.25">
      <c r="B42" s="5" t="s">
        <v>314</v>
      </c>
      <c r="C42" s="6"/>
      <c r="D42" s="6"/>
      <c r="E42" s="6"/>
      <c r="F42" s="6"/>
      <c r="G42" s="6"/>
      <c r="H42" s="6"/>
      <c r="I42" s="6"/>
    </row>
    <row r="43" ht="20" customHeight="1" spans="2:8" x14ac:dyDescent="0.25">
      <c r="B43" s="12" t="s">
        <v>175</v>
      </c>
      <c r="C43" s="13">
        <f>IF('Inputs'!$B$100="","",'Inputs'!$B$100)</f>
      </c>
      <c r="D43" s="13">
        <f>IF('Inputs'!$B$101="","",'Inputs'!$B$101)</f>
      </c>
      <c r="E43" s="13">
        <f>IF('Inputs'!$B$102="","",'Inputs'!$B$102)</f>
      </c>
      <c r="F43" s="13">
        <f>IF('Inputs'!$B$103="","",'Inputs'!$B$103)</f>
      </c>
      <c r="G43" s="13">
        <f>IF('Inputs'!$B$104="","",'Inputs'!$B$104)</f>
      </c>
      <c r="H43" s="13">
        <f>IF('Inputs'!$B$105="","",'Inputs'!$B$105)</f>
      </c>
    </row>
    <row r="44" spans="2:8" x14ac:dyDescent="0.25">
      <c r="B44" s="7" t="s">
        <v>315</v>
      </c>
      <c r="C44" s="19">
        <f>IF('Inputs'!$B$100="","",'Needs years'!$C$11)</f>
      </c>
      <c r="D44" s="19">
        <f>IF('Inputs'!$B$101="","",'Needs years'!$C$67)</f>
      </c>
      <c r="E44" s="19">
        <f>IF('Inputs'!$B$102="","",'Needs years'!$C$123)</f>
      </c>
      <c r="F44" s="19">
        <f>IF('Inputs'!$B$103="","",'Needs years'!$C$179)</f>
      </c>
      <c r="G44" s="19">
        <f>IF('Inputs'!$B$104="","",'Needs years'!$C$235)</f>
      </c>
      <c r="H44" s="19">
        <f>IF('Inputs'!$B$105="","",'Needs years'!$C$291)</f>
      </c>
    </row>
    <row r="45" spans="2:8" x14ac:dyDescent="0.25">
      <c r="B45" s="7" t="s">
        <v>316</v>
      </c>
      <c r="C45" s="19">
        <f>IF('Inputs'!$B$100="","",'Needs years'!$C$12)</f>
      </c>
      <c r="D45" s="19">
        <f>IF('Inputs'!$B$101="","",'Needs years'!$C$68)</f>
      </c>
      <c r="E45" s="19">
        <f>IF('Inputs'!$B$102="","",'Needs years'!$C$124)</f>
      </c>
      <c r="F45" s="19">
        <f>IF('Inputs'!$B$103="","",'Needs years'!$C$180)</f>
      </c>
      <c r="G45" s="19">
        <f>IF('Inputs'!$B$104="","",'Needs years'!$C$236)</f>
      </c>
      <c r="H45" s="19">
        <f>IF('Inputs'!$B$105="","",'Needs years'!$C$292)</f>
      </c>
    </row>
    <row r="46" spans="2:8" x14ac:dyDescent="0.25">
      <c r="B46" s="7" t="s">
        <v>317</v>
      </c>
      <c r="C46" s="19">
        <f>IF('Inputs'!$B$100="","",'Needs years'!$C$13)</f>
      </c>
      <c r="D46" s="19">
        <f>IF('Inputs'!$B$101="","",'Needs years'!$C$69)</f>
      </c>
      <c r="E46" s="19">
        <f>IF('Inputs'!$B$102="","",'Needs years'!$C$125)</f>
      </c>
      <c r="F46" s="19">
        <f>IF('Inputs'!$B$103="","",'Needs years'!$C$181)</f>
      </c>
      <c r="G46" s="19">
        <f>IF('Inputs'!$B$104="","",'Needs years'!$C$237)</f>
      </c>
      <c r="H46" s="19">
        <f>IF('Inputs'!$B$105="","",'Needs years'!$C$293)</f>
      </c>
    </row>
    <row r="48" ht="96" customHeight="1" spans="2:9" x14ac:dyDescent="0.25">
      <c r="B48" s="36">
        <f>"Basis: monthly needs are net, paid monthly in advance from the date of death and rising at each anniversary. Capital for a person earns "&amp;FIXED('Inputs'!$H$122,1)&amp;"% a year before tax as a unit trust, taxed in their hands at their marginal rate m (their own income plus the taxable part of what the capital earns): E(m) = "&amp;FIXED('Inputs'!$H$125,2)&amp;"% x m + "&amp;FIXED('Inputs'!$H$126,2)&amp;"% x "&amp;FIXED('Inputs'!$H$128,0)&amp;"% + "&amp;FIXED('Inputs'!$H$127,2)&amp;"% x "&amp;FIXED('Inputs'!$H$120,0)&amp;"% x m, less trustee fees of "&amp;FIXED('Inputs'!$H$123,1)&amp;"%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"&amp;FIXED('Inputs'!$H$122,1)&amp;"% a year, and that person pays the duty on it unless it goes to the spouse (s.4(q)).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8" s="36"/>
      <c r="D48" s="36"/>
      <c r="E48" s="36"/>
      <c r="F48" s="36"/>
      <c r="G48" s="36"/>
      <c r="H48" s="36"/>
      <c r="I48" s="36"/>
    </row>
  </sheetData>
  <sheetProtection sheet="1" formatRows="0"/>
  <mergeCells count="3">
    <mergeCell ref="B1:I1"/>
    <mergeCell ref="B2:I2"/>
    <mergeCell ref="B48:I48"/>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49</v>
      </c>
      <c r="C1" s="1"/>
      <c r="D1" s="1"/>
      <c r="E1" s="1"/>
      <c r="F1" s="1"/>
    </row>
    <row r="2" ht="15" customHeight="1" spans="2:6" x14ac:dyDescent="0.25">
      <c r="B2" s="2" t="s">
        <v>50</v>
      </c>
      <c r="C2" s="2"/>
      <c r="D2" s="2"/>
      <c r="E2" s="2"/>
      <c r="F2" s="2"/>
    </row>
    <row r="3" spans="2:6" x14ac:dyDescent="0.25">
      <c r="B3" s="24">
        <f>IF(OR(COUNTIF('Inputs'!$B$155:$B$168,"✗ Full FNA*")&gt;0,LEFT('Inputs'!$B$147,1)="✗"),"NOT FOR THE CLIENT: this case needs the full FNA (see Checks on Inputs)","")</f>
      </c>
      <c r="C3" s="24"/>
      <c r="D3" s="24"/>
      <c r="E3" s="24"/>
      <c r="F3" s="24"/>
    </row>
    <row r="4" ht="20" customHeight="1" spans="2:2" x14ac:dyDescent="0.25">
      <c r="B4" s="3" t="s">
        <v>189</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calc'!$C$57&gt;0)+('Needs calc'!$C$69&gt;0)+('Needs calc'!$C$81&gt;0)+('Needs calc'!$C$93&gt;0)+('Needs calc'!$C$105&gt;0))=0,"everyone who depends on you would have what you want for them.",'Needs years'!$C$19&amp;'Needs years'!$C$75&amp;'Needs years'!$C$131&amp;'Needs years'!$C$187&amp;'Needs years'!$C$243&amp;'Needs years'!$C$299&amp;IF((('Needs calc'!$C$45&gt;0)+('Needs calc'!$C$57&gt;0)+('Needs calc'!$C$69&gt;0)+('Needs calc'!$C$81&gt;0)+('Needs calc'!$C$93&gt;0)+('Needs calc'!$C$105&gt;0))&lt;COUNTIF('Inputs'!$B$100:$B$105,"?*")-SUM('Inputs'!$U$100:$U$105),"Everyone else is provided for.",""))))</f>
      </c>
      <c r="C7" s="25"/>
      <c r="D7" s="25"/>
      <c r="E7" s="25"/>
      <c r="F7" s="25"/>
    </row>
    <row r="8" ht="30" customHeight="1" spans="2:6" x14ac:dyDescent="0.25">
      <c r="B8" s="25">
        <f>IF('Workings'!$C$69&gt;0,"Your estate itself would be short of cash by about R "&amp;FIXED(ROUND('Workings'!$C$69,-3),0)&amp;" to pay its debts and costs.","Your estate itself has enough cash to pay its debts and costs, with about R "&amp;FIXED(ROUND('Workings'!$C$70,-3),0)&amp;" left over for your heirs.")</f>
      </c>
      <c r="C8" s="25"/>
      <c r="D8" s="25"/>
      <c r="E8" s="25"/>
      <c r="F8" s="25"/>
    </row>
    <row r="10" spans="2:6" x14ac:dyDescent="0.25">
      <c r="B10" s="26">
        <f>IF(('Needs calc'!$T$10+('Needs calc'!$T$4+'Needs calc'!$T$5+'Needs calc'!$T$6+'Needs calc'!$T$7+'Needs calc'!$T$8+'Needs calc'!$T$9))&gt;0,"TOTAL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for your estate and R "&amp;FIXED(ROUND(('Needs calc'!$T$4+'Needs calc'!$T$5+'Needs calc'!$T$6+'Needs calc'!$T$7+'Needs calc'!$T$8+'Needs calc'!$T$9),-3),0)&amp;" for the people who depend on you","for the people who depend on you")&amp;IF('Needs calc'!$T$17&gt;'Needs calc'!$C$17+0.005,", after the estate duty it brings",""),"on the needs you gave us, as your policies and will instructions stand today")</f>
      </c>
      <c r="C12" s="28"/>
      <c r="D12" s="28"/>
      <c r="E12" s="28"/>
      <c r="F12" s="28"/>
    </row>
    <row r="14" spans="2:6" x14ac:dyDescent="0.25">
      <c r="B14" s="12" t="s">
        <v>190</v>
      </c>
      <c r="C14" s="12" t="s">
        <v>175</v>
      </c>
      <c r="D14" s="12"/>
      <c r="E14" s="12"/>
      <c r="F14" s="12"/>
    </row>
    <row r="15" spans="2:6" x14ac:dyDescent="0.25">
      <c r="B15" s="7" t="s">
        <v>191</v>
      </c>
      <c r="C15" s="15">
        <f>'Workings'!$C$65</f>
      </c>
      <c r="D15" s="15"/>
      <c r="E15" s="15"/>
      <c r="F15" s="15"/>
    </row>
    <row r="16" spans="2:6" x14ac:dyDescent="0.25">
      <c r="B16" s="7" t="s">
        <v>192</v>
      </c>
      <c r="C16" s="15">
        <f>'Workings'!$C$68</f>
      </c>
      <c r="D16" s="15"/>
      <c r="E16" s="15"/>
      <c r="F16" s="15"/>
    </row>
    <row r="17" ht="30" customHeight="1" spans="2:6" x14ac:dyDescent="0.25">
      <c r="B17" s="7" t="s">
        <v>193</v>
      </c>
      <c r="C17" s="37">
        <f>IF('Workings'!$C$69&gt;0,"Short R "&amp;FIXED(ROUND('Workings'!$C$69,-3),0)&amp;". Cover paid to your estate to close it: R "&amp;FIXED(ROUND('Needs calc'!$T$10,-3),0)&amp;IF(OR(LEFT('Inputs'!$C$13,7)="Married",'Inputs'!$C$13="Life partner",'Inputs'!$C$13="Civil Union")," (or R "&amp;FIXED(ROUND('Workings'!$C$69,-3),0)&amp;" nominated to your spouse, who pays it in)","")&amp;".","Covered: R "&amp;FIXED(ROUND('Workings'!$C$70,-3),0)&amp;" left for your heirs")</f>
      </c>
      <c r="D17" s="37"/>
      <c r="E17" s="37"/>
      <c r="F17" s="37"/>
    </row>
    <row r="19" ht="20" customHeight="1" spans="2:6" x14ac:dyDescent="0.25">
      <c r="B19" s="12" t="s">
        <v>194</v>
      </c>
      <c r="C19" s="13">
        <f>IF('Inputs'!$B$100="","",'Inputs'!$B$100)</f>
      </c>
      <c r="D19" s="13">
        <f>IF('Inputs'!$B$101="","",'Inputs'!$B$101)</f>
      </c>
      <c r="E19" s="13">
        <f>IF('Inputs'!$B$102="","",'Inputs'!$B$102)</f>
      </c>
      <c r="F19" s="13">
        <f>IF('Inputs'!$B$103="","",'Inputs'!$B$103)</f>
      </c>
    </row>
    <row r="20" spans="2:6" x14ac:dyDescent="0.25">
      <c r="B20" s="7" t="s">
        <v>195</v>
      </c>
      <c r="C20" s="15">
        <f>IF('Inputs'!$B$100="","",N('Inputs'!$E$100))</f>
      </c>
      <c r="D20" s="15">
        <f>IF('Inputs'!$B$101="","",N('Inputs'!$E$101))</f>
      </c>
      <c r="E20" s="15">
        <f>IF('Inputs'!$B$102="","",N('Inputs'!$E$102))</f>
      </c>
      <c r="F20" s="15">
        <f>IF('Inputs'!$B$103="","",N('Inputs'!$E$103))</f>
      </c>
    </row>
    <row r="21" spans="2:6" x14ac:dyDescent="0.25">
      <c r="B21" s="7" t="s">
        <v>196</v>
      </c>
      <c r="C21" s="34">
        <f>IF('Inputs'!$B$100="","",IF('Needs years'!$C$6=0,"",'Needs years'!$C$6&amp;" years"))</f>
      </c>
      <c r="D21" s="34">
        <f>IF('Inputs'!$B$101="","",IF('Needs years'!$C$62=0,"",'Needs years'!$C$62&amp;" years"))</f>
      </c>
      <c r="E21" s="34">
        <f>IF('Inputs'!$B$102="","",IF('Needs years'!$C$118=0,"",'Needs years'!$C$118&amp;" years"))</f>
      </c>
      <c r="F21" s="34">
        <f>IF('Inputs'!$B$103="","",IF('Needs years'!$C$174=0,"",'Needs years'!$C$174&amp;" years"))</f>
      </c>
    </row>
    <row r="22" spans="2:6" x14ac:dyDescent="0.25">
      <c r="B22" s="7" t="s">
        <v>197</v>
      </c>
      <c r="C22" s="38">
        <f>IF('Inputs'!$B$100="","",IF('Needs years'!$C$6=0,"",'Needs years'!$C$8))</f>
      </c>
      <c r="D22" s="38">
        <f>IF('Inputs'!$B$101="","",IF('Needs years'!$C$62=0,"",'Needs years'!$C$64))</f>
      </c>
      <c r="E22" s="38">
        <f>IF('Inputs'!$B$102="","",IF('Needs years'!$C$118=0,"",'Needs years'!$C$120))</f>
      </c>
      <c r="F22" s="38">
        <f>IF('Inputs'!$B$103="","",IF('Needs years'!$C$174=0,"",'Needs years'!$C$176))</f>
      </c>
    </row>
    <row r="23" spans="2:6" x14ac:dyDescent="0.25">
      <c r="B23" s="7" t="s">
        <v>198</v>
      </c>
      <c r="C23" s="15">
        <f>IF('Inputs'!$B$100="","",'Needs years'!$C$10)</f>
      </c>
      <c r="D23" s="15">
        <f>IF('Inputs'!$B$101="","",'Needs years'!$C$66)</f>
      </c>
      <c r="E23" s="15">
        <f>IF('Inputs'!$B$102="","",'Needs years'!$C$122)</f>
      </c>
      <c r="F23" s="15">
        <f>IF('Inputs'!$B$103="","",'Needs years'!$C$178)</f>
      </c>
    </row>
    <row r="24" spans="2:6" x14ac:dyDescent="0.25">
      <c r="B24" s="7" t="s">
        <v>199</v>
      </c>
      <c r="C24" s="15">
        <f>IF('Inputs'!$B$100="","",'Needs years'!$C$15)</f>
      </c>
      <c r="D24" s="15">
        <f>IF('Inputs'!$B$101="","",'Needs years'!$C$71)</f>
      </c>
      <c r="E24" s="15">
        <f>IF('Inputs'!$B$102="","",'Needs years'!$C$127)</f>
      </c>
      <c r="F24" s="15">
        <f>IF('Inputs'!$B$103="","",'Needs years'!$C$183)</f>
      </c>
    </row>
    <row r="25" spans="2:6" x14ac:dyDescent="0.25">
      <c r="B25" s="7" t="s">
        <v>200</v>
      </c>
      <c r="C25" s="15">
        <f>IF('Inputs'!$B$100="","",'Needs years'!$C$21)</f>
      </c>
      <c r="D25" s="15">
        <f>IF('Inputs'!$B$101="","",'Needs years'!$C$77)</f>
      </c>
      <c r="E25" s="15">
        <f>IF('Inputs'!$B$102="","",'Needs years'!$C$133)</f>
      </c>
      <c r="F25" s="15">
        <f>IF('Inputs'!$B$103="","",'Needs years'!$C$189)</f>
      </c>
    </row>
    <row r="26" spans="2:6" x14ac:dyDescent="0.25">
      <c r="B26" s="30" t="s">
        <v>201</v>
      </c>
      <c r="C26" s="31">
        <f>IF('Inputs'!$B$100="","",'Needs calc'!$C$50)</f>
      </c>
      <c r="D26" s="31">
        <f>IF('Inputs'!$B$101="","",'Needs calc'!$C$62)</f>
      </c>
      <c r="E26" s="31">
        <f>IF('Inputs'!$B$102="","",'Needs calc'!$C$74)</f>
      </c>
      <c r="F26" s="31">
        <f>IF('Inputs'!$B$103="","",'Needs calc'!$C$86)</f>
      </c>
    </row>
    <row r="27" spans="2:6" x14ac:dyDescent="0.25">
      <c r="B27" s="30">
        <f>IF(SUM('Inputs'!$U$100:$U$105)&gt;0,"Capital needed, with the children","")</f>
      </c>
      <c r="C27" s="31">
        <f>IF('Inputs'!$B$100="","",IF('Inputs'!$U$100=1,"with "&amp;'Needs years'!$C$1,IF('Inputs'!$O$100*SUM('Inputs'!$U$100:$U$105)&gt;0,'Needs calc'!$C$44,"")))</f>
      </c>
      <c r="D27" s="31">
        <f>IF('Inputs'!$B$101="","",IF('Inputs'!$U$101=1,"with "&amp;'Needs years'!$C$1,IF('Inputs'!$O$101*SUM('Inputs'!$U$100:$U$105)&gt;0,'Needs calc'!$C$56,"")))</f>
      </c>
      <c r="E27" s="31">
        <f>IF('Inputs'!$B$102="","",IF('Inputs'!$U$102=1,"with "&amp;'Needs years'!$C$1,IF('Inputs'!$O$102*SUM('Inputs'!$U$100:$U$105)&gt;0,'Needs calc'!$C$68,"")))</f>
      </c>
      <c r="F27" s="31">
        <f>IF('Inputs'!$B$103="","",IF('Inputs'!$U$103=1,"with "&amp;'Needs years'!$C$1,IF('Inputs'!$O$103*SUM('Inputs'!$U$100:$U$105)&gt;0,'Needs calc'!$C$80,"")))</f>
      </c>
    </row>
    <row r="28" spans="2:6" x14ac:dyDescent="0.25">
      <c r="B28" s="7" t="s">
        <v>202</v>
      </c>
      <c r="C28" s="15">
        <f>IF('Inputs'!$B$100="","",IF('Inputs'!$U$100=1,"with "&amp;'Needs years'!$C$1,'Needs calc'!$C$40))</f>
      </c>
      <c r="D28" s="15">
        <f>IF('Inputs'!$B$101="","",IF('Inputs'!$U$101=1,"with "&amp;'Needs years'!$C$1,'Needs calc'!$C$52))</f>
      </c>
      <c r="E28" s="15">
        <f>IF('Inputs'!$B$102="","",IF('Inputs'!$U$102=1,"with "&amp;'Needs years'!$C$1,'Needs calc'!$C$64))</f>
      </c>
      <c r="F28" s="15">
        <f>IF('Inputs'!$B$103="","",IF('Inputs'!$U$103=1,"with "&amp;'Needs years'!$C$1,'Needs calc'!$C$76))</f>
      </c>
    </row>
    <row r="29" spans="2:6" x14ac:dyDescent="0.25">
      <c r="B29" s="7" t="s">
        <v>203</v>
      </c>
      <c r="C29" s="15">
        <f>IF('Inputs'!$B$100="","",'Needs calc'!$C$46)</f>
      </c>
      <c r="D29" s="15">
        <f>IF('Inputs'!$B$101="","",'Needs calc'!$C$58)</f>
      </c>
      <c r="E29" s="15">
        <f>IF('Inputs'!$B$102="","",'Needs calc'!$C$70)</f>
      </c>
      <c r="F29" s="15">
        <f>IF('Inputs'!$B$103="","",'Needs calc'!$C$82)</f>
      </c>
    </row>
    <row r="30" spans="2:6" x14ac:dyDescent="0.25">
      <c r="B30" s="21" t="s">
        <v>204</v>
      </c>
      <c r="C30" s="39">
        <f>IF('Inputs'!$B$100="","",IF('Inputs'!$U$100=1,"with "&amp;'Needs years'!$C$1,IF('Needs calc'!$C$45&gt;0,"Short R "&amp;FIXED(ROUND('Needs calc'!$C$45,-3),0),IF('Needs calc'!$C$45&lt;0,"R "&amp;FIXED(ROUND(-'Needs calc'!$C$45,-3),0)&amp;" over","Covered"))))</f>
      </c>
      <c r="D30" s="39">
        <f>IF('Inputs'!$B$101="","",IF('Inputs'!$U$101=1,"with "&amp;'Needs years'!$C$1,IF('Needs calc'!$C$57&gt;0,"Short R "&amp;FIXED(ROUND('Needs calc'!$C$57,-3),0),IF('Needs calc'!$C$57&lt;0,"R "&amp;FIXED(ROUND(-'Needs calc'!$C$57,-3),0)&amp;" over","Covered"))))</f>
      </c>
      <c r="E30" s="39">
        <f>IF('Inputs'!$B$102="","",IF('Inputs'!$U$102=1,"with "&amp;'Needs years'!$C$1,IF('Needs calc'!$C$69&gt;0,"Short R "&amp;FIXED(ROUND('Needs calc'!$C$69,-3),0),IF('Needs calc'!$C$69&lt;0,"R "&amp;FIXED(ROUND(-'Needs calc'!$C$69,-3),0)&amp;" over","Covered"))))</f>
      </c>
      <c r="F30" s="39">
        <f>IF('Inputs'!$B$103="","",IF('Inputs'!$U$103=1,"with "&amp;'Needs years'!$C$1,IF('Needs calc'!$C$81&gt;0,"Short R "&amp;FIXED(ROUND('Needs calc'!$C$81,-3),0),IF('Needs calc'!$C$81&lt;0,"R "&amp;FIXED(ROUND(-'Needs calc'!$C$81,-3),0)&amp;" over","Covered"))))</f>
      </c>
    </row>
    <row r="31" spans="2:6" x14ac:dyDescent="0.25">
      <c r="B31" s="30" t="s">
        <v>205</v>
      </c>
      <c r="C31" s="31">
        <f>IF('Inputs'!$B$100="","",IF('Inputs'!$U$100=1,"with "&amp;'Needs years'!$C$1,IF('Needs calc'!$T$4&gt;0,'Needs calc'!$T$4,"None needed")))</f>
      </c>
      <c r="D31" s="31">
        <f>IF('Inputs'!$B$101="","",IF('Inputs'!$U$101=1,"with "&amp;'Needs years'!$C$1,IF('Needs calc'!$T$5&gt;0,'Needs calc'!$T$5,"None needed")))</f>
      </c>
      <c r="E31" s="31">
        <f>IF('Inputs'!$B$102="","",IF('Inputs'!$U$102=1,"with "&amp;'Needs years'!$C$1,IF('Needs calc'!$T$6&gt;0,'Needs calc'!$T$6,"None needed")))</f>
      </c>
      <c r="F31" s="31">
        <f>IF('Inputs'!$B$103="","",IF('Inputs'!$U$103=1,"with "&amp;'Needs years'!$C$1,IF('Needs calc'!$T$7&gt;0,'Needs calc'!$T$7,"None needed")))</f>
      </c>
    </row>
    <row r="32" ht="40" customHeight="1" spans="2:6" x14ac:dyDescent="0.25">
      <c r="B32" s="40">
        <f>TRIM(IF(COUNTIF('Inputs'!$B$100:$B$105,"?*")&gt;4,"The others who depend on you are on the workings page.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for anyone above. ","")&amp;IF(SUM('Inputs'!$U$100:$U$105)&gt;0,"The children's needs are added to "&amp;'Needs years'!$C$1&amp;"'s, who provides for them; the new cover for "&amp;'Needs years'!$C$1&amp;" includes them. ","")&amp;IF(SUMPRODUCT(('Inputs'!$T$100:$T$105=1)*1)&gt;0,"New cover for your spouse is nominated to them, so it carries no estate duty.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f>
      </c>
      <c r="C32" s="40"/>
      <c r="D32" s="40"/>
      <c r="E32" s="40"/>
      <c r="F32" s="40"/>
    </row>
    <row r="34" spans="2:6" x14ac:dyDescent="0.25">
      <c r="B34" s="12" t="s">
        <v>206</v>
      </c>
      <c r="C34" s="12" t="s">
        <v>175</v>
      </c>
      <c r="D34" s="12"/>
      <c r="E34" s="12"/>
      <c r="F34" s="12"/>
    </row>
    <row r="35" spans="2:6" x14ac:dyDescent="0.25">
      <c r="B35" s="7" t="s">
        <v>207</v>
      </c>
      <c r="C35" s="15">
        <f>'Needs calc'!$T$10</f>
      </c>
      <c r="D35" s="15"/>
      <c r="E35" s="15"/>
      <c r="F35" s="15"/>
    </row>
    <row r="36" spans="2:6" x14ac:dyDescent="0.25">
      <c r="B36" s="7" t="s">
        <v>208</v>
      </c>
      <c r="C36" s="15">
        <f>('Needs calc'!$T$4+'Needs calc'!$T$5+'Needs calc'!$T$6+'Needs calc'!$T$7+'Needs calc'!$T$8+'Needs calc'!$T$9)</f>
      </c>
      <c r="D36" s="15"/>
      <c r="E36" s="15"/>
      <c r="F36" s="15"/>
    </row>
    <row r="37" spans="2:6" x14ac:dyDescent="0.25">
      <c r="B37" s="30" t="s">
        <v>209</v>
      </c>
      <c r="C37" s="31">
        <f>('Needs calc'!$T$10+('Needs calc'!$T$4+'Needs calc'!$T$5+'Needs calc'!$T$6+'Needs calc'!$T$7+'Needs calc'!$T$8+'Needs calc'!$T$9))</f>
      </c>
      <c r="D37" s="31"/>
      <c r="E37" s="31"/>
      <c r="F37" s="31"/>
    </row>
    <row r="39" spans="2:6" x14ac:dyDescent="0.25">
      <c r="B39" s="12">
        <f>IF(SUMPRODUCT(('Inputs'!$H$100:$H$105="Yes")*('Inputs'!$B$100:$B$105&lt;&gt;""))&gt;0,"What the trust will cost (trustee fees of "&amp;IF(ROUND('Inputs'!$H$123,0)='Inputs'!$H$123,FIXED('Inputs'!$H$123,0),IF(ROUND('Inputs'!$H$123,1)='Inputs'!$H$123,FIXED('Inputs'!$H$123,1),FIXED('Inputs'!$H$123,2)))&amp;"%"&amp;" a year)","")</f>
      </c>
      <c r="C39" s="13">
        <f>IF('Inputs'!$H$100="Yes",'Inputs'!$B$100,"")</f>
      </c>
      <c r="D39" s="13">
        <f>IF('Inputs'!$H$101="Yes",'Inputs'!$B$101,"")</f>
      </c>
      <c r="E39" s="13">
        <f>IF('Inputs'!$H$102="Yes",'Inputs'!$B$102,"")</f>
      </c>
      <c r="F39" s="13">
        <f>IF('Inputs'!$H$103="Yes",'Inputs'!$B$103,"")</f>
      </c>
    </row>
    <row r="40" spans="2:6" x14ac:dyDescent="0.25">
      <c r="B40" s="41">
        <f>IF(SUMPRODUCT(('Inputs'!$H$100:$H$105="Yes")*('Inputs'!$B$100:$B$105&lt;&gt;""))&gt;0,"First year","")</f>
      </c>
      <c r="C40" s="15">
        <f>IF('Inputs'!$H$100="Yes",'Needs years'!$C$11,"")</f>
      </c>
      <c r="D40" s="15">
        <f>IF('Inputs'!$H$101="Yes",'Needs years'!$C$67,"")</f>
      </c>
      <c r="E40" s="15">
        <f>IF('Inputs'!$H$102="Yes",'Needs years'!$C$123,"")</f>
      </c>
      <c r="F40" s="15">
        <f>IF('Inputs'!$H$103="Yes",'Needs years'!$C$179,"")</f>
      </c>
    </row>
    <row r="41" spans="2:6" x14ac:dyDescent="0.25">
      <c r="B41" s="41">
        <f>IF(SUMPRODUCT(('Inputs'!$H$100:$H$105="Yes")*('Inputs'!$B$100:$B$105&lt;&gt;""))&gt;0,"Over the whole period","")</f>
      </c>
      <c r="C41" s="15">
        <f>IF('Inputs'!$H$100="Yes",'Needs years'!$C$12,"")</f>
      </c>
      <c r="D41" s="15">
        <f>IF('Inputs'!$H$101="Yes",'Needs years'!$C$68,"")</f>
      </c>
      <c r="E41" s="15">
        <f>IF('Inputs'!$H$102="Yes",'Needs years'!$C$124,"")</f>
      </c>
      <c r="F41" s="15">
        <f>IF('Inputs'!$H$103="Yes",'Needs years'!$C$180,"")</f>
      </c>
    </row>
    <row r="42" spans="2:6" x14ac:dyDescent="0.25">
      <c r="B42" s="41">
        <f>IF(SUMPRODUCT(('Inputs'!$H$100:$H$105="Yes")*('Inputs'!$B$100:$B$105&lt;&gt;""))&gt;0,"Extra capital it needs today (already in the need)","")</f>
      </c>
      <c r="C42" s="15">
        <f>IF('Inputs'!$H$100="Yes",'Needs years'!$C$13,"")</f>
      </c>
      <c r="D42" s="15">
        <f>IF('Inputs'!$H$101="Yes",'Needs years'!$C$69,"")</f>
      </c>
      <c r="E42" s="15">
        <f>IF('Inputs'!$H$102="Yes",'Needs years'!$C$125,"")</f>
      </c>
      <c r="F42" s="15">
        <f>IF('Inputs'!$H$103="Yes",'Needs years'!$C$181,"")</f>
      </c>
    </row>
    <row r="44" ht="18" customHeight="1" spans="2:6" x14ac:dyDescent="0.25">
      <c r="B44" s="5" t="s">
        <v>188</v>
      </c>
      <c r="C44" s="6"/>
      <c r="D44" s="6"/>
      <c r="E44" s="6"/>
      <c r="F44" s="6"/>
    </row>
    <row r="45" ht="27" customHeight="1" spans="2:6" x14ac:dyDescent="0.25">
      <c r="B45" s="35">
        <f>"1.  "&amp;IF(('Needs calc'!$T$10+('Needs calc'!$T$4+'Needs calc'!$T$5+'Needs calc'!$T$6+'Needs calc'!$T$7+'Needs calc'!$T$8+'Needs calc'!$T$9))&gt;0,"New life cover of R "&amp;FIXED(ROUND(('Needs calc'!$T$10+('Needs calc'!$T$4+'Needs calc'!$T$5+'Needs calc'!$T$6+'Needs calc'!$T$7+'Needs calc'!$T$8+'Needs calc'!$T$9)),-3),0)&amp;IF('Needs calc'!$T$10&gt;0,": R "&amp;FIXED(ROUND('Needs calc'!$T$10,-3),0)&amp;" paid to your estate, and the rest nominated for each person as shown",", nominated for each person as shown")&amp;".","Keep your nominations and will instructions as they are: they provide for everyone today.")</f>
      </c>
      <c r="C45" s="35"/>
      <c r="D45" s="35"/>
      <c r="E45" s="35"/>
      <c r="F45" s="35"/>
    </row>
    <row r="46" ht="27" customHeight="1" spans="2:6" x14ac:dyDescent="0.25">
      <c r="B46" s="35" t="s">
        <v>210</v>
      </c>
      <c r="C46" s="35"/>
      <c r="D46" s="35"/>
      <c r="E46" s="35"/>
      <c r="F46" s="35"/>
    </row>
    <row r="47" ht="27" customHeight="1" spans="2:6" x14ac:dyDescent="0.25">
      <c r="B47" s="35">
        <f>"3.  "&amp;IF(SUMPRODUCT(('Inputs'!$H$100:$H$105="Yes")*('Inputs'!$B$100:$B$105&lt;&gt;""))&gt;0,"Make sure your will sets up the trust that receives the children's money, and names the trustees.","Sign a will that says who inherits, so the law does not decide it for you.")</f>
      </c>
      <c r="C47" s="35"/>
      <c r="D47" s="35"/>
      <c r="E47" s="35"/>
      <c r="F47" s="35"/>
    </row>
    <row r="49" ht="44" customHeight="1" spans="2:6" x14ac:dyDescent="0.25">
      <c r="B49" s="36">
        <f>"Basis: indicative, on the needs you gave us and your policies and will instructions as they stand. Capital for a person is invested at "&amp;FIXED('Inputs'!$H$122,0)&amp;"% a year before tax as a unit trust, less their tax"&amp;IF(SUMPRODUCT(('Inputs'!$H$100:$H$105="Yes")*('Inputs'!$B$100:$B$105&lt;&gt;""))&gt;0," and trustee fees of "&amp;IF(ROUND('Inputs'!$H$123,0)='Inputs'!$H$123,FIXED('Inputs'!$H$123,0),IF(ROUND('Inputs'!$H$123,1)='Inputs'!$H$123,FIXED('Inputs'!$H$123,1),FIXED('Inputs'!$H$123,2)))&amp;"%"&amp;" a year while it is in the trust","")&amp;". Once-off needs are in today's money. Retirement money is paid out in cash, after the lump sum tax on death benefits. Each need rises as you asked. Not legal or tax advice."</f>
      </c>
      <c r="C49" s="36"/>
      <c r="D49" s="36"/>
      <c r="E49" s="36"/>
      <c r="F49" s="36"/>
    </row>
  </sheetData>
  <sheetProtection sheet="1" formatRows="0"/>
  <mergeCells count="21">
    <mergeCell ref="B1:F1"/>
    <mergeCell ref="B2:F2"/>
    <mergeCell ref="B3:F3"/>
    <mergeCell ref="B7:F7"/>
    <mergeCell ref="B8:F8"/>
    <mergeCell ref="B10:F10"/>
    <mergeCell ref="B11:F11"/>
    <mergeCell ref="B12:F12"/>
    <mergeCell ref="C14:F14"/>
    <mergeCell ref="C15:F15"/>
    <mergeCell ref="C16:F16"/>
    <mergeCell ref="C17:F17"/>
    <mergeCell ref="B32:F32"/>
    <mergeCell ref="C34:F34"/>
    <mergeCell ref="C35:F35"/>
    <mergeCell ref="C36:F36"/>
    <mergeCell ref="C37:F37"/>
    <mergeCell ref="B45:F45"/>
    <mergeCell ref="B46:F46"/>
    <mergeCell ref="B47:F47"/>
    <mergeCell ref="B49:F49"/>
  </mergeCells>
  <conditionalFormatting sqref="B10:F12">
    <cfRule type="expression" dxfId="24" priority="1">
      <formula>('Needs calc'!$T$10+('Needs calc'!$T$4+'Needs calc'!$T$5+'Needs calc'!$T$6+'Needs calc'!$T$7+'Needs calc'!$T$8+'Needs calc'!$T$9))=0</formula>
    </cfRule>
  </conditionalFormatting>
  <conditionalFormatting sqref="C30:F30">
    <cfRule type="expression" dxfId="25" priority="2">
      <formula>LEFT(C30,5)="Short"</formula>
    </cfRule>
    <cfRule type="expression" dxfId="26" priority="3">
      <formula>OR(LEFT(C30,7)="Covered",RIGHT(C30,4)="over")</formula>
    </cfRule>
  </conditionalFormatting>
  <conditionalFormatting sqref="C20:F31">
    <cfRule type="expression" dxfId="27" priority="4">
      <formula>C$19=""</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2026-10-21T07:30:44Z</dcterms:created>
  <dcterms:modified xsi:type="dcterms:W3CDTF">2026-10-21T07:30:44Z</dcterms:modified>
</cp:coreProperties>
</file>