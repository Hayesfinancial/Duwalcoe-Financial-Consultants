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10" name="Life cover need" state="visible" r:id="rId7"/>
    <sheet sheetId="4" name="Figures for quoting" state="visible" r:id="rId8"/>
    <sheet sheetId="5" name="Workings" state="visible" r:id="rId9"/>
    <sheet sheetId="9" name="Needs workings" state="visible" r:id="rId10"/>
    <sheet sheetId="8" name="Needs calc" state="hidden" r:id="rId11"/>
    <sheet sheetId="7" name="Needs years" state="hidden" r:id="rId12"/>
    <sheet sheetId="6" name="Sale calc" state="hidden" r:id="rId13"/>
  </sheets>
  <definedNames>
    <definedName name="QF_M_ClientID">Lists!$M$1</definedName>
    <definedName name="QF_M_ClientName">Lists!$M$2</definedName>
    <definedName name="QF_M_Version">Lists!$M$3</definedName>
    <definedName name="QF_M_ExportedAt">Lists!$M$4</definedName>
    <definedName name="QF_M_ExportedBy">Lists!$M$5</definedName>
    <definedName name="QF_M_TemplateVersion">Lists!$M$6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Inputs!$B$98:$K$98</definedName>
    <definedName name="QF_T_deps">Inputs!$B$100:$K$105</definedName>
    <definedName name="QF_L_whom">Inputs!$Z$99:$Z$105</definedName>
    <definedName name="QF_L_dep">Inputs!$Z$100:$Z$105</definedName>
    <definedName name="QF_KidsShare">Inputs!$C$106</definedName>
    <definedName name="QF_SpouseCover">Inputs!$C$107</definedName>
    <definedName name="QF_ExecPays">Inputs!$C$108</definedName>
    <definedName name="QF_K_oinc">Inputs!$B$112:$I$112</definedName>
    <definedName name="QF_T_oinc">Inputs!$B$114:$I$121</definedName>
    <definedName name="QF_QuoteNo">Inputs!$C$125</definedName>
    <definedName name="QF_CLFee">Inputs!$C$126</definedName>
    <definedName name="QF_CLConv">Inputs!$C$127</definedName>
    <definedName name="QF_CLPays">Inputs!$C$128</definedName>
    <definedName name="QF_CLLimit">Inputs!$C$129</definedName>
    <definedName name="QF_CLPrem">Inputs!$C$130</definedName>
    <definedName name="QF_A_ExecFee">Inputs!$C$134</definedName>
    <definedName name="QF_A_VAT">Inputs!$C$135</definedName>
    <definedName name="QF_A_Master">Inputs!$C$136</definedName>
    <definedName name="QF_A_Funeral">Inputs!$C$137</definedName>
    <definedName name="QF_A_Sundries">Inputs!$C$138</definedName>
    <definedName name="QF_A_PropCost">Inputs!$C$139</definedName>
    <definedName name="QF_A_Agent">Inputs!$C$140</definedName>
    <definedName name="QF_A_Abatement">Inputs!$C$141</definedName>
    <definedName name="QF_A_DutyRate">Inputs!$C$142</definedName>
    <definedName name="QF_A_DutyBand">Inputs!$C$143</definedName>
    <definedName name="QF_A_DutyHigh">Inputs!$C$144</definedName>
    <definedName name="QF_A_CGTExcl">Inputs!$C$145</definedName>
    <definedName name="QF_A_Inclusion">Inputs!$C$146</definedName>
    <definedName name="QF_A_PRExcl">Inputs!$H$134</definedName>
    <definedName name="QF_A_CryptoBase">Inputs!$H$135</definedName>
    <definedName name="QF_A_Gross">Inputs!$H$136</definedName>
    <definedName name="QF_A_TrustFee">Inputs!$H$137</definedName>
    <definedName name="QF_A_Threshold">Inputs!$H$138</definedName>
    <definedName name="QF_A_Interest">Inputs!$H$139</definedName>
    <definedName name="QF_A_Dividends">Inputs!$H$140</definedName>
    <definedName name="QF_A_Growth">Inputs!$H$141</definedName>
    <definedName name="QF_A_DivTax">Inputs!$H$142</definedName>
    <definedName name="QF_A_CPI">Inputs!$H$143</definedName>
    <definedName name="QF_A_Thr65">Inputs!$H$144</definedName>
    <definedName name="QF_A_Thr75">Inputs!$H$145</definedName>
    <definedName name="QF_A_TaxTable">Inputs!$C$149:$E$155</definedName>
    <definedName name="QF_A_LumpTable">Inputs!$G$149:$I$152</definedName>
    <definedName name="QF_K_checks">Inputs!$B$172</definedName>
    <definedName name="QF_T_checks">Inputs!$B$173:$B$186</definedName>
    <definedName name="QF_W_cost">Workings!$C$61</definedName>
    <definedName name="QF_S_settled">'Sale calc'!$C$2</definedName>
    <definedName name="_xlnm.Print_Area" localSheetId="1">'Inputs'!$A1:$K186</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need'!$A1:$F49</definedName>
    <definedName name="_xlnm.Print_Titles" localSheetId="3">'Life cover need'!$1:$2</definedName>
    <definedName name="_xlnm.Print_Area" localSheetId="4">'Figures for quoting'!$A1:$D37</definedName>
    <definedName name="_xlnm.Print_Titles" localSheetId="4">'Figures for quoting'!$1:$2</definedName>
    <definedName name="_xlnm.Print_Area" localSheetId="5">'Workings'!$A1:$D78</definedName>
    <definedName name="_xlnm.Print_Titles" localSheetId="5">'Workings'!$1:$2</definedName>
    <definedName name="_xlnm.Print_Area" localSheetId="6">'Needs workings'!$A1:$I50</definedName>
    <definedName name="_xlnm.Print_Titles" localSheetId="6">'Needs workings'!$1:$2</definedName>
  </definedNames>
  <calcPr calcId="171027" fullCalcOnLoad="1"/>
</workbook>
</file>

<file path=xl/sharedStrings.xml><?xml version="1.0" encoding="utf-8"?>
<sst xmlns="http://schemas.openxmlformats.org/spreadsheetml/2006/main" count="756" uniqueCount="528">
  <si>
    <t>kind</t>
  </si>
  <si>
    <t>passes</t>
  </si>
  <si>
    <t>paidTo</t>
  </si>
  <si>
    <t>yesno</t>
  </si>
  <si>
    <t>residue</t>
  </si>
  <si>
    <t>rel</t>
  </si>
  <si>
    <t>kidsShare</t>
  </si>
  <si>
    <t>spouseCover</t>
  </si>
  <si>
    <t>execPays</t>
  </si>
  <si>
    <t>marital</t>
  </si>
  <si>
    <t>ClientID</t>
  </si>
  <si>
    <t>Property</t>
  </si>
  <si>
    <t>Estate (residue)</t>
  </si>
  <si>
    <t>Estate</t>
  </si>
  <si>
    <t>Yes</t>
  </si>
  <si>
    <t>Heirs (people)</t>
  </si>
  <si>
    <t>Spouse</t>
  </si>
  <si>
    <t>In equal shares</t>
  </si>
  <si>
    <t>The spouse</t>
  </si>
  <si>
    <t>The spouse, from what they receive</t>
  </si>
  <si>
    <t>Single</t>
  </si>
  <si>
    <t>ClientName</t>
  </si>
  <si>
    <t>Cash and deposits</t>
  </si>
  <si>
    <t>No</t>
  </si>
  <si>
    <t>Child</t>
  </si>
  <si>
    <t>Not to the dependants</t>
  </si>
  <si>
    <t>A trust for the spouse</t>
  </si>
  <si>
    <t>Cover paid to the estate</t>
  </si>
  <si>
    <t>Engaged</t>
  </si>
  <si>
    <t>Version</t>
  </si>
  <si>
    <t>2.9</t>
  </si>
  <si>
    <t>Shares and unit trusts</t>
  </si>
  <si>
    <t>Named heir</t>
  </si>
  <si>
    <t>Named person</t>
  </si>
  <si>
    <t>Other</t>
  </si>
  <si>
    <t>Married - ANC with accrual</t>
  </si>
  <si>
    <t>ExportedAt</t>
  </si>
  <si>
    <t>Other investment</t>
  </si>
  <si>
    <t>Married - ANC without accrual</t>
  </si>
  <si>
    <t>ExportedBy</t>
  </si>
  <si>
    <t>Crypto</t>
  </si>
  <si>
    <t>Married in COP</t>
  </si>
  <si>
    <t>TemplateVersion</t>
  </si>
  <si>
    <t>Tax-free investment</t>
  </si>
  <si>
    <t>Life partner</t>
  </si>
  <si>
    <t>Loan account</t>
  </si>
  <si>
    <t>Divorced</t>
  </si>
  <si>
    <t>Vehicle or contents</t>
  </si>
  <si>
    <t>Widowed</t>
  </si>
  <si>
    <t>Business interest</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</si>
  <si>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</si>
  <si>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</si>
  <si>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</si>
  <si>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</si>
  <si>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</si>
  <si>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</si>
  <si>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</si>
  <si>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</si>
  <si>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</si>
  <si>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</si>
  <si>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</si>
  <si>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</si>
  <si>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</si>
  <si>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</si>
  <si>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</si>
  <si>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</si>
  <si>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</si>
  <si>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</si>
  <si>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</si>
  <si>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</si>
  <si>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</si>
  <si>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</si>
  <si>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</si>
  <si>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</si>
  <si>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</si>
  <si>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</si>
  <si>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</si>
  <si>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</si>
  <si>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</si>
  <si>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</si>
  <si>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</si>
  <si>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</si>
  <si>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</si>
  <si>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</si>
  <si>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</si>
  <si>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</si>
  <si>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</si>
  <si>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</si>
  <si>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</si>
  <si>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</si>
  <si>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</si>
  <si>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</si>
  <si>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</si>
  <si>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</si>
  <si>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</si>
  <si>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</si>
  <si>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</si>
  <si>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</si>
  <si>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</si>
  <si>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</si>
  <si>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</si>
  <si>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</si>
  <si>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</si>
  <si>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</si>
  <si>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</si>
  <si>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</si>
  <si>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</si>
  <si>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</si>
  <si>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</si>
  <si>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</si>
  <si>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</si>
  <si>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</si>
  <si>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</si>
  <si>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</si>
  <si>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</si>
  <si>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</si>
  <si>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</si>
  <si>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</si>
  <si>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</si>
  <si>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</si>
  <si>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</si>
  <si>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via</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</si>
  <si>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</si>
  <si>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</si>
  <si>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</si>
  <si>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</si>
  <si>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</si>
  <si>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</si>
  <si>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</si>
  <si>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</si>
  <si>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</si>
  <si>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Provided for by the spouse? (children)</t>
  </si>
  <si>
    <t>The children's trust</t>
  </si>
  <si>
    <t>When the residue goes to heirs (not the spouse), the children receive it</t>
  </si>
  <si>
    <t>New life cover for the spouse is nominated to</t>
  </si>
  <si>
    <t>The executor's cash shortfall is paid by</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</si>
  <si>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 The executor's shortfall paid by the spouse: it is added to the spouse's need as a once-off, paid from what reaches them, so the family has one figure; cover paid to the estate is charged executor's fees. Provided for by the spouse (children): Yes adds the child's need to the spouse's, each with its own term, paid from what reaches the spouse and taxed at the spouse's rate, and the spouse's new cover closes it; No (a child from another relationship, say) keeps the child's need on its own. A child in a trust always stands on its own.</t>
  </si>
  <si>
    <t>6b. Income the person will receive anyway</t>
  </si>
  <si>
    <t>start</t>
  </si>
  <si>
    <t>Income</t>
  </si>
  <si>
    <t>A month (R), after tax</t>
  </si>
  <si>
    <t>Rising each year (%)</t>
  </si>
  <si>
    <t>Starts after (months)</t>
  </si>
  <si>
    <t>Months it pays (blank: to the end of their need)</t>
  </si>
  <si>
    <t>Income the person will still receive if your client dies: a pension that starts later, their own earnings until they stop, a rental. It is set against that person's need in each year it pays (any excess in a year is not counted). It is not a policy, so it carries no estate duty, no executor's fee, and it is not cash for the executor. The amount is in today's money and rises from today, so a pension that starts in four years has risen four times by the time it begins. Starts after: 0 when it is already being paid. Months it pays: blank runs it to the end of that person's need. Leave this section empty and the cover is sized on the whole need, as section 6 states it.</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</si>
  <si>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</si>
  <si>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</si>
  <si>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</si>
  <si>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</si>
  <si>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</si>
  <si>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</si>
  <si>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</si>
  <si>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</si>
  <si>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</si>
  <si>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</si>
  <si>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Primary residence exclusion (R)</t>
  </si>
  <si>
    <t>VAT (%)</t>
  </si>
  <si>
    <t>Crypto base cost when not captured (% of value)</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</si>
  <si>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</si>
  <si>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</si>
  <si>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</si>
  <si>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</si>
  <si>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</si>
  <si>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</si>
  <si>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</si>
  <si>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</si>
  <si>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</si>
  <si>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</si>
  <si>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</si>
  <si>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</si>
  <si>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</si>
  <si>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</si>
  <si>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</si>
  <si>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</si>
  <si>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</si>
  <si>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</si>
  <si>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</si>
  <si>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</si>
  <si>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Capital gains inclusion rate (%)</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</si>
  <si>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</si>
  <si>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</si>
  <si>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</si>
  <si>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</si>
  <si>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</si>
  <si>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</si>
  <si>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</si>
  <si>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</si>
  <si>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</si>
  <si>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</si>
  <si>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</si>
  <si>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</si>
  <si>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</si>
  <si>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</si>
  <si>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</si>
  <si>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</si>
  <si>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</si>
  <si>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</si>
  <si>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</si>
  <si>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</si>
  <si>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</si>
  <si>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</si>
  <si>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</si>
  <si>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</si>
  <si>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What your family needs if you die today</t>
  </si>
  <si>
    <t>Amount</t>
  </si>
  <si>
    <t>Total needed</t>
  </si>
  <si>
    <t>What is already in place</t>
  </si>
  <si>
    <t>Life cover paid to them</t>
  </si>
  <si>
    <t>Retirement money, after tax</t>
  </si>
  <si>
    <t>Inherited from your estate</t>
  </si>
  <si>
    <t>Total in place</t>
  </si>
  <si>
    <t>Each person</t>
  </si>
  <si>
    <t>You want for them, a month</t>
  </si>
  <si>
    <t>For</t>
  </si>
  <si>
    <t>Once-off needs (in today's money)</t>
  </si>
  <si>
    <t>Capital needed today</t>
  </si>
  <si>
    <t>New life cover for them</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</si>
  <si>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</si>
  <si>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</si>
  <si>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</si>
  <si>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</si>
  <si>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</si>
  <si>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</si>
  <si>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</si>
  <si>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</si>
  <si>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(crypto, tax-free, loan accounts, business interests)</t>
  </si>
  <si>
    <t>Life assurance paid into the estate</t>
  </si>
  <si>
    <t>Total in the estate</t>
  </si>
  <si>
    <t>OUTSIDE THE ESTATE: NO EXECUTOR'S FEES</t>
  </si>
  <si>
    <t>Policies paid to a named person (counted for estate duty)</t>
  </si>
  <si>
    <t>Death income for a named person, at its value (counted for estate duty)</t>
  </si>
  <si>
    <t>Policies and death income paid to the spouse (no estate duty, s.4(q))</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</si>
  <si>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</si>
  <si>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</si>
  <si>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</si>
  <si>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</si>
  <si>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</si>
  <si>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</si>
  <si>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</si>
  <si>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</si>
  <si>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</si>
  <si>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</si>
  <si>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</si>
  <si>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</si>
  <si>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</si>
  <si>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</si>
  <si>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</si>
  <si>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</si>
  <si>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</si>
  <si>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</si>
  <si>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</si>
  <si>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crypto and other investments (the part sold, or the whole where it does not pass to the spouse)</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</si>
  <si>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</si>
  <si>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</si>
  <si>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</si>
  <si>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</si>
  <si>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</si>
  <si>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</si>
  <si>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</si>
  <si>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</si>
  <si>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</si>
  <si>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</si>
  <si>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counted for estate duty</t>
  </si>
  <si>
    <t>Policies and death income paid to the spouse (counted for estate duty, s.3(3)(a))</t>
  </si>
  <si>
    <t>Less the same: it passes to the spouse (s.4(q))</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</si>
  <si>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</si>
  <si>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</si>
  <si>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</si>
  <si>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</si>
  <si>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</si>
  <si>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</si>
  <si>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</si>
  <si>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</si>
  <si>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</si>
  <si>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</si>
  <si>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assets and residue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</si>
  <si>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</si>
  <si>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</si>
  <si>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</si>
  <si>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</si>
  <si>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</si>
  <si>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</si>
  <si>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</si>
  <si>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</si>
  <si>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</si>
  <si>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</si>
  <si>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the executor needs</t>
  </si>
  <si>
    <t>Cash and deposits, and assets marked "Executor sells: Yes"</t>
  </si>
  <si>
    <t>Investments sold to raise the cash, in order: crypto, tax free savings, shares and unit trusts, other investments</t>
  </si>
  <si>
    <t>Cash the executor has</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</si>
  <si>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</si>
  <si>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</si>
  <si>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</si>
  <si>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</si>
  <si>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</si>
  <si>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</si>
  <si>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</si>
  <si>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Rising each year by</t>
  </si>
  <si>
    <t>Once-off needs at death (today's money)</t>
  </si>
  <si>
    <t>Death income paid to them, first month (set against the need while it pays)</t>
  </si>
  <si>
    <t>Income they will receive anyway, first month already being paid (section 6b)</t>
  </si>
  <si>
    <t>Estate duty they pay on that death income (taken off their capital)</t>
  </si>
  <si>
    <t>Provided for by the spouse (their need is added to the spouse's)</t>
  </si>
  <si>
    <t>Capital reaching them personally (residue, policies, retirement money, the trust)</t>
  </si>
  <si>
    <t>Capital that pays their need (the spouse's includes the children's they provide for)</t>
  </si>
  <si>
    <t>Their marginal tax rate on what it earns</t>
  </si>
  <si>
    <t>What it earns after tax and trustee fees</t>
  </si>
  <si>
    <t>Their own need (once-off plus the monthly need), at the rate of the money that pays it</t>
  </si>
  <si>
    <t>Capital needed (the spouse's includes the children's they provide for)</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</si>
  <si>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</si>
  <si>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</si>
  <si>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</si>
  <si>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</si>
  <si>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</si>
  <si>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</si>
  <si>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</si>
  <si>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</si>
  <si>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</si>
  <si>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</si>
  <si>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Paid by the spouse from what they receive (in their need above)</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</si>
  <si>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</si>
  <si>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</si>
  <si>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</si>
  <si>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</si>
  <si>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</si>
  <si>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</si>
  <si>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</si>
  <si>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</si>
  <si>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</si>
  <si>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</si>
  <si>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</si>
  <si>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</si>
  <si>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</si>
  <si>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</si>
  <si>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</si>
  <si>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</si>
  <si>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</si>
  <si>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</si>
  <si>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</si>
  <si>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</si>
  <si>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</si>
  <si>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</si>
  <si>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</si>
  <si>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</si>
  <si>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</si>
  <si>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</si>
  <si>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</si>
  <si>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</si>
  <si>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</si>
  <si>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</si>
  <si>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</si>
  <si>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</si>
  <si>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</si>
  <si>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</si>
  <si>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</si>
  <si>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</si>
  <si>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</si>
  <si>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</si>
  <si>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</si>
  <si>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</si>
  <si>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</si>
  <si>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</si>
  <si>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</si>
  <si>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</si>
  <si>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</si>
  <si>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</si>
  <si>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</si>
  <si>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</si>
  <si>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</si>
  <si>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</si>
  <si>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</si>
  <si>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</si>
  <si>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</si>
  <si>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</si>
  <si>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</si>
  <si>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</si>
  <si>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</si>
  <si>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1: own</t>
  </si>
  <si>
    <t>dependant 1: lumpF</t>
  </si>
  <si>
    <t>dependant 1: rr</t>
  </si>
  <si>
    <t>dependant 1: needOwn</t>
  </si>
  <si>
    <t>dependant 1: frac</t>
  </si>
  <si>
    <t>dependant 2: cap</t>
  </si>
  <si>
    <t>dependant 2: ti</t>
  </si>
  <si>
    <t>dependant 2: m</t>
  </si>
  <si>
    <t>dependant 2: r</t>
  </si>
  <si>
    <t>dependant 2: need</t>
  </si>
  <si>
    <t>dependant 2: gap</t>
  </si>
  <si>
    <t>dependant 2: inc</t>
  </si>
  <si>
    <t>dependant 2: own</t>
  </si>
  <si>
    <t>dependant 2: lumpF</t>
  </si>
  <si>
    <t>dependant 2: rr</t>
  </si>
  <si>
    <t>dependant 2: needOwn</t>
  </si>
  <si>
    <t>dependant 2: frac</t>
  </si>
  <si>
    <t>dependant 3: cap</t>
  </si>
  <si>
    <t>dependant 3: ti</t>
  </si>
  <si>
    <t>dependant 3: m</t>
  </si>
  <si>
    <t>dependant 3: r</t>
  </si>
  <si>
    <t>dependant 3: need</t>
  </si>
  <si>
    <t>dependant 3: gap</t>
  </si>
  <si>
    <t>dependant 3: inc</t>
  </si>
  <si>
    <t>dependant 3: own</t>
  </si>
  <si>
    <t>dependant 3: lumpF</t>
  </si>
  <si>
    <t>dependant 3: rr</t>
  </si>
  <si>
    <t>dependant 3: needOwn</t>
  </si>
  <si>
    <t>dependant 3: frac</t>
  </si>
  <si>
    <t>dependant 4: cap</t>
  </si>
  <si>
    <t>dependant 4: ti</t>
  </si>
  <si>
    <t>dependant 4: m</t>
  </si>
  <si>
    <t>dependant 4: r</t>
  </si>
  <si>
    <t>dependant 4: need</t>
  </si>
  <si>
    <t>dependant 4: gap</t>
  </si>
  <si>
    <t>dependant 4: inc</t>
  </si>
  <si>
    <t>dependant 4: own</t>
  </si>
  <si>
    <t>dependant 4: lumpF</t>
  </si>
  <si>
    <t>dependant 4: rr</t>
  </si>
  <si>
    <t>dependant 4: needOwn</t>
  </si>
  <si>
    <t>dependant 4: frac</t>
  </si>
  <si>
    <t>dependant 5: cap</t>
  </si>
  <si>
    <t>dependant 5: ti</t>
  </si>
  <si>
    <t>dependant 5: m</t>
  </si>
  <si>
    <t>dependant 5: r</t>
  </si>
  <si>
    <t>dependant 5: need</t>
  </si>
  <si>
    <t>dependant 5: gap</t>
  </si>
  <si>
    <t>dependant 5: inc</t>
  </si>
  <si>
    <t>dependant 5: own</t>
  </si>
  <si>
    <t>dependant 5: lumpF</t>
  </si>
  <si>
    <t>dependant 5: rr</t>
  </si>
  <si>
    <t>dependant 5: needOwn</t>
  </si>
  <si>
    <t>dependant 5: frac</t>
  </si>
  <si>
    <t>dependant 6: cap</t>
  </si>
  <si>
    <t>dependant 6: ti</t>
  </si>
  <si>
    <t>dependant 6: m</t>
  </si>
  <si>
    <t>dependant 6: r</t>
  </si>
  <si>
    <t>dependant 6: need</t>
  </si>
  <si>
    <t>dependant 6: gap</t>
  </si>
  <si>
    <t>dependant 6: inc</t>
  </si>
  <si>
    <t>dependant 6: own</t>
  </si>
  <si>
    <t>dependant 6: lumpF</t>
  </si>
  <si>
    <t>dependant 6: rr</t>
  </si>
  <si>
    <t>dependant 6: needOwn</t>
  </si>
  <si>
    <t>dependant 6: frac</t>
  </si>
  <si>
    <t>next extra 1</t>
  </si>
  <si>
    <t>next extra 2</t>
  </si>
  <si>
    <t>next extra 3</t>
  </si>
  <si>
    <t>next extra 4</t>
  </si>
  <si>
    <t>next extra 5</t>
  </si>
  <si>
    <t>next extra 6</t>
  </si>
  <si>
    <t>next extra for the estate</t>
  </si>
  <si>
    <t>Spouse who provides for the children</t>
  </si>
  <si>
    <t>Spouse in section 6</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</si>
  <si>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</si>
  <si>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</si>
  <si>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</si>
  <si>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</si>
  <si>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</si>
  <si>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</si>
  <si>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</si>
  <si>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</si>
  <si>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</si>
  <si>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</si>
  <si>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</si>
  <si>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</si>
  <si>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</si>
  <si>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</si>
  <si>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</si>
  <si>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</si>
  <si>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</si>
  <si>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</si>
  <si>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Income counted in year 1, a month (R): death income and section 6b</t>
  </si>
  <si>
    <t>Death income, months the longest one pays</t>
  </si>
  <si>
    <t>Need left after the death income, all years (R)</t>
  </si>
  <si>
    <t>Lead sentence on the client page</t>
  </si>
  <si>
    <t>Years fully covered by that income from the start</t>
  </si>
  <si>
    <t>Estate duty they pay on their death income, today (R)</t>
  </si>
  <si>
    <t>Section 6b income already being paid at death, first month (R)</t>
  </si>
  <si>
    <t>Section 6b rows for them (count)</t>
  </si>
  <si>
    <t>The word for that income on the client page</t>
  </si>
  <si>
    <t>The executor's sale, settled over 20 passes (the last column is the answer)</t>
  </si>
  <si>
    <t>settled</t>
  </si>
  <si>
    <t>Order</t>
  </si>
  <si>
    <t>Value</t>
  </si>
  <si>
    <t>Cash anyway</t>
  </si>
  <si>
    <t>CGT</t>
  </si>
  <si>
    <t>Base cost used</t>
  </si>
  <si>
    <t>To the spouse</t>
  </si>
  <si>
    <t>Home exclusion</t>
  </si>
  <si>
    <t>Pass 0</t>
  </si>
  <si>
    <t>Pass 1</t>
  </si>
  <si>
    <t>Pass 2</t>
  </si>
  <si>
    <t>Pass 3</t>
  </si>
  <si>
    <t>Pass 4</t>
  </si>
  <si>
    <t>Pass 5</t>
  </si>
  <si>
    <t>Pass 6</t>
  </si>
  <si>
    <t>Pass 7</t>
  </si>
  <si>
    <t>Pass 8</t>
  </si>
  <si>
    <t>Pass 9</t>
  </si>
  <si>
    <t>Pass 10</t>
  </si>
  <si>
    <t>Pass 11</t>
  </si>
  <si>
    <t>Pass 12</t>
  </si>
  <si>
    <t>Pass 13</t>
  </si>
  <si>
    <t>Pass 14</t>
  </si>
  <si>
    <t>Pass 15</t>
  </si>
  <si>
    <t>Pass 16</t>
  </si>
  <si>
    <t>Pass 17</t>
  </si>
  <si>
    <t>Pass 18</t>
  </si>
  <si>
    <t>Pass 19</t>
  </si>
  <si>
    <t>Pass 20</t>
  </si>
  <si>
    <t>forced</t>
  </si>
  <si>
    <t>rem</t>
  </si>
  <si>
    <t>ctot1</t>
  </si>
  <si>
    <t>csold1</t>
  </si>
  <si>
    <t>ctot2</t>
  </si>
  <si>
    <t>csold2</t>
  </si>
  <si>
    <t>ctot3</t>
  </si>
  <si>
    <t>csold3</t>
  </si>
  <si>
    <t>ctot4</t>
  </si>
  <si>
    <t>csold4</t>
  </si>
  <si>
    <t>gains</t>
  </si>
  <si>
    <t>cgt</t>
  </si>
  <si>
    <t>sbk</t>
  </si>
  <si>
    <t>hbk</t>
  </si>
  <si>
    <t>resPre</t>
  </si>
  <si>
    <t>cut</t>
  </si>
  <si>
    <t>s4q</t>
  </si>
  <si>
    <t>netEst</t>
  </si>
  <si>
    <t>recov</t>
  </si>
  <si>
    <t>estDuty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</si>
</sst>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4"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b/>
      <color rgb="FFB3261E"/>
      <sz val="10"/>
      <name val="Arial"/>
    </font>
    <font>
      <color rgb="FF6B7A77"/>
      <sz val="8.5"/>
      <name val="Arial"/>
    </font>
    <font>
      <b/>
      <color rgb="FF0E413A"/>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5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0" borderId="2" xfId="0" applyFont="1" applyBorder="1" applyAlignment="1">
      <alignment vertical="top" wrapText="1" indent="1"/>
    </xf>
    <xf numFmtId="0" fontId="11" fillId="5" borderId="2" xfId="0" applyFont="1" applyFill="1" applyBorder="1" applyAlignment="1">
      <alignment vertical="top" wrapText="1"/>
    </xf>
    <xf numFmtId="166" fontId="19" fillId="5" borderId="2" xfId="0" applyNumberFormat="1" applyFont="1" applyFill="1" applyBorder="1" applyAlignment="1">
      <alignment horizontal="right" vertical="top"/>
    </xf>
    <xf numFmtId="0" fontId="20" fillId="0" borderId="0" xfId="0" applyFont="1" applyAlignment="1">
      <alignment vertical="top" wrapText="1"/>
    </xf>
    <xf numFmtId="0" fontId="21" fillId="0" borderId="0" xfId="0" applyFont="1" applyAlignment="1">
      <alignment vertical="top" wrapText="1"/>
    </xf>
    <xf numFmtId="0" fontId="22" fillId="0" borderId="0" xfId="0" applyFont="1" applyAlignment="1">
      <alignment vertical="top" wrapText="1"/>
    </xf>
    <xf numFmtId="0" fontId="23"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xf numFmtId="9" fontId="6" fillId="4" borderId="2" xfId="0" applyNumberFormat="1" applyFont="1" applyFill="1" applyBorder="1" applyAlignment="1">
      <alignment horizontal="right" vertical="top"/>
    </xf>
  </cellXfs>
  <cellStyles count="1">
    <cellStyle name="Normal" xfId="0" builtinId="0"/>
  </cellStyles>
  <dxfs count="29">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b/>
        <color rgb="FF9C0006"/>
      </font>
      <fill>
        <patternFill patternType="solid">
          <fgColor rgb="FFFFC7CE"/>
          <bgColor rgb="FFFFC7C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10.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9.xml"/><Relationship Id="rId11" Type="http://schemas.openxmlformats.org/officeDocument/2006/relationships/worksheet" Target="worksheets/sheet8.xml"/><Relationship Id="rId12" Type="http://schemas.openxmlformats.org/officeDocument/2006/relationships/worksheet" Target="worksheets/sheet7.xml"/><Relationship Id="rId13"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
  <sheetFormatPr defaultRowHeight="15" outlineLevelRow="0" outlineLevelCol="0" x14ac:dyDescent="55"/>
  <sheetData>
    <row r="1" spans="1:12" x14ac:dyDescent="0.25">
      <c r="A1" t="s">
        <v>0</v>
      </c>
      <c r="B1" t="s">
        <v>1</v>
      </c>
      <c r="C1" t="s">
        <v>2</v>
      </c>
      <c r="D1" t="s">
        <v>3</v>
      </c>
      <c r="E1" t="s">
        <v>4</v>
      </c>
      <c r="F1" t="s">
        <v>5</v>
      </c>
      <c r="G1" t="s">
        <v>6</v>
      </c>
      <c r="H1" t="s">
        <v>7</v>
      </c>
      <c r="I1" t="s">
        <v>8</v>
      </c>
      <c r="J1" t="s">
        <v>9</v>
      </c>
      <c r="L1" t="s">
        <v>10</v>
      </c>
    </row>
    <row r="2" spans="1:12" x14ac:dyDescent="0.25">
      <c r="A2" t="s">
        <v>11</v>
      </c>
      <c r="B2" t="s">
        <v>12</v>
      </c>
      <c r="C2" t="s">
        <v>13</v>
      </c>
      <c r="D2" t="s">
        <v>14</v>
      </c>
      <c r="E2" t="s">
        <v>15</v>
      </c>
      <c r="F2" t="s">
        <v>16</v>
      </c>
      <c r="G2" t="s">
        <v>17</v>
      </c>
      <c r="H2" t="s">
        <v>18</v>
      </c>
      <c r="I2" t="s">
        <v>19</v>
      </c>
      <c r="J2" t="s">
        <v>20</v>
      </c>
      <c r="L2" t="s">
        <v>21</v>
      </c>
    </row>
    <row r="3" spans="1:13" x14ac:dyDescent="0.25">
      <c r="A3" t="s">
        <v>22</v>
      </c>
      <c r="B3" t="s">
        <v>16</v>
      </c>
      <c r="C3" t="s">
        <v>16</v>
      </c>
      <c r="D3" t="s">
        <v>23</v>
      </c>
      <c r="E3" t="s">
        <v>16</v>
      </c>
      <c r="F3" t="s">
        <v>24</v>
      </c>
      <c r="G3" t="s">
        <v>25</v>
      </c>
      <c r="H3" t="s">
        <v>26</v>
      </c>
      <c r="I3" t="s">
        <v>27</v>
      </c>
      <c r="J3" t="s">
        <v>28</v>
      </c>
      <c r="L3" t="s">
        <v>29</v>
      </c>
      <c r="M3" t="s">
        <v>30</v>
      </c>
    </row>
    <row r="4" spans="1:12" x14ac:dyDescent="0.25">
      <c r="A4" t="s">
        <v>31</v>
      </c>
      <c r="B4" t="s">
        <v>32</v>
      </c>
      <c r="C4" t="s">
        <v>33</v>
      </c>
      <c r="F4" t="s">
        <v>34</v>
      </c>
      <c r="J4" t="s">
        <v>35</v>
      </c>
      <c r="L4" t="s">
        <v>36</v>
      </c>
    </row>
    <row r="5" spans="1:12" x14ac:dyDescent="0.25">
      <c r="A5" t="s">
        <v>37</v>
      </c>
      <c r="J5" t="s">
        <v>38</v>
      </c>
      <c r="L5" t="s">
        <v>39</v>
      </c>
    </row>
    <row r="6" spans="1:13" x14ac:dyDescent="0.25">
      <c r="A6" t="s">
        <v>40</v>
      </c>
      <c r="J6" t="s">
        <v>41</v>
      </c>
      <c r="L6" t="s">
        <v>42</v>
      </c>
      <c r="M6" t="s">
        <v>30</v>
      </c>
    </row>
    <row r="7" spans="1:10" x14ac:dyDescent="0.25">
      <c r="A7" t="s">
        <v>43</v>
      </c>
      <c r="J7" t="s">
        <v>44</v>
      </c>
    </row>
    <row r="8" spans="1:10" x14ac:dyDescent="0.25">
      <c r="A8" t="s">
        <v>45</v>
      </c>
      <c r="J8" t="s">
        <v>46</v>
      </c>
    </row>
    <row r="9" spans="1:10" x14ac:dyDescent="0.25">
      <c r="A9" t="s">
        <v>47</v>
      </c>
      <c r="J9" t="s">
        <v>48</v>
      </c>
    </row>
    <row r="10" spans="1:10" x14ac:dyDescent="0.25">
      <c r="A10" t="s">
        <v>49</v>
      </c>
      <c r="J10" t="s">
        <v>50</v>
      </c>
    </row>
    <row r="11" spans="10:10" x14ac:dyDescent="0.25">
      <c r="J11" t="s">
        <v>51</v>
      </c>
    </row>
    <row r="12" spans="10:10" x14ac:dyDescent="0.25">
      <c r="J12" t="s">
        <v>52</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AO18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1" max="11" width="14"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 min="36" max="36" width="9" hidden="1" customWidth="1"/>
    <col min="37" max="37" width="9" hidden="1" customWidth="1"/>
    <col min="38" max="38" width="9" hidden="1" customWidth="1"/>
    <col min="39" max="39" width="9" hidden="1" customWidth="1"/>
    <col min="40" max="40" width="9" hidden="1" customWidth="1"/>
    <col min="41" max="41" width="9" hidden="1" customWidth="1"/>
  </cols>
  <sheetData>
    <row r="1" ht="21.75" customHeight="1" spans="2:11" x14ac:dyDescent="0.25">
      <c r="B1" s="1" t="s">
        <v>53</v>
      </c>
      <c r="C1" s="1"/>
      <c r="D1" s="1"/>
      <c r="E1" s="1"/>
      <c r="F1" s="1"/>
      <c r="G1" s="1"/>
      <c r="H1" s="1"/>
      <c r="I1" s="1"/>
      <c r="J1" s="1"/>
      <c r="K1" s="1"/>
    </row>
    <row r="2" ht="15" customHeight="1" spans="2:11" x14ac:dyDescent="0.25">
      <c r="B2" s="2" t="s">
        <v>54</v>
      </c>
      <c r="C2" s="2"/>
      <c r="D2" s="2"/>
      <c r="E2" s="2"/>
      <c r="F2" s="2"/>
      <c r="G2" s="2"/>
      <c r="H2" s="2"/>
      <c r="I2" s="2"/>
      <c r="J2" s="2"/>
      <c r="K2" s="2"/>
    </row>
    <row r="4" ht="20" customHeight="1" spans="2:2" x14ac:dyDescent="0.25">
      <c r="B4" s="3" t="s">
        <v>55</v>
      </c>
    </row>
    <row r="5" spans="2:2" x14ac:dyDescent="0.25">
      <c r="B5" s="4" t="s">
        <v>56</v>
      </c>
    </row>
    <row r="7" ht="18" customHeight="1" spans="2:11" x14ac:dyDescent="0.25">
      <c r="B7" s="5" t="s">
        <v>57</v>
      </c>
      <c r="C7" s="6"/>
      <c r="D7" s="6"/>
      <c r="E7" s="6"/>
      <c r="F7" s="6"/>
      <c r="G7" s="6"/>
      <c r="H7" s="6"/>
      <c r="I7" s="6"/>
      <c r="J7" s="6"/>
      <c r="K7" s="6"/>
    </row>
    <row r="8" spans="2:5" x14ac:dyDescent="0.25">
      <c r="B8" s="7" t="s">
        <v>58</v>
      </c>
      <c r="C8" s="8"/>
      <c r="D8" s="8"/>
      <c r="E8" s="8"/>
    </row>
    <row r="9" spans="2:5" x14ac:dyDescent="0.25">
      <c r="B9" s="7" t="s">
        <v>59</v>
      </c>
      <c r="C9" s="8"/>
      <c r="D9" s="8"/>
      <c r="E9" s="8"/>
    </row>
    <row r="10" spans="2:5" x14ac:dyDescent="0.25">
      <c r="B10" s="7" t="s">
        <v>60</v>
      </c>
      <c r="C10" s="8"/>
      <c r="D10" s="8"/>
      <c r="E10" s="8"/>
    </row>
    <row r="11" spans="2:5" x14ac:dyDescent="0.25">
      <c r="B11" s="7" t="s">
        <v>61</v>
      </c>
      <c r="C11" s="9"/>
      <c r="D11" s="9"/>
      <c r="E11" s="9"/>
    </row>
    <row r="12" spans="2:5" x14ac:dyDescent="0.25">
      <c r="B12" s="7" t="s">
        <v>62</v>
      </c>
      <c r="C12" s="9"/>
      <c r="D12" s="9"/>
      <c r="E12" s="9"/>
    </row>
    <row r="13" spans="2:5" x14ac:dyDescent="0.25">
      <c r="B13" s="7" t="s">
        <v>63</v>
      </c>
      <c r="C13" s="10"/>
      <c r="D13" s="10"/>
      <c r="E13" s="10"/>
    </row>
    <row r="14" spans="2:5" x14ac:dyDescent="0.25">
      <c r="B14" s="7" t="s">
        <v>64</v>
      </c>
      <c r="C14" s="10"/>
      <c r="D14" s="10"/>
      <c r="E14" s="10"/>
    </row>
    <row r="15" ht="27" customHeight="1" spans="2:9" x14ac:dyDescent="0.25">
      <c r="B15" s="7" t="s">
        <v>65</v>
      </c>
      <c r="C15" s="8"/>
      <c r="D15" s="8"/>
      <c r="E15" s="8"/>
      <c r="F15" s="8"/>
      <c r="G15" s="8"/>
      <c r="H15" s="8"/>
      <c r="I15" s="8"/>
    </row>
    <row r="16" spans="2:5" x14ac:dyDescent="0.25">
      <c r="B16" s="7" t="s">
        <v>66</v>
      </c>
      <c r="C16" s="11"/>
      <c r="D16" s="11"/>
      <c r="E16" s="11"/>
    </row>
    <row r="17" ht="27" customHeight="1" spans="2:9" x14ac:dyDescent="0.25">
      <c r="B17" s="7" t="s">
        <v>67</v>
      </c>
      <c r="C17" s="8"/>
      <c r="D17" s="8"/>
      <c r="E17" s="8"/>
      <c r="F17" s="8"/>
      <c r="G17" s="8"/>
      <c r="H17" s="8"/>
      <c r="I17" s="8"/>
    </row>
    <row r="19" ht="18" customHeight="1" spans="2:11" x14ac:dyDescent="0.25">
      <c r="B19" s="5" t="s">
        <v>68</v>
      </c>
      <c r="C19" s="6"/>
      <c r="D19" s="6"/>
      <c r="E19" s="6"/>
      <c r="F19" s="6"/>
      <c r="G19" s="6"/>
      <c r="H19" s="6"/>
      <c r="I19" s="6"/>
      <c r="J19" s="6"/>
      <c r="K19" s="6"/>
    </row>
    <row r="20" hidden="1" spans="2:9" x14ac:dyDescent="0.25">
      <c r="B20" t="s">
        <v>69</v>
      </c>
      <c r="C20" t="s">
        <v>0</v>
      </c>
      <c r="D20" t="s">
        <v>70</v>
      </c>
      <c r="E20" t="s">
        <v>71</v>
      </c>
      <c r="F20" t="s">
        <v>72</v>
      </c>
      <c r="G20" t="s">
        <v>1</v>
      </c>
      <c r="H20" t="s">
        <v>73</v>
      </c>
      <c r="I20" t="s">
        <v>74</v>
      </c>
    </row>
    <row r="21" ht="30" customHeight="1" spans="2:10" x14ac:dyDescent="0.25">
      <c r="B21" s="12" t="s">
        <v>75</v>
      </c>
      <c r="C21" s="12" t="s">
        <v>76</v>
      </c>
      <c r="D21" s="13" t="s">
        <v>77</v>
      </c>
      <c r="E21" s="13" t="s">
        <v>78</v>
      </c>
      <c r="F21" s="12" t="s">
        <v>79</v>
      </c>
      <c r="G21" s="12" t="s">
        <v>80</v>
      </c>
      <c r="H21" s="12" t="s">
        <v>81</v>
      </c>
      <c r="I21" s="12" t="s">
        <v>82</v>
      </c>
      <c r="J21" s="13" t="s">
        <v>83</v>
      </c>
    </row>
    <row r="22" ht="15" customHeight="1" spans="2:41" x14ac:dyDescent="0.25">
      <c r="B22" s="8"/>
      <c r="C22" s="10"/>
      <c r="D22" s="11"/>
      <c r="E22" s="11"/>
      <c r="F22" s="10"/>
      <c r="G22" s="10"/>
      <c r="H22" s="10"/>
      <c r="I22" s="14"/>
      <c r="J22" s="15">
        <f>IF(L22=1,M22-N22,"")</f>
      </c>
      <c r="L22">
        <f>IF(OR(C22="Property",C22="Shares and unit trusts",C22="Other investment",C22="Crypto",C22="Business interest"),1,0)</f>
      </c>
      <c r="M22">
        <f>IF(L22=1,ROUND((N(D22)-AM22)*AN22,2),0)</f>
      </c>
      <c r="N22">
        <f>IF(AND(L22=1,F22="Yes",M22&gt;0),MIN(M22,'Inputs'!$H$134),0)</f>
      </c>
      <c r="O22">
        <f>AL22</f>
      </c>
      <c r="P22">
        <f>IF(C22="Property",ROUND('Inputs'!$C$139/100*N(D22),2),0)</f>
      </c>
      <c r="Q22">
        <f>IF(AND(C22="Property",H22="Yes"),ROUND('Inputs'!$C$140/100*(1+'Inputs'!$C$135/100)*N(D22),2),0)</f>
      </c>
      <c r="R22">
        <f>IF(G22="Spouse",N(D22)-AL22,0)</f>
      </c>
      <c r="S22">
        <f>IF(G22="Named heir",N(D22)-AL22,0)</f>
      </c>
      <c r="T22">
        <f>IF(AND(L22=1,N(D22)&gt;0,E22="",C22&lt;&gt;"Crypto",AN22&gt;0),1,0)</f>
      </c>
      <c r="U22">
        <f>ROUND('Workings'!$C$42*S22,2)</f>
      </c>
      <c r="V22">
        <f>ROUND('Workings'!$D$42*S22,2)</f>
      </c>
      <c r="W22">
        <f>IF(AND(B22="",N(D22)=0),0,IF(OR(C22="",G22=""),1,0))</f>
      </c>
      <c r="X22">
        <f>IF(S22&gt;0,COUNTIF(S$22:S22,"&gt;0"),0)</f>
      </c>
      <c r="Y22">
        <f>IF(AND(G22="Estate (residue)",OR(C22="Shares and unit trusts",C22="Other investment",C22="Tax-free investment",C22="Crypto")),N(D22)-AL22,0)</f>
      </c>
      <c r="Z22">
        <f>IF(AND(G22="Spouse",OR(C22="Shares and unit trusts",C22="Other investment",C22="Tax-free investment",C22="Crypto")),N(D22)-AL22,0)</f>
      </c>
      <c r="AK22">
        <f>IF(OR(H22="Yes",C22="Cash and deposits"),0,IF(C22="Crypto",1,IF(C22="Tax-free investment",2,IF(C22="Shares and unit trusts",3,IF(C22="Other investment",4,0)))))</f>
      </c>
      <c r="AL22">
        <f>ROUND('Sale calc'!$E$5+'Sale calc'!$AG$5,2)</f>
      </c>
      <c r="AM22">
        <f>IF(E22&lt;&gt;"",N(E22),IF(C22="Crypto",ROUND('Inputs'!$H$135/100*N(D22),2),0))</f>
      </c>
      <c r="AN22">
        <f>IF(N(D22)&gt;0,IF(OR(G22="Spouse",AND(G22="Estate (residue)",'Inputs'!$C$14="Spouse")),MIN(1,AL22/N(D22)),1),0)</f>
      </c>
      <c r="AO22">
        <f>IF(AND(AK22&gt;0,AL22&gt;0),COUNTIFS(AK$22:AK22,"&gt;0",AL$22:AL22,"&gt;0"),0)</f>
      </c>
    </row>
    <row r="23" ht="15" customHeight="1" spans="2:41" x14ac:dyDescent="0.25">
      <c r="B23" s="8"/>
      <c r="C23" s="10"/>
      <c r="D23" s="11"/>
      <c r="E23" s="11"/>
      <c r="F23" s="10"/>
      <c r="G23" s="10"/>
      <c r="H23" s="10"/>
      <c r="I23" s="14"/>
      <c r="J23" s="15">
        <f>IF(L23=1,M23-N23,"")</f>
      </c>
      <c r="L23">
        <f>IF(OR(C23="Property",C23="Shares and unit trusts",C23="Other investment",C23="Crypto",C23="Business interest"),1,0)</f>
      </c>
      <c r="M23">
        <f>IF(L23=1,ROUND((N(D23)-AM23)*AN23,2),0)</f>
      </c>
      <c r="N23">
        <f>IF(AND(L23=1,F23="Yes",M23&gt;0),MIN(M23,'Inputs'!$H$134),0)</f>
      </c>
      <c r="O23">
        <f>AL23</f>
      </c>
      <c r="P23">
        <f>IF(C23="Property",ROUND('Inputs'!$C$139/100*N(D23),2),0)</f>
      </c>
      <c r="Q23">
        <f>IF(AND(C23="Property",H23="Yes"),ROUND('Inputs'!$C$140/100*(1+'Inputs'!$C$135/100)*N(D23),2),0)</f>
      </c>
      <c r="R23">
        <f>IF(G23="Spouse",N(D23)-AL23,0)</f>
      </c>
      <c r="S23">
        <f>IF(G23="Named heir",N(D23)-AL23,0)</f>
      </c>
      <c r="T23">
        <f>IF(AND(L23=1,N(D23)&gt;0,E23="",C23&lt;&gt;"Crypto",AN23&gt;0),1,0)</f>
      </c>
      <c r="U23">
        <f>ROUND('Workings'!$C$42*S23,2)</f>
      </c>
      <c r="V23">
        <f>ROUND('Workings'!$D$42*S23,2)</f>
      </c>
      <c r="W23">
        <f>IF(AND(B23="",N(D23)=0),0,IF(OR(C23="",G23=""),1,0))</f>
      </c>
      <c r="X23">
        <f>IF(S23&gt;0,COUNTIF(S$22:S23,"&gt;0"),0)</f>
      </c>
      <c r="Y23">
        <f>IF(AND(G23="Estate (residue)",OR(C23="Shares and unit trusts",C23="Other investment",C23="Tax-free investment",C23="Crypto")),N(D23)-AL23,0)</f>
      </c>
      <c r="Z23">
        <f>IF(AND(G23="Spouse",OR(C23="Shares and unit trusts",C23="Other investment",C23="Tax-free investment",C23="Crypto")),N(D23)-AL23,0)</f>
      </c>
      <c r="AK23">
        <f>IF(OR(H23="Yes",C23="Cash and deposits"),0,IF(C23="Crypto",1,IF(C23="Tax-free investment",2,IF(C23="Shares and unit trusts",3,IF(C23="Other investment",4,0)))))</f>
      </c>
      <c r="AL23">
        <f>ROUND('Sale calc'!$E$6+'Sale calc'!$AG$6,2)</f>
      </c>
      <c r="AM23">
        <f>IF(E23&lt;&gt;"",N(E23),IF(C23="Crypto",ROUND('Inputs'!$H$135/100*N(D23),2),0))</f>
      </c>
      <c r="AN23">
        <f>IF(N(D23)&gt;0,IF(OR(G23="Spouse",AND(G23="Estate (residue)",'Inputs'!$C$14="Spouse")),MIN(1,AL23/N(D23)),1),0)</f>
      </c>
      <c r="AO23">
        <f>IF(AND(AK23&gt;0,AL23&gt;0),COUNTIFS(AK$22:AK23,"&gt;0",AL$22:AL23,"&gt;0"),0)</f>
      </c>
    </row>
    <row r="24" ht="15" customHeight="1" spans="2:41" x14ac:dyDescent="0.25">
      <c r="B24" s="8"/>
      <c r="C24" s="10"/>
      <c r="D24" s="11"/>
      <c r="E24" s="11"/>
      <c r="F24" s="10"/>
      <c r="G24" s="10"/>
      <c r="H24" s="10"/>
      <c r="I24" s="14"/>
      <c r="J24" s="15">
        <f>IF(L24=1,M24-N24,"")</f>
      </c>
      <c r="L24">
        <f>IF(OR(C24="Property",C24="Shares and unit trusts",C24="Other investment",C24="Crypto",C24="Business interest"),1,0)</f>
      </c>
      <c r="M24">
        <f>IF(L24=1,ROUND((N(D24)-AM24)*AN24,2),0)</f>
      </c>
      <c r="N24">
        <f>IF(AND(L24=1,F24="Yes",M24&gt;0),MIN(M24,'Inputs'!$H$134),0)</f>
      </c>
      <c r="O24">
        <f>AL24</f>
      </c>
      <c r="P24">
        <f>IF(C24="Property",ROUND('Inputs'!$C$139/100*N(D24),2),0)</f>
      </c>
      <c r="Q24">
        <f>IF(AND(C24="Property",H24="Yes"),ROUND('Inputs'!$C$140/100*(1+'Inputs'!$C$135/100)*N(D24),2),0)</f>
      </c>
      <c r="R24">
        <f>IF(G24="Spouse",N(D24)-AL24,0)</f>
      </c>
      <c r="S24">
        <f>IF(G24="Named heir",N(D24)-AL24,0)</f>
      </c>
      <c r="T24">
        <f>IF(AND(L24=1,N(D24)&gt;0,E24="",C24&lt;&gt;"Crypto",AN24&gt;0),1,0)</f>
      </c>
      <c r="U24">
        <f>ROUND('Workings'!$C$42*S24,2)</f>
      </c>
      <c r="V24">
        <f>ROUND('Workings'!$D$42*S24,2)</f>
      </c>
      <c r="W24">
        <f>IF(AND(B24="",N(D24)=0),0,IF(OR(C24="",G24=""),1,0))</f>
      </c>
      <c r="X24">
        <f>IF(S24&gt;0,COUNTIF(S$22:S24,"&gt;0"),0)</f>
      </c>
      <c r="Y24">
        <f>IF(AND(G24="Estate (residue)",OR(C24="Shares and unit trusts",C24="Other investment",C24="Tax-free investment",C24="Crypto")),N(D24)-AL24,0)</f>
      </c>
      <c r="Z24">
        <f>IF(AND(G24="Spouse",OR(C24="Shares and unit trusts",C24="Other investment",C24="Tax-free investment",C24="Crypto")),N(D24)-AL24,0)</f>
      </c>
      <c r="AK24">
        <f>IF(OR(H24="Yes",C24="Cash and deposits"),0,IF(C24="Crypto",1,IF(C24="Tax-free investment",2,IF(C24="Shares and unit trusts",3,IF(C24="Other investment",4,0)))))</f>
      </c>
      <c r="AL24">
        <f>ROUND('Sale calc'!$E$7+'Sale calc'!$AG$7,2)</f>
      </c>
      <c r="AM24">
        <f>IF(E24&lt;&gt;"",N(E24),IF(C24="Crypto",ROUND('Inputs'!$H$135/100*N(D24),2),0))</f>
      </c>
      <c r="AN24">
        <f>IF(N(D24)&gt;0,IF(OR(G24="Spouse",AND(G24="Estate (residue)",'Inputs'!$C$14="Spouse")),MIN(1,AL24/N(D24)),1),0)</f>
      </c>
      <c r="AO24">
        <f>IF(AND(AK24&gt;0,AL24&gt;0),COUNTIFS(AK$22:AK24,"&gt;0",AL$22:AL24,"&gt;0"),0)</f>
      </c>
    </row>
    <row r="25" ht="15" customHeight="1" spans="2:41" x14ac:dyDescent="0.25">
      <c r="B25" s="8"/>
      <c r="C25" s="10"/>
      <c r="D25" s="11"/>
      <c r="E25" s="11"/>
      <c r="F25" s="10"/>
      <c r="G25" s="10"/>
      <c r="H25" s="10"/>
      <c r="I25" s="14"/>
      <c r="J25" s="15">
        <f>IF(L25=1,M25-N25,"")</f>
      </c>
      <c r="L25">
        <f>IF(OR(C25="Property",C25="Shares and unit trusts",C25="Other investment",C25="Crypto",C25="Business interest"),1,0)</f>
      </c>
      <c r="M25">
        <f>IF(L25=1,ROUND((N(D25)-AM25)*AN25,2),0)</f>
      </c>
      <c r="N25">
        <f>IF(AND(L25=1,F25="Yes",M25&gt;0),MIN(M25,'Inputs'!$H$134),0)</f>
      </c>
      <c r="O25">
        <f>AL25</f>
      </c>
      <c r="P25">
        <f>IF(C25="Property",ROUND('Inputs'!$C$139/100*N(D25),2),0)</f>
      </c>
      <c r="Q25">
        <f>IF(AND(C25="Property",H25="Yes"),ROUND('Inputs'!$C$140/100*(1+'Inputs'!$C$135/100)*N(D25),2),0)</f>
      </c>
      <c r="R25">
        <f>IF(G25="Spouse",N(D25)-AL25,0)</f>
      </c>
      <c r="S25">
        <f>IF(G25="Named heir",N(D25)-AL25,0)</f>
      </c>
      <c r="T25">
        <f>IF(AND(L25=1,N(D25)&gt;0,E25="",C25&lt;&gt;"Crypto",AN25&gt;0),1,0)</f>
      </c>
      <c r="U25">
        <f>ROUND('Workings'!$C$42*S25,2)</f>
      </c>
      <c r="V25">
        <f>ROUND('Workings'!$D$42*S25,2)</f>
      </c>
      <c r="W25">
        <f>IF(AND(B25="",N(D25)=0),0,IF(OR(C25="",G25=""),1,0))</f>
      </c>
      <c r="X25">
        <f>IF(S25&gt;0,COUNTIF(S$22:S25,"&gt;0"),0)</f>
      </c>
      <c r="Y25">
        <f>IF(AND(G25="Estate (residue)",OR(C25="Shares and unit trusts",C25="Other investment",C25="Tax-free investment",C25="Crypto")),N(D25)-AL25,0)</f>
      </c>
      <c r="Z25">
        <f>IF(AND(G25="Spouse",OR(C25="Shares and unit trusts",C25="Other investment",C25="Tax-free investment",C25="Crypto")),N(D25)-AL25,0)</f>
      </c>
      <c r="AK25">
        <f>IF(OR(H25="Yes",C25="Cash and deposits"),0,IF(C25="Crypto",1,IF(C25="Tax-free investment",2,IF(C25="Shares and unit trusts",3,IF(C25="Other investment",4,0)))))</f>
      </c>
      <c r="AL25">
        <f>ROUND('Sale calc'!$E$8+'Sale calc'!$AG$8,2)</f>
      </c>
      <c r="AM25">
        <f>IF(E25&lt;&gt;"",N(E25),IF(C25="Crypto",ROUND('Inputs'!$H$135/100*N(D25),2),0))</f>
      </c>
      <c r="AN25">
        <f>IF(N(D25)&gt;0,IF(OR(G25="Spouse",AND(G25="Estate (residue)",'Inputs'!$C$14="Spouse")),MIN(1,AL25/N(D25)),1),0)</f>
      </c>
      <c r="AO25">
        <f>IF(AND(AK25&gt;0,AL25&gt;0),COUNTIFS(AK$22:AK25,"&gt;0",AL$22:AL25,"&gt;0"),0)</f>
      </c>
    </row>
    <row r="26" ht="15" customHeight="1" spans="2:41" x14ac:dyDescent="0.25">
      <c r="B26" s="8"/>
      <c r="C26" s="10"/>
      <c r="D26" s="11"/>
      <c r="E26" s="11"/>
      <c r="F26" s="10"/>
      <c r="G26" s="10"/>
      <c r="H26" s="10"/>
      <c r="I26" s="14"/>
      <c r="J26" s="15">
        <f>IF(L26=1,M26-N26,"")</f>
      </c>
      <c r="L26">
        <f>IF(OR(C26="Property",C26="Shares and unit trusts",C26="Other investment",C26="Crypto",C26="Business interest"),1,0)</f>
      </c>
      <c r="M26">
        <f>IF(L26=1,ROUND((N(D26)-AM26)*AN26,2),0)</f>
      </c>
      <c r="N26">
        <f>IF(AND(L26=1,F26="Yes",M26&gt;0),MIN(M26,'Inputs'!$H$134),0)</f>
      </c>
      <c r="O26">
        <f>AL26</f>
      </c>
      <c r="P26">
        <f>IF(C26="Property",ROUND('Inputs'!$C$139/100*N(D26),2),0)</f>
      </c>
      <c r="Q26">
        <f>IF(AND(C26="Property",H26="Yes"),ROUND('Inputs'!$C$140/100*(1+'Inputs'!$C$135/100)*N(D26),2),0)</f>
      </c>
      <c r="R26">
        <f>IF(G26="Spouse",N(D26)-AL26,0)</f>
      </c>
      <c r="S26">
        <f>IF(G26="Named heir",N(D26)-AL26,0)</f>
      </c>
      <c r="T26">
        <f>IF(AND(L26=1,N(D26)&gt;0,E26="",C26&lt;&gt;"Crypto",AN26&gt;0),1,0)</f>
      </c>
      <c r="U26">
        <f>ROUND('Workings'!$C$42*S26,2)</f>
      </c>
      <c r="V26">
        <f>ROUND('Workings'!$D$42*S26,2)</f>
      </c>
      <c r="W26">
        <f>IF(AND(B26="",N(D26)=0),0,IF(OR(C26="",G26=""),1,0))</f>
      </c>
      <c r="X26">
        <f>IF(S26&gt;0,COUNTIF(S$22:S26,"&gt;0"),0)</f>
      </c>
      <c r="Y26">
        <f>IF(AND(G26="Estate (residue)",OR(C26="Shares and unit trusts",C26="Other investment",C26="Tax-free investment",C26="Crypto")),N(D26)-AL26,0)</f>
      </c>
      <c r="Z26">
        <f>IF(AND(G26="Spouse",OR(C26="Shares and unit trusts",C26="Other investment",C26="Tax-free investment",C26="Crypto")),N(D26)-AL26,0)</f>
      </c>
      <c r="AK26">
        <f>IF(OR(H26="Yes",C26="Cash and deposits"),0,IF(C26="Crypto",1,IF(C26="Tax-free investment",2,IF(C26="Shares and unit trusts",3,IF(C26="Other investment",4,0)))))</f>
      </c>
      <c r="AL26">
        <f>ROUND('Sale calc'!$E$9+'Sale calc'!$AG$9,2)</f>
      </c>
      <c r="AM26">
        <f>IF(E26&lt;&gt;"",N(E26),IF(C26="Crypto",ROUND('Inputs'!$H$135/100*N(D26),2),0))</f>
      </c>
      <c r="AN26">
        <f>IF(N(D26)&gt;0,IF(OR(G26="Spouse",AND(G26="Estate (residue)",'Inputs'!$C$14="Spouse")),MIN(1,AL26/N(D26)),1),0)</f>
      </c>
      <c r="AO26">
        <f>IF(AND(AK26&gt;0,AL26&gt;0),COUNTIFS(AK$22:AK26,"&gt;0",AL$22:AL26,"&gt;0"),0)</f>
      </c>
    </row>
    <row r="27" ht="15" customHeight="1" spans="2:41" x14ac:dyDescent="0.25">
      <c r="B27" s="8"/>
      <c r="C27" s="10"/>
      <c r="D27" s="11"/>
      <c r="E27" s="11"/>
      <c r="F27" s="10"/>
      <c r="G27" s="10"/>
      <c r="H27" s="10"/>
      <c r="I27" s="14"/>
      <c r="J27" s="15">
        <f>IF(L27=1,M27-N27,"")</f>
      </c>
      <c r="L27">
        <f>IF(OR(C27="Property",C27="Shares and unit trusts",C27="Other investment",C27="Crypto",C27="Business interest"),1,0)</f>
      </c>
      <c r="M27">
        <f>IF(L27=1,ROUND((N(D27)-AM27)*AN27,2),0)</f>
      </c>
      <c r="N27">
        <f>IF(AND(L27=1,F27="Yes",M27&gt;0),MIN(M27,'Inputs'!$H$134),0)</f>
      </c>
      <c r="O27">
        <f>AL27</f>
      </c>
      <c r="P27">
        <f>IF(C27="Property",ROUND('Inputs'!$C$139/100*N(D27),2),0)</f>
      </c>
      <c r="Q27">
        <f>IF(AND(C27="Property",H27="Yes"),ROUND('Inputs'!$C$140/100*(1+'Inputs'!$C$135/100)*N(D27),2),0)</f>
      </c>
      <c r="R27">
        <f>IF(G27="Spouse",N(D27)-AL27,0)</f>
      </c>
      <c r="S27">
        <f>IF(G27="Named heir",N(D27)-AL27,0)</f>
      </c>
      <c r="T27">
        <f>IF(AND(L27=1,N(D27)&gt;0,E27="",C27&lt;&gt;"Crypto",AN27&gt;0),1,0)</f>
      </c>
      <c r="U27">
        <f>ROUND('Workings'!$C$42*S27,2)</f>
      </c>
      <c r="V27">
        <f>ROUND('Workings'!$D$42*S27,2)</f>
      </c>
      <c r="W27">
        <f>IF(AND(B27="",N(D27)=0),0,IF(OR(C27="",G27=""),1,0))</f>
      </c>
      <c r="X27">
        <f>IF(S27&gt;0,COUNTIF(S$22:S27,"&gt;0"),0)</f>
      </c>
      <c r="Y27">
        <f>IF(AND(G27="Estate (residue)",OR(C27="Shares and unit trusts",C27="Other investment",C27="Tax-free investment",C27="Crypto")),N(D27)-AL27,0)</f>
      </c>
      <c r="Z27">
        <f>IF(AND(G27="Spouse",OR(C27="Shares and unit trusts",C27="Other investment",C27="Tax-free investment",C27="Crypto")),N(D27)-AL27,0)</f>
      </c>
      <c r="AK27">
        <f>IF(OR(H27="Yes",C27="Cash and deposits"),0,IF(C27="Crypto",1,IF(C27="Tax-free investment",2,IF(C27="Shares and unit trusts",3,IF(C27="Other investment",4,0)))))</f>
      </c>
      <c r="AL27">
        <f>ROUND('Sale calc'!$E$10+'Sale calc'!$AG$10,2)</f>
      </c>
      <c r="AM27">
        <f>IF(E27&lt;&gt;"",N(E27),IF(C27="Crypto",ROUND('Inputs'!$H$135/100*N(D27),2),0))</f>
      </c>
      <c r="AN27">
        <f>IF(N(D27)&gt;0,IF(OR(G27="Spouse",AND(G27="Estate (residue)",'Inputs'!$C$14="Spouse")),MIN(1,AL27/N(D27)),1),0)</f>
      </c>
      <c r="AO27">
        <f>IF(AND(AK27&gt;0,AL27&gt;0),COUNTIFS(AK$22:AK27,"&gt;0",AL$22:AL27,"&gt;0"),0)</f>
      </c>
    </row>
    <row r="28" ht="15" customHeight="1" spans="2:41" x14ac:dyDescent="0.25">
      <c r="B28" s="8"/>
      <c r="C28" s="10"/>
      <c r="D28" s="11"/>
      <c r="E28" s="11"/>
      <c r="F28" s="10"/>
      <c r="G28" s="10"/>
      <c r="H28" s="10"/>
      <c r="I28" s="14"/>
      <c r="J28" s="15">
        <f>IF(L28=1,M28-N28,"")</f>
      </c>
      <c r="L28">
        <f>IF(OR(C28="Property",C28="Shares and unit trusts",C28="Other investment",C28="Crypto",C28="Business interest"),1,0)</f>
      </c>
      <c r="M28">
        <f>IF(L28=1,ROUND((N(D28)-AM28)*AN28,2),0)</f>
      </c>
      <c r="N28">
        <f>IF(AND(L28=1,F28="Yes",M28&gt;0),MIN(M28,'Inputs'!$H$134),0)</f>
      </c>
      <c r="O28">
        <f>AL28</f>
      </c>
      <c r="P28">
        <f>IF(C28="Property",ROUND('Inputs'!$C$139/100*N(D28),2),0)</f>
      </c>
      <c r="Q28">
        <f>IF(AND(C28="Property",H28="Yes"),ROUND('Inputs'!$C$140/100*(1+'Inputs'!$C$135/100)*N(D28),2),0)</f>
      </c>
      <c r="R28">
        <f>IF(G28="Spouse",N(D28)-AL28,0)</f>
      </c>
      <c r="S28">
        <f>IF(G28="Named heir",N(D28)-AL28,0)</f>
      </c>
      <c r="T28">
        <f>IF(AND(L28=1,N(D28)&gt;0,E28="",C28&lt;&gt;"Crypto",AN28&gt;0),1,0)</f>
      </c>
      <c r="U28">
        <f>ROUND('Workings'!$C$42*S28,2)</f>
      </c>
      <c r="V28">
        <f>ROUND('Workings'!$D$42*S28,2)</f>
      </c>
      <c r="W28">
        <f>IF(AND(B28="",N(D28)=0),0,IF(OR(C28="",G28=""),1,0))</f>
      </c>
      <c r="X28">
        <f>IF(S28&gt;0,COUNTIF(S$22:S28,"&gt;0"),0)</f>
      </c>
      <c r="Y28">
        <f>IF(AND(G28="Estate (residue)",OR(C28="Shares and unit trusts",C28="Other investment",C28="Tax-free investment",C28="Crypto")),N(D28)-AL28,0)</f>
      </c>
      <c r="Z28">
        <f>IF(AND(G28="Spouse",OR(C28="Shares and unit trusts",C28="Other investment",C28="Tax-free investment",C28="Crypto")),N(D28)-AL28,0)</f>
      </c>
      <c r="AK28">
        <f>IF(OR(H28="Yes",C28="Cash and deposits"),0,IF(C28="Crypto",1,IF(C28="Tax-free investment",2,IF(C28="Shares and unit trusts",3,IF(C28="Other investment",4,0)))))</f>
      </c>
      <c r="AL28">
        <f>ROUND('Sale calc'!$E$11+'Sale calc'!$AG$11,2)</f>
      </c>
      <c r="AM28">
        <f>IF(E28&lt;&gt;"",N(E28),IF(C28="Crypto",ROUND('Inputs'!$H$135/100*N(D28),2),0))</f>
      </c>
      <c r="AN28">
        <f>IF(N(D28)&gt;0,IF(OR(G28="Spouse",AND(G28="Estate (residue)",'Inputs'!$C$14="Spouse")),MIN(1,AL28/N(D28)),1),0)</f>
      </c>
      <c r="AO28">
        <f>IF(AND(AK28&gt;0,AL28&gt;0),COUNTIFS(AK$22:AK28,"&gt;0",AL$22:AL28,"&gt;0"),0)</f>
      </c>
    </row>
    <row r="29" ht="15" customHeight="1" spans="2:41" x14ac:dyDescent="0.25">
      <c r="B29" s="8"/>
      <c r="C29" s="10"/>
      <c r="D29" s="11"/>
      <c r="E29" s="11"/>
      <c r="F29" s="10"/>
      <c r="G29" s="10"/>
      <c r="H29" s="10"/>
      <c r="I29" s="14"/>
      <c r="J29" s="15">
        <f>IF(L29=1,M29-N29,"")</f>
      </c>
      <c r="L29">
        <f>IF(OR(C29="Property",C29="Shares and unit trusts",C29="Other investment",C29="Crypto",C29="Business interest"),1,0)</f>
      </c>
      <c r="M29">
        <f>IF(L29=1,ROUND((N(D29)-AM29)*AN29,2),0)</f>
      </c>
      <c r="N29">
        <f>IF(AND(L29=1,F29="Yes",M29&gt;0),MIN(M29,'Inputs'!$H$134),0)</f>
      </c>
      <c r="O29">
        <f>AL29</f>
      </c>
      <c r="P29">
        <f>IF(C29="Property",ROUND('Inputs'!$C$139/100*N(D29),2),0)</f>
      </c>
      <c r="Q29">
        <f>IF(AND(C29="Property",H29="Yes"),ROUND('Inputs'!$C$140/100*(1+'Inputs'!$C$135/100)*N(D29),2),0)</f>
      </c>
      <c r="R29">
        <f>IF(G29="Spouse",N(D29)-AL29,0)</f>
      </c>
      <c r="S29">
        <f>IF(G29="Named heir",N(D29)-AL29,0)</f>
      </c>
      <c r="T29">
        <f>IF(AND(L29=1,N(D29)&gt;0,E29="",C29&lt;&gt;"Crypto",AN29&gt;0),1,0)</f>
      </c>
      <c r="U29">
        <f>ROUND('Workings'!$C$42*S29,2)</f>
      </c>
      <c r="V29">
        <f>ROUND('Workings'!$D$42*S29,2)</f>
      </c>
      <c r="W29">
        <f>IF(AND(B29="",N(D29)=0),0,IF(OR(C29="",G29=""),1,0))</f>
      </c>
      <c r="X29">
        <f>IF(S29&gt;0,COUNTIF(S$22:S29,"&gt;0"),0)</f>
      </c>
      <c r="Y29">
        <f>IF(AND(G29="Estate (residue)",OR(C29="Shares and unit trusts",C29="Other investment",C29="Tax-free investment",C29="Crypto")),N(D29)-AL29,0)</f>
      </c>
      <c r="Z29">
        <f>IF(AND(G29="Spouse",OR(C29="Shares and unit trusts",C29="Other investment",C29="Tax-free investment",C29="Crypto")),N(D29)-AL29,0)</f>
      </c>
      <c r="AK29">
        <f>IF(OR(H29="Yes",C29="Cash and deposits"),0,IF(C29="Crypto",1,IF(C29="Tax-free investment",2,IF(C29="Shares and unit trusts",3,IF(C29="Other investment",4,0)))))</f>
      </c>
      <c r="AL29">
        <f>ROUND('Sale calc'!$E$12+'Sale calc'!$AG$12,2)</f>
      </c>
      <c r="AM29">
        <f>IF(E29&lt;&gt;"",N(E29),IF(C29="Crypto",ROUND('Inputs'!$H$135/100*N(D29),2),0))</f>
      </c>
      <c r="AN29">
        <f>IF(N(D29)&gt;0,IF(OR(G29="Spouse",AND(G29="Estate (residue)",'Inputs'!$C$14="Spouse")),MIN(1,AL29/N(D29)),1),0)</f>
      </c>
      <c r="AO29">
        <f>IF(AND(AK29&gt;0,AL29&gt;0),COUNTIFS(AK$22:AK29,"&gt;0",AL$22:AL29,"&gt;0"),0)</f>
      </c>
    </row>
    <row r="30" ht="15" customHeight="1" spans="2:41" x14ac:dyDescent="0.25">
      <c r="B30" s="8"/>
      <c r="C30" s="10"/>
      <c r="D30" s="11"/>
      <c r="E30" s="11"/>
      <c r="F30" s="10"/>
      <c r="G30" s="10"/>
      <c r="H30" s="10"/>
      <c r="I30" s="14"/>
      <c r="J30" s="15">
        <f>IF(L30=1,M30-N30,"")</f>
      </c>
      <c r="L30">
        <f>IF(OR(C30="Property",C30="Shares and unit trusts",C30="Other investment",C30="Crypto",C30="Business interest"),1,0)</f>
      </c>
      <c r="M30">
        <f>IF(L30=1,ROUND((N(D30)-AM30)*AN30,2),0)</f>
      </c>
      <c r="N30">
        <f>IF(AND(L30=1,F30="Yes",M30&gt;0),MIN(M30,'Inputs'!$H$134),0)</f>
      </c>
      <c r="O30">
        <f>AL30</f>
      </c>
      <c r="P30">
        <f>IF(C30="Property",ROUND('Inputs'!$C$139/100*N(D30),2),0)</f>
      </c>
      <c r="Q30">
        <f>IF(AND(C30="Property",H30="Yes"),ROUND('Inputs'!$C$140/100*(1+'Inputs'!$C$135/100)*N(D30),2),0)</f>
      </c>
      <c r="R30">
        <f>IF(G30="Spouse",N(D30)-AL30,0)</f>
      </c>
      <c r="S30">
        <f>IF(G30="Named heir",N(D30)-AL30,0)</f>
      </c>
      <c r="T30">
        <f>IF(AND(L30=1,N(D30)&gt;0,E30="",C30&lt;&gt;"Crypto",AN30&gt;0),1,0)</f>
      </c>
      <c r="U30">
        <f>ROUND('Workings'!$C$42*S30,2)</f>
      </c>
      <c r="V30">
        <f>ROUND('Workings'!$D$42*S30,2)</f>
      </c>
      <c r="W30">
        <f>IF(AND(B30="",N(D30)=0),0,IF(OR(C30="",G30=""),1,0))</f>
      </c>
      <c r="X30">
        <f>IF(S30&gt;0,COUNTIF(S$22:S30,"&gt;0"),0)</f>
      </c>
      <c r="Y30">
        <f>IF(AND(G30="Estate (residue)",OR(C30="Shares and unit trusts",C30="Other investment",C30="Tax-free investment",C30="Crypto")),N(D30)-AL30,0)</f>
      </c>
      <c r="Z30">
        <f>IF(AND(G30="Spouse",OR(C30="Shares and unit trusts",C30="Other investment",C30="Tax-free investment",C30="Crypto")),N(D30)-AL30,0)</f>
      </c>
      <c r="AK30">
        <f>IF(OR(H30="Yes",C30="Cash and deposits"),0,IF(C30="Crypto",1,IF(C30="Tax-free investment",2,IF(C30="Shares and unit trusts",3,IF(C30="Other investment",4,0)))))</f>
      </c>
      <c r="AL30">
        <f>ROUND('Sale calc'!$E$13+'Sale calc'!$AG$13,2)</f>
      </c>
      <c r="AM30">
        <f>IF(E30&lt;&gt;"",N(E30),IF(C30="Crypto",ROUND('Inputs'!$H$135/100*N(D30),2),0))</f>
      </c>
      <c r="AN30">
        <f>IF(N(D30)&gt;0,IF(OR(G30="Spouse",AND(G30="Estate (residue)",'Inputs'!$C$14="Spouse")),MIN(1,AL30/N(D30)),1),0)</f>
      </c>
      <c r="AO30">
        <f>IF(AND(AK30&gt;0,AL30&gt;0),COUNTIFS(AK$22:AK30,"&gt;0",AL$22:AL30,"&gt;0"),0)</f>
      </c>
    </row>
    <row r="31" ht="15" customHeight="1" spans="2:41" x14ac:dyDescent="0.25">
      <c r="B31" s="8"/>
      <c r="C31" s="10"/>
      <c r="D31" s="11"/>
      <c r="E31" s="11"/>
      <c r="F31" s="10"/>
      <c r="G31" s="10"/>
      <c r="H31" s="10"/>
      <c r="I31" s="14"/>
      <c r="J31" s="15">
        <f>IF(L31=1,M31-N31,"")</f>
      </c>
      <c r="L31">
        <f>IF(OR(C31="Property",C31="Shares and unit trusts",C31="Other investment",C31="Crypto",C31="Business interest"),1,0)</f>
      </c>
      <c r="M31">
        <f>IF(L31=1,ROUND((N(D31)-AM31)*AN31,2),0)</f>
      </c>
      <c r="N31">
        <f>IF(AND(L31=1,F31="Yes",M31&gt;0),MIN(M31,'Inputs'!$H$134),0)</f>
      </c>
      <c r="O31">
        <f>AL31</f>
      </c>
      <c r="P31">
        <f>IF(C31="Property",ROUND('Inputs'!$C$139/100*N(D31),2),0)</f>
      </c>
      <c r="Q31">
        <f>IF(AND(C31="Property",H31="Yes"),ROUND('Inputs'!$C$140/100*(1+'Inputs'!$C$135/100)*N(D31),2),0)</f>
      </c>
      <c r="R31">
        <f>IF(G31="Spouse",N(D31)-AL31,0)</f>
      </c>
      <c r="S31">
        <f>IF(G31="Named heir",N(D31)-AL31,0)</f>
      </c>
      <c r="T31">
        <f>IF(AND(L31=1,N(D31)&gt;0,E31="",C31&lt;&gt;"Crypto",AN31&gt;0),1,0)</f>
      </c>
      <c r="U31">
        <f>ROUND('Workings'!$C$42*S31,2)</f>
      </c>
      <c r="V31">
        <f>ROUND('Workings'!$D$42*S31,2)</f>
      </c>
      <c r="W31">
        <f>IF(AND(B31="",N(D31)=0),0,IF(OR(C31="",G31=""),1,0))</f>
      </c>
      <c r="X31">
        <f>IF(S31&gt;0,COUNTIF(S$22:S31,"&gt;0"),0)</f>
      </c>
      <c r="Y31">
        <f>IF(AND(G31="Estate (residue)",OR(C31="Shares and unit trusts",C31="Other investment",C31="Tax-free investment",C31="Crypto")),N(D31)-AL31,0)</f>
      </c>
      <c r="Z31">
        <f>IF(AND(G31="Spouse",OR(C31="Shares and unit trusts",C31="Other investment",C31="Tax-free investment",C31="Crypto")),N(D31)-AL31,0)</f>
      </c>
      <c r="AK31">
        <f>IF(OR(H31="Yes",C31="Cash and deposits"),0,IF(C31="Crypto",1,IF(C31="Tax-free investment",2,IF(C31="Shares and unit trusts",3,IF(C31="Other investment",4,0)))))</f>
      </c>
      <c r="AL31">
        <f>ROUND('Sale calc'!$E$14+'Sale calc'!$AG$14,2)</f>
      </c>
      <c r="AM31">
        <f>IF(E31&lt;&gt;"",N(E31),IF(C31="Crypto",ROUND('Inputs'!$H$135/100*N(D31),2),0))</f>
      </c>
      <c r="AN31">
        <f>IF(N(D31)&gt;0,IF(OR(G31="Spouse",AND(G31="Estate (residue)",'Inputs'!$C$14="Spouse")),MIN(1,AL31/N(D31)),1),0)</f>
      </c>
      <c r="AO31">
        <f>IF(AND(AK31&gt;0,AL31&gt;0),COUNTIFS(AK$22:AK31,"&gt;0",AL$22:AL31,"&gt;0"),0)</f>
      </c>
    </row>
    <row r="32" ht="15" customHeight="1" spans="2:41" x14ac:dyDescent="0.25">
      <c r="B32" s="8"/>
      <c r="C32" s="10"/>
      <c r="D32" s="11"/>
      <c r="E32" s="11"/>
      <c r="F32" s="10"/>
      <c r="G32" s="10"/>
      <c r="H32" s="10"/>
      <c r="I32" s="14"/>
      <c r="J32" s="15">
        <f>IF(L32=1,M32-N32,"")</f>
      </c>
      <c r="L32">
        <f>IF(OR(C32="Property",C32="Shares and unit trusts",C32="Other investment",C32="Crypto",C32="Business interest"),1,0)</f>
      </c>
      <c r="M32">
        <f>IF(L32=1,ROUND((N(D32)-AM32)*AN32,2),0)</f>
      </c>
      <c r="N32">
        <f>IF(AND(L32=1,F32="Yes",M32&gt;0),MIN(M32,'Inputs'!$H$134),0)</f>
      </c>
      <c r="O32">
        <f>AL32</f>
      </c>
      <c r="P32">
        <f>IF(C32="Property",ROUND('Inputs'!$C$139/100*N(D32),2),0)</f>
      </c>
      <c r="Q32">
        <f>IF(AND(C32="Property",H32="Yes"),ROUND('Inputs'!$C$140/100*(1+'Inputs'!$C$135/100)*N(D32),2),0)</f>
      </c>
      <c r="R32">
        <f>IF(G32="Spouse",N(D32)-AL32,0)</f>
      </c>
      <c r="S32">
        <f>IF(G32="Named heir",N(D32)-AL32,0)</f>
      </c>
      <c r="T32">
        <f>IF(AND(L32=1,N(D32)&gt;0,E32="",C32&lt;&gt;"Crypto",AN32&gt;0),1,0)</f>
      </c>
      <c r="U32">
        <f>ROUND('Workings'!$C$42*S32,2)</f>
      </c>
      <c r="V32">
        <f>ROUND('Workings'!$D$42*S32,2)</f>
      </c>
      <c r="W32">
        <f>IF(AND(B32="",N(D32)=0),0,IF(OR(C32="",G32=""),1,0))</f>
      </c>
      <c r="X32">
        <f>IF(S32&gt;0,COUNTIF(S$22:S32,"&gt;0"),0)</f>
      </c>
      <c r="Y32">
        <f>IF(AND(G32="Estate (residue)",OR(C32="Shares and unit trusts",C32="Other investment",C32="Tax-free investment",C32="Crypto")),N(D32)-AL32,0)</f>
      </c>
      <c r="Z32">
        <f>IF(AND(G32="Spouse",OR(C32="Shares and unit trusts",C32="Other investment",C32="Tax-free investment",C32="Crypto")),N(D32)-AL32,0)</f>
      </c>
      <c r="AK32">
        <f>IF(OR(H32="Yes",C32="Cash and deposits"),0,IF(C32="Crypto",1,IF(C32="Tax-free investment",2,IF(C32="Shares and unit trusts",3,IF(C32="Other investment",4,0)))))</f>
      </c>
      <c r="AL32">
        <f>ROUND('Sale calc'!$E$15+'Sale calc'!$AG$15,2)</f>
      </c>
      <c r="AM32">
        <f>IF(E32&lt;&gt;"",N(E32),IF(C32="Crypto",ROUND('Inputs'!$H$135/100*N(D32),2),0))</f>
      </c>
      <c r="AN32">
        <f>IF(N(D32)&gt;0,IF(OR(G32="Spouse",AND(G32="Estate (residue)",'Inputs'!$C$14="Spouse")),MIN(1,AL32/N(D32)),1),0)</f>
      </c>
      <c r="AO32">
        <f>IF(AND(AK32&gt;0,AL32&gt;0),COUNTIFS(AK$22:AK32,"&gt;0",AL$22:AL32,"&gt;0"),0)</f>
      </c>
    </row>
    <row r="33" ht="15" customHeight="1" spans="2:41" x14ac:dyDescent="0.25">
      <c r="B33" s="8"/>
      <c r="C33" s="10"/>
      <c r="D33" s="11"/>
      <c r="E33" s="11"/>
      <c r="F33" s="10"/>
      <c r="G33" s="10"/>
      <c r="H33" s="10"/>
      <c r="I33" s="14"/>
      <c r="J33" s="15">
        <f>IF(L33=1,M33-N33,"")</f>
      </c>
      <c r="L33">
        <f>IF(OR(C33="Property",C33="Shares and unit trusts",C33="Other investment",C33="Crypto",C33="Business interest"),1,0)</f>
      </c>
      <c r="M33">
        <f>IF(L33=1,ROUND((N(D33)-AM33)*AN33,2),0)</f>
      </c>
      <c r="N33">
        <f>IF(AND(L33=1,F33="Yes",M33&gt;0),MIN(M33,'Inputs'!$H$134),0)</f>
      </c>
      <c r="O33">
        <f>AL33</f>
      </c>
      <c r="P33">
        <f>IF(C33="Property",ROUND('Inputs'!$C$139/100*N(D33),2),0)</f>
      </c>
      <c r="Q33">
        <f>IF(AND(C33="Property",H33="Yes"),ROUND('Inputs'!$C$140/100*(1+'Inputs'!$C$135/100)*N(D33),2),0)</f>
      </c>
      <c r="R33">
        <f>IF(G33="Spouse",N(D33)-AL33,0)</f>
      </c>
      <c r="S33">
        <f>IF(G33="Named heir",N(D33)-AL33,0)</f>
      </c>
      <c r="T33">
        <f>IF(AND(L33=1,N(D33)&gt;0,E33="",C33&lt;&gt;"Crypto",AN33&gt;0),1,0)</f>
      </c>
      <c r="U33">
        <f>ROUND('Workings'!$C$42*S33,2)</f>
      </c>
      <c r="V33">
        <f>ROUND('Workings'!$D$42*S33,2)</f>
      </c>
      <c r="W33">
        <f>IF(AND(B33="",N(D33)=0),0,IF(OR(C33="",G33=""),1,0))</f>
      </c>
      <c r="X33">
        <f>IF(S33&gt;0,COUNTIF(S$22:S33,"&gt;0"),0)</f>
      </c>
      <c r="Y33">
        <f>IF(AND(G33="Estate (residue)",OR(C33="Shares and unit trusts",C33="Other investment",C33="Tax-free investment",C33="Crypto")),N(D33)-AL33,0)</f>
      </c>
      <c r="Z33">
        <f>IF(AND(G33="Spouse",OR(C33="Shares and unit trusts",C33="Other investment",C33="Tax-free investment",C33="Crypto")),N(D33)-AL33,0)</f>
      </c>
      <c r="AK33">
        <f>IF(OR(H33="Yes",C33="Cash and deposits"),0,IF(C33="Crypto",1,IF(C33="Tax-free investment",2,IF(C33="Shares and unit trusts",3,IF(C33="Other investment",4,0)))))</f>
      </c>
      <c r="AL33">
        <f>ROUND('Sale calc'!$E$16+'Sale calc'!$AG$16,2)</f>
      </c>
      <c r="AM33">
        <f>IF(E33&lt;&gt;"",N(E33),IF(C33="Crypto",ROUND('Inputs'!$H$135/100*N(D33),2),0))</f>
      </c>
      <c r="AN33">
        <f>IF(N(D33)&gt;0,IF(OR(G33="Spouse",AND(G33="Estate (residue)",'Inputs'!$C$14="Spouse")),MIN(1,AL33/N(D33)),1),0)</f>
      </c>
      <c r="AO33">
        <f>IF(AND(AK33&gt;0,AL33&gt;0),COUNTIFS(AK$22:AK33,"&gt;0",AL$22:AL33,"&gt;0"),0)</f>
      </c>
    </row>
    <row r="34" ht="15" customHeight="1" spans="2:41" x14ac:dyDescent="0.25">
      <c r="B34" s="8"/>
      <c r="C34" s="10"/>
      <c r="D34" s="11"/>
      <c r="E34" s="11"/>
      <c r="F34" s="10"/>
      <c r="G34" s="10"/>
      <c r="H34" s="10"/>
      <c r="I34" s="14"/>
      <c r="J34" s="15">
        <f>IF(L34=1,M34-N34,"")</f>
      </c>
      <c r="L34">
        <f>IF(OR(C34="Property",C34="Shares and unit trusts",C34="Other investment",C34="Crypto",C34="Business interest"),1,0)</f>
      </c>
      <c r="M34">
        <f>IF(L34=1,ROUND((N(D34)-AM34)*AN34,2),0)</f>
      </c>
      <c r="N34">
        <f>IF(AND(L34=1,F34="Yes",M34&gt;0),MIN(M34,'Inputs'!$H$134),0)</f>
      </c>
      <c r="O34">
        <f>AL34</f>
      </c>
      <c r="P34">
        <f>IF(C34="Property",ROUND('Inputs'!$C$139/100*N(D34),2),0)</f>
      </c>
      <c r="Q34">
        <f>IF(AND(C34="Property",H34="Yes"),ROUND('Inputs'!$C$140/100*(1+'Inputs'!$C$135/100)*N(D34),2),0)</f>
      </c>
      <c r="R34">
        <f>IF(G34="Spouse",N(D34)-AL34,0)</f>
      </c>
      <c r="S34">
        <f>IF(G34="Named heir",N(D34)-AL34,0)</f>
      </c>
      <c r="T34">
        <f>IF(AND(L34=1,N(D34)&gt;0,E34="",C34&lt;&gt;"Crypto",AN34&gt;0),1,0)</f>
      </c>
      <c r="U34">
        <f>ROUND('Workings'!$C$42*S34,2)</f>
      </c>
      <c r="V34">
        <f>ROUND('Workings'!$D$42*S34,2)</f>
      </c>
      <c r="W34">
        <f>IF(AND(B34="",N(D34)=0),0,IF(OR(C34="",G34=""),1,0))</f>
      </c>
      <c r="X34">
        <f>IF(S34&gt;0,COUNTIF(S$22:S34,"&gt;0"),0)</f>
      </c>
      <c r="Y34">
        <f>IF(AND(G34="Estate (residue)",OR(C34="Shares and unit trusts",C34="Other investment",C34="Tax-free investment",C34="Crypto")),N(D34)-AL34,0)</f>
      </c>
      <c r="Z34">
        <f>IF(AND(G34="Spouse",OR(C34="Shares and unit trusts",C34="Other investment",C34="Tax-free investment",C34="Crypto")),N(D34)-AL34,0)</f>
      </c>
      <c r="AK34">
        <f>IF(OR(H34="Yes",C34="Cash and deposits"),0,IF(C34="Crypto",1,IF(C34="Tax-free investment",2,IF(C34="Shares and unit trusts",3,IF(C34="Other investment",4,0)))))</f>
      </c>
      <c r="AL34">
        <f>ROUND('Sale calc'!$E$17+'Sale calc'!$AG$17,2)</f>
      </c>
      <c r="AM34">
        <f>IF(E34&lt;&gt;"",N(E34),IF(C34="Crypto",ROUND('Inputs'!$H$135/100*N(D34),2),0))</f>
      </c>
      <c r="AN34">
        <f>IF(N(D34)&gt;0,IF(OR(G34="Spouse",AND(G34="Estate (residue)",'Inputs'!$C$14="Spouse")),MIN(1,AL34/N(D34)),1),0)</f>
      </c>
      <c r="AO34">
        <f>IF(AND(AK34&gt;0,AL34&gt;0),COUNTIFS(AK$22:AK34,"&gt;0",AL$22:AL34,"&gt;0"),0)</f>
      </c>
    </row>
    <row r="35" ht="15" customHeight="1" spans="2:41" x14ac:dyDescent="0.25">
      <c r="B35" s="8"/>
      <c r="C35" s="10"/>
      <c r="D35" s="11"/>
      <c r="E35" s="11"/>
      <c r="F35" s="10"/>
      <c r="G35" s="10"/>
      <c r="H35" s="10"/>
      <c r="I35" s="14"/>
      <c r="J35" s="15">
        <f>IF(L35=1,M35-N35,"")</f>
      </c>
      <c r="L35">
        <f>IF(OR(C35="Property",C35="Shares and unit trusts",C35="Other investment",C35="Crypto",C35="Business interest"),1,0)</f>
      </c>
      <c r="M35">
        <f>IF(L35=1,ROUND((N(D35)-AM35)*AN35,2),0)</f>
      </c>
      <c r="N35">
        <f>IF(AND(L35=1,F35="Yes",M35&gt;0),MIN(M35,'Inputs'!$H$134),0)</f>
      </c>
      <c r="O35">
        <f>AL35</f>
      </c>
      <c r="P35">
        <f>IF(C35="Property",ROUND('Inputs'!$C$139/100*N(D35),2),0)</f>
      </c>
      <c r="Q35">
        <f>IF(AND(C35="Property",H35="Yes"),ROUND('Inputs'!$C$140/100*(1+'Inputs'!$C$135/100)*N(D35),2),0)</f>
      </c>
      <c r="R35">
        <f>IF(G35="Spouse",N(D35)-AL35,0)</f>
      </c>
      <c r="S35">
        <f>IF(G35="Named heir",N(D35)-AL35,0)</f>
      </c>
      <c r="T35">
        <f>IF(AND(L35=1,N(D35)&gt;0,E35="",C35&lt;&gt;"Crypto",AN35&gt;0),1,0)</f>
      </c>
      <c r="U35">
        <f>ROUND('Workings'!$C$42*S35,2)</f>
      </c>
      <c r="V35">
        <f>ROUND('Workings'!$D$42*S35,2)</f>
      </c>
      <c r="W35">
        <f>IF(AND(B35="",N(D35)=0),0,IF(OR(C35="",G35=""),1,0))</f>
      </c>
      <c r="X35">
        <f>IF(S35&gt;0,COUNTIF(S$22:S35,"&gt;0"),0)</f>
      </c>
      <c r="Y35">
        <f>IF(AND(G35="Estate (residue)",OR(C35="Shares and unit trusts",C35="Other investment",C35="Tax-free investment",C35="Crypto")),N(D35)-AL35,0)</f>
      </c>
      <c r="Z35">
        <f>IF(AND(G35="Spouse",OR(C35="Shares and unit trusts",C35="Other investment",C35="Tax-free investment",C35="Crypto")),N(D35)-AL35,0)</f>
      </c>
      <c r="AK35">
        <f>IF(OR(H35="Yes",C35="Cash and deposits"),0,IF(C35="Crypto",1,IF(C35="Tax-free investment",2,IF(C35="Shares and unit trusts",3,IF(C35="Other investment",4,0)))))</f>
      </c>
      <c r="AL35">
        <f>ROUND('Sale calc'!$E$18+'Sale calc'!$AG$18,2)</f>
      </c>
      <c r="AM35">
        <f>IF(E35&lt;&gt;"",N(E35),IF(C35="Crypto",ROUND('Inputs'!$H$135/100*N(D35),2),0))</f>
      </c>
      <c r="AN35">
        <f>IF(N(D35)&gt;0,IF(OR(G35="Spouse",AND(G35="Estate (residue)",'Inputs'!$C$14="Spouse")),MIN(1,AL35/N(D35)),1),0)</f>
      </c>
      <c r="AO35">
        <f>IF(AND(AK35&gt;0,AL35&gt;0),COUNTIFS(AK$22:AK35,"&gt;0",AL$22:AL35,"&gt;0"),0)</f>
      </c>
    </row>
    <row r="36" ht="15" customHeight="1" spans="2:41" x14ac:dyDescent="0.25">
      <c r="B36" s="8"/>
      <c r="C36" s="10"/>
      <c r="D36" s="11"/>
      <c r="E36" s="11"/>
      <c r="F36" s="10"/>
      <c r="G36" s="10"/>
      <c r="H36" s="10"/>
      <c r="I36" s="14"/>
      <c r="J36" s="15">
        <f>IF(L36=1,M36-N36,"")</f>
      </c>
      <c r="L36">
        <f>IF(OR(C36="Property",C36="Shares and unit trusts",C36="Other investment",C36="Crypto",C36="Business interest"),1,0)</f>
      </c>
      <c r="M36">
        <f>IF(L36=1,ROUND((N(D36)-AM36)*AN36,2),0)</f>
      </c>
      <c r="N36">
        <f>IF(AND(L36=1,F36="Yes",M36&gt;0),MIN(M36,'Inputs'!$H$134),0)</f>
      </c>
      <c r="O36">
        <f>AL36</f>
      </c>
      <c r="P36">
        <f>IF(C36="Property",ROUND('Inputs'!$C$139/100*N(D36),2),0)</f>
      </c>
      <c r="Q36">
        <f>IF(AND(C36="Property",H36="Yes"),ROUND('Inputs'!$C$140/100*(1+'Inputs'!$C$135/100)*N(D36),2),0)</f>
      </c>
      <c r="R36">
        <f>IF(G36="Spouse",N(D36)-AL36,0)</f>
      </c>
      <c r="S36">
        <f>IF(G36="Named heir",N(D36)-AL36,0)</f>
      </c>
      <c r="T36">
        <f>IF(AND(L36=1,N(D36)&gt;0,E36="",C36&lt;&gt;"Crypto",AN36&gt;0),1,0)</f>
      </c>
      <c r="U36">
        <f>ROUND('Workings'!$C$42*S36,2)</f>
      </c>
      <c r="V36">
        <f>ROUND('Workings'!$D$42*S36,2)</f>
      </c>
      <c r="W36">
        <f>IF(AND(B36="",N(D36)=0),0,IF(OR(C36="",G36=""),1,0))</f>
      </c>
      <c r="X36">
        <f>IF(S36&gt;0,COUNTIF(S$22:S36,"&gt;0"),0)</f>
      </c>
      <c r="Y36">
        <f>IF(AND(G36="Estate (residue)",OR(C36="Shares and unit trusts",C36="Other investment",C36="Tax-free investment",C36="Crypto")),N(D36)-AL36,0)</f>
      </c>
      <c r="Z36">
        <f>IF(AND(G36="Spouse",OR(C36="Shares and unit trusts",C36="Other investment",C36="Tax-free investment",C36="Crypto")),N(D36)-AL36,0)</f>
      </c>
      <c r="AK36">
        <f>IF(OR(H36="Yes",C36="Cash and deposits"),0,IF(C36="Crypto",1,IF(C36="Tax-free investment",2,IF(C36="Shares and unit trusts",3,IF(C36="Other investment",4,0)))))</f>
      </c>
      <c r="AL36">
        <f>ROUND('Sale calc'!$E$19+'Sale calc'!$AG$19,2)</f>
      </c>
      <c r="AM36">
        <f>IF(E36&lt;&gt;"",N(E36),IF(C36="Crypto",ROUND('Inputs'!$H$135/100*N(D36),2),0))</f>
      </c>
      <c r="AN36">
        <f>IF(N(D36)&gt;0,IF(OR(G36="Spouse",AND(G36="Estate (residue)",'Inputs'!$C$14="Spouse")),MIN(1,AL36/N(D36)),1),0)</f>
      </c>
      <c r="AO36">
        <f>IF(AND(AK36&gt;0,AL36&gt;0),COUNTIFS(AK$22:AK36,"&gt;0",AL$22:AL36,"&gt;0"),0)</f>
      </c>
    </row>
    <row r="37" ht="15" customHeight="1" spans="2:41" x14ac:dyDescent="0.25">
      <c r="B37" s="8"/>
      <c r="C37" s="10"/>
      <c r="D37" s="11"/>
      <c r="E37" s="11"/>
      <c r="F37" s="10"/>
      <c r="G37" s="10"/>
      <c r="H37" s="10"/>
      <c r="I37" s="14"/>
      <c r="J37" s="15">
        <f>IF(L37=1,M37-N37,"")</f>
      </c>
      <c r="L37">
        <f>IF(OR(C37="Property",C37="Shares and unit trusts",C37="Other investment",C37="Crypto",C37="Business interest"),1,0)</f>
      </c>
      <c r="M37">
        <f>IF(L37=1,ROUND((N(D37)-AM37)*AN37,2),0)</f>
      </c>
      <c r="N37">
        <f>IF(AND(L37=1,F37="Yes",M37&gt;0),MIN(M37,'Inputs'!$H$134),0)</f>
      </c>
      <c r="O37">
        <f>AL37</f>
      </c>
      <c r="P37">
        <f>IF(C37="Property",ROUND('Inputs'!$C$139/100*N(D37),2),0)</f>
      </c>
      <c r="Q37">
        <f>IF(AND(C37="Property",H37="Yes"),ROUND('Inputs'!$C$140/100*(1+'Inputs'!$C$135/100)*N(D37),2),0)</f>
      </c>
      <c r="R37">
        <f>IF(G37="Spouse",N(D37)-AL37,0)</f>
      </c>
      <c r="S37">
        <f>IF(G37="Named heir",N(D37)-AL37,0)</f>
      </c>
      <c r="T37">
        <f>IF(AND(L37=1,N(D37)&gt;0,E37="",C37&lt;&gt;"Crypto",AN37&gt;0),1,0)</f>
      </c>
      <c r="U37">
        <f>ROUND('Workings'!$C$42*S37,2)</f>
      </c>
      <c r="V37">
        <f>ROUND('Workings'!$D$42*S37,2)</f>
      </c>
      <c r="W37">
        <f>IF(AND(B37="",N(D37)=0),0,IF(OR(C37="",G37=""),1,0))</f>
      </c>
      <c r="X37">
        <f>IF(S37&gt;0,COUNTIF(S$22:S37,"&gt;0"),0)</f>
      </c>
      <c r="Y37">
        <f>IF(AND(G37="Estate (residue)",OR(C37="Shares and unit trusts",C37="Other investment",C37="Tax-free investment",C37="Crypto")),N(D37)-AL37,0)</f>
      </c>
      <c r="Z37">
        <f>IF(AND(G37="Spouse",OR(C37="Shares and unit trusts",C37="Other investment",C37="Tax-free investment",C37="Crypto")),N(D37)-AL37,0)</f>
      </c>
      <c r="AK37">
        <f>IF(OR(H37="Yes",C37="Cash and deposits"),0,IF(C37="Crypto",1,IF(C37="Tax-free investment",2,IF(C37="Shares and unit trusts",3,IF(C37="Other investment",4,0)))))</f>
      </c>
      <c r="AL37">
        <f>ROUND('Sale calc'!$E$20+'Sale calc'!$AG$20,2)</f>
      </c>
      <c r="AM37">
        <f>IF(E37&lt;&gt;"",N(E37),IF(C37="Crypto",ROUND('Inputs'!$H$135/100*N(D37),2),0))</f>
      </c>
      <c r="AN37">
        <f>IF(N(D37)&gt;0,IF(OR(G37="Spouse",AND(G37="Estate (residue)",'Inputs'!$C$14="Spouse")),MIN(1,AL37/N(D37)),1),0)</f>
      </c>
      <c r="AO37">
        <f>IF(AND(AK37&gt;0,AL37&gt;0),COUNTIFS(AK$22:AK37,"&gt;0",AL$22:AL37,"&gt;0"),0)</f>
      </c>
    </row>
    <row r="38" ht="15" customHeight="1" spans="2:41" x14ac:dyDescent="0.25">
      <c r="B38" s="8"/>
      <c r="C38" s="10"/>
      <c r="D38" s="11"/>
      <c r="E38" s="11"/>
      <c r="F38" s="10"/>
      <c r="G38" s="10"/>
      <c r="H38" s="10"/>
      <c r="I38" s="14"/>
      <c r="J38" s="15">
        <f>IF(L38=1,M38-N38,"")</f>
      </c>
      <c r="L38">
        <f>IF(OR(C38="Property",C38="Shares and unit trusts",C38="Other investment",C38="Crypto",C38="Business interest"),1,0)</f>
      </c>
      <c r="M38">
        <f>IF(L38=1,ROUND((N(D38)-AM38)*AN38,2),0)</f>
      </c>
      <c r="N38">
        <f>IF(AND(L38=1,F38="Yes",M38&gt;0),MIN(M38,'Inputs'!$H$134),0)</f>
      </c>
      <c r="O38">
        <f>AL38</f>
      </c>
      <c r="P38">
        <f>IF(C38="Property",ROUND('Inputs'!$C$139/100*N(D38),2),0)</f>
      </c>
      <c r="Q38">
        <f>IF(AND(C38="Property",H38="Yes"),ROUND('Inputs'!$C$140/100*(1+'Inputs'!$C$135/100)*N(D38),2),0)</f>
      </c>
      <c r="R38">
        <f>IF(G38="Spouse",N(D38)-AL38,0)</f>
      </c>
      <c r="S38">
        <f>IF(G38="Named heir",N(D38)-AL38,0)</f>
      </c>
      <c r="T38">
        <f>IF(AND(L38=1,N(D38)&gt;0,E38="",C38&lt;&gt;"Crypto",AN38&gt;0),1,0)</f>
      </c>
      <c r="U38">
        <f>ROUND('Workings'!$C$42*S38,2)</f>
      </c>
      <c r="V38">
        <f>ROUND('Workings'!$D$42*S38,2)</f>
      </c>
      <c r="W38">
        <f>IF(AND(B38="",N(D38)=0),0,IF(OR(C38="",G38=""),1,0))</f>
      </c>
      <c r="X38">
        <f>IF(S38&gt;0,COUNTIF(S$22:S38,"&gt;0"),0)</f>
      </c>
      <c r="Y38">
        <f>IF(AND(G38="Estate (residue)",OR(C38="Shares and unit trusts",C38="Other investment",C38="Tax-free investment",C38="Crypto")),N(D38)-AL38,0)</f>
      </c>
      <c r="Z38">
        <f>IF(AND(G38="Spouse",OR(C38="Shares and unit trusts",C38="Other investment",C38="Tax-free investment",C38="Crypto")),N(D38)-AL38,0)</f>
      </c>
      <c r="AK38">
        <f>IF(OR(H38="Yes",C38="Cash and deposits"),0,IF(C38="Crypto",1,IF(C38="Tax-free investment",2,IF(C38="Shares and unit trusts",3,IF(C38="Other investment",4,0)))))</f>
      </c>
      <c r="AL38">
        <f>ROUND('Sale calc'!$E$21+'Sale calc'!$AG$21,2)</f>
      </c>
      <c r="AM38">
        <f>IF(E38&lt;&gt;"",N(E38),IF(C38="Crypto",ROUND('Inputs'!$H$135/100*N(D38),2),0))</f>
      </c>
      <c r="AN38">
        <f>IF(N(D38)&gt;0,IF(OR(G38="Spouse",AND(G38="Estate (residue)",'Inputs'!$C$14="Spouse")),MIN(1,AL38/N(D38)),1),0)</f>
      </c>
      <c r="AO38">
        <f>IF(AND(AK38&gt;0,AL38&gt;0),COUNTIFS(AK$22:AK38,"&gt;0",AL$22:AL38,"&gt;0"),0)</f>
      </c>
    </row>
    <row r="39" ht="15" customHeight="1" spans="2:41" x14ac:dyDescent="0.25">
      <c r="B39" s="8"/>
      <c r="C39" s="10"/>
      <c r="D39" s="11"/>
      <c r="E39" s="11"/>
      <c r="F39" s="10"/>
      <c r="G39" s="10"/>
      <c r="H39" s="10"/>
      <c r="I39" s="14"/>
      <c r="J39" s="15">
        <f>IF(L39=1,M39-N39,"")</f>
      </c>
      <c r="L39">
        <f>IF(OR(C39="Property",C39="Shares and unit trusts",C39="Other investment",C39="Crypto",C39="Business interest"),1,0)</f>
      </c>
      <c r="M39">
        <f>IF(L39=1,ROUND((N(D39)-AM39)*AN39,2),0)</f>
      </c>
      <c r="N39">
        <f>IF(AND(L39=1,F39="Yes",M39&gt;0),MIN(M39,'Inputs'!$H$134),0)</f>
      </c>
      <c r="O39">
        <f>AL39</f>
      </c>
      <c r="P39">
        <f>IF(C39="Property",ROUND('Inputs'!$C$139/100*N(D39),2),0)</f>
      </c>
      <c r="Q39">
        <f>IF(AND(C39="Property",H39="Yes"),ROUND('Inputs'!$C$140/100*(1+'Inputs'!$C$135/100)*N(D39),2),0)</f>
      </c>
      <c r="R39">
        <f>IF(G39="Spouse",N(D39)-AL39,0)</f>
      </c>
      <c r="S39">
        <f>IF(G39="Named heir",N(D39)-AL39,0)</f>
      </c>
      <c r="T39">
        <f>IF(AND(L39=1,N(D39)&gt;0,E39="",C39&lt;&gt;"Crypto",AN39&gt;0),1,0)</f>
      </c>
      <c r="U39">
        <f>ROUND('Workings'!$C$42*S39,2)</f>
      </c>
      <c r="V39">
        <f>ROUND('Workings'!$D$42*S39,2)</f>
      </c>
      <c r="W39">
        <f>IF(AND(B39="",N(D39)=0),0,IF(OR(C39="",G39=""),1,0))</f>
      </c>
      <c r="X39">
        <f>IF(S39&gt;0,COUNTIF(S$22:S39,"&gt;0"),0)</f>
      </c>
      <c r="Y39">
        <f>IF(AND(G39="Estate (residue)",OR(C39="Shares and unit trusts",C39="Other investment",C39="Tax-free investment",C39="Crypto")),N(D39)-AL39,0)</f>
      </c>
      <c r="Z39">
        <f>IF(AND(G39="Spouse",OR(C39="Shares and unit trusts",C39="Other investment",C39="Tax-free investment",C39="Crypto")),N(D39)-AL39,0)</f>
      </c>
      <c r="AK39">
        <f>IF(OR(H39="Yes",C39="Cash and deposits"),0,IF(C39="Crypto",1,IF(C39="Tax-free investment",2,IF(C39="Shares and unit trusts",3,IF(C39="Other investment",4,0)))))</f>
      </c>
      <c r="AL39">
        <f>ROUND('Sale calc'!$E$22+'Sale calc'!$AG$22,2)</f>
      </c>
      <c r="AM39">
        <f>IF(E39&lt;&gt;"",N(E39),IF(C39="Crypto",ROUND('Inputs'!$H$135/100*N(D39),2),0))</f>
      </c>
      <c r="AN39">
        <f>IF(N(D39)&gt;0,IF(OR(G39="Spouse",AND(G39="Estate (residue)",'Inputs'!$C$14="Spouse")),MIN(1,AL39/N(D39)),1),0)</f>
      </c>
      <c r="AO39">
        <f>IF(AND(AK39&gt;0,AL39&gt;0),COUNTIFS(AK$22:AK39,"&gt;0",AL$22:AL39,"&gt;0"),0)</f>
      </c>
    </row>
    <row r="40" ht="39" customHeight="1" spans="2:11" x14ac:dyDescent="0.25">
      <c r="B40" s="16">
        <f>"Base cost: leave it blank only if it is not known; capital gains tax is then worked out on the full value (the worst case) and flagged below, except crypto, which is taken at "&amp;FIXED('Inputs'!$H$135,0)&amp;"% of its value (section 8). Executor sells: Yes sells the whole asset. Cash and deposits are always the executor's; when the cash is short he sells investments only as far as needed, in the order crypto, tax free savings, shares and unit trusts, other investments. Joint assets: enter your client's share."</f>
      </c>
      <c r="C40" s="16"/>
      <c r="D40" s="16"/>
      <c r="E40" s="16"/>
      <c r="F40" s="16"/>
      <c r="G40" s="16"/>
      <c r="H40" s="16"/>
      <c r="I40" s="16"/>
      <c r="J40" s="16"/>
      <c r="K40" s="16"/>
    </row>
    <row r="42" ht="18" customHeight="1" spans="2:11" x14ac:dyDescent="0.25">
      <c r="B42" s="5" t="s">
        <v>84</v>
      </c>
      <c r="C42" s="6"/>
      <c r="D42" s="6"/>
      <c r="E42" s="6"/>
      <c r="F42" s="6"/>
      <c r="G42" s="6"/>
      <c r="H42" s="6"/>
      <c r="I42" s="6"/>
      <c r="J42" s="6"/>
      <c r="K42" s="6"/>
    </row>
    <row r="43" hidden="1" spans="2:9" x14ac:dyDescent="0.25">
      <c r="B43" t="s">
        <v>69</v>
      </c>
      <c r="D43" t="s">
        <v>85</v>
      </c>
      <c r="I43" t="s">
        <v>74</v>
      </c>
    </row>
    <row r="44" ht="22" customHeight="1" spans="2:9" x14ac:dyDescent="0.25">
      <c r="B44" s="12" t="s">
        <v>86</v>
      </c>
      <c r="D44" s="13" t="s">
        <v>87</v>
      </c>
      <c r="I44" s="12" t="s">
        <v>82</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1" x14ac:dyDescent="0.25">
      <c r="B56" s="5" t="s">
        <v>88</v>
      </c>
      <c r="C56" s="6"/>
      <c r="D56" s="6"/>
      <c r="E56" s="6"/>
      <c r="F56" s="6"/>
      <c r="G56" s="6"/>
      <c r="H56" s="6"/>
      <c r="I56" s="6"/>
      <c r="J56" s="6"/>
      <c r="K56" s="6"/>
    </row>
    <row r="57" hidden="1" spans="2:9" x14ac:dyDescent="0.25">
      <c r="B57" t="s">
        <v>69</v>
      </c>
      <c r="C57" t="s">
        <v>2</v>
      </c>
      <c r="D57" t="s">
        <v>85</v>
      </c>
      <c r="E57" t="s">
        <v>89</v>
      </c>
      <c r="F57" t="s">
        <v>90</v>
      </c>
      <c r="I57" t="s">
        <v>74</v>
      </c>
    </row>
    <row r="58" ht="30" customHeight="1" spans="2:9" x14ac:dyDescent="0.25">
      <c r="B58" s="12" t="s">
        <v>91</v>
      </c>
      <c r="C58" s="12" t="s">
        <v>92</v>
      </c>
      <c r="D58" s="13" t="s">
        <v>93</v>
      </c>
      <c r="E58" s="12" t="s">
        <v>94</v>
      </c>
      <c r="F58" s="12" t="s">
        <v>95</v>
      </c>
      <c r="G58" s="12"/>
      <c r="H58" s="12"/>
      <c r="I58" s="12" t="s">
        <v>82</v>
      </c>
    </row>
    <row r="59" spans="2:18" x14ac:dyDescent="0.25">
      <c r="B59" s="8"/>
      <c r="C59" s="10"/>
      <c r="D59" s="11"/>
      <c r="E59" s="10"/>
      <c r="F59" s="14"/>
      <c r="G59" s="14"/>
      <c r="H59" s="14"/>
      <c r="I59" s="14"/>
      <c r="L59">
        <f>IF(AND(C59="Named person",E59&lt;&gt;"No"),N(D59),0)</f>
      </c>
      <c r="M59">
        <f>ROUND('Workings'!$C$42*L59,2)</f>
      </c>
      <c r="N59">
        <f>ROUND('Workings'!$D$42*L59,2)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ROUND('Workings'!$C$42*L60,2)</f>
      </c>
      <c r="N60">
        <f>ROUND('Workings'!$D$42*L60,2)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ROUND('Workings'!$C$42*L61,2)</f>
      </c>
      <c r="N61">
        <f>ROUND('Workings'!$D$42*L61,2)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ROUND('Workings'!$C$42*L62,2)</f>
      </c>
      <c r="N62">
        <f>ROUND('Workings'!$D$42*L62,2)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ROUND('Workings'!$C$42*L63,2)</f>
      </c>
      <c r="N63">
        <f>ROUND('Workings'!$D$42*L63,2)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ROUND('Workings'!$C$42*L64,2)</f>
      </c>
      <c r="N64">
        <f>ROUND('Workings'!$D$42*L64,2)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ROUND('Workings'!$C$42*L65,2)</f>
      </c>
      <c r="N65">
        <f>ROUND('Workings'!$D$42*L65,2)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ROUND('Workings'!$C$42*L66,2)</f>
      </c>
      <c r="N66">
        <f>ROUND('Workings'!$D$42*L66,2)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ROUND('Workings'!$C$42*L67,2)</f>
      </c>
      <c r="N67">
        <f>ROUND('Workings'!$D$42*L67,2)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ROUND('Workings'!$C$42*L68,2)</f>
      </c>
      <c r="N68">
        <f>ROUND('Workings'!$D$42*L68,2)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ROUND('Workings'!$C$42*L69,2)</f>
      </c>
      <c r="N69">
        <f>ROUND('Workings'!$D$42*L69,2)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ROUND('Workings'!$C$42*L70,2)</f>
      </c>
      <c r="N70">
        <f>ROUND('Workings'!$D$42*L70,2)</f>
      </c>
      <c r="O70">
        <f>IF(L70&gt;0,COUNTIF(S$22:S$39,"&gt;0")+COUNTIF(L$59:L70,"&gt;0"),0)</f>
      </c>
      <c r="P70">
        <v>12</v>
      </c>
      <c r="Q70">
        <f>IF(AND(F70="The children's trust",C70&lt;&gt;"Estate",C70&lt;&gt;""),1,0)</f>
      </c>
      <c r="R70">
        <f>IF(L70&gt;0,1,0)</f>
      </c>
    </row>
    <row r="71" ht="39" customHeight="1" spans="2:11" x14ac:dyDescent="0.25">
      <c r="B71" s="16" t="s">
        <v>96</v>
      </c>
      <c r="C71" s="16"/>
      <c r="D71" s="16"/>
      <c r="E71" s="16"/>
      <c r="F71" s="16"/>
      <c r="G71" s="16"/>
      <c r="H71" s="16"/>
      <c r="I71" s="16"/>
      <c r="J71" s="16"/>
      <c r="K71" s="16"/>
    </row>
    <row r="73" ht="18" customHeight="1" spans="2:11" x14ac:dyDescent="0.25">
      <c r="B73" s="5" t="s">
        <v>97</v>
      </c>
      <c r="C73" s="6"/>
      <c r="D73" s="6"/>
      <c r="E73" s="6"/>
      <c r="F73" s="6"/>
      <c r="G73" s="6"/>
      <c r="H73" s="6"/>
      <c r="I73" s="6"/>
      <c r="J73" s="6"/>
      <c r="K73" s="6"/>
    </row>
    <row r="74" hidden="1" spans="2:9" x14ac:dyDescent="0.25">
      <c r="B74" t="s">
        <v>69</v>
      </c>
      <c r="C74" t="s">
        <v>2</v>
      </c>
      <c r="D74" t="s">
        <v>98</v>
      </c>
      <c r="E74" t="s">
        <v>99</v>
      </c>
      <c r="F74" t="s">
        <v>100</v>
      </c>
      <c r="G74" t="s">
        <v>90</v>
      </c>
      <c r="H74" t="s">
        <v>70</v>
      </c>
      <c r="I74" t="s">
        <v>74</v>
      </c>
    </row>
    <row r="75" ht="42" customHeight="1" spans="2:10" x14ac:dyDescent="0.25">
      <c r="B75" s="12" t="s">
        <v>101</v>
      </c>
      <c r="C75" s="12" t="s">
        <v>92</v>
      </c>
      <c r="D75" s="13" t="s">
        <v>102</v>
      </c>
      <c r="E75" s="13" t="s">
        <v>103</v>
      </c>
      <c r="F75" s="13" t="s">
        <v>104</v>
      </c>
      <c r="G75" s="12" t="s">
        <v>105</v>
      </c>
      <c r="H75" s="13" t="s">
        <v>106</v>
      </c>
      <c r="I75" s="12" t="s">
        <v>82</v>
      </c>
      <c r="J75" s="13" t="s">
        <v>107</v>
      </c>
    </row>
    <row r="76" ht="27" customHeight="1" spans="2:23" x14ac:dyDescent="0.25">
      <c r="B76" s="8"/>
      <c r="C76" s="10"/>
      <c r="D76" s="11"/>
      <c r="E76" s="17"/>
      <c r="F76" s="18"/>
      <c r="G76" s="8"/>
      <c r="H76" s="11"/>
      <c r="I76" s="14"/>
      <c r="J76" s="19">
        <f>IF(N(D76)&gt;0,M76,"")</f>
      </c>
      <c r="L76">
        <f>IF(OR(N(D76)&lt;=0,N(F76)&lt;=0),0,ROUND(N(D76)*(IF(('Inputs'!$H$136/100)=0,12,(1-(1+('Inputs'!$H$136/100))^(-(12)/12))/(1-(1+('Inputs'!$H$136/100))^(-1/12)))*IF(ABS(((1+N(E76)/100)/(1+('Inputs'!$H$136/100)))-1)&lt;1E-12,INT(N(F76)/12),(1-((1+N(E76)/100)/(1+('Inputs'!$H$136/100)))^INT(N(F76)/12))/(1-((1+N(E76)/100)/(1+('Inputs'!$H$136/100)))))+((1+N(E76)/100)/(1+('Inputs'!$H$136/100)))^INT(N(F76)/12)*IF(('Inputs'!$H$136/100)=0,(N(F76)-12*INT(N(F76)/12)),(1-(1+('Inputs'!$H$136/100))^(-((N(F76)-12*INT(N(F76)/12)))/12))/(1-(1+('Inputs'!$H$136/100))^(-1/12)))),2))</f>
      </c>
      <c r="M76">
        <f>IF(N(D76)&lt;=0,0,IF(ISNUMBER(H76),H76,L76))</f>
      </c>
      <c r="N76">
        <f>IF(M76=0,0,IF(OR(C76="Spouse",AND(G76&lt;&gt;"",COUNTIFS($B$100:$B$105,G76,$C$100:$C$105,"Spouse")&gt;0)),1,0))</f>
      </c>
      <c r="O76">
        <f>IF(N76=1,0,M76)</f>
      </c>
      <c r="P76">
        <f>ROUND('Workings'!$C$42*O76,2)</f>
      </c>
      <c r="Q76">
        <f>ROUND('Workings'!$D$42*O76,2)</f>
      </c>
      <c r="R76">
        <f>IF(O76&gt;0,COUNTIF(S$22:S$39,"&gt;0")+COUNTIF(L$59:L$70,"&gt;0")+COUNTIF(O$76:O76,"&gt;0"),0)</f>
      </c>
      <c r="S76">
        <f>IF(N76=1,M76,0)</f>
      </c>
      <c r="T76">
        <f>IF(AND(B76="",N(D76)=0),0,IF(OR(C76="",N(D76)&lt;=0,N(F76)&lt;=0,N(F76)&lt;&gt;INT(N(F76)),AND(C76="Estate",G76=""),AND(G76&lt;&gt;"",COUNTIF($B$100:$B$105,G76)=0)),1,0))</f>
      </c>
      <c r="U76">
        <f>IF(AND(N(D76)&gt;0,N(F76)&gt;0,G76&lt;&gt;"",COUNTIF($B$100:$B$105,G76)&gt;0),1,0)</f>
      </c>
      <c r="V76">
        <f>IF(U76=1,SUM(U$76:U76),0)</f>
      </c>
      <c r="W76">
        <f>"Your "&amp;B76&amp;IF(COUNTIF('Inputs'!$B$100:$B$105,"?*")&gt;1," for "&amp;G76,"")&amp;": R "&amp;FIXED(ROUND(N(D76),0),0)&amp;" a month "&amp;IF(MOD(N(F76),12)=0,"for the first "&amp;FIXED(N(F76)/12,0)&amp;" year"&amp;IF(N(F76)=12,"","s"),"for the first "&amp;FIXED(N(F76),0)&amp;" months")</f>
      </c>
    </row>
    <row r="77" ht="27" customHeight="1" spans="2:23" x14ac:dyDescent="0.25">
      <c r="B77" s="8"/>
      <c r="C77" s="10"/>
      <c r="D77" s="11"/>
      <c r="E77" s="17"/>
      <c r="F77" s="18"/>
      <c r="G77" s="8"/>
      <c r="H77" s="11"/>
      <c r="I77" s="14"/>
      <c r="J77" s="19">
        <f>IF(N(D77)&gt;0,M77,"")</f>
      </c>
      <c r="L77">
        <f>IF(OR(N(D77)&lt;=0,N(F77)&lt;=0),0,ROUND(N(D77)*(IF(('Inputs'!$H$136/100)=0,12,(1-(1+('Inputs'!$H$136/100))^(-(12)/12))/(1-(1+('Inputs'!$H$136/100))^(-1/12)))*IF(ABS(((1+N(E77)/100)/(1+('Inputs'!$H$136/100)))-1)&lt;1E-12,INT(N(F77)/12),(1-((1+N(E77)/100)/(1+('Inputs'!$H$136/100)))^INT(N(F77)/12))/(1-((1+N(E77)/100)/(1+('Inputs'!$H$136/100)))))+((1+N(E77)/100)/(1+('Inputs'!$H$136/100)))^INT(N(F77)/12)*IF(('Inputs'!$H$136/100)=0,(N(F77)-12*INT(N(F77)/12)),(1-(1+('Inputs'!$H$136/100))^(-((N(F77)-12*INT(N(F77)/12)))/12))/(1-(1+('Inputs'!$H$136/100))^(-1/12)))),2))</f>
      </c>
      <c r="M77">
        <f>IF(N(D77)&lt;=0,0,IF(ISNUMBER(H77),H77,L77))</f>
      </c>
      <c r="N77">
        <f>IF(M77=0,0,IF(OR(C77="Spouse",AND(G77&lt;&gt;"",COUNTIFS($B$100:$B$105,G77,$C$100:$C$105,"Spouse")&gt;0)),1,0))</f>
      </c>
      <c r="O77">
        <f>IF(N77=1,0,M77)</f>
      </c>
      <c r="P77">
        <f>ROUND('Workings'!$C$42*O77,2)</f>
      </c>
      <c r="Q77">
        <f>ROUND('Workings'!$D$42*O77,2)</f>
      </c>
      <c r="R77">
        <f>IF(O77&gt;0,COUNTIF(S$22:S$39,"&gt;0")+COUNTIF(L$59:L$70,"&gt;0")+COUNTIF(O$76:O77,"&gt;0"),0)</f>
      </c>
      <c r="S77">
        <f>IF(N77=1,M77,0)</f>
      </c>
      <c r="T77">
        <f>IF(AND(B77="",N(D77)=0),0,IF(OR(C77="",N(D77)&lt;=0,N(F77)&lt;=0,N(F77)&lt;&gt;INT(N(F77)),AND(C77="Estate",G77=""),AND(G77&lt;&gt;"",COUNTIF($B$100:$B$105,G77)=0)),1,0))</f>
      </c>
      <c r="U77">
        <f>IF(AND(N(D77)&gt;0,N(F77)&gt;0,G77&lt;&gt;"",COUNTIF($B$100:$B$105,G77)&gt;0),1,0)</f>
      </c>
      <c r="V77">
        <f>IF(U77=1,SUM(U$76:U77),0)</f>
      </c>
      <c r="W77">
        <f>"Your "&amp;B77&amp;IF(COUNTIF('Inputs'!$B$100:$B$105,"?*")&gt;1," for "&amp;G77,"")&amp;": R "&amp;FIXED(ROUND(N(D77),0),0)&amp;" a month "&amp;IF(MOD(N(F77),12)=0,"for the first "&amp;FIXED(N(F77)/12,0)&amp;" year"&amp;IF(N(F77)=12,"","s"),"for the first "&amp;FIXED(N(F77),0)&amp;" months")</f>
      </c>
    </row>
    <row r="78" ht="27" customHeight="1" spans="2:23" x14ac:dyDescent="0.25">
      <c r="B78" s="8"/>
      <c r="C78" s="10"/>
      <c r="D78" s="11"/>
      <c r="E78" s="17"/>
      <c r="F78" s="18"/>
      <c r="G78" s="8"/>
      <c r="H78" s="11"/>
      <c r="I78" s="14"/>
      <c r="J78" s="19">
        <f>IF(N(D78)&gt;0,M78,"")</f>
      </c>
      <c r="L78">
        <f>IF(OR(N(D78)&lt;=0,N(F78)&lt;=0),0,ROUND(N(D78)*(IF(('Inputs'!$H$136/100)=0,12,(1-(1+('Inputs'!$H$136/100))^(-(12)/12))/(1-(1+('Inputs'!$H$136/100))^(-1/12)))*IF(ABS(((1+N(E78)/100)/(1+('Inputs'!$H$136/100)))-1)&lt;1E-12,INT(N(F78)/12),(1-((1+N(E78)/100)/(1+('Inputs'!$H$136/100)))^INT(N(F78)/12))/(1-((1+N(E78)/100)/(1+('Inputs'!$H$136/100)))))+((1+N(E78)/100)/(1+('Inputs'!$H$136/100)))^INT(N(F78)/12)*IF(('Inputs'!$H$136/100)=0,(N(F78)-12*INT(N(F78)/12)),(1-(1+('Inputs'!$H$136/100))^(-((N(F78)-12*INT(N(F78)/12)))/12))/(1-(1+('Inputs'!$H$136/100))^(-1/12)))),2))</f>
      </c>
      <c r="M78">
        <f>IF(N(D78)&lt;=0,0,IF(ISNUMBER(H78),H78,L78))</f>
      </c>
      <c r="N78">
        <f>IF(M78=0,0,IF(OR(C78="Spouse",AND(G78&lt;&gt;"",COUNTIFS($B$100:$B$105,G78,$C$100:$C$105,"Spouse")&gt;0)),1,0))</f>
      </c>
      <c r="O78">
        <f>IF(N78=1,0,M78)</f>
      </c>
      <c r="P78">
        <f>ROUND('Workings'!$C$42*O78,2)</f>
      </c>
      <c r="Q78">
        <f>ROUND('Workings'!$D$42*O78,2)</f>
      </c>
      <c r="R78">
        <f>IF(O78&gt;0,COUNTIF(S$22:S$39,"&gt;0")+COUNTIF(L$59:L$70,"&gt;0")+COUNTIF(O$76:O78,"&gt;0"),0)</f>
      </c>
      <c r="S78">
        <f>IF(N78=1,M78,0)</f>
      </c>
      <c r="T78">
        <f>IF(AND(B78="",N(D78)=0),0,IF(OR(C78="",N(D78)&lt;=0,N(F78)&lt;=0,N(F78)&lt;&gt;INT(N(F78)),AND(C78="Estate",G78=""),AND(G78&lt;&gt;"",COUNTIF($B$100:$B$105,G78)=0)),1,0))</f>
      </c>
      <c r="U78">
        <f>IF(AND(N(D78)&gt;0,N(F78)&gt;0,G78&lt;&gt;"",COUNTIF($B$100:$B$105,G78)&gt;0),1,0)</f>
      </c>
      <c r="V78">
        <f>IF(U78=1,SUM(U$76:U78),0)</f>
      </c>
      <c r="W78">
        <f>"Your "&amp;B78&amp;IF(COUNTIF('Inputs'!$B$100:$B$105,"?*")&gt;1," for "&amp;G78,"")&amp;": R "&amp;FIXED(ROUND(N(D78),0),0)&amp;" a month "&amp;IF(MOD(N(F78),12)=0,"for the first "&amp;FIXED(N(F78)/12,0)&amp;" year"&amp;IF(N(F78)=12,"","s"),"for the first "&amp;FIXED(N(F78),0)&amp;" months")</f>
      </c>
    </row>
    <row r="79" ht="27" customHeight="1" spans="2:23" x14ac:dyDescent="0.25">
      <c r="B79" s="8"/>
      <c r="C79" s="10"/>
      <c r="D79" s="11"/>
      <c r="E79" s="17"/>
      <c r="F79" s="18"/>
      <c r="G79" s="8"/>
      <c r="H79" s="11"/>
      <c r="I79" s="14"/>
      <c r="J79" s="19">
        <f>IF(N(D79)&gt;0,M79,"")</f>
      </c>
      <c r="L79">
        <f>IF(OR(N(D79)&lt;=0,N(F79)&lt;=0),0,ROUND(N(D79)*(IF(('Inputs'!$H$136/100)=0,12,(1-(1+('Inputs'!$H$136/100))^(-(12)/12))/(1-(1+('Inputs'!$H$136/100))^(-1/12)))*IF(ABS(((1+N(E79)/100)/(1+('Inputs'!$H$136/100)))-1)&lt;1E-12,INT(N(F79)/12),(1-((1+N(E79)/100)/(1+('Inputs'!$H$136/100)))^INT(N(F79)/12))/(1-((1+N(E79)/100)/(1+('Inputs'!$H$136/100)))))+((1+N(E79)/100)/(1+('Inputs'!$H$136/100)))^INT(N(F79)/12)*IF(('Inputs'!$H$136/100)=0,(N(F79)-12*INT(N(F79)/12)),(1-(1+('Inputs'!$H$136/100))^(-((N(F79)-12*INT(N(F79)/12)))/12))/(1-(1+('Inputs'!$H$136/100))^(-1/12)))),2))</f>
      </c>
      <c r="M79">
        <f>IF(N(D79)&lt;=0,0,IF(ISNUMBER(H79),H79,L79))</f>
      </c>
      <c r="N79">
        <f>IF(M79=0,0,IF(OR(C79="Spouse",AND(G79&lt;&gt;"",COUNTIFS($B$100:$B$105,G79,$C$100:$C$105,"Spouse")&gt;0)),1,0))</f>
      </c>
      <c r="O79">
        <f>IF(N79=1,0,M79)</f>
      </c>
      <c r="P79">
        <f>ROUND('Workings'!$C$42*O79,2)</f>
      </c>
      <c r="Q79">
        <f>ROUND('Workings'!$D$42*O79,2)</f>
      </c>
      <c r="R79">
        <f>IF(O79&gt;0,COUNTIF(S$22:S$39,"&gt;0")+COUNTIF(L$59:L$70,"&gt;0")+COUNTIF(O$76:O79,"&gt;0"),0)</f>
      </c>
      <c r="S79">
        <f>IF(N79=1,M79,0)</f>
      </c>
      <c r="T79">
        <f>IF(AND(B79="",N(D79)=0),0,IF(OR(C79="",N(D79)&lt;=0,N(F79)&lt;=0,N(F79)&lt;&gt;INT(N(F79)),AND(C79="Estate",G79=""),AND(G79&lt;&gt;"",COUNTIF($B$100:$B$105,G79)=0)),1,0))</f>
      </c>
      <c r="U79">
        <f>IF(AND(N(D79)&gt;0,N(F79)&gt;0,G79&lt;&gt;"",COUNTIF($B$100:$B$105,G79)&gt;0),1,0)</f>
      </c>
      <c r="V79">
        <f>IF(U79=1,SUM(U$76:U79),0)</f>
      </c>
      <c r="W79">
        <f>"Your "&amp;B79&amp;IF(COUNTIF('Inputs'!$B$100:$B$105,"?*")&gt;1," for "&amp;G79,"")&amp;": R "&amp;FIXED(ROUND(N(D79),0),0)&amp;" a month "&amp;IF(MOD(N(F79),12)=0,"for the first "&amp;FIXED(N(F79)/12,0)&amp;" year"&amp;IF(N(F79)=12,"","s"),"for the first "&amp;FIXED(N(F79),0)&amp;" months")</f>
      </c>
    </row>
    <row r="80" ht="27" customHeight="1" spans="2:23" x14ac:dyDescent="0.25">
      <c r="B80" s="8"/>
      <c r="C80" s="10"/>
      <c r="D80" s="11"/>
      <c r="E80" s="17"/>
      <c r="F80" s="18"/>
      <c r="G80" s="8"/>
      <c r="H80" s="11"/>
      <c r="I80" s="14"/>
      <c r="J80" s="19">
        <f>IF(N(D80)&gt;0,M80,"")</f>
      </c>
      <c r="L80">
        <f>IF(OR(N(D80)&lt;=0,N(F80)&lt;=0),0,ROUND(N(D80)*(IF(('Inputs'!$H$136/100)=0,12,(1-(1+('Inputs'!$H$136/100))^(-(12)/12))/(1-(1+('Inputs'!$H$136/100))^(-1/12)))*IF(ABS(((1+N(E80)/100)/(1+('Inputs'!$H$136/100)))-1)&lt;1E-12,INT(N(F80)/12),(1-((1+N(E80)/100)/(1+('Inputs'!$H$136/100)))^INT(N(F80)/12))/(1-((1+N(E80)/100)/(1+('Inputs'!$H$136/100)))))+((1+N(E80)/100)/(1+('Inputs'!$H$136/100)))^INT(N(F80)/12)*IF(('Inputs'!$H$136/100)=0,(N(F80)-12*INT(N(F80)/12)),(1-(1+('Inputs'!$H$136/100))^(-((N(F80)-12*INT(N(F80)/12)))/12))/(1-(1+('Inputs'!$H$136/100))^(-1/12)))),2))</f>
      </c>
      <c r="M80">
        <f>IF(N(D80)&lt;=0,0,IF(ISNUMBER(H80),H80,L80))</f>
      </c>
      <c r="N80">
        <f>IF(M80=0,0,IF(OR(C80="Spouse",AND(G80&lt;&gt;"",COUNTIFS($B$100:$B$105,G80,$C$100:$C$105,"Spouse")&gt;0)),1,0))</f>
      </c>
      <c r="O80">
        <f>IF(N80=1,0,M80)</f>
      </c>
      <c r="P80">
        <f>ROUND('Workings'!$C$42*O80,2)</f>
      </c>
      <c r="Q80">
        <f>ROUND('Workings'!$D$42*O80,2)</f>
      </c>
      <c r="R80">
        <f>IF(O80&gt;0,COUNTIF(S$22:S$39,"&gt;0")+COUNTIF(L$59:L$70,"&gt;0")+COUNTIF(O$76:O80,"&gt;0"),0)</f>
      </c>
      <c r="S80">
        <f>IF(N80=1,M80,0)</f>
      </c>
      <c r="T80">
        <f>IF(AND(B80="",N(D80)=0),0,IF(OR(C80="",N(D80)&lt;=0,N(F80)&lt;=0,N(F80)&lt;&gt;INT(N(F80)),AND(C80="Estate",G80=""),AND(G80&lt;&gt;"",COUNTIF($B$100:$B$105,G80)=0)),1,0))</f>
      </c>
      <c r="U80">
        <f>IF(AND(N(D80)&gt;0,N(F80)&gt;0,G80&lt;&gt;"",COUNTIF($B$100:$B$105,G80)&gt;0),1,0)</f>
      </c>
      <c r="V80">
        <f>IF(U80=1,SUM(U$76:U80),0)</f>
      </c>
      <c r="W80">
        <f>"Your "&amp;B80&amp;IF(COUNTIF('Inputs'!$B$100:$B$105,"?*")&gt;1," for "&amp;G80,"")&amp;": R "&amp;FIXED(ROUND(N(D80),0),0)&amp;" a month "&amp;IF(MOD(N(F80),12)=0,"for the first "&amp;FIXED(N(F80)/12,0)&amp;" year"&amp;IF(N(F80)=12,"","s"),"for the first "&amp;FIXED(N(F80),0)&amp;" months")</f>
      </c>
    </row>
    <row r="81" ht="27" customHeight="1" spans="2:23" x14ac:dyDescent="0.25">
      <c r="B81" s="8"/>
      <c r="C81" s="10"/>
      <c r="D81" s="11"/>
      <c r="E81" s="17"/>
      <c r="F81" s="18"/>
      <c r="G81" s="8"/>
      <c r="H81" s="11"/>
      <c r="I81" s="14"/>
      <c r="J81" s="19">
        <f>IF(N(D81)&gt;0,M81,"")</f>
      </c>
      <c r="L81">
        <f>IF(OR(N(D81)&lt;=0,N(F81)&lt;=0),0,ROUND(N(D81)*(IF(('Inputs'!$H$136/100)=0,12,(1-(1+('Inputs'!$H$136/100))^(-(12)/12))/(1-(1+('Inputs'!$H$136/100))^(-1/12)))*IF(ABS(((1+N(E81)/100)/(1+('Inputs'!$H$136/100)))-1)&lt;1E-12,INT(N(F81)/12),(1-((1+N(E81)/100)/(1+('Inputs'!$H$136/100)))^INT(N(F81)/12))/(1-((1+N(E81)/100)/(1+('Inputs'!$H$136/100)))))+((1+N(E81)/100)/(1+('Inputs'!$H$136/100)))^INT(N(F81)/12)*IF(('Inputs'!$H$136/100)=0,(N(F81)-12*INT(N(F81)/12)),(1-(1+('Inputs'!$H$136/100))^(-((N(F81)-12*INT(N(F81)/12)))/12))/(1-(1+('Inputs'!$H$136/100))^(-1/12)))),2))</f>
      </c>
      <c r="M81">
        <f>IF(N(D81)&lt;=0,0,IF(ISNUMBER(H81),H81,L81))</f>
      </c>
      <c r="N81">
        <f>IF(M81=0,0,IF(OR(C81="Spouse",AND(G81&lt;&gt;"",COUNTIFS($B$100:$B$105,G81,$C$100:$C$105,"Spouse")&gt;0)),1,0))</f>
      </c>
      <c r="O81">
        <f>IF(N81=1,0,M81)</f>
      </c>
      <c r="P81">
        <f>ROUND('Workings'!$C$42*O81,2)</f>
      </c>
      <c r="Q81">
        <f>ROUND('Workings'!$D$42*O81,2)</f>
      </c>
      <c r="R81">
        <f>IF(O81&gt;0,COUNTIF(S$22:S$39,"&gt;0")+COUNTIF(L$59:L$70,"&gt;0")+COUNTIF(O$76:O81,"&gt;0"),0)</f>
      </c>
      <c r="S81">
        <f>IF(N81=1,M81,0)</f>
      </c>
      <c r="T81">
        <f>IF(AND(B81="",N(D81)=0),0,IF(OR(C81="",N(D81)&lt;=0,N(F81)&lt;=0,N(F81)&lt;&gt;INT(N(F81)),AND(C81="Estate",G81=""),AND(G81&lt;&gt;"",COUNTIF($B$100:$B$105,G81)=0)),1,0))</f>
      </c>
      <c r="U81">
        <f>IF(AND(N(D81)&gt;0,N(F81)&gt;0,G81&lt;&gt;"",COUNTIF($B$100:$B$105,G81)&gt;0),1,0)</f>
      </c>
      <c r="V81">
        <f>IF(U81=1,SUM(U$76:U81),0)</f>
      </c>
      <c r="W81">
        <f>"Your "&amp;B81&amp;IF(COUNTIF('Inputs'!$B$100:$B$105,"?*")&gt;1," for "&amp;G81,"")&amp;": R "&amp;FIXED(ROUND(N(D81),0),0)&amp;" a month "&amp;IF(MOD(N(F81),12)=0,"for the first "&amp;FIXED(N(F81)/12,0)&amp;" year"&amp;IF(N(F81)=12,"","s"),"for the first "&amp;FIXED(N(F81),0)&amp;" months")</f>
      </c>
    </row>
    <row r="82" ht="39" customHeight="1" spans="2:11"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"&amp;FIXED('Inputs'!$H$136,1)&amp;"%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c r="K82" s="16"/>
    </row>
    <row r="84" ht="18" customHeight="1" spans="2:11" x14ac:dyDescent="0.25">
      <c r="B84" s="5" t="s">
        <v>108</v>
      </c>
      <c r="C84" s="6"/>
      <c r="D84" s="6"/>
      <c r="E84" s="6"/>
      <c r="F84" s="6"/>
      <c r="G84" s="6"/>
      <c r="H84" s="6"/>
      <c r="I84" s="6"/>
      <c r="J84" s="6"/>
      <c r="K84" s="6"/>
    </row>
    <row r="85" hidden="1" spans="2:9" x14ac:dyDescent="0.25">
      <c r="B85" t="s">
        <v>69</v>
      </c>
      <c r="D85" t="s">
        <v>70</v>
      </c>
      <c r="F85" t="s">
        <v>109</v>
      </c>
      <c r="I85" t="s">
        <v>74</v>
      </c>
    </row>
    <row r="86" ht="30" customHeight="1" spans="2:10" x14ac:dyDescent="0.25">
      <c r="B86" s="12" t="s">
        <v>110</v>
      </c>
      <c r="D86" s="13" t="s">
        <v>77</v>
      </c>
      <c r="F86" s="12" t="s">
        <v>111</v>
      </c>
      <c r="G86" s="12"/>
      <c r="H86" s="12"/>
      <c r="I86" s="12" t="s">
        <v>82</v>
      </c>
      <c r="J86" s="13" t="s">
        <v>112</v>
      </c>
    </row>
    <row r="87" spans="2:10" x14ac:dyDescent="0.25">
      <c r="B87" s="8"/>
      <c r="D87" s="11"/>
      <c r="F87" s="14"/>
      <c r="G87" s="14"/>
      <c r="H87" s="14"/>
      <c r="I87" s="14"/>
      <c r="J87" s="20">
        <f>IF(N(D87)&gt;0,N(D87)-ROUND((INDEX('Inputs'!$H$149:$H$152,MATCH(SUM('Inputs'!$D$87:$D$94),'Inputs'!$G$149:$G$152,1))+INDEX('Inputs'!$I$149:$I$152,MATCH(SUM('Inputs'!$D$87:$D$94),'Inputs'!$G$149:$G$152,1))/100*((SUM('Inputs'!$D$87:$D$94))-INDEX('Inputs'!$G$149:$G$152,MATCH(SUM('Inputs'!$D$87:$D$94),'Inputs'!$G$149:$G$152,1))))*N(D87)/SUM('Inputs'!$D$87:$D$94),2),0)</f>
      </c>
    </row>
    <row r="88" spans="2:10" x14ac:dyDescent="0.25">
      <c r="B88" s="8"/>
      <c r="D88" s="11"/>
      <c r="F88" s="14"/>
      <c r="G88" s="14"/>
      <c r="H88" s="14"/>
      <c r="I88" s="14"/>
      <c r="J88" s="20">
        <f>IF(N(D88)&gt;0,N(D88)-ROUND((INDEX('Inputs'!$H$149:$H$152,MATCH(SUM('Inputs'!$D$87:$D$94),'Inputs'!$G$149:$G$152,1))+INDEX('Inputs'!$I$149:$I$152,MATCH(SUM('Inputs'!$D$87:$D$94),'Inputs'!$G$149:$G$152,1))/100*((SUM('Inputs'!$D$87:$D$94))-INDEX('Inputs'!$G$149:$G$152,MATCH(SUM('Inputs'!$D$87:$D$94),'Inputs'!$G$149:$G$152,1))))*N(D88)/SUM('Inputs'!$D$87:$D$94),2),0)</f>
      </c>
    </row>
    <row r="89" spans="2:10" x14ac:dyDescent="0.25">
      <c r="B89" s="8"/>
      <c r="D89" s="11"/>
      <c r="F89" s="14"/>
      <c r="G89" s="14"/>
      <c r="H89" s="14"/>
      <c r="I89" s="14"/>
      <c r="J89" s="20">
        <f>IF(N(D89)&gt;0,N(D89)-ROUND((INDEX('Inputs'!$H$149:$H$152,MATCH(SUM('Inputs'!$D$87:$D$94),'Inputs'!$G$149:$G$152,1))+INDEX('Inputs'!$I$149:$I$152,MATCH(SUM('Inputs'!$D$87:$D$94),'Inputs'!$G$149:$G$152,1))/100*((SUM('Inputs'!$D$87:$D$94))-INDEX('Inputs'!$G$149:$G$152,MATCH(SUM('Inputs'!$D$87:$D$94),'Inputs'!$G$149:$G$152,1))))*N(D89)/SUM('Inputs'!$D$87:$D$94),2),0)</f>
      </c>
    </row>
    <row r="90" spans="2:10" x14ac:dyDescent="0.25">
      <c r="B90" s="8"/>
      <c r="D90" s="11"/>
      <c r="F90" s="14"/>
      <c r="G90" s="14"/>
      <c r="H90" s="14"/>
      <c r="I90" s="14"/>
      <c r="J90" s="20">
        <f>IF(N(D90)&gt;0,N(D90)-ROUND((INDEX('Inputs'!$H$149:$H$152,MATCH(SUM('Inputs'!$D$87:$D$94),'Inputs'!$G$149:$G$152,1))+INDEX('Inputs'!$I$149:$I$152,MATCH(SUM('Inputs'!$D$87:$D$94),'Inputs'!$G$149:$G$152,1))/100*((SUM('Inputs'!$D$87:$D$94))-INDEX('Inputs'!$G$149:$G$152,MATCH(SUM('Inputs'!$D$87:$D$94),'Inputs'!$G$149:$G$152,1))))*N(D90)/SUM('Inputs'!$D$87:$D$94),2),0)</f>
      </c>
    </row>
    <row r="91" spans="2:10" x14ac:dyDescent="0.25">
      <c r="B91" s="8"/>
      <c r="D91" s="11"/>
      <c r="F91" s="14"/>
      <c r="G91" s="14"/>
      <c r="H91" s="14"/>
      <c r="I91" s="14"/>
      <c r="J91" s="20">
        <f>IF(N(D91)&gt;0,N(D91)-ROUND((INDEX('Inputs'!$H$149:$H$152,MATCH(SUM('Inputs'!$D$87:$D$94),'Inputs'!$G$149:$G$152,1))+INDEX('Inputs'!$I$149:$I$152,MATCH(SUM('Inputs'!$D$87:$D$94),'Inputs'!$G$149:$G$152,1))/100*((SUM('Inputs'!$D$87:$D$94))-INDEX('Inputs'!$G$149:$G$152,MATCH(SUM('Inputs'!$D$87:$D$94),'Inputs'!$G$149:$G$152,1))))*N(D91)/SUM('Inputs'!$D$87:$D$94),2),0)</f>
      </c>
    </row>
    <row r="92" spans="2:10" x14ac:dyDescent="0.25">
      <c r="B92" s="8"/>
      <c r="D92" s="11"/>
      <c r="F92" s="14"/>
      <c r="G92" s="14"/>
      <c r="H92" s="14"/>
      <c r="I92" s="14"/>
      <c r="J92" s="20">
        <f>IF(N(D92)&gt;0,N(D92)-ROUND((INDEX('Inputs'!$H$149:$H$152,MATCH(SUM('Inputs'!$D$87:$D$94),'Inputs'!$G$149:$G$152,1))+INDEX('Inputs'!$I$149:$I$152,MATCH(SUM('Inputs'!$D$87:$D$94),'Inputs'!$G$149:$G$152,1))/100*((SUM('Inputs'!$D$87:$D$94))-INDEX('Inputs'!$G$149:$G$152,MATCH(SUM('Inputs'!$D$87:$D$94),'Inputs'!$G$149:$G$152,1))))*N(D92)/SUM('Inputs'!$D$87:$D$94),2),0)</f>
      </c>
    </row>
    <row r="93" spans="2:10" x14ac:dyDescent="0.25">
      <c r="B93" s="8"/>
      <c r="D93" s="11"/>
      <c r="F93" s="14"/>
      <c r="G93" s="14"/>
      <c r="H93" s="14"/>
      <c r="I93" s="14"/>
      <c r="J93" s="20">
        <f>IF(N(D93)&gt;0,N(D93)-ROUND((INDEX('Inputs'!$H$149:$H$152,MATCH(SUM('Inputs'!$D$87:$D$94),'Inputs'!$G$149:$G$152,1))+INDEX('Inputs'!$I$149:$I$152,MATCH(SUM('Inputs'!$D$87:$D$94),'Inputs'!$G$149:$G$152,1))/100*((SUM('Inputs'!$D$87:$D$94))-INDEX('Inputs'!$G$149:$G$152,MATCH(SUM('Inputs'!$D$87:$D$94),'Inputs'!$G$149:$G$152,1))))*N(D93)/SUM('Inputs'!$D$87:$D$94),2),0)</f>
      </c>
    </row>
    <row r="94" spans="2:10" x14ac:dyDescent="0.25">
      <c r="B94" s="8"/>
      <c r="D94" s="11"/>
      <c r="F94" s="14"/>
      <c r="G94" s="14"/>
      <c r="H94" s="14"/>
      <c r="I94" s="14"/>
      <c r="J94" s="20">
        <f>IF(N(D94)&gt;0,N(D94)-ROUND((INDEX('Inputs'!$H$149:$H$152,MATCH(SUM('Inputs'!$D$87:$D$94),'Inputs'!$G$149:$G$152,1))+INDEX('Inputs'!$I$149:$I$152,MATCH(SUM('Inputs'!$D$87:$D$94),'Inputs'!$G$149:$G$152,1))/100*((SUM('Inputs'!$D$87:$D$94))-INDEX('Inputs'!$G$149:$G$152,MATCH(SUM('Inputs'!$D$87:$D$94),'Inputs'!$G$149:$G$152,1))))*N(D94)/SUM('Inputs'!$D$87:$D$94),2),0)</f>
      </c>
    </row>
    <row r="95" ht="39" customHeight="1" spans="2:11" x14ac:dyDescent="0.25">
      <c r="B95" s="16" t="s">
        <v>113</v>
      </c>
      <c r="C95" s="16"/>
      <c r="D95" s="16"/>
      <c r="E95" s="16"/>
      <c r="F95" s="16"/>
      <c r="G95" s="16"/>
      <c r="H95" s="16"/>
      <c r="I95" s="16"/>
      <c r="J95" s="16"/>
      <c r="K95" s="16"/>
    </row>
    <row r="97" ht="18" customHeight="1" spans="2:11" x14ac:dyDescent="0.25">
      <c r="B97" s="5" t="s">
        <v>114</v>
      </c>
      <c r="C97" s="6"/>
      <c r="D97" s="6"/>
      <c r="E97" s="6"/>
      <c r="F97" s="6"/>
      <c r="G97" s="6"/>
      <c r="H97" s="6"/>
      <c r="I97" s="6"/>
      <c r="J97" s="6"/>
      <c r="K97" s="6"/>
    </row>
    <row r="98" hidden="1" spans="2:11" x14ac:dyDescent="0.25">
      <c r="B98" t="s">
        <v>69</v>
      </c>
      <c r="C98" t="s">
        <v>5</v>
      </c>
      <c r="D98" t="s">
        <v>115</v>
      </c>
      <c r="E98" t="s">
        <v>116</v>
      </c>
      <c r="F98" t="s">
        <v>117</v>
      </c>
      <c r="G98" t="s">
        <v>99</v>
      </c>
      <c r="H98" t="s">
        <v>118</v>
      </c>
      <c r="I98" t="s">
        <v>119</v>
      </c>
      <c r="J98" t="s">
        <v>120</v>
      </c>
      <c r="K98" t="s">
        <v>121</v>
      </c>
    </row>
    <row r="99" ht="42" customHeight="1" spans="2:26" x14ac:dyDescent="0.25">
      <c r="B99" s="12" t="s">
        <v>122</v>
      </c>
      <c r="C99" s="12" t="s">
        <v>123</v>
      </c>
      <c r="D99" s="13" t="s">
        <v>124</v>
      </c>
      <c r="E99" s="13" t="s">
        <v>125</v>
      </c>
      <c r="F99" s="13" t="s">
        <v>126</v>
      </c>
      <c r="G99" s="13" t="s">
        <v>127</v>
      </c>
      <c r="H99" s="12" t="s">
        <v>128</v>
      </c>
      <c r="I99" s="13" t="s">
        <v>129</v>
      </c>
      <c r="J99" s="13" t="s">
        <v>130</v>
      </c>
      <c r="K99" s="12" t="s">
        <v>131</v>
      </c>
      <c r="Z99" t="s">
        <v>132</v>
      </c>
    </row>
    <row r="100" ht="15" customHeight="1" spans="2:26" x14ac:dyDescent="0.25">
      <c r="B100" s="8"/>
      <c r="C100" s="10"/>
      <c r="D100" s="18"/>
      <c r="E100" s="11"/>
      <c r="F100" s="18"/>
      <c r="G100" s="17"/>
      <c r="H100" s="10"/>
      <c r="I100" s="11"/>
      <c r="J100" s="11"/>
      <c r="K100" s="10"/>
      <c r="L100">
        <f>IF(AND(B100&lt;&gt;"",C100="Child"),1,0)</f>
      </c>
      <c r="M100">
        <f>IF(L100=1,SUM(L$100:L100),0)</f>
      </c>
      <c r="N100">
        <f>IF(AND(L100=1,M100=SUM(L$100:L$105)),1,0)</f>
      </c>
      <c r="O100">
        <f>IF(AND(B100&lt;&gt;"",C100="Spouse",COUNTIF(C$100:C100,"Spouse")=1),1,0)</f>
      </c>
      <c r="P100">
        <f>IF(B100="",0,IF(OR(C100="",AND(N(E100)&lt;=0,N(J100)&lt;=0,NOT(AND(O100=1,SUM(U$100:U$105)&gt;0))),AND(N(E100)&gt;0,N(F100)&lt;=0)),1,0))</f>
      </c>
      <c r="Q100">
        <f>IF(AND(L100=1,H100="Yes"),1,0)</f>
      </c>
      <c r="R100">
        <f>IF(Q100=1,SUM(Q$100:Q100),0)</f>
      </c>
      <c r="S100">
        <f>IF(AND(Q100=1,R100=SUM(Q$100:Q$105)),1,0)</f>
      </c>
      <c r="T100">
        <f>IF(AND(B100&lt;&gt;"",C100="Spouse",'Inputs'!$C$107="The spouse"),1,0)</f>
      </c>
      <c r="U100">
        <f>IF(AND(B100&lt;&gt;"",C100="Child",K100="Yes",H100&lt;&gt;"Yes",COUNTIFS(B$100:B$105,"?*",C$100:C$105,"Spouse")&gt;0),1,0)</f>
      </c>
      <c r="V100">
        <f>IF(AND(B100&lt;&gt;"",K100="Yes",U100=0),1,0)</f>
      </c>
      <c r="W100">
        <f>IF(B100="",0,COUNTIF(B$100:B100,"?*"))</f>
      </c>
      <c r="X100">
        <f>IF(B100="","",IF(W100=1,"",IF(W100=COUNTIF(B$100:B$105,"?*")," and ",", "))&amp;B100)</f>
      </c>
      <c r="Z100">
        <f>IF(B100="","",B100)</f>
      </c>
    </row>
    <row r="101" ht="15" customHeight="1" spans="2:26" x14ac:dyDescent="0.25">
      <c r="B101" s="8"/>
      <c r="C101" s="10"/>
      <c r="D101" s="18"/>
      <c r="E101" s="11"/>
      <c r="F101" s="18"/>
      <c r="G101" s="17"/>
      <c r="H101" s="10"/>
      <c r="I101" s="11"/>
      <c r="J101" s="11"/>
      <c r="K101" s="10"/>
      <c r="L101">
        <f>IF(AND(B101&lt;&gt;"",C101="Child"),1,0)</f>
      </c>
      <c r="M101">
        <f>IF(L101=1,SUM(L$100:L101),0)</f>
      </c>
      <c r="N101">
        <f>IF(AND(L101=1,M101=SUM(L$100:L$105)),1,0)</f>
      </c>
      <c r="O101">
        <f>IF(AND(B101&lt;&gt;"",C101="Spouse",COUNTIF(C$100:C101,"Spouse")=1),1,0)</f>
      </c>
      <c r="P101">
        <f>IF(B101="",0,IF(OR(C101="",AND(N(E101)&lt;=0,N(J101)&lt;=0,NOT(AND(O101=1,SUM(U$100:U$105)&gt;0))),AND(N(E101)&gt;0,N(F101)&lt;=0)),1,0))</f>
      </c>
      <c r="Q101">
        <f>IF(AND(L101=1,H101="Yes"),1,0)</f>
      </c>
      <c r="R101">
        <f>IF(Q101=1,SUM(Q$100:Q101),0)</f>
      </c>
      <c r="S101">
        <f>IF(AND(Q101=1,R101=SUM(Q$100:Q$105)),1,0)</f>
      </c>
      <c r="T101">
        <f>IF(AND(B101&lt;&gt;"",C101="Spouse",'Inputs'!$C$107="The spouse"),1,0)</f>
      </c>
      <c r="U101">
        <f>IF(AND(B101&lt;&gt;"",C101="Child",K101="Yes",H101&lt;&gt;"Yes",COUNTIFS(B$100:B$105,"?*",C$100:C$105,"Spouse")&gt;0),1,0)</f>
      </c>
      <c r="V101">
        <f>IF(AND(B101&lt;&gt;"",K101="Yes",U101=0),1,0)</f>
      </c>
      <c r="W101">
        <f>IF(B101="",0,COUNTIF(B$100:B101,"?*"))</f>
      </c>
      <c r="X101">
        <f>IF(B101="","",IF(W101=1,"",IF(W101=COUNTIF(B$100:B$105,"?*")," and ",", "))&amp;B101)</f>
      </c>
      <c r="Z101">
        <f>IF(B101="","",B101)</f>
      </c>
    </row>
    <row r="102" ht="15" customHeight="1" spans="2:26" x14ac:dyDescent="0.25">
      <c r="B102" s="8"/>
      <c r="C102" s="10"/>
      <c r="D102" s="18"/>
      <c r="E102" s="11"/>
      <c r="F102" s="18"/>
      <c r="G102" s="17"/>
      <c r="H102" s="10"/>
      <c r="I102" s="11"/>
      <c r="J102" s="11"/>
      <c r="K102" s="10"/>
      <c r="L102">
        <f>IF(AND(B102&lt;&gt;"",C102="Child"),1,0)</f>
      </c>
      <c r="M102">
        <f>IF(L102=1,SUM(L$100:L102),0)</f>
      </c>
      <c r="N102">
        <f>IF(AND(L102=1,M102=SUM(L$100:L$105)),1,0)</f>
      </c>
      <c r="O102">
        <f>IF(AND(B102&lt;&gt;"",C102="Spouse",COUNTIF(C$100:C102,"Spouse")=1),1,0)</f>
      </c>
      <c r="P102">
        <f>IF(B102="",0,IF(OR(C102="",AND(N(E102)&lt;=0,N(J102)&lt;=0,NOT(AND(O102=1,SUM(U$100:U$105)&gt;0))),AND(N(E102)&gt;0,N(F102)&lt;=0)),1,0))</f>
      </c>
      <c r="Q102">
        <f>IF(AND(L102=1,H102="Yes"),1,0)</f>
      </c>
      <c r="R102">
        <f>IF(Q102=1,SUM(Q$100:Q102),0)</f>
      </c>
      <c r="S102">
        <f>IF(AND(Q102=1,R102=SUM(Q$100:Q$105)),1,0)</f>
      </c>
      <c r="T102">
        <f>IF(AND(B102&lt;&gt;"",C102="Spouse",'Inputs'!$C$107="The spouse"),1,0)</f>
      </c>
      <c r="U102">
        <f>IF(AND(B102&lt;&gt;"",C102="Child",K102="Yes",H102&lt;&gt;"Yes",COUNTIFS(B$100:B$105,"?*",C$100:C$105,"Spouse")&gt;0),1,0)</f>
      </c>
      <c r="V102">
        <f>IF(AND(B102&lt;&gt;"",K102="Yes",U102=0),1,0)</f>
      </c>
      <c r="W102">
        <f>IF(B102="",0,COUNTIF(B$100:B102,"?*"))</f>
      </c>
      <c r="X102">
        <f>IF(B102="","",IF(W102=1,"",IF(W102=COUNTIF(B$100:B$105,"?*")," and ",", "))&amp;B102)</f>
      </c>
      <c r="Z102">
        <f>IF(B102="","",B102)</f>
      </c>
    </row>
    <row r="103" ht="15" customHeight="1" spans="2:26" x14ac:dyDescent="0.25">
      <c r="B103" s="8"/>
      <c r="C103" s="10"/>
      <c r="D103" s="18"/>
      <c r="E103" s="11"/>
      <c r="F103" s="18"/>
      <c r="G103" s="17"/>
      <c r="H103" s="10"/>
      <c r="I103" s="11"/>
      <c r="J103" s="11"/>
      <c r="K103" s="10"/>
      <c r="L103">
        <f>IF(AND(B103&lt;&gt;"",C103="Child"),1,0)</f>
      </c>
      <c r="M103">
        <f>IF(L103=1,SUM(L$100:L103),0)</f>
      </c>
      <c r="N103">
        <f>IF(AND(L103=1,M103=SUM(L$100:L$105)),1,0)</f>
      </c>
      <c r="O103">
        <f>IF(AND(B103&lt;&gt;"",C103="Spouse",COUNTIF(C$100:C103,"Spouse")=1),1,0)</f>
      </c>
      <c r="P103">
        <f>IF(B103="",0,IF(OR(C103="",AND(N(E103)&lt;=0,N(J103)&lt;=0,NOT(AND(O103=1,SUM(U$100:U$105)&gt;0))),AND(N(E103)&gt;0,N(F103)&lt;=0)),1,0))</f>
      </c>
      <c r="Q103">
        <f>IF(AND(L103=1,H103="Yes"),1,0)</f>
      </c>
      <c r="R103">
        <f>IF(Q103=1,SUM(Q$100:Q103),0)</f>
      </c>
      <c r="S103">
        <f>IF(AND(Q103=1,R103=SUM(Q$100:Q$105)),1,0)</f>
      </c>
      <c r="T103">
        <f>IF(AND(B103&lt;&gt;"",C103="Spouse",'Inputs'!$C$107="The spouse"),1,0)</f>
      </c>
      <c r="U103">
        <f>IF(AND(B103&lt;&gt;"",C103="Child",K103="Yes",H103&lt;&gt;"Yes",COUNTIFS(B$100:B$105,"?*",C$100:C$105,"Spouse")&gt;0),1,0)</f>
      </c>
      <c r="V103">
        <f>IF(AND(B103&lt;&gt;"",K103="Yes",U103=0),1,0)</f>
      </c>
      <c r="W103">
        <f>IF(B103="",0,COUNTIF(B$100:B103,"?*"))</f>
      </c>
      <c r="X103">
        <f>IF(B103="","",IF(W103=1,"",IF(W103=COUNTIF(B$100:B$105,"?*")," and ",", "))&amp;B103)</f>
      </c>
      <c r="Z103">
        <f>IF(B103="","",B103)</f>
      </c>
    </row>
    <row r="104" ht="15" customHeight="1" spans="2:26" x14ac:dyDescent="0.25">
      <c r="B104" s="8"/>
      <c r="C104" s="10"/>
      <c r="D104" s="18"/>
      <c r="E104" s="11"/>
      <c r="F104" s="18"/>
      <c r="G104" s="17"/>
      <c r="H104" s="10"/>
      <c r="I104" s="11"/>
      <c r="J104" s="11"/>
      <c r="K104" s="10"/>
      <c r="L104">
        <f>IF(AND(B104&lt;&gt;"",C104="Child"),1,0)</f>
      </c>
      <c r="M104">
        <f>IF(L104=1,SUM(L$100:L104),0)</f>
      </c>
      <c r="N104">
        <f>IF(AND(L104=1,M104=SUM(L$100:L$105)),1,0)</f>
      </c>
      <c r="O104">
        <f>IF(AND(B104&lt;&gt;"",C104="Spouse",COUNTIF(C$100:C104,"Spouse")=1),1,0)</f>
      </c>
      <c r="P104">
        <f>IF(B104="",0,IF(OR(C104="",AND(N(E104)&lt;=0,N(J104)&lt;=0,NOT(AND(O104=1,SUM(U$100:U$105)&gt;0))),AND(N(E104)&gt;0,N(F104)&lt;=0)),1,0))</f>
      </c>
      <c r="Q104">
        <f>IF(AND(L104=1,H104="Yes"),1,0)</f>
      </c>
      <c r="R104">
        <f>IF(Q104=1,SUM(Q$100:Q104),0)</f>
      </c>
      <c r="S104">
        <f>IF(AND(Q104=1,R104=SUM(Q$100:Q$105)),1,0)</f>
      </c>
      <c r="T104">
        <f>IF(AND(B104&lt;&gt;"",C104="Spouse",'Inputs'!$C$107="The spouse"),1,0)</f>
      </c>
      <c r="U104">
        <f>IF(AND(B104&lt;&gt;"",C104="Child",K104="Yes",H104&lt;&gt;"Yes",COUNTIFS(B$100:B$105,"?*",C$100:C$105,"Spouse")&gt;0),1,0)</f>
      </c>
      <c r="V104">
        <f>IF(AND(B104&lt;&gt;"",K104="Yes",U104=0),1,0)</f>
      </c>
      <c r="W104">
        <f>IF(B104="",0,COUNTIF(B$100:B104,"?*"))</f>
      </c>
      <c r="X104">
        <f>IF(B104="","",IF(W104=1,"",IF(W104=COUNTIF(B$100:B$105,"?*")," and ",", "))&amp;B104)</f>
      </c>
      <c r="Z104">
        <f>IF(B104="","",B104)</f>
      </c>
    </row>
    <row r="105" ht="15" customHeight="1" spans="2:26" x14ac:dyDescent="0.25">
      <c r="B105" s="8"/>
      <c r="C105" s="10"/>
      <c r="D105" s="18"/>
      <c r="E105" s="11"/>
      <c r="F105" s="18"/>
      <c r="G105" s="17"/>
      <c r="H105" s="10"/>
      <c r="I105" s="11"/>
      <c r="J105" s="11"/>
      <c r="K105" s="10"/>
      <c r="L105">
        <f>IF(AND(B105&lt;&gt;"",C105="Child"),1,0)</f>
      </c>
      <c r="M105">
        <f>IF(L105=1,SUM(L$100:L105),0)</f>
      </c>
      <c r="N105">
        <f>IF(AND(L105=1,M105=SUM(L$100:L$105)),1,0)</f>
      </c>
      <c r="O105">
        <f>IF(AND(B105&lt;&gt;"",C105="Spouse",COUNTIF(C$100:C105,"Spouse")=1),1,0)</f>
      </c>
      <c r="P105">
        <f>IF(B105="",0,IF(OR(C105="",AND(N(E105)&lt;=0,N(J105)&lt;=0,NOT(AND(O105=1,SUM(U$100:U$105)&gt;0))),AND(N(E105)&gt;0,N(F105)&lt;=0)),1,0))</f>
      </c>
      <c r="Q105">
        <f>IF(AND(L105=1,H105="Yes"),1,0)</f>
      </c>
      <c r="R105">
        <f>IF(Q105=1,SUM(Q$100:Q105),0)</f>
      </c>
      <c r="S105">
        <f>IF(AND(Q105=1,R105=SUM(Q$100:Q$105)),1,0)</f>
      </c>
      <c r="T105">
        <f>IF(AND(B105&lt;&gt;"",C105="Spouse",'Inputs'!$C$107="The spouse"),1,0)</f>
      </c>
      <c r="U105">
        <f>IF(AND(B105&lt;&gt;"",C105="Child",K105="Yes",H105&lt;&gt;"Yes",COUNTIFS(B$100:B$105,"?*",C$100:C$105,"Spouse")&gt;0),1,0)</f>
      </c>
      <c r="V105">
        <f>IF(AND(B105&lt;&gt;"",K105="Yes",U105=0),1,0)</f>
      </c>
      <c r="W105">
        <f>IF(B105="",0,COUNTIF(B$100:B105,"?*"))</f>
      </c>
      <c r="X105">
        <f>IF(B105="","",IF(W105=1,"",IF(W105=COUNTIF(B$100:B$105,"?*")," and ",", "))&amp;B105)</f>
      </c>
      <c r="Z105">
        <f>IF(B105="","",B105)</f>
      </c>
    </row>
    <row r="106" ht="27" customHeight="1" spans="2:5" x14ac:dyDescent="0.25">
      <c r="B106" s="7" t="s">
        <v>133</v>
      </c>
      <c r="C106" s="10" t="s">
        <v>17</v>
      </c>
      <c r="D106" s="10"/>
      <c r="E106" s="10"/>
    </row>
    <row r="107" ht="27" customHeight="1" spans="2:5" x14ac:dyDescent="0.25">
      <c r="B107" s="7" t="s">
        <v>134</v>
      </c>
      <c r="C107" s="10" t="s">
        <v>18</v>
      </c>
      <c r="D107" s="10"/>
      <c r="E107" s="10"/>
    </row>
    <row r="108" ht="27" customHeight="1" spans="2:5" x14ac:dyDescent="0.25">
      <c r="B108" s="7" t="s">
        <v>135</v>
      </c>
      <c r="C108" s="10" t="s">
        <v>19</v>
      </c>
      <c r="D108" s="10"/>
      <c r="E108" s="10"/>
    </row>
    <row r="109" ht="52" customHeight="1" spans="2:11" x14ac:dyDescent="0.25">
      <c r="B109" s="16" t="s">
        <v>136</v>
      </c>
      <c r="C109" s="16"/>
      <c r="D109" s="16"/>
      <c r="E109" s="16"/>
      <c r="F109" s="16"/>
      <c r="G109" s="16"/>
      <c r="H109" s="16"/>
      <c r="I109" s="16"/>
      <c r="J109" s="16"/>
      <c r="K109" s="16"/>
    </row>
    <row r="111" ht="18" customHeight="1" spans="2:11" x14ac:dyDescent="0.25">
      <c r="B111" s="5" t="s">
        <v>137</v>
      </c>
      <c r="C111" s="6"/>
      <c r="D111" s="6"/>
      <c r="E111" s="6"/>
      <c r="F111" s="6"/>
      <c r="G111" s="6"/>
      <c r="H111" s="6"/>
      <c r="I111" s="6"/>
      <c r="J111" s="6"/>
      <c r="K111" s="6"/>
    </row>
    <row r="112" hidden="1" spans="2:9" x14ac:dyDescent="0.25">
      <c r="B112" t="s">
        <v>69</v>
      </c>
      <c r="C112" t="s">
        <v>90</v>
      </c>
      <c r="D112" t="s">
        <v>98</v>
      </c>
      <c r="E112" t="s">
        <v>99</v>
      </c>
      <c r="F112" t="s">
        <v>138</v>
      </c>
      <c r="G112" t="s">
        <v>100</v>
      </c>
      <c r="I112" t="s">
        <v>74</v>
      </c>
    </row>
    <row r="113" ht="42" customHeight="1" spans="2:9" x14ac:dyDescent="0.25">
      <c r="B113" s="12" t="s">
        <v>139</v>
      </c>
      <c r="C113" s="12" t="s">
        <v>105</v>
      </c>
      <c r="D113" s="13" t="s">
        <v>140</v>
      </c>
      <c r="E113" s="13" t="s">
        <v>141</v>
      </c>
      <c r="F113" s="13" t="s">
        <v>142</v>
      </c>
      <c r="G113" s="13" t="s">
        <v>143</v>
      </c>
      <c r="I113" s="12" t="s">
        <v>82</v>
      </c>
    </row>
    <row r="114" ht="27" customHeight="1" spans="2:16" x14ac:dyDescent="0.25">
      <c r="B114" s="8"/>
      <c r="C114" s="8"/>
      <c r="D114" s="11"/>
      <c r="E114" s="17"/>
      <c r="F114" s="18"/>
      <c r="G114" s="18"/>
      <c r="I114" s="14"/>
      <c r="L114">
        <f>IF(AND(B114="",N(D114)=0),0,IF(OR(N(D114)&lt;=0,C114="",COUNTIF($B$100:$B$105,C114)=0,N(F114)&lt;&gt;INT(N(F114)),N(G114)&lt;&gt;INT(N(G114))),1,0))</f>
      </c>
      <c r="M114">
        <f>IF(AND(N(D114)&gt;0,C114&lt;&gt;"",COUNTIF($B$100:$B$105,C114)&gt;0),1,0)</f>
      </c>
      <c r="N114">
        <f>IF(M114=1,SUM('Inputs'!$U$76:$U$81)+SUM(M$114:M114),0)</f>
      </c>
      <c r="P114">
        <f>B114&amp;IF(COUNTIF('Inputs'!$B$100:$B$105,"?*")&gt;1," for "&amp;C114,"")&amp;": R "&amp;FIXED(ROUND(N(D114),0),0)&amp;" a month "&amp;TRIM(IF(N(F114)=0,"",IF(MOD(N(F114),12)=0,"from year "&amp;FIXED(N(F114)/12,0),"from month "&amp;FIXED(N(F114),0)))&amp;" "&amp;IF(N(G114)=0,IF(N(F114)=0,"for as long as this need lasts","onwards"),IF(MOD(N(G114),12)=0,"for "&amp;FIXED(N(G114)/12,0)&amp;" year"&amp;IF(N(G114)=12,"","s"),"for "&amp;FIXED(N(G114),0)&amp;" months")))</f>
      </c>
    </row>
    <row r="115" ht="27" customHeight="1" spans="2:16" x14ac:dyDescent="0.25">
      <c r="B115" s="8"/>
      <c r="C115" s="8"/>
      <c r="D115" s="11"/>
      <c r="E115" s="17"/>
      <c r="F115" s="18"/>
      <c r="G115" s="18"/>
      <c r="I115" s="14"/>
      <c r="L115">
        <f>IF(AND(B115="",N(D115)=0),0,IF(OR(N(D115)&lt;=0,C115="",COUNTIF($B$100:$B$105,C115)=0,N(F115)&lt;&gt;INT(N(F115)),N(G115)&lt;&gt;INT(N(G115))),1,0))</f>
      </c>
      <c r="M115">
        <f>IF(AND(N(D115)&gt;0,C115&lt;&gt;"",COUNTIF($B$100:$B$105,C115)&gt;0),1,0)</f>
      </c>
      <c r="N115">
        <f>IF(M115=1,SUM('Inputs'!$U$76:$U$81)+SUM(M$114:M115),0)</f>
      </c>
      <c r="P115">
        <f>B115&amp;IF(COUNTIF('Inputs'!$B$100:$B$105,"?*")&gt;1," for "&amp;C115,"")&amp;": R "&amp;FIXED(ROUND(N(D115),0),0)&amp;" a month "&amp;TRIM(IF(N(F115)=0,"",IF(MOD(N(F115),12)=0,"from year "&amp;FIXED(N(F115)/12,0),"from month "&amp;FIXED(N(F115),0)))&amp;" "&amp;IF(N(G115)=0,IF(N(F115)=0,"for as long as this need lasts","onwards"),IF(MOD(N(G115),12)=0,"for "&amp;FIXED(N(G115)/12,0)&amp;" year"&amp;IF(N(G115)=12,"","s"),"for "&amp;FIXED(N(G115),0)&amp;" months")))</f>
      </c>
    </row>
    <row r="116" ht="27" customHeight="1" spans="2:16" x14ac:dyDescent="0.25">
      <c r="B116" s="8"/>
      <c r="C116" s="8"/>
      <c r="D116" s="11"/>
      <c r="E116" s="17"/>
      <c r="F116" s="18"/>
      <c r="G116" s="18"/>
      <c r="I116" s="14"/>
      <c r="L116">
        <f>IF(AND(B116="",N(D116)=0),0,IF(OR(N(D116)&lt;=0,C116="",COUNTIF($B$100:$B$105,C116)=0,N(F116)&lt;&gt;INT(N(F116)),N(G116)&lt;&gt;INT(N(G116))),1,0))</f>
      </c>
      <c r="M116">
        <f>IF(AND(N(D116)&gt;0,C116&lt;&gt;"",COUNTIF($B$100:$B$105,C116)&gt;0),1,0)</f>
      </c>
      <c r="N116">
        <f>IF(M116=1,SUM('Inputs'!$U$76:$U$81)+SUM(M$114:M116),0)</f>
      </c>
      <c r="P116">
        <f>B116&amp;IF(COUNTIF('Inputs'!$B$100:$B$105,"?*")&gt;1," for "&amp;C116,"")&amp;": R "&amp;FIXED(ROUND(N(D116),0),0)&amp;" a month "&amp;TRIM(IF(N(F116)=0,"",IF(MOD(N(F116),12)=0,"from year "&amp;FIXED(N(F116)/12,0),"from month "&amp;FIXED(N(F116),0)))&amp;" "&amp;IF(N(G116)=0,IF(N(F116)=0,"for as long as this need lasts","onwards"),IF(MOD(N(G116),12)=0,"for "&amp;FIXED(N(G116)/12,0)&amp;" year"&amp;IF(N(G116)=12,"","s"),"for "&amp;FIXED(N(G116),0)&amp;" months")))</f>
      </c>
    </row>
    <row r="117" ht="27" customHeight="1" spans="2:16" x14ac:dyDescent="0.25">
      <c r="B117" s="8"/>
      <c r="C117" s="8"/>
      <c r="D117" s="11"/>
      <c r="E117" s="17"/>
      <c r="F117" s="18"/>
      <c r="G117" s="18"/>
      <c r="I117" s="14"/>
      <c r="L117">
        <f>IF(AND(B117="",N(D117)=0),0,IF(OR(N(D117)&lt;=0,C117="",COUNTIF($B$100:$B$105,C117)=0,N(F117)&lt;&gt;INT(N(F117)),N(G117)&lt;&gt;INT(N(G117))),1,0))</f>
      </c>
      <c r="M117">
        <f>IF(AND(N(D117)&gt;0,C117&lt;&gt;"",COUNTIF($B$100:$B$105,C117)&gt;0),1,0)</f>
      </c>
      <c r="N117">
        <f>IF(M117=1,SUM('Inputs'!$U$76:$U$81)+SUM(M$114:M117),0)</f>
      </c>
      <c r="P117">
        <f>B117&amp;IF(COUNTIF('Inputs'!$B$100:$B$105,"?*")&gt;1," for "&amp;C117,"")&amp;": R "&amp;FIXED(ROUND(N(D117),0),0)&amp;" a month "&amp;TRIM(IF(N(F117)=0,"",IF(MOD(N(F117),12)=0,"from year "&amp;FIXED(N(F117)/12,0),"from month "&amp;FIXED(N(F117),0)))&amp;" "&amp;IF(N(G117)=0,IF(N(F117)=0,"for as long as this need lasts","onwards"),IF(MOD(N(G117),12)=0,"for "&amp;FIXED(N(G117)/12,0)&amp;" year"&amp;IF(N(G117)=12,"","s"),"for "&amp;FIXED(N(G117),0)&amp;" months")))</f>
      </c>
    </row>
    <row r="118" ht="27" customHeight="1" spans="2:16" x14ac:dyDescent="0.25">
      <c r="B118" s="8"/>
      <c r="C118" s="8"/>
      <c r="D118" s="11"/>
      <c r="E118" s="17"/>
      <c r="F118" s="18"/>
      <c r="G118" s="18"/>
      <c r="I118" s="14"/>
      <c r="L118">
        <f>IF(AND(B118="",N(D118)=0),0,IF(OR(N(D118)&lt;=0,C118="",COUNTIF($B$100:$B$105,C118)=0,N(F118)&lt;&gt;INT(N(F118)),N(G118)&lt;&gt;INT(N(G118))),1,0))</f>
      </c>
      <c r="M118">
        <f>IF(AND(N(D118)&gt;0,C118&lt;&gt;"",COUNTIF($B$100:$B$105,C118)&gt;0),1,0)</f>
      </c>
      <c r="N118">
        <f>IF(M118=1,SUM('Inputs'!$U$76:$U$81)+SUM(M$114:M118),0)</f>
      </c>
      <c r="P118">
        <f>B118&amp;IF(COUNTIF('Inputs'!$B$100:$B$105,"?*")&gt;1," for "&amp;C118,"")&amp;": R "&amp;FIXED(ROUND(N(D118),0),0)&amp;" a month "&amp;TRIM(IF(N(F118)=0,"",IF(MOD(N(F118),12)=0,"from year "&amp;FIXED(N(F118)/12,0),"from month "&amp;FIXED(N(F118),0)))&amp;" "&amp;IF(N(G118)=0,IF(N(F118)=0,"for as long as this need lasts","onwards"),IF(MOD(N(G118),12)=0,"for "&amp;FIXED(N(G118)/12,0)&amp;" year"&amp;IF(N(G118)=12,"","s"),"for "&amp;FIXED(N(G118),0)&amp;" months")))</f>
      </c>
    </row>
    <row r="119" ht="27" customHeight="1" spans="2:16" x14ac:dyDescent="0.25">
      <c r="B119" s="8"/>
      <c r="C119" s="8"/>
      <c r="D119" s="11"/>
      <c r="E119" s="17"/>
      <c r="F119" s="18"/>
      <c r="G119" s="18"/>
      <c r="I119" s="14"/>
      <c r="L119">
        <f>IF(AND(B119="",N(D119)=0),0,IF(OR(N(D119)&lt;=0,C119="",COUNTIF($B$100:$B$105,C119)=0,N(F119)&lt;&gt;INT(N(F119)),N(G119)&lt;&gt;INT(N(G119))),1,0))</f>
      </c>
      <c r="M119">
        <f>IF(AND(N(D119)&gt;0,C119&lt;&gt;"",COUNTIF($B$100:$B$105,C119)&gt;0),1,0)</f>
      </c>
      <c r="N119">
        <f>IF(M119=1,SUM('Inputs'!$U$76:$U$81)+SUM(M$114:M119),0)</f>
      </c>
      <c r="P119">
        <f>B119&amp;IF(COUNTIF('Inputs'!$B$100:$B$105,"?*")&gt;1," for "&amp;C119,"")&amp;": R "&amp;FIXED(ROUND(N(D119),0),0)&amp;" a month "&amp;TRIM(IF(N(F119)=0,"",IF(MOD(N(F119),12)=0,"from year "&amp;FIXED(N(F119)/12,0),"from month "&amp;FIXED(N(F119),0)))&amp;" "&amp;IF(N(G119)=0,IF(N(F119)=0,"for as long as this need lasts","onwards"),IF(MOD(N(G119),12)=0,"for "&amp;FIXED(N(G119)/12,0)&amp;" year"&amp;IF(N(G119)=12,"","s"),"for "&amp;FIXED(N(G119),0)&amp;" months")))</f>
      </c>
    </row>
    <row r="120" ht="27" customHeight="1" spans="2:16" x14ac:dyDescent="0.25">
      <c r="B120" s="8"/>
      <c r="C120" s="8"/>
      <c r="D120" s="11"/>
      <c r="E120" s="17"/>
      <c r="F120" s="18"/>
      <c r="G120" s="18"/>
      <c r="I120" s="14"/>
      <c r="L120">
        <f>IF(AND(B120="",N(D120)=0),0,IF(OR(N(D120)&lt;=0,C120="",COUNTIF($B$100:$B$105,C120)=0,N(F120)&lt;&gt;INT(N(F120)),N(G120)&lt;&gt;INT(N(G120))),1,0))</f>
      </c>
      <c r="M120">
        <f>IF(AND(N(D120)&gt;0,C120&lt;&gt;"",COUNTIF($B$100:$B$105,C120)&gt;0),1,0)</f>
      </c>
      <c r="N120">
        <f>IF(M120=1,SUM('Inputs'!$U$76:$U$81)+SUM(M$114:M120),0)</f>
      </c>
      <c r="P120">
        <f>B120&amp;IF(COUNTIF('Inputs'!$B$100:$B$105,"?*")&gt;1," for "&amp;C120,"")&amp;": R "&amp;FIXED(ROUND(N(D120),0),0)&amp;" a month "&amp;TRIM(IF(N(F120)=0,"",IF(MOD(N(F120),12)=0,"from year "&amp;FIXED(N(F120)/12,0),"from month "&amp;FIXED(N(F120),0)))&amp;" "&amp;IF(N(G120)=0,IF(N(F120)=0,"for as long as this need lasts","onwards"),IF(MOD(N(G120),12)=0,"for "&amp;FIXED(N(G120)/12,0)&amp;" year"&amp;IF(N(G120)=12,"","s"),"for "&amp;FIXED(N(G120),0)&amp;" months")))</f>
      </c>
    </row>
    <row r="121" ht="27" customHeight="1" spans="2:16" x14ac:dyDescent="0.25">
      <c r="B121" s="8"/>
      <c r="C121" s="8"/>
      <c r="D121" s="11"/>
      <c r="E121" s="17"/>
      <c r="F121" s="18"/>
      <c r="G121" s="18"/>
      <c r="I121" s="14"/>
      <c r="L121">
        <f>IF(AND(B121="",N(D121)=0),0,IF(OR(N(D121)&lt;=0,C121="",COUNTIF($B$100:$B$105,C121)=0,N(F121)&lt;&gt;INT(N(F121)),N(G121)&lt;&gt;INT(N(G121))),1,0))</f>
      </c>
      <c r="M121">
        <f>IF(AND(N(D121)&gt;0,C121&lt;&gt;"",COUNTIF($B$100:$B$105,C121)&gt;0),1,0)</f>
      </c>
      <c r="N121">
        <f>IF(M121=1,SUM('Inputs'!$U$76:$U$81)+SUM(M$114:M121),0)</f>
      </c>
      <c r="P121">
        <f>B121&amp;IF(COUNTIF('Inputs'!$B$100:$B$105,"?*")&gt;1," for "&amp;C121,"")&amp;": R "&amp;FIXED(ROUND(N(D121),0),0)&amp;" a month "&amp;TRIM(IF(N(F121)=0,"",IF(MOD(N(F121),12)=0,"from year "&amp;FIXED(N(F121)/12,0),"from month "&amp;FIXED(N(F121),0)))&amp;" "&amp;IF(N(G121)=0,IF(N(F121)=0,"for as long as this need lasts","onwards"),IF(MOD(N(G121),12)=0,"for "&amp;FIXED(N(G121)/12,0)&amp;" year"&amp;IF(N(G121)=12,"","s"),"for "&amp;FIXED(N(G121),0)&amp;" months")))</f>
      </c>
    </row>
    <row r="122" ht="52" customHeight="1" spans="2:11" x14ac:dyDescent="0.25">
      <c r="B122" s="16" t="s">
        <v>144</v>
      </c>
      <c r="C122" s="16"/>
      <c r="D122" s="16"/>
      <c r="E122" s="16"/>
      <c r="F122" s="16"/>
      <c r="G122" s="16"/>
      <c r="H122" s="16"/>
      <c r="I122" s="16"/>
      <c r="J122" s="16"/>
      <c r="K122" s="16"/>
    </row>
    <row r="124" ht="18" customHeight="1" spans="2:11" x14ac:dyDescent="0.25">
      <c r="B124" s="5" t="s">
        <v>145</v>
      </c>
      <c r="C124" s="6"/>
      <c r="D124" s="6"/>
      <c r="E124" s="6"/>
      <c r="F124" s="6"/>
      <c r="G124" s="6"/>
      <c r="H124" s="6"/>
      <c r="I124" s="6"/>
      <c r="J124" s="6"/>
      <c r="K124" s="6"/>
    </row>
    <row r="125" spans="2:3" x14ac:dyDescent="0.25">
      <c r="B125" s="7" t="s">
        <v>146</v>
      </c>
      <c r="C125" s="8"/>
    </row>
    <row r="126" spans="2:3" x14ac:dyDescent="0.25">
      <c r="B126" s="7" t="s">
        <v>147</v>
      </c>
      <c r="C126" s="17"/>
    </row>
    <row r="127" spans="2:3" x14ac:dyDescent="0.25">
      <c r="B127" s="7" t="s">
        <v>148</v>
      </c>
      <c r="C127" s="11"/>
    </row>
    <row r="128" spans="2:3" x14ac:dyDescent="0.25">
      <c r="B128" s="7" t="s">
        <v>149</v>
      </c>
      <c r="C128" s="17"/>
    </row>
    <row r="129" spans="2:3" x14ac:dyDescent="0.25">
      <c r="B129" s="7" t="s">
        <v>150</v>
      </c>
      <c r="C129" s="11"/>
    </row>
    <row r="130" spans="2:3" x14ac:dyDescent="0.25">
      <c r="B130" s="7" t="s">
        <v>151</v>
      </c>
      <c r="C130" s="11"/>
    </row>
    <row r="131" ht="26" customHeight="1" spans="2:11" x14ac:dyDescent="0.25">
      <c r="B131" s="16" t="s">
        <v>152</v>
      </c>
      <c r="C131" s="16"/>
      <c r="D131" s="16"/>
      <c r="E131" s="16"/>
      <c r="F131" s="16"/>
      <c r="G131" s="16"/>
      <c r="H131" s="16"/>
      <c r="I131" s="16"/>
      <c r="J131" s="16"/>
      <c r="K131" s="16"/>
    </row>
    <row r="133" ht="18" customHeight="1" spans="2:11" x14ac:dyDescent="0.25">
      <c r="B133" s="5" t="s">
        <v>153</v>
      </c>
      <c r="C133" s="6"/>
      <c r="D133" s="6"/>
      <c r="E133" s="6"/>
      <c r="F133" s="6"/>
      <c r="G133" s="6"/>
      <c r="H133" s="6"/>
      <c r="I133" s="6"/>
      <c r="J133" s="6"/>
      <c r="K133" s="6"/>
    </row>
    <row r="134" spans="2:8" x14ac:dyDescent="0.25">
      <c r="B134" s="7" t="s">
        <v>154</v>
      </c>
      <c r="C134" s="17">
        <v>3.5</v>
      </c>
      <c r="E134" s="7" t="s">
        <v>155</v>
      </c>
      <c r="F134" s="7"/>
      <c r="G134" s="7"/>
      <c r="H134" s="11">
        <v>3000000</v>
      </c>
    </row>
    <row r="135" spans="2:8" x14ac:dyDescent="0.25">
      <c r="B135" s="7" t="s">
        <v>156</v>
      </c>
      <c r="C135" s="17">
        <v>15</v>
      </c>
      <c r="E135" s="7" t="s">
        <v>157</v>
      </c>
      <c r="F135" s="7"/>
      <c r="G135" s="7"/>
      <c r="H135" s="17">
        <v>50</v>
      </c>
    </row>
    <row r="136" spans="2:8" x14ac:dyDescent="0.25">
      <c r="B136" s="7" t="s">
        <v>158</v>
      </c>
      <c r="C136" s="11">
        <v>7000</v>
      </c>
      <c r="E136" s="7" t="s">
        <v>159</v>
      </c>
      <c r="F136" s="7"/>
      <c r="G136" s="7"/>
      <c r="H136" s="17">
        <v>7</v>
      </c>
    </row>
    <row r="137" spans="2:8" x14ac:dyDescent="0.25">
      <c r="B137" s="7" t="s">
        <v>160</v>
      </c>
      <c r="C137" s="11">
        <v>50000</v>
      </c>
      <c r="E137" s="7" t="s">
        <v>161</v>
      </c>
      <c r="F137" s="7"/>
      <c r="G137" s="7"/>
      <c r="H137" s="17">
        <v>2</v>
      </c>
    </row>
    <row r="138" spans="2:8" x14ac:dyDescent="0.25">
      <c r="B138" s="7" t="s">
        <v>162</v>
      </c>
      <c r="C138" s="11">
        <v>8000</v>
      </c>
      <c r="E138" s="7" t="s">
        <v>163</v>
      </c>
      <c r="F138" s="7"/>
      <c r="G138" s="7"/>
      <c r="H138" s="11">
        <v>99000</v>
      </c>
    </row>
    <row r="139" spans="2:8" x14ac:dyDescent="0.25">
      <c r="B139" s="7" t="s">
        <v>164</v>
      </c>
      <c r="C139" s="17">
        <v>1</v>
      </c>
      <c r="E139" s="7" t="s">
        <v>165</v>
      </c>
      <c r="F139" s="7"/>
      <c r="G139" s="7"/>
      <c r="H139" s="17">
        <v>52.5</v>
      </c>
    </row>
    <row r="140" spans="2:8" x14ac:dyDescent="0.25">
      <c r="B140" s="7" t="s">
        <v>166</v>
      </c>
      <c r="C140" s="17">
        <v>7.5</v>
      </c>
      <c r="E140" s="7" t="s">
        <v>167</v>
      </c>
      <c r="F140" s="7"/>
      <c r="G140" s="7"/>
      <c r="H140" s="17">
        <v>11.25</v>
      </c>
    </row>
    <row r="141" spans="2:8" x14ac:dyDescent="0.25">
      <c r="B141" s="7" t="s">
        <v>168</v>
      </c>
      <c r="C141" s="11">
        <v>3500000</v>
      </c>
      <c r="E141" s="7" t="s">
        <v>169</v>
      </c>
      <c r="F141" s="7"/>
      <c r="G141" s="7"/>
      <c r="H141" s="17">
        <v>36.25</v>
      </c>
    </row>
    <row r="142" spans="2:8" x14ac:dyDescent="0.25">
      <c r="B142" s="7" t="s">
        <v>170</v>
      </c>
      <c r="C142" s="17">
        <v>20</v>
      </c>
      <c r="E142" s="7" t="s">
        <v>171</v>
      </c>
      <c r="F142" s="7"/>
      <c r="G142" s="7"/>
      <c r="H142" s="17">
        <v>20</v>
      </c>
    </row>
    <row r="143" spans="2:8" x14ac:dyDescent="0.25">
      <c r="B143" s="7" t="s">
        <v>172</v>
      </c>
      <c r="C143" s="11">
        <v>30000000</v>
      </c>
      <c r="E143" s="7" t="s">
        <v>173</v>
      </c>
      <c r="F143" s="7"/>
      <c r="G143" s="7"/>
      <c r="H143" s="17">
        <v>4</v>
      </c>
    </row>
    <row r="144" spans="2:8" x14ac:dyDescent="0.25">
      <c r="B144" s="7" t="s">
        <v>174</v>
      </c>
      <c r="C144" s="17">
        <v>25</v>
      </c>
      <c r="E144" s="7" t="s">
        <v>175</v>
      </c>
      <c r="F144" s="7"/>
      <c r="G144" s="7"/>
      <c r="H144" s="11">
        <v>153250</v>
      </c>
    </row>
    <row r="145" spans="2:8" x14ac:dyDescent="0.25">
      <c r="B145" s="7" t="s">
        <v>176</v>
      </c>
      <c r="C145" s="11">
        <v>440000</v>
      </c>
      <c r="E145" s="7" t="s">
        <v>177</v>
      </c>
      <c r="F145" s="7"/>
      <c r="G145" s="7"/>
      <c r="H145" s="11">
        <v>171300</v>
      </c>
    </row>
    <row r="146" spans="2:3" x14ac:dyDescent="0.25">
      <c r="B146" s="7" t="s">
        <v>178</v>
      </c>
      <c r="C146" s="17">
        <v>40</v>
      </c>
    </row>
    <row r="148" ht="30" customHeight="1" spans="2:7" x14ac:dyDescent="0.25">
      <c r="B148" s="21" t="s">
        <v>179</v>
      </c>
      <c r="C148" s="13" t="s">
        <v>180</v>
      </c>
      <c r="D148" s="13" t="s">
        <v>181</v>
      </c>
      <c r="E148" s="13" t="s">
        <v>182</v>
      </c>
      <c r="G148" s="21" t="s">
        <v>183</v>
      </c>
    </row>
    <row r="149" spans="3:9" x14ac:dyDescent="0.25">
      <c r="C149" s="11">
        <v>0</v>
      </c>
      <c r="D149" s="11">
        <v>0</v>
      </c>
      <c r="E149" s="17">
        <v>18</v>
      </c>
      <c r="G149" s="11">
        <v>0</v>
      </c>
      <c r="H149" s="11">
        <v>0</v>
      </c>
      <c r="I149" s="17">
        <v>0</v>
      </c>
    </row>
    <row r="150" spans="3:9" x14ac:dyDescent="0.25">
      <c r="C150" s="11">
        <v>245100</v>
      </c>
      <c r="D150" s="11">
        <v>44118</v>
      </c>
      <c r="E150" s="17">
        <v>26</v>
      </c>
      <c r="G150" s="11">
        <v>550000</v>
      </c>
      <c r="H150" s="11">
        <v>0</v>
      </c>
      <c r="I150" s="17">
        <v>18</v>
      </c>
    </row>
    <row r="151" spans="3:9" x14ac:dyDescent="0.25">
      <c r="C151" s="11">
        <v>383100</v>
      </c>
      <c r="D151" s="11">
        <v>79998</v>
      </c>
      <c r="E151" s="17">
        <v>31</v>
      </c>
      <c r="G151" s="11">
        <v>770000</v>
      </c>
      <c r="H151" s="11">
        <v>39600</v>
      </c>
      <c r="I151" s="17">
        <v>27</v>
      </c>
    </row>
    <row r="152" spans="3:9" x14ac:dyDescent="0.25">
      <c r="C152" s="11">
        <v>530200</v>
      </c>
      <c r="D152" s="11">
        <v>125599</v>
      </c>
      <c r="E152" s="17">
        <v>36</v>
      </c>
      <c r="G152" s="11">
        <v>1155000</v>
      </c>
      <c r="H152" s="11">
        <v>143550</v>
      </c>
      <c r="I152" s="17">
        <v>36</v>
      </c>
    </row>
    <row r="153" spans="3:5" x14ac:dyDescent="0.25">
      <c r="C153" s="11">
        <v>695800</v>
      </c>
      <c r="D153" s="11">
        <v>185215</v>
      </c>
      <c r="E153" s="17">
        <v>39</v>
      </c>
    </row>
    <row r="154" spans="3:5" x14ac:dyDescent="0.25">
      <c r="C154" s="11">
        <v>887000</v>
      </c>
      <c r="D154" s="11">
        <v>259783</v>
      </c>
      <c r="E154" s="17">
        <v>41</v>
      </c>
    </row>
    <row r="155" spans="3:5" x14ac:dyDescent="0.25">
      <c r="C155" s="11">
        <v>1878600</v>
      </c>
      <c r="D155" s="11">
        <v>666339</v>
      </c>
      <c r="E155" s="17">
        <v>45</v>
      </c>
    </row>
    <row r="156" ht="15" customHeight="1" spans="2:11" x14ac:dyDescent="0.25">
      <c r="B156" s="16" t="s">
        <v>184</v>
      </c>
      <c r="C156" s="16"/>
      <c r="D156" s="16"/>
      <c r="E156" s="16"/>
      <c r="F156" s="16"/>
      <c r="G156" s="16"/>
      <c r="H156" s="16"/>
      <c r="I156" s="16"/>
      <c r="J156" s="16"/>
      <c r="K156" s="16"/>
    </row>
    <row r="158" ht="18" customHeight="1" spans="2:11" x14ac:dyDescent="0.25">
      <c r="B158" s="5" t="s">
        <v>185</v>
      </c>
      <c r="C158" s="6"/>
      <c r="D158" s="6"/>
      <c r="E158" s="6"/>
      <c r="F158" s="6"/>
      <c r="G158" s="6"/>
      <c r="H158" s="6"/>
      <c r="I158" s="6"/>
      <c r="J158" s="6"/>
      <c r="K158" s="6"/>
    </row>
    <row r="159" ht="15" customHeight="1" spans="2:11" x14ac:dyDescent="0.25">
      <c r="B159" s="22">
        <f>IF(SUM(T22:T39)=0,"✓ Every asset taxed on death has a base cost.","✗ "&amp;SUM(T22:T39)&amp;IF(SUM(T22:T39)=1," asset has"," assets have")&amp;" no base cost. Capital gains tax is worked out on the full value (the worst case) until you add it.")</f>
      </c>
      <c r="C159" s="22"/>
      <c r="D159" s="22"/>
      <c r="E159" s="22"/>
      <c r="F159" s="22"/>
      <c r="G159" s="22"/>
      <c r="H159" s="22"/>
      <c r="I159" s="22"/>
      <c r="J159" s="22"/>
      <c r="K159" s="22"/>
    </row>
    <row r="160" ht="15" customHeight="1" spans="2:11" x14ac:dyDescent="0.25">
      <c r="B160" s="22">
        <f>IF(SUMPRODUCT((C22:C39="Crypto")*(E22:E39="")*(D22:D39&gt;0))=0,"",IF(SUMPRODUCT((C22:C39="Crypto")*(E22:E39="")*(D22:D39&gt;0))=1,"● 1 crypto asset has no base cost captured: taken as "&amp;FIXED('Inputs'!$H$135,0)&amp;"% of its value (R "&amp;FIXED(SUMPRODUCT((C22:C39="Crypto")*(E22:E39=""),AM22:AM39),0)&amp;"). Confirm what it cost.","● "&amp;SUMPRODUCT((C22:C39="Crypto")*(E22:E39="")*(D22:D39&gt;0))&amp;" crypto assets have no base cost captured: taken as "&amp;FIXED('Inputs'!$H$135,0)&amp;"% of their value (R "&amp;FIXED(SUMPRODUCT((C22:C39="Crypto")*(E22:E39=""),AM22:AM39),0)&amp;" in all). Confirm what they cost."))</f>
      </c>
      <c r="C160" s="22"/>
      <c r="D160" s="22"/>
      <c r="E160" s="22"/>
      <c r="F160" s="22"/>
      <c r="G160" s="22"/>
      <c r="H160" s="22"/>
      <c r="I160" s="22"/>
      <c r="J160" s="22"/>
      <c r="K160" s="22"/>
    </row>
    <row r="161" ht="15" customHeight="1" spans="2:11" x14ac:dyDescent="0.25">
      <c r="B161" s="22">
        <f>IF('Sale calc'!$C$2=1,IF(SUMPRODUCT(--('Inputs'!$AK$22:$AK$39&gt;0),'Inputs'!$O$22:$O$39)&gt;0,"● The executor sells R "&amp;FIXED(SUMPRODUCT(--('Inputs'!$AK$22:$AK$39&gt;0),'Inputs'!$O$22:$O$39),0)&amp;" of investments to raise the cash (crypto first, then tax free savings, shares and unit trusts, other investments); the rest passes as it is."&amp;IF(SUMPRODUCT(('Inputs'!$AK$22:$AK$39&gt;0)*('Inputs'!$G$22:$G$39&lt;&gt;"Estate (residue)"),'Inputs'!$O$22:$O$39)&gt;0," R "&amp;FIXED(SUMPRODUCT(('Inputs'!$AK$22:$AK$39&gt;0)*('Inputs'!$G$22:$G$39&lt;&gt;"Estate (residue)"),'Inputs'!$O$22:$O$39),0)&amp;" of that is left to the spouse or a named heir in section 2: in law the residue is used before a bequest, so check the will.",""),""),"✗ The executor's sale did not settle (the tax on the sale and the cash needed chase each other). Tell Clinton.")</f>
      </c>
      <c r="C161" s="22"/>
      <c r="D161" s="22"/>
      <c r="E161" s="22"/>
      <c r="F161" s="22"/>
      <c r="G161" s="22"/>
      <c r="H161" s="22"/>
      <c r="I161" s="22"/>
      <c r="J161" s="22"/>
      <c r="K161" s="22"/>
    </row>
    <row r="162" ht="15" customHeight="1" spans="2:11" x14ac:dyDescent="0.25">
      <c r="B162" s="22">
        <f>IF(SUM(W22:W39)=0,"✓ Every asset has a kind and says who it passes to.","✗ "&amp;SUM(W22:W39)&amp;IF(SUM(W22:W39)=1," asset is"," assets are")&amp;" missing its kind or who it passes to.")</f>
      </c>
      <c r="C162" s="22"/>
      <c r="D162" s="22"/>
      <c r="E162" s="22"/>
      <c r="F162" s="22"/>
      <c r="G162" s="22"/>
      <c r="H162" s="22"/>
      <c r="I162" s="22"/>
      <c r="J162" s="22"/>
      <c r="K162" s="22"/>
    </row>
    <row r="163" ht="15" customHeight="1" spans="2:11" x14ac:dyDescent="0.25">
      <c r="B163" s="22">
        <f>IF(AND('Inputs'!$C$14="Spouse",LEFT('Inputs'!$C$13,7)&lt;&gt;"Married",'Inputs'!$C$13&lt;&gt;"Life partner",'Inputs'!$C$13&lt;&gt;"Civil Union"),"✗ The residue goes to a spouse, but the marital status is "&amp;'Inputs'!$C$13&amp;".","✓ Who inherits matches the marital status.")</f>
      </c>
      <c r="C163" s="22"/>
      <c r="D163" s="22"/>
      <c r="E163" s="22"/>
      <c r="F163" s="22"/>
      <c r="G163" s="22"/>
      <c r="H163" s="22"/>
      <c r="I163" s="22"/>
      <c r="J163" s="22"/>
      <c r="K163" s="22"/>
    </row>
    <row r="164" ht="15" customHeight="1" spans="2:11" x14ac:dyDescent="0.25">
      <c r="B164"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64" s="22"/>
      <c r="D164" s="22"/>
      <c r="E164" s="22"/>
      <c r="F164" s="22"/>
      <c r="G164" s="22"/>
      <c r="H164" s="22"/>
      <c r="I164" s="22"/>
      <c r="J164" s="22"/>
      <c r="K164" s="22"/>
    </row>
    <row r="165" ht="15" customHeight="1" spans="2:11" x14ac:dyDescent="0.25">
      <c r="B165" s="22">
        <f>IF((COUNTIF(S22:S39,"&gt;0")+COUNTIF(L59:L70,"&gt;0")+COUNTIF(O76:O81,"&gt;0"))&gt;6,"● "&amp;(COUNTIF(S22:S39,"&gt;0")+COUNTIF(L59:L70,"&gt;0")+COUNTIF(O76:O81,"&gt;0"))&amp;" named people pay estate duty: Workings lists the first 6; the total includes them all.","✓ Every named person who pays estate duty is listed on Workings.")</f>
      </c>
      <c r="C165" s="22"/>
      <c r="D165" s="22"/>
      <c r="E165" s="22"/>
      <c r="F165" s="22"/>
      <c r="G165" s="22"/>
      <c r="H165" s="22"/>
      <c r="I165" s="22"/>
      <c r="J165" s="22"/>
      <c r="K165" s="22"/>
    </row>
    <row r="166" ht="15" customHeight="1" spans="2:11" x14ac:dyDescent="0.25">
      <c r="B166"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66" s="22"/>
      <c r="D166" s="22"/>
      <c r="E166" s="22"/>
      <c r="F166" s="22"/>
      <c r="G166" s="22"/>
      <c r="H166" s="22"/>
      <c r="I166" s="22"/>
      <c r="J166" s="22"/>
      <c r="K166" s="22"/>
    </row>
    <row r="167" ht="15" customHeight="1" spans="2:11" x14ac:dyDescent="0.25">
      <c r="B167" s="22">
        <f>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SUMPRODUCT(--(B114:I121&lt;&gt;AA114:AH121)))=0,"✓ Everything in sections 1 to 6 matches the CRM.","● "&amp;((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SUMPRODUCT(--(B114:I121&lt;&gt;AA114:AH121)))&amp;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SUMPRODUCT(--(B114:I121&lt;&gt;AA114:AH121)))=1," cell differs"," cells differ")&amp;" from the CRM (orange): update the CRM if they are facts, not a what-if.")</f>
      </c>
      <c r="C167" s="22"/>
      <c r="D167" s="22"/>
      <c r="E167" s="22"/>
      <c r="F167" s="22"/>
      <c r="G167" s="22"/>
      <c r="H167" s="22"/>
      <c r="I167" s="22"/>
      <c r="J167" s="22"/>
      <c r="K167" s="22"/>
    </row>
    <row r="168" ht="15" customHeight="1" spans="2:11" x14ac:dyDescent="0.25">
      <c r="B168"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68" s="22"/>
      <c r="D168" s="22"/>
      <c r="E168" s="22"/>
      <c r="F168" s="22"/>
      <c r="G168" s="22"/>
      <c r="H168" s="22"/>
      <c r="I168" s="22"/>
      <c r="J168" s="22"/>
      <c r="K168" s="22"/>
    </row>
    <row r="169" ht="15" customHeight="1" spans="2:11" x14ac:dyDescent="0.25">
      <c r="B169"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69" s="22"/>
      <c r="D169" s="22"/>
      <c r="E169" s="22"/>
      <c r="F169" s="22"/>
      <c r="G169" s="22"/>
      <c r="H169" s="22"/>
      <c r="I169" s="22"/>
      <c r="J169" s="22"/>
      <c r="K169" s="22"/>
    </row>
    <row r="170" ht="15" customHeight="1" spans="2:11" x14ac:dyDescent="0.25">
      <c r="B170" s="22">
        <f>IF(SUM(L114:L121)&gt;0,"✗ "&amp;SUM(L114:L121)&amp;" income line(s) in section 6b without the amount a month, without who it is for, or for someone not in section 6.",IF(SUMPRODUCT(--(((B114:B121&lt;&gt;"")+(D114:D121&lt;&gt;""))&gt;0))&gt;0,"● "&amp;SUMPRODUCT(--(((B114:B121&lt;&gt;"")+(D114:D121&lt;&gt;""))&gt;0))&amp;" income line(s) in section 6b are set against a need, so the cover is sized on what is left after them. Check that each one really continues if your client dies.",""))</f>
      </c>
      <c r="C170" s="22"/>
      <c r="D170" s="22"/>
      <c r="E170" s="22"/>
      <c r="F170" s="22"/>
      <c r="G170" s="22"/>
      <c r="H170" s="22"/>
      <c r="I170" s="22"/>
      <c r="J170" s="22"/>
      <c r="K170" s="22"/>
    </row>
    <row r="171" ht="15" customHeight="1" spans="2:11" x14ac:dyDescent="0.25">
      <c r="B171" s="22">
        <f>IF(SUM(V100:V105)&gt;0,"✗ "&amp;SUM(V100:V105)&amp;" person(s) in section 6 marked as provided for by the spouse cannot be: only a child who is not in a trust, with the spouse in section 6, is added to the spouse's need. Their need is costed on its own.",IF(SUM(U100:U105)&gt;0,"● "&amp;SUM(U100:U105)&amp;IF(SUM(U100:U105)=1," child is"," children are")&amp;" provided for by the spouse: their needs are added to the spouse's (each for its own years), paid from what reaches the spouse, and the spouse's new cover closes the gap.",""))</f>
      </c>
      <c r="C171" s="22"/>
      <c r="D171" s="22"/>
      <c r="E171" s="22"/>
      <c r="F171" s="22"/>
      <c r="G171" s="22"/>
      <c r="H171" s="22"/>
      <c r="I171" s="22"/>
      <c r="J171" s="22"/>
      <c r="K171" s="22"/>
    </row>
    <row r="172" hidden="1" spans="2:2" x14ac:dyDescent="0.25">
      <c r="B172" t="s">
        <v>186</v>
      </c>
    </row>
    <row r="173" ht="15" customHeight="1" spans="2:11" x14ac:dyDescent="0.25">
      <c r="B173" s="23"/>
      <c r="C173" s="23"/>
      <c r="D173" s="23"/>
      <c r="E173" s="23"/>
      <c r="F173" s="23"/>
      <c r="G173" s="23"/>
      <c r="H173" s="23"/>
      <c r="I173" s="23"/>
      <c r="J173" s="23"/>
      <c r="K173" s="23"/>
    </row>
    <row r="174" ht="15" customHeight="1" spans="2:11" x14ac:dyDescent="0.25">
      <c r="B174" s="23"/>
      <c r="C174" s="23"/>
      <c r="D174" s="23"/>
      <c r="E174" s="23"/>
      <c r="F174" s="23"/>
      <c r="G174" s="23"/>
      <c r="H174" s="23"/>
      <c r="I174" s="23"/>
      <c r="J174" s="23"/>
      <c r="K174" s="23"/>
    </row>
    <row r="175" ht="15" customHeight="1" spans="2:11" x14ac:dyDescent="0.25">
      <c r="B175" s="23"/>
      <c r="C175" s="23"/>
      <c r="D175" s="23"/>
      <c r="E175" s="23"/>
      <c r="F175" s="23"/>
      <c r="G175" s="23"/>
      <c r="H175" s="23"/>
      <c r="I175" s="23"/>
      <c r="J175" s="23"/>
      <c r="K175" s="23"/>
    </row>
    <row r="176" ht="15" customHeight="1" spans="2:11" x14ac:dyDescent="0.25">
      <c r="B176" s="23"/>
      <c r="C176" s="23"/>
      <c r="D176" s="23"/>
      <c r="E176" s="23"/>
      <c r="F176" s="23"/>
      <c r="G176" s="23"/>
      <c r="H176" s="23"/>
      <c r="I176" s="23"/>
      <c r="J176" s="23"/>
      <c r="K176" s="23"/>
    </row>
    <row r="177" ht="15" customHeight="1" spans="2:11" x14ac:dyDescent="0.25">
      <c r="B177" s="23"/>
      <c r="C177" s="23"/>
      <c r="D177" s="23"/>
      <c r="E177" s="23"/>
      <c r="F177" s="23"/>
      <c r="G177" s="23"/>
      <c r="H177" s="23"/>
      <c r="I177" s="23"/>
      <c r="J177" s="23"/>
      <c r="K177" s="23"/>
    </row>
    <row r="178" ht="15" customHeight="1" spans="2:11" x14ac:dyDescent="0.25">
      <c r="B178" s="23"/>
      <c r="C178" s="23"/>
      <c r="D178" s="23"/>
      <c r="E178" s="23"/>
      <c r="F178" s="23"/>
      <c r="G178" s="23"/>
      <c r="H178" s="23"/>
      <c r="I178" s="23"/>
      <c r="J178" s="23"/>
      <c r="K178" s="23"/>
    </row>
    <row r="179" ht="15" customHeight="1" spans="2:11" x14ac:dyDescent="0.25">
      <c r="B179" s="23"/>
      <c r="C179" s="23"/>
      <c r="D179" s="23"/>
      <c r="E179" s="23"/>
      <c r="F179" s="23"/>
      <c r="G179" s="23"/>
      <c r="H179" s="23"/>
      <c r="I179" s="23"/>
      <c r="J179" s="23"/>
      <c r="K179" s="23"/>
    </row>
    <row r="180" ht="15" customHeight="1" spans="2:11" x14ac:dyDescent="0.25">
      <c r="B180" s="23"/>
      <c r="C180" s="23"/>
      <c r="D180" s="23"/>
      <c r="E180" s="23"/>
      <c r="F180" s="23"/>
      <c r="G180" s="23"/>
      <c r="H180" s="23"/>
      <c r="I180" s="23"/>
      <c r="J180" s="23"/>
      <c r="K180" s="23"/>
    </row>
    <row r="181" ht="15" customHeight="1" spans="2:11" x14ac:dyDescent="0.25">
      <c r="B181" s="23"/>
      <c r="C181" s="23"/>
      <c r="D181" s="23"/>
      <c r="E181" s="23"/>
      <c r="F181" s="23"/>
      <c r="G181" s="23"/>
      <c r="H181" s="23"/>
      <c r="I181" s="23"/>
      <c r="J181" s="23"/>
      <c r="K181" s="23"/>
    </row>
    <row r="182" ht="15" customHeight="1" spans="2:11" x14ac:dyDescent="0.25">
      <c r="B182" s="23"/>
      <c r="C182" s="23"/>
      <c r="D182" s="23"/>
      <c r="E182" s="23"/>
      <c r="F182" s="23"/>
      <c r="G182" s="23"/>
      <c r="H182" s="23"/>
      <c r="I182" s="23"/>
      <c r="J182" s="23"/>
      <c r="K182" s="23"/>
    </row>
    <row r="183" ht="15" customHeight="1" spans="2:11" x14ac:dyDescent="0.25">
      <c r="B183" s="23"/>
      <c r="C183" s="23"/>
      <c r="D183" s="23"/>
      <c r="E183" s="23"/>
      <c r="F183" s="23"/>
      <c r="G183" s="23"/>
      <c r="H183" s="23"/>
      <c r="I183" s="23"/>
      <c r="J183" s="23"/>
      <c r="K183" s="23"/>
    </row>
    <row r="184" ht="15" customHeight="1" spans="2:11" x14ac:dyDescent="0.25">
      <c r="B184" s="23"/>
      <c r="C184" s="23"/>
      <c r="D184" s="23"/>
      <c r="E184" s="23"/>
      <c r="F184" s="23"/>
      <c r="G184" s="23"/>
      <c r="H184" s="23"/>
      <c r="I184" s="23"/>
      <c r="J184" s="23"/>
      <c r="K184" s="23"/>
    </row>
    <row r="185" ht="15" customHeight="1" spans="2:11" x14ac:dyDescent="0.25">
      <c r="B185" s="23"/>
      <c r="C185" s="23"/>
      <c r="D185" s="23"/>
      <c r="E185" s="23"/>
      <c r="F185" s="23"/>
      <c r="G185" s="23"/>
      <c r="H185" s="23"/>
      <c r="I185" s="23"/>
      <c r="J185" s="23"/>
      <c r="K185" s="23"/>
    </row>
    <row r="186" ht="15" customHeight="1" spans="2:11" x14ac:dyDescent="0.25">
      <c r="B186" s="23"/>
      <c r="C186" s="23"/>
      <c r="D186" s="23"/>
      <c r="E186" s="23"/>
      <c r="F186" s="23"/>
      <c r="G186" s="23"/>
      <c r="H186" s="23"/>
      <c r="I186" s="23"/>
      <c r="J186" s="23"/>
      <c r="K186" s="23"/>
    </row>
  </sheetData>
  <sheetProtection sheet="1" formatRows="0"/>
  <mergeCells count="84">
    <mergeCell ref="B1:K1"/>
    <mergeCell ref="B2:K2"/>
    <mergeCell ref="C8:E8"/>
    <mergeCell ref="C9:E9"/>
    <mergeCell ref="C10:E10"/>
    <mergeCell ref="C11:E11"/>
    <mergeCell ref="C12:E12"/>
    <mergeCell ref="C13:E13"/>
    <mergeCell ref="C14:E14"/>
    <mergeCell ref="C15:I15"/>
    <mergeCell ref="C16:E16"/>
    <mergeCell ref="C17:I17"/>
    <mergeCell ref="B40:K40"/>
    <mergeCell ref="F58:H58"/>
    <mergeCell ref="F59:H59"/>
    <mergeCell ref="F60:H60"/>
    <mergeCell ref="F61:H61"/>
    <mergeCell ref="F62:H62"/>
    <mergeCell ref="F63:H63"/>
    <mergeCell ref="F64:H64"/>
    <mergeCell ref="F65:H65"/>
    <mergeCell ref="F66:H66"/>
    <mergeCell ref="F67:H67"/>
    <mergeCell ref="F68:H68"/>
    <mergeCell ref="F69:H69"/>
    <mergeCell ref="F70:H70"/>
    <mergeCell ref="B71:K71"/>
    <mergeCell ref="B82:K82"/>
    <mergeCell ref="F86:H86"/>
    <mergeCell ref="F87:H87"/>
    <mergeCell ref="F88:H88"/>
    <mergeCell ref="F89:H89"/>
    <mergeCell ref="F90:H90"/>
    <mergeCell ref="F91:H91"/>
    <mergeCell ref="F92:H92"/>
    <mergeCell ref="F93:H93"/>
    <mergeCell ref="F94:H94"/>
    <mergeCell ref="B95:K95"/>
    <mergeCell ref="C106:E106"/>
    <mergeCell ref="C107:E107"/>
    <mergeCell ref="C108:E108"/>
    <mergeCell ref="B109:K109"/>
    <mergeCell ref="B122:K122"/>
    <mergeCell ref="B131:K131"/>
    <mergeCell ref="E134:G134"/>
    <mergeCell ref="E135:G135"/>
    <mergeCell ref="E136:G136"/>
    <mergeCell ref="E137:G137"/>
    <mergeCell ref="E138:G138"/>
    <mergeCell ref="E139:G139"/>
    <mergeCell ref="E140:G140"/>
    <mergeCell ref="E141:G141"/>
    <mergeCell ref="E142:G142"/>
    <mergeCell ref="E143:G143"/>
    <mergeCell ref="E144:G144"/>
    <mergeCell ref="E145:G145"/>
    <mergeCell ref="B156:K156"/>
    <mergeCell ref="B159:K159"/>
    <mergeCell ref="B160:K160"/>
    <mergeCell ref="B161:K161"/>
    <mergeCell ref="B162:K162"/>
    <mergeCell ref="B163:K163"/>
    <mergeCell ref="B164:K164"/>
    <mergeCell ref="B165:K165"/>
    <mergeCell ref="B166:K166"/>
    <mergeCell ref="B167:K167"/>
    <mergeCell ref="B168:K168"/>
    <mergeCell ref="B169:K169"/>
    <mergeCell ref="B170:K170"/>
    <mergeCell ref="B171:K171"/>
    <mergeCell ref="B173:K173"/>
    <mergeCell ref="B174:K174"/>
    <mergeCell ref="B175:K175"/>
    <mergeCell ref="B176:K176"/>
    <mergeCell ref="B177:K177"/>
    <mergeCell ref="B178:K178"/>
    <mergeCell ref="B179:K179"/>
    <mergeCell ref="B180:K180"/>
    <mergeCell ref="B181:K181"/>
    <mergeCell ref="B182:K182"/>
    <mergeCell ref="B183:K183"/>
    <mergeCell ref="B184:K184"/>
    <mergeCell ref="B185:K185"/>
    <mergeCell ref="B186:K186"/>
  </mergeCells>
  <conditionalFormatting sqref="B159:K186">
    <cfRule type="expression" dxfId="0" priority="1">
      <formula>LEFT($B159,1)="✗"</formula>
    </cfRule>
    <cfRule type="expression" dxfId="1" priority="2">
      <formula>LEFT($B159,1)="✓"</formula>
    </cfRule>
    <cfRule type="expression" dxfId="2" priority="3">
      <formula>LEFT($B159,1)="●"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C108">
    <cfRule type="expression" dxfId="14" priority="15">
      <formula>C108&lt;&gt;AB108</formula>
    </cfRule>
  </conditionalFormatting>
  <conditionalFormatting sqref="B22:I39">
    <cfRule type="expression" dxfId="15" priority="16">
      <formula>B22&lt;&gt;AA22</formula>
    </cfRule>
  </conditionalFormatting>
  <conditionalFormatting sqref="B45:I54">
    <cfRule type="expression" dxfId="16" priority="17">
      <formula>B45&lt;&gt;AA45</formula>
    </cfRule>
  </conditionalFormatting>
  <conditionalFormatting sqref="B59:I70">
    <cfRule type="expression" dxfId="17" priority="18">
      <formula>B59&lt;&gt;AA59</formula>
    </cfRule>
  </conditionalFormatting>
  <conditionalFormatting sqref="B76:I81">
    <cfRule type="expression" dxfId="18" priority="19">
      <formula>B76&lt;&gt;AA76</formula>
    </cfRule>
  </conditionalFormatting>
  <conditionalFormatting sqref="B87:I94">
    <cfRule type="expression" dxfId="19" priority="20">
      <formula>B87&lt;&gt;AA87</formula>
    </cfRule>
  </conditionalFormatting>
  <conditionalFormatting sqref="B100:K105">
    <cfRule type="expression" dxfId="20" priority="21">
      <formula>B100&lt;&gt;AA100</formula>
    </cfRule>
  </conditionalFormatting>
  <conditionalFormatting sqref="B114:I121">
    <cfRule type="expression" dxfId="21" priority="22">
      <formula>B114&lt;&gt;AA114</formula>
    </cfRule>
  </conditionalFormatting>
  <conditionalFormatting sqref="C11:C12">
    <cfRule type="expression" dxfId="22" priority="23">
      <formula>AND(C11&lt;&gt;"",NOT(ISNUMBER(C11)))</formula>
    </cfRule>
  </conditionalFormatting>
  <dataValidations count="59">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type="list" allowBlank="1" showErrorMessage="1" errorStyle="stop" errorTitle="Please choose from the list" error="Please choose one of the options in the list." sqref="C108">
      <formula1>'Lists'!$I$2:$I$3</formula1>
    </dataValidation>
    <dataValidation showInputMessage="1" promptTitle="Date" prompt="Type a date like 2026-10-17 or 17 Oct 2026. If the cell turns red, Excel did not read it as a date: retype it." sqref="C11:C12"/>
    <dataValidation type="list" allowBlank="1" showErrorMessage="1" errorStyle="stop" errorTitle="Please choose from the list" error="Choose one of the people in section 6, or leave it blank." sqref="C114:C121">
      <formula1>QF_L_dep</formula1>
    </dataValidation>
    <dataValidation type="decimal" allowBlank="1" showErrorMessage="1" errorStyle="stop" errorTitle="Percentage" error="Please type the percentage as a plain number, e.g. 2.92 for 2.92%. Do not add the % sign." sqref="C126">
      <formula1>0</formula1>
      <formula2>100</formula2>
    </dataValidation>
    <dataValidation type="decimal" operator="greaterThanOrEqual" allowBlank="1" showErrorMessage="1" errorStyle="stop" errorTitle="Amount" error="Please type the amount in rand as a number, without R or spaces, e.g. 1250000." sqref="C127">
      <formula1>0</formula1>
    </dataValidation>
    <dataValidation type="decimal" allowBlank="1" showErrorMessage="1" errorStyle="stop" errorTitle="Percentage" error="Please type the percentage as a plain number, e.g. 2.92 for 2.92%. Do not add the % sign." sqref="C128">
      <formula1>0</formula1>
      <formula2>100</formula2>
    </dataValidation>
    <dataValidation type="decimal" operator="greaterThanOrEqual" allowBlank="1" showErrorMessage="1" errorStyle="stop" errorTitle="Amount" error="Please type the amount in rand as a number, without R or spaces, e.g. 1250000." sqref="C129:C130">
      <formula1>0</formula1>
    </dataValidation>
    <dataValidation type="list" allowBlank="1" showErrorMessage="1" errorStyle="stop" errorTitle="Please choose from the list" error="Please choose one of the options in the list." sqref="C13">
      <formula1>'Lists'!$J$2:$J$12</formula1>
    </dataValidation>
    <dataValidation type="decimal" allowBlank="1" showErrorMessage="1" errorStyle="stop" errorTitle="Percentage" error="Please type the percentage as a plain number, e.g. 2.92 for 2.92%. Do not add the % sign." sqref="C134:C135">
      <formula1>0</formula1>
      <formula2>100</formula2>
    </dataValidation>
    <dataValidation type="decimal" operator="greaterThanOrEqual" allowBlank="1" showErrorMessage="1" errorStyle="stop" errorTitle="Amount" error="Please type the amount in rand as a number, without R or spaces, e.g. 1250000." sqref="C136:C138">
      <formula1>0</formula1>
    </dataValidation>
    <dataValidation type="decimal" allowBlank="1" showErrorMessage="1" errorStyle="stop" errorTitle="Percentage" error="Please type the percentage as a plain number, e.g. 2.92 for 2.92%. Do not add the % sign." sqref="C139:C140">
      <formula1>0</formula1>
      <formula2>100</formula2>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41">
      <formula1>0</formula1>
    </dataValidation>
    <dataValidation type="decimal" allowBlank="1" showErrorMessage="1" errorStyle="stop" errorTitle="Percentage" error="Please type the percentage as a plain number, e.g. 2.92 for 2.92%. Do not add the % sign." sqref="C142">
      <formula1>0</formula1>
      <formula2>100</formula2>
    </dataValidation>
    <dataValidation type="decimal" operator="greaterThanOrEqual" allowBlank="1" showErrorMessage="1" errorStyle="stop" errorTitle="Amount" error="Please type the amount in rand as a number, without R or spaces, e.g. 1250000." sqref="C143">
      <formula1>0</formula1>
    </dataValidation>
    <dataValidation type="decimal" allowBlank="1" showErrorMessage="1" errorStyle="stop" errorTitle="Percentage" error="Please type the percentage as a plain number, e.g. 2.92 for 2.92%. Do not add the % sign." sqref="C144">
      <formula1>0</formula1>
      <formula2>100</formula2>
    </dataValidation>
    <dataValidation type="decimal" operator="greaterThanOrEqual" allowBlank="1" showErrorMessage="1" errorStyle="stop" errorTitle="Amount" error="Please type the amount in rand as a number, without R or spaces, e.g. 1250000." sqref="C145">
      <formula1>0</formula1>
    </dataValidation>
    <dataValidation type="decimal" allowBlank="1" showErrorMessage="1" errorStyle="stop" errorTitle="Percentage" error="Please type the percentage as a plain number, e.g. 2.92 for 2.92%. Do not add the % sign." sqref="C146">
      <formula1>0</formula1>
      <formula2>100</formula2>
    </dataValidation>
    <dataValidation type="decimal" operator="greaterThanOrEqual" allowBlank="1" showErrorMessage="1" errorStyle="stop" errorTitle="Amount" error="Please type the amount in rand as a number, without R or spaces, e.g. 1250000." sqref="C149:D155">
      <formula1>0</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'Lists'!$A$2:$A$10</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114:D121">
      <formula1>0</formula1>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14:E121">
      <formula1>0</formula1>
      <formula2>100</formula2>
    </dataValidation>
    <dataValidation type="decimal" allowBlank="1" showErrorMessage="1" errorStyle="stop" errorTitle="Percentage" error="Please type the percentage as a plain number, e.g. 2.92 for 2.92%. Do not add the % sign." sqref="E149:E155">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whole" allowBlank="1" showErrorMessage="1" errorStyle="stop" errorTitle="Months" error="Please type the number of monthly payments as a whole number, e.g. 130." sqref="F114:G121">
      <formula1>0</formula1>
      <formula2>1200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49:H152">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operator="greaterThanOrEqual" allowBlank="1" showErrorMessage="1" errorStyle="stop" errorTitle="Amount" error="Please type the amount in rand as a number, without R or spaces, e.g. 1250000." sqref="H134">
      <formula1>0</formula1>
    </dataValidation>
    <dataValidation type="decimal" allowBlank="1" showErrorMessage="1" errorStyle="stop" errorTitle="Percentage" error="Please type the percentage as a plain number, e.g. 2.92 for 2.92%. Do not add the % sign." sqref="H135:H137">
      <formula1>0</formula1>
      <formula2>100</formula2>
    </dataValidation>
    <dataValidation type="decimal" operator="greaterThanOrEqual" allowBlank="1" showErrorMessage="1" errorStyle="stop" errorTitle="Amount" error="Please type the amount in rand as a number, without R or spaces, e.g. 1250000." sqref="H138">
      <formula1>0</formula1>
    </dataValidation>
    <dataValidation type="decimal" allowBlank="1" showErrorMessage="1" errorStyle="stop" errorTitle="Percentage" error="Please type the percentage as a plain number, e.g. 2.92 for 2.92%. Do not add the % sign." sqref="H139:H143">
      <formula1>0</formula1>
      <formula2>100</formula2>
    </dataValidation>
    <dataValidation type="decimal" operator="greaterThanOrEqual" allowBlank="1" showErrorMessage="1" errorStyle="stop" errorTitle="Amount" error="Please type the amount in rand as a number, without R or spaces, e.g. 1250000." sqref="H144:H145">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49:I152">
      <formula1>0</formula1>
      <formula2>100</formula2>
    </dataValidation>
    <dataValidation type="list" allowBlank="1" showErrorMessage="1" errorStyle="stop" errorTitle="Please choose from the list" error="Please choose one of the options in the list." sqref="K100:K105">
      <formula1>'Lists'!$D$2:$D$3</formula1>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53</v>
      </c>
      <c r="C1" s="1"/>
      <c r="D1" s="1"/>
    </row>
    <row r="2" ht="15" customHeight="1" spans="2:4" x14ac:dyDescent="0.25">
      <c r="B2" s="2" t="s">
        <v>54</v>
      </c>
      <c r="C2" s="2"/>
      <c r="D2" s="2"/>
    </row>
    <row r="3" spans="2:4" x14ac:dyDescent="0.25">
      <c r="B3" s="24">
        <f>IF(OR(COUNTIF('Inputs'!$B$173:$B$186,"✗ Full FNA*")&gt;0,LEFT('Inputs'!$B$162,1)="✗"),"NOT FOR THE CLIENT: this case needs the full FNA (see Checks on Inputs)","")</f>
      </c>
      <c r="C3" s="24"/>
      <c r="D3" s="24"/>
    </row>
    <row r="4" ht="20" customHeight="1" spans="2:2" x14ac:dyDescent="0.25">
      <c r="B4" s="3" t="s">
        <v>187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"&amp;FIXED(('Workings'!$C$61)/1000000,2)&amp;" million"&amp;IF('Workings'!$C$64&gt;0,", and your debts of R "&amp;FIXED(('Workings'!$C$64)/1000000,2)&amp;" million have to be paid too","")&amp;". Your executor would have R "&amp;FIXED(('Workings'!$C$73)/1000000,2)&amp;" million in cash, so "&amp;IF('Workings'!$C$74&gt;0,"would be short by about R "&amp;FIXED(('Workings'!$C$74)/1000000,2)&amp;" million.",IF('Workings'!$C$75&gt;0,"would have enough, with about R "&amp;FIXED(ROUND('Workings'!$C$75,-3),0)&amp;" left over.","would have enough, but only by selling about R "&amp;FIXED(ROUND('Workings'!$C$67,-3),0)&amp;" of your investments."))</f>
      </c>
      <c r="C7" s="25"/>
      <c r="D7" s="25"/>
    </row>
    <row r="8" ht="44" customHeight="1" spans="2:4" x14ac:dyDescent="0.25">
      <c r="B8" s="25">
        <f>IF(AND(ISNUMBER('Inputs'!$C$126),'Inputs'!$C$126&gt;0),"With a Capital Legacy will and the Legacy Protection Plan, the plan pays about R "&amp;FIXED(ROUND(-'Workings'!$D$62,-3),0)&amp;" of the executor's and conveyancing fees, "&amp;IF('Workings'!$D$74=0,IF('Workings'!$C$74&gt;0,"the shortfall disappears","your executor still has enough"),"the shortfall falls to about R "&amp;FIXED(ROUND('Workings'!$D$74,-3),0))&amp;", and your heirs receive about R "&amp;FIXED(('Workings'!$D$76-'Workings'!$C$76)/1000000,2)&amp;" million more.","")</f>
      </c>
      <c r="C8" s="25"/>
      <c r="D8" s="25"/>
    </row>
    <row r="10" spans="2:4" x14ac:dyDescent="0.25">
      <c r="B10" s="26">
        <f>IF('Workings'!$C$74&gt;0,"YOUR EXECUTOR'S CASH SHORTFALL TODAY",IF(AND('Workings'!$C$75=0,'Workings'!$C$67&gt;0),"INVESTMENTS YOUR EXECUTOR SELLS TODAY","CASH LEFT OVER FOR YOUR EXECUTOR TODAY"))</f>
      </c>
      <c r="C10" s="26"/>
      <c r="D10" s="26"/>
    </row>
    <row r="11" ht="28" customHeight="1" spans="2:4" x14ac:dyDescent="0.25">
      <c r="B11" s="27">
        <f>"R "&amp;FIXED(ROUND(IF('Workings'!$C$74&gt;0,'Workings'!$C$74,IF(AND('Workings'!$C$75=0,'Workings'!$C$67&gt;0),'Workings'!$C$67,'Workings'!$C$75)),-3),0)</f>
      </c>
      <c r="C11" s="27"/>
      <c r="D11" s="27"/>
    </row>
    <row r="12" spans="2:4" x14ac:dyDescent="0.25">
      <c r="B12" s="28">
        <f>IF('Workings'!$C$74&gt;0,"the cash that has to be found before your estate can be wound up",IF(AND('Workings'!$C$75=0,'Workings'!$C$67&gt;0),"sold to pay your debts and costs; the rest passes to your heirs as it is","what is left once the costs are paid"))</f>
      </c>
      <c r="C12" s="28"/>
      <c r="D12" s="28"/>
    </row>
    <row r="14" ht="42" customHeight="1" spans="2:4" x14ac:dyDescent="0.25">
      <c r="B14" s="12" t="s">
        <v>188</v>
      </c>
      <c r="C14" s="13" t="s">
        <v>189</v>
      </c>
      <c r="D14" s="13">
        <f>IF(AND(ISNUMBER('Inputs'!$C$126),'Inputs'!$C$126&gt;0),"With a Capital Legacy will and the Legacy Protection Plan","Capital Legacy column: enter the quote on Inputs")</f>
      </c>
    </row>
    <row r="15" spans="2:4" x14ac:dyDescent="0.25">
      <c r="B15" s="7" t="s">
        <v>190</v>
      </c>
      <c r="C15" s="15">
        <f>'Workings'!$C$60</f>
      </c>
      <c r="D15" s="15">
        <f>IF(AND(ISNUMBER('Inputs'!$C$126),'Inputs'!$C$126&gt;0),'Workings'!$D$60,"")</f>
      </c>
    </row>
    <row r="16" spans="2:4" x14ac:dyDescent="0.25">
      <c r="B16" s="7" t="s">
        <v>191</v>
      </c>
      <c r="C16" s="15">
        <f>'Workings'!$C$59</f>
      </c>
      <c r="D16" s="15">
        <f>IF(AND(ISNUMBER('Inputs'!$C$126),'Inputs'!$C$126&gt;0),'Workings'!$D$59,"")</f>
      </c>
    </row>
    <row r="17" ht="27" customHeight="1" spans="2:4" x14ac:dyDescent="0.25">
      <c r="B17" s="29">
        <f>"Executor's fees"&amp;CHAR(10)&amp;IF(ROUND('Inputs'!$C$134,0)='Inputs'!$C$134,FIXED('Inputs'!$C$134,0),IF(ROUND('Inputs'!$C$134,1)='Inputs'!$C$134,FIXED('Inputs'!$C$134,1),FIXED('Inputs'!$C$134,2)))&amp;"%"&amp;" plus VAT"&amp;IF(AND(ISNUMBER('Inputs'!$C$126),'Inputs'!$C$126&gt;0)," / Capital Legacy "&amp;IF(ROUND('Inputs'!$C$126,0)='Inputs'!$C$126,FIXED('Inputs'!$C$126,0),IF(ROUND('Inputs'!$C$126,1)='Inputs'!$C$126,FIXED('Inputs'!$C$126,1),FIXED('Inputs'!$C$126,2)))&amp;"%"&amp;" plus VAT","")</f>
      </c>
      <c r="C17" s="15">
        <f>'Workings'!$C$56</f>
      </c>
      <c r="D17" s="15">
        <f>IF(AND(ISNUMBER('Inputs'!$C$126),'Inputs'!$C$126&gt;0),'Workings'!$D$56,"")</f>
      </c>
    </row>
    <row r="18" ht="27" customHeight="1" spans="2:4" x14ac:dyDescent="0.25">
      <c r="B18" s="29">
        <f>"Property transfer and conveyancing"&amp;CHAR(10)&amp;IF(ROUND('Inputs'!$C$139,0)='Inputs'!$C$139,FIXED('Inputs'!$C$139,0),IF(ROUND('Inputs'!$C$139,1)='Inputs'!$C$139,FIXED('Inputs'!$C$139,1),FIXED('Inputs'!$C$139,2)))&amp;"%"&amp;" of value"&amp;IF(AND(ISNUMBER('Inputs'!$C$126),'Inputs'!$C$126&gt;0)," / Capital Legacy's estimate","")</f>
      </c>
      <c r="C18" s="15">
        <f>'Workings'!$C$57</f>
      </c>
      <c r="D18" s="15">
        <f>IF(AND(ISNUMBER('Inputs'!$C$126),'Inputs'!$C$126&gt;0),'Workings'!$D$57,"")</f>
      </c>
    </row>
    <row r="19" spans="2:4" x14ac:dyDescent="0.25">
      <c r="B19" s="7" t="s">
        <v>192</v>
      </c>
      <c r="C19" s="15">
        <f>'Workings'!$C$58</f>
      </c>
      <c r="D19" s="15">
        <f>IF(AND(ISNUMBER('Inputs'!$C$126),'Inputs'!$C$126&gt;0),'Workings'!$D$58,"")</f>
      </c>
    </row>
    <row r="20" spans="2:4" x14ac:dyDescent="0.25">
      <c r="B20" s="7" t="s">
        <v>193</v>
      </c>
      <c r="C20" s="15">
        <f>'Workings'!$C$55</f>
      </c>
      <c r="D20" s="15">
        <f>IF(AND(ISNUMBER('Inputs'!$C$126),'Inputs'!$C$126&gt;0),'Workings'!$D$55,"")</f>
      </c>
    </row>
    <row r="21" spans="2:4" x14ac:dyDescent="0.25">
      <c r="B21" s="30" t="s">
        <v>194</v>
      </c>
      <c r="C21" s="31">
        <f>'Workings'!$C$61</f>
      </c>
      <c r="D21" s="31">
        <f>IF(AND(ISNUMBER('Inputs'!$C$126),'Inputs'!$C$126&gt;0),'Workings'!$D$61,"")</f>
      </c>
    </row>
    <row r="22" spans="2:4" x14ac:dyDescent="0.25">
      <c r="B22" s="7" t="s">
        <v>195</v>
      </c>
      <c r="C22" s="15">
        <f>-'Workings'!$C$62</f>
      </c>
      <c r="D22" s="15">
        <f>IF(AND(ISNUMBER('Inputs'!$C$126),'Inputs'!$C$126&gt;0),-'Workings'!$D$62,"")</f>
      </c>
    </row>
    <row r="23" spans="2:4" x14ac:dyDescent="0.25">
      <c r="B23" s="30" t="s">
        <v>196</v>
      </c>
      <c r="C23" s="31">
        <f>'Workings'!$C$63</f>
      </c>
      <c r="D23" s="31">
        <f>IF(AND(ISNUMBER('Inputs'!$C$126),'Inputs'!$C$126&gt;0),'Workings'!$D$63,"")</f>
      </c>
    </row>
    <row r="24" spans="2:4" x14ac:dyDescent="0.25">
      <c r="B24" s="7" t="s">
        <v>197</v>
      </c>
      <c r="C24" s="15">
        <f>'Workings'!$C$64</f>
      </c>
      <c r="D24" s="15">
        <f>IF(AND(ISNUMBER('Inputs'!$C$126),'Inputs'!$C$126&gt;0),'Workings'!$D$64,"")</f>
      </c>
    </row>
    <row r="25" ht="27" customHeight="1" spans="2:4" x14ac:dyDescent="0.25">
      <c r="B25" s="29">
        <f>"Cash your executor has"&amp;CHAR(10)&amp;"bank accounts, deposits and investments cashed in"</f>
      </c>
      <c r="C25" s="15">
        <f>'Workings'!$C$73</f>
      </c>
      <c r="D25" s="15">
        <f>IF(AND(ISNUMBER('Inputs'!$C$126),'Inputs'!$C$126&gt;0),'Workings'!$D$73,"")</f>
      </c>
    </row>
    <row r="26" ht="27" customHeight="1" spans="2:4" x14ac:dyDescent="0.25">
      <c r="B26" s="21" t="s">
        <v>198</v>
      </c>
      <c r="C26" s="32">
        <f>IF('Workings'!$C$74&gt;0,"Short R "&amp;FIXED(ROUND('Workings'!$C$74,-3),0),IF(AND('Workings'!$C$75=0,'Workings'!$C$67&gt;0),"Covered: R "&amp;FIXED(ROUND('Workings'!$C$67,-3),0)&amp;" of investments sold","Covered: R "&amp;FIXED(ROUND('Workings'!$C$75,-3),0)&amp;" left over"))</f>
      </c>
      <c r="D26" s="32">
        <f>IF(AND(ISNUMBER('Inputs'!$C$126),'Inputs'!$C$126&gt;0),IF('Workings'!$D$74&gt;0,"Short R "&amp;FIXED(ROUND('Workings'!$D$74,-3),0),IF(AND('Workings'!$D$75=0,'Workings'!$D$67&gt;0),"Covered: R "&amp;FIXED(ROUND('Workings'!$D$67,-3),0)&amp;" of investments sold","Covered: R "&amp;FIXED(ROUND('Workings'!$D$75,-3),0)&amp;" left over")),"")</f>
      </c>
    </row>
    <row r="27" ht="27" customHeight="1" spans="2:4" x14ac:dyDescent="0.25">
      <c r="B27" s="29">
        <f>"Your estate after its debts and costs"&amp;CHAR(10)&amp;IF('Workings'!$C$74&gt;0,"what your heirs keep if they pay in the shortfall","what your heirs inherit from it")</f>
      </c>
      <c r="C27" s="15">
        <f>'Workings'!$C$76</f>
      </c>
      <c r="D27" s="33">
        <f>IF(AND(ISNUMBER('Inputs'!$C$126),'Inputs'!$C$126&gt;0),'Workings'!$D$76,"")</f>
      </c>
    </row>
    <row r="28" spans="2:4" x14ac:dyDescent="0.25">
      <c r="B28" s="7" t="s">
        <v>199</v>
      </c>
      <c r="C28" s="34" t="s">
        <v>200</v>
      </c>
      <c r="D28" s="34">
        <f>IF(AND(ISNUMBER('Inputs'!$C$126),'Inputs'!$C$126&gt;0),IF(ISNUMBER('Inputs'!$C$130),"From R "&amp;FIXED('Inputs'!$C$130,2)&amp;" a month","Premium: enter it on Inputs"),"")</f>
      </c>
    </row>
    <row r="29" ht="40" customHeight="1" spans="2:4" x14ac:dyDescent="0.25">
      <c r="B29" s="16">
        <f>TRIM(IF((SUMIFS('Inputs'!$D$59:$D$70,'Inputs'!$C$59:$C$70,"&lt;&gt;Estate",'Inputs'!$C$59:$C$70,"&lt;&gt;")+SUM('Inputs'!$J$87:$J$94))&gt;0,"Life cover and retirement money of about R "&amp;FIXED(((SUMIFS('Inputs'!$D$59:$D$70,'Inputs'!$C$59:$C$70,"&lt;&gt;Estate",'Inputs'!$C$59:$C$70,"&lt;&gt;")+SUM('Inputs'!$J$87:$J$94)))/1000000,2)&amp;" million (retirement money after tax) is paid directly to the people you nominated, not through your estate, so it is not in the figures above. The life cover need page counts it. ","")&amp;IF('Workings'!$C$50&lt;0,"The people you leave policies or bequests to directly pay R "&amp;FIXED(-'Workings'!$C$50,0)&amp;" of the estate duty themselves; your executor recovers it from them and it is not in the cost above. If it cannot be recovered, your estate pays it.",""))</f>
      </c>
      <c r="C29" s="16"/>
      <c r="D29" s="16"/>
    </row>
    <row r="31" ht="18" customHeight="1" spans="2:4" x14ac:dyDescent="0.25">
      <c r="B31" s="5" t="s">
        <v>201</v>
      </c>
      <c r="C31" s="6"/>
      <c r="D31" s="6"/>
    </row>
    <row r="32" ht="27" customHeight="1" spans="2:4" x14ac:dyDescent="0.25">
      <c r="B32" s="35">
        <f>"1.  Sign a new will that says what you want"&amp;IF(AND(ISNUMBER('Inputs'!$C$126),'Inputs'!$C$126&gt;0),", with Capital Legacy as your executor","")&amp;". Until you do, your current will, or the law if you have none, decides who inherits."</f>
      </c>
      <c r="C32" s="35"/>
      <c r="D32" s="35"/>
    </row>
    <row r="33" ht="27" customHeight="1" spans="2:4" x14ac:dyDescent="0.25">
      <c r="B33" s="35">
        <f>"2.  "&amp;IF('Workings'!$C$74&gt;0,"Decide how your executor will find the cash: life cover paid to your estate (see the life cover need page), "&amp;IF(AND(ISNUMBER('Inputs'!$C$126),'Inputs'!$C$126&gt;0),"the Legacy Protection Plan, ","")&amp;"a property sold, or your heirs paying it in.",IF('Workings'!$C$75&gt;0,"Keep enough cash for your executor: today there is enough, with about R "&amp;FIXED(ROUND('Workings'!$C$75,-3),0)&amp;" to spare.","Your executor has the cash only by selling about R "&amp;FIXED(ROUND('Workings'!$C$67,-3),0)&amp;" of your investments: keep that in mind before you spend or move them."))</f>
      </c>
      <c r="C33" s="35"/>
      <c r="D33" s="35"/>
    </row>
    <row r="34" ht="27" customHeight="1" spans="2:4" x14ac:dyDescent="0.25">
      <c r="B34" s="35">
        <f>"3.  Remember that your savings are your executor's cash. Every R 1 spent from them "&amp;IF('Workings'!$C$74&gt;0,"adds about "&amp;ROUND(100*(1-'Inputs'!$C$134/100*(1+'Inputs'!$C$135/100))*IF('Workings'!$C$40&gt;0,1-'Inputs'!$C$142/100,1),0)&amp;" cents to the shortfall.",IF('Workings'!$C$75&gt;0,"takes about "&amp;ROUND(100*(1-'Inputs'!$C$134/100*(1+'Inputs'!$C$135/100))*IF('Workings'!$C$40&gt;0,1-'Inputs'!$C$142/100,1),0)&amp;" cents off what your executor has spare.","means about "&amp;ROUND(100*(1-'Inputs'!$C$134/100*(1+'Inputs'!$C$135/100))*IF('Workings'!$C$40&gt;0,1-'Inputs'!$C$142/100,1),0)&amp;" cents more of your investments sold."))</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page."&amp;IF(AND(ISNUMBER('Inputs'!$C$126),'Inputs'!$C$126&gt;0)," Capital Legacy quote "&amp;'Inputs'!$C$125&amp;";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3" priority="1">
      <formula>'Workings'!$C$74=0</formula>
    </cfRule>
  </conditionalFormatting>
  <conditionalFormatting sqref="C26:D26">
    <cfRule type="expression" dxfId="24" priority="2">
      <formula>LEFT(C26,5)="Short"</formula>
    </cfRule>
    <cfRule type="expression" dxfId="25"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53</v>
      </c>
      <c r="C1" s="1"/>
      <c r="D1" s="1"/>
    </row>
    <row r="2" ht="15" customHeight="1" spans="2:4" x14ac:dyDescent="0.25">
      <c r="B2" s="2" t="s">
        <v>54</v>
      </c>
      <c r="C2" s="2"/>
      <c r="D2" s="2"/>
    </row>
    <row r="4" ht="20" customHeight="1" spans="2:2" x14ac:dyDescent="0.25">
      <c r="B4" s="3" t="s">
        <v>218</v>
      </c>
    </row>
    <row r="5" spans="2:2" x14ac:dyDescent="0.25">
      <c r="B5" s="4" t="s">
        <v>219</v>
      </c>
    </row>
    <row r="7" ht="30" customHeight="1" spans="2:4" x14ac:dyDescent="0.25">
      <c r="B7" s="12" t="s">
        <v>188</v>
      </c>
      <c r="C7" s="13">
        <f>"If "&amp;'Inputs'!$C$9&amp;" dies"</f>
      </c>
      <c r="D7" s="13">
        <f>IF(AND(ISNUMBER('Inputs'!$C$126),'Inputs'!$C$126&gt;0),"With the Legacy plan","")</f>
      </c>
    </row>
    <row r="8" spans="2:4" x14ac:dyDescent="0.25">
      <c r="B8" s="43" t="s">
        <v>220</v>
      </c>
      <c r="C8" s="43"/>
      <c r="D8" s="43"/>
    </row>
    <row r="9" spans="2:4" x14ac:dyDescent="0.25">
      <c r="B9" s="7" t="s">
        <v>221</v>
      </c>
      <c r="C9" s="15">
        <f>SUMIFS('Inputs'!$D$22:$D$39,'Inputs'!$C$22:$C$39,"Property")</f>
      </c>
      <c r="D9" s="15">
        <f>IF(AND(ISNUMBER('Inputs'!$C$126),'Inputs'!$C$126&gt;0),SUMIFS('Inputs'!$D$22:$D$39,'Inputs'!$C$22:$C$39,"Property"),"")</f>
      </c>
    </row>
    <row r="10" spans="2:4" x14ac:dyDescent="0.25">
      <c r="B10" s="7" t="s">
        <v>222</v>
      </c>
      <c r="C10" s="15">
        <f>SUMIFS('Inputs'!$D$22:$D$39,'Inputs'!$C$22:$C$39,"Vehicle or contents")</f>
      </c>
      <c r="D10" s="15">
        <f>IF(AND(ISNUMBER('Inputs'!$C$126),'Inputs'!$C$126&gt;0),SUMIFS('Inputs'!$D$22:$D$39,'Inputs'!$C$22:$C$39,"Vehicle or contents"),"")</f>
      </c>
    </row>
    <row r="11" spans="2:4" x14ac:dyDescent="0.25">
      <c r="B11" s="7" t="s">
        <v>223</v>
      </c>
      <c r="C11" s="15">
        <f>SUMIFS('Inputs'!$D$22:$D$39,'Inputs'!$C$22:$C$39,"Cash and deposits")</f>
      </c>
      <c r="D11" s="15">
        <f>IF(AND(ISNUMBER('Inputs'!$C$126),'Inputs'!$C$126&gt;0),SUMIFS('Inputs'!$D$22:$D$39,'Inputs'!$C$22:$C$39,"Cash and deposits"),"")</f>
      </c>
    </row>
    <row r="12" spans="2:4" x14ac:dyDescent="0.25">
      <c r="B12" s="7" t="s">
        <v>224</v>
      </c>
      <c r="C12" s="15">
        <f>SUMIFS('Inputs'!$D$22:$D$39,'Inputs'!$C$22:$C$39,"Shares and unit trusts")</f>
      </c>
      <c r="D12" s="15">
        <f>IF(AND(ISNUMBER('Inputs'!$C$126),'Inputs'!$C$126&gt;0),SUMIFS('Inputs'!$D$22:$D$39,'Inputs'!$C$22:$C$39,"Shares and unit trusts"),"")</f>
      </c>
    </row>
    <row r="13" spans="2:4" x14ac:dyDescent="0.25">
      <c r="B13" s="7" t="s">
        <v>225</v>
      </c>
      <c r="C13" s="15">
        <f>SUMIFS('Inputs'!$D$22:$D$39,'Inputs'!$C$22:$C$39,"Other investment")+SUMIFS('Inputs'!$D$22:$D$39,'Inputs'!$C$22:$C$39,"Crypto")+SUMIFS('Inputs'!$D$22:$D$39,'Inputs'!$C$22:$C$39,"Tax-free investment")+SUMIFS('Inputs'!$D$22:$D$39,'Inputs'!$C$22:$C$39,"Loan account")+SUMIFS('Inputs'!$D$22:$D$39,'Inputs'!$C$22:$C$39,"Business interest")</f>
      </c>
      <c r="D13" s="15">
        <f>IF(AND(ISNUMBER('Inputs'!$C$126),'Inputs'!$C$126&gt;0),SUMIFS('Inputs'!$D$22:$D$39,'Inputs'!$C$22:$C$39,"Other investment")+SUMIFS('Inputs'!$D$22:$D$39,'Inputs'!$C$22:$C$39,"Crypto")+SUMIFS('Inputs'!$D$22:$D$39,'Inputs'!$C$22:$C$39,"Tax-free investment")+SUMIFS('Inputs'!$D$22:$D$39,'Inputs'!$C$22:$C$39,"Loan account")+SUMIFS('Inputs'!$D$22:$D$39,'Inputs'!$C$22:$C$39,"Business interest"),"")</f>
      </c>
    </row>
    <row r="14" spans="2:4" x14ac:dyDescent="0.25">
      <c r="B14" s="7" t="s">
        <v>226</v>
      </c>
      <c r="C14" s="15">
        <f>'Workings'!$C$20</f>
      </c>
      <c r="D14" s="15">
        <f>IF(AND(ISNUMBER('Inputs'!$C$126),'Inputs'!$C$126&gt;0),'Workings'!$C$20,"")</f>
      </c>
    </row>
    <row r="15" spans="2:4" x14ac:dyDescent="0.25">
      <c r="B15" s="30" t="s">
        <v>227</v>
      </c>
      <c r="C15" s="31">
        <f>SUM(C9:C14)</f>
      </c>
      <c r="D15" s="31">
        <f>IF(AND(ISNUMBER('Inputs'!$C$126),'Inputs'!$C$126&gt;0),SUM(C9:C14),"")</f>
      </c>
    </row>
    <row r="16" spans="2:4" x14ac:dyDescent="0.25">
      <c r="B16" s="43" t="s">
        <v>228</v>
      </c>
      <c r="C16" s="43"/>
      <c r="D16" s="43"/>
    </row>
    <row r="17" spans="2:4" x14ac:dyDescent="0.25">
      <c r="B17" s="7" t="s">
        <v>229</v>
      </c>
      <c r="C17" s="15">
        <f>'Workings'!$C$22</f>
      </c>
      <c r="D17" s="15">
        <f>IF(AND(ISNUMBER('Inputs'!$C$126),'Inputs'!$C$126&gt;0),'Workings'!$C$22,"")</f>
      </c>
    </row>
    <row r="18" spans="2:4" x14ac:dyDescent="0.25">
      <c r="B18" s="7" t="s">
        <v>230</v>
      </c>
      <c r="C18" s="15">
        <f>'Workings'!$C$23</f>
      </c>
      <c r="D18" s="15">
        <f>IF(AND(ISNUMBER('Inputs'!$C$126),'Inputs'!$C$126&gt;0),'Workings'!$C$23,"")</f>
      </c>
    </row>
    <row r="19" spans="2:4" x14ac:dyDescent="0.25">
      <c r="B19" s="7" t="s">
        <v>231</v>
      </c>
      <c r="C19" s="15">
        <f>'Workings'!$C$24</f>
      </c>
      <c r="D19" s="15">
        <f>IF(AND(ISNUMBER('Inputs'!$C$126),'Inputs'!$C$126&gt;0),'Workings'!$C$24,"")</f>
      </c>
    </row>
    <row r="20" spans="2:4" x14ac:dyDescent="0.25">
      <c r="B20" s="7" t="s">
        <v>232</v>
      </c>
      <c r="C20" s="15">
        <f>SUMIFS('Inputs'!$D$59:$D$70,'Inputs'!$E$59:$E$70,"No")</f>
      </c>
      <c r="D20" s="15">
        <f>IF(AND(ISNUMBER('Inputs'!$C$126),'Inputs'!$C$126&gt;0),SUMIFS('Inputs'!$D$59:$D$70,'Inputs'!$E$59:$E$70,"No"),"")</f>
      </c>
    </row>
    <row r="21" spans="2:4" x14ac:dyDescent="0.25">
      <c r="B21" s="7" t="s">
        <v>233</v>
      </c>
      <c r="C21" s="15">
        <f>SUM('Inputs'!$D$87:$D$94)</f>
      </c>
      <c r="D21" s="15">
        <f>IF(AND(ISNUMBER('Inputs'!$C$126),'Inputs'!$C$126&gt;0),SUM('Inputs'!$D$87:$D$94),"")</f>
      </c>
    </row>
    <row r="22" spans="2:4" x14ac:dyDescent="0.25">
      <c r="B22" s="43" t="s">
        <v>234</v>
      </c>
      <c r="C22" s="43"/>
      <c r="D22" s="43"/>
    </row>
    <row r="23" spans="2:4" x14ac:dyDescent="0.25">
      <c r="B23" s="7" t="s">
        <v>235</v>
      </c>
      <c r="C23" s="15">
        <f>C15+SUM(C17:C21)</f>
      </c>
      <c r="D23" s="15">
        <f>IF(AND(ISNUMBER('Inputs'!$C$126),'Inputs'!$C$126&gt;0),C15+SUM(C17:C21),"")</f>
      </c>
    </row>
    <row r="24" spans="2:4" x14ac:dyDescent="0.25">
      <c r="B24" s="7" t="s">
        <v>236</v>
      </c>
      <c r="C24" s="15">
        <f>'Workings'!$C$26</f>
      </c>
      <c r="D24" s="15">
        <f>IF(AND(ISNUMBER('Inputs'!$C$126),'Inputs'!$C$126&gt;0),'Workings'!$C$26,"")</f>
      </c>
    </row>
    <row r="25" spans="2:4" x14ac:dyDescent="0.25">
      <c r="B25" s="7" t="s">
        <v>237</v>
      </c>
      <c r="C25" s="15">
        <f>'Workings'!$C$64</f>
      </c>
      <c r="D25" s="15">
        <f>IF(AND(ISNUMBER('Inputs'!$C$126),'Inputs'!$C$126&gt;0),'Workings'!$C$64,"")</f>
      </c>
    </row>
    <row r="26" spans="2:4" x14ac:dyDescent="0.25">
      <c r="B26" s="43" t="s">
        <v>238</v>
      </c>
      <c r="C26" s="43"/>
      <c r="D26" s="43"/>
    </row>
    <row r="27" spans="2:4" x14ac:dyDescent="0.25">
      <c r="B27" s="7" t="s">
        <v>239</v>
      </c>
      <c r="C27" s="15">
        <f>'Workings'!$C$56</f>
      </c>
      <c r="D27" s="15">
        <f>IF(AND(ISNUMBER('Inputs'!$C$126),'Inputs'!$C$126&gt;0),'Workings'!$D$56,"")</f>
      </c>
    </row>
    <row r="28" spans="2:4" x14ac:dyDescent="0.25">
      <c r="B28" s="7" t="s">
        <v>240</v>
      </c>
      <c r="C28" s="15">
        <f>'Workings'!$C$55</f>
      </c>
      <c r="D28" s="15">
        <f>IF(AND(ISNUMBER('Inputs'!$C$126),'Inputs'!$C$126&gt;0),'Workings'!$D$55,"")</f>
      </c>
    </row>
    <row r="29" spans="2:4" x14ac:dyDescent="0.25">
      <c r="B29" s="7" t="s">
        <v>241</v>
      </c>
      <c r="C29" s="15">
        <f>'Workings'!$C$57</f>
      </c>
      <c r="D29" s="15">
        <f>IF(AND(ISNUMBER('Inputs'!$C$126),'Inputs'!$C$126&gt;0),'Workings'!$D$57,"")</f>
      </c>
    </row>
    <row r="30" spans="2:4" x14ac:dyDescent="0.25">
      <c r="B30" s="7" t="s">
        <v>242</v>
      </c>
      <c r="C30" s="15">
        <f>'Workings'!$C$58</f>
      </c>
      <c r="D30" s="15">
        <f>IF(AND(ISNUMBER('Inputs'!$C$126),'Inputs'!$C$126&gt;0),'Workings'!$D$58,"")</f>
      </c>
    </row>
    <row r="31" spans="2:4" x14ac:dyDescent="0.25">
      <c r="B31" s="7" t="s">
        <v>191</v>
      </c>
      <c r="C31" s="15">
        <f>'Workings'!$C$59</f>
      </c>
      <c r="D31" s="15">
        <f>IF(AND(ISNUMBER('Inputs'!$C$126),'Inputs'!$C$126&gt;0),'Workings'!$D$59,"")</f>
      </c>
    </row>
    <row r="32" spans="2:4" x14ac:dyDescent="0.25">
      <c r="B32" s="7" t="s">
        <v>243</v>
      </c>
      <c r="C32" s="15">
        <f>'Workings'!$C$60</f>
      </c>
      <c r="D32" s="15">
        <f>IF(AND(ISNUMBER('Inputs'!$C$126),'Inputs'!$C$126&gt;0),'Workings'!$D$60,"")</f>
      </c>
    </row>
    <row r="33" spans="2:4" x14ac:dyDescent="0.25">
      <c r="B33" s="30" t="s">
        <v>244</v>
      </c>
      <c r="C33" s="31">
        <f>'Workings'!$C$61</f>
      </c>
      <c r="D33" s="31">
        <f>IF(AND(ISNUMBER('Inputs'!$C$126),'Inputs'!$C$126&gt;0),'Workings'!$D$61,"")</f>
      </c>
    </row>
    <row r="34" spans="2:4" x14ac:dyDescent="0.25">
      <c r="B34" s="7" t="s">
        <v>195</v>
      </c>
      <c r="C34" s="15">
        <f>-'Workings'!$C$62</f>
      </c>
      <c r="D34" s="15">
        <f>IF(AND(ISNUMBER('Inputs'!$C$126),'Inputs'!$C$126&gt;0),-'Workings'!$D$62,"")</f>
      </c>
    </row>
    <row r="35" spans="2:4" x14ac:dyDescent="0.25">
      <c r="B35" s="7" t="s">
        <v>245</v>
      </c>
      <c r="C35" s="15">
        <f>'Workings'!$C$64</f>
      </c>
      <c r="D35" s="15">
        <f>IF(AND(ISNUMBER('Inputs'!$C$126),'Inputs'!$C$126&gt;0),'Workings'!$D$64,"")</f>
      </c>
    </row>
    <row r="37" ht="15" customHeight="1" spans="2:4" x14ac:dyDescent="0.25">
      <c r="B37" s="36" t="s">
        <v>246</v>
      </c>
      <c r="C37" s="36"/>
      <c r="D37" s="36"/>
    </row>
  </sheetData>
  <sheetProtection sheet="1" formatRows="0"/>
  <mergeCells count="7">
    <mergeCell ref="B1:D1"/>
    <mergeCell ref="B2:D2"/>
    <mergeCell ref="B8:D8"/>
    <mergeCell ref="B16:D16"/>
    <mergeCell ref="B22:D22"/>
    <mergeCell ref="B26:D26"/>
    <mergeCell ref="B37:D37"/>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53</v>
      </c>
      <c r="C1" s="1"/>
      <c r="D1" s="1"/>
    </row>
    <row r="2" ht="15" customHeight="1" spans="2:4" x14ac:dyDescent="0.25">
      <c r="B2" s="2" t="s">
        <v>54</v>
      </c>
      <c r="C2" s="2"/>
      <c r="D2" s="2"/>
    </row>
    <row r="4" ht="20" customHeight="1" spans="2:2" x14ac:dyDescent="0.25">
      <c r="B4" s="3" t="s">
        <v>247</v>
      </c>
    </row>
    <row r="5" spans="2:2" x14ac:dyDescent="0.25">
      <c r="B5" s="4" t="s">
        <v>248</v>
      </c>
    </row>
    <row r="7" ht="20" customHeight="1" spans="2:4" x14ac:dyDescent="0.25">
      <c r="B7" s="12" t="s">
        <v>249</v>
      </c>
      <c r="C7" s="13" t="s">
        <v>189</v>
      </c>
      <c r="D7" s="13" t="s">
        <v>250</v>
      </c>
    </row>
    <row r="8" spans="2:4" x14ac:dyDescent="0.25">
      <c r="B8" s="7">
        <f>"Taxable income for the year"&amp;IF('Inputs'!$C$17&lt;&gt;"",": "&amp;'Inputs'!$C$17,"")</f>
      </c>
      <c r="C8" s="19">
        <f>N('Inputs'!$C$16)</f>
      </c>
      <c r="D8" s="19">
        <f>N('Inputs'!$C$16)</f>
      </c>
    </row>
    <row r="9" ht="27" customHeight="1" spans="2:4" x14ac:dyDescent="0.25">
      <c r="B9" s="7" t="s">
        <v>251</v>
      </c>
      <c r="C9" s="19">
        <f>SUM('Inputs'!$M$22:$M$39)</f>
      </c>
      <c r="D9" s="19">
        <f>SUM('Inputs'!$M$22:$M$39)</f>
      </c>
    </row>
    <row r="10" spans="2:4" x14ac:dyDescent="0.25">
      <c r="B10" s="7" t="s">
        <v>252</v>
      </c>
      <c r="C10" s="19">
        <f>-SUM('Inputs'!$N$22:$N$39)</f>
      </c>
      <c r="D10" s="19">
        <f>-SUM('Inputs'!$N$22:$N$39)</f>
      </c>
    </row>
    <row r="11" spans="2:4" x14ac:dyDescent="0.25">
      <c r="B11" s="7" t="s">
        <v>253</v>
      </c>
      <c r="C11" s="19">
        <f>-MIN('Inputs'!$C$145,MAX(0,C9+C10))</f>
      </c>
      <c r="D11" s="19">
        <f>-MIN('Inputs'!$C$145,MAX(0,D9+D10))</f>
      </c>
    </row>
    <row r="12" spans="2:4" x14ac:dyDescent="0.25">
      <c r="B12" s="30" t="s">
        <v>254</v>
      </c>
      <c r="C12" s="44">
        <f>MAX(0,C9+C10+C11)</f>
      </c>
      <c r="D12" s="44">
        <f>MAX(0,D9+D10+D11)</f>
      </c>
    </row>
    <row r="13" ht="27" customHeight="1" spans="2:4" x14ac:dyDescent="0.25">
      <c r="B13" s="7">
        <f>"Added to taxable income: "&amp;FIXED('Inputs'!$C$146,0)&amp;"% of the net gain (the inclusion rate, not a tax rate)"</f>
      </c>
      <c r="C13" s="19">
        <f>C12*'Inputs'!$C$146/100</f>
      </c>
      <c r="D13" s="19">
        <f>D12*'Inputs'!$C$146/100</f>
      </c>
    </row>
    <row r="14" spans="2:4" x14ac:dyDescent="0.25">
      <c r="B14" s="7" t="s">
        <v>255</v>
      </c>
      <c r="C14" s="19">
        <f>(INDEX('Inputs'!$D$149:$D$155,MATCH(C8+C13,'Inputs'!$C$149:$C$155,1))+INDEX('Inputs'!$E$149:$E$155,MATCH(C8+C13,'Inputs'!$C$149:$C$155,1))/100*((C8+C13)-INDEX('Inputs'!$C$149:$C$155,MATCH(C8+C13,'Inputs'!$C$149:$C$155,1))))</f>
      </c>
      <c r="D14" s="19">
        <f>(INDEX('Inputs'!$D$149:$D$155,MATCH(D8+D13,'Inputs'!$C$149:$C$155,1))+INDEX('Inputs'!$E$149:$E$155,MATCH(D8+D13,'Inputs'!$C$149:$C$155,1))/100*((D8+D13)-INDEX('Inputs'!$C$149:$C$155,MATCH(D8+D13,'Inputs'!$C$149:$C$155,1))))</f>
      </c>
    </row>
    <row r="15" spans="2:4" x14ac:dyDescent="0.25">
      <c r="B15" s="7" t="s">
        <v>256</v>
      </c>
      <c r="C15" s="19">
        <f>-(INDEX('Inputs'!$D$149:$D$155,MATCH(C8,'Inputs'!$C$149:$C$155,1))+INDEX('Inputs'!$E$149:$E$155,MATCH(C8,'Inputs'!$C$149:$C$155,1))/100*((C8)-INDEX('Inputs'!$C$149:$C$155,MATCH(C8,'Inputs'!$C$149:$C$155,1))))</f>
      </c>
      <c r="D15" s="19">
        <f>-(INDEX('Inputs'!$D$149:$D$155,MATCH(D8,'Inputs'!$C$149:$C$155,1))+INDEX('Inputs'!$E$149:$E$155,MATCH(D8,'Inputs'!$C$149:$C$155,1))/100*((D8)-INDEX('Inputs'!$C$149:$C$155,MATCH(D8,'Inputs'!$C$149:$C$155,1))))</f>
      </c>
    </row>
    <row r="16" spans="2:4" x14ac:dyDescent="0.25">
      <c r="B16" s="30" t="s">
        <v>257</v>
      </c>
      <c r="C16" s="44">
        <f>IF(C12&gt;0,ROUND(C14+C15,2),0)</f>
      </c>
      <c r="D16" s="44">
        <f>IF(D12&gt;0,ROUND(D14+D15,2),0)</f>
      </c>
    </row>
    <row r="18" ht="20" customHeight="1" spans="2:4" x14ac:dyDescent="0.25">
      <c r="B18" s="12" t="s">
        <v>258</v>
      </c>
      <c r="C18" s="13" t="s">
        <v>189</v>
      </c>
      <c r="D18" s="13" t="s">
        <v>250</v>
      </c>
    </row>
    <row r="19" spans="2:4" x14ac:dyDescent="0.25">
      <c r="B19" s="7" t="s">
        <v>259</v>
      </c>
      <c r="C19" s="19">
        <f>ROUND(SUM('Inputs'!$D$22:$D$39),2)</f>
      </c>
      <c r="D19" s="19">
        <f>ROUND(SUM('Inputs'!$D$22:$D$39),2)</f>
      </c>
    </row>
    <row r="20" spans="2:4" x14ac:dyDescent="0.25">
      <c r="B20" s="7" t="s">
        <v>260</v>
      </c>
      <c r="C20" s="19">
        <f>SUMIFS('Inputs'!$D$59:$D$70,'Inputs'!$C$59:$C$70,"Estate")</f>
      </c>
      <c r="D20" s="19">
        <f>SUMIFS('Inputs'!$D$59:$D$70,'Inputs'!$C$59:$C$70,"Estate")</f>
      </c>
    </row>
    <row r="21" spans="2:4" x14ac:dyDescent="0.25">
      <c r="B21" s="30" t="s">
        <v>261</v>
      </c>
      <c r="C21" s="44">
        <f>C19+C20</f>
      </c>
      <c r="D21" s="44">
        <f>D19+D20</f>
      </c>
    </row>
    <row r="22" spans="2:4" x14ac:dyDescent="0.25">
      <c r="B22" s="7" t="s">
        <v>262</v>
      </c>
      <c r="C22" s="19">
        <f>SUMIFS('Inputs'!$D$59:$D$70,'Inputs'!$C$59:$C$70,"&lt;&gt;Estate",'Inputs'!$C$59:$C$70,"&lt;&gt;Spouse",'Inputs'!$E$59:$E$70,"&lt;&gt;No")</f>
      </c>
      <c r="D22" s="19">
        <f>SUMIFS('Inputs'!$D$59:$D$70,'Inputs'!$C$59:$C$70,"&lt;&gt;Estate",'Inputs'!$C$59:$C$70,"&lt;&gt;Spouse",'Inputs'!$E$59:$E$70,"&lt;&gt;No")</f>
      </c>
    </row>
    <row r="23" ht="27" customHeight="1" spans="2:4" x14ac:dyDescent="0.25">
      <c r="B23" s="7">
        <f>"Death income for a named person, counted for estate duty (the insurer's value, or worked out at "&amp;FIXED('Inputs'!$H$136,1)&amp;"% a year)"</f>
      </c>
      <c r="C23" s="19">
        <f>SUM('Inputs'!$O$76:$O$81)</f>
      </c>
      <c r="D23" s="19">
        <f>SUM('Inputs'!$O$76:$O$81)</f>
      </c>
    </row>
    <row r="24" ht="27" customHeight="1" spans="2:4" x14ac:dyDescent="0.25">
      <c r="B24" s="7" t="s">
        <v>263</v>
      </c>
      <c r="C24" s="19">
        <f>SUMIFS('Inputs'!$D$59:$D$70,'Inputs'!$C$59:$C$70,"Spouse",'Inputs'!$E$59:$E$70,"&lt;&gt;No")+SUM('Inputs'!$S$76:$S$81)</f>
      </c>
      <c r="D24" s="19">
        <f>SUMIFS('Inputs'!$D$59:$D$70,'Inputs'!$C$59:$C$70,"Spouse",'Inputs'!$E$59:$E$70,"&lt;&gt;No")+SUM('Inputs'!$S$76:$S$81)</f>
      </c>
    </row>
    <row r="25" spans="2:4" x14ac:dyDescent="0.25">
      <c r="B25" s="7" t="s">
        <v>264</v>
      </c>
      <c r="C25" s="19">
        <f>-IF(OR(LEFT('Inputs'!$C$13,7)="Married",'Inputs'!$C$13="Life partner",'Inputs'!$C$13="Civil Union"),C24,0)</f>
      </c>
      <c r="D25" s="19">
        <f>-IF(OR(LEFT('Inputs'!$C$13,7)="Married",'Inputs'!$C$13="Life partner",'Inputs'!$C$13="Civil Union"),D24,0)</f>
      </c>
    </row>
    <row r="26" spans="2:4" x14ac:dyDescent="0.25">
      <c r="B26" s="30" t="s">
        <v>265</v>
      </c>
      <c r="C26" s="44">
        <f>C21+C22+C23+C24+C25</f>
      </c>
      <c r="D26" s="44">
        <f>D21+D22+D23+D24+D25</f>
      </c>
    </row>
    <row r="27" spans="2:4" x14ac:dyDescent="0.25">
      <c r="B27" s="7" t="s">
        <v>266</v>
      </c>
      <c r="C27" s="19">
        <f>-SUM('Inputs'!$D$45:$D$54)</f>
      </c>
      <c r="D27" s="19">
        <f>-SUM('Inputs'!$D$45:$D$54)</f>
      </c>
    </row>
    <row r="28" spans="2:4" x14ac:dyDescent="0.25">
      <c r="B28" s="7" t="s">
        <v>267</v>
      </c>
      <c r="C28" s="19">
        <f>-'Inputs'!$C$137</f>
      </c>
      <c r="D28" s="19">
        <f>-'Inputs'!$C$137</f>
      </c>
    </row>
    <row r="29" spans="2:4" x14ac:dyDescent="0.25">
      <c r="B29" s="7" t="s">
        <v>268</v>
      </c>
      <c r="C29" s="19">
        <f>-'Inputs'!$C$136</f>
      </c>
      <c r="D29" s="19">
        <f>-'Inputs'!$C$136</f>
      </c>
    </row>
    <row r="30" spans="2:4" x14ac:dyDescent="0.25">
      <c r="B30" s="7" t="s">
        <v>269</v>
      </c>
      <c r="C30" s="19">
        <f>-'Inputs'!$C$138</f>
      </c>
      <c r="D30" s="19">
        <f>-'Inputs'!$C$138</f>
      </c>
    </row>
    <row r="31" spans="2:4" x14ac:dyDescent="0.25">
      <c r="B31" s="7">
        <f>"Less executor's fees: "&amp;IF(ROUND('Inputs'!$C$134,0)='Inputs'!$C$134,FIXED('Inputs'!$C$134,0),IF(ROUND('Inputs'!$C$134,1)='Inputs'!$C$134,FIXED('Inputs'!$C$134,1),FIXED('Inputs'!$C$134,2)))&amp;"%"&amp;" plus VAT"&amp;IF(AND(ISNUMBER('Inputs'!$C$126),'Inputs'!$C$126&gt;0)," / Capital Legacy "&amp;IF(ROUND('Inputs'!$C$126,0)='Inputs'!$C$126,FIXED('Inputs'!$C$126,0),IF(ROUND('Inputs'!$C$126,1)='Inputs'!$C$126,FIXED('Inputs'!$C$126,1),FIXED('Inputs'!$C$126,2)))&amp;"%"&amp;" plus VAT","")</f>
      </c>
      <c r="C31" s="19">
        <f>-ROUND('Inputs'!$C$134/100*(1+'Inputs'!$C$135/100)*C21,2)</f>
      </c>
      <c r="D31" s="19">
        <f>-ROUND(IF(AND(ISNUMBER('Inputs'!$C$126),'Inputs'!$C$126&gt;0),'Inputs'!$C$126,'Inputs'!$C$134)/100*(1+'Inputs'!$C$135/100)*D21,2)</f>
      </c>
    </row>
    <row r="32" spans="2:4" x14ac:dyDescent="0.25">
      <c r="B32" s="7" t="s">
        <v>270</v>
      </c>
      <c r="C32" s="19">
        <f>-SUM('Inputs'!$P$22:$P$39)</f>
      </c>
      <c r="D32" s="19">
        <f>-IF(AND(AND(ISNUMBER('Inputs'!$C$126),'Inputs'!$C$126&gt;0),ISNUMBER('Inputs'!$C$127)),'Inputs'!$C$127,SUM('Inputs'!$P$22:$P$39))</f>
      </c>
    </row>
    <row r="33" spans="2:4" x14ac:dyDescent="0.25">
      <c r="B33" s="7" t="s">
        <v>271</v>
      </c>
      <c r="C33" s="19">
        <f>-SUM('Inputs'!$Q$22:$Q$39)</f>
      </c>
      <c r="D33" s="19">
        <f>-SUM('Inputs'!$Q$22:$Q$39)</f>
      </c>
    </row>
    <row r="34" spans="2:4" x14ac:dyDescent="0.25">
      <c r="B34" s="7" t="s">
        <v>272</v>
      </c>
      <c r="C34" s="19">
        <f>-C16</f>
      </c>
      <c r="D34" s="19">
        <f>-D16</f>
      </c>
    </row>
    <row r="35" spans="2:4" x14ac:dyDescent="0.25">
      <c r="B35" s="7" t="s">
        <v>273</v>
      </c>
      <c r="C35" s="19">
        <f>ROUND(C21+C27-(-C28-C29-C30-C31-C32-C33-C34)-SUM('Inputs'!$R$22:$R$39)-SUM('Inputs'!$S$22:$S$39),2)</f>
      </c>
      <c r="D35" s="19">
        <f>ROUND(D21+D27-(-D28-D29-D30-D31-D32-D33-D34)-SUM('Inputs'!$R$22:$R$39)-SUM('Inputs'!$S$22:$S$39),2)</f>
      </c>
    </row>
    <row r="36" spans="2:4" x14ac:dyDescent="0.25">
      <c r="B36" s="7" t="s">
        <v>274</v>
      </c>
      <c r="C36" s="45">
        <f>IF(C35&lt;0,IF(SUM('Inputs'!$R$22:$R$39)+SUM('Inputs'!$S$22:$S$39)&gt;0,MAX(0,1+C35/(SUM('Inputs'!$R$22:$R$39)+SUM('Inputs'!$S$22:$S$39))),1),1)</f>
      </c>
      <c r="D36" s="45">
        <f>IF(D35&lt;0,IF(SUM('Inputs'!$R$22:$R$39)+SUM('Inputs'!$S$22:$S$39)&gt;0,MAX(0,1+D35/(SUM('Inputs'!$R$22:$R$39)+SUM('Inputs'!$S$22:$S$39))),1),1)</f>
      </c>
    </row>
    <row r="37" spans="2:4" x14ac:dyDescent="0.25">
      <c r="B37" s="7" t="s">
        <v>275</v>
      </c>
      <c r="C37" s="19">
        <f>-IF(OR(LEFT('Inputs'!$C$13,7)="Married",'Inputs'!$C$13="Life partner",'Inputs'!$C$13="Civil Union"),SUM('Inputs'!$R$22:$R$39)*C36+IF('Inputs'!$C$14="Spouse",MAX(0,C35),0),0)</f>
      </c>
      <c r="D37" s="19">
        <f>-IF(OR(LEFT('Inputs'!$C$13,7)="Married",'Inputs'!$C$13="Life partner",'Inputs'!$C$13="Civil Union"),SUM('Inputs'!$R$22:$R$39)*D36+IF('Inputs'!$C$14="Spouse",MAX(0,D35),0),0)</f>
      </c>
    </row>
    <row r="38" spans="2:4" x14ac:dyDescent="0.25">
      <c r="B38" s="30" t="s">
        <v>276</v>
      </c>
      <c r="C38" s="44">
        <f>ROUND(C26+C27+C28+C29+C30+C31+C32+C33+C34+C37,2)</f>
      </c>
      <c r="D38" s="44">
        <f>ROUND(D26+D27+D28+D29+D30+D31+D32+D33+D34+D37,2)</f>
      </c>
    </row>
    <row r="39" spans="2:4" x14ac:dyDescent="0.25">
      <c r="B39" s="7" t="s">
        <v>277</v>
      </c>
      <c r="C39" s="19">
        <f>-'Inputs'!$C$141</f>
      </c>
      <c r="D39" s="19">
        <f>-'Inputs'!$C$141</f>
      </c>
    </row>
    <row r="40" spans="2:4" x14ac:dyDescent="0.25">
      <c r="B40" s="7" t="s">
        <v>278</v>
      </c>
      <c r="C40" s="19">
        <f>MAX(0,C38+C39)</f>
      </c>
      <c r="D40" s="19">
        <f>MAX(0,D38+D39)</f>
      </c>
    </row>
    <row r="41" spans="2:4" x14ac:dyDescent="0.25">
      <c r="B41" s="30" t="s">
        <v>190</v>
      </c>
      <c r="C41" s="44">
        <f>ROUND(IF(C40&lt;='Inputs'!$C$143,C40*'Inputs'!$C$142/100,'Inputs'!$C$143*'Inputs'!$C$142/100+(C40-'Inputs'!$C$143)*'Inputs'!$C$144/100),2)</f>
      </c>
      <c r="D41" s="44">
        <f>ROUND(IF(D40&lt;='Inputs'!$C$143,D40*'Inputs'!$C$142/100,'Inputs'!$C$143*'Inputs'!$C$142/100+(D40-'Inputs'!$C$143)*'Inputs'!$C$144/100),2)</f>
      </c>
    </row>
    <row r="42" spans="2:4" x14ac:dyDescent="0.25">
      <c r="B42" s="7" t="s">
        <v>279</v>
      </c>
      <c r="C42" s="46">
        <f>IF(C38&gt;0,C41/C38,0)</f>
      </c>
      <c r="D42" s="46">
        <f>IF(D38&gt;0,D41/D38,0)</f>
      </c>
    </row>
    <row r="43" ht="27" customHeight="1" spans="2:2" x14ac:dyDescent="0.25">
      <c r="B43" s="7" t="s">
        <v>280</v>
      </c>
    </row>
    <row r="44" ht="15" customHeight="1" spans="2:4" x14ac:dyDescent="0.25">
      <c r="B44"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4" s="19">
        <f>IFERROR(INDEX('Inputs'!$U$22:$U$39,MATCH(1,'Inputs'!$X$22:$X$39,0)),IFERROR(INDEX('Inputs'!$M$59:$M$70,MATCH(1,'Inputs'!$O$59:$O$70,0)),IFERROR(INDEX('Inputs'!$P$76:$P$81,MATCH(1,'Inputs'!$R$76:$R$81,0)),"")))</f>
      </c>
      <c r="D44" s="19">
        <f>IFERROR(INDEX('Inputs'!$V$22:$V$39,MATCH(1,'Inputs'!$X$22:$X$39,0)),IFERROR(INDEX('Inputs'!$N$59:$N$70,MATCH(1,'Inputs'!$O$59:$O$70,0)),IFERROR(INDEX('Inputs'!$Q$76:$Q$81,MATCH(1,'Inputs'!$R$76:$R$81,0)),"")))</f>
      </c>
    </row>
    <row r="45" ht="15" customHeight="1" spans="2:4" x14ac:dyDescent="0.25">
      <c r="B45"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5" s="19">
        <f>IFERROR(INDEX('Inputs'!$U$22:$U$39,MATCH(2,'Inputs'!$X$22:$X$39,0)),IFERROR(INDEX('Inputs'!$M$59:$M$70,MATCH(2,'Inputs'!$O$59:$O$70,0)),IFERROR(INDEX('Inputs'!$P$76:$P$81,MATCH(2,'Inputs'!$R$76:$R$81,0)),"")))</f>
      </c>
      <c r="D45" s="19">
        <f>IFERROR(INDEX('Inputs'!$V$22:$V$39,MATCH(2,'Inputs'!$X$22:$X$39,0)),IFERROR(INDEX('Inputs'!$N$59:$N$70,MATCH(2,'Inputs'!$O$59:$O$70,0)),IFERROR(INDEX('Inputs'!$Q$76:$Q$81,MATCH(2,'Inputs'!$R$76:$R$81,0)),"")))</f>
      </c>
    </row>
    <row r="46" ht="15" customHeight="1" spans="2:4" x14ac:dyDescent="0.25">
      <c r="B46"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6" s="19">
        <f>IFERROR(INDEX('Inputs'!$U$22:$U$39,MATCH(3,'Inputs'!$X$22:$X$39,0)),IFERROR(INDEX('Inputs'!$M$59:$M$70,MATCH(3,'Inputs'!$O$59:$O$70,0)),IFERROR(INDEX('Inputs'!$P$76:$P$81,MATCH(3,'Inputs'!$R$76:$R$81,0)),"")))</f>
      </c>
      <c r="D46" s="19">
        <f>IFERROR(INDEX('Inputs'!$V$22:$V$39,MATCH(3,'Inputs'!$X$22:$X$39,0)),IFERROR(INDEX('Inputs'!$N$59:$N$70,MATCH(3,'Inputs'!$O$59:$O$70,0)),IFERROR(INDEX('Inputs'!$Q$76:$Q$81,MATCH(3,'Inputs'!$R$76:$R$81,0)),"")))</f>
      </c>
    </row>
    <row r="47" ht="15" customHeight="1" spans="2:4" x14ac:dyDescent="0.25">
      <c r="B47"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7" s="19">
        <f>IFERROR(INDEX('Inputs'!$U$22:$U$39,MATCH(4,'Inputs'!$X$22:$X$39,0)),IFERROR(INDEX('Inputs'!$M$59:$M$70,MATCH(4,'Inputs'!$O$59:$O$70,0)),IFERROR(INDEX('Inputs'!$P$76:$P$81,MATCH(4,'Inputs'!$R$76:$R$81,0)),"")))</f>
      </c>
      <c r="D47" s="19">
        <f>IFERROR(INDEX('Inputs'!$V$22:$V$39,MATCH(4,'Inputs'!$X$22:$X$39,0)),IFERROR(INDEX('Inputs'!$N$59:$N$70,MATCH(4,'Inputs'!$O$59:$O$70,0)),IFERROR(INDEX('Inputs'!$Q$76:$Q$81,MATCH(4,'Inputs'!$R$76:$R$81,0)),"")))</f>
      </c>
    </row>
    <row r="48" ht="15" customHeight="1" spans="2:4" x14ac:dyDescent="0.25">
      <c r="B48"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8" s="19">
        <f>IFERROR(INDEX('Inputs'!$U$22:$U$39,MATCH(5,'Inputs'!$X$22:$X$39,0)),IFERROR(INDEX('Inputs'!$M$59:$M$70,MATCH(5,'Inputs'!$O$59:$O$70,0)),IFERROR(INDEX('Inputs'!$P$76:$P$81,MATCH(5,'Inputs'!$R$76:$R$81,0)),"")))</f>
      </c>
      <c r="D48" s="19">
        <f>IFERROR(INDEX('Inputs'!$V$22:$V$39,MATCH(5,'Inputs'!$X$22:$X$39,0)),IFERROR(INDEX('Inputs'!$N$59:$N$70,MATCH(5,'Inputs'!$O$59:$O$70,0)),IFERROR(INDEX('Inputs'!$Q$76:$Q$81,MATCH(5,'Inputs'!$R$76:$R$81,0)),"")))</f>
      </c>
    </row>
    <row r="49" ht="15" customHeight="1" spans="2:4" x14ac:dyDescent="0.25">
      <c r="B49"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9" s="19">
        <f>IFERROR(INDEX('Inputs'!$U$22:$U$39,MATCH(6,'Inputs'!$X$22:$X$39,0)),IFERROR(INDEX('Inputs'!$M$59:$M$70,MATCH(6,'Inputs'!$O$59:$O$70,0)),IFERROR(INDEX('Inputs'!$P$76:$P$81,MATCH(6,'Inputs'!$R$76:$R$81,0)),"")))</f>
      </c>
      <c r="D49" s="19">
        <f>IFERROR(INDEX('Inputs'!$V$22:$V$39,MATCH(6,'Inputs'!$X$22:$X$39,0)),IFERROR(INDEX('Inputs'!$N$59:$N$70,MATCH(6,'Inputs'!$O$59:$O$70,0)),IFERROR(INDEX('Inputs'!$Q$76:$Q$81,MATCH(6,'Inputs'!$R$76:$R$81,0)),"")))</f>
      </c>
    </row>
    <row r="50" ht="27" customHeight="1" spans="2:4" x14ac:dyDescent="0.25">
      <c r="B50" s="7" t="s">
        <v>281</v>
      </c>
      <c r="C50" s="19">
        <f>-(SUM('Inputs'!$M$59:$M$70)+SUM('Inputs'!$U$22:$U$39)+SUM('Inputs'!$P$76:$P$81))</f>
      </c>
      <c r="D50" s="19">
        <f>-(SUM('Inputs'!$N$59:$N$70)+SUM('Inputs'!$V$22:$V$39)+SUM('Inputs'!$Q$76:$Q$81))</f>
      </c>
    </row>
    <row r="51" spans="2:4" x14ac:dyDescent="0.25">
      <c r="B51" s="30" t="s">
        <v>243</v>
      </c>
      <c r="C51" s="44">
        <f>C41+C50</f>
      </c>
      <c r="D51" s="44">
        <f>D41+D50</f>
      </c>
    </row>
    <row r="52" spans="2:2" x14ac:dyDescent="0.25">
      <c r="B52" s="7" t="s">
        <v>282</v>
      </c>
    </row>
    <row r="54" ht="20" customHeight="1" spans="2:4" x14ac:dyDescent="0.25">
      <c r="B54" s="12" t="s">
        <v>283</v>
      </c>
      <c r="C54" s="13" t="s">
        <v>189</v>
      </c>
      <c r="D54" s="13" t="s">
        <v>250</v>
      </c>
    </row>
    <row r="55" spans="2:4" x14ac:dyDescent="0.25">
      <c r="B55" s="7" t="s">
        <v>193</v>
      </c>
      <c r="C55" s="19">
        <f>-(C28+C29+C30)</f>
      </c>
      <c r="D55" s="19">
        <f>-(D28+D29+D30)</f>
      </c>
    </row>
    <row r="56" spans="2:4" x14ac:dyDescent="0.25">
      <c r="B56" s="7" t="s">
        <v>239</v>
      </c>
      <c r="C56" s="19">
        <f>-C31</f>
      </c>
      <c r="D56" s="19">
        <f>-D31</f>
      </c>
    </row>
    <row r="57" spans="2:4" x14ac:dyDescent="0.25">
      <c r="B57" s="7" t="s">
        <v>284</v>
      </c>
      <c r="C57" s="19">
        <f>-C32</f>
      </c>
      <c r="D57" s="19">
        <f>-D32</f>
      </c>
    </row>
    <row r="58" spans="2:4" x14ac:dyDescent="0.25">
      <c r="B58" s="7" t="s">
        <v>192</v>
      </c>
      <c r="C58" s="19">
        <f>-C33</f>
      </c>
      <c r="D58" s="19">
        <f>-D33</f>
      </c>
    </row>
    <row r="59" spans="2:4" x14ac:dyDescent="0.25">
      <c r="B59" s="7" t="s">
        <v>257</v>
      </c>
      <c r="C59" s="19">
        <f>C16</f>
      </c>
      <c r="D59" s="19">
        <f>D16</f>
      </c>
    </row>
    <row r="60" spans="2:4" x14ac:dyDescent="0.25">
      <c r="B60" s="7" t="s">
        <v>243</v>
      </c>
      <c r="C60" s="19">
        <f>C51</f>
      </c>
      <c r="D60" s="19">
        <f>D51</f>
      </c>
    </row>
    <row r="61" spans="2:4" x14ac:dyDescent="0.25">
      <c r="B61" s="30" t="s">
        <v>244</v>
      </c>
      <c r="C61" s="44">
        <f>ROUND(SUM(C55:C60),2)</f>
      </c>
      <c r="D61" s="44">
        <f>ROUND(SUM(D55:D60),2)</f>
      </c>
    </row>
    <row r="62" ht="27" customHeight="1" spans="2:4" x14ac:dyDescent="0.25">
      <c r="B62" s="7">
        <f>"Less paid by the Legacy plan: "&amp;IF(AND(ISNUMBER('Inputs'!$C$126),'Inputs'!$C$126&gt;0),FIXED(N('Inputs'!$C$128),0)&amp;"% of the executor's fee and conveyancing, up to R "&amp;FIXED(N('Inputs'!$C$129),2),"no quote entered")</f>
      </c>
      <c r="C62" s="19">
        <f>0</f>
      </c>
      <c r="D62" s="19">
        <f>IF(AND(ISNUMBER('Inputs'!$C$126),'Inputs'!$C$126&gt;0),-ROUND(MIN(N('Inputs'!$C$128)/100*(D56+D57),N('Inputs'!$C$129)),2),0)</f>
      </c>
    </row>
    <row r="63" spans="2:4" x14ac:dyDescent="0.25">
      <c r="B63" s="30" t="s">
        <v>285</v>
      </c>
      <c r="C63" s="44">
        <f>ROUND(C61+C62,2)</f>
      </c>
      <c r="D63" s="44">
        <f>ROUND(D61+D62,2)</f>
      </c>
    </row>
    <row r="64" spans="2:4" x14ac:dyDescent="0.25">
      <c r="B64" s="7" t="s">
        <v>197</v>
      </c>
      <c r="C64" s="19">
        <f>-C27</f>
      </c>
      <c r="D64" s="19">
        <f>-D27</f>
      </c>
    </row>
    <row r="65" spans="2:4" x14ac:dyDescent="0.25">
      <c r="B65" s="30" t="s">
        <v>286</v>
      </c>
      <c r="C65" s="44">
        <f>ROUND(C63+C64,2)</f>
      </c>
      <c r="D65" s="44">
        <f>ROUND(D63+D64,2)</f>
      </c>
    </row>
    <row r="66" spans="2:4" x14ac:dyDescent="0.25">
      <c r="B66" s="7" t="s">
        <v>287</v>
      </c>
      <c r="C66" s="19">
        <f>ROUND(SUMPRODUCT(--('Inputs'!$AK$22:$AK$39=0),'Inputs'!$O$22:$O$39),2)</f>
      </c>
      <c r="D66" s="19">
        <f>ROUND(SUMPRODUCT(--('Inputs'!$AK$22:$AK$39=0),'Inputs'!$O$22:$O$39),2)</f>
      </c>
    </row>
    <row r="67" ht="27" customHeight="1" spans="2:4" x14ac:dyDescent="0.25">
      <c r="B67" s="7" t="s">
        <v>288</v>
      </c>
      <c r="C67" s="19">
        <f>ROUND(SUMPRODUCT(--('Inputs'!$AK$22:$AK$39&gt;0),'Inputs'!$O$22:$O$39),2)</f>
      </c>
      <c r="D67" s="19">
        <f>ROUND(SUMPRODUCT(--('Inputs'!$AK$22:$AK$39&gt;0),'Inputs'!$O$22:$O$39),2)</f>
      </c>
    </row>
    <row r="68" ht="15" customHeight="1" spans="2:4" x14ac:dyDescent="0.25">
      <c r="B68" s="7">
        <f>IFERROR("   Sold: "&amp;INDEX('Inputs'!$B$22:$B$39,MATCH(1,'Inputs'!$AO$22:$AO$39,0))&amp;IF(INDEX('Inputs'!$AL$22:$AL$39,MATCH(1,'Inputs'!$AO$22:$AO$39,0))&lt;INDEX('Inputs'!$D$22:$D$39,MATCH(1,'Inputs'!$AO$22:$AO$39,0))," (part)",""),"")</f>
      </c>
      <c r="C68" s="19">
        <f>IFERROR(INDEX('Inputs'!$AL$22:$AL$39,MATCH(1,'Inputs'!$AO$22:$AO$39,0)),"")</f>
      </c>
      <c r="D68" s="19">
        <f>IFERROR(INDEX('Inputs'!$AL$22:$AL$39,MATCH(1,'Inputs'!$AO$22:$AO$39,0)),"")</f>
      </c>
    </row>
    <row r="69" ht="15" customHeight="1" spans="2:4" x14ac:dyDescent="0.25">
      <c r="B69" s="7">
        <f>IFERROR("   Sold: "&amp;INDEX('Inputs'!$B$22:$B$39,MATCH(2,'Inputs'!$AO$22:$AO$39,0))&amp;IF(INDEX('Inputs'!$AL$22:$AL$39,MATCH(2,'Inputs'!$AO$22:$AO$39,0))&lt;INDEX('Inputs'!$D$22:$D$39,MATCH(2,'Inputs'!$AO$22:$AO$39,0))," (part)",""),"")</f>
      </c>
      <c r="C69" s="19">
        <f>IFERROR(INDEX('Inputs'!$AL$22:$AL$39,MATCH(2,'Inputs'!$AO$22:$AO$39,0)),"")</f>
      </c>
      <c r="D69" s="19">
        <f>IFERROR(INDEX('Inputs'!$AL$22:$AL$39,MATCH(2,'Inputs'!$AO$22:$AO$39,0)),"")</f>
      </c>
    </row>
    <row r="70" ht="15" customHeight="1" spans="2:4" x14ac:dyDescent="0.25">
      <c r="B70" s="7">
        <f>IFERROR("   Sold: "&amp;INDEX('Inputs'!$B$22:$B$39,MATCH(3,'Inputs'!$AO$22:$AO$39,0))&amp;IF(INDEX('Inputs'!$AL$22:$AL$39,MATCH(3,'Inputs'!$AO$22:$AO$39,0))&lt;INDEX('Inputs'!$D$22:$D$39,MATCH(3,'Inputs'!$AO$22:$AO$39,0))," (part)",""),"")</f>
      </c>
      <c r="C70" s="19">
        <f>IFERROR(INDEX('Inputs'!$AL$22:$AL$39,MATCH(3,'Inputs'!$AO$22:$AO$39,0)),"")</f>
      </c>
      <c r="D70" s="19">
        <f>IFERROR(INDEX('Inputs'!$AL$22:$AL$39,MATCH(3,'Inputs'!$AO$22:$AO$39,0)),"")</f>
      </c>
    </row>
    <row r="71" ht="15" customHeight="1" spans="2:4" x14ac:dyDescent="0.25">
      <c r="B71" s="7">
        <f>IFERROR("   Sold: "&amp;INDEX('Inputs'!$B$22:$B$39,MATCH(4,'Inputs'!$AO$22:$AO$39,0))&amp;IF(INDEX('Inputs'!$AL$22:$AL$39,MATCH(4,'Inputs'!$AO$22:$AO$39,0))&lt;INDEX('Inputs'!$D$22:$D$39,MATCH(4,'Inputs'!$AO$22:$AO$39,0))," (part)",""),"")</f>
      </c>
      <c r="C71" s="19">
        <f>IFERROR(INDEX('Inputs'!$AL$22:$AL$39,MATCH(4,'Inputs'!$AO$22:$AO$39,0)),"")</f>
      </c>
      <c r="D71" s="19">
        <f>IFERROR(INDEX('Inputs'!$AL$22:$AL$39,MATCH(4,'Inputs'!$AO$22:$AO$39,0)),"")</f>
      </c>
    </row>
    <row r="72" spans="2:4" x14ac:dyDescent="0.25">
      <c r="B72" s="7" t="s">
        <v>260</v>
      </c>
      <c r="C72" s="19">
        <f>C20</f>
      </c>
      <c r="D72" s="19">
        <f>D20</f>
      </c>
    </row>
    <row r="73" spans="2:4" x14ac:dyDescent="0.25">
      <c r="B73" s="30" t="s">
        <v>289</v>
      </c>
      <c r="C73" s="44">
        <f>C66+C67+C72</f>
      </c>
      <c r="D73" s="44">
        <f>D66+D67+D72</f>
      </c>
    </row>
    <row r="74" spans="2:4" x14ac:dyDescent="0.25">
      <c r="B74" s="30" t="s">
        <v>290</v>
      </c>
      <c r="C74" s="44">
        <f>ROUND(MAX(0,C65-C73),2)</f>
      </c>
      <c r="D74" s="44">
        <f>ROUND(MAX(0,D65-D73),2)</f>
      </c>
    </row>
    <row r="75" spans="2:4" x14ac:dyDescent="0.25">
      <c r="B75" s="7" t="s">
        <v>291</v>
      </c>
      <c r="C75" s="19">
        <f>ROUND(MAX(0,C73-C65),2)</f>
      </c>
      <c r="D75" s="19">
        <f>ROUND(MAX(0,D73-D65),2)</f>
      </c>
    </row>
    <row r="76" ht="27" customHeight="1" spans="2:4" x14ac:dyDescent="0.25">
      <c r="B76" s="30" t="s">
        <v>292</v>
      </c>
      <c r="C76" s="44">
        <f>ROUND(C21-C65,2)</f>
      </c>
      <c r="D76" s="44">
        <f>ROUND(D21-D65,2)</f>
      </c>
    </row>
    <row r="78" ht="52" customHeight="1" spans="2:4" x14ac:dyDescent="0.25">
      <c r="B78" s="36">
        <f>"Our standard assumptions: executor "&amp;IF(ROUND('Inputs'!$C$134,0)='Inputs'!$C$134,FIXED('Inputs'!$C$134,0),IF(ROUND('Inputs'!$C$134,1)='Inputs'!$C$134,FIXED('Inputs'!$C$134,1),FIXED('Inputs'!$C$134,2)))&amp;"%"&amp;" plus VAT unless Capital Legacy acts; Master's fees R "&amp;FIXED('Inputs'!$C$136,0)&amp;"; funeral R "&amp;FIXED('Inputs'!$C$137,0)&amp;"; sundries R "&amp;FIXED('Inputs'!$C$138,0)&amp;"; property transfer costs "&amp;IF(ROUND('Inputs'!$C$139,0)='Inputs'!$C$139,FIXED('Inputs'!$C$139,0),IF(ROUND('Inputs'!$C$139,1)='Inputs'!$C$139,FIXED('Inputs'!$C$139,1),FIXED('Inputs'!$C$139,2)))&amp;"%"&amp;" of value; agent's commission "&amp;IF(ROUND('Inputs'!$C$140,0)='Inputs'!$C$140,FIXED('Inputs'!$C$140,0),IF(ROUND('Inputs'!$C$140,1)='Inputs'!$C$140,FIXED('Inputs'!$C$140,1),FIXED('Inputs'!$C$140,2)))&amp;"%"&amp;" plus VAT on a property sold; estate duty "&amp;IF(ROUND('Inputs'!$C$142,0)='Inputs'!$C$142,FIXED('Inputs'!$C$142,0),IF(ROUND('Inputs'!$C$142,1)='Inputs'!$C$142,FIXED('Inputs'!$C$142,1),FIXED('Inputs'!$C$142,2)))&amp;"%"&amp;" above R "&amp;FIXED('Inputs'!$C$141,0)&amp;"; 2027 tax tables. Capital gains tax on death (s.9HA): everything treated as sold at its value; what passes to a spouse rolls over (no tax now), except the part the executor sells. The executor uses cash and deposits first and sells investments only as far as the cash is short, in the order crypto, tax free savings, shares and unit trusts, other investments; crypto with no base cost captured is taken at "&amp;FIXED('Inputs'!$H$135,0)&amp;"% of its value. The Capital Legacy column uses the same sales as today. The Capital Legacy fees stay deductible for estate duty, although the plan pays them."</f>
      </c>
      <c r="C78" s="36"/>
      <c r="D78" s="36"/>
    </row>
  </sheetData>
  <sheetProtection sheet="1" formatRows="0"/>
  <mergeCells count="3">
    <mergeCell ref="B1:D1"/>
    <mergeCell ref="B2:D2"/>
    <mergeCell ref="B78:D78"/>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G66"/>
  <sheetFormatPr defaultRowHeight="15" outlineLevelRow="0" outlineLevelCol="0" x14ac:dyDescent="55"/>
  <cols>
    <col min="1" max="1" width="2" customWidth="1"/>
    <col min="2" max="2" width="34" customWidth="1"/>
  </cols>
  <sheetData>
    <row r="1" spans="2:2" x14ac:dyDescent="0.25">
      <c r="B1" t="s">
        <v>478</v>
      </c>
    </row>
    <row r="2" spans="2:3" x14ac:dyDescent="0.25">
      <c r="B2" t="s">
        <v>479</v>
      </c>
      <c r="C2">
        <f>IF(ABS(AG43-AF43)&lt;0.005,1,0)</f>
      </c>
    </row>
    <row r="3" spans="2:33" x14ac:dyDescent="0.25">
      <c r="B3" t="s">
        <v>75</v>
      </c>
      <c r="C3" t="s">
        <v>480</v>
      </c>
      <c r="D3" t="s">
        <v>481</v>
      </c>
      <c r="E3" t="s">
        <v>482</v>
      </c>
      <c r="F3" t="s">
        <v>483</v>
      </c>
      <c r="G3" t="s">
        <v>484</v>
      </c>
      <c r="H3" t="s">
        <v>485</v>
      </c>
      <c r="I3" t="s">
        <v>16</v>
      </c>
      <c r="J3" t="s">
        <v>32</v>
      </c>
      <c r="K3" t="s">
        <v>486</v>
      </c>
      <c r="M3" t="s">
        <v>487</v>
      </c>
      <c r="N3" t="s">
        <v>488</v>
      </c>
      <c r="O3" t="s">
        <v>489</v>
      </c>
      <c r="P3" t="s">
        <v>490</v>
      </c>
      <c r="Q3" t="s">
        <v>491</v>
      </c>
      <c r="R3" t="s">
        <v>492</v>
      </c>
      <c r="S3" t="s">
        <v>493</v>
      </c>
      <c r="T3" t="s">
        <v>494</v>
      </c>
      <c r="U3" t="s">
        <v>495</v>
      </c>
      <c r="V3" t="s">
        <v>496</v>
      </c>
      <c r="W3" t="s">
        <v>497</v>
      </c>
      <c r="X3" t="s">
        <v>498</v>
      </c>
      <c r="Y3" t="s">
        <v>499</v>
      </c>
      <c r="Z3" t="s">
        <v>500</v>
      </c>
      <c r="AA3" t="s">
        <v>501</v>
      </c>
      <c r="AB3" t="s">
        <v>502</v>
      </c>
      <c r="AC3" t="s">
        <v>503</v>
      </c>
      <c r="AD3" t="s">
        <v>504</v>
      </c>
      <c r="AE3" t="s">
        <v>505</v>
      </c>
      <c r="AF3" t="s">
        <v>506</v>
      </c>
      <c r="AG3" t="s">
        <v>507</v>
      </c>
    </row>
    <row r="5" spans="2:33" x14ac:dyDescent="0.25">
      <c r="B5">
        <f>IF('Inputs'!$B$22="","",'Inputs'!$B$22)</f>
      </c>
      <c r="C5">
        <f>'Inputs'!$AK$22</f>
      </c>
      <c r="D5">
        <f>N('Inputs'!$D$22)</f>
      </c>
      <c r="E5">
        <f>IF(OR('Inputs'!$H$22="Yes",'Inputs'!$C$22="Cash and deposits"),N('Inputs'!$D$22),0)</f>
      </c>
      <c r="F5">
        <f>'Inputs'!$L$22</f>
      </c>
      <c r="G5">
        <f>'Inputs'!$AM$22</f>
      </c>
      <c r="H5">
        <f>IF(OR('Inputs'!$G$22="Spouse",AND('Inputs'!$G$22="Estate (residue)",'Inputs'!$C$14="Spouse")),1,0)</f>
      </c>
      <c r="I5">
        <f>IF('Inputs'!$G$22="Spouse",1,0)</f>
      </c>
      <c r="J5">
        <f>IF('Inputs'!$G$22="Named heir",1,0)</f>
      </c>
      <c r="K5">
        <f>IF(AND(F5=1,'Inputs'!$F$22="Yes",(D5-G5)*IF(D5&gt;0,IF(H5=1,MIN(1,E5/D5),1),0)&gt;0),MIN(ROUND((D5-G5)*IF(D5&gt;0,IF(H5=1,MIN(1,E5/D5),1),0),2),'Inputs'!$H$134),0)</f>
      </c>
      <c r="M5">
        <f>IF(C5=0,0,ROUND(MIN(D5,MAX(0,CHOOSE(C5,M47,M49,M51,M53)-0)),2))</f>
      </c>
      <c r="N5">
        <f>IF(C5=0,0,ROUND(MIN(D5,MAX(0,CHOOSE(C5,N47,N49,N51,N53)-0)),2))</f>
      </c>
      <c r="O5">
        <f>IF(C5=0,0,ROUND(MIN(D5,MAX(0,CHOOSE(C5,O47,O49,O51,O53)-0)),2))</f>
      </c>
      <c r="P5">
        <f>IF(C5=0,0,ROUND(MIN(D5,MAX(0,CHOOSE(C5,P47,P49,P51,P53)-0)),2))</f>
      </c>
      <c r="Q5">
        <f>IF(C5=0,0,ROUND(MIN(D5,MAX(0,CHOOSE(C5,Q47,Q49,Q51,Q53)-0)),2))</f>
      </c>
      <c r="R5">
        <f>IF(C5=0,0,ROUND(MIN(D5,MAX(0,CHOOSE(C5,R47,R49,R51,R53)-0)),2))</f>
      </c>
      <c r="S5">
        <f>IF(C5=0,0,ROUND(MIN(D5,MAX(0,CHOOSE(C5,S47,S49,S51,S53)-0)),2))</f>
      </c>
      <c r="T5">
        <f>IF(C5=0,0,ROUND(MIN(D5,MAX(0,CHOOSE(C5,T47,T49,T51,T53)-0)),2))</f>
      </c>
      <c r="U5">
        <f>IF(C5=0,0,ROUND(MIN(D5,MAX(0,CHOOSE(C5,U47,U49,U51,U53)-0)),2))</f>
      </c>
      <c r="V5">
        <f>IF(C5=0,0,ROUND(MIN(D5,MAX(0,CHOOSE(C5,V47,V49,V51,V53)-0)),2))</f>
      </c>
      <c r="W5">
        <f>IF(C5=0,0,ROUND(MIN(D5,MAX(0,CHOOSE(C5,W47,W49,W51,W53)-0)),2))</f>
      </c>
      <c r="X5">
        <f>IF(C5=0,0,ROUND(MIN(D5,MAX(0,CHOOSE(C5,X47,X49,X51,X53)-0)),2))</f>
      </c>
      <c r="Y5">
        <f>IF(C5=0,0,ROUND(MIN(D5,MAX(0,CHOOSE(C5,Y47,Y49,Y51,Y53)-0)),2))</f>
      </c>
      <c r="Z5">
        <f>IF(C5=0,0,ROUND(MIN(D5,MAX(0,CHOOSE(C5,Z47,Z49,Z51,Z53)-0)),2))</f>
      </c>
      <c r="AA5">
        <f>IF(C5=0,0,ROUND(MIN(D5,MAX(0,CHOOSE(C5,AA47,AA49,AA51,AA53)-0)),2))</f>
      </c>
      <c r="AB5">
        <f>IF(C5=0,0,ROUND(MIN(D5,MAX(0,CHOOSE(C5,AB47,AB49,AB51,AB53)-0)),2))</f>
      </c>
      <c r="AC5">
        <f>IF(C5=0,0,ROUND(MIN(D5,MAX(0,CHOOSE(C5,AC47,AC49,AC51,AC53)-0)),2))</f>
      </c>
      <c r="AD5">
        <f>IF(C5=0,0,ROUND(MIN(D5,MAX(0,CHOOSE(C5,AD47,AD49,AD51,AD53)-0)),2))</f>
      </c>
      <c r="AE5">
        <f>IF(C5=0,0,ROUND(MIN(D5,MAX(0,CHOOSE(C5,AE47,AE49,AE51,AE53)-0)),2))</f>
      </c>
      <c r="AF5">
        <f>IF(C5=0,0,ROUND(MIN(D5,MAX(0,CHOOSE(C5,AF47,AF49,AF51,AF53)-0)),2))</f>
      </c>
      <c r="AG5">
        <f>IF(C5=0,0,ROUND(MIN(D5,MAX(0,CHOOSE(C5,AG47,AG49,AG51,AG53)-0)),2))</f>
      </c>
    </row>
    <row r="6" spans="2:33" x14ac:dyDescent="0.25">
      <c r="B6">
        <f>IF('Inputs'!$B$23="","",'Inputs'!$B$23)</f>
      </c>
      <c r="C6">
        <f>'Inputs'!$AK$23</f>
      </c>
      <c r="D6">
        <f>N('Inputs'!$D$23)</f>
      </c>
      <c r="E6">
        <f>IF(OR('Inputs'!$H$23="Yes",'Inputs'!$C$23="Cash and deposits"),N('Inputs'!$D$23),0)</f>
      </c>
      <c r="F6">
        <f>'Inputs'!$L$23</f>
      </c>
      <c r="G6">
        <f>'Inputs'!$AM$23</f>
      </c>
      <c r="H6">
        <f>IF(OR('Inputs'!$G$23="Spouse",AND('Inputs'!$G$23="Estate (residue)",'Inputs'!$C$14="Spouse")),1,0)</f>
      </c>
      <c r="I6">
        <f>IF('Inputs'!$G$23="Spouse",1,0)</f>
      </c>
      <c r="J6">
        <f>IF('Inputs'!$G$23="Named heir",1,0)</f>
      </c>
      <c r="K6">
        <f>IF(AND(F6=1,'Inputs'!$F$23="Yes",(D6-G6)*IF(D6&gt;0,IF(H6=1,MIN(1,E6/D6),1),0)&gt;0),MIN(ROUND((D6-G6)*IF(D6&gt;0,IF(H6=1,MIN(1,E6/D6),1),0),2),'Inputs'!$H$134),0)</f>
      </c>
      <c r="M6">
        <f>IF(C6=0,0,ROUND(MIN(D6,MAX(0,CHOOSE(C6,M47,M49,M51,M53)-SUMIF($C$5:$C$5,C6,$D$5:$D$5))),2))</f>
      </c>
      <c r="N6">
        <f>IF(C6=0,0,ROUND(MIN(D6,MAX(0,CHOOSE(C6,N47,N49,N51,N53)-SUMIF($C$5:$C$5,C6,$D$5:$D$5))),2))</f>
      </c>
      <c r="O6">
        <f>IF(C6=0,0,ROUND(MIN(D6,MAX(0,CHOOSE(C6,O47,O49,O51,O53)-SUMIF($C$5:$C$5,C6,$D$5:$D$5))),2))</f>
      </c>
      <c r="P6">
        <f>IF(C6=0,0,ROUND(MIN(D6,MAX(0,CHOOSE(C6,P47,P49,P51,P53)-SUMIF($C$5:$C$5,C6,$D$5:$D$5))),2))</f>
      </c>
      <c r="Q6">
        <f>IF(C6=0,0,ROUND(MIN(D6,MAX(0,CHOOSE(C6,Q47,Q49,Q51,Q53)-SUMIF($C$5:$C$5,C6,$D$5:$D$5))),2))</f>
      </c>
      <c r="R6">
        <f>IF(C6=0,0,ROUND(MIN(D6,MAX(0,CHOOSE(C6,R47,R49,R51,R53)-SUMIF($C$5:$C$5,C6,$D$5:$D$5))),2))</f>
      </c>
      <c r="S6">
        <f>IF(C6=0,0,ROUND(MIN(D6,MAX(0,CHOOSE(C6,S47,S49,S51,S53)-SUMIF($C$5:$C$5,C6,$D$5:$D$5))),2))</f>
      </c>
      <c r="T6">
        <f>IF(C6=0,0,ROUND(MIN(D6,MAX(0,CHOOSE(C6,T47,T49,T51,T53)-SUMIF($C$5:$C$5,C6,$D$5:$D$5))),2))</f>
      </c>
      <c r="U6">
        <f>IF(C6=0,0,ROUND(MIN(D6,MAX(0,CHOOSE(C6,U47,U49,U51,U53)-SUMIF($C$5:$C$5,C6,$D$5:$D$5))),2))</f>
      </c>
      <c r="V6">
        <f>IF(C6=0,0,ROUND(MIN(D6,MAX(0,CHOOSE(C6,V47,V49,V51,V53)-SUMIF($C$5:$C$5,C6,$D$5:$D$5))),2))</f>
      </c>
      <c r="W6">
        <f>IF(C6=0,0,ROUND(MIN(D6,MAX(0,CHOOSE(C6,W47,W49,W51,W53)-SUMIF($C$5:$C$5,C6,$D$5:$D$5))),2))</f>
      </c>
      <c r="X6">
        <f>IF(C6=0,0,ROUND(MIN(D6,MAX(0,CHOOSE(C6,X47,X49,X51,X53)-SUMIF($C$5:$C$5,C6,$D$5:$D$5))),2))</f>
      </c>
      <c r="Y6">
        <f>IF(C6=0,0,ROUND(MIN(D6,MAX(0,CHOOSE(C6,Y47,Y49,Y51,Y53)-SUMIF($C$5:$C$5,C6,$D$5:$D$5))),2))</f>
      </c>
      <c r="Z6">
        <f>IF(C6=0,0,ROUND(MIN(D6,MAX(0,CHOOSE(C6,Z47,Z49,Z51,Z53)-SUMIF($C$5:$C$5,C6,$D$5:$D$5))),2))</f>
      </c>
      <c r="AA6">
        <f>IF(C6=0,0,ROUND(MIN(D6,MAX(0,CHOOSE(C6,AA47,AA49,AA51,AA53)-SUMIF($C$5:$C$5,C6,$D$5:$D$5))),2))</f>
      </c>
      <c r="AB6">
        <f>IF(C6=0,0,ROUND(MIN(D6,MAX(0,CHOOSE(C6,AB47,AB49,AB51,AB53)-SUMIF($C$5:$C$5,C6,$D$5:$D$5))),2))</f>
      </c>
      <c r="AC6">
        <f>IF(C6=0,0,ROUND(MIN(D6,MAX(0,CHOOSE(C6,AC47,AC49,AC51,AC53)-SUMIF($C$5:$C$5,C6,$D$5:$D$5))),2))</f>
      </c>
      <c r="AD6">
        <f>IF(C6=0,0,ROUND(MIN(D6,MAX(0,CHOOSE(C6,AD47,AD49,AD51,AD53)-SUMIF($C$5:$C$5,C6,$D$5:$D$5))),2))</f>
      </c>
      <c r="AE6">
        <f>IF(C6=0,0,ROUND(MIN(D6,MAX(0,CHOOSE(C6,AE47,AE49,AE51,AE53)-SUMIF($C$5:$C$5,C6,$D$5:$D$5))),2))</f>
      </c>
      <c r="AF6">
        <f>IF(C6=0,0,ROUND(MIN(D6,MAX(0,CHOOSE(C6,AF47,AF49,AF51,AF53)-SUMIF($C$5:$C$5,C6,$D$5:$D$5))),2))</f>
      </c>
      <c r="AG6">
        <f>IF(C6=0,0,ROUND(MIN(D6,MAX(0,CHOOSE(C6,AG47,AG49,AG51,AG53)-SUMIF($C$5:$C$5,C6,$D$5:$D$5))),2))</f>
      </c>
    </row>
    <row r="7" spans="2:33" x14ac:dyDescent="0.25">
      <c r="B7">
        <f>IF('Inputs'!$B$24="","",'Inputs'!$B$24)</f>
      </c>
      <c r="C7">
        <f>'Inputs'!$AK$24</f>
      </c>
      <c r="D7">
        <f>N('Inputs'!$D$24)</f>
      </c>
      <c r="E7">
        <f>IF(OR('Inputs'!$H$24="Yes",'Inputs'!$C$24="Cash and deposits"),N('Inputs'!$D$24),0)</f>
      </c>
      <c r="F7">
        <f>'Inputs'!$L$24</f>
      </c>
      <c r="G7">
        <f>'Inputs'!$AM$24</f>
      </c>
      <c r="H7">
        <f>IF(OR('Inputs'!$G$24="Spouse",AND('Inputs'!$G$24="Estate (residue)",'Inputs'!$C$14="Spouse")),1,0)</f>
      </c>
      <c r="I7">
        <f>IF('Inputs'!$G$24="Spouse",1,0)</f>
      </c>
      <c r="J7">
        <f>IF('Inputs'!$G$24="Named heir",1,0)</f>
      </c>
      <c r="K7">
        <f>IF(AND(F7=1,'Inputs'!$F$24="Yes",(D7-G7)*IF(D7&gt;0,IF(H7=1,MIN(1,E7/D7),1),0)&gt;0),MIN(ROUND((D7-G7)*IF(D7&gt;0,IF(H7=1,MIN(1,E7/D7),1),0),2),'Inputs'!$H$134),0)</f>
      </c>
      <c r="M7">
        <f>IF(C7=0,0,ROUND(MIN(D7,MAX(0,CHOOSE(C7,M47,M49,M51,M53)-SUMIF($C$5:$C$6,C7,$D$5:$D$6))),2))</f>
      </c>
      <c r="N7">
        <f>IF(C7=0,0,ROUND(MIN(D7,MAX(0,CHOOSE(C7,N47,N49,N51,N53)-SUMIF($C$5:$C$6,C7,$D$5:$D$6))),2))</f>
      </c>
      <c r="O7">
        <f>IF(C7=0,0,ROUND(MIN(D7,MAX(0,CHOOSE(C7,O47,O49,O51,O53)-SUMIF($C$5:$C$6,C7,$D$5:$D$6))),2))</f>
      </c>
      <c r="P7">
        <f>IF(C7=0,0,ROUND(MIN(D7,MAX(0,CHOOSE(C7,P47,P49,P51,P53)-SUMIF($C$5:$C$6,C7,$D$5:$D$6))),2))</f>
      </c>
      <c r="Q7">
        <f>IF(C7=0,0,ROUND(MIN(D7,MAX(0,CHOOSE(C7,Q47,Q49,Q51,Q53)-SUMIF($C$5:$C$6,C7,$D$5:$D$6))),2))</f>
      </c>
      <c r="R7">
        <f>IF(C7=0,0,ROUND(MIN(D7,MAX(0,CHOOSE(C7,R47,R49,R51,R53)-SUMIF($C$5:$C$6,C7,$D$5:$D$6))),2))</f>
      </c>
      <c r="S7">
        <f>IF(C7=0,0,ROUND(MIN(D7,MAX(0,CHOOSE(C7,S47,S49,S51,S53)-SUMIF($C$5:$C$6,C7,$D$5:$D$6))),2))</f>
      </c>
      <c r="T7">
        <f>IF(C7=0,0,ROUND(MIN(D7,MAX(0,CHOOSE(C7,T47,T49,T51,T53)-SUMIF($C$5:$C$6,C7,$D$5:$D$6))),2))</f>
      </c>
      <c r="U7">
        <f>IF(C7=0,0,ROUND(MIN(D7,MAX(0,CHOOSE(C7,U47,U49,U51,U53)-SUMIF($C$5:$C$6,C7,$D$5:$D$6))),2))</f>
      </c>
      <c r="V7">
        <f>IF(C7=0,0,ROUND(MIN(D7,MAX(0,CHOOSE(C7,V47,V49,V51,V53)-SUMIF($C$5:$C$6,C7,$D$5:$D$6))),2))</f>
      </c>
      <c r="W7">
        <f>IF(C7=0,0,ROUND(MIN(D7,MAX(0,CHOOSE(C7,W47,W49,W51,W53)-SUMIF($C$5:$C$6,C7,$D$5:$D$6))),2))</f>
      </c>
      <c r="X7">
        <f>IF(C7=0,0,ROUND(MIN(D7,MAX(0,CHOOSE(C7,X47,X49,X51,X53)-SUMIF($C$5:$C$6,C7,$D$5:$D$6))),2))</f>
      </c>
      <c r="Y7">
        <f>IF(C7=0,0,ROUND(MIN(D7,MAX(0,CHOOSE(C7,Y47,Y49,Y51,Y53)-SUMIF($C$5:$C$6,C7,$D$5:$D$6))),2))</f>
      </c>
      <c r="Z7">
        <f>IF(C7=0,0,ROUND(MIN(D7,MAX(0,CHOOSE(C7,Z47,Z49,Z51,Z53)-SUMIF($C$5:$C$6,C7,$D$5:$D$6))),2))</f>
      </c>
      <c r="AA7">
        <f>IF(C7=0,0,ROUND(MIN(D7,MAX(0,CHOOSE(C7,AA47,AA49,AA51,AA53)-SUMIF($C$5:$C$6,C7,$D$5:$D$6))),2))</f>
      </c>
      <c r="AB7">
        <f>IF(C7=0,0,ROUND(MIN(D7,MAX(0,CHOOSE(C7,AB47,AB49,AB51,AB53)-SUMIF($C$5:$C$6,C7,$D$5:$D$6))),2))</f>
      </c>
      <c r="AC7">
        <f>IF(C7=0,0,ROUND(MIN(D7,MAX(0,CHOOSE(C7,AC47,AC49,AC51,AC53)-SUMIF($C$5:$C$6,C7,$D$5:$D$6))),2))</f>
      </c>
      <c r="AD7">
        <f>IF(C7=0,0,ROUND(MIN(D7,MAX(0,CHOOSE(C7,AD47,AD49,AD51,AD53)-SUMIF($C$5:$C$6,C7,$D$5:$D$6))),2))</f>
      </c>
      <c r="AE7">
        <f>IF(C7=0,0,ROUND(MIN(D7,MAX(0,CHOOSE(C7,AE47,AE49,AE51,AE53)-SUMIF($C$5:$C$6,C7,$D$5:$D$6))),2))</f>
      </c>
      <c r="AF7">
        <f>IF(C7=0,0,ROUND(MIN(D7,MAX(0,CHOOSE(C7,AF47,AF49,AF51,AF53)-SUMIF($C$5:$C$6,C7,$D$5:$D$6))),2))</f>
      </c>
      <c r="AG7">
        <f>IF(C7=0,0,ROUND(MIN(D7,MAX(0,CHOOSE(C7,AG47,AG49,AG51,AG53)-SUMIF($C$5:$C$6,C7,$D$5:$D$6))),2))</f>
      </c>
    </row>
    <row r="8" spans="2:33" x14ac:dyDescent="0.25">
      <c r="B8">
        <f>IF('Inputs'!$B$25="","",'Inputs'!$B$25)</f>
      </c>
      <c r="C8">
        <f>'Inputs'!$AK$25</f>
      </c>
      <c r="D8">
        <f>N('Inputs'!$D$25)</f>
      </c>
      <c r="E8">
        <f>IF(OR('Inputs'!$H$25="Yes",'Inputs'!$C$25="Cash and deposits"),N('Inputs'!$D$25),0)</f>
      </c>
      <c r="F8">
        <f>'Inputs'!$L$25</f>
      </c>
      <c r="G8">
        <f>'Inputs'!$AM$25</f>
      </c>
      <c r="H8">
        <f>IF(OR('Inputs'!$G$25="Spouse",AND('Inputs'!$G$25="Estate (residue)",'Inputs'!$C$14="Spouse")),1,0)</f>
      </c>
      <c r="I8">
        <f>IF('Inputs'!$G$25="Spouse",1,0)</f>
      </c>
      <c r="J8">
        <f>IF('Inputs'!$G$25="Named heir",1,0)</f>
      </c>
      <c r="K8">
        <f>IF(AND(F8=1,'Inputs'!$F$25="Yes",(D8-G8)*IF(D8&gt;0,IF(H8=1,MIN(1,E8/D8),1),0)&gt;0),MIN(ROUND((D8-G8)*IF(D8&gt;0,IF(H8=1,MIN(1,E8/D8),1),0),2),'Inputs'!$H$134),0)</f>
      </c>
      <c r="M8">
        <f>IF(C8=0,0,ROUND(MIN(D8,MAX(0,CHOOSE(C8,M47,M49,M51,M53)-SUMIF($C$5:$C$7,C8,$D$5:$D$7))),2))</f>
      </c>
      <c r="N8">
        <f>IF(C8=0,0,ROUND(MIN(D8,MAX(0,CHOOSE(C8,N47,N49,N51,N53)-SUMIF($C$5:$C$7,C8,$D$5:$D$7))),2))</f>
      </c>
      <c r="O8">
        <f>IF(C8=0,0,ROUND(MIN(D8,MAX(0,CHOOSE(C8,O47,O49,O51,O53)-SUMIF($C$5:$C$7,C8,$D$5:$D$7))),2))</f>
      </c>
      <c r="P8">
        <f>IF(C8=0,0,ROUND(MIN(D8,MAX(0,CHOOSE(C8,P47,P49,P51,P53)-SUMIF($C$5:$C$7,C8,$D$5:$D$7))),2))</f>
      </c>
      <c r="Q8">
        <f>IF(C8=0,0,ROUND(MIN(D8,MAX(0,CHOOSE(C8,Q47,Q49,Q51,Q53)-SUMIF($C$5:$C$7,C8,$D$5:$D$7))),2))</f>
      </c>
      <c r="R8">
        <f>IF(C8=0,0,ROUND(MIN(D8,MAX(0,CHOOSE(C8,R47,R49,R51,R53)-SUMIF($C$5:$C$7,C8,$D$5:$D$7))),2))</f>
      </c>
      <c r="S8">
        <f>IF(C8=0,0,ROUND(MIN(D8,MAX(0,CHOOSE(C8,S47,S49,S51,S53)-SUMIF($C$5:$C$7,C8,$D$5:$D$7))),2))</f>
      </c>
      <c r="T8">
        <f>IF(C8=0,0,ROUND(MIN(D8,MAX(0,CHOOSE(C8,T47,T49,T51,T53)-SUMIF($C$5:$C$7,C8,$D$5:$D$7))),2))</f>
      </c>
      <c r="U8">
        <f>IF(C8=0,0,ROUND(MIN(D8,MAX(0,CHOOSE(C8,U47,U49,U51,U53)-SUMIF($C$5:$C$7,C8,$D$5:$D$7))),2))</f>
      </c>
      <c r="V8">
        <f>IF(C8=0,0,ROUND(MIN(D8,MAX(0,CHOOSE(C8,V47,V49,V51,V53)-SUMIF($C$5:$C$7,C8,$D$5:$D$7))),2))</f>
      </c>
      <c r="W8">
        <f>IF(C8=0,0,ROUND(MIN(D8,MAX(0,CHOOSE(C8,W47,W49,W51,W53)-SUMIF($C$5:$C$7,C8,$D$5:$D$7))),2))</f>
      </c>
      <c r="X8">
        <f>IF(C8=0,0,ROUND(MIN(D8,MAX(0,CHOOSE(C8,X47,X49,X51,X53)-SUMIF($C$5:$C$7,C8,$D$5:$D$7))),2))</f>
      </c>
      <c r="Y8">
        <f>IF(C8=0,0,ROUND(MIN(D8,MAX(0,CHOOSE(C8,Y47,Y49,Y51,Y53)-SUMIF($C$5:$C$7,C8,$D$5:$D$7))),2))</f>
      </c>
      <c r="Z8">
        <f>IF(C8=0,0,ROUND(MIN(D8,MAX(0,CHOOSE(C8,Z47,Z49,Z51,Z53)-SUMIF($C$5:$C$7,C8,$D$5:$D$7))),2))</f>
      </c>
      <c r="AA8">
        <f>IF(C8=0,0,ROUND(MIN(D8,MAX(0,CHOOSE(C8,AA47,AA49,AA51,AA53)-SUMIF($C$5:$C$7,C8,$D$5:$D$7))),2))</f>
      </c>
      <c r="AB8">
        <f>IF(C8=0,0,ROUND(MIN(D8,MAX(0,CHOOSE(C8,AB47,AB49,AB51,AB53)-SUMIF($C$5:$C$7,C8,$D$5:$D$7))),2))</f>
      </c>
      <c r="AC8">
        <f>IF(C8=0,0,ROUND(MIN(D8,MAX(0,CHOOSE(C8,AC47,AC49,AC51,AC53)-SUMIF($C$5:$C$7,C8,$D$5:$D$7))),2))</f>
      </c>
      <c r="AD8">
        <f>IF(C8=0,0,ROUND(MIN(D8,MAX(0,CHOOSE(C8,AD47,AD49,AD51,AD53)-SUMIF($C$5:$C$7,C8,$D$5:$D$7))),2))</f>
      </c>
      <c r="AE8">
        <f>IF(C8=0,0,ROUND(MIN(D8,MAX(0,CHOOSE(C8,AE47,AE49,AE51,AE53)-SUMIF($C$5:$C$7,C8,$D$5:$D$7))),2))</f>
      </c>
      <c r="AF8">
        <f>IF(C8=0,0,ROUND(MIN(D8,MAX(0,CHOOSE(C8,AF47,AF49,AF51,AF53)-SUMIF($C$5:$C$7,C8,$D$5:$D$7))),2))</f>
      </c>
      <c r="AG8">
        <f>IF(C8=0,0,ROUND(MIN(D8,MAX(0,CHOOSE(C8,AG47,AG49,AG51,AG53)-SUMIF($C$5:$C$7,C8,$D$5:$D$7))),2))</f>
      </c>
    </row>
    <row r="9" spans="2:33" x14ac:dyDescent="0.25">
      <c r="B9">
        <f>IF('Inputs'!$B$26="","",'Inputs'!$B$26)</f>
      </c>
      <c r="C9">
        <f>'Inputs'!$AK$26</f>
      </c>
      <c r="D9">
        <f>N('Inputs'!$D$26)</f>
      </c>
      <c r="E9">
        <f>IF(OR('Inputs'!$H$26="Yes",'Inputs'!$C$26="Cash and deposits"),N('Inputs'!$D$26),0)</f>
      </c>
      <c r="F9">
        <f>'Inputs'!$L$26</f>
      </c>
      <c r="G9">
        <f>'Inputs'!$AM$26</f>
      </c>
      <c r="H9">
        <f>IF(OR('Inputs'!$G$26="Spouse",AND('Inputs'!$G$26="Estate (residue)",'Inputs'!$C$14="Spouse")),1,0)</f>
      </c>
      <c r="I9">
        <f>IF('Inputs'!$G$26="Spouse",1,0)</f>
      </c>
      <c r="J9">
        <f>IF('Inputs'!$G$26="Named heir",1,0)</f>
      </c>
      <c r="K9">
        <f>IF(AND(F9=1,'Inputs'!$F$26="Yes",(D9-G9)*IF(D9&gt;0,IF(H9=1,MIN(1,E9/D9),1),0)&gt;0),MIN(ROUND((D9-G9)*IF(D9&gt;0,IF(H9=1,MIN(1,E9/D9),1),0),2),'Inputs'!$H$134),0)</f>
      </c>
      <c r="M9">
        <f>IF(C9=0,0,ROUND(MIN(D9,MAX(0,CHOOSE(C9,M47,M49,M51,M53)-SUMIF($C$5:$C$8,C9,$D$5:$D$8))),2))</f>
      </c>
      <c r="N9">
        <f>IF(C9=0,0,ROUND(MIN(D9,MAX(0,CHOOSE(C9,N47,N49,N51,N53)-SUMIF($C$5:$C$8,C9,$D$5:$D$8))),2))</f>
      </c>
      <c r="O9">
        <f>IF(C9=0,0,ROUND(MIN(D9,MAX(0,CHOOSE(C9,O47,O49,O51,O53)-SUMIF($C$5:$C$8,C9,$D$5:$D$8))),2))</f>
      </c>
      <c r="P9">
        <f>IF(C9=0,0,ROUND(MIN(D9,MAX(0,CHOOSE(C9,P47,P49,P51,P53)-SUMIF($C$5:$C$8,C9,$D$5:$D$8))),2))</f>
      </c>
      <c r="Q9">
        <f>IF(C9=0,0,ROUND(MIN(D9,MAX(0,CHOOSE(C9,Q47,Q49,Q51,Q53)-SUMIF($C$5:$C$8,C9,$D$5:$D$8))),2))</f>
      </c>
      <c r="R9">
        <f>IF(C9=0,0,ROUND(MIN(D9,MAX(0,CHOOSE(C9,R47,R49,R51,R53)-SUMIF($C$5:$C$8,C9,$D$5:$D$8))),2))</f>
      </c>
      <c r="S9">
        <f>IF(C9=0,0,ROUND(MIN(D9,MAX(0,CHOOSE(C9,S47,S49,S51,S53)-SUMIF($C$5:$C$8,C9,$D$5:$D$8))),2))</f>
      </c>
      <c r="T9">
        <f>IF(C9=0,0,ROUND(MIN(D9,MAX(0,CHOOSE(C9,T47,T49,T51,T53)-SUMIF($C$5:$C$8,C9,$D$5:$D$8))),2))</f>
      </c>
      <c r="U9">
        <f>IF(C9=0,0,ROUND(MIN(D9,MAX(0,CHOOSE(C9,U47,U49,U51,U53)-SUMIF($C$5:$C$8,C9,$D$5:$D$8))),2))</f>
      </c>
      <c r="V9">
        <f>IF(C9=0,0,ROUND(MIN(D9,MAX(0,CHOOSE(C9,V47,V49,V51,V53)-SUMIF($C$5:$C$8,C9,$D$5:$D$8))),2))</f>
      </c>
      <c r="W9">
        <f>IF(C9=0,0,ROUND(MIN(D9,MAX(0,CHOOSE(C9,W47,W49,W51,W53)-SUMIF($C$5:$C$8,C9,$D$5:$D$8))),2))</f>
      </c>
      <c r="X9">
        <f>IF(C9=0,0,ROUND(MIN(D9,MAX(0,CHOOSE(C9,X47,X49,X51,X53)-SUMIF($C$5:$C$8,C9,$D$5:$D$8))),2))</f>
      </c>
      <c r="Y9">
        <f>IF(C9=0,0,ROUND(MIN(D9,MAX(0,CHOOSE(C9,Y47,Y49,Y51,Y53)-SUMIF($C$5:$C$8,C9,$D$5:$D$8))),2))</f>
      </c>
      <c r="Z9">
        <f>IF(C9=0,0,ROUND(MIN(D9,MAX(0,CHOOSE(C9,Z47,Z49,Z51,Z53)-SUMIF($C$5:$C$8,C9,$D$5:$D$8))),2))</f>
      </c>
      <c r="AA9">
        <f>IF(C9=0,0,ROUND(MIN(D9,MAX(0,CHOOSE(C9,AA47,AA49,AA51,AA53)-SUMIF($C$5:$C$8,C9,$D$5:$D$8))),2))</f>
      </c>
      <c r="AB9">
        <f>IF(C9=0,0,ROUND(MIN(D9,MAX(0,CHOOSE(C9,AB47,AB49,AB51,AB53)-SUMIF($C$5:$C$8,C9,$D$5:$D$8))),2))</f>
      </c>
      <c r="AC9">
        <f>IF(C9=0,0,ROUND(MIN(D9,MAX(0,CHOOSE(C9,AC47,AC49,AC51,AC53)-SUMIF($C$5:$C$8,C9,$D$5:$D$8))),2))</f>
      </c>
      <c r="AD9">
        <f>IF(C9=0,0,ROUND(MIN(D9,MAX(0,CHOOSE(C9,AD47,AD49,AD51,AD53)-SUMIF($C$5:$C$8,C9,$D$5:$D$8))),2))</f>
      </c>
      <c r="AE9">
        <f>IF(C9=0,0,ROUND(MIN(D9,MAX(0,CHOOSE(C9,AE47,AE49,AE51,AE53)-SUMIF($C$5:$C$8,C9,$D$5:$D$8))),2))</f>
      </c>
      <c r="AF9">
        <f>IF(C9=0,0,ROUND(MIN(D9,MAX(0,CHOOSE(C9,AF47,AF49,AF51,AF53)-SUMIF($C$5:$C$8,C9,$D$5:$D$8))),2))</f>
      </c>
      <c r="AG9">
        <f>IF(C9=0,0,ROUND(MIN(D9,MAX(0,CHOOSE(C9,AG47,AG49,AG51,AG53)-SUMIF($C$5:$C$8,C9,$D$5:$D$8))),2))</f>
      </c>
    </row>
    <row r="10" spans="2:33" x14ac:dyDescent="0.25">
      <c r="B10">
        <f>IF('Inputs'!$B$27="","",'Inputs'!$B$27)</f>
      </c>
      <c r="C10">
        <f>'Inputs'!$AK$27</f>
      </c>
      <c r="D10">
        <f>N('Inputs'!$D$27)</f>
      </c>
      <c r="E10">
        <f>IF(OR('Inputs'!$H$27="Yes",'Inputs'!$C$27="Cash and deposits"),N('Inputs'!$D$27),0)</f>
      </c>
      <c r="F10">
        <f>'Inputs'!$L$27</f>
      </c>
      <c r="G10">
        <f>'Inputs'!$AM$27</f>
      </c>
      <c r="H10">
        <f>IF(OR('Inputs'!$G$27="Spouse",AND('Inputs'!$G$27="Estate (residue)",'Inputs'!$C$14="Spouse")),1,0)</f>
      </c>
      <c r="I10">
        <f>IF('Inputs'!$G$27="Spouse",1,0)</f>
      </c>
      <c r="J10">
        <f>IF('Inputs'!$G$27="Named heir",1,0)</f>
      </c>
      <c r="K10">
        <f>IF(AND(F10=1,'Inputs'!$F$27="Yes",(D10-G10)*IF(D10&gt;0,IF(H10=1,MIN(1,E10/D10),1),0)&gt;0),MIN(ROUND((D10-G10)*IF(D10&gt;0,IF(H10=1,MIN(1,E10/D10),1),0),2),'Inputs'!$H$134),0)</f>
      </c>
      <c r="M10">
        <f>IF(C10=0,0,ROUND(MIN(D10,MAX(0,CHOOSE(C10,M47,M49,M51,M53)-SUMIF($C$5:$C$9,C10,$D$5:$D$9))),2))</f>
      </c>
      <c r="N10">
        <f>IF(C10=0,0,ROUND(MIN(D10,MAX(0,CHOOSE(C10,N47,N49,N51,N53)-SUMIF($C$5:$C$9,C10,$D$5:$D$9))),2))</f>
      </c>
      <c r="O10">
        <f>IF(C10=0,0,ROUND(MIN(D10,MAX(0,CHOOSE(C10,O47,O49,O51,O53)-SUMIF($C$5:$C$9,C10,$D$5:$D$9))),2))</f>
      </c>
      <c r="P10">
        <f>IF(C10=0,0,ROUND(MIN(D10,MAX(0,CHOOSE(C10,P47,P49,P51,P53)-SUMIF($C$5:$C$9,C10,$D$5:$D$9))),2))</f>
      </c>
      <c r="Q10">
        <f>IF(C10=0,0,ROUND(MIN(D10,MAX(0,CHOOSE(C10,Q47,Q49,Q51,Q53)-SUMIF($C$5:$C$9,C10,$D$5:$D$9))),2))</f>
      </c>
      <c r="R10">
        <f>IF(C10=0,0,ROUND(MIN(D10,MAX(0,CHOOSE(C10,R47,R49,R51,R53)-SUMIF($C$5:$C$9,C10,$D$5:$D$9))),2))</f>
      </c>
      <c r="S10">
        <f>IF(C10=0,0,ROUND(MIN(D10,MAX(0,CHOOSE(C10,S47,S49,S51,S53)-SUMIF($C$5:$C$9,C10,$D$5:$D$9))),2))</f>
      </c>
      <c r="T10">
        <f>IF(C10=0,0,ROUND(MIN(D10,MAX(0,CHOOSE(C10,T47,T49,T51,T53)-SUMIF($C$5:$C$9,C10,$D$5:$D$9))),2))</f>
      </c>
      <c r="U10">
        <f>IF(C10=0,0,ROUND(MIN(D10,MAX(0,CHOOSE(C10,U47,U49,U51,U53)-SUMIF($C$5:$C$9,C10,$D$5:$D$9))),2))</f>
      </c>
      <c r="V10">
        <f>IF(C10=0,0,ROUND(MIN(D10,MAX(0,CHOOSE(C10,V47,V49,V51,V53)-SUMIF($C$5:$C$9,C10,$D$5:$D$9))),2))</f>
      </c>
      <c r="W10">
        <f>IF(C10=0,0,ROUND(MIN(D10,MAX(0,CHOOSE(C10,W47,W49,W51,W53)-SUMIF($C$5:$C$9,C10,$D$5:$D$9))),2))</f>
      </c>
      <c r="X10">
        <f>IF(C10=0,0,ROUND(MIN(D10,MAX(0,CHOOSE(C10,X47,X49,X51,X53)-SUMIF($C$5:$C$9,C10,$D$5:$D$9))),2))</f>
      </c>
      <c r="Y10">
        <f>IF(C10=0,0,ROUND(MIN(D10,MAX(0,CHOOSE(C10,Y47,Y49,Y51,Y53)-SUMIF($C$5:$C$9,C10,$D$5:$D$9))),2))</f>
      </c>
      <c r="Z10">
        <f>IF(C10=0,0,ROUND(MIN(D10,MAX(0,CHOOSE(C10,Z47,Z49,Z51,Z53)-SUMIF($C$5:$C$9,C10,$D$5:$D$9))),2))</f>
      </c>
      <c r="AA10">
        <f>IF(C10=0,0,ROUND(MIN(D10,MAX(0,CHOOSE(C10,AA47,AA49,AA51,AA53)-SUMIF($C$5:$C$9,C10,$D$5:$D$9))),2))</f>
      </c>
      <c r="AB10">
        <f>IF(C10=0,0,ROUND(MIN(D10,MAX(0,CHOOSE(C10,AB47,AB49,AB51,AB53)-SUMIF($C$5:$C$9,C10,$D$5:$D$9))),2))</f>
      </c>
      <c r="AC10">
        <f>IF(C10=0,0,ROUND(MIN(D10,MAX(0,CHOOSE(C10,AC47,AC49,AC51,AC53)-SUMIF($C$5:$C$9,C10,$D$5:$D$9))),2))</f>
      </c>
      <c r="AD10">
        <f>IF(C10=0,0,ROUND(MIN(D10,MAX(0,CHOOSE(C10,AD47,AD49,AD51,AD53)-SUMIF($C$5:$C$9,C10,$D$5:$D$9))),2))</f>
      </c>
      <c r="AE10">
        <f>IF(C10=0,0,ROUND(MIN(D10,MAX(0,CHOOSE(C10,AE47,AE49,AE51,AE53)-SUMIF($C$5:$C$9,C10,$D$5:$D$9))),2))</f>
      </c>
      <c r="AF10">
        <f>IF(C10=0,0,ROUND(MIN(D10,MAX(0,CHOOSE(C10,AF47,AF49,AF51,AF53)-SUMIF($C$5:$C$9,C10,$D$5:$D$9))),2))</f>
      </c>
      <c r="AG10">
        <f>IF(C10=0,0,ROUND(MIN(D10,MAX(0,CHOOSE(C10,AG47,AG49,AG51,AG53)-SUMIF($C$5:$C$9,C10,$D$5:$D$9))),2))</f>
      </c>
    </row>
    <row r="11" spans="2:33" x14ac:dyDescent="0.25">
      <c r="B11">
        <f>IF('Inputs'!$B$28="","",'Inputs'!$B$28)</f>
      </c>
      <c r="C11">
        <f>'Inputs'!$AK$28</f>
      </c>
      <c r="D11">
        <f>N('Inputs'!$D$28)</f>
      </c>
      <c r="E11">
        <f>IF(OR('Inputs'!$H$28="Yes",'Inputs'!$C$28="Cash and deposits"),N('Inputs'!$D$28),0)</f>
      </c>
      <c r="F11">
        <f>'Inputs'!$L$28</f>
      </c>
      <c r="G11">
        <f>'Inputs'!$AM$28</f>
      </c>
      <c r="H11">
        <f>IF(OR('Inputs'!$G$28="Spouse",AND('Inputs'!$G$28="Estate (residue)",'Inputs'!$C$14="Spouse")),1,0)</f>
      </c>
      <c r="I11">
        <f>IF('Inputs'!$G$28="Spouse",1,0)</f>
      </c>
      <c r="J11">
        <f>IF('Inputs'!$G$28="Named heir",1,0)</f>
      </c>
      <c r="K11">
        <f>IF(AND(F11=1,'Inputs'!$F$28="Yes",(D11-G11)*IF(D11&gt;0,IF(H11=1,MIN(1,E11/D11),1),0)&gt;0),MIN(ROUND((D11-G11)*IF(D11&gt;0,IF(H11=1,MIN(1,E11/D11),1),0),2),'Inputs'!$H$134),0)</f>
      </c>
      <c r="M11">
        <f>IF(C11=0,0,ROUND(MIN(D11,MAX(0,CHOOSE(C11,M47,M49,M51,M53)-SUMIF($C$5:$C$10,C11,$D$5:$D$10))),2))</f>
      </c>
      <c r="N11">
        <f>IF(C11=0,0,ROUND(MIN(D11,MAX(0,CHOOSE(C11,N47,N49,N51,N53)-SUMIF($C$5:$C$10,C11,$D$5:$D$10))),2))</f>
      </c>
      <c r="O11">
        <f>IF(C11=0,0,ROUND(MIN(D11,MAX(0,CHOOSE(C11,O47,O49,O51,O53)-SUMIF($C$5:$C$10,C11,$D$5:$D$10))),2))</f>
      </c>
      <c r="P11">
        <f>IF(C11=0,0,ROUND(MIN(D11,MAX(0,CHOOSE(C11,P47,P49,P51,P53)-SUMIF($C$5:$C$10,C11,$D$5:$D$10))),2))</f>
      </c>
      <c r="Q11">
        <f>IF(C11=0,0,ROUND(MIN(D11,MAX(0,CHOOSE(C11,Q47,Q49,Q51,Q53)-SUMIF($C$5:$C$10,C11,$D$5:$D$10))),2))</f>
      </c>
      <c r="R11">
        <f>IF(C11=0,0,ROUND(MIN(D11,MAX(0,CHOOSE(C11,R47,R49,R51,R53)-SUMIF($C$5:$C$10,C11,$D$5:$D$10))),2))</f>
      </c>
      <c r="S11">
        <f>IF(C11=0,0,ROUND(MIN(D11,MAX(0,CHOOSE(C11,S47,S49,S51,S53)-SUMIF($C$5:$C$10,C11,$D$5:$D$10))),2))</f>
      </c>
      <c r="T11">
        <f>IF(C11=0,0,ROUND(MIN(D11,MAX(0,CHOOSE(C11,T47,T49,T51,T53)-SUMIF($C$5:$C$10,C11,$D$5:$D$10))),2))</f>
      </c>
      <c r="U11">
        <f>IF(C11=0,0,ROUND(MIN(D11,MAX(0,CHOOSE(C11,U47,U49,U51,U53)-SUMIF($C$5:$C$10,C11,$D$5:$D$10))),2))</f>
      </c>
      <c r="V11">
        <f>IF(C11=0,0,ROUND(MIN(D11,MAX(0,CHOOSE(C11,V47,V49,V51,V53)-SUMIF($C$5:$C$10,C11,$D$5:$D$10))),2))</f>
      </c>
      <c r="W11">
        <f>IF(C11=0,0,ROUND(MIN(D11,MAX(0,CHOOSE(C11,W47,W49,W51,W53)-SUMIF($C$5:$C$10,C11,$D$5:$D$10))),2))</f>
      </c>
      <c r="X11">
        <f>IF(C11=0,0,ROUND(MIN(D11,MAX(0,CHOOSE(C11,X47,X49,X51,X53)-SUMIF($C$5:$C$10,C11,$D$5:$D$10))),2))</f>
      </c>
      <c r="Y11">
        <f>IF(C11=0,0,ROUND(MIN(D11,MAX(0,CHOOSE(C11,Y47,Y49,Y51,Y53)-SUMIF($C$5:$C$10,C11,$D$5:$D$10))),2))</f>
      </c>
      <c r="Z11">
        <f>IF(C11=0,0,ROUND(MIN(D11,MAX(0,CHOOSE(C11,Z47,Z49,Z51,Z53)-SUMIF($C$5:$C$10,C11,$D$5:$D$10))),2))</f>
      </c>
      <c r="AA11">
        <f>IF(C11=0,0,ROUND(MIN(D11,MAX(0,CHOOSE(C11,AA47,AA49,AA51,AA53)-SUMIF($C$5:$C$10,C11,$D$5:$D$10))),2))</f>
      </c>
      <c r="AB11">
        <f>IF(C11=0,0,ROUND(MIN(D11,MAX(0,CHOOSE(C11,AB47,AB49,AB51,AB53)-SUMIF($C$5:$C$10,C11,$D$5:$D$10))),2))</f>
      </c>
      <c r="AC11">
        <f>IF(C11=0,0,ROUND(MIN(D11,MAX(0,CHOOSE(C11,AC47,AC49,AC51,AC53)-SUMIF($C$5:$C$10,C11,$D$5:$D$10))),2))</f>
      </c>
      <c r="AD11">
        <f>IF(C11=0,0,ROUND(MIN(D11,MAX(0,CHOOSE(C11,AD47,AD49,AD51,AD53)-SUMIF($C$5:$C$10,C11,$D$5:$D$10))),2))</f>
      </c>
      <c r="AE11">
        <f>IF(C11=0,0,ROUND(MIN(D11,MAX(0,CHOOSE(C11,AE47,AE49,AE51,AE53)-SUMIF($C$5:$C$10,C11,$D$5:$D$10))),2))</f>
      </c>
      <c r="AF11">
        <f>IF(C11=0,0,ROUND(MIN(D11,MAX(0,CHOOSE(C11,AF47,AF49,AF51,AF53)-SUMIF($C$5:$C$10,C11,$D$5:$D$10))),2))</f>
      </c>
      <c r="AG11">
        <f>IF(C11=0,0,ROUND(MIN(D11,MAX(0,CHOOSE(C11,AG47,AG49,AG51,AG53)-SUMIF($C$5:$C$10,C11,$D$5:$D$10))),2))</f>
      </c>
    </row>
    <row r="12" spans="2:33" x14ac:dyDescent="0.25">
      <c r="B12">
        <f>IF('Inputs'!$B$29="","",'Inputs'!$B$29)</f>
      </c>
      <c r="C12">
        <f>'Inputs'!$AK$29</f>
      </c>
      <c r="D12">
        <f>N('Inputs'!$D$29)</f>
      </c>
      <c r="E12">
        <f>IF(OR('Inputs'!$H$29="Yes",'Inputs'!$C$29="Cash and deposits"),N('Inputs'!$D$29),0)</f>
      </c>
      <c r="F12">
        <f>'Inputs'!$L$29</f>
      </c>
      <c r="G12">
        <f>'Inputs'!$AM$29</f>
      </c>
      <c r="H12">
        <f>IF(OR('Inputs'!$G$29="Spouse",AND('Inputs'!$G$29="Estate (residue)",'Inputs'!$C$14="Spouse")),1,0)</f>
      </c>
      <c r="I12">
        <f>IF('Inputs'!$G$29="Spouse",1,0)</f>
      </c>
      <c r="J12">
        <f>IF('Inputs'!$G$29="Named heir",1,0)</f>
      </c>
      <c r="K12">
        <f>IF(AND(F12=1,'Inputs'!$F$29="Yes",(D12-G12)*IF(D12&gt;0,IF(H12=1,MIN(1,E12/D12),1),0)&gt;0),MIN(ROUND((D12-G12)*IF(D12&gt;0,IF(H12=1,MIN(1,E12/D12),1),0),2),'Inputs'!$H$134),0)</f>
      </c>
      <c r="M12">
        <f>IF(C12=0,0,ROUND(MIN(D12,MAX(0,CHOOSE(C12,M47,M49,M51,M53)-SUMIF($C$5:$C$11,C12,$D$5:$D$11))),2))</f>
      </c>
      <c r="N12">
        <f>IF(C12=0,0,ROUND(MIN(D12,MAX(0,CHOOSE(C12,N47,N49,N51,N53)-SUMIF($C$5:$C$11,C12,$D$5:$D$11))),2))</f>
      </c>
      <c r="O12">
        <f>IF(C12=0,0,ROUND(MIN(D12,MAX(0,CHOOSE(C12,O47,O49,O51,O53)-SUMIF($C$5:$C$11,C12,$D$5:$D$11))),2))</f>
      </c>
      <c r="P12">
        <f>IF(C12=0,0,ROUND(MIN(D12,MAX(0,CHOOSE(C12,P47,P49,P51,P53)-SUMIF($C$5:$C$11,C12,$D$5:$D$11))),2))</f>
      </c>
      <c r="Q12">
        <f>IF(C12=0,0,ROUND(MIN(D12,MAX(0,CHOOSE(C12,Q47,Q49,Q51,Q53)-SUMIF($C$5:$C$11,C12,$D$5:$D$11))),2))</f>
      </c>
      <c r="R12">
        <f>IF(C12=0,0,ROUND(MIN(D12,MAX(0,CHOOSE(C12,R47,R49,R51,R53)-SUMIF($C$5:$C$11,C12,$D$5:$D$11))),2))</f>
      </c>
      <c r="S12">
        <f>IF(C12=0,0,ROUND(MIN(D12,MAX(0,CHOOSE(C12,S47,S49,S51,S53)-SUMIF($C$5:$C$11,C12,$D$5:$D$11))),2))</f>
      </c>
      <c r="T12">
        <f>IF(C12=0,0,ROUND(MIN(D12,MAX(0,CHOOSE(C12,T47,T49,T51,T53)-SUMIF($C$5:$C$11,C12,$D$5:$D$11))),2))</f>
      </c>
      <c r="U12">
        <f>IF(C12=0,0,ROUND(MIN(D12,MAX(0,CHOOSE(C12,U47,U49,U51,U53)-SUMIF($C$5:$C$11,C12,$D$5:$D$11))),2))</f>
      </c>
      <c r="V12">
        <f>IF(C12=0,0,ROUND(MIN(D12,MAX(0,CHOOSE(C12,V47,V49,V51,V53)-SUMIF($C$5:$C$11,C12,$D$5:$D$11))),2))</f>
      </c>
      <c r="W12">
        <f>IF(C12=0,0,ROUND(MIN(D12,MAX(0,CHOOSE(C12,W47,W49,W51,W53)-SUMIF($C$5:$C$11,C12,$D$5:$D$11))),2))</f>
      </c>
      <c r="X12">
        <f>IF(C12=0,0,ROUND(MIN(D12,MAX(0,CHOOSE(C12,X47,X49,X51,X53)-SUMIF($C$5:$C$11,C12,$D$5:$D$11))),2))</f>
      </c>
      <c r="Y12">
        <f>IF(C12=0,0,ROUND(MIN(D12,MAX(0,CHOOSE(C12,Y47,Y49,Y51,Y53)-SUMIF($C$5:$C$11,C12,$D$5:$D$11))),2))</f>
      </c>
      <c r="Z12">
        <f>IF(C12=0,0,ROUND(MIN(D12,MAX(0,CHOOSE(C12,Z47,Z49,Z51,Z53)-SUMIF($C$5:$C$11,C12,$D$5:$D$11))),2))</f>
      </c>
      <c r="AA12">
        <f>IF(C12=0,0,ROUND(MIN(D12,MAX(0,CHOOSE(C12,AA47,AA49,AA51,AA53)-SUMIF($C$5:$C$11,C12,$D$5:$D$11))),2))</f>
      </c>
      <c r="AB12">
        <f>IF(C12=0,0,ROUND(MIN(D12,MAX(0,CHOOSE(C12,AB47,AB49,AB51,AB53)-SUMIF($C$5:$C$11,C12,$D$5:$D$11))),2))</f>
      </c>
      <c r="AC12">
        <f>IF(C12=0,0,ROUND(MIN(D12,MAX(0,CHOOSE(C12,AC47,AC49,AC51,AC53)-SUMIF($C$5:$C$11,C12,$D$5:$D$11))),2))</f>
      </c>
      <c r="AD12">
        <f>IF(C12=0,0,ROUND(MIN(D12,MAX(0,CHOOSE(C12,AD47,AD49,AD51,AD53)-SUMIF($C$5:$C$11,C12,$D$5:$D$11))),2))</f>
      </c>
      <c r="AE12">
        <f>IF(C12=0,0,ROUND(MIN(D12,MAX(0,CHOOSE(C12,AE47,AE49,AE51,AE53)-SUMIF($C$5:$C$11,C12,$D$5:$D$11))),2))</f>
      </c>
      <c r="AF12">
        <f>IF(C12=0,0,ROUND(MIN(D12,MAX(0,CHOOSE(C12,AF47,AF49,AF51,AF53)-SUMIF($C$5:$C$11,C12,$D$5:$D$11))),2))</f>
      </c>
      <c r="AG12">
        <f>IF(C12=0,0,ROUND(MIN(D12,MAX(0,CHOOSE(C12,AG47,AG49,AG51,AG53)-SUMIF($C$5:$C$11,C12,$D$5:$D$11))),2))</f>
      </c>
    </row>
    <row r="13" spans="2:33" x14ac:dyDescent="0.25">
      <c r="B13">
        <f>IF('Inputs'!$B$30="","",'Inputs'!$B$30)</f>
      </c>
      <c r="C13">
        <f>'Inputs'!$AK$30</f>
      </c>
      <c r="D13">
        <f>N('Inputs'!$D$30)</f>
      </c>
      <c r="E13">
        <f>IF(OR('Inputs'!$H$30="Yes",'Inputs'!$C$30="Cash and deposits"),N('Inputs'!$D$30),0)</f>
      </c>
      <c r="F13">
        <f>'Inputs'!$L$30</f>
      </c>
      <c r="G13">
        <f>'Inputs'!$AM$30</f>
      </c>
      <c r="H13">
        <f>IF(OR('Inputs'!$G$30="Spouse",AND('Inputs'!$G$30="Estate (residue)",'Inputs'!$C$14="Spouse")),1,0)</f>
      </c>
      <c r="I13">
        <f>IF('Inputs'!$G$30="Spouse",1,0)</f>
      </c>
      <c r="J13">
        <f>IF('Inputs'!$G$30="Named heir",1,0)</f>
      </c>
      <c r="K13">
        <f>IF(AND(F13=1,'Inputs'!$F$30="Yes",(D13-G13)*IF(D13&gt;0,IF(H13=1,MIN(1,E13/D13),1),0)&gt;0),MIN(ROUND((D13-G13)*IF(D13&gt;0,IF(H13=1,MIN(1,E13/D13),1),0),2),'Inputs'!$H$134),0)</f>
      </c>
      <c r="M13">
        <f>IF(C13=0,0,ROUND(MIN(D13,MAX(0,CHOOSE(C13,M47,M49,M51,M53)-SUMIF($C$5:$C$12,C13,$D$5:$D$12))),2))</f>
      </c>
      <c r="N13">
        <f>IF(C13=0,0,ROUND(MIN(D13,MAX(0,CHOOSE(C13,N47,N49,N51,N53)-SUMIF($C$5:$C$12,C13,$D$5:$D$12))),2))</f>
      </c>
      <c r="O13">
        <f>IF(C13=0,0,ROUND(MIN(D13,MAX(0,CHOOSE(C13,O47,O49,O51,O53)-SUMIF($C$5:$C$12,C13,$D$5:$D$12))),2))</f>
      </c>
      <c r="P13">
        <f>IF(C13=0,0,ROUND(MIN(D13,MAX(0,CHOOSE(C13,P47,P49,P51,P53)-SUMIF($C$5:$C$12,C13,$D$5:$D$12))),2))</f>
      </c>
      <c r="Q13">
        <f>IF(C13=0,0,ROUND(MIN(D13,MAX(0,CHOOSE(C13,Q47,Q49,Q51,Q53)-SUMIF($C$5:$C$12,C13,$D$5:$D$12))),2))</f>
      </c>
      <c r="R13">
        <f>IF(C13=0,0,ROUND(MIN(D13,MAX(0,CHOOSE(C13,R47,R49,R51,R53)-SUMIF($C$5:$C$12,C13,$D$5:$D$12))),2))</f>
      </c>
      <c r="S13">
        <f>IF(C13=0,0,ROUND(MIN(D13,MAX(0,CHOOSE(C13,S47,S49,S51,S53)-SUMIF($C$5:$C$12,C13,$D$5:$D$12))),2))</f>
      </c>
      <c r="T13">
        <f>IF(C13=0,0,ROUND(MIN(D13,MAX(0,CHOOSE(C13,T47,T49,T51,T53)-SUMIF($C$5:$C$12,C13,$D$5:$D$12))),2))</f>
      </c>
      <c r="U13">
        <f>IF(C13=0,0,ROUND(MIN(D13,MAX(0,CHOOSE(C13,U47,U49,U51,U53)-SUMIF($C$5:$C$12,C13,$D$5:$D$12))),2))</f>
      </c>
      <c r="V13">
        <f>IF(C13=0,0,ROUND(MIN(D13,MAX(0,CHOOSE(C13,V47,V49,V51,V53)-SUMIF($C$5:$C$12,C13,$D$5:$D$12))),2))</f>
      </c>
      <c r="W13">
        <f>IF(C13=0,0,ROUND(MIN(D13,MAX(0,CHOOSE(C13,W47,W49,W51,W53)-SUMIF($C$5:$C$12,C13,$D$5:$D$12))),2))</f>
      </c>
      <c r="X13">
        <f>IF(C13=0,0,ROUND(MIN(D13,MAX(0,CHOOSE(C13,X47,X49,X51,X53)-SUMIF($C$5:$C$12,C13,$D$5:$D$12))),2))</f>
      </c>
      <c r="Y13">
        <f>IF(C13=0,0,ROUND(MIN(D13,MAX(0,CHOOSE(C13,Y47,Y49,Y51,Y53)-SUMIF($C$5:$C$12,C13,$D$5:$D$12))),2))</f>
      </c>
      <c r="Z13">
        <f>IF(C13=0,0,ROUND(MIN(D13,MAX(0,CHOOSE(C13,Z47,Z49,Z51,Z53)-SUMIF($C$5:$C$12,C13,$D$5:$D$12))),2))</f>
      </c>
      <c r="AA13">
        <f>IF(C13=0,0,ROUND(MIN(D13,MAX(0,CHOOSE(C13,AA47,AA49,AA51,AA53)-SUMIF($C$5:$C$12,C13,$D$5:$D$12))),2))</f>
      </c>
      <c r="AB13">
        <f>IF(C13=0,0,ROUND(MIN(D13,MAX(0,CHOOSE(C13,AB47,AB49,AB51,AB53)-SUMIF($C$5:$C$12,C13,$D$5:$D$12))),2))</f>
      </c>
      <c r="AC13">
        <f>IF(C13=0,0,ROUND(MIN(D13,MAX(0,CHOOSE(C13,AC47,AC49,AC51,AC53)-SUMIF($C$5:$C$12,C13,$D$5:$D$12))),2))</f>
      </c>
      <c r="AD13">
        <f>IF(C13=0,0,ROUND(MIN(D13,MAX(0,CHOOSE(C13,AD47,AD49,AD51,AD53)-SUMIF($C$5:$C$12,C13,$D$5:$D$12))),2))</f>
      </c>
      <c r="AE13">
        <f>IF(C13=0,0,ROUND(MIN(D13,MAX(0,CHOOSE(C13,AE47,AE49,AE51,AE53)-SUMIF($C$5:$C$12,C13,$D$5:$D$12))),2))</f>
      </c>
      <c r="AF13">
        <f>IF(C13=0,0,ROUND(MIN(D13,MAX(0,CHOOSE(C13,AF47,AF49,AF51,AF53)-SUMIF($C$5:$C$12,C13,$D$5:$D$12))),2))</f>
      </c>
      <c r="AG13">
        <f>IF(C13=0,0,ROUND(MIN(D13,MAX(0,CHOOSE(C13,AG47,AG49,AG51,AG53)-SUMIF($C$5:$C$12,C13,$D$5:$D$12))),2))</f>
      </c>
    </row>
    <row r="14" spans="2:33" x14ac:dyDescent="0.25">
      <c r="B14">
        <f>IF('Inputs'!$B$31="","",'Inputs'!$B$31)</f>
      </c>
      <c r="C14">
        <f>'Inputs'!$AK$31</f>
      </c>
      <c r="D14">
        <f>N('Inputs'!$D$31)</f>
      </c>
      <c r="E14">
        <f>IF(OR('Inputs'!$H$31="Yes",'Inputs'!$C$31="Cash and deposits"),N('Inputs'!$D$31),0)</f>
      </c>
      <c r="F14">
        <f>'Inputs'!$L$31</f>
      </c>
      <c r="G14">
        <f>'Inputs'!$AM$31</f>
      </c>
      <c r="H14">
        <f>IF(OR('Inputs'!$G$31="Spouse",AND('Inputs'!$G$31="Estate (residue)",'Inputs'!$C$14="Spouse")),1,0)</f>
      </c>
      <c r="I14">
        <f>IF('Inputs'!$G$31="Spouse",1,0)</f>
      </c>
      <c r="J14">
        <f>IF('Inputs'!$G$31="Named heir",1,0)</f>
      </c>
      <c r="K14">
        <f>IF(AND(F14=1,'Inputs'!$F$31="Yes",(D14-G14)*IF(D14&gt;0,IF(H14=1,MIN(1,E14/D14),1),0)&gt;0),MIN(ROUND((D14-G14)*IF(D14&gt;0,IF(H14=1,MIN(1,E14/D14),1),0),2),'Inputs'!$H$134),0)</f>
      </c>
      <c r="M14">
        <f>IF(C14=0,0,ROUND(MIN(D14,MAX(0,CHOOSE(C14,M47,M49,M51,M53)-SUMIF($C$5:$C$13,C14,$D$5:$D$13))),2))</f>
      </c>
      <c r="N14">
        <f>IF(C14=0,0,ROUND(MIN(D14,MAX(0,CHOOSE(C14,N47,N49,N51,N53)-SUMIF($C$5:$C$13,C14,$D$5:$D$13))),2))</f>
      </c>
      <c r="O14">
        <f>IF(C14=0,0,ROUND(MIN(D14,MAX(0,CHOOSE(C14,O47,O49,O51,O53)-SUMIF($C$5:$C$13,C14,$D$5:$D$13))),2))</f>
      </c>
      <c r="P14">
        <f>IF(C14=0,0,ROUND(MIN(D14,MAX(0,CHOOSE(C14,P47,P49,P51,P53)-SUMIF($C$5:$C$13,C14,$D$5:$D$13))),2))</f>
      </c>
      <c r="Q14">
        <f>IF(C14=0,0,ROUND(MIN(D14,MAX(0,CHOOSE(C14,Q47,Q49,Q51,Q53)-SUMIF($C$5:$C$13,C14,$D$5:$D$13))),2))</f>
      </c>
      <c r="R14">
        <f>IF(C14=0,0,ROUND(MIN(D14,MAX(0,CHOOSE(C14,R47,R49,R51,R53)-SUMIF($C$5:$C$13,C14,$D$5:$D$13))),2))</f>
      </c>
      <c r="S14">
        <f>IF(C14=0,0,ROUND(MIN(D14,MAX(0,CHOOSE(C14,S47,S49,S51,S53)-SUMIF($C$5:$C$13,C14,$D$5:$D$13))),2))</f>
      </c>
      <c r="T14">
        <f>IF(C14=0,0,ROUND(MIN(D14,MAX(0,CHOOSE(C14,T47,T49,T51,T53)-SUMIF($C$5:$C$13,C14,$D$5:$D$13))),2))</f>
      </c>
      <c r="U14">
        <f>IF(C14=0,0,ROUND(MIN(D14,MAX(0,CHOOSE(C14,U47,U49,U51,U53)-SUMIF($C$5:$C$13,C14,$D$5:$D$13))),2))</f>
      </c>
      <c r="V14">
        <f>IF(C14=0,0,ROUND(MIN(D14,MAX(0,CHOOSE(C14,V47,V49,V51,V53)-SUMIF($C$5:$C$13,C14,$D$5:$D$13))),2))</f>
      </c>
      <c r="W14">
        <f>IF(C14=0,0,ROUND(MIN(D14,MAX(0,CHOOSE(C14,W47,W49,W51,W53)-SUMIF($C$5:$C$13,C14,$D$5:$D$13))),2))</f>
      </c>
      <c r="X14">
        <f>IF(C14=0,0,ROUND(MIN(D14,MAX(0,CHOOSE(C14,X47,X49,X51,X53)-SUMIF($C$5:$C$13,C14,$D$5:$D$13))),2))</f>
      </c>
      <c r="Y14">
        <f>IF(C14=0,0,ROUND(MIN(D14,MAX(0,CHOOSE(C14,Y47,Y49,Y51,Y53)-SUMIF($C$5:$C$13,C14,$D$5:$D$13))),2))</f>
      </c>
      <c r="Z14">
        <f>IF(C14=0,0,ROUND(MIN(D14,MAX(0,CHOOSE(C14,Z47,Z49,Z51,Z53)-SUMIF($C$5:$C$13,C14,$D$5:$D$13))),2))</f>
      </c>
      <c r="AA14">
        <f>IF(C14=0,0,ROUND(MIN(D14,MAX(0,CHOOSE(C14,AA47,AA49,AA51,AA53)-SUMIF($C$5:$C$13,C14,$D$5:$D$13))),2))</f>
      </c>
      <c r="AB14">
        <f>IF(C14=0,0,ROUND(MIN(D14,MAX(0,CHOOSE(C14,AB47,AB49,AB51,AB53)-SUMIF($C$5:$C$13,C14,$D$5:$D$13))),2))</f>
      </c>
      <c r="AC14">
        <f>IF(C14=0,0,ROUND(MIN(D14,MAX(0,CHOOSE(C14,AC47,AC49,AC51,AC53)-SUMIF($C$5:$C$13,C14,$D$5:$D$13))),2))</f>
      </c>
      <c r="AD14">
        <f>IF(C14=0,0,ROUND(MIN(D14,MAX(0,CHOOSE(C14,AD47,AD49,AD51,AD53)-SUMIF($C$5:$C$13,C14,$D$5:$D$13))),2))</f>
      </c>
      <c r="AE14">
        <f>IF(C14=0,0,ROUND(MIN(D14,MAX(0,CHOOSE(C14,AE47,AE49,AE51,AE53)-SUMIF($C$5:$C$13,C14,$D$5:$D$13))),2))</f>
      </c>
      <c r="AF14">
        <f>IF(C14=0,0,ROUND(MIN(D14,MAX(0,CHOOSE(C14,AF47,AF49,AF51,AF53)-SUMIF($C$5:$C$13,C14,$D$5:$D$13))),2))</f>
      </c>
      <c r="AG14">
        <f>IF(C14=0,0,ROUND(MIN(D14,MAX(0,CHOOSE(C14,AG47,AG49,AG51,AG53)-SUMIF($C$5:$C$13,C14,$D$5:$D$13))),2))</f>
      </c>
    </row>
    <row r="15" spans="2:33" x14ac:dyDescent="0.25">
      <c r="B15">
        <f>IF('Inputs'!$B$32="","",'Inputs'!$B$32)</f>
      </c>
      <c r="C15">
        <f>'Inputs'!$AK$32</f>
      </c>
      <c r="D15">
        <f>N('Inputs'!$D$32)</f>
      </c>
      <c r="E15">
        <f>IF(OR('Inputs'!$H$32="Yes",'Inputs'!$C$32="Cash and deposits"),N('Inputs'!$D$32),0)</f>
      </c>
      <c r="F15">
        <f>'Inputs'!$L$32</f>
      </c>
      <c r="G15">
        <f>'Inputs'!$AM$32</f>
      </c>
      <c r="H15">
        <f>IF(OR('Inputs'!$G$32="Spouse",AND('Inputs'!$G$32="Estate (residue)",'Inputs'!$C$14="Spouse")),1,0)</f>
      </c>
      <c r="I15">
        <f>IF('Inputs'!$G$32="Spouse",1,0)</f>
      </c>
      <c r="J15">
        <f>IF('Inputs'!$G$32="Named heir",1,0)</f>
      </c>
      <c r="K15">
        <f>IF(AND(F15=1,'Inputs'!$F$32="Yes",(D15-G15)*IF(D15&gt;0,IF(H15=1,MIN(1,E15/D15),1),0)&gt;0),MIN(ROUND((D15-G15)*IF(D15&gt;0,IF(H15=1,MIN(1,E15/D15),1),0),2),'Inputs'!$H$134),0)</f>
      </c>
      <c r="M15">
        <f>IF(C15=0,0,ROUND(MIN(D15,MAX(0,CHOOSE(C15,M47,M49,M51,M53)-SUMIF($C$5:$C$14,C15,$D$5:$D$14))),2))</f>
      </c>
      <c r="N15">
        <f>IF(C15=0,0,ROUND(MIN(D15,MAX(0,CHOOSE(C15,N47,N49,N51,N53)-SUMIF($C$5:$C$14,C15,$D$5:$D$14))),2))</f>
      </c>
      <c r="O15">
        <f>IF(C15=0,0,ROUND(MIN(D15,MAX(0,CHOOSE(C15,O47,O49,O51,O53)-SUMIF($C$5:$C$14,C15,$D$5:$D$14))),2))</f>
      </c>
      <c r="P15">
        <f>IF(C15=0,0,ROUND(MIN(D15,MAX(0,CHOOSE(C15,P47,P49,P51,P53)-SUMIF($C$5:$C$14,C15,$D$5:$D$14))),2))</f>
      </c>
      <c r="Q15">
        <f>IF(C15=0,0,ROUND(MIN(D15,MAX(0,CHOOSE(C15,Q47,Q49,Q51,Q53)-SUMIF($C$5:$C$14,C15,$D$5:$D$14))),2))</f>
      </c>
      <c r="R15">
        <f>IF(C15=0,0,ROUND(MIN(D15,MAX(0,CHOOSE(C15,R47,R49,R51,R53)-SUMIF($C$5:$C$14,C15,$D$5:$D$14))),2))</f>
      </c>
      <c r="S15">
        <f>IF(C15=0,0,ROUND(MIN(D15,MAX(0,CHOOSE(C15,S47,S49,S51,S53)-SUMIF($C$5:$C$14,C15,$D$5:$D$14))),2))</f>
      </c>
      <c r="T15">
        <f>IF(C15=0,0,ROUND(MIN(D15,MAX(0,CHOOSE(C15,T47,T49,T51,T53)-SUMIF($C$5:$C$14,C15,$D$5:$D$14))),2))</f>
      </c>
      <c r="U15">
        <f>IF(C15=0,0,ROUND(MIN(D15,MAX(0,CHOOSE(C15,U47,U49,U51,U53)-SUMIF($C$5:$C$14,C15,$D$5:$D$14))),2))</f>
      </c>
      <c r="V15">
        <f>IF(C15=0,0,ROUND(MIN(D15,MAX(0,CHOOSE(C15,V47,V49,V51,V53)-SUMIF($C$5:$C$14,C15,$D$5:$D$14))),2))</f>
      </c>
      <c r="W15">
        <f>IF(C15=0,0,ROUND(MIN(D15,MAX(0,CHOOSE(C15,W47,W49,W51,W53)-SUMIF($C$5:$C$14,C15,$D$5:$D$14))),2))</f>
      </c>
      <c r="X15">
        <f>IF(C15=0,0,ROUND(MIN(D15,MAX(0,CHOOSE(C15,X47,X49,X51,X53)-SUMIF($C$5:$C$14,C15,$D$5:$D$14))),2))</f>
      </c>
      <c r="Y15">
        <f>IF(C15=0,0,ROUND(MIN(D15,MAX(0,CHOOSE(C15,Y47,Y49,Y51,Y53)-SUMIF($C$5:$C$14,C15,$D$5:$D$14))),2))</f>
      </c>
      <c r="Z15">
        <f>IF(C15=0,0,ROUND(MIN(D15,MAX(0,CHOOSE(C15,Z47,Z49,Z51,Z53)-SUMIF($C$5:$C$14,C15,$D$5:$D$14))),2))</f>
      </c>
      <c r="AA15">
        <f>IF(C15=0,0,ROUND(MIN(D15,MAX(0,CHOOSE(C15,AA47,AA49,AA51,AA53)-SUMIF($C$5:$C$14,C15,$D$5:$D$14))),2))</f>
      </c>
      <c r="AB15">
        <f>IF(C15=0,0,ROUND(MIN(D15,MAX(0,CHOOSE(C15,AB47,AB49,AB51,AB53)-SUMIF($C$5:$C$14,C15,$D$5:$D$14))),2))</f>
      </c>
      <c r="AC15">
        <f>IF(C15=0,0,ROUND(MIN(D15,MAX(0,CHOOSE(C15,AC47,AC49,AC51,AC53)-SUMIF($C$5:$C$14,C15,$D$5:$D$14))),2))</f>
      </c>
      <c r="AD15">
        <f>IF(C15=0,0,ROUND(MIN(D15,MAX(0,CHOOSE(C15,AD47,AD49,AD51,AD53)-SUMIF($C$5:$C$14,C15,$D$5:$D$14))),2))</f>
      </c>
      <c r="AE15">
        <f>IF(C15=0,0,ROUND(MIN(D15,MAX(0,CHOOSE(C15,AE47,AE49,AE51,AE53)-SUMIF($C$5:$C$14,C15,$D$5:$D$14))),2))</f>
      </c>
      <c r="AF15">
        <f>IF(C15=0,0,ROUND(MIN(D15,MAX(0,CHOOSE(C15,AF47,AF49,AF51,AF53)-SUMIF($C$5:$C$14,C15,$D$5:$D$14))),2))</f>
      </c>
      <c r="AG15">
        <f>IF(C15=0,0,ROUND(MIN(D15,MAX(0,CHOOSE(C15,AG47,AG49,AG51,AG53)-SUMIF($C$5:$C$14,C15,$D$5:$D$14))),2))</f>
      </c>
    </row>
    <row r="16" spans="2:33" x14ac:dyDescent="0.25">
      <c r="B16">
        <f>IF('Inputs'!$B$33="","",'Inputs'!$B$33)</f>
      </c>
      <c r="C16">
        <f>'Inputs'!$AK$33</f>
      </c>
      <c r="D16">
        <f>N('Inputs'!$D$33)</f>
      </c>
      <c r="E16">
        <f>IF(OR('Inputs'!$H$33="Yes",'Inputs'!$C$33="Cash and deposits"),N('Inputs'!$D$33),0)</f>
      </c>
      <c r="F16">
        <f>'Inputs'!$L$33</f>
      </c>
      <c r="G16">
        <f>'Inputs'!$AM$33</f>
      </c>
      <c r="H16">
        <f>IF(OR('Inputs'!$G$33="Spouse",AND('Inputs'!$G$33="Estate (residue)",'Inputs'!$C$14="Spouse")),1,0)</f>
      </c>
      <c r="I16">
        <f>IF('Inputs'!$G$33="Spouse",1,0)</f>
      </c>
      <c r="J16">
        <f>IF('Inputs'!$G$33="Named heir",1,0)</f>
      </c>
      <c r="K16">
        <f>IF(AND(F16=1,'Inputs'!$F$33="Yes",(D16-G16)*IF(D16&gt;0,IF(H16=1,MIN(1,E16/D16),1),0)&gt;0),MIN(ROUND((D16-G16)*IF(D16&gt;0,IF(H16=1,MIN(1,E16/D16),1),0),2),'Inputs'!$H$134),0)</f>
      </c>
      <c r="M16">
        <f>IF(C16=0,0,ROUND(MIN(D16,MAX(0,CHOOSE(C16,M47,M49,M51,M53)-SUMIF($C$5:$C$15,C16,$D$5:$D$15))),2))</f>
      </c>
      <c r="N16">
        <f>IF(C16=0,0,ROUND(MIN(D16,MAX(0,CHOOSE(C16,N47,N49,N51,N53)-SUMIF($C$5:$C$15,C16,$D$5:$D$15))),2))</f>
      </c>
      <c r="O16">
        <f>IF(C16=0,0,ROUND(MIN(D16,MAX(0,CHOOSE(C16,O47,O49,O51,O53)-SUMIF($C$5:$C$15,C16,$D$5:$D$15))),2))</f>
      </c>
      <c r="P16">
        <f>IF(C16=0,0,ROUND(MIN(D16,MAX(0,CHOOSE(C16,P47,P49,P51,P53)-SUMIF($C$5:$C$15,C16,$D$5:$D$15))),2))</f>
      </c>
      <c r="Q16">
        <f>IF(C16=0,0,ROUND(MIN(D16,MAX(0,CHOOSE(C16,Q47,Q49,Q51,Q53)-SUMIF($C$5:$C$15,C16,$D$5:$D$15))),2))</f>
      </c>
      <c r="R16">
        <f>IF(C16=0,0,ROUND(MIN(D16,MAX(0,CHOOSE(C16,R47,R49,R51,R53)-SUMIF($C$5:$C$15,C16,$D$5:$D$15))),2))</f>
      </c>
      <c r="S16">
        <f>IF(C16=0,0,ROUND(MIN(D16,MAX(0,CHOOSE(C16,S47,S49,S51,S53)-SUMIF($C$5:$C$15,C16,$D$5:$D$15))),2))</f>
      </c>
      <c r="T16">
        <f>IF(C16=0,0,ROUND(MIN(D16,MAX(0,CHOOSE(C16,T47,T49,T51,T53)-SUMIF($C$5:$C$15,C16,$D$5:$D$15))),2))</f>
      </c>
      <c r="U16">
        <f>IF(C16=0,0,ROUND(MIN(D16,MAX(0,CHOOSE(C16,U47,U49,U51,U53)-SUMIF($C$5:$C$15,C16,$D$5:$D$15))),2))</f>
      </c>
      <c r="V16">
        <f>IF(C16=0,0,ROUND(MIN(D16,MAX(0,CHOOSE(C16,V47,V49,V51,V53)-SUMIF($C$5:$C$15,C16,$D$5:$D$15))),2))</f>
      </c>
      <c r="W16">
        <f>IF(C16=0,0,ROUND(MIN(D16,MAX(0,CHOOSE(C16,W47,W49,W51,W53)-SUMIF($C$5:$C$15,C16,$D$5:$D$15))),2))</f>
      </c>
      <c r="X16">
        <f>IF(C16=0,0,ROUND(MIN(D16,MAX(0,CHOOSE(C16,X47,X49,X51,X53)-SUMIF($C$5:$C$15,C16,$D$5:$D$15))),2))</f>
      </c>
      <c r="Y16">
        <f>IF(C16=0,0,ROUND(MIN(D16,MAX(0,CHOOSE(C16,Y47,Y49,Y51,Y53)-SUMIF($C$5:$C$15,C16,$D$5:$D$15))),2))</f>
      </c>
      <c r="Z16">
        <f>IF(C16=0,0,ROUND(MIN(D16,MAX(0,CHOOSE(C16,Z47,Z49,Z51,Z53)-SUMIF($C$5:$C$15,C16,$D$5:$D$15))),2))</f>
      </c>
      <c r="AA16">
        <f>IF(C16=0,0,ROUND(MIN(D16,MAX(0,CHOOSE(C16,AA47,AA49,AA51,AA53)-SUMIF($C$5:$C$15,C16,$D$5:$D$15))),2))</f>
      </c>
      <c r="AB16">
        <f>IF(C16=0,0,ROUND(MIN(D16,MAX(0,CHOOSE(C16,AB47,AB49,AB51,AB53)-SUMIF($C$5:$C$15,C16,$D$5:$D$15))),2))</f>
      </c>
      <c r="AC16">
        <f>IF(C16=0,0,ROUND(MIN(D16,MAX(0,CHOOSE(C16,AC47,AC49,AC51,AC53)-SUMIF($C$5:$C$15,C16,$D$5:$D$15))),2))</f>
      </c>
      <c r="AD16">
        <f>IF(C16=0,0,ROUND(MIN(D16,MAX(0,CHOOSE(C16,AD47,AD49,AD51,AD53)-SUMIF($C$5:$C$15,C16,$D$5:$D$15))),2))</f>
      </c>
      <c r="AE16">
        <f>IF(C16=0,0,ROUND(MIN(D16,MAX(0,CHOOSE(C16,AE47,AE49,AE51,AE53)-SUMIF($C$5:$C$15,C16,$D$5:$D$15))),2))</f>
      </c>
      <c r="AF16">
        <f>IF(C16=0,0,ROUND(MIN(D16,MAX(0,CHOOSE(C16,AF47,AF49,AF51,AF53)-SUMIF($C$5:$C$15,C16,$D$5:$D$15))),2))</f>
      </c>
      <c r="AG16">
        <f>IF(C16=0,0,ROUND(MIN(D16,MAX(0,CHOOSE(C16,AG47,AG49,AG51,AG53)-SUMIF($C$5:$C$15,C16,$D$5:$D$15))),2))</f>
      </c>
    </row>
    <row r="17" spans="2:33" x14ac:dyDescent="0.25">
      <c r="B17">
        <f>IF('Inputs'!$B$34="","",'Inputs'!$B$34)</f>
      </c>
      <c r="C17">
        <f>'Inputs'!$AK$34</f>
      </c>
      <c r="D17">
        <f>N('Inputs'!$D$34)</f>
      </c>
      <c r="E17">
        <f>IF(OR('Inputs'!$H$34="Yes",'Inputs'!$C$34="Cash and deposits"),N('Inputs'!$D$34),0)</f>
      </c>
      <c r="F17">
        <f>'Inputs'!$L$34</f>
      </c>
      <c r="G17">
        <f>'Inputs'!$AM$34</f>
      </c>
      <c r="H17">
        <f>IF(OR('Inputs'!$G$34="Spouse",AND('Inputs'!$G$34="Estate (residue)",'Inputs'!$C$14="Spouse")),1,0)</f>
      </c>
      <c r="I17">
        <f>IF('Inputs'!$G$34="Spouse",1,0)</f>
      </c>
      <c r="J17">
        <f>IF('Inputs'!$G$34="Named heir",1,0)</f>
      </c>
      <c r="K17">
        <f>IF(AND(F17=1,'Inputs'!$F$34="Yes",(D17-G17)*IF(D17&gt;0,IF(H17=1,MIN(1,E17/D17),1),0)&gt;0),MIN(ROUND((D17-G17)*IF(D17&gt;0,IF(H17=1,MIN(1,E17/D17),1),0),2),'Inputs'!$H$134),0)</f>
      </c>
      <c r="M17">
        <f>IF(C17=0,0,ROUND(MIN(D17,MAX(0,CHOOSE(C17,M47,M49,M51,M53)-SUMIF($C$5:$C$16,C17,$D$5:$D$16))),2))</f>
      </c>
      <c r="N17">
        <f>IF(C17=0,0,ROUND(MIN(D17,MAX(0,CHOOSE(C17,N47,N49,N51,N53)-SUMIF($C$5:$C$16,C17,$D$5:$D$16))),2))</f>
      </c>
      <c r="O17">
        <f>IF(C17=0,0,ROUND(MIN(D17,MAX(0,CHOOSE(C17,O47,O49,O51,O53)-SUMIF($C$5:$C$16,C17,$D$5:$D$16))),2))</f>
      </c>
      <c r="P17">
        <f>IF(C17=0,0,ROUND(MIN(D17,MAX(0,CHOOSE(C17,P47,P49,P51,P53)-SUMIF($C$5:$C$16,C17,$D$5:$D$16))),2))</f>
      </c>
      <c r="Q17">
        <f>IF(C17=0,0,ROUND(MIN(D17,MAX(0,CHOOSE(C17,Q47,Q49,Q51,Q53)-SUMIF($C$5:$C$16,C17,$D$5:$D$16))),2))</f>
      </c>
      <c r="R17">
        <f>IF(C17=0,0,ROUND(MIN(D17,MAX(0,CHOOSE(C17,R47,R49,R51,R53)-SUMIF($C$5:$C$16,C17,$D$5:$D$16))),2))</f>
      </c>
      <c r="S17">
        <f>IF(C17=0,0,ROUND(MIN(D17,MAX(0,CHOOSE(C17,S47,S49,S51,S53)-SUMIF($C$5:$C$16,C17,$D$5:$D$16))),2))</f>
      </c>
      <c r="T17">
        <f>IF(C17=0,0,ROUND(MIN(D17,MAX(0,CHOOSE(C17,T47,T49,T51,T53)-SUMIF($C$5:$C$16,C17,$D$5:$D$16))),2))</f>
      </c>
      <c r="U17">
        <f>IF(C17=0,0,ROUND(MIN(D17,MAX(0,CHOOSE(C17,U47,U49,U51,U53)-SUMIF($C$5:$C$16,C17,$D$5:$D$16))),2))</f>
      </c>
      <c r="V17">
        <f>IF(C17=0,0,ROUND(MIN(D17,MAX(0,CHOOSE(C17,V47,V49,V51,V53)-SUMIF($C$5:$C$16,C17,$D$5:$D$16))),2))</f>
      </c>
      <c r="W17">
        <f>IF(C17=0,0,ROUND(MIN(D17,MAX(0,CHOOSE(C17,W47,W49,W51,W53)-SUMIF($C$5:$C$16,C17,$D$5:$D$16))),2))</f>
      </c>
      <c r="X17">
        <f>IF(C17=0,0,ROUND(MIN(D17,MAX(0,CHOOSE(C17,X47,X49,X51,X53)-SUMIF($C$5:$C$16,C17,$D$5:$D$16))),2))</f>
      </c>
      <c r="Y17">
        <f>IF(C17=0,0,ROUND(MIN(D17,MAX(0,CHOOSE(C17,Y47,Y49,Y51,Y53)-SUMIF($C$5:$C$16,C17,$D$5:$D$16))),2))</f>
      </c>
      <c r="Z17">
        <f>IF(C17=0,0,ROUND(MIN(D17,MAX(0,CHOOSE(C17,Z47,Z49,Z51,Z53)-SUMIF($C$5:$C$16,C17,$D$5:$D$16))),2))</f>
      </c>
      <c r="AA17">
        <f>IF(C17=0,0,ROUND(MIN(D17,MAX(0,CHOOSE(C17,AA47,AA49,AA51,AA53)-SUMIF($C$5:$C$16,C17,$D$5:$D$16))),2))</f>
      </c>
      <c r="AB17">
        <f>IF(C17=0,0,ROUND(MIN(D17,MAX(0,CHOOSE(C17,AB47,AB49,AB51,AB53)-SUMIF($C$5:$C$16,C17,$D$5:$D$16))),2))</f>
      </c>
      <c r="AC17">
        <f>IF(C17=0,0,ROUND(MIN(D17,MAX(0,CHOOSE(C17,AC47,AC49,AC51,AC53)-SUMIF($C$5:$C$16,C17,$D$5:$D$16))),2))</f>
      </c>
      <c r="AD17">
        <f>IF(C17=0,0,ROUND(MIN(D17,MAX(0,CHOOSE(C17,AD47,AD49,AD51,AD53)-SUMIF($C$5:$C$16,C17,$D$5:$D$16))),2))</f>
      </c>
      <c r="AE17">
        <f>IF(C17=0,0,ROUND(MIN(D17,MAX(0,CHOOSE(C17,AE47,AE49,AE51,AE53)-SUMIF($C$5:$C$16,C17,$D$5:$D$16))),2))</f>
      </c>
      <c r="AF17">
        <f>IF(C17=0,0,ROUND(MIN(D17,MAX(0,CHOOSE(C17,AF47,AF49,AF51,AF53)-SUMIF($C$5:$C$16,C17,$D$5:$D$16))),2))</f>
      </c>
      <c r="AG17">
        <f>IF(C17=0,0,ROUND(MIN(D17,MAX(0,CHOOSE(C17,AG47,AG49,AG51,AG53)-SUMIF($C$5:$C$16,C17,$D$5:$D$16))),2))</f>
      </c>
    </row>
    <row r="18" spans="2:33" x14ac:dyDescent="0.25">
      <c r="B18">
        <f>IF('Inputs'!$B$35="","",'Inputs'!$B$35)</f>
      </c>
      <c r="C18">
        <f>'Inputs'!$AK$35</f>
      </c>
      <c r="D18">
        <f>N('Inputs'!$D$35)</f>
      </c>
      <c r="E18">
        <f>IF(OR('Inputs'!$H$35="Yes",'Inputs'!$C$35="Cash and deposits"),N('Inputs'!$D$35),0)</f>
      </c>
      <c r="F18">
        <f>'Inputs'!$L$35</f>
      </c>
      <c r="G18">
        <f>'Inputs'!$AM$35</f>
      </c>
      <c r="H18">
        <f>IF(OR('Inputs'!$G$35="Spouse",AND('Inputs'!$G$35="Estate (residue)",'Inputs'!$C$14="Spouse")),1,0)</f>
      </c>
      <c r="I18">
        <f>IF('Inputs'!$G$35="Spouse",1,0)</f>
      </c>
      <c r="J18">
        <f>IF('Inputs'!$G$35="Named heir",1,0)</f>
      </c>
      <c r="K18">
        <f>IF(AND(F18=1,'Inputs'!$F$35="Yes",(D18-G18)*IF(D18&gt;0,IF(H18=1,MIN(1,E18/D18),1),0)&gt;0),MIN(ROUND((D18-G18)*IF(D18&gt;0,IF(H18=1,MIN(1,E18/D18),1),0),2),'Inputs'!$H$134),0)</f>
      </c>
      <c r="M18">
        <f>IF(C18=0,0,ROUND(MIN(D18,MAX(0,CHOOSE(C18,M47,M49,M51,M53)-SUMIF($C$5:$C$17,C18,$D$5:$D$17))),2))</f>
      </c>
      <c r="N18">
        <f>IF(C18=0,0,ROUND(MIN(D18,MAX(0,CHOOSE(C18,N47,N49,N51,N53)-SUMIF($C$5:$C$17,C18,$D$5:$D$17))),2))</f>
      </c>
      <c r="O18">
        <f>IF(C18=0,0,ROUND(MIN(D18,MAX(0,CHOOSE(C18,O47,O49,O51,O53)-SUMIF($C$5:$C$17,C18,$D$5:$D$17))),2))</f>
      </c>
      <c r="P18">
        <f>IF(C18=0,0,ROUND(MIN(D18,MAX(0,CHOOSE(C18,P47,P49,P51,P53)-SUMIF($C$5:$C$17,C18,$D$5:$D$17))),2))</f>
      </c>
      <c r="Q18">
        <f>IF(C18=0,0,ROUND(MIN(D18,MAX(0,CHOOSE(C18,Q47,Q49,Q51,Q53)-SUMIF($C$5:$C$17,C18,$D$5:$D$17))),2))</f>
      </c>
      <c r="R18">
        <f>IF(C18=0,0,ROUND(MIN(D18,MAX(0,CHOOSE(C18,R47,R49,R51,R53)-SUMIF($C$5:$C$17,C18,$D$5:$D$17))),2))</f>
      </c>
      <c r="S18">
        <f>IF(C18=0,0,ROUND(MIN(D18,MAX(0,CHOOSE(C18,S47,S49,S51,S53)-SUMIF($C$5:$C$17,C18,$D$5:$D$17))),2))</f>
      </c>
      <c r="T18">
        <f>IF(C18=0,0,ROUND(MIN(D18,MAX(0,CHOOSE(C18,T47,T49,T51,T53)-SUMIF($C$5:$C$17,C18,$D$5:$D$17))),2))</f>
      </c>
      <c r="U18">
        <f>IF(C18=0,0,ROUND(MIN(D18,MAX(0,CHOOSE(C18,U47,U49,U51,U53)-SUMIF($C$5:$C$17,C18,$D$5:$D$17))),2))</f>
      </c>
      <c r="V18">
        <f>IF(C18=0,0,ROUND(MIN(D18,MAX(0,CHOOSE(C18,V47,V49,V51,V53)-SUMIF($C$5:$C$17,C18,$D$5:$D$17))),2))</f>
      </c>
      <c r="W18">
        <f>IF(C18=0,0,ROUND(MIN(D18,MAX(0,CHOOSE(C18,W47,W49,W51,W53)-SUMIF($C$5:$C$17,C18,$D$5:$D$17))),2))</f>
      </c>
      <c r="X18">
        <f>IF(C18=0,0,ROUND(MIN(D18,MAX(0,CHOOSE(C18,X47,X49,X51,X53)-SUMIF($C$5:$C$17,C18,$D$5:$D$17))),2))</f>
      </c>
      <c r="Y18">
        <f>IF(C18=0,0,ROUND(MIN(D18,MAX(0,CHOOSE(C18,Y47,Y49,Y51,Y53)-SUMIF($C$5:$C$17,C18,$D$5:$D$17))),2))</f>
      </c>
      <c r="Z18">
        <f>IF(C18=0,0,ROUND(MIN(D18,MAX(0,CHOOSE(C18,Z47,Z49,Z51,Z53)-SUMIF($C$5:$C$17,C18,$D$5:$D$17))),2))</f>
      </c>
      <c r="AA18">
        <f>IF(C18=0,0,ROUND(MIN(D18,MAX(0,CHOOSE(C18,AA47,AA49,AA51,AA53)-SUMIF($C$5:$C$17,C18,$D$5:$D$17))),2))</f>
      </c>
      <c r="AB18">
        <f>IF(C18=0,0,ROUND(MIN(D18,MAX(0,CHOOSE(C18,AB47,AB49,AB51,AB53)-SUMIF($C$5:$C$17,C18,$D$5:$D$17))),2))</f>
      </c>
      <c r="AC18">
        <f>IF(C18=0,0,ROUND(MIN(D18,MAX(0,CHOOSE(C18,AC47,AC49,AC51,AC53)-SUMIF($C$5:$C$17,C18,$D$5:$D$17))),2))</f>
      </c>
      <c r="AD18">
        <f>IF(C18=0,0,ROUND(MIN(D18,MAX(0,CHOOSE(C18,AD47,AD49,AD51,AD53)-SUMIF($C$5:$C$17,C18,$D$5:$D$17))),2))</f>
      </c>
      <c r="AE18">
        <f>IF(C18=0,0,ROUND(MIN(D18,MAX(0,CHOOSE(C18,AE47,AE49,AE51,AE53)-SUMIF($C$5:$C$17,C18,$D$5:$D$17))),2))</f>
      </c>
      <c r="AF18">
        <f>IF(C18=0,0,ROUND(MIN(D18,MAX(0,CHOOSE(C18,AF47,AF49,AF51,AF53)-SUMIF($C$5:$C$17,C18,$D$5:$D$17))),2))</f>
      </c>
      <c r="AG18">
        <f>IF(C18=0,0,ROUND(MIN(D18,MAX(0,CHOOSE(C18,AG47,AG49,AG51,AG53)-SUMIF($C$5:$C$17,C18,$D$5:$D$17))),2))</f>
      </c>
    </row>
    <row r="19" spans="2:33" x14ac:dyDescent="0.25">
      <c r="B19">
        <f>IF('Inputs'!$B$36="","",'Inputs'!$B$36)</f>
      </c>
      <c r="C19">
        <f>'Inputs'!$AK$36</f>
      </c>
      <c r="D19">
        <f>N('Inputs'!$D$36)</f>
      </c>
      <c r="E19">
        <f>IF(OR('Inputs'!$H$36="Yes",'Inputs'!$C$36="Cash and deposits"),N('Inputs'!$D$36),0)</f>
      </c>
      <c r="F19">
        <f>'Inputs'!$L$36</f>
      </c>
      <c r="G19">
        <f>'Inputs'!$AM$36</f>
      </c>
      <c r="H19">
        <f>IF(OR('Inputs'!$G$36="Spouse",AND('Inputs'!$G$36="Estate (residue)",'Inputs'!$C$14="Spouse")),1,0)</f>
      </c>
      <c r="I19">
        <f>IF('Inputs'!$G$36="Spouse",1,0)</f>
      </c>
      <c r="J19">
        <f>IF('Inputs'!$G$36="Named heir",1,0)</f>
      </c>
      <c r="K19">
        <f>IF(AND(F19=1,'Inputs'!$F$36="Yes",(D19-G19)*IF(D19&gt;0,IF(H19=1,MIN(1,E19/D19),1),0)&gt;0),MIN(ROUND((D19-G19)*IF(D19&gt;0,IF(H19=1,MIN(1,E19/D19),1),0),2),'Inputs'!$H$134),0)</f>
      </c>
      <c r="M19">
        <f>IF(C19=0,0,ROUND(MIN(D19,MAX(0,CHOOSE(C19,M47,M49,M51,M53)-SUMIF($C$5:$C$18,C19,$D$5:$D$18))),2))</f>
      </c>
      <c r="N19">
        <f>IF(C19=0,0,ROUND(MIN(D19,MAX(0,CHOOSE(C19,N47,N49,N51,N53)-SUMIF($C$5:$C$18,C19,$D$5:$D$18))),2))</f>
      </c>
      <c r="O19">
        <f>IF(C19=0,0,ROUND(MIN(D19,MAX(0,CHOOSE(C19,O47,O49,O51,O53)-SUMIF($C$5:$C$18,C19,$D$5:$D$18))),2))</f>
      </c>
      <c r="P19">
        <f>IF(C19=0,0,ROUND(MIN(D19,MAX(0,CHOOSE(C19,P47,P49,P51,P53)-SUMIF($C$5:$C$18,C19,$D$5:$D$18))),2))</f>
      </c>
      <c r="Q19">
        <f>IF(C19=0,0,ROUND(MIN(D19,MAX(0,CHOOSE(C19,Q47,Q49,Q51,Q53)-SUMIF($C$5:$C$18,C19,$D$5:$D$18))),2))</f>
      </c>
      <c r="R19">
        <f>IF(C19=0,0,ROUND(MIN(D19,MAX(0,CHOOSE(C19,R47,R49,R51,R53)-SUMIF($C$5:$C$18,C19,$D$5:$D$18))),2))</f>
      </c>
      <c r="S19">
        <f>IF(C19=0,0,ROUND(MIN(D19,MAX(0,CHOOSE(C19,S47,S49,S51,S53)-SUMIF($C$5:$C$18,C19,$D$5:$D$18))),2))</f>
      </c>
      <c r="T19">
        <f>IF(C19=0,0,ROUND(MIN(D19,MAX(0,CHOOSE(C19,T47,T49,T51,T53)-SUMIF($C$5:$C$18,C19,$D$5:$D$18))),2))</f>
      </c>
      <c r="U19">
        <f>IF(C19=0,0,ROUND(MIN(D19,MAX(0,CHOOSE(C19,U47,U49,U51,U53)-SUMIF($C$5:$C$18,C19,$D$5:$D$18))),2))</f>
      </c>
      <c r="V19">
        <f>IF(C19=0,0,ROUND(MIN(D19,MAX(0,CHOOSE(C19,V47,V49,V51,V53)-SUMIF($C$5:$C$18,C19,$D$5:$D$18))),2))</f>
      </c>
      <c r="W19">
        <f>IF(C19=0,0,ROUND(MIN(D19,MAX(0,CHOOSE(C19,W47,W49,W51,W53)-SUMIF($C$5:$C$18,C19,$D$5:$D$18))),2))</f>
      </c>
      <c r="X19">
        <f>IF(C19=0,0,ROUND(MIN(D19,MAX(0,CHOOSE(C19,X47,X49,X51,X53)-SUMIF($C$5:$C$18,C19,$D$5:$D$18))),2))</f>
      </c>
      <c r="Y19">
        <f>IF(C19=0,0,ROUND(MIN(D19,MAX(0,CHOOSE(C19,Y47,Y49,Y51,Y53)-SUMIF($C$5:$C$18,C19,$D$5:$D$18))),2))</f>
      </c>
      <c r="Z19">
        <f>IF(C19=0,0,ROUND(MIN(D19,MAX(0,CHOOSE(C19,Z47,Z49,Z51,Z53)-SUMIF($C$5:$C$18,C19,$D$5:$D$18))),2))</f>
      </c>
      <c r="AA19">
        <f>IF(C19=0,0,ROUND(MIN(D19,MAX(0,CHOOSE(C19,AA47,AA49,AA51,AA53)-SUMIF($C$5:$C$18,C19,$D$5:$D$18))),2))</f>
      </c>
      <c r="AB19">
        <f>IF(C19=0,0,ROUND(MIN(D19,MAX(0,CHOOSE(C19,AB47,AB49,AB51,AB53)-SUMIF($C$5:$C$18,C19,$D$5:$D$18))),2))</f>
      </c>
      <c r="AC19">
        <f>IF(C19=0,0,ROUND(MIN(D19,MAX(0,CHOOSE(C19,AC47,AC49,AC51,AC53)-SUMIF($C$5:$C$18,C19,$D$5:$D$18))),2))</f>
      </c>
      <c r="AD19">
        <f>IF(C19=0,0,ROUND(MIN(D19,MAX(0,CHOOSE(C19,AD47,AD49,AD51,AD53)-SUMIF($C$5:$C$18,C19,$D$5:$D$18))),2))</f>
      </c>
      <c r="AE19">
        <f>IF(C19=0,0,ROUND(MIN(D19,MAX(0,CHOOSE(C19,AE47,AE49,AE51,AE53)-SUMIF($C$5:$C$18,C19,$D$5:$D$18))),2))</f>
      </c>
      <c r="AF19">
        <f>IF(C19=0,0,ROUND(MIN(D19,MAX(0,CHOOSE(C19,AF47,AF49,AF51,AF53)-SUMIF($C$5:$C$18,C19,$D$5:$D$18))),2))</f>
      </c>
      <c r="AG19">
        <f>IF(C19=0,0,ROUND(MIN(D19,MAX(0,CHOOSE(C19,AG47,AG49,AG51,AG53)-SUMIF($C$5:$C$18,C19,$D$5:$D$18))),2))</f>
      </c>
    </row>
    <row r="20" spans="2:33" x14ac:dyDescent="0.25">
      <c r="B20">
        <f>IF('Inputs'!$B$37="","",'Inputs'!$B$37)</f>
      </c>
      <c r="C20">
        <f>'Inputs'!$AK$37</f>
      </c>
      <c r="D20">
        <f>N('Inputs'!$D$37)</f>
      </c>
      <c r="E20">
        <f>IF(OR('Inputs'!$H$37="Yes",'Inputs'!$C$37="Cash and deposits"),N('Inputs'!$D$37),0)</f>
      </c>
      <c r="F20">
        <f>'Inputs'!$L$37</f>
      </c>
      <c r="G20">
        <f>'Inputs'!$AM$37</f>
      </c>
      <c r="H20">
        <f>IF(OR('Inputs'!$G$37="Spouse",AND('Inputs'!$G$37="Estate (residue)",'Inputs'!$C$14="Spouse")),1,0)</f>
      </c>
      <c r="I20">
        <f>IF('Inputs'!$G$37="Spouse",1,0)</f>
      </c>
      <c r="J20">
        <f>IF('Inputs'!$G$37="Named heir",1,0)</f>
      </c>
      <c r="K20">
        <f>IF(AND(F20=1,'Inputs'!$F$37="Yes",(D20-G20)*IF(D20&gt;0,IF(H20=1,MIN(1,E20/D20),1),0)&gt;0),MIN(ROUND((D20-G20)*IF(D20&gt;0,IF(H20=1,MIN(1,E20/D20),1),0),2),'Inputs'!$H$134),0)</f>
      </c>
      <c r="M20">
        <f>IF(C20=0,0,ROUND(MIN(D20,MAX(0,CHOOSE(C20,M47,M49,M51,M53)-SUMIF($C$5:$C$19,C20,$D$5:$D$19))),2))</f>
      </c>
      <c r="N20">
        <f>IF(C20=0,0,ROUND(MIN(D20,MAX(0,CHOOSE(C20,N47,N49,N51,N53)-SUMIF($C$5:$C$19,C20,$D$5:$D$19))),2))</f>
      </c>
      <c r="O20">
        <f>IF(C20=0,0,ROUND(MIN(D20,MAX(0,CHOOSE(C20,O47,O49,O51,O53)-SUMIF($C$5:$C$19,C20,$D$5:$D$19))),2))</f>
      </c>
      <c r="P20">
        <f>IF(C20=0,0,ROUND(MIN(D20,MAX(0,CHOOSE(C20,P47,P49,P51,P53)-SUMIF($C$5:$C$19,C20,$D$5:$D$19))),2))</f>
      </c>
      <c r="Q20">
        <f>IF(C20=0,0,ROUND(MIN(D20,MAX(0,CHOOSE(C20,Q47,Q49,Q51,Q53)-SUMIF($C$5:$C$19,C20,$D$5:$D$19))),2))</f>
      </c>
      <c r="R20">
        <f>IF(C20=0,0,ROUND(MIN(D20,MAX(0,CHOOSE(C20,R47,R49,R51,R53)-SUMIF($C$5:$C$19,C20,$D$5:$D$19))),2))</f>
      </c>
      <c r="S20">
        <f>IF(C20=0,0,ROUND(MIN(D20,MAX(0,CHOOSE(C20,S47,S49,S51,S53)-SUMIF($C$5:$C$19,C20,$D$5:$D$19))),2))</f>
      </c>
      <c r="T20">
        <f>IF(C20=0,0,ROUND(MIN(D20,MAX(0,CHOOSE(C20,T47,T49,T51,T53)-SUMIF($C$5:$C$19,C20,$D$5:$D$19))),2))</f>
      </c>
      <c r="U20">
        <f>IF(C20=0,0,ROUND(MIN(D20,MAX(0,CHOOSE(C20,U47,U49,U51,U53)-SUMIF($C$5:$C$19,C20,$D$5:$D$19))),2))</f>
      </c>
      <c r="V20">
        <f>IF(C20=0,0,ROUND(MIN(D20,MAX(0,CHOOSE(C20,V47,V49,V51,V53)-SUMIF($C$5:$C$19,C20,$D$5:$D$19))),2))</f>
      </c>
      <c r="W20">
        <f>IF(C20=0,0,ROUND(MIN(D20,MAX(0,CHOOSE(C20,W47,W49,W51,W53)-SUMIF($C$5:$C$19,C20,$D$5:$D$19))),2))</f>
      </c>
      <c r="X20">
        <f>IF(C20=0,0,ROUND(MIN(D20,MAX(0,CHOOSE(C20,X47,X49,X51,X53)-SUMIF($C$5:$C$19,C20,$D$5:$D$19))),2))</f>
      </c>
      <c r="Y20">
        <f>IF(C20=0,0,ROUND(MIN(D20,MAX(0,CHOOSE(C20,Y47,Y49,Y51,Y53)-SUMIF($C$5:$C$19,C20,$D$5:$D$19))),2))</f>
      </c>
      <c r="Z20">
        <f>IF(C20=0,0,ROUND(MIN(D20,MAX(0,CHOOSE(C20,Z47,Z49,Z51,Z53)-SUMIF($C$5:$C$19,C20,$D$5:$D$19))),2))</f>
      </c>
      <c r="AA20">
        <f>IF(C20=0,0,ROUND(MIN(D20,MAX(0,CHOOSE(C20,AA47,AA49,AA51,AA53)-SUMIF($C$5:$C$19,C20,$D$5:$D$19))),2))</f>
      </c>
      <c r="AB20">
        <f>IF(C20=0,0,ROUND(MIN(D20,MAX(0,CHOOSE(C20,AB47,AB49,AB51,AB53)-SUMIF($C$5:$C$19,C20,$D$5:$D$19))),2))</f>
      </c>
      <c r="AC20">
        <f>IF(C20=0,0,ROUND(MIN(D20,MAX(0,CHOOSE(C20,AC47,AC49,AC51,AC53)-SUMIF($C$5:$C$19,C20,$D$5:$D$19))),2))</f>
      </c>
      <c r="AD20">
        <f>IF(C20=0,0,ROUND(MIN(D20,MAX(0,CHOOSE(C20,AD47,AD49,AD51,AD53)-SUMIF($C$5:$C$19,C20,$D$5:$D$19))),2))</f>
      </c>
      <c r="AE20">
        <f>IF(C20=0,0,ROUND(MIN(D20,MAX(0,CHOOSE(C20,AE47,AE49,AE51,AE53)-SUMIF($C$5:$C$19,C20,$D$5:$D$19))),2))</f>
      </c>
      <c r="AF20">
        <f>IF(C20=0,0,ROUND(MIN(D20,MAX(0,CHOOSE(C20,AF47,AF49,AF51,AF53)-SUMIF($C$5:$C$19,C20,$D$5:$D$19))),2))</f>
      </c>
      <c r="AG20">
        <f>IF(C20=0,0,ROUND(MIN(D20,MAX(0,CHOOSE(C20,AG47,AG49,AG51,AG53)-SUMIF($C$5:$C$19,C20,$D$5:$D$19))),2))</f>
      </c>
    </row>
    <row r="21" spans="2:33" x14ac:dyDescent="0.25">
      <c r="B21">
        <f>IF('Inputs'!$B$38="","",'Inputs'!$B$38)</f>
      </c>
      <c r="C21">
        <f>'Inputs'!$AK$38</f>
      </c>
      <c r="D21">
        <f>N('Inputs'!$D$38)</f>
      </c>
      <c r="E21">
        <f>IF(OR('Inputs'!$H$38="Yes",'Inputs'!$C$38="Cash and deposits"),N('Inputs'!$D$38),0)</f>
      </c>
      <c r="F21">
        <f>'Inputs'!$L$38</f>
      </c>
      <c r="G21">
        <f>'Inputs'!$AM$38</f>
      </c>
      <c r="H21">
        <f>IF(OR('Inputs'!$G$38="Spouse",AND('Inputs'!$G$38="Estate (residue)",'Inputs'!$C$14="Spouse")),1,0)</f>
      </c>
      <c r="I21">
        <f>IF('Inputs'!$G$38="Spouse",1,0)</f>
      </c>
      <c r="J21">
        <f>IF('Inputs'!$G$38="Named heir",1,0)</f>
      </c>
      <c r="K21">
        <f>IF(AND(F21=1,'Inputs'!$F$38="Yes",(D21-G21)*IF(D21&gt;0,IF(H21=1,MIN(1,E21/D21),1),0)&gt;0),MIN(ROUND((D21-G21)*IF(D21&gt;0,IF(H21=1,MIN(1,E21/D21),1),0),2),'Inputs'!$H$134),0)</f>
      </c>
      <c r="M21">
        <f>IF(C21=0,0,ROUND(MIN(D21,MAX(0,CHOOSE(C21,M47,M49,M51,M53)-SUMIF($C$5:$C$20,C21,$D$5:$D$20))),2))</f>
      </c>
      <c r="N21">
        <f>IF(C21=0,0,ROUND(MIN(D21,MAX(0,CHOOSE(C21,N47,N49,N51,N53)-SUMIF($C$5:$C$20,C21,$D$5:$D$20))),2))</f>
      </c>
      <c r="O21">
        <f>IF(C21=0,0,ROUND(MIN(D21,MAX(0,CHOOSE(C21,O47,O49,O51,O53)-SUMIF($C$5:$C$20,C21,$D$5:$D$20))),2))</f>
      </c>
      <c r="P21">
        <f>IF(C21=0,0,ROUND(MIN(D21,MAX(0,CHOOSE(C21,P47,P49,P51,P53)-SUMIF($C$5:$C$20,C21,$D$5:$D$20))),2))</f>
      </c>
      <c r="Q21">
        <f>IF(C21=0,0,ROUND(MIN(D21,MAX(0,CHOOSE(C21,Q47,Q49,Q51,Q53)-SUMIF($C$5:$C$20,C21,$D$5:$D$20))),2))</f>
      </c>
      <c r="R21">
        <f>IF(C21=0,0,ROUND(MIN(D21,MAX(0,CHOOSE(C21,R47,R49,R51,R53)-SUMIF($C$5:$C$20,C21,$D$5:$D$20))),2))</f>
      </c>
      <c r="S21">
        <f>IF(C21=0,0,ROUND(MIN(D21,MAX(0,CHOOSE(C21,S47,S49,S51,S53)-SUMIF($C$5:$C$20,C21,$D$5:$D$20))),2))</f>
      </c>
      <c r="T21">
        <f>IF(C21=0,0,ROUND(MIN(D21,MAX(0,CHOOSE(C21,T47,T49,T51,T53)-SUMIF($C$5:$C$20,C21,$D$5:$D$20))),2))</f>
      </c>
      <c r="U21">
        <f>IF(C21=0,0,ROUND(MIN(D21,MAX(0,CHOOSE(C21,U47,U49,U51,U53)-SUMIF($C$5:$C$20,C21,$D$5:$D$20))),2))</f>
      </c>
      <c r="V21">
        <f>IF(C21=0,0,ROUND(MIN(D21,MAX(0,CHOOSE(C21,V47,V49,V51,V53)-SUMIF($C$5:$C$20,C21,$D$5:$D$20))),2))</f>
      </c>
      <c r="W21">
        <f>IF(C21=0,0,ROUND(MIN(D21,MAX(0,CHOOSE(C21,W47,W49,W51,W53)-SUMIF($C$5:$C$20,C21,$D$5:$D$20))),2))</f>
      </c>
      <c r="X21">
        <f>IF(C21=0,0,ROUND(MIN(D21,MAX(0,CHOOSE(C21,X47,X49,X51,X53)-SUMIF($C$5:$C$20,C21,$D$5:$D$20))),2))</f>
      </c>
      <c r="Y21">
        <f>IF(C21=0,0,ROUND(MIN(D21,MAX(0,CHOOSE(C21,Y47,Y49,Y51,Y53)-SUMIF($C$5:$C$20,C21,$D$5:$D$20))),2))</f>
      </c>
      <c r="Z21">
        <f>IF(C21=0,0,ROUND(MIN(D21,MAX(0,CHOOSE(C21,Z47,Z49,Z51,Z53)-SUMIF($C$5:$C$20,C21,$D$5:$D$20))),2))</f>
      </c>
      <c r="AA21">
        <f>IF(C21=0,0,ROUND(MIN(D21,MAX(0,CHOOSE(C21,AA47,AA49,AA51,AA53)-SUMIF($C$5:$C$20,C21,$D$5:$D$20))),2))</f>
      </c>
      <c r="AB21">
        <f>IF(C21=0,0,ROUND(MIN(D21,MAX(0,CHOOSE(C21,AB47,AB49,AB51,AB53)-SUMIF($C$5:$C$20,C21,$D$5:$D$20))),2))</f>
      </c>
      <c r="AC21">
        <f>IF(C21=0,0,ROUND(MIN(D21,MAX(0,CHOOSE(C21,AC47,AC49,AC51,AC53)-SUMIF($C$5:$C$20,C21,$D$5:$D$20))),2))</f>
      </c>
      <c r="AD21">
        <f>IF(C21=0,0,ROUND(MIN(D21,MAX(0,CHOOSE(C21,AD47,AD49,AD51,AD53)-SUMIF($C$5:$C$20,C21,$D$5:$D$20))),2))</f>
      </c>
      <c r="AE21">
        <f>IF(C21=0,0,ROUND(MIN(D21,MAX(0,CHOOSE(C21,AE47,AE49,AE51,AE53)-SUMIF($C$5:$C$20,C21,$D$5:$D$20))),2))</f>
      </c>
      <c r="AF21">
        <f>IF(C21=0,0,ROUND(MIN(D21,MAX(0,CHOOSE(C21,AF47,AF49,AF51,AF53)-SUMIF($C$5:$C$20,C21,$D$5:$D$20))),2))</f>
      </c>
      <c r="AG21">
        <f>IF(C21=0,0,ROUND(MIN(D21,MAX(0,CHOOSE(C21,AG47,AG49,AG51,AG53)-SUMIF($C$5:$C$20,C21,$D$5:$D$20))),2))</f>
      </c>
    </row>
    <row r="22" spans="2:33" x14ac:dyDescent="0.25">
      <c r="B22">
        <f>IF('Inputs'!$B$39="","",'Inputs'!$B$39)</f>
      </c>
      <c r="C22">
        <f>'Inputs'!$AK$39</f>
      </c>
      <c r="D22">
        <f>N('Inputs'!$D$39)</f>
      </c>
      <c r="E22">
        <f>IF(OR('Inputs'!$H$39="Yes",'Inputs'!$C$39="Cash and deposits"),N('Inputs'!$D$39),0)</f>
      </c>
      <c r="F22">
        <f>'Inputs'!$L$39</f>
      </c>
      <c r="G22">
        <f>'Inputs'!$AM$39</f>
      </c>
      <c r="H22">
        <f>IF(OR('Inputs'!$G$39="Spouse",AND('Inputs'!$G$39="Estate (residue)",'Inputs'!$C$14="Spouse")),1,0)</f>
      </c>
      <c r="I22">
        <f>IF('Inputs'!$G$39="Spouse",1,0)</f>
      </c>
      <c r="J22">
        <f>IF('Inputs'!$G$39="Named heir",1,0)</f>
      </c>
      <c r="K22">
        <f>IF(AND(F22=1,'Inputs'!$F$39="Yes",(D22-G22)*IF(D22&gt;0,IF(H22=1,MIN(1,E22/D22),1),0)&gt;0),MIN(ROUND((D22-G22)*IF(D22&gt;0,IF(H22=1,MIN(1,E22/D22),1),0),2),'Inputs'!$H$134),0)</f>
      </c>
      <c r="M22">
        <f>IF(C22=0,0,ROUND(MIN(D22,MAX(0,CHOOSE(C22,M47,M49,M51,M53)-SUMIF($C$5:$C$21,C22,$D$5:$D$21))),2))</f>
      </c>
      <c r="N22">
        <f>IF(C22=0,0,ROUND(MIN(D22,MAX(0,CHOOSE(C22,N47,N49,N51,N53)-SUMIF($C$5:$C$21,C22,$D$5:$D$21))),2))</f>
      </c>
      <c r="O22">
        <f>IF(C22=0,0,ROUND(MIN(D22,MAX(0,CHOOSE(C22,O47,O49,O51,O53)-SUMIF($C$5:$C$21,C22,$D$5:$D$21))),2))</f>
      </c>
      <c r="P22">
        <f>IF(C22=0,0,ROUND(MIN(D22,MAX(0,CHOOSE(C22,P47,P49,P51,P53)-SUMIF($C$5:$C$21,C22,$D$5:$D$21))),2))</f>
      </c>
      <c r="Q22">
        <f>IF(C22=0,0,ROUND(MIN(D22,MAX(0,CHOOSE(C22,Q47,Q49,Q51,Q53)-SUMIF($C$5:$C$21,C22,$D$5:$D$21))),2))</f>
      </c>
      <c r="R22">
        <f>IF(C22=0,0,ROUND(MIN(D22,MAX(0,CHOOSE(C22,R47,R49,R51,R53)-SUMIF($C$5:$C$21,C22,$D$5:$D$21))),2))</f>
      </c>
      <c r="S22">
        <f>IF(C22=0,0,ROUND(MIN(D22,MAX(0,CHOOSE(C22,S47,S49,S51,S53)-SUMIF($C$5:$C$21,C22,$D$5:$D$21))),2))</f>
      </c>
      <c r="T22">
        <f>IF(C22=0,0,ROUND(MIN(D22,MAX(0,CHOOSE(C22,T47,T49,T51,T53)-SUMIF($C$5:$C$21,C22,$D$5:$D$21))),2))</f>
      </c>
      <c r="U22">
        <f>IF(C22=0,0,ROUND(MIN(D22,MAX(0,CHOOSE(C22,U47,U49,U51,U53)-SUMIF($C$5:$C$21,C22,$D$5:$D$21))),2))</f>
      </c>
      <c r="V22">
        <f>IF(C22=0,0,ROUND(MIN(D22,MAX(0,CHOOSE(C22,V47,V49,V51,V53)-SUMIF($C$5:$C$21,C22,$D$5:$D$21))),2))</f>
      </c>
      <c r="W22">
        <f>IF(C22=0,0,ROUND(MIN(D22,MAX(0,CHOOSE(C22,W47,W49,W51,W53)-SUMIF($C$5:$C$21,C22,$D$5:$D$21))),2))</f>
      </c>
      <c r="X22">
        <f>IF(C22=0,0,ROUND(MIN(D22,MAX(0,CHOOSE(C22,X47,X49,X51,X53)-SUMIF($C$5:$C$21,C22,$D$5:$D$21))),2))</f>
      </c>
      <c r="Y22">
        <f>IF(C22=0,0,ROUND(MIN(D22,MAX(0,CHOOSE(C22,Y47,Y49,Y51,Y53)-SUMIF($C$5:$C$21,C22,$D$5:$D$21))),2))</f>
      </c>
      <c r="Z22">
        <f>IF(C22=0,0,ROUND(MIN(D22,MAX(0,CHOOSE(C22,Z47,Z49,Z51,Z53)-SUMIF($C$5:$C$21,C22,$D$5:$D$21))),2))</f>
      </c>
      <c r="AA22">
        <f>IF(C22=0,0,ROUND(MIN(D22,MAX(0,CHOOSE(C22,AA47,AA49,AA51,AA53)-SUMIF($C$5:$C$21,C22,$D$5:$D$21))),2))</f>
      </c>
      <c r="AB22">
        <f>IF(C22=0,0,ROUND(MIN(D22,MAX(0,CHOOSE(C22,AB47,AB49,AB51,AB53)-SUMIF($C$5:$C$21,C22,$D$5:$D$21))),2))</f>
      </c>
      <c r="AC22">
        <f>IF(C22=0,0,ROUND(MIN(D22,MAX(0,CHOOSE(C22,AC47,AC49,AC51,AC53)-SUMIF($C$5:$C$21,C22,$D$5:$D$21))),2))</f>
      </c>
      <c r="AD22">
        <f>IF(C22=0,0,ROUND(MIN(D22,MAX(0,CHOOSE(C22,AD47,AD49,AD51,AD53)-SUMIF($C$5:$C$21,C22,$D$5:$D$21))),2))</f>
      </c>
      <c r="AE22">
        <f>IF(C22=0,0,ROUND(MIN(D22,MAX(0,CHOOSE(C22,AE47,AE49,AE51,AE53)-SUMIF($C$5:$C$21,C22,$D$5:$D$21))),2))</f>
      </c>
      <c r="AF22">
        <f>IF(C22=0,0,ROUND(MIN(D22,MAX(0,CHOOSE(C22,AF47,AF49,AF51,AF53)-SUMIF($C$5:$C$21,C22,$D$5:$D$21))),2))</f>
      </c>
      <c r="AG22">
        <f>IF(C22=0,0,ROUND(MIN(D22,MAX(0,CHOOSE(C22,AG47,AG49,AG51,AG53)-SUMIF($C$5:$C$21,C22,$D$5:$D$21))),2))</f>
      </c>
    </row>
    <row r="24" spans="2:33" x14ac:dyDescent="0.25">
      <c r="B24">
        <f>"Taxed gain: "&amp;B5</f>
      </c>
      <c r="M24">
        <f>IF(F5=1,ROUND((D5-G5)*IF(D5&gt;0,IF(H5=1,MIN(1,(E5+M5)/D5),1),0),2),0)</f>
      </c>
      <c r="N24">
        <f>IF(F5=1,ROUND((D5-G5)*IF(D5&gt;0,IF(H5=1,MIN(1,(E5+N5)/D5),1),0),2),0)</f>
      </c>
      <c r="O24">
        <f>IF(F5=1,ROUND((D5-G5)*IF(D5&gt;0,IF(H5=1,MIN(1,(E5+O5)/D5),1),0),2),0)</f>
      </c>
      <c r="P24">
        <f>IF(F5=1,ROUND((D5-G5)*IF(D5&gt;0,IF(H5=1,MIN(1,(E5+P5)/D5),1),0),2),0)</f>
      </c>
      <c r="Q24">
        <f>IF(F5=1,ROUND((D5-G5)*IF(D5&gt;0,IF(H5=1,MIN(1,(E5+Q5)/D5),1),0),2),0)</f>
      </c>
      <c r="R24">
        <f>IF(F5=1,ROUND((D5-G5)*IF(D5&gt;0,IF(H5=1,MIN(1,(E5+R5)/D5),1),0),2),0)</f>
      </c>
      <c r="S24">
        <f>IF(F5=1,ROUND((D5-G5)*IF(D5&gt;0,IF(H5=1,MIN(1,(E5+S5)/D5),1),0),2),0)</f>
      </c>
      <c r="T24">
        <f>IF(F5=1,ROUND((D5-G5)*IF(D5&gt;0,IF(H5=1,MIN(1,(E5+T5)/D5),1),0),2),0)</f>
      </c>
      <c r="U24">
        <f>IF(F5=1,ROUND((D5-G5)*IF(D5&gt;0,IF(H5=1,MIN(1,(E5+U5)/D5),1),0),2),0)</f>
      </c>
      <c r="V24">
        <f>IF(F5=1,ROUND((D5-G5)*IF(D5&gt;0,IF(H5=1,MIN(1,(E5+V5)/D5),1),0),2),0)</f>
      </c>
      <c r="W24">
        <f>IF(F5=1,ROUND((D5-G5)*IF(D5&gt;0,IF(H5=1,MIN(1,(E5+W5)/D5),1),0),2),0)</f>
      </c>
      <c r="X24">
        <f>IF(F5=1,ROUND((D5-G5)*IF(D5&gt;0,IF(H5=1,MIN(1,(E5+X5)/D5),1),0),2),0)</f>
      </c>
      <c r="Y24">
        <f>IF(F5=1,ROUND((D5-G5)*IF(D5&gt;0,IF(H5=1,MIN(1,(E5+Y5)/D5),1),0),2),0)</f>
      </c>
      <c r="Z24">
        <f>IF(F5=1,ROUND((D5-G5)*IF(D5&gt;0,IF(H5=1,MIN(1,(E5+Z5)/D5),1),0),2),0)</f>
      </c>
      <c r="AA24">
        <f>IF(F5=1,ROUND((D5-G5)*IF(D5&gt;0,IF(H5=1,MIN(1,(E5+AA5)/D5),1),0),2),0)</f>
      </c>
      <c r="AB24">
        <f>IF(F5=1,ROUND((D5-G5)*IF(D5&gt;0,IF(H5=1,MIN(1,(E5+AB5)/D5),1),0),2),0)</f>
      </c>
      <c r="AC24">
        <f>IF(F5=1,ROUND((D5-G5)*IF(D5&gt;0,IF(H5=1,MIN(1,(E5+AC5)/D5),1),0),2),0)</f>
      </c>
      <c r="AD24">
        <f>IF(F5=1,ROUND((D5-G5)*IF(D5&gt;0,IF(H5=1,MIN(1,(E5+AD5)/D5),1),0),2),0)</f>
      </c>
      <c r="AE24">
        <f>IF(F5=1,ROUND((D5-G5)*IF(D5&gt;0,IF(H5=1,MIN(1,(E5+AE5)/D5),1),0),2),0)</f>
      </c>
      <c r="AF24">
        <f>IF(F5=1,ROUND((D5-G5)*IF(D5&gt;0,IF(H5=1,MIN(1,(E5+AF5)/D5),1),0),2),0)</f>
      </c>
      <c r="AG24">
        <f>IF(F5=1,ROUND((D5-G5)*IF(D5&gt;0,IF(H5=1,MIN(1,(E5+AG5)/D5),1),0),2),0)</f>
      </c>
    </row>
    <row r="25" spans="2:33" x14ac:dyDescent="0.25">
      <c r="B25">
        <f>"Taxed gain: "&amp;B6</f>
      </c>
      <c r="M25">
        <f>IF(F6=1,ROUND((D6-G6)*IF(D6&gt;0,IF(H6=1,MIN(1,(E6+M6)/D6),1),0),2),0)</f>
      </c>
      <c r="N25">
        <f>IF(F6=1,ROUND((D6-G6)*IF(D6&gt;0,IF(H6=1,MIN(1,(E6+N6)/D6),1),0),2),0)</f>
      </c>
      <c r="O25">
        <f>IF(F6=1,ROUND((D6-G6)*IF(D6&gt;0,IF(H6=1,MIN(1,(E6+O6)/D6),1),0),2),0)</f>
      </c>
      <c r="P25">
        <f>IF(F6=1,ROUND((D6-G6)*IF(D6&gt;0,IF(H6=1,MIN(1,(E6+P6)/D6),1),0),2),0)</f>
      </c>
      <c r="Q25">
        <f>IF(F6=1,ROUND((D6-G6)*IF(D6&gt;0,IF(H6=1,MIN(1,(E6+Q6)/D6),1),0),2),0)</f>
      </c>
      <c r="R25">
        <f>IF(F6=1,ROUND((D6-G6)*IF(D6&gt;0,IF(H6=1,MIN(1,(E6+R6)/D6),1),0),2),0)</f>
      </c>
      <c r="S25">
        <f>IF(F6=1,ROUND((D6-G6)*IF(D6&gt;0,IF(H6=1,MIN(1,(E6+S6)/D6),1),0),2),0)</f>
      </c>
      <c r="T25">
        <f>IF(F6=1,ROUND((D6-G6)*IF(D6&gt;0,IF(H6=1,MIN(1,(E6+T6)/D6),1),0),2),0)</f>
      </c>
      <c r="U25">
        <f>IF(F6=1,ROUND((D6-G6)*IF(D6&gt;0,IF(H6=1,MIN(1,(E6+U6)/D6),1),0),2),0)</f>
      </c>
      <c r="V25">
        <f>IF(F6=1,ROUND((D6-G6)*IF(D6&gt;0,IF(H6=1,MIN(1,(E6+V6)/D6),1),0),2),0)</f>
      </c>
      <c r="W25">
        <f>IF(F6=1,ROUND((D6-G6)*IF(D6&gt;0,IF(H6=1,MIN(1,(E6+W6)/D6),1),0),2),0)</f>
      </c>
      <c r="X25">
        <f>IF(F6=1,ROUND((D6-G6)*IF(D6&gt;0,IF(H6=1,MIN(1,(E6+X6)/D6),1),0),2),0)</f>
      </c>
      <c r="Y25">
        <f>IF(F6=1,ROUND((D6-G6)*IF(D6&gt;0,IF(H6=1,MIN(1,(E6+Y6)/D6),1),0),2),0)</f>
      </c>
      <c r="Z25">
        <f>IF(F6=1,ROUND((D6-G6)*IF(D6&gt;0,IF(H6=1,MIN(1,(E6+Z6)/D6),1),0),2),0)</f>
      </c>
      <c r="AA25">
        <f>IF(F6=1,ROUND((D6-G6)*IF(D6&gt;0,IF(H6=1,MIN(1,(E6+AA6)/D6),1),0),2),0)</f>
      </c>
      <c r="AB25">
        <f>IF(F6=1,ROUND((D6-G6)*IF(D6&gt;0,IF(H6=1,MIN(1,(E6+AB6)/D6),1),0),2),0)</f>
      </c>
      <c r="AC25">
        <f>IF(F6=1,ROUND((D6-G6)*IF(D6&gt;0,IF(H6=1,MIN(1,(E6+AC6)/D6),1),0),2),0)</f>
      </c>
      <c r="AD25">
        <f>IF(F6=1,ROUND((D6-G6)*IF(D6&gt;0,IF(H6=1,MIN(1,(E6+AD6)/D6),1),0),2),0)</f>
      </c>
      <c r="AE25">
        <f>IF(F6=1,ROUND((D6-G6)*IF(D6&gt;0,IF(H6=1,MIN(1,(E6+AE6)/D6),1),0),2),0)</f>
      </c>
      <c r="AF25">
        <f>IF(F6=1,ROUND((D6-G6)*IF(D6&gt;0,IF(H6=1,MIN(1,(E6+AF6)/D6),1),0),2),0)</f>
      </c>
      <c r="AG25">
        <f>IF(F6=1,ROUND((D6-G6)*IF(D6&gt;0,IF(H6=1,MIN(1,(E6+AG6)/D6),1),0),2),0)</f>
      </c>
    </row>
    <row r="26" spans="2:33" x14ac:dyDescent="0.25">
      <c r="B26">
        <f>"Taxed gain: "&amp;B7</f>
      </c>
      <c r="M26">
        <f>IF(F7=1,ROUND((D7-G7)*IF(D7&gt;0,IF(H7=1,MIN(1,(E7+M7)/D7),1),0),2),0)</f>
      </c>
      <c r="N26">
        <f>IF(F7=1,ROUND((D7-G7)*IF(D7&gt;0,IF(H7=1,MIN(1,(E7+N7)/D7),1),0),2),0)</f>
      </c>
      <c r="O26">
        <f>IF(F7=1,ROUND((D7-G7)*IF(D7&gt;0,IF(H7=1,MIN(1,(E7+O7)/D7),1),0),2),0)</f>
      </c>
      <c r="P26">
        <f>IF(F7=1,ROUND((D7-G7)*IF(D7&gt;0,IF(H7=1,MIN(1,(E7+P7)/D7),1),0),2),0)</f>
      </c>
      <c r="Q26">
        <f>IF(F7=1,ROUND((D7-G7)*IF(D7&gt;0,IF(H7=1,MIN(1,(E7+Q7)/D7),1),0),2),0)</f>
      </c>
      <c r="R26">
        <f>IF(F7=1,ROUND((D7-G7)*IF(D7&gt;0,IF(H7=1,MIN(1,(E7+R7)/D7),1),0),2),0)</f>
      </c>
      <c r="S26">
        <f>IF(F7=1,ROUND((D7-G7)*IF(D7&gt;0,IF(H7=1,MIN(1,(E7+S7)/D7),1),0),2),0)</f>
      </c>
      <c r="T26">
        <f>IF(F7=1,ROUND((D7-G7)*IF(D7&gt;0,IF(H7=1,MIN(1,(E7+T7)/D7),1),0),2),0)</f>
      </c>
      <c r="U26">
        <f>IF(F7=1,ROUND((D7-G7)*IF(D7&gt;0,IF(H7=1,MIN(1,(E7+U7)/D7),1),0),2),0)</f>
      </c>
      <c r="V26">
        <f>IF(F7=1,ROUND((D7-G7)*IF(D7&gt;0,IF(H7=1,MIN(1,(E7+V7)/D7),1),0),2),0)</f>
      </c>
      <c r="W26">
        <f>IF(F7=1,ROUND((D7-G7)*IF(D7&gt;0,IF(H7=1,MIN(1,(E7+W7)/D7),1),0),2),0)</f>
      </c>
      <c r="X26">
        <f>IF(F7=1,ROUND((D7-G7)*IF(D7&gt;0,IF(H7=1,MIN(1,(E7+X7)/D7),1),0),2),0)</f>
      </c>
      <c r="Y26">
        <f>IF(F7=1,ROUND((D7-G7)*IF(D7&gt;0,IF(H7=1,MIN(1,(E7+Y7)/D7),1),0),2),0)</f>
      </c>
      <c r="Z26">
        <f>IF(F7=1,ROUND((D7-G7)*IF(D7&gt;0,IF(H7=1,MIN(1,(E7+Z7)/D7),1),0),2),0)</f>
      </c>
      <c r="AA26">
        <f>IF(F7=1,ROUND((D7-G7)*IF(D7&gt;0,IF(H7=1,MIN(1,(E7+AA7)/D7),1),0),2),0)</f>
      </c>
      <c r="AB26">
        <f>IF(F7=1,ROUND((D7-G7)*IF(D7&gt;0,IF(H7=1,MIN(1,(E7+AB7)/D7),1),0),2),0)</f>
      </c>
      <c r="AC26">
        <f>IF(F7=1,ROUND((D7-G7)*IF(D7&gt;0,IF(H7=1,MIN(1,(E7+AC7)/D7),1),0),2),0)</f>
      </c>
      <c r="AD26">
        <f>IF(F7=1,ROUND((D7-G7)*IF(D7&gt;0,IF(H7=1,MIN(1,(E7+AD7)/D7),1),0),2),0)</f>
      </c>
      <c r="AE26">
        <f>IF(F7=1,ROUND((D7-G7)*IF(D7&gt;0,IF(H7=1,MIN(1,(E7+AE7)/D7),1),0),2),0)</f>
      </c>
      <c r="AF26">
        <f>IF(F7=1,ROUND((D7-G7)*IF(D7&gt;0,IF(H7=1,MIN(1,(E7+AF7)/D7),1),0),2),0)</f>
      </c>
      <c r="AG26">
        <f>IF(F7=1,ROUND((D7-G7)*IF(D7&gt;0,IF(H7=1,MIN(1,(E7+AG7)/D7),1),0),2),0)</f>
      </c>
    </row>
    <row r="27" spans="2:33" x14ac:dyDescent="0.25">
      <c r="B27">
        <f>"Taxed gain: "&amp;B8</f>
      </c>
      <c r="M27">
        <f>IF(F8=1,ROUND((D8-G8)*IF(D8&gt;0,IF(H8=1,MIN(1,(E8+M8)/D8),1),0),2),0)</f>
      </c>
      <c r="N27">
        <f>IF(F8=1,ROUND((D8-G8)*IF(D8&gt;0,IF(H8=1,MIN(1,(E8+N8)/D8),1),0),2),0)</f>
      </c>
      <c r="O27">
        <f>IF(F8=1,ROUND((D8-G8)*IF(D8&gt;0,IF(H8=1,MIN(1,(E8+O8)/D8),1),0),2),0)</f>
      </c>
      <c r="P27">
        <f>IF(F8=1,ROUND((D8-G8)*IF(D8&gt;0,IF(H8=1,MIN(1,(E8+P8)/D8),1),0),2),0)</f>
      </c>
      <c r="Q27">
        <f>IF(F8=1,ROUND((D8-G8)*IF(D8&gt;0,IF(H8=1,MIN(1,(E8+Q8)/D8),1),0),2),0)</f>
      </c>
      <c r="R27">
        <f>IF(F8=1,ROUND((D8-G8)*IF(D8&gt;0,IF(H8=1,MIN(1,(E8+R8)/D8),1),0),2),0)</f>
      </c>
      <c r="S27">
        <f>IF(F8=1,ROUND((D8-G8)*IF(D8&gt;0,IF(H8=1,MIN(1,(E8+S8)/D8),1),0),2),0)</f>
      </c>
      <c r="T27">
        <f>IF(F8=1,ROUND((D8-G8)*IF(D8&gt;0,IF(H8=1,MIN(1,(E8+T8)/D8),1),0),2),0)</f>
      </c>
      <c r="U27">
        <f>IF(F8=1,ROUND((D8-G8)*IF(D8&gt;0,IF(H8=1,MIN(1,(E8+U8)/D8),1),0),2),0)</f>
      </c>
      <c r="V27">
        <f>IF(F8=1,ROUND((D8-G8)*IF(D8&gt;0,IF(H8=1,MIN(1,(E8+V8)/D8),1),0),2),0)</f>
      </c>
      <c r="W27">
        <f>IF(F8=1,ROUND((D8-G8)*IF(D8&gt;0,IF(H8=1,MIN(1,(E8+W8)/D8),1),0),2),0)</f>
      </c>
      <c r="X27">
        <f>IF(F8=1,ROUND((D8-G8)*IF(D8&gt;0,IF(H8=1,MIN(1,(E8+X8)/D8),1),0),2),0)</f>
      </c>
      <c r="Y27">
        <f>IF(F8=1,ROUND((D8-G8)*IF(D8&gt;0,IF(H8=1,MIN(1,(E8+Y8)/D8),1),0),2),0)</f>
      </c>
      <c r="Z27">
        <f>IF(F8=1,ROUND((D8-G8)*IF(D8&gt;0,IF(H8=1,MIN(1,(E8+Z8)/D8),1),0),2),0)</f>
      </c>
      <c r="AA27">
        <f>IF(F8=1,ROUND((D8-G8)*IF(D8&gt;0,IF(H8=1,MIN(1,(E8+AA8)/D8),1),0),2),0)</f>
      </c>
      <c r="AB27">
        <f>IF(F8=1,ROUND((D8-G8)*IF(D8&gt;0,IF(H8=1,MIN(1,(E8+AB8)/D8),1),0),2),0)</f>
      </c>
      <c r="AC27">
        <f>IF(F8=1,ROUND((D8-G8)*IF(D8&gt;0,IF(H8=1,MIN(1,(E8+AC8)/D8),1),0),2),0)</f>
      </c>
      <c r="AD27">
        <f>IF(F8=1,ROUND((D8-G8)*IF(D8&gt;0,IF(H8=1,MIN(1,(E8+AD8)/D8),1),0),2),0)</f>
      </c>
      <c r="AE27">
        <f>IF(F8=1,ROUND((D8-G8)*IF(D8&gt;0,IF(H8=1,MIN(1,(E8+AE8)/D8),1),0),2),0)</f>
      </c>
      <c r="AF27">
        <f>IF(F8=1,ROUND((D8-G8)*IF(D8&gt;0,IF(H8=1,MIN(1,(E8+AF8)/D8),1),0),2),0)</f>
      </c>
      <c r="AG27">
        <f>IF(F8=1,ROUND((D8-G8)*IF(D8&gt;0,IF(H8=1,MIN(1,(E8+AG8)/D8),1),0),2),0)</f>
      </c>
    </row>
    <row r="28" spans="2:33" x14ac:dyDescent="0.25">
      <c r="B28">
        <f>"Taxed gain: "&amp;B9</f>
      </c>
      <c r="M28">
        <f>IF(F9=1,ROUND((D9-G9)*IF(D9&gt;0,IF(H9=1,MIN(1,(E9+M9)/D9),1),0),2),0)</f>
      </c>
      <c r="N28">
        <f>IF(F9=1,ROUND((D9-G9)*IF(D9&gt;0,IF(H9=1,MIN(1,(E9+N9)/D9),1),0),2),0)</f>
      </c>
      <c r="O28">
        <f>IF(F9=1,ROUND((D9-G9)*IF(D9&gt;0,IF(H9=1,MIN(1,(E9+O9)/D9),1),0),2),0)</f>
      </c>
      <c r="P28">
        <f>IF(F9=1,ROUND((D9-G9)*IF(D9&gt;0,IF(H9=1,MIN(1,(E9+P9)/D9),1),0),2),0)</f>
      </c>
      <c r="Q28">
        <f>IF(F9=1,ROUND((D9-G9)*IF(D9&gt;0,IF(H9=1,MIN(1,(E9+Q9)/D9),1),0),2),0)</f>
      </c>
      <c r="R28">
        <f>IF(F9=1,ROUND((D9-G9)*IF(D9&gt;0,IF(H9=1,MIN(1,(E9+R9)/D9),1),0),2),0)</f>
      </c>
      <c r="S28">
        <f>IF(F9=1,ROUND((D9-G9)*IF(D9&gt;0,IF(H9=1,MIN(1,(E9+S9)/D9),1),0),2),0)</f>
      </c>
      <c r="T28">
        <f>IF(F9=1,ROUND((D9-G9)*IF(D9&gt;0,IF(H9=1,MIN(1,(E9+T9)/D9),1),0),2),0)</f>
      </c>
      <c r="U28">
        <f>IF(F9=1,ROUND((D9-G9)*IF(D9&gt;0,IF(H9=1,MIN(1,(E9+U9)/D9),1),0),2),0)</f>
      </c>
      <c r="V28">
        <f>IF(F9=1,ROUND((D9-G9)*IF(D9&gt;0,IF(H9=1,MIN(1,(E9+V9)/D9),1),0),2),0)</f>
      </c>
      <c r="W28">
        <f>IF(F9=1,ROUND((D9-G9)*IF(D9&gt;0,IF(H9=1,MIN(1,(E9+W9)/D9),1),0),2),0)</f>
      </c>
      <c r="X28">
        <f>IF(F9=1,ROUND((D9-G9)*IF(D9&gt;0,IF(H9=1,MIN(1,(E9+X9)/D9),1),0),2),0)</f>
      </c>
      <c r="Y28">
        <f>IF(F9=1,ROUND((D9-G9)*IF(D9&gt;0,IF(H9=1,MIN(1,(E9+Y9)/D9),1),0),2),0)</f>
      </c>
      <c r="Z28">
        <f>IF(F9=1,ROUND((D9-G9)*IF(D9&gt;0,IF(H9=1,MIN(1,(E9+Z9)/D9),1),0),2),0)</f>
      </c>
      <c r="AA28">
        <f>IF(F9=1,ROUND((D9-G9)*IF(D9&gt;0,IF(H9=1,MIN(1,(E9+AA9)/D9),1),0),2),0)</f>
      </c>
      <c r="AB28">
        <f>IF(F9=1,ROUND((D9-G9)*IF(D9&gt;0,IF(H9=1,MIN(1,(E9+AB9)/D9),1),0),2),0)</f>
      </c>
      <c r="AC28">
        <f>IF(F9=1,ROUND((D9-G9)*IF(D9&gt;0,IF(H9=1,MIN(1,(E9+AC9)/D9),1),0),2),0)</f>
      </c>
      <c r="AD28">
        <f>IF(F9=1,ROUND((D9-G9)*IF(D9&gt;0,IF(H9=1,MIN(1,(E9+AD9)/D9),1),0),2),0)</f>
      </c>
      <c r="AE28">
        <f>IF(F9=1,ROUND((D9-G9)*IF(D9&gt;0,IF(H9=1,MIN(1,(E9+AE9)/D9),1),0),2),0)</f>
      </c>
      <c r="AF28">
        <f>IF(F9=1,ROUND((D9-G9)*IF(D9&gt;0,IF(H9=1,MIN(1,(E9+AF9)/D9),1),0),2),0)</f>
      </c>
      <c r="AG28">
        <f>IF(F9=1,ROUND((D9-G9)*IF(D9&gt;0,IF(H9=1,MIN(1,(E9+AG9)/D9),1),0),2),0)</f>
      </c>
    </row>
    <row r="29" spans="2:33" x14ac:dyDescent="0.25">
      <c r="B29">
        <f>"Taxed gain: "&amp;B10</f>
      </c>
      <c r="M29">
        <f>IF(F10=1,ROUND((D10-G10)*IF(D10&gt;0,IF(H10=1,MIN(1,(E10+M10)/D10),1),0),2),0)</f>
      </c>
      <c r="N29">
        <f>IF(F10=1,ROUND((D10-G10)*IF(D10&gt;0,IF(H10=1,MIN(1,(E10+N10)/D10),1),0),2),0)</f>
      </c>
      <c r="O29">
        <f>IF(F10=1,ROUND((D10-G10)*IF(D10&gt;0,IF(H10=1,MIN(1,(E10+O10)/D10),1),0),2),0)</f>
      </c>
      <c r="P29">
        <f>IF(F10=1,ROUND((D10-G10)*IF(D10&gt;0,IF(H10=1,MIN(1,(E10+P10)/D10),1),0),2),0)</f>
      </c>
      <c r="Q29">
        <f>IF(F10=1,ROUND((D10-G10)*IF(D10&gt;0,IF(H10=1,MIN(1,(E10+Q10)/D10),1),0),2),0)</f>
      </c>
      <c r="R29">
        <f>IF(F10=1,ROUND((D10-G10)*IF(D10&gt;0,IF(H10=1,MIN(1,(E10+R10)/D10),1),0),2),0)</f>
      </c>
      <c r="S29">
        <f>IF(F10=1,ROUND((D10-G10)*IF(D10&gt;0,IF(H10=1,MIN(1,(E10+S10)/D10),1),0),2),0)</f>
      </c>
      <c r="T29">
        <f>IF(F10=1,ROUND((D10-G10)*IF(D10&gt;0,IF(H10=1,MIN(1,(E10+T10)/D10),1),0),2),0)</f>
      </c>
      <c r="U29">
        <f>IF(F10=1,ROUND((D10-G10)*IF(D10&gt;0,IF(H10=1,MIN(1,(E10+U10)/D10),1),0),2),0)</f>
      </c>
      <c r="V29">
        <f>IF(F10=1,ROUND((D10-G10)*IF(D10&gt;0,IF(H10=1,MIN(1,(E10+V10)/D10),1),0),2),0)</f>
      </c>
      <c r="W29">
        <f>IF(F10=1,ROUND((D10-G10)*IF(D10&gt;0,IF(H10=1,MIN(1,(E10+W10)/D10),1),0),2),0)</f>
      </c>
      <c r="X29">
        <f>IF(F10=1,ROUND((D10-G10)*IF(D10&gt;0,IF(H10=1,MIN(1,(E10+X10)/D10),1),0),2),0)</f>
      </c>
      <c r="Y29">
        <f>IF(F10=1,ROUND((D10-G10)*IF(D10&gt;0,IF(H10=1,MIN(1,(E10+Y10)/D10),1),0),2),0)</f>
      </c>
      <c r="Z29">
        <f>IF(F10=1,ROUND((D10-G10)*IF(D10&gt;0,IF(H10=1,MIN(1,(E10+Z10)/D10),1),0),2),0)</f>
      </c>
      <c r="AA29">
        <f>IF(F10=1,ROUND((D10-G10)*IF(D10&gt;0,IF(H10=1,MIN(1,(E10+AA10)/D10),1),0),2),0)</f>
      </c>
      <c r="AB29">
        <f>IF(F10=1,ROUND((D10-G10)*IF(D10&gt;0,IF(H10=1,MIN(1,(E10+AB10)/D10),1),0),2),0)</f>
      </c>
      <c r="AC29">
        <f>IF(F10=1,ROUND((D10-G10)*IF(D10&gt;0,IF(H10=1,MIN(1,(E10+AC10)/D10),1),0),2),0)</f>
      </c>
      <c r="AD29">
        <f>IF(F10=1,ROUND((D10-G10)*IF(D10&gt;0,IF(H10=1,MIN(1,(E10+AD10)/D10),1),0),2),0)</f>
      </c>
      <c r="AE29">
        <f>IF(F10=1,ROUND((D10-G10)*IF(D10&gt;0,IF(H10=1,MIN(1,(E10+AE10)/D10),1),0),2),0)</f>
      </c>
      <c r="AF29">
        <f>IF(F10=1,ROUND((D10-G10)*IF(D10&gt;0,IF(H10=1,MIN(1,(E10+AF10)/D10),1),0),2),0)</f>
      </c>
      <c r="AG29">
        <f>IF(F10=1,ROUND((D10-G10)*IF(D10&gt;0,IF(H10=1,MIN(1,(E10+AG10)/D10),1),0),2),0)</f>
      </c>
    </row>
    <row r="30" spans="2:33" x14ac:dyDescent="0.25">
      <c r="B30">
        <f>"Taxed gain: "&amp;B11</f>
      </c>
      <c r="M30">
        <f>IF(F11=1,ROUND((D11-G11)*IF(D11&gt;0,IF(H11=1,MIN(1,(E11+M11)/D11),1),0),2),0)</f>
      </c>
      <c r="N30">
        <f>IF(F11=1,ROUND((D11-G11)*IF(D11&gt;0,IF(H11=1,MIN(1,(E11+N11)/D11),1),0),2),0)</f>
      </c>
      <c r="O30">
        <f>IF(F11=1,ROUND((D11-G11)*IF(D11&gt;0,IF(H11=1,MIN(1,(E11+O11)/D11),1),0),2),0)</f>
      </c>
      <c r="P30">
        <f>IF(F11=1,ROUND((D11-G11)*IF(D11&gt;0,IF(H11=1,MIN(1,(E11+P11)/D11),1),0),2),0)</f>
      </c>
      <c r="Q30">
        <f>IF(F11=1,ROUND((D11-G11)*IF(D11&gt;0,IF(H11=1,MIN(1,(E11+Q11)/D11),1),0),2),0)</f>
      </c>
      <c r="R30">
        <f>IF(F11=1,ROUND((D11-G11)*IF(D11&gt;0,IF(H11=1,MIN(1,(E11+R11)/D11),1),0),2),0)</f>
      </c>
      <c r="S30">
        <f>IF(F11=1,ROUND((D11-G11)*IF(D11&gt;0,IF(H11=1,MIN(1,(E11+S11)/D11),1),0),2),0)</f>
      </c>
      <c r="T30">
        <f>IF(F11=1,ROUND((D11-G11)*IF(D11&gt;0,IF(H11=1,MIN(1,(E11+T11)/D11),1),0),2),0)</f>
      </c>
      <c r="U30">
        <f>IF(F11=1,ROUND((D11-G11)*IF(D11&gt;0,IF(H11=1,MIN(1,(E11+U11)/D11),1),0),2),0)</f>
      </c>
      <c r="V30">
        <f>IF(F11=1,ROUND((D11-G11)*IF(D11&gt;0,IF(H11=1,MIN(1,(E11+V11)/D11),1),0),2),0)</f>
      </c>
      <c r="W30">
        <f>IF(F11=1,ROUND((D11-G11)*IF(D11&gt;0,IF(H11=1,MIN(1,(E11+W11)/D11),1),0),2),0)</f>
      </c>
      <c r="X30">
        <f>IF(F11=1,ROUND((D11-G11)*IF(D11&gt;0,IF(H11=1,MIN(1,(E11+X11)/D11),1),0),2),0)</f>
      </c>
      <c r="Y30">
        <f>IF(F11=1,ROUND((D11-G11)*IF(D11&gt;0,IF(H11=1,MIN(1,(E11+Y11)/D11),1),0),2),0)</f>
      </c>
      <c r="Z30">
        <f>IF(F11=1,ROUND((D11-G11)*IF(D11&gt;0,IF(H11=1,MIN(1,(E11+Z11)/D11),1),0),2),0)</f>
      </c>
      <c r="AA30">
        <f>IF(F11=1,ROUND((D11-G11)*IF(D11&gt;0,IF(H11=1,MIN(1,(E11+AA11)/D11),1),0),2),0)</f>
      </c>
      <c r="AB30">
        <f>IF(F11=1,ROUND((D11-G11)*IF(D11&gt;0,IF(H11=1,MIN(1,(E11+AB11)/D11),1),0),2),0)</f>
      </c>
      <c r="AC30">
        <f>IF(F11=1,ROUND((D11-G11)*IF(D11&gt;0,IF(H11=1,MIN(1,(E11+AC11)/D11),1),0),2),0)</f>
      </c>
      <c r="AD30">
        <f>IF(F11=1,ROUND((D11-G11)*IF(D11&gt;0,IF(H11=1,MIN(1,(E11+AD11)/D11),1),0),2),0)</f>
      </c>
      <c r="AE30">
        <f>IF(F11=1,ROUND((D11-G11)*IF(D11&gt;0,IF(H11=1,MIN(1,(E11+AE11)/D11),1),0),2),0)</f>
      </c>
      <c r="AF30">
        <f>IF(F11=1,ROUND((D11-G11)*IF(D11&gt;0,IF(H11=1,MIN(1,(E11+AF11)/D11),1),0),2),0)</f>
      </c>
      <c r="AG30">
        <f>IF(F11=1,ROUND((D11-G11)*IF(D11&gt;0,IF(H11=1,MIN(1,(E11+AG11)/D11),1),0),2),0)</f>
      </c>
    </row>
    <row r="31" spans="2:33" x14ac:dyDescent="0.25">
      <c r="B31">
        <f>"Taxed gain: "&amp;B12</f>
      </c>
      <c r="M31">
        <f>IF(F12=1,ROUND((D12-G12)*IF(D12&gt;0,IF(H12=1,MIN(1,(E12+M12)/D12),1),0),2),0)</f>
      </c>
      <c r="N31">
        <f>IF(F12=1,ROUND((D12-G12)*IF(D12&gt;0,IF(H12=1,MIN(1,(E12+N12)/D12),1),0),2),0)</f>
      </c>
      <c r="O31">
        <f>IF(F12=1,ROUND((D12-G12)*IF(D12&gt;0,IF(H12=1,MIN(1,(E12+O12)/D12),1),0),2),0)</f>
      </c>
      <c r="P31">
        <f>IF(F12=1,ROUND((D12-G12)*IF(D12&gt;0,IF(H12=1,MIN(1,(E12+P12)/D12),1),0),2),0)</f>
      </c>
      <c r="Q31">
        <f>IF(F12=1,ROUND((D12-G12)*IF(D12&gt;0,IF(H12=1,MIN(1,(E12+Q12)/D12),1),0),2),0)</f>
      </c>
      <c r="R31">
        <f>IF(F12=1,ROUND((D12-G12)*IF(D12&gt;0,IF(H12=1,MIN(1,(E12+R12)/D12),1),0),2),0)</f>
      </c>
      <c r="S31">
        <f>IF(F12=1,ROUND((D12-G12)*IF(D12&gt;0,IF(H12=1,MIN(1,(E12+S12)/D12),1),0),2),0)</f>
      </c>
      <c r="T31">
        <f>IF(F12=1,ROUND((D12-G12)*IF(D12&gt;0,IF(H12=1,MIN(1,(E12+T12)/D12),1),0),2),0)</f>
      </c>
      <c r="U31">
        <f>IF(F12=1,ROUND((D12-G12)*IF(D12&gt;0,IF(H12=1,MIN(1,(E12+U12)/D12),1),0),2),0)</f>
      </c>
      <c r="V31">
        <f>IF(F12=1,ROUND((D12-G12)*IF(D12&gt;0,IF(H12=1,MIN(1,(E12+V12)/D12),1),0),2),0)</f>
      </c>
      <c r="W31">
        <f>IF(F12=1,ROUND((D12-G12)*IF(D12&gt;0,IF(H12=1,MIN(1,(E12+W12)/D12),1),0),2),0)</f>
      </c>
      <c r="X31">
        <f>IF(F12=1,ROUND((D12-G12)*IF(D12&gt;0,IF(H12=1,MIN(1,(E12+X12)/D12),1),0),2),0)</f>
      </c>
      <c r="Y31">
        <f>IF(F12=1,ROUND((D12-G12)*IF(D12&gt;0,IF(H12=1,MIN(1,(E12+Y12)/D12),1),0),2),0)</f>
      </c>
      <c r="Z31">
        <f>IF(F12=1,ROUND((D12-G12)*IF(D12&gt;0,IF(H12=1,MIN(1,(E12+Z12)/D12),1),0),2),0)</f>
      </c>
      <c r="AA31">
        <f>IF(F12=1,ROUND((D12-G12)*IF(D12&gt;0,IF(H12=1,MIN(1,(E12+AA12)/D12),1),0),2),0)</f>
      </c>
      <c r="AB31">
        <f>IF(F12=1,ROUND((D12-G12)*IF(D12&gt;0,IF(H12=1,MIN(1,(E12+AB12)/D12),1),0),2),0)</f>
      </c>
      <c r="AC31">
        <f>IF(F12=1,ROUND((D12-G12)*IF(D12&gt;0,IF(H12=1,MIN(1,(E12+AC12)/D12),1),0),2),0)</f>
      </c>
      <c r="AD31">
        <f>IF(F12=1,ROUND((D12-G12)*IF(D12&gt;0,IF(H12=1,MIN(1,(E12+AD12)/D12),1),0),2),0)</f>
      </c>
      <c r="AE31">
        <f>IF(F12=1,ROUND((D12-G12)*IF(D12&gt;0,IF(H12=1,MIN(1,(E12+AE12)/D12),1),0),2),0)</f>
      </c>
      <c r="AF31">
        <f>IF(F12=1,ROUND((D12-G12)*IF(D12&gt;0,IF(H12=1,MIN(1,(E12+AF12)/D12),1),0),2),0)</f>
      </c>
      <c r="AG31">
        <f>IF(F12=1,ROUND((D12-G12)*IF(D12&gt;0,IF(H12=1,MIN(1,(E12+AG12)/D12),1),0),2),0)</f>
      </c>
    </row>
    <row r="32" spans="2:33" x14ac:dyDescent="0.25">
      <c r="B32">
        <f>"Taxed gain: "&amp;B13</f>
      </c>
      <c r="M32">
        <f>IF(F13=1,ROUND((D13-G13)*IF(D13&gt;0,IF(H13=1,MIN(1,(E13+M13)/D13),1),0),2),0)</f>
      </c>
      <c r="N32">
        <f>IF(F13=1,ROUND((D13-G13)*IF(D13&gt;0,IF(H13=1,MIN(1,(E13+N13)/D13),1),0),2),0)</f>
      </c>
      <c r="O32">
        <f>IF(F13=1,ROUND((D13-G13)*IF(D13&gt;0,IF(H13=1,MIN(1,(E13+O13)/D13),1),0),2),0)</f>
      </c>
      <c r="P32">
        <f>IF(F13=1,ROUND((D13-G13)*IF(D13&gt;0,IF(H13=1,MIN(1,(E13+P13)/D13),1),0),2),0)</f>
      </c>
      <c r="Q32">
        <f>IF(F13=1,ROUND((D13-G13)*IF(D13&gt;0,IF(H13=1,MIN(1,(E13+Q13)/D13),1),0),2),0)</f>
      </c>
      <c r="R32">
        <f>IF(F13=1,ROUND((D13-G13)*IF(D13&gt;0,IF(H13=1,MIN(1,(E13+R13)/D13),1),0),2),0)</f>
      </c>
      <c r="S32">
        <f>IF(F13=1,ROUND((D13-G13)*IF(D13&gt;0,IF(H13=1,MIN(1,(E13+S13)/D13),1),0),2),0)</f>
      </c>
      <c r="T32">
        <f>IF(F13=1,ROUND((D13-G13)*IF(D13&gt;0,IF(H13=1,MIN(1,(E13+T13)/D13),1),0),2),0)</f>
      </c>
      <c r="U32">
        <f>IF(F13=1,ROUND((D13-G13)*IF(D13&gt;0,IF(H13=1,MIN(1,(E13+U13)/D13),1),0),2),0)</f>
      </c>
      <c r="V32">
        <f>IF(F13=1,ROUND((D13-G13)*IF(D13&gt;0,IF(H13=1,MIN(1,(E13+V13)/D13),1),0),2),0)</f>
      </c>
      <c r="W32">
        <f>IF(F13=1,ROUND((D13-G13)*IF(D13&gt;0,IF(H13=1,MIN(1,(E13+W13)/D13),1),0),2),0)</f>
      </c>
      <c r="X32">
        <f>IF(F13=1,ROUND((D13-G13)*IF(D13&gt;0,IF(H13=1,MIN(1,(E13+X13)/D13),1),0),2),0)</f>
      </c>
      <c r="Y32">
        <f>IF(F13=1,ROUND((D13-G13)*IF(D13&gt;0,IF(H13=1,MIN(1,(E13+Y13)/D13),1),0),2),0)</f>
      </c>
      <c r="Z32">
        <f>IF(F13=1,ROUND((D13-G13)*IF(D13&gt;0,IF(H13=1,MIN(1,(E13+Z13)/D13),1),0),2),0)</f>
      </c>
      <c r="AA32">
        <f>IF(F13=1,ROUND((D13-G13)*IF(D13&gt;0,IF(H13=1,MIN(1,(E13+AA13)/D13),1),0),2),0)</f>
      </c>
      <c r="AB32">
        <f>IF(F13=1,ROUND((D13-G13)*IF(D13&gt;0,IF(H13=1,MIN(1,(E13+AB13)/D13),1),0),2),0)</f>
      </c>
      <c r="AC32">
        <f>IF(F13=1,ROUND((D13-G13)*IF(D13&gt;0,IF(H13=1,MIN(1,(E13+AC13)/D13),1),0),2),0)</f>
      </c>
      <c r="AD32">
        <f>IF(F13=1,ROUND((D13-G13)*IF(D13&gt;0,IF(H13=1,MIN(1,(E13+AD13)/D13),1),0),2),0)</f>
      </c>
      <c r="AE32">
        <f>IF(F13=1,ROUND((D13-G13)*IF(D13&gt;0,IF(H13=1,MIN(1,(E13+AE13)/D13),1),0),2),0)</f>
      </c>
      <c r="AF32">
        <f>IF(F13=1,ROUND((D13-G13)*IF(D13&gt;0,IF(H13=1,MIN(1,(E13+AF13)/D13),1),0),2),0)</f>
      </c>
      <c r="AG32">
        <f>IF(F13=1,ROUND((D13-G13)*IF(D13&gt;0,IF(H13=1,MIN(1,(E13+AG13)/D13),1),0),2),0)</f>
      </c>
    </row>
    <row r="33" spans="2:33" x14ac:dyDescent="0.25">
      <c r="B33">
        <f>"Taxed gain: "&amp;B14</f>
      </c>
      <c r="M33">
        <f>IF(F14=1,ROUND((D14-G14)*IF(D14&gt;0,IF(H14=1,MIN(1,(E14+M14)/D14),1),0),2),0)</f>
      </c>
      <c r="N33">
        <f>IF(F14=1,ROUND((D14-G14)*IF(D14&gt;0,IF(H14=1,MIN(1,(E14+N14)/D14),1),0),2),0)</f>
      </c>
      <c r="O33">
        <f>IF(F14=1,ROUND((D14-G14)*IF(D14&gt;0,IF(H14=1,MIN(1,(E14+O14)/D14),1),0),2),0)</f>
      </c>
      <c r="P33">
        <f>IF(F14=1,ROUND((D14-G14)*IF(D14&gt;0,IF(H14=1,MIN(1,(E14+P14)/D14),1),0),2),0)</f>
      </c>
      <c r="Q33">
        <f>IF(F14=1,ROUND((D14-G14)*IF(D14&gt;0,IF(H14=1,MIN(1,(E14+Q14)/D14),1),0),2),0)</f>
      </c>
      <c r="R33">
        <f>IF(F14=1,ROUND((D14-G14)*IF(D14&gt;0,IF(H14=1,MIN(1,(E14+R14)/D14),1),0),2),0)</f>
      </c>
      <c r="S33">
        <f>IF(F14=1,ROUND((D14-G14)*IF(D14&gt;0,IF(H14=1,MIN(1,(E14+S14)/D14),1),0),2),0)</f>
      </c>
      <c r="T33">
        <f>IF(F14=1,ROUND((D14-G14)*IF(D14&gt;0,IF(H14=1,MIN(1,(E14+T14)/D14),1),0),2),0)</f>
      </c>
      <c r="U33">
        <f>IF(F14=1,ROUND((D14-G14)*IF(D14&gt;0,IF(H14=1,MIN(1,(E14+U14)/D14),1),0),2),0)</f>
      </c>
      <c r="V33">
        <f>IF(F14=1,ROUND((D14-G14)*IF(D14&gt;0,IF(H14=1,MIN(1,(E14+V14)/D14),1),0),2),0)</f>
      </c>
      <c r="W33">
        <f>IF(F14=1,ROUND((D14-G14)*IF(D14&gt;0,IF(H14=1,MIN(1,(E14+W14)/D14),1),0),2),0)</f>
      </c>
      <c r="X33">
        <f>IF(F14=1,ROUND((D14-G14)*IF(D14&gt;0,IF(H14=1,MIN(1,(E14+X14)/D14),1),0),2),0)</f>
      </c>
      <c r="Y33">
        <f>IF(F14=1,ROUND((D14-G14)*IF(D14&gt;0,IF(H14=1,MIN(1,(E14+Y14)/D14),1),0),2),0)</f>
      </c>
      <c r="Z33">
        <f>IF(F14=1,ROUND((D14-G14)*IF(D14&gt;0,IF(H14=1,MIN(1,(E14+Z14)/D14),1),0),2),0)</f>
      </c>
      <c r="AA33">
        <f>IF(F14=1,ROUND((D14-G14)*IF(D14&gt;0,IF(H14=1,MIN(1,(E14+AA14)/D14),1),0),2),0)</f>
      </c>
      <c r="AB33">
        <f>IF(F14=1,ROUND((D14-G14)*IF(D14&gt;0,IF(H14=1,MIN(1,(E14+AB14)/D14),1),0),2),0)</f>
      </c>
      <c r="AC33">
        <f>IF(F14=1,ROUND((D14-G14)*IF(D14&gt;0,IF(H14=1,MIN(1,(E14+AC14)/D14),1),0),2),0)</f>
      </c>
      <c r="AD33">
        <f>IF(F14=1,ROUND((D14-G14)*IF(D14&gt;0,IF(H14=1,MIN(1,(E14+AD14)/D14),1),0),2),0)</f>
      </c>
      <c r="AE33">
        <f>IF(F14=1,ROUND((D14-G14)*IF(D14&gt;0,IF(H14=1,MIN(1,(E14+AE14)/D14),1),0),2),0)</f>
      </c>
      <c r="AF33">
        <f>IF(F14=1,ROUND((D14-G14)*IF(D14&gt;0,IF(H14=1,MIN(1,(E14+AF14)/D14),1),0),2),0)</f>
      </c>
      <c r="AG33">
        <f>IF(F14=1,ROUND((D14-G14)*IF(D14&gt;0,IF(H14=1,MIN(1,(E14+AG14)/D14),1),0),2),0)</f>
      </c>
    </row>
    <row r="34" spans="2:33" x14ac:dyDescent="0.25">
      <c r="B34">
        <f>"Taxed gain: "&amp;B15</f>
      </c>
      <c r="M34">
        <f>IF(F15=1,ROUND((D15-G15)*IF(D15&gt;0,IF(H15=1,MIN(1,(E15+M15)/D15),1),0),2),0)</f>
      </c>
      <c r="N34">
        <f>IF(F15=1,ROUND((D15-G15)*IF(D15&gt;0,IF(H15=1,MIN(1,(E15+N15)/D15),1),0),2),0)</f>
      </c>
      <c r="O34">
        <f>IF(F15=1,ROUND((D15-G15)*IF(D15&gt;0,IF(H15=1,MIN(1,(E15+O15)/D15),1),0),2),0)</f>
      </c>
      <c r="P34">
        <f>IF(F15=1,ROUND((D15-G15)*IF(D15&gt;0,IF(H15=1,MIN(1,(E15+P15)/D15),1),0),2),0)</f>
      </c>
      <c r="Q34">
        <f>IF(F15=1,ROUND((D15-G15)*IF(D15&gt;0,IF(H15=1,MIN(1,(E15+Q15)/D15),1),0),2),0)</f>
      </c>
      <c r="R34">
        <f>IF(F15=1,ROUND((D15-G15)*IF(D15&gt;0,IF(H15=1,MIN(1,(E15+R15)/D15),1),0),2),0)</f>
      </c>
      <c r="S34">
        <f>IF(F15=1,ROUND((D15-G15)*IF(D15&gt;0,IF(H15=1,MIN(1,(E15+S15)/D15),1),0),2),0)</f>
      </c>
      <c r="T34">
        <f>IF(F15=1,ROUND((D15-G15)*IF(D15&gt;0,IF(H15=1,MIN(1,(E15+T15)/D15),1),0),2),0)</f>
      </c>
      <c r="U34">
        <f>IF(F15=1,ROUND((D15-G15)*IF(D15&gt;0,IF(H15=1,MIN(1,(E15+U15)/D15),1),0),2),0)</f>
      </c>
      <c r="V34">
        <f>IF(F15=1,ROUND((D15-G15)*IF(D15&gt;0,IF(H15=1,MIN(1,(E15+V15)/D15),1),0),2),0)</f>
      </c>
      <c r="W34">
        <f>IF(F15=1,ROUND((D15-G15)*IF(D15&gt;0,IF(H15=1,MIN(1,(E15+W15)/D15),1),0),2),0)</f>
      </c>
      <c r="X34">
        <f>IF(F15=1,ROUND((D15-G15)*IF(D15&gt;0,IF(H15=1,MIN(1,(E15+X15)/D15),1),0),2),0)</f>
      </c>
      <c r="Y34">
        <f>IF(F15=1,ROUND((D15-G15)*IF(D15&gt;0,IF(H15=1,MIN(1,(E15+Y15)/D15),1),0),2),0)</f>
      </c>
      <c r="Z34">
        <f>IF(F15=1,ROUND((D15-G15)*IF(D15&gt;0,IF(H15=1,MIN(1,(E15+Z15)/D15),1),0),2),0)</f>
      </c>
      <c r="AA34">
        <f>IF(F15=1,ROUND((D15-G15)*IF(D15&gt;0,IF(H15=1,MIN(1,(E15+AA15)/D15),1),0),2),0)</f>
      </c>
      <c r="AB34">
        <f>IF(F15=1,ROUND((D15-G15)*IF(D15&gt;0,IF(H15=1,MIN(1,(E15+AB15)/D15),1),0),2),0)</f>
      </c>
      <c r="AC34">
        <f>IF(F15=1,ROUND((D15-G15)*IF(D15&gt;0,IF(H15=1,MIN(1,(E15+AC15)/D15),1),0),2),0)</f>
      </c>
      <c r="AD34">
        <f>IF(F15=1,ROUND((D15-G15)*IF(D15&gt;0,IF(H15=1,MIN(1,(E15+AD15)/D15),1),0),2),0)</f>
      </c>
      <c r="AE34">
        <f>IF(F15=1,ROUND((D15-G15)*IF(D15&gt;0,IF(H15=1,MIN(1,(E15+AE15)/D15),1),0),2),0)</f>
      </c>
      <c r="AF34">
        <f>IF(F15=1,ROUND((D15-G15)*IF(D15&gt;0,IF(H15=1,MIN(1,(E15+AF15)/D15),1),0),2),0)</f>
      </c>
      <c r="AG34">
        <f>IF(F15=1,ROUND((D15-G15)*IF(D15&gt;0,IF(H15=1,MIN(1,(E15+AG15)/D15),1),0),2),0)</f>
      </c>
    </row>
    <row r="35" spans="2:33" x14ac:dyDescent="0.25">
      <c r="B35">
        <f>"Taxed gain: "&amp;B16</f>
      </c>
      <c r="M35">
        <f>IF(F16=1,ROUND((D16-G16)*IF(D16&gt;0,IF(H16=1,MIN(1,(E16+M16)/D16),1),0),2),0)</f>
      </c>
      <c r="N35">
        <f>IF(F16=1,ROUND((D16-G16)*IF(D16&gt;0,IF(H16=1,MIN(1,(E16+N16)/D16),1),0),2),0)</f>
      </c>
      <c r="O35">
        <f>IF(F16=1,ROUND((D16-G16)*IF(D16&gt;0,IF(H16=1,MIN(1,(E16+O16)/D16),1),0),2),0)</f>
      </c>
      <c r="P35">
        <f>IF(F16=1,ROUND((D16-G16)*IF(D16&gt;0,IF(H16=1,MIN(1,(E16+P16)/D16),1),0),2),0)</f>
      </c>
      <c r="Q35">
        <f>IF(F16=1,ROUND((D16-G16)*IF(D16&gt;0,IF(H16=1,MIN(1,(E16+Q16)/D16),1),0),2),0)</f>
      </c>
      <c r="R35">
        <f>IF(F16=1,ROUND((D16-G16)*IF(D16&gt;0,IF(H16=1,MIN(1,(E16+R16)/D16),1),0),2),0)</f>
      </c>
      <c r="S35">
        <f>IF(F16=1,ROUND((D16-G16)*IF(D16&gt;0,IF(H16=1,MIN(1,(E16+S16)/D16),1),0),2),0)</f>
      </c>
      <c r="T35">
        <f>IF(F16=1,ROUND((D16-G16)*IF(D16&gt;0,IF(H16=1,MIN(1,(E16+T16)/D16),1),0),2),0)</f>
      </c>
      <c r="U35">
        <f>IF(F16=1,ROUND((D16-G16)*IF(D16&gt;0,IF(H16=1,MIN(1,(E16+U16)/D16),1),0),2),0)</f>
      </c>
      <c r="V35">
        <f>IF(F16=1,ROUND((D16-G16)*IF(D16&gt;0,IF(H16=1,MIN(1,(E16+V16)/D16),1),0),2),0)</f>
      </c>
      <c r="W35">
        <f>IF(F16=1,ROUND((D16-G16)*IF(D16&gt;0,IF(H16=1,MIN(1,(E16+W16)/D16),1),0),2),0)</f>
      </c>
      <c r="X35">
        <f>IF(F16=1,ROUND((D16-G16)*IF(D16&gt;0,IF(H16=1,MIN(1,(E16+X16)/D16),1),0),2),0)</f>
      </c>
      <c r="Y35">
        <f>IF(F16=1,ROUND((D16-G16)*IF(D16&gt;0,IF(H16=1,MIN(1,(E16+Y16)/D16),1),0),2),0)</f>
      </c>
      <c r="Z35">
        <f>IF(F16=1,ROUND((D16-G16)*IF(D16&gt;0,IF(H16=1,MIN(1,(E16+Z16)/D16),1),0),2),0)</f>
      </c>
      <c r="AA35">
        <f>IF(F16=1,ROUND((D16-G16)*IF(D16&gt;0,IF(H16=1,MIN(1,(E16+AA16)/D16),1),0),2),0)</f>
      </c>
      <c r="AB35">
        <f>IF(F16=1,ROUND((D16-G16)*IF(D16&gt;0,IF(H16=1,MIN(1,(E16+AB16)/D16),1),0),2),0)</f>
      </c>
      <c r="AC35">
        <f>IF(F16=1,ROUND((D16-G16)*IF(D16&gt;0,IF(H16=1,MIN(1,(E16+AC16)/D16),1),0),2),0)</f>
      </c>
      <c r="AD35">
        <f>IF(F16=1,ROUND((D16-G16)*IF(D16&gt;0,IF(H16=1,MIN(1,(E16+AD16)/D16),1),0),2),0)</f>
      </c>
      <c r="AE35">
        <f>IF(F16=1,ROUND((D16-G16)*IF(D16&gt;0,IF(H16=1,MIN(1,(E16+AE16)/D16),1),0),2),0)</f>
      </c>
      <c r="AF35">
        <f>IF(F16=1,ROUND((D16-G16)*IF(D16&gt;0,IF(H16=1,MIN(1,(E16+AF16)/D16),1),0),2),0)</f>
      </c>
      <c r="AG35">
        <f>IF(F16=1,ROUND((D16-G16)*IF(D16&gt;0,IF(H16=1,MIN(1,(E16+AG16)/D16),1),0),2),0)</f>
      </c>
    </row>
    <row r="36" spans="2:33" x14ac:dyDescent="0.25">
      <c r="B36">
        <f>"Taxed gain: "&amp;B17</f>
      </c>
      <c r="M36">
        <f>IF(F17=1,ROUND((D17-G17)*IF(D17&gt;0,IF(H17=1,MIN(1,(E17+M17)/D17),1),0),2),0)</f>
      </c>
      <c r="N36">
        <f>IF(F17=1,ROUND((D17-G17)*IF(D17&gt;0,IF(H17=1,MIN(1,(E17+N17)/D17),1),0),2),0)</f>
      </c>
      <c r="O36">
        <f>IF(F17=1,ROUND((D17-G17)*IF(D17&gt;0,IF(H17=1,MIN(1,(E17+O17)/D17),1),0),2),0)</f>
      </c>
      <c r="P36">
        <f>IF(F17=1,ROUND((D17-G17)*IF(D17&gt;0,IF(H17=1,MIN(1,(E17+P17)/D17),1),0),2),0)</f>
      </c>
      <c r="Q36">
        <f>IF(F17=1,ROUND((D17-G17)*IF(D17&gt;0,IF(H17=1,MIN(1,(E17+Q17)/D17),1),0),2),0)</f>
      </c>
      <c r="R36">
        <f>IF(F17=1,ROUND((D17-G17)*IF(D17&gt;0,IF(H17=1,MIN(1,(E17+R17)/D17),1),0),2),0)</f>
      </c>
      <c r="S36">
        <f>IF(F17=1,ROUND((D17-G17)*IF(D17&gt;0,IF(H17=1,MIN(1,(E17+S17)/D17),1),0),2),0)</f>
      </c>
      <c r="T36">
        <f>IF(F17=1,ROUND((D17-G17)*IF(D17&gt;0,IF(H17=1,MIN(1,(E17+T17)/D17),1),0),2),0)</f>
      </c>
      <c r="U36">
        <f>IF(F17=1,ROUND((D17-G17)*IF(D17&gt;0,IF(H17=1,MIN(1,(E17+U17)/D17),1),0),2),0)</f>
      </c>
      <c r="V36">
        <f>IF(F17=1,ROUND((D17-G17)*IF(D17&gt;0,IF(H17=1,MIN(1,(E17+V17)/D17),1),0),2),0)</f>
      </c>
      <c r="W36">
        <f>IF(F17=1,ROUND((D17-G17)*IF(D17&gt;0,IF(H17=1,MIN(1,(E17+W17)/D17),1),0),2),0)</f>
      </c>
      <c r="X36">
        <f>IF(F17=1,ROUND((D17-G17)*IF(D17&gt;0,IF(H17=1,MIN(1,(E17+X17)/D17),1),0),2),0)</f>
      </c>
      <c r="Y36">
        <f>IF(F17=1,ROUND((D17-G17)*IF(D17&gt;0,IF(H17=1,MIN(1,(E17+Y17)/D17),1),0),2),0)</f>
      </c>
      <c r="Z36">
        <f>IF(F17=1,ROUND((D17-G17)*IF(D17&gt;0,IF(H17=1,MIN(1,(E17+Z17)/D17),1),0),2),0)</f>
      </c>
      <c r="AA36">
        <f>IF(F17=1,ROUND((D17-G17)*IF(D17&gt;0,IF(H17=1,MIN(1,(E17+AA17)/D17),1),0),2),0)</f>
      </c>
      <c r="AB36">
        <f>IF(F17=1,ROUND((D17-G17)*IF(D17&gt;0,IF(H17=1,MIN(1,(E17+AB17)/D17),1),0),2),0)</f>
      </c>
      <c r="AC36">
        <f>IF(F17=1,ROUND((D17-G17)*IF(D17&gt;0,IF(H17=1,MIN(1,(E17+AC17)/D17),1),0),2),0)</f>
      </c>
      <c r="AD36">
        <f>IF(F17=1,ROUND((D17-G17)*IF(D17&gt;0,IF(H17=1,MIN(1,(E17+AD17)/D17),1),0),2),0)</f>
      </c>
      <c r="AE36">
        <f>IF(F17=1,ROUND((D17-G17)*IF(D17&gt;0,IF(H17=1,MIN(1,(E17+AE17)/D17),1),0),2),0)</f>
      </c>
      <c r="AF36">
        <f>IF(F17=1,ROUND((D17-G17)*IF(D17&gt;0,IF(H17=1,MIN(1,(E17+AF17)/D17),1),0),2),0)</f>
      </c>
      <c r="AG36">
        <f>IF(F17=1,ROUND((D17-G17)*IF(D17&gt;0,IF(H17=1,MIN(1,(E17+AG17)/D17),1),0),2),0)</f>
      </c>
    </row>
    <row r="37" spans="2:33" x14ac:dyDescent="0.25">
      <c r="B37">
        <f>"Taxed gain: "&amp;B18</f>
      </c>
      <c r="M37">
        <f>IF(F18=1,ROUND((D18-G18)*IF(D18&gt;0,IF(H18=1,MIN(1,(E18+M18)/D18),1),0),2),0)</f>
      </c>
      <c r="N37">
        <f>IF(F18=1,ROUND((D18-G18)*IF(D18&gt;0,IF(H18=1,MIN(1,(E18+N18)/D18),1),0),2),0)</f>
      </c>
      <c r="O37">
        <f>IF(F18=1,ROUND((D18-G18)*IF(D18&gt;0,IF(H18=1,MIN(1,(E18+O18)/D18),1),0),2),0)</f>
      </c>
      <c r="P37">
        <f>IF(F18=1,ROUND((D18-G18)*IF(D18&gt;0,IF(H18=1,MIN(1,(E18+P18)/D18),1),0),2),0)</f>
      </c>
      <c r="Q37">
        <f>IF(F18=1,ROUND((D18-G18)*IF(D18&gt;0,IF(H18=1,MIN(1,(E18+Q18)/D18),1),0),2),0)</f>
      </c>
      <c r="R37">
        <f>IF(F18=1,ROUND((D18-G18)*IF(D18&gt;0,IF(H18=1,MIN(1,(E18+R18)/D18),1),0),2),0)</f>
      </c>
      <c r="S37">
        <f>IF(F18=1,ROUND((D18-G18)*IF(D18&gt;0,IF(H18=1,MIN(1,(E18+S18)/D18),1),0),2),0)</f>
      </c>
      <c r="T37">
        <f>IF(F18=1,ROUND((D18-G18)*IF(D18&gt;0,IF(H18=1,MIN(1,(E18+T18)/D18),1),0),2),0)</f>
      </c>
      <c r="U37">
        <f>IF(F18=1,ROUND((D18-G18)*IF(D18&gt;0,IF(H18=1,MIN(1,(E18+U18)/D18),1),0),2),0)</f>
      </c>
      <c r="V37">
        <f>IF(F18=1,ROUND((D18-G18)*IF(D18&gt;0,IF(H18=1,MIN(1,(E18+V18)/D18),1),0),2),0)</f>
      </c>
      <c r="W37">
        <f>IF(F18=1,ROUND((D18-G18)*IF(D18&gt;0,IF(H18=1,MIN(1,(E18+W18)/D18),1),0),2),0)</f>
      </c>
      <c r="X37">
        <f>IF(F18=1,ROUND((D18-G18)*IF(D18&gt;0,IF(H18=1,MIN(1,(E18+X18)/D18),1),0),2),0)</f>
      </c>
      <c r="Y37">
        <f>IF(F18=1,ROUND((D18-G18)*IF(D18&gt;0,IF(H18=1,MIN(1,(E18+Y18)/D18),1),0),2),0)</f>
      </c>
      <c r="Z37">
        <f>IF(F18=1,ROUND((D18-G18)*IF(D18&gt;0,IF(H18=1,MIN(1,(E18+Z18)/D18),1),0),2),0)</f>
      </c>
      <c r="AA37">
        <f>IF(F18=1,ROUND((D18-G18)*IF(D18&gt;0,IF(H18=1,MIN(1,(E18+AA18)/D18),1),0),2),0)</f>
      </c>
      <c r="AB37">
        <f>IF(F18=1,ROUND((D18-G18)*IF(D18&gt;0,IF(H18=1,MIN(1,(E18+AB18)/D18),1),0),2),0)</f>
      </c>
      <c r="AC37">
        <f>IF(F18=1,ROUND((D18-G18)*IF(D18&gt;0,IF(H18=1,MIN(1,(E18+AC18)/D18),1),0),2),0)</f>
      </c>
      <c r="AD37">
        <f>IF(F18=1,ROUND((D18-G18)*IF(D18&gt;0,IF(H18=1,MIN(1,(E18+AD18)/D18),1),0),2),0)</f>
      </c>
      <c r="AE37">
        <f>IF(F18=1,ROUND((D18-G18)*IF(D18&gt;0,IF(H18=1,MIN(1,(E18+AE18)/D18),1),0),2),0)</f>
      </c>
      <c r="AF37">
        <f>IF(F18=1,ROUND((D18-G18)*IF(D18&gt;0,IF(H18=1,MIN(1,(E18+AF18)/D18),1),0),2),0)</f>
      </c>
      <c r="AG37">
        <f>IF(F18=1,ROUND((D18-G18)*IF(D18&gt;0,IF(H18=1,MIN(1,(E18+AG18)/D18),1),0),2),0)</f>
      </c>
    </row>
    <row r="38" spans="2:33" x14ac:dyDescent="0.25">
      <c r="B38">
        <f>"Taxed gain: "&amp;B19</f>
      </c>
      <c r="M38">
        <f>IF(F19=1,ROUND((D19-G19)*IF(D19&gt;0,IF(H19=1,MIN(1,(E19+M19)/D19),1),0),2),0)</f>
      </c>
      <c r="N38">
        <f>IF(F19=1,ROUND((D19-G19)*IF(D19&gt;0,IF(H19=1,MIN(1,(E19+N19)/D19),1),0),2),0)</f>
      </c>
      <c r="O38">
        <f>IF(F19=1,ROUND((D19-G19)*IF(D19&gt;0,IF(H19=1,MIN(1,(E19+O19)/D19),1),0),2),0)</f>
      </c>
      <c r="P38">
        <f>IF(F19=1,ROUND((D19-G19)*IF(D19&gt;0,IF(H19=1,MIN(1,(E19+P19)/D19),1),0),2),0)</f>
      </c>
      <c r="Q38">
        <f>IF(F19=1,ROUND((D19-G19)*IF(D19&gt;0,IF(H19=1,MIN(1,(E19+Q19)/D19),1),0),2),0)</f>
      </c>
      <c r="R38">
        <f>IF(F19=1,ROUND((D19-G19)*IF(D19&gt;0,IF(H19=1,MIN(1,(E19+R19)/D19),1),0),2),0)</f>
      </c>
      <c r="S38">
        <f>IF(F19=1,ROUND((D19-G19)*IF(D19&gt;0,IF(H19=1,MIN(1,(E19+S19)/D19),1),0),2),0)</f>
      </c>
      <c r="T38">
        <f>IF(F19=1,ROUND((D19-G19)*IF(D19&gt;0,IF(H19=1,MIN(1,(E19+T19)/D19),1),0),2),0)</f>
      </c>
      <c r="U38">
        <f>IF(F19=1,ROUND((D19-G19)*IF(D19&gt;0,IF(H19=1,MIN(1,(E19+U19)/D19),1),0),2),0)</f>
      </c>
      <c r="V38">
        <f>IF(F19=1,ROUND((D19-G19)*IF(D19&gt;0,IF(H19=1,MIN(1,(E19+V19)/D19),1),0),2),0)</f>
      </c>
      <c r="W38">
        <f>IF(F19=1,ROUND((D19-G19)*IF(D19&gt;0,IF(H19=1,MIN(1,(E19+W19)/D19),1),0),2),0)</f>
      </c>
      <c r="X38">
        <f>IF(F19=1,ROUND((D19-G19)*IF(D19&gt;0,IF(H19=1,MIN(1,(E19+X19)/D19),1),0),2),0)</f>
      </c>
      <c r="Y38">
        <f>IF(F19=1,ROUND((D19-G19)*IF(D19&gt;0,IF(H19=1,MIN(1,(E19+Y19)/D19),1),0),2),0)</f>
      </c>
      <c r="Z38">
        <f>IF(F19=1,ROUND((D19-G19)*IF(D19&gt;0,IF(H19=1,MIN(1,(E19+Z19)/D19),1),0),2),0)</f>
      </c>
      <c r="AA38">
        <f>IF(F19=1,ROUND((D19-G19)*IF(D19&gt;0,IF(H19=1,MIN(1,(E19+AA19)/D19),1),0),2),0)</f>
      </c>
      <c r="AB38">
        <f>IF(F19=1,ROUND((D19-G19)*IF(D19&gt;0,IF(H19=1,MIN(1,(E19+AB19)/D19),1),0),2),0)</f>
      </c>
      <c r="AC38">
        <f>IF(F19=1,ROUND((D19-G19)*IF(D19&gt;0,IF(H19=1,MIN(1,(E19+AC19)/D19),1),0),2),0)</f>
      </c>
      <c r="AD38">
        <f>IF(F19=1,ROUND((D19-G19)*IF(D19&gt;0,IF(H19=1,MIN(1,(E19+AD19)/D19),1),0),2),0)</f>
      </c>
      <c r="AE38">
        <f>IF(F19=1,ROUND((D19-G19)*IF(D19&gt;0,IF(H19=1,MIN(1,(E19+AE19)/D19),1),0),2),0)</f>
      </c>
      <c r="AF38">
        <f>IF(F19=1,ROUND((D19-G19)*IF(D19&gt;0,IF(H19=1,MIN(1,(E19+AF19)/D19),1),0),2),0)</f>
      </c>
      <c r="AG38">
        <f>IF(F19=1,ROUND((D19-G19)*IF(D19&gt;0,IF(H19=1,MIN(1,(E19+AG19)/D19),1),0),2),0)</f>
      </c>
    </row>
    <row r="39" spans="2:33" x14ac:dyDescent="0.25">
      <c r="B39">
        <f>"Taxed gain: "&amp;B20</f>
      </c>
      <c r="M39">
        <f>IF(F20=1,ROUND((D20-G20)*IF(D20&gt;0,IF(H20=1,MIN(1,(E20+M20)/D20),1),0),2),0)</f>
      </c>
      <c r="N39">
        <f>IF(F20=1,ROUND((D20-G20)*IF(D20&gt;0,IF(H20=1,MIN(1,(E20+N20)/D20),1),0),2),0)</f>
      </c>
      <c r="O39">
        <f>IF(F20=1,ROUND((D20-G20)*IF(D20&gt;0,IF(H20=1,MIN(1,(E20+O20)/D20),1),0),2),0)</f>
      </c>
      <c r="P39">
        <f>IF(F20=1,ROUND((D20-G20)*IF(D20&gt;0,IF(H20=1,MIN(1,(E20+P20)/D20),1),0),2),0)</f>
      </c>
      <c r="Q39">
        <f>IF(F20=1,ROUND((D20-G20)*IF(D20&gt;0,IF(H20=1,MIN(1,(E20+Q20)/D20),1),0),2),0)</f>
      </c>
      <c r="R39">
        <f>IF(F20=1,ROUND((D20-G20)*IF(D20&gt;0,IF(H20=1,MIN(1,(E20+R20)/D20),1),0),2),0)</f>
      </c>
      <c r="S39">
        <f>IF(F20=1,ROUND((D20-G20)*IF(D20&gt;0,IF(H20=1,MIN(1,(E20+S20)/D20),1),0),2),0)</f>
      </c>
      <c r="T39">
        <f>IF(F20=1,ROUND((D20-G20)*IF(D20&gt;0,IF(H20=1,MIN(1,(E20+T20)/D20),1),0),2),0)</f>
      </c>
      <c r="U39">
        <f>IF(F20=1,ROUND((D20-G20)*IF(D20&gt;0,IF(H20=1,MIN(1,(E20+U20)/D20),1),0),2),0)</f>
      </c>
      <c r="V39">
        <f>IF(F20=1,ROUND((D20-G20)*IF(D20&gt;0,IF(H20=1,MIN(1,(E20+V20)/D20),1),0),2),0)</f>
      </c>
      <c r="W39">
        <f>IF(F20=1,ROUND((D20-G20)*IF(D20&gt;0,IF(H20=1,MIN(1,(E20+W20)/D20),1),0),2),0)</f>
      </c>
      <c r="X39">
        <f>IF(F20=1,ROUND((D20-G20)*IF(D20&gt;0,IF(H20=1,MIN(1,(E20+X20)/D20),1),0),2),0)</f>
      </c>
      <c r="Y39">
        <f>IF(F20=1,ROUND((D20-G20)*IF(D20&gt;0,IF(H20=1,MIN(1,(E20+Y20)/D20),1),0),2),0)</f>
      </c>
      <c r="Z39">
        <f>IF(F20=1,ROUND((D20-G20)*IF(D20&gt;0,IF(H20=1,MIN(1,(E20+Z20)/D20),1),0),2),0)</f>
      </c>
      <c r="AA39">
        <f>IF(F20=1,ROUND((D20-G20)*IF(D20&gt;0,IF(H20=1,MIN(1,(E20+AA20)/D20),1),0),2),0)</f>
      </c>
      <c r="AB39">
        <f>IF(F20=1,ROUND((D20-G20)*IF(D20&gt;0,IF(H20=1,MIN(1,(E20+AB20)/D20),1),0),2),0)</f>
      </c>
      <c r="AC39">
        <f>IF(F20=1,ROUND((D20-G20)*IF(D20&gt;0,IF(H20=1,MIN(1,(E20+AC20)/D20),1),0),2),0)</f>
      </c>
      <c r="AD39">
        <f>IF(F20=1,ROUND((D20-G20)*IF(D20&gt;0,IF(H20=1,MIN(1,(E20+AD20)/D20),1),0),2),0)</f>
      </c>
      <c r="AE39">
        <f>IF(F20=1,ROUND((D20-G20)*IF(D20&gt;0,IF(H20=1,MIN(1,(E20+AE20)/D20),1),0),2),0)</f>
      </c>
      <c r="AF39">
        <f>IF(F20=1,ROUND((D20-G20)*IF(D20&gt;0,IF(H20=1,MIN(1,(E20+AF20)/D20),1),0),2),0)</f>
      </c>
      <c r="AG39">
        <f>IF(F20=1,ROUND((D20-G20)*IF(D20&gt;0,IF(H20=1,MIN(1,(E20+AG20)/D20),1),0),2),0)</f>
      </c>
    </row>
    <row r="40" spans="2:33" x14ac:dyDescent="0.25">
      <c r="B40">
        <f>"Taxed gain: "&amp;B21</f>
      </c>
      <c r="M40">
        <f>IF(F21=1,ROUND((D21-G21)*IF(D21&gt;0,IF(H21=1,MIN(1,(E21+M21)/D21),1),0),2),0)</f>
      </c>
      <c r="N40">
        <f>IF(F21=1,ROUND((D21-G21)*IF(D21&gt;0,IF(H21=1,MIN(1,(E21+N21)/D21),1),0),2),0)</f>
      </c>
      <c r="O40">
        <f>IF(F21=1,ROUND((D21-G21)*IF(D21&gt;0,IF(H21=1,MIN(1,(E21+O21)/D21),1),0),2),0)</f>
      </c>
      <c r="P40">
        <f>IF(F21=1,ROUND((D21-G21)*IF(D21&gt;0,IF(H21=1,MIN(1,(E21+P21)/D21),1),0),2),0)</f>
      </c>
      <c r="Q40">
        <f>IF(F21=1,ROUND((D21-G21)*IF(D21&gt;0,IF(H21=1,MIN(1,(E21+Q21)/D21),1),0),2),0)</f>
      </c>
      <c r="R40">
        <f>IF(F21=1,ROUND((D21-G21)*IF(D21&gt;0,IF(H21=1,MIN(1,(E21+R21)/D21),1),0),2),0)</f>
      </c>
      <c r="S40">
        <f>IF(F21=1,ROUND((D21-G21)*IF(D21&gt;0,IF(H21=1,MIN(1,(E21+S21)/D21),1),0),2),0)</f>
      </c>
      <c r="T40">
        <f>IF(F21=1,ROUND((D21-G21)*IF(D21&gt;0,IF(H21=1,MIN(1,(E21+T21)/D21),1),0),2),0)</f>
      </c>
      <c r="U40">
        <f>IF(F21=1,ROUND((D21-G21)*IF(D21&gt;0,IF(H21=1,MIN(1,(E21+U21)/D21),1),0),2),0)</f>
      </c>
      <c r="V40">
        <f>IF(F21=1,ROUND((D21-G21)*IF(D21&gt;0,IF(H21=1,MIN(1,(E21+V21)/D21),1),0),2),0)</f>
      </c>
      <c r="W40">
        <f>IF(F21=1,ROUND((D21-G21)*IF(D21&gt;0,IF(H21=1,MIN(1,(E21+W21)/D21),1),0),2),0)</f>
      </c>
      <c r="X40">
        <f>IF(F21=1,ROUND((D21-G21)*IF(D21&gt;0,IF(H21=1,MIN(1,(E21+X21)/D21),1),0),2),0)</f>
      </c>
      <c r="Y40">
        <f>IF(F21=1,ROUND((D21-G21)*IF(D21&gt;0,IF(H21=1,MIN(1,(E21+Y21)/D21),1),0),2),0)</f>
      </c>
      <c r="Z40">
        <f>IF(F21=1,ROUND((D21-G21)*IF(D21&gt;0,IF(H21=1,MIN(1,(E21+Z21)/D21),1),0),2),0)</f>
      </c>
      <c r="AA40">
        <f>IF(F21=1,ROUND((D21-G21)*IF(D21&gt;0,IF(H21=1,MIN(1,(E21+AA21)/D21),1),0),2),0)</f>
      </c>
      <c r="AB40">
        <f>IF(F21=1,ROUND((D21-G21)*IF(D21&gt;0,IF(H21=1,MIN(1,(E21+AB21)/D21),1),0),2),0)</f>
      </c>
      <c r="AC40">
        <f>IF(F21=1,ROUND((D21-G21)*IF(D21&gt;0,IF(H21=1,MIN(1,(E21+AC21)/D21),1),0),2),0)</f>
      </c>
      <c r="AD40">
        <f>IF(F21=1,ROUND((D21-G21)*IF(D21&gt;0,IF(H21=1,MIN(1,(E21+AD21)/D21),1),0),2),0)</f>
      </c>
      <c r="AE40">
        <f>IF(F21=1,ROUND((D21-G21)*IF(D21&gt;0,IF(H21=1,MIN(1,(E21+AE21)/D21),1),0),2),0)</f>
      </c>
      <c r="AF40">
        <f>IF(F21=1,ROUND((D21-G21)*IF(D21&gt;0,IF(H21=1,MIN(1,(E21+AF21)/D21),1),0),2),0)</f>
      </c>
      <c r="AG40">
        <f>IF(F21=1,ROUND((D21-G21)*IF(D21&gt;0,IF(H21=1,MIN(1,(E21+AG21)/D21),1),0),2),0)</f>
      </c>
    </row>
    <row r="41" spans="2:33" x14ac:dyDescent="0.25">
      <c r="B41">
        <f>"Taxed gain: "&amp;B22</f>
      </c>
      <c r="M41">
        <f>IF(F22=1,ROUND((D22-G22)*IF(D22&gt;0,IF(H22=1,MIN(1,(E22+M22)/D22),1),0),2),0)</f>
      </c>
      <c r="N41">
        <f>IF(F22=1,ROUND((D22-G22)*IF(D22&gt;0,IF(H22=1,MIN(1,(E22+N22)/D22),1),0),2),0)</f>
      </c>
      <c r="O41">
        <f>IF(F22=1,ROUND((D22-G22)*IF(D22&gt;0,IF(H22=1,MIN(1,(E22+O22)/D22),1),0),2),0)</f>
      </c>
      <c r="P41">
        <f>IF(F22=1,ROUND((D22-G22)*IF(D22&gt;0,IF(H22=1,MIN(1,(E22+P22)/D22),1),0),2),0)</f>
      </c>
      <c r="Q41">
        <f>IF(F22=1,ROUND((D22-G22)*IF(D22&gt;0,IF(H22=1,MIN(1,(E22+Q22)/D22),1),0),2),0)</f>
      </c>
      <c r="R41">
        <f>IF(F22=1,ROUND((D22-G22)*IF(D22&gt;0,IF(H22=1,MIN(1,(E22+R22)/D22),1),0),2),0)</f>
      </c>
      <c r="S41">
        <f>IF(F22=1,ROUND((D22-G22)*IF(D22&gt;0,IF(H22=1,MIN(1,(E22+S22)/D22),1),0),2),0)</f>
      </c>
      <c r="T41">
        <f>IF(F22=1,ROUND((D22-G22)*IF(D22&gt;0,IF(H22=1,MIN(1,(E22+T22)/D22),1),0),2),0)</f>
      </c>
      <c r="U41">
        <f>IF(F22=1,ROUND((D22-G22)*IF(D22&gt;0,IF(H22=1,MIN(1,(E22+U22)/D22),1),0),2),0)</f>
      </c>
      <c r="V41">
        <f>IF(F22=1,ROUND((D22-G22)*IF(D22&gt;0,IF(H22=1,MIN(1,(E22+V22)/D22),1),0),2),0)</f>
      </c>
      <c r="W41">
        <f>IF(F22=1,ROUND((D22-G22)*IF(D22&gt;0,IF(H22=1,MIN(1,(E22+W22)/D22),1),0),2),0)</f>
      </c>
      <c r="X41">
        <f>IF(F22=1,ROUND((D22-G22)*IF(D22&gt;0,IF(H22=1,MIN(1,(E22+X22)/D22),1),0),2),0)</f>
      </c>
      <c r="Y41">
        <f>IF(F22=1,ROUND((D22-G22)*IF(D22&gt;0,IF(H22=1,MIN(1,(E22+Y22)/D22),1),0),2),0)</f>
      </c>
      <c r="Z41">
        <f>IF(F22=1,ROUND((D22-G22)*IF(D22&gt;0,IF(H22=1,MIN(1,(E22+Z22)/D22),1),0),2),0)</f>
      </c>
      <c r="AA41">
        <f>IF(F22=1,ROUND((D22-G22)*IF(D22&gt;0,IF(H22=1,MIN(1,(E22+AA22)/D22),1),0),2),0)</f>
      </c>
      <c r="AB41">
        <f>IF(F22=1,ROUND((D22-G22)*IF(D22&gt;0,IF(H22=1,MIN(1,(E22+AB22)/D22),1),0),2),0)</f>
      </c>
      <c r="AC41">
        <f>IF(F22=1,ROUND((D22-G22)*IF(D22&gt;0,IF(H22=1,MIN(1,(E22+AC22)/D22),1),0),2),0)</f>
      </c>
      <c r="AD41">
        <f>IF(F22=1,ROUND((D22-G22)*IF(D22&gt;0,IF(H22=1,MIN(1,(E22+AD22)/D22),1),0),2),0)</f>
      </c>
      <c r="AE41">
        <f>IF(F22=1,ROUND((D22-G22)*IF(D22&gt;0,IF(H22=1,MIN(1,(E22+AE22)/D22),1),0),2),0)</f>
      </c>
      <c r="AF41">
        <f>IF(F22=1,ROUND((D22-G22)*IF(D22&gt;0,IF(H22=1,MIN(1,(E22+AF22)/D22),1),0),2),0)</f>
      </c>
      <c r="AG41">
        <f>IF(F22=1,ROUND((D22-G22)*IF(D22&gt;0,IF(H22=1,MIN(1,(E22+AG22)/D22),1),0),2),0)</f>
      </c>
    </row>
    <row r="43" spans="2:33" x14ac:dyDescent="0.25">
      <c r="B43" t="s">
        <v>354</v>
      </c>
      <c r="M43">
        <f>ROUND(-'Workings'!$C$27+'Workings'!$C$55+'Workings'!$C$56+'Workings'!$C$57+'Workings'!$C$58+0+0,2)</f>
      </c>
      <c r="N43">
        <f>ROUND(-'Workings'!$C$27+'Workings'!$C$55+'Workings'!$C$56+'Workings'!$C$57+'Workings'!$C$58+M56+M66,2)</f>
      </c>
      <c r="O43">
        <f>ROUND(-'Workings'!$C$27+'Workings'!$C$55+'Workings'!$C$56+'Workings'!$C$57+'Workings'!$C$58+N56+N66,2)</f>
      </c>
      <c r="P43">
        <f>ROUND(-'Workings'!$C$27+'Workings'!$C$55+'Workings'!$C$56+'Workings'!$C$57+'Workings'!$C$58+O56+O66,2)</f>
      </c>
      <c r="Q43">
        <f>ROUND(-'Workings'!$C$27+'Workings'!$C$55+'Workings'!$C$56+'Workings'!$C$57+'Workings'!$C$58+P56+P66,2)</f>
      </c>
      <c r="R43">
        <f>ROUND(-'Workings'!$C$27+'Workings'!$C$55+'Workings'!$C$56+'Workings'!$C$57+'Workings'!$C$58+Q56+Q66,2)</f>
      </c>
      <c r="S43">
        <f>ROUND(-'Workings'!$C$27+'Workings'!$C$55+'Workings'!$C$56+'Workings'!$C$57+'Workings'!$C$58+R56+R66,2)</f>
      </c>
      <c r="T43">
        <f>ROUND(-'Workings'!$C$27+'Workings'!$C$55+'Workings'!$C$56+'Workings'!$C$57+'Workings'!$C$58+S56+S66,2)</f>
      </c>
      <c r="U43">
        <f>ROUND(-'Workings'!$C$27+'Workings'!$C$55+'Workings'!$C$56+'Workings'!$C$57+'Workings'!$C$58+T56+T66,2)</f>
      </c>
      <c r="V43">
        <f>ROUND(-'Workings'!$C$27+'Workings'!$C$55+'Workings'!$C$56+'Workings'!$C$57+'Workings'!$C$58+U56+U66,2)</f>
      </c>
      <c r="W43">
        <f>ROUND(-'Workings'!$C$27+'Workings'!$C$55+'Workings'!$C$56+'Workings'!$C$57+'Workings'!$C$58+V56+V66,2)</f>
      </c>
      <c r="X43">
        <f>ROUND(-'Workings'!$C$27+'Workings'!$C$55+'Workings'!$C$56+'Workings'!$C$57+'Workings'!$C$58+W56+W66,2)</f>
      </c>
      <c r="Y43">
        <f>ROUND(-'Workings'!$C$27+'Workings'!$C$55+'Workings'!$C$56+'Workings'!$C$57+'Workings'!$C$58+X56+X66,2)</f>
      </c>
      <c r="Z43">
        <f>ROUND(-'Workings'!$C$27+'Workings'!$C$55+'Workings'!$C$56+'Workings'!$C$57+'Workings'!$C$58+Y56+Y66,2)</f>
      </c>
      <c r="AA43">
        <f>ROUND(-'Workings'!$C$27+'Workings'!$C$55+'Workings'!$C$56+'Workings'!$C$57+'Workings'!$C$58+Z56+Z66,2)</f>
      </c>
      <c r="AB43">
        <f>ROUND(-'Workings'!$C$27+'Workings'!$C$55+'Workings'!$C$56+'Workings'!$C$57+'Workings'!$C$58+AA56+AA66,2)</f>
      </c>
      <c r="AC43">
        <f>ROUND(-'Workings'!$C$27+'Workings'!$C$55+'Workings'!$C$56+'Workings'!$C$57+'Workings'!$C$58+AB56+AB66,2)</f>
      </c>
      <c r="AD43">
        <f>ROUND(-'Workings'!$C$27+'Workings'!$C$55+'Workings'!$C$56+'Workings'!$C$57+'Workings'!$C$58+AC56+AC66,2)</f>
      </c>
      <c r="AE43">
        <f>ROUND(-'Workings'!$C$27+'Workings'!$C$55+'Workings'!$C$56+'Workings'!$C$57+'Workings'!$C$58+AD56+AD66,2)</f>
      </c>
      <c r="AF43">
        <f>ROUND(-'Workings'!$C$27+'Workings'!$C$55+'Workings'!$C$56+'Workings'!$C$57+'Workings'!$C$58+AE56+AE66,2)</f>
      </c>
      <c r="AG43">
        <f>ROUND(-'Workings'!$C$27+'Workings'!$C$55+'Workings'!$C$56+'Workings'!$C$57+'Workings'!$C$58+AF56+AF66,2)</f>
      </c>
    </row>
    <row r="44" spans="2:33" x14ac:dyDescent="0.25">
      <c r="B44" t="s">
        <v>508</v>
      </c>
      <c r="M44">
        <f>ROUND(SUM($E$5:$E$22)+'Workings'!$C$20,2)</f>
      </c>
      <c r="N44">
        <f>ROUND(SUM($E$5:$E$22)+'Workings'!$C$20,2)</f>
      </c>
      <c r="O44">
        <f>ROUND(SUM($E$5:$E$22)+'Workings'!$C$20,2)</f>
      </c>
      <c r="P44">
        <f>ROUND(SUM($E$5:$E$22)+'Workings'!$C$20,2)</f>
      </c>
      <c r="Q44">
        <f>ROUND(SUM($E$5:$E$22)+'Workings'!$C$20,2)</f>
      </c>
      <c r="R44">
        <f>ROUND(SUM($E$5:$E$22)+'Workings'!$C$20,2)</f>
      </c>
      <c r="S44">
        <f>ROUND(SUM($E$5:$E$22)+'Workings'!$C$20,2)</f>
      </c>
      <c r="T44">
        <f>ROUND(SUM($E$5:$E$22)+'Workings'!$C$20,2)</f>
      </c>
      <c r="U44">
        <f>ROUND(SUM($E$5:$E$22)+'Workings'!$C$20,2)</f>
      </c>
      <c r="V44">
        <f>ROUND(SUM($E$5:$E$22)+'Workings'!$C$20,2)</f>
      </c>
      <c r="W44">
        <f>ROUND(SUM($E$5:$E$22)+'Workings'!$C$20,2)</f>
      </c>
      <c r="X44">
        <f>ROUND(SUM($E$5:$E$22)+'Workings'!$C$20,2)</f>
      </c>
      <c r="Y44">
        <f>ROUND(SUM($E$5:$E$22)+'Workings'!$C$20,2)</f>
      </c>
      <c r="Z44">
        <f>ROUND(SUM($E$5:$E$22)+'Workings'!$C$20,2)</f>
      </c>
      <c r="AA44">
        <f>ROUND(SUM($E$5:$E$22)+'Workings'!$C$20,2)</f>
      </c>
      <c r="AB44">
        <f>ROUND(SUM($E$5:$E$22)+'Workings'!$C$20,2)</f>
      </c>
      <c r="AC44">
        <f>ROUND(SUM($E$5:$E$22)+'Workings'!$C$20,2)</f>
      </c>
      <c r="AD44">
        <f>ROUND(SUM($E$5:$E$22)+'Workings'!$C$20,2)</f>
      </c>
      <c r="AE44">
        <f>ROUND(SUM($E$5:$E$22)+'Workings'!$C$20,2)</f>
      </c>
      <c r="AF44">
        <f>ROUND(SUM($E$5:$E$22)+'Workings'!$C$20,2)</f>
      </c>
      <c r="AG44">
        <f>ROUND(SUM($E$5:$E$22)+'Workings'!$C$20,2)</f>
      </c>
    </row>
    <row r="45" spans="2:33" x14ac:dyDescent="0.25">
      <c r="B45" t="s">
        <v>509</v>
      </c>
      <c r="M45">
        <f>MAX(0,M43-M44)</f>
      </c>
      <c r="N45">
        <f>MAX(0,N43-N44)</f>
      </c>
      <c r="O45">
        <f>MAX(0,O43-O44)</f>
      </c>
      <c r="P45">
        <f>MAX(0,P43-P44)</f>
      </c>
      <c r="Q45">
        <f>MAX(0,Q43-Q44)</f>
      </c>
      <c r="R45">
        <f>MAX(0,R43-R44)</f>
      </c>
      <c r="S45">
        <f>MAX(0,S43-S44)</f>
      </c>
      <c r="T45">
        <f>MAX(0,T43-T44)</f>
      </c>
      <c r="U45">
        <f>MAX(0,U43-U44)</f>
      </c>
      <c r="V45">
        <f>MAX(0,V43-V44)</f>
      </c>
      <c r="W45">
        <f>MAX(0,W43-W44)</f>
      </c>
      <c r="X45">
        <f>MAX(0,X43-X44)</f>
      </c>
      <c r="Y45">
        <f>MAX(0,Y43-Y44)</f>
      </c>
      <c r="Z45">
        <f>MAX(0,Z43-Z44)</f>
      </c>
      <c r="AA45">
        <f>MAX(0,AA43-AA44)</f>
      </c>
      <c r="AB45">
        <f>MAX(0,AB43-AB44)</f>
      </c>
      <c r="AC45">
        <f>MAX(0,AC43-AC44)</f>
      </c>
      <c r="AD45">
        <f>MAX(0,AD43-AD44)</f>
      </c>
      <c r="AE45">
        <f>MAX(0,AE43-AE44)</f>
      </c>
      <c r="AF45">
        <f>MAX(0,AF43-AF44)</f>
      </c>
      <c r="AG45">
        <f>MAX(0,AG43-AG44)</f>
      </c>
    </row>
    <row r="46" spans="2:33" x14ac:dyDescent="0.25">
      <c r="B46" t="s">
        <v>510</v>
      </c>
      <c r="M46">
        <f>SUMIF($C$5:$C$22,1,$D$5:$D$22)</f>
      </c>
      <c r="N46">
        <f>SUMIF($C$5:$C$22,1,$D$5:$D$22)</f>
      </c>
      <c r="O46">
        <f>SUMIF($C$5:$C$22,1,$D$5:$D$22)</f>
      </c>
      <c r="P46">
        <f>SUMIF($C$5:$C$22,1,$D$5:$D$22)</f>
      </c>
      <c r="Q46">
        <f>SUMIF($C$5:$C$22,1,$D$5:$D$22)</f>
      </c>
      <c r="R46">
        <f>SUMIF($C$5:$C$22,1,$D$5:$D$22)</f>
      </c>
      <c r="S46">
        <f>SUMIF($C$5:$C$22,1,$D$5:$D$22)</f>
      </c>
      <c r="T46">
        <f>SUMIF($C$5:$C$22,1,$D$5:$D$22)</f>
      </c>
      <c r="U46">
        <f>SUMIF($C$5:$C$22,1,$D$5:$D$22)</f>
      </c>
      <c r="V46">
        <f>SUMIF($C$5:$C$22,1,$D$5:$D$22)</f>
      </c>
      <c r="W46">
        <f>SUMIF($C$5:$C$22,1,$D$5:$D$22)</f>
      </c>
      <c r="X46">
        <f>SUMIF($C$5:$C$22,1,$D$5:$D$22)</f>
      </c>
      <c r="Y46">
        <f>SUMIF($C$5:$C$22,1,$D$5:$D$22)</f>
      </c>
      <c r="Z46">
        <f>SUMIF($C$5:$C$22,1,$D$5:$D$22)</f>
      </c>
      <c r="AA46">
        <f>SUMIF($C$5:$C$22,1,$D$5:$D$22)</f>
      </c>
      <c r="AB46">
        <f>SUMIF($C$5:$C$22,1,$D$5:$D$22)</f>
      </c>
      <c r="AC46">
        <f>SUMIF($C$5:$C$22,1,$D$5:$D$22)</f>
      </c>
      <c r="AD46">
        <f>SUMIF($C$5:$C$22,1,$D$5:$D$22)</f>
      </c>
      <c r="AE46">
        <f>SUMIF($C$5:$C$22,1,$D$5:$D$22)</f>
      </c>
      <c r="AF46">
        <f>SUMIF($C$5:$C$22,1,$D$5:$D$22)</f>
      </c>
      <c r="AG46">
        <f>SUMIF($C$5:$C$22,1,$D$5:$D$22)</f>
      </c>
    </row>
    <row r="47" spans="2:33" x14ac:dyDescent="0.25">
      <c r="B47" t="s">
        <v>511</v>
      </c>
      <c r="M47">
        <f>ROUND(MIN(M46,MAX(0,M45-0)),2)</f>
      </c>
      <c r="N47">
        <f>ROUND(MIN(N46,MAX(0,N45-0)),2)</f>
      </c>
      <c r="O47">
        <f>ROUND(MIN(O46,MAX(0,O45-0)),2)</f>
      </c>
      <c r="P47">
        <f>ROUND(MIN(P46,MAX(0,P45-0)),2)</f>
      </c>
      <c r="Q47">
        <f>ROUND(MIN(Q46,MAX(0,Q45-0)),2)</f>
      </c>
      <c r="R47">
        <f>ROUND(MIN(R46,MAX(0,R45-0)),2)</f>
      </c>
      <c r="S47">
        <f>ROUND(MIN(S46,MAX(0,S45-0)),2)</f>
      </c>
      <c r="T47">
        <f>ROUND(MIN(T46,MAX(0,T45-0)),2)</f>
      </c>
      <c r="U47">
        <f>ROUND(MIN(U46,MAX(0,U45-0)),2)</f>
      </c>
      <c r="V47">
        <f>ROUND(MIN(V46,MAX(0,V45-0)),2)</f>
      </c>
      <c r="W47">
        <f>ROUND(MIN(W46,MAX(0,W45-0)),2)</f>
      </c>
      <c r="X47">
        <f>ROUND(MIN(X46,MAX(0,X45-0)),2)</f>
      </c>
      <c r="Y47">
        <f>ROUND(MIN(Y46,MAX(0,Y45-0)),2)</f>
      </c>
      <c r="Z47">
        <f>ROUND(MIN(Z46,MAX(0,Z45-0)),2)</f>
      </c>
      <c r="AA47">
        <f>ROUND(MIN(AA46,MAX(0,AA45-0)),2)</f>
      </c>
      <c r="AB47">
        <f>ROUND(MIN(AB46,MAX(0,AB45-0)),2)</f>
      </c>
      <c r="AC47">
        <f>ROUND(MIN(AC46,MAX(0,AC45-0)),2)</f>
      </c>
      <c r="AD47">
        <f>ROUND(MIN(AD46,MAX(0,AD45-0)),2)</f>
      </c>
      <c r="AE47">
        <f>ROUND(MIN(AE46,MAX(0,AE45-0)),2)</f>
      </c>
      <c r="AF47">
        <f>ROUND(MIN(AF46,MAX(0,AF45-0)),2)</f>
      </c>
      <c r="AG47">
        <f>ROUND(MIN(AG46,MAX(0,AG45-0)),2)</f>
      </c>
    </row>
    <row r="48" spans="2:33" x14ac:dyDescent="0.25">
      <c r="B48" t="s">
        <v>512</v>
      </c>
      <c r="M48">
        <f>SUMIF($C$5:$C$22,2,$D$5:$D$22)</f>
      </c>
      <c r="N48">
        <f>SUMIF($C$5:$C$22,2,$D$5:$D$22)</f>
      </c>
      <c r="O48">
        <f>SUMIF($C$5:$C$22,2,$D$5:$D$22)</f>
      </c>
      <c r="P48">
        <f>SUMIF($C$5:$C$22,2,$D$5:$D$22)</f>
      </c>
      <c r="Q48">
        <f>SUMIF($C$5:$C$22,2,$D$5:$D$22)</f>
      </c>
      <c r="R48">
        <f>SUMIF($C$5:$C$22,2,$D$5:$D$22)</f>
      </c>
      <c r="S48">
        <f>SUMIF($C$5:$C$22,2,$D$5:$D$22)</f>
      </c>
      <c r="T48">
        <f>SUMIF($C$5:$C$22,2,$D$5:$D$22)</f>
      </c>
      <c r="U48">
        <f>SUMIF($C$5:$C$22,2,$D$5:$D$22)</f>
      </c>
      <c r="V48">
        <f>SUMIF($C$5:$C$22,2,$D$5:$D$22)</f>
      </c>
      <c r="W48">
        <f>SUMIF($C$5:$C$22,2,$D$5:$D$22)</f>
      </c>
      <c r="X48">
        <f>SUMIF($C$5:$C$22,2,$D$5:$D$22)</f>
      </c>
      <c r="Y48">
        <f>SUMIF($C$5:$C$22,2,$D$5:$D$22)</f>
      </c>
      <c r="Z48">
        <f>SUMIF($C$5:$C$22,2,$D$5:$D$22)</f>
      </c>
      <c r="AA48">
        <f>SUMIF($C$5:$C$22,2,$D$5:$D$22)</f>
      </c>
      <c r="AB48">
        <f>SUMIF($C$5:$C$22,2,$D$5:$D$22)</f>
      </c>
      <c r="AC48">
        <f>SUMIF($C$5:$C$22,2,$D$5:$D$22)</f>
      </c>
      <c r="AD48">
        <f>SUMIF($C$5:$C$22,2,$D$5:$D$22)</f>
      </c>
      <c r="AE48">
        <f>SUMIF($C$5:$C$22,2,$D$5:$D$22)</f>
      </c>
      <c r="AF48">
        <f>SUMIF($C$5:$C$22,2,$D$5:$D$22)</f>
      </c>
      <c r="AG48">
        <f>SUMIF($C$5:$C$22,2,$D$5:$D$22)</f>
      </c>
    </row>
    <row r="49" spans="2:33" x14ac:dyDescent="0.25">
      <c r="B49" t="s">
        <v>513</v>
      </c>
      <c r="M49">
        <f>ROUND(MIN(M48,MAX(0,M45-(M47))),2)</f>
      </c>
      <c r="N49">
        <f>ROUND(MIN(N48,MAX(0,N45-(N47))),2)</f>
      </c>
      <c r="O49">
        <f>ROUND(MIN(O48,MAX(0,O45-(O47))),2)</f>
      </c>
      <c r="P49">
        <f>ROUND(MIN(P48,MAX(0,P45-(P47))),2)</f>
      </c>
      <c r="Q49">
        <f>ROUND(MIN(Q48,MAX(0,Q45-(Q47))),2)</f>
      </c>
      <c r="R49">
        <f>ROUND(MIN(R48,MAX(0,R45-(R47))),2)</f>
      </c>
      <c r="S49">
        <f>ROUND(MIN(S48,MAX(0,S45-(S47))),2)</f>
      </c>
      <c r="T49">
        <f>ROUND(MIN(T48,MAX(0,T45-(T47))),2)</f>
      </c>
      <c r="U49">
        <f>ROUND(MIN(U48,MAX(0,U45-(U47))),2)</f>
      </c>
      <c r="V49">
        <f>ROUND(MIN(V48,MAX(0,V45-(V47))),2)</f>
      </c>
      <c r="W49">
        <f>ROUND(MIN(W48,MAX(0,W45-(W47))),2)</f>
      </c>
      <c r="X49">
        <f>ROUND(MIN(X48,MAX(0,X45-(X47))),2)</f>
      </c>
      <c r="Y49">
        <f>ROUND(MIN(Y48,MAX(0,Y45-(Y47))),2)</f>
      </c>
      <c r="Z49">
        <f>ROUND(MIN(Z48,MAX(0,Z45-(Z47))),2)</f>
      </c>
      <c r="AA49">
        <f>ROUND(MIN(AA48,MAX(0,AA45-(AA47))),2)</f>
      </c>
      <c r="AB49">
        <f>ROUND(MIN(AB48,MAX(0,AB45-(AB47))),2)</f>
      </c>
      <c r="AC49">
        <f>ROUND(MIN(AC48,MAX(0,AC45-(AC47))),2)</f>
      </c>
      <c r="AD49">
        <f>ROUND(MIN(AD48,MAX(0,AD45-(AD47))),2)</f>
      </c>
      <c r="AE49">
        <f>ROUND(MIN(AE48,MAX(0,AE45-(AE47))),2)</f>
      </c>
      <c r="AF49">
        <f>ROUND(MIN(AF48,MAX(0,AF45-(AF47))),2)</f>
      </c>
      <c r="AG49">
        <f>ROUND(MIN(AG48,MAX(0,AG45-(AG47))),2)</f>
      </c>
    </row>
    <row r="50" spans="2:33" x14ac:dyDescent="0.25">
      <c r="B50" t="s">
        <v>514</v>
      </c>
      <c r="M50">
        <f>SUMIF($C$5:$C$22,3,$D$5:$D$22)</f>
      </c>
      <c r="N50">
        <f>SUMIF($C$5:$C$22,3,$D$5:$D$22)</f>
      </c>
      <c r="O50">
        <f>SUMIF($C$5:$C$22,3,$D$5:$D$22)</f>
      </c>
      <c r="P50">
        <f>SUMIF($C$5:$C$22,3,$D$5:$D$22)</f>
      </c>
      <c r="Q50">
        <f>SUMIF($C$5:$C$22,3,$D$5:$D$22)</f>
      </c>
      <c r="R50">
        <f>SUMIF($C$5:$C$22,3,$D$5:$D$22)</f>
      </c>
      <c r="S50">
        <f>SUMIF($C$5:$C$22,3,$D$5:$D$22)</f>
      </c>
      <c r="T50">
        <f>SUMIF($C$5:$C$22,3,$D$5:$D$22)</f>
      </c>
      <c r="U50">
        <f>SUMIF($C$5:$C$22,3,$D$5:$D$22)</f>
      </c>
      <c r="V50">
        <f>SUMIF($C$5:$C$22,3,$D$5:$D$22)</f>
      </c>
      <c r="W50">
        <f>SUMIF($C$5:$C$22,3,$D$5:$D$22)</f>
      </c>
      <c r="X50">
        <f>SUMIF($C$5:$C$22,3,$D$5:$D$22)</f>
      </c>
      <c r="Y50">
        <f>SUMIF($C$5:$C$22,3,$D$5:$D$22)</f>
      </c>
      <c r="Z50">
        <f>SUMIF($C$5:$C$22,3,$D$5:$D$22)</f>
      </c>
      <c r="AA50">
        <f>SUMIF($C$5:$C$22,3,$D$5:$D$22)</f>
      </c>
      <c r="AB50">
        <f>SUMIF($C$5:$C$22,3,$D$5:$D$22)</f>
      </c>
      <c r="AC50">
        <f>SUMIF($C$5:$C$22,3,$D$5:$D$22)</f>
      </c>
      <c r="AD50">
        <f>SUMIF($C$5:$C$22,3,$D$5:$D$22)</f>
      </c>
      <c r="AE50">
        <f>SUMIF($C$5:$C$22,3,$D$5:$D$22)</f>
      </c>
      <c r="AF50">
        <f>SUMIF($C$5:$C$22,3,$D$5:$D$22)</f>
      </c>
      <c r="AG50">
        <f>SUMIF($C$5:$C$22,3,$D$5:$D$22)</f>
      </c>
    </row>
    <row r="51" spans="2:33" x14ac:dyDescent="0.25">
      <c r="B51" t="s">
        <v>515</v>
      </c>
      <c r="M51">
        <f>ROUND(MIN(M50,MAX(0,M45-(M47+M49))),2)</f>
      </c>
      <c r="N51">
        <f>ROUND(MIN(N50,MAX(0,N45-(N47+N49))),2)</f>
      </c>
      <c r="O51">
        <f>ROUND(MIN(O50,MAX(0,O45-(O47+O49))),2)</f>
      </c>
      <c r="P51">
        <f>ROUND(MIN(P50,MAX(0,P45-(P47+P49))),2)</f>
      </c>
      <c r="Q51">
        <f>ROUND(MIN(Q50,MAX(0,Q45-(Q47+Q49))),2)</f>
      </c>
      <c r="R51">
        <f>ROUND(MIN(R50,MAX(0,R45-(R47+R49))),2)</f>
      </c>
      <c r="S51">
        <f>ROUND(MIN(S50,MAX(0,S45-(S47+S49))),2)</f>
      </c>
      <c r="T51">
        <f>ROUND(MIN(T50,MAX(0,T45-(T47+T49))),2)</f>
      </c>
      <c r="U51">
        <f>ROUND(MIN(U50,MAX(0,U45-(U47+U49))),2)</f>
      </c>
      <c r="V51">
        <f>ROUND(MIN(V50,MAX(0,V45-(V47+V49))),2)</f>
      </c>
      <c r="W51">
        <f>ROUND(MIN(W50,MAX(0,W45-(W47+W49))),2)</f>
      </c>
      <c r="X51">
        <f>ROUND(MIN(X50,MAX(0,X45-(X47+X49))),2)</f>
      </c>
      <c r="Y51">
        <f>ROUND(MIN(Y50,MAX(0,Y45-(Y47+Y49))),2)</f>
      </c>
      <c r="Z51">
        <f>ROUND(MIN(Z50,MAX(0,Z45-(Z47+Z49))),2)</f>
      </c>
      <c r="AA51">
        <f>ROUND(MIN(AA50,MAX(0,AA45-(AA47+AA49))),2)</f>
      </c>
      <c r="AB51">
        <f>ROUND(MIN(AB50,MAX(0,AB45-(AB47+AB49))),2)</f>
      </c>
      <c r="AC51">
        <f>ROUND(MIN(AC50,MAX(0,AC45-(AC47+AC49))),2)</f>
      </c>
      <c r="AD51">
        <f>ROUND(MIN(AD50,MAX(0,AD45-(AD47+AD49))),2)</f>
      </c>
      <c r="AE51">
        <f>ROUND(MIN(AE50,MAX(0,AE45-(AE47+AE49))),2)</f>
      </c>
      <c r="AF51">
        <f>ROUND(MIN(AF50,MAX(0,AF45-(AF47+AF49))),2)</f>
      </c>
      <c r="AG51">
        <f>ROUND(MIN(AG50,MAX(0,AG45-(AG47+AG49))),2)</f>
      </c>
    </row>
    <row r="52" spans="2:33" x14ac:dyDescent="0.25">
      <c r="B52" t="s">
        <v>516</v>
      </c>
      <c r="M52">
        <f>SUMIF($C$5:$C$22,4,$D$5:$D$22)</f>
      </c>
      <c r="N52">
        <f>SUMIF($C$5:$C$22,4,$D$5:$D$22)</f>
      </c>
      <c r="O52">
        <f>SUMIF($C$5:$C$22,4,$D$5:$D$22)</f>
      </c>
      <c r="P52">
        <f>SUMIF($C$5:$C$22,4,$D$5:$D$22)</f>
      </c>
      <c r="Q52">
        <f>SUMIF($C$5:$C$22,4,$D$5:$D$22)</f>
      </c>
      <c r="R52">
        <f>SUMIF($C$5:$C$22,4,$D$5:$D$22)</f>
      </c>
      <c r="S52">
        <f>SUMIF($C$5:$C$22,4,$D$5:$D$22)</f>
      </c>
      <c r="T52">
        <f>SUMIF($C$5:$C$22,4,$D$5:$D$22)</f>
      </c>
      <c r="U52">
        <f>SUMIF($C$5:$C$22,4,$D$5:$D$22)</f>
      </c>
      <c r="V52">
        <f>SUMIF($C$5:$C$22,4,$D$5:$D$22)</f>
      </c>
      <c r="W52">
        <f>SUMIF($C$5:$C$22,4,$D$5:$D$22)</f>
      </c>
      <c r="X52">
        <f>SUMIF($C$5:$C$22,4,$D$5:$D$22)</f>
      </c>
      <c r="Y52">
        <f>SUMIF($C$5:$C$22,4,$D$5:$D$22)</f>
      </c>
      <c r="Z52">
        <f>SUMIF($C$5:$C$22,4,$D$5:$D$22)</f>
      </c>
      <c r="AA52">
        <f>SUMIF($C$5:$C$22,4,$D$5:$D$22)</f>
      </c>
      <c r="AB52">
        <f>SUMIF($C$5:$C$22,4,$D$5:$D$22)</f>
      </c>
      <c r="AC52">
        <f>SUMIF($C$5:$C$22,4,$D$5:$D$22)</f>
      </c>
      <c r="AD52">
        <f>SUMIF($C$5:$C$22,4,$D$5:$D$22)</f>
      </c>
      <c r="AE52">
        <f>SUMIF($C$5:$C$22,4,$D$5:$D$22)</f>
      </c>
      <c r="AF52">
        <f>SUMIF($C$5:$C$22,4,$D$5:$D$22)</f>
      </c>
      <c r="AG52">
        <f>SUMIF($C$5:$C$22,4,$D$5:$D$22)</f>
      </c>
    </row>
    <row r="53" spans="2:33" x14ac:dyDescent="0.25">
      <c r="B53" t="s">
        <v>517</v>
      </c>
      <c r="M53">
        <f>ROUND(MIN(M52,MAX(0,M45-(M47+M49+M51))),2)</f>
      </c>
      <c r="N53">
        <f>ROUND(MIN(N52,MAX(0,N45-(N47+N49+N51))),2)</f>
      </c>
      <c r="O53">
        <f>ROUND(MIN(O52,MAX(0,O45-(O47+O49+O51))),2)</f>
      </c>
      <c r="P53">
        <f>ROUND(MIN(P52,MAX(0,P45-(P47+P49+P51))),2)</f>
      </c>
      <c r="Q53">
        <f>ROUND(MIN(Q52,MAX(0,Q45-(Q47+Q49+Q51))),2)</f>
      </c>
      <c r="R53">
        <f>ROUND(MIN(R52,MAX(0,R45-(R47+R49+R51))),2)</f>
      </c>
      <c r="S53">
        <f>ROUND(MIN(S52,MAX(0,S45-(S47+S49+S51))),2)</f>
      </c>
      <c r="T53">
        <f>ROUND(MIN(T52,MAX(0,T45-(T47+T49+T51))),2)</f>
      </c>
      <c r="U53">
        <f>ROUND(MIN(U52,MAX(0,U45-(U47+U49+U51))),2)</f>
      </c>
      <c r="V53">
        <f>ROUND(MIN(V52,MAX(0,V45-(V47+V49+V51))),2)</f>
      </c>
      <c r="W53">
        <f>ROUND(MIN(W52,MAX(0,W45-(W47+W49+W51))),2)</f>
      </c>
      <c r="X53">
        <f>ROUND(MIN(X52,MAX(0,X45-(X47+X49+X51))),2)</f>
      </c>
      <c r="Y53">
        <f>ROUND(MIN(Y52,MAX(0,Y45-(Y47+Y49+Y51))),2)</f>
      </c>
      <c r="Z53">
        <f>ROUND(MIN(Z52,MAX(0,Z45-(Z47+Z49+Z51))),2)</f>
      </c>
      <c r="AA53">
        <f>ROUND(MIN(AA52,MAX(0,AA45-(AA47+AA49+AA51))),2)</f>
      </c>
      <c r="AB53">
        <f>ROUND(MIN(AB52,MAX(0,AB45-(AB47+AB49+AB51))),2)</f>
      </c>
      <c r="AC53">
        <f>ROUND(MIN(AC52,MAX(0,AC45-(AC47+AC49+AC51))),2)</f>
      </c>
      <c r="AD53">
        <f>ROUND(MIN(AD52,MAX(0,AD45-(AD47+AD49+AD51))),2)</f>
      </c>
      <c r="AE53">
        <f>ROUND(MIN(AE52,MAX(0,AE45-(AE47+AE49+AE51))),2)</f>
      </c>
      <c r="AF53">
        <f>ROUND(MIN(AF52,MAX(0,AF45-(AF47+AF49+AF51))),2)</f>
      </c>
      <c r="AG53">
        <f>ROUND(MIN(AG52,MAX(0,AG45-(AG47+AG49+AG51))),2)</f>
      </c>
    </row>
    <row r="54" spans="2:33" x14ac:dyDescent="0.25">
      <c r="B54" t="s">
        <v>518</v>
      </c>
      <c r="M54">
        <f>SUM($M$24:$M$41)</f>
      </c>
      <c r="N54">
        <f>SUM($N$24:$N$41)</f>
      </c>
      <c r="O54">
        <f>SUM($O$24:$O$41)</f>
      </c>
      <c r="P54">
        <f>SUM($P$24:$P$41)</f>
      </c>
      <c r="Q54">
        <f>SUM($Q$24:$Q$41)</f>
      </c>
      <c r="R54">
        <f>SUM($R$24:$R$41)</f>
      </c>
      <c r="S54">
        <f>SUM($S$24:$S$41)</f>
      </c>
      <c r="T54">
        <f>SUM($T$24:$T$41)</f>
      </c>
      <c r="U54">
        <f>SUM($U$24:$U$41)</f>
      </c>
      <c r="V54">
        <f>SUM($V$24:$V$41)</f>
      </c>
      <c r="W54">
        <f>SUM($W$24:$W$41)</f>
      </c>
      <c r="X54">
        <f>SUM($X$24:$X$41)</f>
      </c>
      <c r="Y54">
        <f>SUM($Y$24:$Y$41)</f>
      </c>
      <c r="Z54">
        <f>SUM($Z$24:$Z$41)</f>
      </c>
      <c r="AA54">
        <f>SUM($AA$24:$AA$41)</f>
      </c>
      <c r="AB54">
        <f>SUM($AB$24:$AB$41)</f>
      </c>
      <c r="AC54">
        <f>SUM($AC$24:$AC$41)</f>
      </c>
      <c r="AD54">
        <f>SUM($AD$24:$AD$41)</f>
      </c>
      <c r="AE54">
        <f>SUM($AE$24:$AE$41)</f>
      </c>
      <c r="AF54">
        <f>SUM($AF$24:$AF$41)</f>
      </c>
      <c r="AG54">
        <f>SUM($AG$24:$AG$41)</f>
      </c>
    </row>
    <row r="55" spans="2:33" x14ac:dyDescent="0.25">
      <c r="B55" t="s">
        <v>346</v>
      </c>
      <c r="M55">
        <f>MAX(0,M54-SUM($K$5:$K$22)-MIN('Inputs'!$C$145,MAX(0,M54-SUM($K$5:$K$22))))</f>
      </c>
      <c r="N55">
        <f>MAX(0,N54-SUM($K$5:$K$22)-MIN('Inputs'!$C$145,MAX(0,N54-SUM($K$5:$K$22))))</f>
      </c>
      <c r="O55">
        <f>MAX(0,O54-SUM($K$5:$K$22)-MIN('Inputs'!$C$145,MAX(0,O54-SUM($K$5:$K$22))))</f>
      </c>
      <c r="P55">
        <f>MAX(0,P54-SUM($K$5:$K$22)-MIN('Inputs'!$C$145,MAX(0,P54-SUM($K$5:$K$22))))</f>
      </c>
      <c r="Q55">
        <f>MAX(0,Q54-SUM($K$5:$K$22)-MIN('Inputs'!$C$145,MAX(0,Q54-SUM($K$5:$K$22))))</f>
      </c>
      <c r="R55">
        <f>MAX(0,R54-SUM($K$5:$K$22)-MIN('Inputs'!$C$145,MAX(0,R54-SUM($K$5:$K$22))))</f>
      </c>
      <c r="S55">
        <f>MAX(0,S54-SUM($K$5:$K$22)-MIN('Inputs'!$C$145,MAX(0,S54-SUM($K$5:$K$22))))</f>
      </c>
      <c r="T55">
        <f>MAX(0,T54-SUM($K$5:$K$22)-MIN('Inputs'!$C$145,MAX(0,T54-SUM($K$5:$K$22))))</f>
      </c>
      <c r="U55">
        <f>MAX(0,U54-SUM($K$5:$K$22)-MIN('Inputs'!$C$145,MAX(0,U54-SUM($K$5:$K$22))))</f>
      </c>
      <c r="V55">
        <f>MAX(0,V54-SUM($K$5:$K$22)-MIN('Inputs'!$C$145,MAX(0,V54-SUM($K$5:$K$22))))</f>
      </c>
      <c r="W55">
        <f>MAX(0,W54-SUM($K$5:$K$22)-MIN('Inputs'!$C$145,MAX(0,W54-SUM($K$5:$K$22))))</f>
      </c>
      <c r="X55">
        <f>MAX(0,X54-SUM($K$5:$K$22)-MIN('Inputs'!$C$145,MAX(0,X54-SUM($K$5:$K$22))))</f>
      </c>
      <c r="Y55">
        <f>MAX(0,Y54-SUM($K$5:$K$22)-MIN('Inputs'!$C$145,MAX(0,Y54-SUM($K$5:$K$22))))</f>
      </c>
      <c r="Z55">
        <f>MAX(0,Z54-SUM($K$5:$K$22)-MIN('Inputs'!$C$145,MAX(0,Z54-SUM($K$5:$K$22))))</f>
      </c>
      <c r="AA55">
        <f>MAX(0,AA54-SUM($K$5:$K$22)-MIN('Inputs'!$C$145,MAX(0,AA54-SUM($K$5:$K$22))))</f>
      </c>
      <c r="AB55">
        <f>MAX(0,AB54-SUM($K$5:$K$22)-MIN('Inputs'!$C$145,MAX(0,AB54-SUM($K$5:$K$22))))</f>
      </c>
      <c r="AC55">
        <f>MAX(0,AC54-SUM($K$5:$K$22)-MIN('Inputs'!$C$145,MAX(0,AC54-SUM($K$5:$K$22))))</f>
      </c>
      <c r="AD55">
        <f>MAX(0,AD54-SUM($K$5:$K$22)-MIN('Inputs'!$C$145,MAX(0,AD54-SUM($K$5:$K$22))))</f>
      </c>
      <c r="AE55">
        <f>MAX(0,AE54-SUM($K$5:$K$22)-MIN('Inputs'!$C$145,MAX(0,AE54-SUM($K$5:$K$22))))</f>
      </c>
      <c r="AF55">
        <f>MAX(0,AF54-SUM($K$5:$K$22)-MIN('Inputs'!$C$145,MAX(0,AF54-SUM($K$5:$K$22))))</f>
      </c>
      <c r="AG55">
        <f>MAX(0,AG54-SUM($K$5:$K$22)-MIN('Inputs'!$C$145,MAX(0,AG54-SUM($K$5:$K$22))))</f>
      </c>
    </row>
    <row r="56" spans="2:33" x14ac:dyDescent="0.25">
      <c r="B56" t="s">
        <v>519</v>
      </c>
      <c r="M56">
        <f>IF(M55&gt;0,ROUND((INDEX('Inputs'!$D$149:$D$155,MATCH('Workings'!$C$8+M55*'Inputs'!$C$146/100,'Inputs'!$C$149:$C$155,1))+INDEX('Inputs'!$E$149:$E$155,MATCH('Workings'!$C$8+M55*'Inputs'!$C$146/100,'Inputs'!$C$149:$C$155,1))/100*(('Workings'!$C$8+M55*'Inputs'!$C$146/100)-INDEX('Inputs'!$C$149:$C$155,MATCH('Workings'!$C$8+M55*'Inputs'!$C$146/100,'Inputs'!$C$149:$C$155,1))))-(INDEX('Inputs'!$D$149:$D$155,MATCH('Workings'!$C$8,'Inputs'!$C$149:$C$155,1))+INDEX('Inputs'!$E$149:$E$155,MATCH('Workings'!$C$8,'Inputs'!$C$149:$C$155,1))/100*(('Workings'!$C$8)-INDEX('Inputs'!$C$149:$C$155,MATCH('Workings'!$C$8,'Inputs'!$C$149:$C$155,1)))),2),0)</f>
      </c>
      <c r="N56">
        <f>IF(N55&gt;0,ROUND((INDEX('Inputs'!$D$149:$D$155,MATCH('Workings'!$C$8+N55*'Inputs'!$C$146/100,'Inputs'!$C$149:$C$155,1))+INDEX('Inputs'!$E$149:$E$155,MATCH('Workings'!$C$8+N55*'Inputs'!$C$146/100,'Inputs'!$C$149:$C$155,1))/100*(('Workings'!$C$8+N55*'Inputs'!$C$146/100)-INDEX('Inputs'!$C$149:$C$155,MATCH('Workings'!$C$8+N55*'Inputs'!$C$146/100,'Inputs'!$C$149:$C$155,1))))-(INDEX('Inputs'!$D$149:$D$155,MATCH('Workings'!$C$8,'Inputs'!$C$149:$C$155,1))+INDEX('Inputs'!$E$149:$E$155,MATCH('Workings'!$C$8,'Inputs'!$C$149:$C$155,1))/100*(('Workings'!$C$8)-INDEX('Inputs'!$C$149:$C$155,MATCH('Workings'!$C$8,'Inputs'!$C$149:$C$155,1)))),2),0)</f>
      </c>
      <c r="O56">
        <f>IF(O55&gt;0,ROUND((INDEX('Inputs'!$D$149:$D$155,MATCH('Workings'!$C$8+O55*'Inputs'!$C$146/100,'Inputs'!$C$149:$C$155,1))+INDEX('Inputs'!$E$149:$E$155,MATCH('Workings'!$C$8+O55*'Inputs'!$C$146/100,'Inputs'!$C$149:$C$155,1))/100*(('Workings'!$C$8+O55*'Inputs'!$C$146/100)-INDEX('Inputs'!$C$149:$C$155,MATCH('Workings'!$C$8+O55*'Inputs'!$C$146/100,'Inputs'!$C$149:$C$155,1))))-(INDEX('Inputs'!$D$149:$D$155,MATCH('Workings'!$C$8,'Inputs'!$C$149:$C$155,1))+INDEX('Inputs'!$E$149:$E$155,MATCH('Workings'!$C$8,'Inputs'!$C$149:$C$155,1))/100*(('Workings'!$C$8)-INDEX('Inputs'!$C$149:$C$155,MATCH('Workings'!$C$8,'Inputs'!$C$149:$C$155,1)))),2),0)</f>
      </c>
      <c r="P56">
        <f>IF(P55&gt;0,ROUND((INDEX('Inputs'!$D$149:$D$155,MATCH('Workings'!$C$8+P55*'Inputs'!$C$146/100,'Inputs'!$C$149:$C$155,1))+INDEX('Inputs'!$E$149:$E$155,MATCH('Workings'!$C$8+P55*'Inputs'!$C$146/100,'Inputs'!$C$149:$C$155,1))/100*(('Workings'!$C$8+P55*'Inputs'!$C$146/100)-INDEX('Inputs'!$C$149:$C$155,MATCH('Workings'!$C$8+P55*'Inputs'!$C$146/100,'Inputs'!$C$149:$C$155,1))))-(INDEX('Inputs'!$D$149:$D$155,MATCH('Workings'!$C$8,'Inputs'!$C$149:$C$155,1))+INDEX('Inputs'!$E$149:$E$155,MATCH('Workings'!$C$8,'Inputs'!$C$149:$C$155,1))/100*(('Workings'!$C$8)-INDEX('Inputs'!$C$149:$C$155,MATCH('Workings'!$C$8,'Inputs'!$C$149:$C$155,1)))),2),0)</f>
      </c>
      <c r="Q56">
        <f>IF(Q55&gt;0,ROUND((INDEX('Inputs'!$D$149:$D$155,MATCH('Workings'!$C$8+Q55*'Inputs'!$C$146/100,'Inputs'!$C$149:$C$155,1))+INDEX('Inputs'!$E$149:$E$155,MATCH('Workings'!$C$8+Q55*'Inputs'!$C$146/100,'Inputs'!$C$149:$C$155,1))/100*(('Workings'!$C$8+Q55*'Inputs'!$C$146/100)-INDEX('Inputs'!$C$149:$C$155,MATCH('Workings'!$C$8+Q55*'Inputs'!$C$146/100,'Inputs'!$C$149:$C$155,1))))-(INDEX('Inputs'!$D$149:$D$155,MATCH('Workings'!$C$8,'Inputs'!$C$149:$C$155,1))+INDEX('Inputs'!$E$149:$E$155,MATCH('Workings'!$C$8,'Inputs'!$C$149:$C$155,1))/100*(('Workings'!$C$8)-INDEX('Inputs'!$C$149:$C$155,MATCH('Workings'!$C$8,'Inputs'!$C$149:$C$155,1)))),2),0)</f>
      </c>
      <c r="R56">
        <f>IF(R55&gt;0,ROUND((INDEX('Inputs'!$D$149:$D$155,MATCH('Workings'!$C$8+R55*'Inputs'!$C$146/100,'Inputs'!$C$149:$C$155,1))+INDEX('Inputs'!$E$149:$E$155,MATCH('Workings'!$C$8+R55*'Inputs'!$C$146/100,'Inputs'!$C$149:$C$155,1))/100*(('Workings'!$C$8+R55*'Inputs'!$C$146/100)-INDEX('Inputs'!$C$149:$C$155,MATCH('Workings'!$C$8+R55*'Inputs'!$C$146/100,'Inputs'!$C$149:$C$155,1))))-(INDEX('Inputs'!$D$149:$D$155,MATCH('Workings'!$C$8,'Inputs'!$C$149:$C$155,1))+INDEX('Inputs'!$E$149:$E$155,MATCH('Workings'!$C$8,'Inputs'!$C$149:$C$155,1))/100*(('Workings'!$C$8)-INDEX('Inputs'!$C$149:$C$155,MATCH('Workings'!$C$8,'Inputs'!$C$149:$C$155,1)))),2),0)</f>
      </c>
      <c r="S56">
        <f>IF(S55&gt;0,ROUND((INDEX('Inputs'!$D$149:$D$155,MATCH('Workings'!$C$8+S55*'Inputs'!$C$146/100,'Inputs'!$C$149:$C$155,1))+INDEX('Inputs'!$E$149:$E$155,MATCH('Workings'!$C$8+S55*'Inputs'!$C$146/100,'Inputs'!$C$149:$C$155,1))/100*(('Workings'!$C$8+S55*'Inputs'!$C$146/100)-INDEX('Inputs'!$C$149:$C$155,MATCH('Workings'!$C$8+S55*'Inputs'!$C$146/100,'Inputs'!$C$149:$C$155,1))))-(INDEX('Inputs'!$D$149:$D$155,MATCH('Workings'!$C$8,'Inputs'!$C$149:$C$155,1))+INDEX('Inputs'!$E$149:$E$155,MATCH('Workings'!$C$8,'Inputs'!$C$149:$C$155,1))/100*(('Workings'!$C$8)-INDEX('Inputs'!$C$149:$C$155,MATCH('Workings'!$C$8,'Inputs'!$C$149:$C$155,1)))),2),0)</f>
      </c>
      <c r="T56">
        <f>IF(T55&gt;0,ROUND((INDEX('Inputs'!$D$149:$D$155,MATCH('Workings'!$C$8+T55*'Inputs'!$C$146/100,'Inputs'!$C$149:$C$155,1))+INDEX('Inputs'!$E$149:$E$155,MATCH('Workings'!$C$8+T55*'Inputs'!$C$146/100,'Inputs'!$C$149:$C$155,1))/100*(('Workings'!$C$8+T55*'Inputs'!$C$146/100)-INDEX('Inputs'!$C$149:$C$155,MATCH('Workings'!$C$8+T55*'Inputs'!$C$146/100,'Inputs'!$C$149:$C$155,1))))-(INDEX('Inputs'!$D$149:$D$155,MATCH('Workings'!$C$8,'Inputs'!$C$149:$C$155,1))+INDEX('Inputs'!$E$149:$E$155,MATCH('Workings'!$C$8,'Inputs'!$C$149:$C$155,1))/100*(('Workings'!$C$8)-INDEX('Inputs'!$C$149:$C$155,MATCH('Workings'!$C$8,'Inputs'!$C$149:$C$155,1)))),2),0)</f>
      </c>
      <c r="U56">
        <f>IF(U55&gt;0,ROUND((INDEX('Inputs'!$D$149:$D$155,MATCH('Workings'!$C$8+U55*'Inputs'!$C$146/100,'Inputs'!$C$149:$C$155,1))+INDEX('Inputs'!$E$149:$E$155,MATCH('Workings'!$C$8+U55*'Inputs'!$C$146/100,'Inputs'!$C$149:$C$155,1))/100*(('Workings'!$C$8+U55*'Inputs'!$C$146/100)-INDEX('Inputs'!$C$149:$C$155,MATCH('Workings'!$C$8+U55*'Inputs'!$C$146/100,'Inputs'!$C$149:$C$155,1))))-(INDEX('Inputs'!$D$149:$D$155,MATCH('Workings'!$C$8,'Inputs'!$C$149:$C$155,1))+INDEX('Inputs'!$E$149:$E$155,MATCH('Workings'!$C$8,'Inputs'!$C$149:$C$155,1))/100*(('Workings'!$C$8)-INDEX('Inputs'!$C$149:$C$155,MATCH('Workings'!$C$8,'Inputs'!$C$149:$C$155,1)))),2),0)</f>
      </c>
      <c r="V56">
        <f>IF(V55&gt;0,ROUND((INDEX('Inputs'!$D$149:$D$155,MATCH('Workings'!$C$8+V55*'Inputs'!$C$146/100,'Inputs'!$C$149:$C$155,1))+INDEX('Inputs'!$E$149:$E$155,MATCH('Workings'!$C$8+V55*'Inputs'!$C$146/100,'Inputs'!$C$149:$C$155,1))/100*(('Workings'!$C$8+V55*'Inputs'!$C$146/100)-INDEX('Inputs'!$C$149:$C$155,MATCH('Workings'!$C$8+V55*'Inputs'!$C$146/100,'Inputs'!$C$149:$C$155,1))))-(INDEX('Inputs'!$D$149:$D$155,MATCH('Workings'!$C$8,'Inputs'!$C$149:$C$155,1))+INDEX('Inputs'!$E$149:$E$155,MATCH('Workings'!$C$8,'Inputs'!$C$149:$C$155,1))/100*(('Workings'!$C$8)-INDEX('Inputs'!$C$149:$C$155,MATCH('Workings'!$C$8,'Inputs'!$C$149:$C$155,1)))),2),0)</f>
      </c>
      <c r="W56">
        <f>IF(W55&gt;0,ROUND((INDEX('Inputs'!$D$149:$D$155,MATCH('Workings'!$C$8+W55*'Inputs'!$C$146/100,'Inputs'!$C$149:$C$155,1))+INDEX('Inputs'!$E$149:$E$155,MATCH('Workings'!$C$8+W55*'Inputs'!$C$146/100,'Inputs'!$C$149:$C$155,1))/100*(('Workings'!$C$8+W55*'Inputs'!$C$146/100)-INDEX('Inputs'!$C$149:$C$155,MATCH('Workings'!$C$8+W55*'Inputs'!$C$146/100,'Inputs'!$C$149:$C$155,1))))-(INDEX('Inputs'!$D$149:$D$155,MATCH('Workings'!$C$8,'Inputs'!$C$149:$C$155,1))+INDEX('Inputs'!$E$149:$E$155,MATCH('Workings'!$C$8,'Inputs'!$C$149:$C$155,1))/100*(('Workings'!$C$8)-INDEX('Inputs'!$C$149:$C$155,MATCH('Workings'!$C$8,'Inputs'!$C$149:$C$155,1)))),2),0)</f>
      </c>
      <c r="X56">
        <f>IF(X55&gt;0,ROUND((INDEX('Inputs'!$D$149:$D$155,MATCH('Workings'!$C$8+X55*'Inputs'!$C$146/100,'Inputs'!$C$149:$C$155,1))+INDEX('Inputs'!$E$149:$E$155,MATCH('Workings'!$C$8+X55*'Inputs'!$C$146/100,'Inputs'!$C$149:$C$155,1))/100*(('Workings'!$C$8+X55*'Inputs'!$C$146/100)-INDEX('Inputs'!$C$149:$C$155,MATCH('Workings'!$C$8+X55*'Inputs'!$C$146/100,'Inputs'!$C$149:$C$155,1))))-(INDEX('Inputs'!$D$149:$D$155,MATCH('Workings'!$C$8,'Inputs'!$C$149:$C$155,1))+INDEX('Inputs'!$E$149:$E$155,MATCH('Workings'!$C$8,'Inputs'!$C$149:$C$155,1))/100*(('Workings'!$C$8)-INDEX('Inputs'!$C$149:$C$155,MATCH('Workings'!$C$8,'Inputs'!$C$149:$C$155,1)))),2),0)</f>
      </c>
      <c r="Y56">
        <f>IF(Y55&gt;0,ROUND((INDEX('Inputs'!$D$149:$D$155,MATCH('Workings'!$C$8+Y55*'Inputs'!$C$146/100,'Inputs'!$C$149:$C$155,1))+INDEX('Inputs'!$E$149:$E$155,MATCH('Workings'!$C$8+Y55*'Inputs'!$C$146/100,'Inputs'!$C$149:$C$155,1))/100*(('Workings'!$C$8+Y55*'Inputs'!$C$146/100)-INDEX('Inputs'!$C$149:$C$155,MATCH('Workings'!$C$8+Y55*'Inputs'!$C$146/100,'Inputs'!$C$149:$C$155,1))))-(INDEX('Inputs'!$D$149:$D$155,MATCH('Workings'!$C$8,'Inputs'!$C$149:$C$155,1))+INDEX('Inputs'!$E$149:$E$155,MATCH('Workings'!$C$8,'Inputs'!$C$149:$C$155,1))/100*(('Workings'!$C$8)-INDEX('Inputs'!$C$149:$C$155,MATCH('Workings'!$C$8,'Inputs'!$C$149:$C$155,1)))),2),0)</f>
      </c>
      <c r="Z56">
        <f>IF(Z55&gt;0,ROUND((INDEX('Inputs'!$D$149:$D$155,MATCH('Workings'!$C$8+Z55*'Inputs'!$C$146/100,'Inputs'!$C$149:$C$155,1))+INDEX('Inputs'!$E$149:$E$155,MATCH('Workings'!$C$8+Z55*'Inputs'!$C$146/100,'Inputs'!$C$149:$C$155,1))/100*(('Workings'!$C$8+Z55*'Inputs'!$C$146/100)-INDEX('Inputs'!$C$149:$C$155,MATCH('Workings'!$C$8+Z55*'Inputs'!$C$146/100,'Inputs'!$C$149:$C$155,1))))-(INDEX('Inputs'!$D$149:$D$155,MATCH('Workings'!$C$8,'Inputs'!$C$149:$C$155,1))+INDEX('Inputs'!$E$149:$E$155,MATCH('Workings'!$C$8,'Inputs'!$C$149:$C$155,1))/100*(('Workings'!$C$8)-INDEX('Inputs'!$C$149:$C$155,MATCH('Workings'!$C$8,'Inputs'!$C$149:$C$155,1)))),2),0)</f>
      </c>
      <c r="AA56">
        <f>IF(AA55&gt;0,ROUND((INDEX('Inputs'!$D$149:$D$155,MATCH('Workings'!$C$8+AA55*'Inputs'!$C$146/100,'Inputs'!$C$149:$C$155,1))+INDEX('Inputs'!$E$149:$E$155,MATCH('Workings'!$C$8+AA55*'Inputs'!$C$146/100,'Inputs'!$C$149:$C$155,1))/100*(('Workings'!$C$8+AA55*'Inputs'!$C$146/100)-INDEX('Inputs'!$C$149:$C$155,MATCH('Workings'!$C$8+AA55*'Inputs'!$C$146/100,'Inputs'!$C$149:$C$155,1))))-(INDEX('Inputs'!$D$149:$D$155,MATCH('Workings'!$C$8,'Inputs'!$C$149:$C$155,1))+INDEX('Inputs'!$E$149:$E$155,MATCH('Workings'!$C$8,'Inputs'!$C$149:$C$155,1))/100*(('Workings'!$C$8)-INDEX('Inputs'!$C$149:$C$155,MATCH('Workings'!$C$8,'Inputs'!$C$149:$C$155,1)))),2),0)</f>
      </c>
      <c r="AB56">
        <f>IF(AB55&gt;0,ROUND((INDEX('Inputs'!$D$149:$D$155,MATCH('Workings'!$C$8+AB55*'Inputs'!$C$146/100,'Inputs'!$C$149:$C$155,1))+INDEX('Inputs'!$E$149:$E$155,MATCH('Workings'!$C$8+AB55*'Inputs'!$C$146/100,'Inputs'!$C$149:$C$155,1))/100*(('Workings'!$C$8+AB55*'Inputs'!$C$146/100)-INDEX('Inputs'!$C$149:$C$155,MATCH('Workings'!$C$8+AB55*'Inputs'!$C$146/100,'Inputs'!$C$149:$C$155,1))))-(INDEX('Inputs'!$D$149:$D$155,MATCH('Workings'!$C$8,'Inputs'!$C$149:$C$155,1))+INDEX('Inputs'!$E$149:$E$155,MATCH('Workings'!$C$8,'Inputs'!$C$149:$C$155,1))/100*(('Workings'!$C$8)-INDEX('Inputs'!$C$149:$C$155,MATCH('Workings'!$C$8,'Inputs'!$C$149:$C$155,1)))),2),0)</f>
      </c>
      <c r="AC56">
        <f>IF(AC55&gt;0,ROUND((INDEX('Inputs'!$D$149:$D$155,MATCH('Workings'!$C$8+AC55*'Inputs'!$C$146/100,'Inputs'!$C$149:$C$155,1))+INDEX('Inputs'!$E$149:$E$155,MATCH('Workings'!$C$8+AC55*'Inputs'!$C$146/100,'Inputs'!$C$149:$C$155,1))/100*(('Workings'!$C$8+AC55*'Inputs'!$C$146/100)-INDEX('Inputs'!$C$149:$C$155,MATCH('Workings'!$C$8+AC55*'Inputs'!$C$146/100,'Inputs'!$C$149:$C$155,1))))-(INDEX('Inputs'!$D$149:$D$155,MATCH('Workings'!$C$8,'Inputs'!$C$149:$C$155,1))+INDEX('Inputs'!$E$149:$E$155,MATCH('Workings'!$C$8,'Inputs'!$C$149:$C$155,1))/100*(('Workings'!$C$8)-INDEX('Inputs'!$C$149:$C$155,MATCH('Workings'!$C$8,'Inputs'!$C$149:$C$155,1)))),2),0)</f>
      </c>
      <c r="AD56">
        <f>IF(AD55&gt;0,ROUND((INDEX('Inputs'!$D$149:$D$155,MATCH('Workings'!$C$8+AD55*'Inputs'!$C$146/100,'Inputs'!$C$149:$C$155,1))+INDEX('Inputs'!$E$149:$E$155,MATCH('Workings'!$C$8+AD55*'Inputs'!$C$146/100,'Inputs'!$C$149:$C$155,1))/100*(('Workings'!$C$8+AD55*'Inputs'!$C$146/100)-INDEX('Inputs'!$C$149:$C$155,MATCH('Workings'!$C$8+AD55*'Inputs'!$C$146/100,'Inputs'!$C$149:$C$155,1))))-(INDEX('Inputs'!$D$149:$D$155,MATCH('Workings'!$C$8,'Inputs'!$C$149:$C$155,1))+INDEX('Inputs'!$E$149:$E$155,MATCH('Workings'!$C$8,'Inputs'!$C$149:$C$155,1))/100*(('Workings'!$C$8)-INDEX('Inputs'!$C$149:$C$155,MATCH('Workings'!$C$8,'Inputs'!$C$149:$C$155,1)))),2),0)</f>
      </c>
      <c r="AE56">
        <f>IF(AE55&gt;0,ROUND((INDEX('Inputs'!$D$149:$D$155,MATCH('Workings'!$C$8+AE55*'Inputs'!$C$146/100,'Inputs'!$C$149:$C$155,1))+INDEX('Inputs'!$E$149:$E$155,MATCH('Workings'!$C$8+AE55*'Inputs'!$C$146/100,'Inputs'!$C$149:$C$155,1))/100*(('Workings'!$C$8+AE55*'Inputs'!$C$146/100)-INDEX('Inputs'!$C$149:$C$155,MATCH('Workings'!$C$8+AE55*'Inputs'!$C$146/100,'Inputs'!$C$149:$C$155,1))))-(INDEX('Inputs'!$D$149:$D$155,MATCH('Workings'!$C$8,'Inputs'!$C$149:$C$155,1))+INDEX('Inputs'!$E$149:$E$155,MATCH('Workings'!$C$8,'Inputs'!$C$149:$C$155,1))/100*(('Workings'!$C$8)-INDEX('Inputs'!$C$149:$C$155,MATCH('Workings'!$C$8,'Inputs'!$C$149:$C$155,1)))),2),0)</f>
      </c>
      <c r="AF56">
        <f>IF(AF55&gt;0,ROUND((INDEX('Inputs'!$D$149:$D$155,MATCH('Workings'!$C$8+AF55*'Inputs'!$C$146/100,'Inputs'!$C$149:$C$155,1))+INDEX('Inputs'!$E$149:$E$155,MATCH('Workings'!$C$8+AF55*'Inputs'!$C$146/100,'Inputs'!$C$149:$C$155,1))/100*(('Workings'!$C$8+AF55*'Inputs'!$C$146/100)-INDEX('Inputs'!$C$149:$C$155,MATCH('Workings'!$C$8+AF55*'Inputs'!$C$146/100,'Inputs'!$C$149:$C$155,1))))-(INDEX('Inputs'!$D$149:$D$155,MATCH('Workings'!$C$8,'Inputs'!$C$149:$C$155,1))+INDEX('Inputs'!$E$149:$E$155,MATCH('Workings'!$C$8,'Inputs'!$C$149:$C$155,1))/100*(('Workings'!$C$8)-INDEX('Inputs'!$C$149:$C$155,MATCH('Workings'!$C$8,'Inputs'!$C$149:$C$155,1)))),2),0)</f>
      </c>
      <c r="AG56">
        <f>IF(AG55&gt;0,ROUND((INDEX('Inputs'!$D$149:$D$155,MATCH('Workings'!$C$8+AG55*'Inputs'!$C$146/100,'Inputs'!$C$149:$C$155,1))+INDEX('Inputs'!$E$149:$E$155,MATCH('Workings'!$C$8+AG55*'Inputs'!$C$146/100,'Inputs'!$C$149:$C$155,1))/100*(('Workings'!$C$8+AG55*'Inputs'!$C$146/100)-INDEX('Inputs'!$C$149:$C$155,MATCH('Workings'!$C$8+AG55*'Inputs'!$C$146/100,'Inputs'!$C$149:$C$155,1))))-(INDEX('Inputs'!$D$149:$D$155,MATCH('Workings'!$C$8,'Inputs'!$C$149:$C$155,1))+INDEX('Inputs'!$E$149:$E$155,MATCH('Workings'!$C$8,'Inputs'!$C$149:$C$155,1))/100*(('Workings'!$C$8)-INDEX('Inputs'!$C$149:$C$155,MATCH('Workings'!$C$8,'Inputs'!$C$149:$C$155,1)))),2),0)</f>
      </c>
    </row>
    <row r="57" spans="2:33" x14ac:dyDescent="0.25">
      <c r="B57" t="s">
        <v>520</v>
      </c>
      <c r="M57">
        <f>SUMPRODUCT($I$5:$I$22,$D$5:$D$22-$E$5:$E$22-$M$5:$M$22)</f>
      </c>
      <c r="N57">
        <f>SUMPRODUCT($I$5:$I$22,$D$5:$D$22-$E$5:$E$22-$N$5:$N$22)</f>
      </c>
      <c r="O57">
        <f>SUMPRODUCT($I$5:$I$22,$D$5:$D$22-$E$5:$E$22-$O$5:$O$22)</f>
      </c>
      <c r="P57">
        <f>SUMPRODUCT($I$5:$I$22,$D$5:$D$22-$E$5:$E$22-$P$5:$P$22)</f>
      </c>
      <c r="Q57">
        <f>SUMPRODUCT($I$5:$I$22,$D$5:$D$22-$E$5:$E$22-$Q$5:$Q$22)</f>
      </c>
      <c r="R57">
        <f>SUMPRODUCT($I$5:$I$22,$D$5:$D$22-$E$5:$E$22-$R$5:$R$22)</f>
      </c>
      <c r="S57">
        <f>SUMPRODUCT($I$5:$I$22,$D$5:$D$22-$E$5:$E$22-$S$5:$S$22)</f>
      </c>
      <c r="T57">
        <f>SUMPRODUCT($I$5:$I$22,$D$5:$D$22-$E$5:$E$22-$T$5:$T$22)</f>
      </c>
      <c r="U57">
        <f>SUMPRODUCT($I$5:$I$22,$D$5:$D$22-$E$5:$E$22-$U$5:$U$22)</f>
      </c>
      <c r="V57">
        <f>SUMPRODUCT($I$5:$I$22,$D$5:$D$22-$E$5:$E$22-$V$5:$V$22)</f>
      </c>
      <c r="W57">
        <f>SUMPRODUCT($I$5:$I$22,$D$5:$D$22-$E$5:$E$22-$W$5:$W$22)</f>
      </c>
      <c r="X57">
        <f>SUMPRODUCT($I$5:$I$22,$D$5:$D$22-$E$5:$E$22-$X$5:$X$22)</f>
      </c>
      <c r="Y57">
        <f>SUMPRODUCT($I$5:$I$22,$D$5:$D$22-$E$5:$E$22-$Y$5:$Y$22)</f>
      </c>
      <c r="Z57">
        <f>SUMPRODUCT($I$5:$I$22,$D$5:$D$22-$E$5:$E$22-$Z$5:$Z$22)</f>
      </c>
      <c r="AA57">
        <f>SUMPRODUCT($I$5:$I$22,$D$5:$D$22-$E$5:$E$22-$AA$5:$AA$22)</f>
      </c>
      <c r="AB57">
        <f>SUMPRODUCT($I$5:$I$22,$D$5:$D$22-$E$5:$E$22-$AB$5:$AB$22)</f>
      </c>
      <c r="AC57">
        <f>SUMPRODUCT($I$5:$I$22,$D$5:$D$22-$E$5:$E$22-$AC$5:$AC$22)</f>
      </c>
      <c r="AD57">
        <f>SUMPRODUCT($I$5:$I$22,$D$5:$D$22-$E$5:$E$22-$AD$5:$AD$22)</f>
      </c>
      <c r="AE57">
        <f>SUMPRODUCT($I$5:$I$22,$D$5:$D$22-$E$5:$E$22-$AE$5:$AE$22)</f>
      </c>
      <c r="AF57">
        <f>SUMPRODUCT($I$5:$I$22,$D$5:$D$22-$E$5:$E$22-$AF$5:$AF$22)</f>
      </c>
      <c r="AG57">
        <f>SUMPRODUCT($I$5:$I$22,$D$5:$D$22-$E$5:$E$22-$AG$5:$AG$22)</f>
      </c>
    </row>
    <row r="58" spans="2:33" x14ac:dyDescent="0.25">
      <c r="B58" t="s">
        <v>521</v>
      </c>
      <c r="M58">
        <f>SUMPRODUCT($J$5:$J$22,$D$5:$D$22-$E$5:$E$22-$M$5:$M$22)</f>
      </c>
      <c r="N58">
        <f>SUMPRODUCT($J$5:$J$22,$D$5:$D$22-$E$5:$E$22-$N$5:$N$22)</f>
      </c>
      <c r="O58">
        <f>SUMPRODUCT($J$5:$J$22,$D$5:$D$22-$E$5:$E$22-$O$5:$O$22)</f>
      </c>
      <c r="P58">
        <f>SUMPRODUCT($J$5:$J$22,$D$5:$D$22-$E$5:$E$22-$P$5:$P$22)</f>
      </c>
      <c r="Q58">
        <f>SUMPRODUCT($J$5:$J$22,$D$5:$D$22-$E$5:$E$22-$Q$5:$Q$22)</f>
      </c>
      <c r="R58">
        <f>SUMPRODUCT($J$5:$J$22,$D$5:$D$22-$E$5:$E$22-$R$5:$R$22)</f>
      </c>
      <c r="S58">
        <f>SUMPRODUCT($J$5:$J$22,$D$5:$D$22-$E$5:$E$22-$S$5:$S$22)</f>
      </c>
      <c r="T58">
        <f>SUMPRODUCT($J$5:$J$22,$D$5:$D$22-$E$5:$E$22-$T$5:$T$22)</f>
      </c>
      <c r="U58">
        <f>SUMPRODUCT($J$5:$J$22,$D$5:$D$22-$E$5:$E$22-$U$5:$U$22)</f>
      </c>
      <c r="V58">
        <f>SUMPRODUCT($J$5:$J$22,$D$5:$D$22-$E$5:$E$22-$V$5:$V$22)</f>
      </c>
      <c r="W58">
        <f>SUMPRODUCT($J$5:$J$22,$D$5:$D$22-$E$5:$E$22-$W$5:$W$22)</f>
      </c>
      <c r="X58">
        <f>SUMPRODUCT($J$5:$J$22,$D$5:$D$22-$E$5:$E$22-$X$5:$X$22)</f>
      </c>
      <c r="Y58">
        <f>SUMPRODUCT($J$5:$J$22,$D$5:$D$22-$E$5:$E$22-$Y$5:$Y$22)</f>
      </c>
      <c r="Z58">
        <f>SUMPRODUCT($J$5:$J$22,$D$5:$D$22-$E$5:$E$22-$Z$5:$Z$22)</f>
      </c>
      <c r="AA58">
        <f>SUMPRODUCT($J$5:$J$22,$D$5:$D$22-$E$5:$E$22-$AA$5:$AA$22)</f>
      </c>
      <c r="AB58">
        <f>SUMPRODUCT($J$5:$J$22,$D$5:$D$22-$E$5:$E$22-$AB$5:$AB$22)</f>
      </c>
      <c r="AC58">
        <f>SUMPRODUCT($J$5:$J$22,$D$5:$D$22-$E$5:$E$22-$AC$5:$AC$22)</f>
      </c>
      <c r="AD58">
        <f>SUMPRODUCT($J$5:$J$22,$D$5:$D$22-$E$5:$E$22-$AD$5:$AD$22)</f>
      </c>
      <c r="AE58">
        <f>SUMPRODUCT($J$5:$J$22,$D$5:$D$22-$E$5:$E$22-$AE$5:$AE$22)</f>
      </c>
      <c r="AF58">
        <f>SUMPRODUCT($J$5:$J$22,$D$5:$D$22-$E$5:$E$22-$AF$5:$AF$22)</f>
      </c>
      <c r="AG58">
        <f>SUMPRODUCT($J$5:$J$22,$D$5:$D$22-$E$5:$E$22-$AG$5:$AG$22)</f>
      </c>
    </row>
    <row r="59" spans="2:33" x14ac:dyDescent="0.25">
      <c r="B59" t="s">
        <v>522</v>
      </c>
      <c r="M59">
        <f>ROUND('Workings'!$C$21+'Workings'!$C$27-('Workings'!$C$55+'Workings'!$C$56+'Workings'!$C$57+'Workings'!$C$58+M56)-M57-M58,2)</f>
      </c>
      <c r="N59">
        <f>ROUND('Workings'!$C$21+'Workings'!$C$27-('Workings'!$C$55+'Workings'!$C$56+'Workings'!$C$57+'Workings'!$C$58+N56)-N57-N58,2)</f>
      </c>
      <c r="O59">
        <f>ROUND('Workings'!$C$21+'Workings'!$C$27-('Workings'!$C$55+'Workings'!$C$56+'Workings'!$C$57+'Workings'!$C$58+O56)-O57-O58,2)</f>
      </c>
      <c r="P59">
        <f>ROUND('Workings'!$C$21+'Workings'!$C$27-('Workings'!$C$55+'Workings'!$C$56+'Workings'!$C$57+'Workings'!$C$58+P56)-P57-P58,2)</f>
      </c>
      <c r="Q59">
        <f>ROUND('Workings'!$C$21+'Workings'!$C$27-('Workings'!$C$55+'Workings'!$C$56+'Workings'!$C$57+'Workings'!$C$58+Q56)-Q57-Q58,2)</f>
      </c>
      <c r="R59">
        <f>ROUND('Workings'!$C$21+'Workings'!$C$27-('Workings'!$C$55+'Workings'!$C$56+'Workings'!$C$57+'Workings'!$C$58+R56)-R57-R58,2)</f>
      </c>
      <c r="S59">
        <f>ROUND('Workings'!$C$21+'Workings'!$C$27-('Workings'!$C$55+'Workings'!$C$56+'Workings'!$C$57+'Workings'!$C$58+S56)-S57-S58,2)</f>
      </c>
      <c r="T59">
        <f>ROUND('Workings'!$C$21+'Workings'!$C$27-('Workings'!$C$55+'Workings'!$C$56+'Workings'!$C$57+'Workings'!$C$58+T56)-T57-T58,2)</f>
      </c>
      <c r="U59">
        <f>ROUND('Workings'!$C$21+'Workings'!$C$27-('Workings'!$C$55+'Workings'!$C$56+'Workings'!$C$57+'Workings'!$C$58+U56)-U57-U58,2)</f>
      </c>
      <c r="V59">
        <f>ROUND('Workings'!$C$21+'Workings'!$C$27-('Workings'!$C$55+'Workings'!$C$56+'Workings'!$C$57+'Workings'!$C$58+V56)-V57-V58,2)</f>
      </c>
      <c r="W59">
        <f>ROUND('Workings'!$C$21+'Workings'!$C$27-('Workings'!$C$55+'Workings'!$C$56+'Workings'!$C$57+'Workings'!$C$58+W56)-W57-W58,2)</f>
      </c>
      <c r="X59">
        <f>ROUND('Workings'!$C$21+'Workings'!$C$27-('Workings'!$C$55+'Workings'!$C$56+'Workings'!$C$57+'Workings'!$C$58+X56)-X57-X58,2)</f>
      </c>
      <c r="Y59">
        <f>ROUND('Workings'!$C$21+'Workings'!$C$27-('Workings'!$C$55+'Workings'!$C$56+'Workings'!$C$57+'Workings'!$C$58+Y56)-Y57-Y58,2)</f>
      </c>
      <c r="Z59">
        <f>ROUND('Workings'!$C$21+'Workings'!$C$27-('Workings'!$C$55+'Workings'!$C$56+'Workings'!$C$57+'Workings'!$C$58+Z56)-Z57-Z58,2)</f>
      </c>
      <c r="AA59">
        <f>ROUND('Workings'!$C$21+'Workings'!$C$27-('Workings'!$C$55+'Workings'!$C$56+'Workings'!$C$57+'Workings'!$C$58+AA56)-AA57-AA58,2)</f>
      </c>
      <c r="AB59">
        <f>ROUND('Workings'!$C$21+'Workings'!$C$27-('Workings'!$C$55+'Workings'!$C$56+'Workings'!$C$57+'Workings'!$C$58+AB56)-AB57-AB58,2)</f>
      </c>
      <c r="AC59">
        <f>ROUND('Workings'!$C$21+'Workings'!$C$27-('Workings'!$C$55+'Workings'!$C$56+'Workings'!$C$57+'Workings'!$C$58+AC56)-AC57-AC58,2)</f>
      </c>
      <c r="AD59">
        <f>ROUND('Workings'!$C$21+'Workings'!$C$27-('Workings'!$C$55+'Workings'!$C$56+'Workings'!$C$57+'Workings'!$C$58+AD56)-AD57-AD58,2)</f>
      </c>
      <c r="AE59">
        <f>ROUND('Workings'!$C$21+'Workings'!$C$27-('Workings'!$C$55+'Workings'!$C$56+'Workings'!$C$57+'Workings'!$C$58+AE56)-AE57-AE58,2)</f>
      </c>
      <c r="AF59">
        <f>ROUND('Workings'!$C$21+'Workings'!$C$27-('Workings'!$C$55+'Workings'!$C$56+'Workings'!$C$57+'Workings'!$C$58+AF56)-AF57-AF58,2)</f>
      </c>
      <c r="AG59">
        <f>ROUND('Workings'!$C$21+'Workings'!$C$27-('Workings'!$C$55+'Workings'!$C$56+'Workings'!$C$57+'Workings'!$C$58+AG56)-AG57-AG58,2)</f>
      </c>
    </row>
    <row r="60" spans="2:33" x14ac:dyDescent="0.25">
      <c r="B60" t="s">
        <v>523</v>
      </c>
      <c r="M60">
        <f>IF(M59&lt;0,IF(M57+M58&gt;0,MAX(0,1+M59/(M57+M58)),1),1)</f>
      </c>
      <c r="N60">
        <f>IF(N59&lt;0,IF(N57+N58&gt;0,MAX(0,1+N59/(N57+N58)),1),1)</f>
      </c>
      <c r="O60">
        <f>IF(O59&lt;0,IF(O57+O58&gt;0,MAX(0,1+O59/(O57+O58)),1),1)</f>
      </c>
      <c r="P60">
        <f>IF(P59&lt;0,IF(P57+P58&gt;0,MAX(0,1+P59/(P57+P58)),1),1)</f>
      </c>
      <c r="Q60">
        <f>IF(Q59&lt;0,IF(Q57+Q58&gt;0,MAX(0,1+Q59/(Q57+Q58)),1),1)</f>
      </c>
      <c r="R60">
        <f>IF(R59&lt;0,IF(R57+R58&gt;0,MAX(0,1+R59/(R57+R58)),1),1)</f>
      </c>
      <c r="S60">
        <f>IF(S59&lt;0,IF(S57+S58&gt;0,MAX(0,1+S59/(S57+S58)),1),1)</f>
      </c>
      <c r="T60">
        <f>IF(T59&lt;0,IF(T57+T58&gt;0,MAX(0,1+T59/(T57+T58)),1),1)</f>
      </c>
      <c r="U60">
        <f>IF(U59&lt;0,IF(U57+U58&gt;0,MAX(0,1+U59/(U57+U58)),1),1)</f>
      </c>
      <c r="V60">
        <f>IF(V59&lt;0,IF(V57+V58&gt;0,MAX(0,1+V59/(V57+V58)),1),1)</f>
      </c>
      <c r="W60">
        <f>IF(W59&lt;0,IF(W57+W58&gt;0,MAX(0,1+W59/(W57+W58)),1),1)</f>
      </c>
      <c r="X60">
        <f>IF(X59&lt;0,IF(X57+X58&gt;0,MAX(0,1+X59/(X57+X58)),1),1)</f>
      </c>
      <c r="Y60">
        <f>IF(Y59&lt;0,IF(Y57+Y58&gt;0,MAX(0,1+Y59/(Y57+Y58)),1),1)</f>
      </c>
      <c r="Z60">
        <f>IF(Z59&lt;0,IF(Z57+Z58&gt;0,MAX(0,1+Z59/(Z57+Z58)),1),1)</f>
      </c>
      <c r="AA60">
        <f>IF(AA59&lt;0,IF(AA57+AA58&gt;0,MAX(0,1+AA59/(AA57+AA58)),1),1)</f>
      </c>
      <c r="AB60">
        <f>IF(AB59&lt;0,IF(AB57+AB58&gt;0,MAX(0,1+AB59/(AB57+AB58)),1),1)</f>
      </c>
      <c r="AC60">
        <f>IF(AC59&lt;0,IF(AC57+AC58&gt;0,MAX(0,1+AC59/(AC57+AC58)),1),1)</f>
      </c>
      <c r="AD60">
        <f>IF(AD59&lt;0,IF(AD57+AD58&gt;0,MAX(0,1+AD59/(AD57+AD58)),1),1)</f>
      </c>
      <c r="AE60">
        <f>IF(AE59&lt;0,IF(AE57+AE58&gt;0,MAX(0,1+AE59/(AE57+AE58)),1),1)</f>
      </c>
      <c r="AF60">
        <f>IF(AF59&lt;0,IF(AF57+AF58&gt;0,MAX(0,1+AF59/(AF57+AF58)),1),1)</f>
      </c>
      <c r="AG60">
        <f>IF(AG59&lt;0,IF(AG57+AG58&gt;0,MAX(0,1+AG59/(AG57+AG58)),1),1)</f>
      </c>
    </row>
    <row r="61" spans="2:33" x14ac:dyDescent="0.25">
      <c r="B61" t="s">
        <v>524</v>
      </c>
      <c r="M61">
        <f>IF(OR(LEFT('Inputs'!$C$13,7)="Married",'Inputs'!$C$13="Life partner",'Inputs'!$C$13="Civil Union"),M57*M60+IF('Inputs'!$C$14="Spouse",MAX(0,M59),0),0)</f>
      </c>
      <c r="N61">
        <f>IF(OR(LEFT('Inputs'!$C$13,7)="Married",'Inputs'!$C$13="Life partner",'Inputs'!$C$13="Civil Union"),N57*N60+IF('Inputs'!$C$14="Spouse",MAX(0,N59),0),0)</f>
      </c>
      <c r="O61">
        <f>IF(OR(LEFT('Inputs'!$C$13,7)="Married",'Inputs'!$C$13="Life partner",'Inputs'!$C$13="Civil Union"),O57*O60+IF('Inputs'!$C$14="Spouse",MAX(0,O59),0),0)</f>
      </c>
      <c r="P61">
        <f>IF(OR(LEFT('Inputs'!$C$13,7)="Married",'Inputs'!$C$13="Life partner",'Inputs'!$C$13="Civil Union"),P57*P60+IF('Inputs'!$C$14="Spouse",MAX(0,P59),0),0)</f>
      </c>
      <c r="Q61">
        <f>IF(OR(LEFT('Inputs'!$C$13,7)="Married",'Inputs'!$C$13="Life partner",'Inputs'!$C$13="Civil Union"),Q57*Q60+IF('Inputs'!$C$14="Spouse",MAX(0,Q59),0),0)</f>
      </c>
      <c r="R61">
        <f>IF(OR(LEFT('Inputs'!$C$13,7)="Married",'Inputs'!$C$13="Life partner",'Inputs'!$C$13="Civil Union"),R57*R60+IF('Inputs'!$C$14="Spouse",MAX(0,R59),0),0)</f>
      </c>
      <c r="S61">
        <f>IF(OR(LEFT('Inputs'!$C$13,7)="Married",'Inputs'!$C$13="Life partner",'Inputs'!$C$13="Civil Union"),S57*S60+IF('Inputs'!$C$14="Spouse",MAX(0,S59),0),0)</f>
      </c>
      <c r="T61">
        <f>IF(OR(LEFT('Inputs'!$C$13,7)="Married",'Inputs'!$C$13="Life partner",'Inputs'!$C$13="Civil Union"),T57*T60+IF('Inputs'!$C$14="Spouse",MAX(0,T59),0),0)</f>
      </c>
      <c r="U61">
        <f>IF(OR(LEFT('Inputs'!$C$13,7)="Married",'Inputs'!$C$13="Life partner",'Inputs'!$C$13="Civil Union"),U57*U60+IF('Inputs'!$C$14="Spouse",MAX(0,U59),0),0)</f>
      </c>
      <c r="V61">
        <f>IF(OR(LEFT('Inputs'!$C$13,7)="Married",'Inputs'!$C$13="Life partner",'Inputs'!$C$13="Civil Union"),V57*V60+IF('Inputs'!$C$14="Spouse",MAX(0,V59),0),0)</f>
      </c>
      <c r="W61">
        <f>IF(OR(LEFT('Inputs'!$C$13,7)="Married",'Inputs'!$C$13="Life partner",'Inputs'!$C$13="Civil Union"),W57*W60+IF('Inputs'!$C$14="Spouse",MAX(0,W59),0),0)</f>
      </c>
      <c r="X61">
        <f>IF(OR(LEFT('Inputs'!$C$13,7)="Married",'Inputs'!$C$13="Life partner",'Inputs'!$C$13="Civil Union"),X57*X60+IF('Inputs'!$C$14="Spouse",MAX(0,X59),0),0)</f>
      </c>
      <c r="Y61">
        <f>IF(OR(LEFT('Inputs'!$C$13,7)="Married",'Inputs'!$C$13="Life partner",'Inputs'!$C$13="Civil Union"),Y57*Y60+IF('Inputs'!$C$14="Spouse",MAX(0,Y59),0),0)</f>
      </c>
      <c r="Z61">
        <f>IF(OR(LEFT('Inputs'!$C$13,7)="Married",'Inputs'!$C$13="Life partner",'Inputs'!$C$13="Civil Union"),Z57*Z60+IF('Inputs'!$C$14="Spouse",MAX(0,Z59),0),0)</f>
      </c>
      <c r="AA61">
        <f>IF(OR(LEFT('Inputs'!$C$13,7)="Married",'Inputs'!$C$13="Life partner",'Inputs'!$C$13="Civil Union"),AA57*AA60+IF('Inputs'!$C$14="Spouse",MAX(0,AA59),0),0)</f>
      </c>
      <c r="AB61">
        <f>IF(OR(LEFT('Inputs'!$C$13,7)="Married",'Inputs'!$C$13="Life partner",'Inputs'!$C$13="Civil Union"),AB57*AB60+IF('Inputs'!$C$14="Spouse",MAX(0,AB59),0),0)</f>
      </c>
      <c r="AC61">
        <f>IF(OR(LEFT('Inputs'!$C$13,7)="Married",'Inputs'!$C$13="Life partner",'Inputs'!$C$13="Civil Union"),AC57*AC60+IF('Inputs'!$C$14="Spouse",MAX(0,AC59),0),0)</f>
      </c>
      <c r="AD61">
        <f>IF(OR(LEFT('Inputs'!$C$13,7)="Married",'Inputs'!$C$13="Life partner",'Inputs'!$C$13="Civil Union"),AD57*AD60+IF('Inputs'!$C$14="Spouse",MAX(0,AD59),0),0)</f>
      </c>
      <c r="AE61">
        <f>IF(OR(LEFT('Inputs'!$C$13,7)="Married",'Inputs'!$C$13="Life partner",'Inputs'!$C$13="Civil Union"),AE57*AE60+IF('Inputs'!$C$14="Spouse",MAX(0,AE59),0),0)</f>
      </c>
      <c r="AF61">
        <f>IF(OR(LEFT('Inputs'!$C$13,7)="Married",'Inputs'!$C$13="Life partner",'Inputs'!$C$13="Civil Union"),AF57*AF60+IF('Inputs'!$C$14="Spouse",MAX(0,AF59),0),0)</f>
      </c>
      <c r="AG61">
        <f>IF(OR(LEFT('Inputs'!$C$13,7)="Married",'Inputs'!$C$13="Life partner",'Inputs'!$C$13="Civil Union"),AG57*AG60+IF('Inputs'!$C$14="Spouse",MAX(0,AG59),0),0)</f>
      </c>
    </row>
    <row r="62" spans="2:33" x14ac:dyDescent="0.25">
      <c r="B62" t="s">
        <v>525</v>
      </c>
      <c r="M62">
        <f>ROUND('Workings'!$C$26+'Workings'!$C$27-('Workings'!$C$55+'Workings'!$C$56+'Workings'!$C$57+'Workings'!$C$58+M56)-M61,2)</f>
      </c>
      <c r="N62">
        <f>ROUND('Workings'!$C$26+'Workings'!$C$27-('Workings'!$C$55+'Workings'!$C$56+'Workings'!$C$57+'Workings'!$C$58+N56)-N61,2)</f>
      </c>
      <c r="O62">
        <f>ROUND('Workings'!$C$26+'Workings'!$C$27-('Workings'!$C$55+'Workings'!$C$56+'Workings'!$C$57+'Workings'!$C$58+O56)-O61,2)</f>
      </c>
      <c r="P62">
        <f>ROUND('Workings'!$C$26+'Workings'!$C$27-('Workings'!$C$55+'Workings'!$C$56+'Workings'!$C$57+'Workings'!$C$58+P56)-P61,2)</f>
      </c>
      <c r="Q62">
        <f>ROUND('Workings'!$C$26+'Workings'!$C$27-('Workings'!$C$55+'Workings'!$C$56+'Workings'!$C$57+'Workings'!$C$58+Q56)-Q61,2)</f>
      </c>
      <c r="R62">
        <f>ROUND('Workings'!$C$26+'Workings'!$C$27-('Workings'!$C$55+'Workings'!$C$56+'Workings'!$C$57+'Workings'!$C$58+R56)-R61,2)</f>
      </c>
      <c r="S62">
        <f>ROUND('Workings'!$C$26+'Workings'!$C$27-('Workings'!$C$55+'Workings'!$C$56+'Workings'!$C$57+'Workings'!$C$58+S56)-S61,2)</f>
      </c>
      <c r="T62">
        <f>ROUND('Workings'!$C$26+'Workings'!$C$27-('Workings'!$C$55+'Workings'!$C$56+'Workings'!$C$57+'Workings'!$C$58+T56)-T61,2)</f>
      </c>
      <c r="U62">
        <f>ROUND('Workings'!$C$26+'Workings'!$C$27-('Workings'!$C$55+'Workings'!$C$56+'Workings'!$C$57+'Workings'!$C$58+U56)-U61,2)</f>
      </c>
      <c r="V62">
        <f>ROUND('Workings'!$C$26+'Workings'!$C$27-('Workings'!$C$55+'Workings'!$C$56+'Workings'!$C$57+'Workings'!$C$58+V56)-V61,2)</f>
      </c>
      <c r="W62">
        <f>ROUND('Workings'!$C$26+'Workings'!$C$27-('Workings'!$C$55+'Workings'!$C$56+'Workings'!$C$57+'Workings'!$C$58+W56)-W61,2)</f>
      </c>
      <c r="X62">
        <f>ROUND('Workings'!$C$26+'Workings'!$C$27-('Workings'!$C$55+'Workings'!$C$56+'Workings'!$C$57+'Workings'!$C$58+X56)-X61,2)</f>
      </c>
      <c r="Y62">
        <f>ROUND('Workings'!$C$26+'Workings'!$C$27-('Workings'!$C$55+'Workings'!$C$56+'Workings'!$C$57+'Workings'!$C$58+Y56)-Y61,2)</f>
      </c>
      <c r="Z62">
        <f>ROUND('Workings'!$C$26+'Workings'!$C$27-('Workings'!$C$55+'Workings'!$C$56+'Workings'!$C$57+'Workings'!$C$58+Z56)-Z61,2)</f>
      </c>
      <c r="AA62">
        <f>ROUND('Workings'!$C$26+'Workings'!$C$27-('Workings'!$C$55+'Workings'!$C$56+'Workings'!$C$57+'Workings'!$C$58+AA56)-AA61,2)</f>
      </c>
      <c r="AB62">
        <f>ROUND('Workings'!$C$26+'Workings'!$C$27-('Workings'!$C$55+'Workings'!$C$56+'Workings'!$C$57+'Workings'!$C$58+AB56)-AB61,2)</f>
      </c>
      <c r="AC62">
        <f>ROUND('Workings'!$C$26+'Workings'!$C$27-('Workings'!$C$55+'Workings'!$C$56+'Workings'!$C$57+'Workings'!$C$58+AC56)-AC61,2)</f>
      </c>
      <c r="AD62">
        <f>ROUND('Workings'!$C$26+'Workings'!$C$27-('Workings'!$C$55+'Workings'!$C$56+'Workings'!$C$57+'Workings'!$C$58+AD56)-AD61,2)</f>
      </c>
      <c r="AE62">
        <f>ROUND('Workings'!$C$26+'Workings'!$C$27-('Workings'!$C$55+'Workings'!$C$56+'Workings'!$C$57+'Workings'!$C$58+AE56)-AE61,2)</f>
      </c>
      <c r="AF62">
        <f>ROUND('Workings'!$C$26+'Workings'!$C$27-('Workings'!$C$55+'Workings'!$C$56+'Workings'!$C$57+'Workings'!$C$58+AF56)-AF61,2)</f>
      </c>
      <c r="AG62">
        <f>ROUND('Workings'!$C$26+'Workings'!$C$27-('Workings'!$C$55+'Workings'!$C$56+'Workings'!$C$57+'Workings'!$C$58+AG56)-AG61,2)</f>
      </c>
    </row>
    <row r="63" spans="2:33" x14ac:dyDescent="0.25">
      <c r="B63" t="s">
        <v>347</v>
      </c>
      <c r="M63">
        <f>ROUND(IF(MAX(0,M62-'Inputs'!$C$141)&lt;='Inputs'!$C$143,MAX(0,M62-'Inputs'!$C$141)*'Inputs'!$C$142/100,'Inputs'!$C$143*'Inputs'!$C$142/100+(MAX(0,M62-'Inputs'!$C$141)-'Inputs'!$C$143)*'Inputs'!$C$144/100),2)</f>
      </c>
      <c r="N63">
        <f>ROUND(IF(MAX(0,N62-'Inputs'!$C$141)&lt;='Inputs'!$C$143,MAX(0,N62-'Inputs'!$C$141)*'Inputs'!$C$142/100,'Inputs'!$C$143*'Inputs'!$C$142/100+(MAX(0,N62-'Inputs'!$C$141)-'Inputs'!$C$143)*'Inputs'!$C$144/100),2)</f>
      </c>
      <c r="O63">
        <f>ROUND(IF(MAX(0,O62-'Inputs'!$C$141)&lt;='Inputs'!$C$143,MAX(0,O62-'Inputs'!$C$141)*'Inputs'!$C$142/100,'Inputs'!$C$143*'Inputs'!$C$142/100+(MAX(0,O62-'Inputs'!$C$141)-'Inputs'!$C$143)*'Inputs'!$C$144/100),2)</f>
      </c>
      <c r="P63">
        <f>ROUND(IF(MAX(0,P62-'Inputs'!$C$141)&lt;='Inputs'!$C$143,MAX(0,P62-'Inputs'!$C$141)*'Inputs'!$C$142/100,'Inputs'!$C$143*'Inputs'!$C$142/100+(MAX(0,P62-'Inputs'!$C$141)-'Inputs'!$C$143)*'Inputs'!$C$144/100),2)</f>
      </c>
      <c r="Q63">
        <f>ROUND(IF(MAX(0,Q62-'Inputs'!$C$141)&lt;='Inputs'!$C$143,MAX(0,Q62-'Inputs'!$C$141)*'Inputs'!$C$142/100,'Inputs'!$C$143*'Inputs'!$C$142/100+(MAX(0,Q62-'Inputs'!$C$141)-'Inputs'!$C$143)*'Inputs'!$C$144/100),2)</f>
      </c>
      <c r="R63">
        <f>ROUND(IF(MAX(0,R62-'Inputs'!$C$141)&lt;='Inputs'!$C$143,MAX(0,R62-'Inputs'!$C$141)*'Inputs'!$C$142/100,'Inputs'!$C$143*'Inputs'!$C$142/100+(MAX(0,R62-'Inputs'!$C$141)-'Inputs'!$C$143)*'Inputs'!$C$144/100),2)</f>
      </c>
      <c r="S63">
        <f>ROUND(IF(MAX(0,S62-'Inputs'!$C$141)&lt;='Inputs'!$C$143,MAX(0,S62-'Inputs'!$C$141)*'Inputs'!$C$142/100,'Inputs'!$C$143*'Inputs'!$C$142/100+(MAX(0,S62-'Inputs'!$C$141)-'Inputs'!$C$143)*'Inputs'!$C$144/100),2)</f>
      </c>
      <c r="T63">
        <f>ROUND(IF(MAX(0,T62-'Inputs'!$C$141)&lt;='Inputs'!$C$143,MAX(0,T62-'Inputs'!$C$141)*'Inputs'!$C$142/100,'Inputs'!$C$143*'Inputs'!$C$142/100+(MAX(0,T62-'Inputs'!$C$141)-'Inputs'!$C$143)*'Inputs'!$C$144/100),2)</f>
      </c>
      <c r="U63">
        <f>ROUND(IF(MAX(0,U62-'Inputs'!$C$141)&lt;='Inputs'!$C$143,MAX(0,U62-'Inputs'!$C$141)*'Inputs'!$C$142/100,'Inputs'!$C$143*'Inputs'!$C$142/100+(MAX(0,U62-'Inputs'!$C$141)-'Inputs'!$C$143)*'Inputs'!$C$144/100),2)</f>
      </c>
      <c r="V63">
        <f>ROUND(IF(MAX(0,V62-'Inputs'!$C$141)&lt;='Inputs'!$C$143,MAX(0,V62-'Inputs'!$C$141)*'Inputs'!$C$142/100,'Inputs'!$C$143*'Inputs'!$C$142/100+(MAX(0,V62-'Inputs'!$C$141)-'Inputs'!$C$143)*'Inputs'!$C$144/100),2)</f>
      </c>
      <c r="W63">
        <f>ROUND(IF(MAX(0,W62-'Inputs'!$C$141)&lt;='Inputs'!$C$143,MAX(0,W62-'Inputs'!$C$141)*'Inputs'!$C$142/100,'Inputs'!$C$143*'Inputs'!$C$142/100+(MAX(0,W62-'Inputs'!$C$141)-'Inputs'!$C$143)*'Inputs'!$C$144/100),2)</f>
      </c>
      <c r="X63">
        <f>ROUND(IF(MAX(0,X62-'Inputs'!$C$141)&lt;='Inputs'!$C$143,MAX(0,X62-'Inputs'!$C$141)*'Inputs'!$C$142/100,'Inputs'!$C$143*'Inputs'!$C$142/100+(MAX(0,X62-'Inputs'!$C$141)-'Inputs'!$C$143)*'Inputs'!$C$144/100),2)</f>
      </c>
      <c r="Y63">
        <f>ROUND(IF(MAX(0,Y62-'Inputs'!$C$141)&lt;='Inputs'!$C$143,MAX(0,Y62-'Inputs'!$C$141)*'Inputs'!$C$142/100,'Inputs'!$C$143*'Inputs'!$C$142/100+(MAX(0,Y62-'Inputs'!$C$141)-'Inputs'!$C$143)*'Inputs'!$C$144/100),2)</f>
      </c>
      <c r="Z63">
        <f>ROUND(IF(MAX(0,Z62-'Inputs'!$C$141)&lt;='Inputs'!$C$143,MAX(0,Z62-'Inputs'!$C$141)*'Inputs'!$C$142/100,'Inputs'!$C$143*'Inputs'!$C$142/100+(MAX(0,Z62-'Inputs'!$C$141)-'Inputs'!$C$143)*'Inputs'!$C$144/100),2)</f>
      </c>
      <c r="AA63">
        <f>ROUND(IF(MAX(0,AA62-'Inputs'!$C$141)&lt;='Inputs'!$C$143,MAX(0,AA62-'Inputs'!$C$141)*'Inputs'!$C$142/100,'Inputs'!$C$143*'Inputs'!$C$142/100+(MAX(0,AA62-'Inputs'!$C$141)-'Inputs'!$C$143)*'Inputs'!$C$144/100),2)</f>
      </c>
      <c r="AB63">
        <f>ROUND(IF(MAX(0,AB62-'Inputs'!$C$141)&lt;='Inputs'!$C$143,MAX(0,AB62-'Inputs'!$C$141)*'Inputs'!$C$142/100,'Inputs'!$C$143*'Inputs'!$C$142/100+(MAX(0,AB62-'Inputs'!$C$141)-'Inputs'!$C$143)*'Inputs'!$C$144/100),2)</f>
      </c>
      <c r="AC63">
        <f>ROUND(IF(MAX(0,AC62-'Inputs'!$C$141)&lt;='Inputs'!$C$143,MAX(0,AC62-'Inputs'!$C$141)*'Inputs'!$C$142/100,'Inputs'!$C$143*'Inputs'!$C$142/100+(MAX(0,AC62-'Inputs'!$C$141)-'Inputs'!$C$143)*'Inputs'!$C$144/100),2)</f>
      </c>
      <c r="AD63">
        <f>ROUND(IF(MAX(0,AD62-'Inputs'!$C$141)&lt;='Inputs'!$C$143,MAX(0,AD62-'Inputs'!$C$141)*'Inputs'!$C$142/100,'Inputs'!$C$143*'Inputs'!$C$142/100+(MAX(0,AD62-'Inputs'!$C$141)-'Inputs'!$C$143)*'Inputs'!$C$144/100),2)</f>
      </c>
      <c r="AE63">
        <f>ROUND(IF(MAX(0,AE62-'Inputs'!$C$141)&lt;='Inputs'!$C$143,MAX(0,AE62-'Inputs'!$C$141)*'Inputs'!$C$142/100,'Inputs'!$C$143*'Inputs'!$C$142/100+(MAX(0,AE62-'Inputs'!$C$141)-'Inputs'!$C$143)*'Inputs'!$C$144/100),2)</f>
      </c>
      <c r="AF63">
        <f>ROUND(IF(MAX(0,AF62-'Inputs'!$C$141)&lt;='Inputs'!$C$143,MAX(0,AF62-'Inputs'!$C$141)*'Inputs'!$C$142/100,'Inputs'!$C$143*'Inputs'!$C$142/100+(MAX(0,AF62-'Inputs'!$C$141)-'Inputs'!$C$143)*'Inputs'!$C$144/100),2)</f>
      </c>
      <c r="AG63">
        <f>ROUND(IF(MAX(0,AG62-'Inputs'!$C$141)&lt;='Inputs'!$C$143,MAX(0,AG62-'Inputs'!$C$141)*'Inputs'!$C$142/100,'Inputs'!$C$143*'Inputs'!$C$142/100+(MAX(0,AG62-'Inputs'!$C$141)-'Inputs'!$C$143)*'Inputs'!$C$144/100),2)</f>
      </c>
    </row>
    <row r="64" spans="2:33" x14ac:dyDescent="0.25">
      <c r="B64" t="s">
        <v>348</v>
      </c>
      <c r="M64">
        <f>IF(M62&gt;0,M63/M62,0)</f>
      </c>
      <c r="N64">
        <f>IF(N62&gt;0,N63/N62,0)</f>
      </c>
      <c r="O64">
        <f>IF(O62&gt;0,O63/O62,0)</f>
      </c>
      <c r="P64">
        <f>IF(P62&gt;0,P63/P62,0)</f>
      </c>
      <c r="Q64">
        <f>IF(Q62&gt;0,Q63/Q62,0)</f>
      </c>
      <c r="R64">
        <f>IF(R62&gt;0,R63/R62,0)</f>
      </c>
      <c r="S64">
        <f>IF(S62&gt;0,S63/S62,0)</f>
      </c>
      <c r="T64">
        <f>IF(T62&gt;0,T63/T62,0)</f>
      </c>
      <c r="U64">
        <f>IF(U62&gt;0,U63/U62,0)</f>
      </c>
      <c r="V64">
        <f>IF(V62&gt;0,V63/V62,0)</f>
      </c>
      <c r="W64">
        <f>IF(W62&gt;0,W63/W62,0)</f>
      </c>
      <c r="X64">
        <f>IF(X62&gt;0,X63/X62,0)</f>
      </c>
      <c r="Y64">
        <f>IF(Y62&gt;0,Y63/Y62,0)</f>
      </c>
      <c r="Z64">
        <f>IF(Z62&gt;0,Z63/Z62,0)</f>
      </c>
      <c r="AA64">
        <f>IF(AA62&gt;0,AA63/AA62,0)</f>
      </c>
      <c r="AB64">
        <f>IF(AB62&gt;0,AB63/AB62,0)</f>
      </c>
      <c r="AC64">
        <f>IF(AC62&gt;0,AC63/AC62,0)</f>
      </c>
      <c r="AD64">
        <f>IF(AD62&gt;0,AD63/AD62,0)</f>
      </c>
      <c r="AE64">
        <f>IF(AE62&gt;0,AE63/AE62,0)</f>
      </c>
      <c r="AF64">
        <f>IF(AF62&gt;0,AF63/AF62,0)</f>
      </c>
      <c r="AG64">
        <f>IF(AG62&gt;0,AG63/AG62,0)</f>
      </c>
    </row>
    <row r="65" spans="2:33" x14ac:dyDescent="0.25">
      <c r="B65" t="s">
        <v>526</v>
      </c>
      <c r="M65">
        <f>SUMPRODUCT(ROUND(M64*$J$5:$J$22*($D$5:$D$22-$E$5:$E$22-$M$5:$M$22),2))+SUMPRODUCT(ROUND(M64*'Inputs'!$L$59:$L$70,2))+SUMPRODUCT(ROUND(M64*'Inputs'!$O$76:$O$81,2))</f>
      </c>
      <c r="N65">
        <f>SUMPRODUCT(ROUND(N64*$J$5:$J$22*($D$5:$D$22-$E$5:$E$22-$N$5:$N$22),2))+SUMPRODUCT(ROUND(N64*'Inputs'!$L$59:$L$70,2))+SUMPRODUCT(ROUND(N64*'Inputs'!$O$76:$O$81,2))</f>
      </c>
      <c r="O65">
        <f>SUMPRODUCT(ROUND(O64*$J$5:$J$22*($D$5:$D$22-$E$5:$E$22-$O$5:$O$22),2))+SUMPRODUCT(ROUND(O64*'Inputs'!$L$59:$L$70,2))+SUMPRODUCT(ROUND(O64*'Inputs'!$O$76:$O$81,2))</f>
      </c>
      <c r="P65">
        <f>SUMPRODUCT(ROUND(P64*$J$5:$J$22*($D$5:$D$22-$E$5:$E$22-$P$5:$P$22),2))+SUMPRODUCT(ROUND(P64*'Inputs'!$L$59:$L$70,2))+SUMPRODUCT(ROUND(P64*'Inputs'!$O$76:$O$81,2))</f>
      </c>
      <c r="Q65">
        <f>SUMPRODUCT(ROUND(Q64*$J$5:$J$22*($D$5:$D$22-$E$5:$E$22-$Q$5:$Q$22),2))+SUMPRODUCT(ROUND(Q64*'Inputs'!$L$59:$L$70,2))+SUMPRODUCT(ROUND(Q64*'Inputs'!$O$76:$O$81,2))</f>
      </c>
      <c r="R65">
        <f>SUMPRODUCT(ROUND(R64*$J$5:$J$22*($D$5:$D$22-$E$5:$E$22-$R$5:$R$22),2))+SUMPRODUCT(ROUND(R64*'Inputs'!$L$59:$L$70,2))+SUMPRODUCT(ROUND(R64*'Inputs'!$O$76:$O$81,2))</f>
      </c>
      <c r="S65">
        <f>SUMPRODUCT(ROUND(S64*$J$5:$J$22*($D$5:$D$22-$E$5:$E$22-$S$5:$S$22),2))+SUMPRODUCT(ROUND(S64*'Inputs'!$L$59:$L$70,2))+SUMPRODUCT(ROUND(S64*'Inputs'!$O$76:$O$81,2))</f>
      </c>
      <c r="T65">
        <f>SUMPRODUCT(ROUND(T64*$J$5:$J$22*($D$5:$D$22-$E$5:$E$22-$T$5:$T$22),2))+SUMPRODUCT(ROUND(T64*'Inputs'!$L$59:$L$70,2))+SUMPRODUCT(ROUND(T64*'Inputs'!$O$76:$O$81,2))</f>
      </c>
      <c r="U65">
        <f>SUMPRODUCT(ROUND(U64*$J$5:$J$22*($D$5:$D$22-$E$5:$E$22-$U$5:$U$22),2))+SUMPRODUCT(ROUND(U64*'Inputs'!$L$59:$L$70,2))+SUMPRODUCT(ROUND(U64*'Inputs'!$O$76:$O$81,2))</f>
      </c>
      <c r="V65">
        <f>SUMPRODUCT(ROUND(V64*$J$5:$J$22*($D$5:$D$22-$E$5:$E$22-$V$5:$V$22),2))+SUMPRODUCT(ROUND(V64*'Inputs'!$L$59:$L$70,2))+SUMPRODUCT(ROUND(V64*'Inputs'!$O$76:$O$81,2))</f>
      </c>
      <c r="W65">
        <f>SUMPRODUCT(ROUND(W64*$J$5:$J$22*($D$5:$D$22-$E$5:$E$22-$W$5:$W$22),2))+SUMPRODUCT(ROUND(W64*'Inputs'!$L$59:$L$70,2))+SUMPRODUCT(ROUND(W64*'Inputs'!$O$76:$O$81,2))</f>
      </c>
      <c r="X65">
        <f>SUMPRODUCT(ROUND(X64*$J$5:$J$22*($D$5:$D$22-$E$5:$E$22-$X$5:$X$22),2))+SUMPRODUCT(ROUND(X64*'Inputs'!$L$59:$L$70,2))+SUMPRODUCT(ROUND(X64*'Inputs'!$O$76:$O$81,2))</f>
      </c>
      <c r="Y65">
        <f>SUMPRODUCT(ROUND(Y64*$J$5:$J$22*($D$5:$D$22-$E$5:$E$22-$Y$5:$Y$22),2))+SUMPRODUCT(ROUND(Y64*'Inputs'!$L$59:$L$70,2))+SUMPRODUCT(ROUND(Y64*'Inputs'!$O$76:$O$81,2))</f>
      </c>
      <c r="Z65">
        <f>SUMPRODUCT(ROUND(Z64*$J$5:$J$22*($D$5:$D$22-$E$5:$E$22-$Z$5:$Z$22),2))+SUMPRODUCT(ROUND(Z64*'Inputs'!$L$59:$L$70,2))+SUMPRODUCT(ROUND(Z64*'Inputs'!$O$76:$O$81,2))</f>
      </c>
      <c r="AA65">
        <f>SUMPRODUCT(ROUND(AA64*$J$5:$J$22*($D$5:$D$22-$E$5:$E$22-$AA$5:$AA$22),2))+SUMPRODUCT(ROUND(AA64*'Inputs'!$L$59:$L$70,2))+SUMPRODUCT(ROUND(AA64*'Inputs'!$O$76:$O$81,2))</f>
      </c>
      <c r="AB65">
        <f>SUMPRODUCT(ROUND(AB64*$J$5:$J$22*($D$5:$D$22-$E$5:$E$22-$AB$5:$AB$22),2))+SUMPRODUCT(ROUND(AB64*'Inputs'!$L$59:$L$70,2))+SUMPRODUCT(ROUND(AB64*'Inputs'!$O$76:$O$81,2))</f>
      </c>
      <c r="AC65">
        <f>SUMPRODUCT(ROUND(AC64*$J$5:$J$22*($D$5:$D$22-$E$5:$E$22-$AC$5:$AC$22),2))+SUMPRODUCT(ROUND(AC64*'Inputs'!$L$59:$L$70,2))+SUMPRODUCT(ROUND(AC64*'Inputs'!$O$76:$O$81,2))</f>
      </c>
      <c r="AD65">
        <f>SUMPRODUCT(ROUND(AD64*$J$5:$J$22*($D$5:$D$22-$E$5:$E$22-$AD$5:$AD$22),2))+SUMPRODUCT(ROUND(AD64*'Inputs'!$L$59:$L$70,2))+SUMPRODUCT(ROUND(AD64*'Inputs'!$O$76:$O$81,2))</f>
      </c>
      <c r="AE65">
        <f>SUMPRODUCT(ROUND(AE64*$J$5:$J$22*($D$5:$D$22-$E$5:$E$22-$AE$5:$AE$22),2))+SUMPRODUCT(ROUND(AE64*'Inputs'!$L$59:$L$70,2))+SUMPRODUCT(ROUND(AE64*'Inputs'!$O$76:$O$81,2))</f>
      </c>
      <c r="AF65">
        <f>SUMPRODUCT(ROUND(AF64*$J$5:$J$22*($D$5:$D$22-$E$5:$E$22-$AF$5:$AF$22),2))+SUMPRODUCT(ROUND(AF64*'Inputs'!$L$59:$L$70,2))+SUMPRODUCT(ROUND(AF64*'Inputs'!$O$76:$O$81,2))</f>
      </c>
      <c r="AG65">
        <f>SUMPRODUCT(ROUND(AG64*$J$5:$J$22*($D$5:$D$22-$E$5:$E$22-$AG$5:$AG$22),2))+SUMPRODUCT(ROUND(AG64*'Inputs'!$L$59:$L$70,2))+SUMPRODUCT(ROUND(AG64*'Inputs'!$O$76:$O$81,2))</f>
      </c>
    </row>
    <row r="66" spans="2:33" x14ac:dyDescent="0.25">
      <c r="B66" t="s">
        <v>527</v>
      </c>
      <c r="M66">
        <f>ROUND(M63-M65,2)</f>
      </c>
      <c r="N66">
        <f>ROUND(N63-N65,2)</f>
      </c>
      <c r="O66">
        <f>ROUND(O63-O65,2)</f>
      </c>
      <c r="P66">
        <f>ROUND(P63-P65,2)</f>
      </c>
      <c r="Q66">
        <f>ROUND(Q63-Q65,2)</f>
      </c>
      <c r="R66">
        <f>ROUND(R63-R65,2)</f>
      </c>
      <c r="S66">
        <f>ROUND(S63-S65,2)</f>
      </c>
      <c r="T66">
        <f>ROUND(T63-T65,2)</f>
      </c>
      <c r="U66">
        <f>ROUND(U63-U65,2)</f>
      </c>
      <c r="V66">
        <f>ROUND(V63-V65,2)</f>
      </c>
      <c r="W66">
        <f>ROUND(W63-W65,2)</f>
      </c>
      <c r="X66">
        <f>ROUND(X63-X65,2)</f>
      </c>
      <c r="Y66">
        <f>ROUND(Y63-Y65,2)</f>
      </c>
      <c r="Z66">
        <f>ROUND(Z63-Z65,2)</f>
      </c>
      <c r="AA66">
        <f>ROUND(AA63-AA65,2)</f>
      </c>
      <c r="AB66">
        <f>ROUND(AB63-AB65,2)</f>
      </c>
      <c r="AC66">
        <f>ROUND(AC63-AC65,2)</f>
      </c>
      <c r="AD66">
        <f>ROUND(AD63-AD65,2)</f>
      </c>
      <c r="AE66">
        <f>ROUND(AE63-AE65,2)</f>
      </c>
      <c r="AF66">
        <f>ROUND(AF63-AF65,2)</f>
      </c>
      <c r="AG66">
        <f>ROUND(AG63-AG65,2)</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333"/>
  <sheetFormatPr defaultRowHeight="15" outlineLevelRow="0" outlineLevelCol="0" x14ac:dyDescent="55"/>
  <cols>
    <col min="1" max="1" width="2" customWidth="1"/>
    <col min="2" max="2" width="34" customWidth="1"/>
    <col min="3" max="3" width="16" customWidth="1"/>
  </cols>
  <sheetData>
    <row r="1" spans="2:6" x14ac:dyDescent="0.25">
      <c r="B1" t="s">
        <v>449</v>
      </c>
      <c r="C1">
        <f>IF(SUM('Inputs'!$U$100:$U$105)=0,"",IF('Inputs'!$O$100=1,'Inputs'!$B$100,"")&amp;IF('Inputs'!$O$101=1,'Inputs'!$B$101,"")&amp;IF('Inputs'!$O$102=1,'Inputs'!$B$102,"")&amp;IF('Inputs'!$O$103=1,'Inputs'!$B$103,"")&amp;IF('Inputs'!$O$104=1,'Inputs'!$B$104,"")&amp;IF('Inputs'!$O$105=1,'Inputs'!$B$105,""))</f>
      </c>
      <c r="E1" t="s">
        <v>450</v>
      </c>
      <c r="F1">
        <f>IF('Inputs'!$O$100=1,'Inputs'!$B$100,"")&amp;IF('Inputs'!$O$101=1,'Inputs'!$B$101,"")&amp;IF('Inputs'!$O$102=1,'Inputs'!$B$102,"")&amp;IF('Inputs'!$O$103=1,'Inputs'!$B$103,"")&amp;IF('Inputs'!$O$104=1,'Inputs'!$B$104,"")&amp;IF('Inputs'!$O$105=1,'Inputs'!$B$105,"")</f>
      </c>
    </row>
    <row r="2" spans="2:3" x14ac:dyDescent="0.25">
      <c r="B2" t="s">
        <v>122</v>
      </c>
      <c r="C2">
        <f>IF('Inputs'!$B$100="","",'Inputs'!$B$100)</f>
      </c>
    </row>
    <row r="3" spans="2:17" x14ac:dyDescent="0.25">
      <c r="B3" t="s">
        <v>124</v>
      </c>
      <c r="C3">
        <f>N('Inputs'!$D$100)</f>
      </c>
      <c r="I3" t="s">
        <v>451</v>
      </c>
      <c r="J3" t="s">
        <v>452</v>
      </c>
      <c r="K3" t="s">
        <v>453</v>
      </c>
      <c r="L3" t="s">
        <v>454</v>
      </c>
      <c r="P3" t="s">
        <v>455</v>
      </c>
      <c r="Q3" t="s">
        <v>456</v>
      </c>
    </row>
    <row r="4" spans="2:17" x14ac:dyDescent="0.25">
      <c r="B4" t="s">
        <v>457</v>
      </c>
      <c r="C4">
        <f>IF($C$3&gt;=75,'Inputs'!$H$145,IF($C$3&gt;=65,'Inputs'!$H$144,'Inputs'!$H$138))</f>
      </c>
      <c r="I4">
        <v>0</v>
      </c>
      <c r="J4">
        <f>IF(I4&lt;$C$6,MAX(0,12*$C$7*(1+$C$8)^I4-K4),0)</f>
      </c>
      <c r="K4">
        <f>SUMPRODUCT(('Inputs'!$G$76:$G$81=$C$2)*($C$2&lt;&gt;"")*'Inputs'!$D$76:$D$81*(1+'Inputs'!$E$76:$E$81/100)^I4*(ABS('Inputs'!$F$76:$F$81-12*I4)-ABS(('Inputs'!$F$76:$F$81-12*I4)-12)+12)/2)+SUMPRODUCT(('Inputs'!$C$114:$C$121=$C$2)*($C$2&lt;&gt;"")*'Inputs'!$D$114:$D$121*(1+'Inputs'!$E$114:$E$121/100)^I4*(((ABS((('Inputs'!$G$114:$G$121&gt;0)*('Inputs'!$F$114:$F$121+'Inputs'!$G$114:$G$121)+('Inputs'!$G$114:$G$121=0)*12*$C$6)-12*I4)-ABS(((('Inputs'!$G$114:$G$121&gt;0)*('Inputs'!$F$114:$F$121+'Inputs'!$G$114:$G$121)+('Inputs'!$G$114:$G$121=0)*12*$C$6)-12*I4)-12)+12)/2-(ABS(('Inputs'!$F$114:$F$121-12*I4))-ABS((('Inputs'!$F$114:$F$121-12*I4))-12)+12)/2)+ABS((ABS((('Inputs'!$G$114:$G$121&gt;0)*('Inputs'!$F$114:$F$121+'Inputs'!$G$114:$G$121)+('Inputs'!$G$114:$G$121=0)*12*$C$6)-12*I4)-ABS(((('Inputs'!$G$114:$G$121&gt;0)*('Inputs'!$F$114:$F$121+'Inputs'!$G$114:$G$121)+('Inputs'!$G$114:$G$121=0)*12*$C$6)-12*I4)-12)+12)/2-(ABS(('Inputs'!$F$114:$F$121-12*I4))-ABS((('Inputs'!$F$114:$F$121-12*I4))-12)+12)/2))/2)</f>
      </c>
      <c r="L4">
        <f>IF(J4&gt;0,1,0)</f>
      </c>
      <c r="P4">
        <f>IF($C$9&lt;&gt;1,0,IF($C$14=0,SUM($J$4:$J$53),(1-(1+$C$14)^-1)/(1-(1+$C$14)^(-1/12))/12*SUMPRODUCT($J$4:$J$53,(1+$C$14)^(-$I$4:$I$53))))</f>
      </c>
      <c r="Q4">
        <f>IF($C$9&lt;&gt;1,0,IFERROR((((1+($C$14+'Inputs'!$H$137/100))^(1/12)-1)-((1+$C$14)^(1/12)-1))*(P4*(((1+((1+$C$14)^(1/12)-1))^12-1)/((1+((1+$C$14)^(1/12)-1))-1))-J4/12/((1+((1+$C$14)^(1/12)-1))-1)*((1+((1+$C$14)^(1/12)-1))*(((1+((1+$C$14)^(1/12)-1))^12-1)/((1+((1+$C$14)^(1/12)-1))-1))-12)),0))</f>
      </c>
    </row>
    <row r="5" spans="2:17" x14ac:dyDescent="0.25">
      <c r="B5" t="s">
        <v>458</v>
      </c>
      <c r="C5">
        <f>N('Inputs'!$I$100)</f>
      </c>
      <c r="I5">
        <v>1</v>
      </c>
      <c r="J5">
        <f>IF(I5&lt;$C$6,MAX(0,12*$C$7*(1+$C$8)^I5-K5),0)</f>
      </c>
      <c r="K5">
        <f>SUMPRODUCT(('Inputs'!$G$76:$G$81=$C$2)*($C$2&lt;&gt;"")*'Inputs'!$D$76:$D$81*(1+'Inputs'!$E$76:$E$81/100)^I5*(ABS('Inputs'!$F$76:$F$81-12*I5)-ABS(('Inputs'!$F$76:$F$81-12*I5)-12)+12)/2)+SUMPRODUCT(('Inputs'!$C$114:$C$121=$C$2)*($C$2&lt;&gt;"")*'Inputs'!$D$114:$D$121*(1+'Inputs'!$E$114:$E$121/100)^I5*(((ABS((('Inputs'!$G$114:$G$121&gt;0)*('Inputs'!$F$114:$F$121+'Inputs'!$G$114:$G$121)+('Inputs'!$G$114:$G$121=0)*12*$C$6)-12*I5)-ABS(((('Inputs'!$G$114:$G$121&gt;0)*('Inputs'!$F$114:$F$121+'Inputs'!$G$114:$G$121)+('Inputs'!$G$114:$G$121=0)*12*$C$6)-12*I5)-12)+12)/2-(ABS(('Inputs'!$F$114:$F$121-12*I5))-ABS((('Inputs'!$F$114:$F$121-12*I5))-12)+12)/2)+ABS((ABS((('Inputs'!$G$114:$G$121&gt;0)*('Inputs'!$F$114:$F$121+'Inputs'!$G$114:$G$121)+('Inputs'!$G$114:$G$121=0)*12*$C$6)-12*I5)-ABS(((('Inputs'!$G$114:$G$121&gt;0)*('Inputs'!$F$114:$F$121+'Inputs'!$G$114:$G$121)+('Inputs'!$G$114:$G$121=0)*12*$C$6)-12*I5)-12)+12)/2-(ABS(('Inputs'!$F$114:$F$121-12*I5))-ABS((('Inputs'!$F$114:$F$121-12*I5))-12)+12)/2))/2)</f>
      </c>
      <c r="L5">
        <f>IF(J5&gt;0,1,0)</f>
      </c>
      <c r="P5">
        <f>IF($C$9&lt;&gt;1,0,P4*(1+((1+$C$14)^(1/12)-1))^12-J4/12*(1+((1+$C$14)^(1/12)-1))*(((1+((1+$C$14)^(1/12)-1))^12-1)/((1+((1+$C$14)^(1/12)-1))-1)))</f>
      </c>
      <c r="Q5">
        <f>IF($C$9&lt;&gt;1,0,IFERROR((((1+($C$14+'Inputs'!$H$137/100))^(1/12)-1)-((1+$C$14)^(1/12)-1))*(P5*(((1+((1+$C$14)^(1/12)-1))^12-1)/((1+((1+$C$14)^(1/12)-1))-1))-J5/12/((1+((1+$C$14)^(1/12)-1))-1)*((1+((1+$C$14)^(1/12)-1))*(((1+((1+$C$14)^(1/12)-1))^12-1)/((1+((1+$C$14)^(1/12)-1))-1))-12)),0))</f>
      </c>
    </row>
    <row r="6" spans="2:17" x14ac:dyDescent="0.25">
      <c r="B6" t="s">
        <v>459</v>
      </c>
      <c r="C6">
        <f>IF($C$2="",0,N('Inputs'!$F$100))</f>
      </c>
      <c r="I6">
        <v>2</v>
      </c>
      <c r="J6">
        <f>IF(I6&lt;$C$6,MAX(0,12*$C$7*(1+$C$8)^I6-K6),0)</f>
      </c>
      <c r="K6">
        <f>SUMPRODUCT(('Inputs'!$G$76:$G$81=$C$2)*($C$2&lt;&gt;"")*'Inputs'!$D$76:$D$81*(1+'Inputs'!$E$76:$E$81/100)^I6*(ABS('Inputs'!$F$76:$F$81-12*I6)-ABS(('Inputs'!$F$76:$F$81-12*I6)-12)+12)/2)+SUMPRODUCT(('Inputs'!$C$114:$C$121=$C$2)*($C$2&lt;&gt;"")*'Inputs'!$D$114:$D$121*(1+'Inputs'!$E$114:$E$121/100)^I6*(((ABS((('Inputs'!$G$114:$G$121&gt;0)*('Inputs'!$F$114:$F$121+'Inputs'!$G$114:$G$121)+('Inputs'!$G$114:$G$121=0)*12*$C$6)-12*I6)-ABS(((('Inputs'!$G$114:$G$121&gt;0)*('Inputs'!$F$114:$F$121+'Inputs'!$G$114:$G$121)+('Inputs'!$G$114:$G$121=0)*12*$C$6)-12*I6)-12)+12)/2-(ABS(('Inputs'!$F$114:$F$121-12*I6))-ABS((('Inputs'!$F$114:$F$121-12*I6))-12)+12)/2)+ABS((ABS((('Inputs'!$G$114:$G$121&gt;0)*('Inputs'!$F$114:$F$121+'Inputs'!$G$114:$G$121)+('Inputs'!$G$114:$G$121=0)*12*$C$6)-12*I6)-ABS(((('Inputs'!$G$114:$G$121&gt;0)*('Inputs'!$F$114:$F$121+'Inputs'!$G$114:$G$121)+('Inputs'!$G$114:$G$121=0)*12*$C$6)-12*I6)-12)+12)/2-(ABS(('Inputs'!$F$114:$F$121-12*I6))-ABS((('Inputs'!$F$114:$F$121-12*I6))-12)+12)/2))/2)</f>
      </c>
      <c r="L6">
        <f>IF(J6&gt;0,1,0)</f>
      </c>
      <c r="P6">
        <f>IF($C$9&lt;&gt;1,0,P5*(1+((1+$C$14)^(1/12)-1))^12-J5/12*(1+((1+$C$14)^(1/12)-1))*(((1+((1+$C$14)^(1/12)-1))^12-1)/((1+((1+$C$14)^(1/12)-1))-1)))</f>
      </c>
      <c r="Q6">
        <f>IF($C$9&lt;&gt;1,0,IFERROR((((1+($C$14+'Inputs'!$H$137/100))^(1/12)-1)-((1+$C$14)^(1/12)-1))*(P6*(((1+((1+$C$14)^(1/12)-1))^12-1)/((1+((1+$C$14)^(1/12)-1))-1))-J6/12/((1+((1+$C$14)^(1/12)-1))-1)*((1+((1+$C$14)^(1/12)-1))*(((1+((1+$C$14)^(1/12)-1))^12-1)/((1+((1+$C$14)^(1/12)-1))-1))-12)),0))</f>
      </c>
    </row>
    <row r="7" spans="2:17" x14ac:dyDescent="0.25">
      <c r="B7" t="s">
        <v>460</v>
      </c>
      <c r="C7">
        <f>N('Inputs'!$E$100)</f>
      </c>
      <c r="I7">
        <v>3</v>
      </c>
      <c r="J7">
        <f>IF(I7&lt;$C$6,MAX(0,12*$C$7*(1+$C$8)^I7-K7),0)</f>
      </c>
      <c r="K7">
        <f>SUMPRODUCT(('Inputs'!$G$76:$G$81=$C$2)*($C$2&lt;&gt;"")*'Inputs'!$D$76:$D$81*(1+'Inputs'!$E$76:$E$81/100)^I7*(ABS('Inputs'!$F$76:$F$81-12*I7)-ABS(('Inputs'!$F$76:$F$81-12*I7)-12)+12)/2)+SUMPRODUCT(('Inputs'!$C$114:$C$121=$C$2)*($C$2&lt;&gt;"")*'Inputs'!$D$114:$D$121*(1+'Inputs'!$E$114:$E$121/100)^I7*(((ABS((('Inputs'!$G$114:$G$121&gt;0)*('Inputs'!$F$114:$F$121+'Inputs'!$G$114:$G$121)+('Inputs'!$G$114:$G$121=0)*12*$C$6)-12*I7)-ABS(((('Inputs'!$G$114:$G$121&gt;0)*('Inputs'!$F$114:$F$121+'Inputs'!$G$114:$G$121)+('Inputs'!$G$114:$G$121=0)*12*$C$6)-12*I7)-12)+12)/2-(ABS(('Inputs'!$F$114:$F$121-12*I7))-ABS((('Inputs'!$F$114:$F$121-12*I7))-12)+12)/2)+ABS((ABS((('Inputs'!$G$114:$G$121&gt;0)*('Inputs'!$F$114:$F$121+'Inputs'!$G$114:$G$121)+('Inputs'!$G$114:$G$121=0)*12*$C$6)-12*I7)-ABS(((('Inputs'!$G$114:$G$121&gt;0)*('Inputs'!$F$114:$F$121+'Inputs'!$G$114:$G$121)+('Inputs'!$G$114:$G$121=0)*12*$C$6)-12*I7)-12)+12)/2-(ABS(('Inputs'!$F$114:$F$121-12*I7))-ABS((('Inputs'!$F$114:$F$121-12*I7))-12)+12)/2))/2)</f>
      </c>
      <c r="L7">
        <f>IF(J7&gt;0,1,0)</f>
      </c>
      <c r="P7">
        <f>IF($C$9&lt;&gt;1,0,P6*(1+((1+$C$14)^(1/12)-1))^12-J6/12*(1+((1+$C$14)^(1/12)-1))*(((1+((1+$C$14)^(1/12)-1))^12-1)/((1+((1+$C$14)^(1/12)-1))-1)))</f>
      </c>
      <c r="Q7">
        <f>IF($C$9&lt;&gt;1,0,IFERROR((((1+($C$14+'Inputs'!$H$137/100))^(1/12)-1)-((1+$C$14)^(1/12)-1))*(P7*(((1+((1+$C$14)^(1/12)-1))^12-1)/((1+((1+$C$14)^(1/12)-1))-1))-J7/12/((1+((1+$C$14)^(1/12)-1))-1)*((1+((1+$C$14)^(1/12)-1))*(((1+((1+$C$14)^(1/12)-1))^12-1)/((1+((1+$C$14)^(1/12)-1))-1))-12)),0))</f>
      </c>
    </row>
    <row r="8" spans="2:17" x14ac:dyDescent="0.25">
      <c r="B8" t="s">
        <v>461</v>
      </c>
      <c r="C8">
        <f>IF('Inputs'!$G$100="",'Inputs'!$H$143/100,'Inputs'!$G$100/100)</f>
      </c>
      <c r="I8">
        <v>4</v>
      </c>
      <c r="J8">
        <f>IF(I8&lt;$C$6,MAX(0,12*$C$7*(1+$C$8)^I8-K8),0)</f>
      </c>
      <c r="K8">
        <f>SUMPRODUCT(('Inputs'!$G$76:$G$81=$C$2)*($C$2&lt;&gt;"")*'Inputs'!$D$76:$D$81*(1+'Inputs'!$E$76:$E$81/100)^I8*(ABS('Inputs'!$F$76:$F$81-12*I8)-ABS(('Inputs'!$F$76:$F$81-12*I8)-12)+12)/2)+SUMPRODUCT(('Inputs'!$C$114:$C$121=$C$2)*($C$2&lt;&gt;"")*'Inputs'!$D$114:$D$121*(1+'Inputs'!$E$114:$E$121/100)^I8*(((ABS((('Inputs'!$G$114:$G$121&gt;0)*('Inputs'!$F$114:$F$121+'Inputs'!$G$114:$G$121)+('Inputs'!$G$114:$G$121=0)*12*$C$6)-12*I8)-ABS(((('Inputs'!$G$114:$G$121&gt;0)*('Inputs'!$F$114:$F$121+'Inputs'!$G$114:$G$121)+('Inputs'!$G$114:$G$121=0)*12*$C$6)-12*I8)-12)+12)/2-(ABS(('Inputs'!$F$114:$F$121-12*I8))-ABS((('Inputs'!$F$114:$F$121-12*I8))-12)+12)/2)+ABS((ABS((('Inputs'!$G$114:$G$121&gt;0)*('Inputs'!$F$114:$F$121+'Inputs'!$G$114:$G$121)+('Inputs'!$G$114:$G$121=0)*12*$C$6)-12*I8)-ABS(((('Inputs'!$G$114:$G$121&gt;0)*('Inputs'!$F$114:$F$121+'Inputs'!$G$114:$G$121)+('Inputs'!$G$114:$G$121=0)*12*$C$6)-12*I8)-12)+12)/2-(ABS(('Inputs'!$F$114:$F$121-12*I8))-ABS((('Inputs'!$F$114:$F$121-12*I8))-12)+12)/2))/2)</f>
      </c>
      <c r="L8">
        <f>IF(J8&gt;0,1,0)</f>
      </c>
      <c r="P8">
        <f>IF($C$9&lt;&gt;1,0,P7*(1+((1+$C$14)^(1/12)-1))^12-J7/12*(1+((1+$C$14)^(1/12)-1))*(((1+((1+$C$14)^(1/12)-1))^12-1)/((1+((1+$C$14)^(1/12)-1))-1)))</f>
      </c>
      <c r="Q8">
        <f>IF($C$9&lt;&gt;1,0,IFERROR((((1+($C$14+'Inputs'!$H$137/100))^(1/12)-1)-((1+$C$14)^(1/12)-1))*(P8*(((1+((1+$C$14)^(1/12)-1))^12-1)/((1+((1+$C$14)^(1/12)-1))-1))-J8/12/((1+((1+$C$14)^(1/12)-1))-1)*((1+((1+$C$14)^(1/12)-1))*(((1+((1+$C$14)^(1/12)-1))^12-1)/((1+((1+$C$14)^(1/12)-1))-1))-12)),0))</f>
      </c>
    </row>
    <row r="9" spans="2:17" x14ac:dyDescent="0.25">
      <c r="B9" t="s">
        <v>462</v>
      </c>
      <c r="C9">
        <f>IF('Inputs'!$H$100="Yes",1,0)</f>
      </c>
      <c r="I9">
        <v>5</v>
      </c>
      <c r="J9">
        <f>IF(I9&lt;$C$6,MAX(0,12*$C$7*(1+$C$8)^I9-K9),0)</f>
      </c>
      <c r="K9">
        <f>SUMPRODUCT(('Inputs'!$G$76:$G$81=$C$2)*($C$2&lt;&gt;"")*'Inputs'!$D$76:$D$81*(1+'Inputs'!$E$76:$E$81/100)^I9*(ABS('Inputs'!$F$76:$F$81-12*I9)-ABS(('Inputs'!$F$76:$F$81-12*I9)-12)+12)/2)+SUMPRODUCT(('Inputs'!$C$114:$C$121=$C$2)*($C$2&lt;&gt;"")*'Inputs'!$D$114:$D$121*(1+'Inputs'!$E$114:$E$121/100)^I9*(((ABS((('Inputs'!$G$114:$G$121&gt;0)*('Inputs'!$F$114:$F$121+'Inputs'!$G$114:$G$121)+('Inputs'!$G$114:$G$121=0)*12*$C$6)-12*I9)-ABS(((('Inputs'!$G$114:$G$121&gt;0)*('Inputs'!$F$114:$F$121+'Inputs'!$G$114:$G$121)+('Inputs'!$G$114:$G$121=0)*12*$C$6)-12*I9)-12)+12)/2-(ABS(('Inputs'!$F$114:$F$121-12*I9))-ABS((('Inputs'!$F$114:$F$121-12*I9))-12)+12)/2)+ABS((ABS((('Inputs'!$G$114:$G$121&gt;0)*('Inputs'!$F$114:$F$121+'Inputs'!$G$114:$G$121)+('Inputs'!$G$114:$G$121=0)*12*$C$6)-12*I9)-ABS(((('Inputs'!$G$114:$G$121&gt;0)*('Inputs'!$F$114:$F$121+'Inputs'!$G$114:$G$121)+('Inputs'!$G$114:$G$121=0)*12*$C$6)-12*I9)-12)+12)/2-(ABS(('Inputs'!$F$114:$F$121-12*I9))-ABS((('Inputs'!$F$114:$F$121-12*I9))-12)+12)/2))/2)</f>
      </c>
      <c r="L9">
        <f>IF(J9&gt;0,1,0)</f>
      </c>
      <c r="P9">
        <f>IF($C$9&lt;&gt;1,0,P8*(1+((1+$C$14)^(1/12)-1))^12-J8/12*(1+((1+$C$14)^(1/12)-1))*(((1+((1+$C$14)^(1/12)-1))^12-1)/((1+((1+$C$14)^(1/12)-1))-1)))</f>
      </c>
      <c r="Q9">
        <f>IF($C$9&lt;&gt;1,0,IFERROR((((1+($C$14+'Inputs'!$H$137/100))^(1/12)-1)-((1+$C$14)^(1/12)-1))*(P9*(((1+((1+$C$14)^(1/12)-1))^12-1)/((1+((1+$C$14)^(1/12)-1))-1))-J9/12/((1+((1+$C$14)^(1/12)-1))-1)*((1+((1+$C$14)^(1/12)-1))*(((1+((1+$C$14)^(1/12)-1))^12-1)/((1+((1+$C$14)^(1/12)-1))-1))-12)),0))</f>
      </c>
    </row>
    <row r="10" spans="2:17" x14ac:dyDescent="0.25">
      <c r="B10" t="s">
        <v>463</v>
      </c>
      <c r="C10">
        <f>IF($C$2="",0,N('Inputs'!$J$100))</f>
      </c>
      <c r="I10">
        <v>6</v>
      </c>
      <c r="J10">
        <f>IF(I10&lt;$C$6,MAX(0,12*$C$7*(1+$C$8)^I10-K10),0)</f>
      </c>
      <c r="K10">
        <f>SUMPRODUCT(('Inputs'!$G$76:$G$81=$C$2)*($C$2&lt;&gt;"")*'Inputs'!$D$76:$D$81*(1+'Inputs'!$E$76:$E$81/100)^I10*(ABS('Inputs'!$F$76:$F$81-12*I10)-ABS(('Inputs'!$F$76:$F$81-12*I10)-12)+12)/2)+SUMPRODUCT(('Inputs'!$C$114:$C$121=$C$2)*($C$2&lt;&gt;"")*'Inputs'!$D$114:$D$121*(1+'Inputs'!$E$114:$E$121/100)^I10*(((ABS((('Inputs'!$G$114:$G$121&gt;0)*('Inputs'!$F$114:$F$121+'Inputs'!$G$114:$G$121)+('Inputs'!$G$114:$G$121=0)*12*$C$6)-12*I10)-ABS(((('Inputs'!$G$114:$G$121&gt;0)*('Inputs'!$F$114:$F$121+'Inputs'!$G$114:$G$121)+('Inputs'!$G$114:$G$121=0)*12*$C$6)-12*I10)-12)+12)/2-(ABS(('Inputs'!$F$114:$F$121-12*I10))-ABS((('Inputs'!$F$114:$F$121-12*I10))-12)+12)/2)+ABS((ABS((('Inputs'!$G$114:$G$121&gt;0)*('Inputs'!$F$114:$F$121+'Inputs'!$G$114:$G$121)+('Inputs'!$G$114:$G$121=0)*12*$C$6)-12*I10)-ABS(((('Inputs'!$G$114:$G$121&gt;0)*('Inputs'!$F$114:$F$121+'Inputs'!$G$114:$G$121)+('Inputs'!$G$114:$G$121=0)*12*$C$6)-12*I10)-12)+12)/2-(ABS(('Inputs'!$F$114:$F$121-12*I10))-ABS((('Inputs'!$F$114:$F$121-12*I10))-12)+12)/2))/2)</f>
      </c>
      <c r="L10">
        <f>IF(J10&gt;0,1,0)</f>
      </c>
      <c r="P10">
        <f>IF($C$9&lt;&gt;1,0,P9*(1+((1+$C$14)^(1/12)-1))^12-J9/12*(1+((1+$C$14)^(1/12)-1))*(((1+((1+$C$14)^(1/12)-1))^12-1)/((1+((1+$C$14)^(1/12)-1))-1)))</f>
      </c>
      <c r="Q10">
        <f>IF($C$9&lt;&gt;1,0,IFERROR((((1+($C$14+'Inputs'!$H$137/100))^(1/12)-1)-((1+$C$14)^(1/12)-1))*(P10*(((1+((1+$C$14)^(1/12)-1))^12-1)/((1+((1+$C$14)^(1/12)-1))-1))-J10/12/((1+((1+$C$14)^(1/12)-1))-1)*((1+((1+$C$14)^(1/12)-1))*(((1+((1+$C$14)^(1/12)-1))^12-1)/((1+((1+$C$14)^(1/12)-1))-1))-12)),0))</f>
      </c>
    </row>
    <row r="11" spans="2:17" x14ac:dyDescent="0.25">
      <c r="B11" t="s">
        <v>464</v>
      </c>
      <c r="C11">
        <f>ROUND(Q4,2)</f>
      </c>
      <c r="I11">
        <v>7</v>
      </c>
      <c r="J11">
        <f>IF(I11&lt;$C$6,MAX(0,12*$C$7*(1+$C$8)^I11-K11),0)</f>
      </c>
      <c r="K11">
        <f>SUMPRODUCT(('Inputs'!$G$76:$G$81=$C$2)*($C$2&lt;&gt;"")*'Inputs'!$D$76:$D$81*(1+'Inputs'!$E$76:$E$81/100)^I11*(ABS('Inputs'!$F$76:$F$81-12*I11)-ABS(('Inputs'!$F$76:$F$81-12*I11)-12)+12)/2)+SUMPRODUCT(('Inputs'!$C$114:$C$121=$C$2)*($C$2&lt;&gt;"")*'Inputs'!$D$114:$D$121*(1+'Inputs'!$E$114:$E$121/100)^I11*(((ABS((('Inputs'!$G$114:$G$121&gt;0)*('Inputs'!$F$114:$F$121+'Inputs'!$G$114:$G$121)+('Inputs'!$G$114:$G$121=0)*12*$C$6)-12*I11)-ABS(((('Inputs'!$G$114:$G$121&gt;0)*('Inputs'!$F$114:$F$121+'Inputs'!$G$114:$G$121)+('Inputs'!$G$114:$G$121=0)*12*$C$6)-12*I11)-12)+12)/2-(ABS(('Inputs'!$F$114:$F$121-12*I11))-ABS((('Inputs'!$F$114:$F$121-12*I11))-12)+12)/2)+ABS((ABS((('Inputs'!$G$114:$G$121&gt;0)*('Inputs'!$F$114:$F$121+'Inputs'!$G$114:$G$121)+('Inputs'!$G$114:$G$121=0)*12*$C$6)-12*I11)-ABS(((('Inputs'!$G$114:$G$121&gt;0)*('Inputs'!$F$114:$F$121+'Inputs'!$G$114:$G$121)+('Inputs'!$G$114:$G$121=0)*12*$C$6)-12*I11)-12)+12)/2-(ABS(('Inputs'!$F$114:$F$121-12*I11))-ABS((('Inputs'!$F$114:$F$121-12*I11))-12)+12)/2))/2)</f>
      </c>
      <c r="L11">
        <f>IF(J11&gt;0,1,0)</f>
      </c>
      <c r="P11">
        <f>IF($C$9&lt;&gt;1,0,P10*(1+((1+$C$14)^(1/12)-1))^12-J10/12*(1+((1+$C$14)^(1/12)-1))*(((1+((1+$C$14)^(1/12)-1))^12-1)/((1+((1+$C$14)^(1/12)-1))-1)))</f>
      </c>
      <c r="Q11">
        <f>IF($C$9&lt;&gt;1,0,IFERROR((((1+($C$14+'Inputs'!$H$137/100))^(1/12)-1)-((1+$C$14)^(1/12)-1))*(P11*(((1+((1+$C$14)^(1/12)-1))^12-1)/((1+((1+$C$14)^(1/12)-1))-1))-J11/12/((1+((1+$C$14)^(1/12)-1))-1)*((1+((1+$C$14)^(1/12)-1))*(((1+((1+$C$14)^(1/12)-1))^12-1)/((1+((1+$C$14)^(1/12)-1))-1))-12)),0))</f>
      </c>
    </row>
    <row r="12" spans="2:17" x14ac:dyDescent="0.25">
      <c r="B12" t="s">
        <v>465</v>
      </c>
      <c r="C12">
        <f>ROUND(SUM($Q$4:$Q$53),2)</f>
      </c>
      <c r="I12">
        <v>8</v>
      </c>
      <c r="J12">
        <f>IF(I12&lt;$C$6,MAX(0,12*$C$7*(1+$C$8)^I12-K12),0)</f>
      </c>
      <c r="K12">
        <f>SUMPRODUCT(('Inputs'!$G$76:$G$81=$C$2)*($C$2&lt;&gt;"")*'Inputs'!$D$76:$D$81*(1+'Inputs'!$E$76:$E$81/100)^I12*(ABS('Inputs'!$F$76:$F$81-12*I12)-ABS(('Inputs'!$F$76:$F$81-12*I12)-12)+12)/2)+SUMPRODUCT(('Inputs'!$C$114:$C$121=$C$2)*($C$2&lt;&gt;"")*'Inputs'!$D$114:$D$121*(1+'Inputs'!$E$114:$E$121/100)^I12*(((ABS((('Inputs'!$G$114:$G$121&gt;0)*('Inputs'!$F$114:$F$121+'Inputs'!$G$114:$G$121)+('Inputs'!$G$114:$G$121=0)*12*$C$6)-12*I12)-ABS(((('Inputs'!$G$114:$G$121&gt;0)*('Inputs'!$F$114:$F$121+'Inputs'!$G$114:$G$121)+('Inputs'!$G$114:$G$121=0)*12*$C$6)-12*I12)-12)+12)/2-(ABS(('Inputs'!$F$114:$F$121-12*I12))-ABS((('Inputs'!$F$114:$F$121-12*I12))-12)+12)/2)+ABS((ABS((('Inputs'!$G$114:$G$121&gt;0)*('Inputs'!$F$114:$F$121+'Inputs'!$G$114:$G$121)+('Inputs'!$G$114:$G$121=0)*12*$C$6)-12*I12)-ABS(((('Inputs'!$G$114:$G$121&gt;0)*('Inputs'!$F$114:$F$121+'Inputs'!$G$114:$G$121)+('Inputs'!$G$114:$G$121=0)*12*$C$6)-12*I12)-12)+12)/2-(ABS(('Inputs'!$F$114:$F$121-12*I12))-ABS((('Inputs'!$F$114:$F$121-12*I12))-12)+12)/2))/2)</f>
      </c>
      <c r="L12">
        <f>IF(J12&gt;0,1,0)</f>
      </c>
      <c r="P12">
        <f>IF($C$9&lt;&gt;1,0,P11*(1+((1+$C$14)^(1/12)-1))^12-J11/12*(1+((1+$C$14)^(1/12)-1))*(((1+((1+$C$14)^(1/12)-1))^12-1)/((1+((1+$C$14)^(1/12)-1))-1)))</f>
      </c>
      <c r="Q12">
        <f>IF($C$9&lt;&gt;1,0,IFERROR((((1+($C$14+'Inputs'!$H$137/100))^(1/12)-1)-((1+$C$14)^(1/12)-1))*(P12*(((1+((1+$C$14)^(1/12)-1))^12-1)/((1+((1+$C$14)^(1/12)-1))-1))-J12/12/((1+((1+$C$14)^(1/12)-1))-1)*((1+((1+$C$14)^(1/12)-1))*(((1+((1+$C$14)^(1/12)-1))^12-1)/((1+((1+$C$14)^(1/12)-1))-1))-12)),0))</f>
      </c>
    </row>
    <row r="13" spans="2:17" x14ac:dyDescent="0.25">
      <c r="B13" t="s">
        <v>466</v>
      </c>
      <c r="C13">
        <f>IF($C$9&lt;&gt;1,0,ROUND(IF($C$14=0,SUM($J$4:$J$53),(1-(1+$C$14)^-1)/(1-(1+$C$14)^(-1/12))/12*SUMPRODUCT($J$4:$J$53,(1+$C$14)^(-$I$4:$I$53)))-IF(($C$14+'Inputs'!$H$137/100)=0,SUM($J$4:$J$53),(1-(1+($C$14+'Inputs'!$H$137/100))^-1)/(1-(1+($C$14+'Inputs'!$H$137/100))^(-1/12))/12*SUMPRODUCT($J$4:$J$53,(1+($C$14+'Inputs'!$H$137/100))^(-$I$4:$I$53))),2))</f>
      </c>
      <c r="I13">
        <v>9</v>
      </c>
      <c r="J13">
        <f>IF(I13&lt;$C$6,MAX(0,12*$C$7*(1+$C$8)^I13-K13),0)</f>
      </c>
      <c r="K13">
        <f>SUMPRODUCT(('Inputs'!$G$76:$G$81=$C$2)*($C$2&lt;&gt;"")*'Inputs'!$D$76:$D$81*(1+'Inputs'!$E$76:$E$81/100)^I13*(ABS('Inputs'!$F$76:$F$81-12*I13)-ABS(('Inputs'!$F$76:$F$81-12*I13)-12)+12)/2)+SUMPRODUCT(('Inputs'!$C$114:$C$121=$C$2)*($C$2&lt;&gt;"")*'Inputs'!$D$114:$D$121*(1+'Inputs'!$E$114:$E$121/100)^I13*(((ABS((('Inputs'!$G$114:$G$121&gt;0)*('Inputs'!$F$114:$F$121+'Inputs'!$G$114:$G$121)+('Inputs'!$G$114:$G$121=0)*12*$C$6)-12*I13)-ABS(((('Inputs'!$G$114:$G$121&gt;0)*('Inputs'!$F$114:$F$121+'Inputs'!$G$114:$G$121)+('Inputs'!$G$114:$G$121=0)*12*$C$6)-12*I13)-12)+12)/2-(ABS(('Inputs'!$F$114:$F$121-12*I13))-ABS((('Inputs'!$F$114:$F$121-12*I13))-12)+12)/2)+ABS((ABS((('Inputs'!$G$114:$G$121&gt;0)*('Inputs'!$F$114:$F$121+'Inputs'!$G$114:$G$121)+('Inputs'!$G$114:$G$121=0)*12*$C$6)-12*I13)-ABS(((('Inputs'!$G$114:$G$121&gt;0)*('Inputs'!$F$114:$F$121+'Inputs'!$G$114:$G$121)+('Inputs'!$G$114:$G$121=0)*12*$C$6)-12*I13)-12)+12)/2-(ABS(('Inputs'!$F$114:$F$121-12*I13))-ABS((('Inputs'!$F$114:$F$121-12*I13))-12)+12)/2))/2)</f>
      </c>
      <c r="L13">
        <f>IF(J13&gt;0,1,0)</f>
      </c>
      <c r="P13">
        <f>IF($C$9&lt;&gt;1,0,P12*(1+((1+$C$14)^(1/12)-1))^12-J12/12*(1+((1+$C$14)^(1/12)-1))*(((1+((1+$C$14)^(1/12)-1))^12-1)/((1+((1+$C$14)^(1/12)-1))-1)))</f>
      </c>
      <c r="Q13">
        <f>IF($C$9&lt;&gt;1,0,IFERROR((((1+($C$14+'Inputs'!$H$137/100))^(1/12)-1)-((1+$C$14)^(1/12)-1))*(P13*(((1+((1+$C$14)^(1/12)-1))^12-1)/((1+((1+$C$14)^(1/12)-1))-1))-J13/12/((1+((1+$C$14)^(1/12)-1))-1)*((1+((1+$C$14)^(1/12)-1))*(((1+((1+$C$14)^(1/12)-1))^12-1)/((1+((1+$C$14)^(1/12)-1))-1))-12)),0))</f>
      </c>
    </row>
    <row r="14" spans="2:17" x14ac:dyDescent="0.25">
      <c r="B14" t="s">
        <v>467</v>
      </c>
      <c r="C14">
        <f>IF($C$9=1,'Needs calc'!$C$43,0)</f>
      </c>
      <c r="I14">
        <v>10</v>
      </c>
      <c r="J14">
        <f>IF(I14&lt;$C$6,MAX(0,12*$C$7*(1+$C$8)^I14-K14),0)</f>
      </c>
      <c r="K14">
        <f>SUMPRODUCT(('Inputs'!$G$76:$G$81=$C$2)*($C$2&lt;&gt;"")*'Inputs'!$D$76:$D$81*(1+'Inputs'!$E$76:$E$81/100)^I14*(ABS('Inputs'!$F$76:$F$81-12*I14)-ABS(('Inputs'!$F$76:$F$81-12*I14)-12)+12)/2)+SUMPRODUCT(('Inputs'!$C$114:$C$121=$C$2)*($C$2&lt;&gt;"")*'Inputs'!$D$114:$D$121*(1+'Inputs'!$E$114:$E$121/100)^I14*(((ABS((('Inputs'!$G$114:$G$121&gt;0)*('Inputs'!$F$114:$F$121+'Inputs'!$G$114:$G$121)+('Inputs'!$G$114:$G$121=0)*12*$C$6)-12*I14)-ABS(((('Inputs'!$G$114:$G$121&gt;0)*('Inputs'!$F$114:$F$121+'Inputs'!$G$114:$G$121)+('Inputs'!$G$114:$G$121=0)*12*$C$6)-12*I14)-12)+12)/2-(ABS(('Inputs'!$F$114:$F$121-12*I14))-ABS((('Inputs'!$F$114:$F$121-12*I14))-12)+12)/2)+ABS((ABS((('Inputs'!$G$114:$G$121&gt;0)*('Inputs'!$F$114:$F$121+'Inputs'!$G$114:$G$121)+('Inputs'!$G$114:$G$121=0)*12*$C$6)-12*I14)-ABS(((('Inputs'!$G$114:$G$121&gt;0)*('Inputs'!$F$114:$F$121+'Inputs'!$G$114:$G$121)+('Inputs'!$G$114:$G$121=0)*12*$C$6)-12*I14)-12)+12)/2-(ABS(('Inputs'!$F$114:$F$121-12*I14))-ABS((('Inputs'!$F$114:$F$121-12*I14))-12)+12)/2))/2)</f>
      </c>
      <c r="L14">
        <f>IF(J14&gt;0,1,0)</f>
      </c>
      <c r="P14">
        <f>IF($C$9&lt;&gt;1,0,P13*(1+((1+$C$14)^(1/12)-1))^12-J13/12*(1+((1+$C$14)^(1/12)-1))*(((1+((1+$C$14)^(1/12)-1))^12-1)/((1+((1+$C$14)^(1/12)-1))-1)))</f>
      </c>
      <c r="Q14">
        <f>IF($C$9&lt;&gt;1,0,IFERROR((((1+($C$14+'Inputs'!$H$137/100))^(1/12)-1)-((1+$C$14)^(1/12)-1))*(P14*(((1+((1+$C$14)^(1/12)-1))^12-1)/((1+((1+$C$14)^(1/12)-1))-1))-J14/12/((1+((1+$C$14)^(1/12)-1))-1)*((1+((1+$C$14)^(1/12)-1))*(((1+((1+$C$14)^(1/12)-1))^12-1)/((1+((1+$C$14)^(1/12)-1))-1))-12)),0))</f>
      </c>
    </row>
    <row r="15" spans="2:17" x14ac:dyDescent="0.25">
      <c r="B15" t="s">
        <v>468</v>
      </c>
      <c r="C15">
        <f>SUMPRODUCT(('Inputs'!$G$76:$G$81=$C$2)*($C$2&lt;&gt;"")*('Inputs'!$F$76:$F$81&gt;0)*'Inputs'!$D$76:$D$81)</f>
      </c>
      <c r="I15">
        <v>11</v>
      </c>
      <c r="J15">
        <f>IF(I15&lt;$C$6,MAX(0,12*$C$7*(1+$C$8)^I15-K15),0)</f>
      </c>
      <c r="K15">
        <f>SUMPRODUCT(('Inputs'!$G$76:$G$81=$C$2)*($C$2&lt;&gt;"")*'Inputs'!$D$76:$D$81*(1+'Inputs'!$E$76:$E$81/100)^I15*(ABS('Inputs'!$F$76:$F$81-12*I15)-ABS(('Inputs'!$F$76:$F$81-12*I15)-12)+12)/2)+SUMPRODUCT(('Inputs'!$C$114:$C$121=$C$2)*($C$2&lt;&gt;"")*'Inputs'!$D$114:$D$121*(1+'Inputs'!$E$114:$E$121/100)^I15*(((ABS((('Inputs'!$G$114:$G$121&gt;0)*('Inputs'!$F$114:$F$121+'Inputs'!$G$114:$G$121)+('Inputs'!$G$114:$G$121=0)*12*$C$6)-12*I15)-ABS(((('Inputs'!$G$114:$G$121&gt;0)*('Inputs'!$F$114:$F$121+'Inputs'!$G$114:$G$121)+('Inputs'!$G$114:$G$121=0)*12*$C$6)-12*I15)-12)+12)/2-(ABS(('Inputs'!$F$114:$F$121-12*I15))-ABS((('Inputs'!$F$114:$F$121-12*I15))-12)+12)/2)+ABS((ABS((('Inputs'!$G$114:$G$121&gt;0)*('Inputs'!$F$114:$F$121+'Inputs'!$G$114:$G$121)+('Inputs'!$G$114:$G$121=0)*12*$C$6)-12*I15)-ABS(((('Inputs'!$G$114:$G$121&gt;0)*('Inputs'!$F$114:$F$121+'Inputs'!$G$114:$G$121)+('Inputs'!$G$114:$G$121=0)*12*$C$6)-12*I15)-12)+12)/2-(ABS(('Inputs'!$F$114:$F$121-12*I15))-ABS((('Inputs'!$F$114:$F$121-12*I15))-12)+12)/2))/2)</f>
      </c>
      <c r="L15">
        <f>IF(J15&gt;0,1,0)</f>
      </c>
      <c r="P15">
        <f>IF($C$9&lt;&gt;1,0,P14*(1+((1+$C$14)^(1/12)-1))^12-J14/12*(1+((1+$C$14)^(1/12)-1))*(((1+((1+$C$14)^(1/12)-1))^12-1)/((1+((1+$C$14)^(1/12)-1))-1)))</f>
      </c>
      <c r="Q15">
        <f>IF($C$9&lt;&gt;1,0,IFERROR((((1+($C$14+'Inputs'!$H$137/100))^(1/12)-1)-((1+$C$14)^(1/12)-1))*(P15*(((1+((1+$C$14)^(1/12)-1))^12-1)/((1+((1+$C$14)^(1/12)-1))-1))-J15/12/((1+((1+$C$14)^(1/12)-1))-1)*((1+((1+$C$14)^(1/12)-1))*(((1+((1+$C$14)^(1/12)-1))^12-1)/((1+((1+$C$14)^(1/12)-1))-1))-12)),0))</f>
      </c>
    </row>
    <row r="16" spans="2:17" x14ac:dyDescent="0.25">
      <c r="B16" t="s">
        <v>469</v>
      </c>
      <c r="C16">
        <f>IF($C$6&gt;0,$C$7-J4/12,0)</f>
      </c>
      <c r="I16">
        <v>12</v>
      </c>
      <c r="J16">
        <f>IF(I16&lt;$C$6,MAX(0,12*$C$7*(1+$C$8)^I16-K16),0)</f>
      </c>
      <c r="K16">
        <f>SUMPRODUCT(('Inputs'!$G$76:$G$81=$C$2)*($C$2&lt;&gt;"")*'Inputs'!$D$76:$D$81*(1+'Inputs'!$E$76:$E$81/100)^I16*(ABS('Inputs'!$F$76:$F$81-12*I16)-ABS(('Inputs'!$F$76:$F$81-12*I16)-12)+12)/2)+SUMPRODUCT(('Inputs'!$C$114:$C$121=$C$2)*($C$2&lt;&gt;"")*'Inputs'!$D$114:$D$121*(1+'Inputs'!$E$114:$E$121/100)^I16*(((ABS((('Inputs'!$G$114:$G$121&gt;0)*('Inputs'!$F$114:$F$121+'Inputs'!$G$114:$G$121)+('Inputs'!$G$114:$G$121=0)*12*$C$6)-12*I16)-ABS(((('Inputs'!$G$114:$G$121&gt;0)*('Inputs'!$F$114:$F$121+'Inputs'!$G$114:$G$121)+('Inputs'!$G$114:$G$121=0)*12*$C$6)-12*I16)-12)+12)/2-(ABS(('Inputs'!$F$114:$F$121-12*I16))-ABS((('Inputs'!$F$114:$F$121-12*I16))-12)+12)/2)+ABS((ABS((('Inputs'!$G$114:$G$121&gt;0)*('Inputs'!$F$114:$F$121+'Inputs'!$G$114:$G$121)+('Inputs'!$G$114:$G$121=0)*12*$C$6)-12*I16)-ABS(((('Inputs'!$G$114:$G$121&gt;0)*('Inputs'!$F$114:$F$121+'Inputs'!$G$114:$G$121)+('Inputs'!$G$114:$G$121=0)*12*$C$6)-12*I16)-12)+12)/2-(ABS(('Inputs'!$F$114:$F$121-12*I16))-ABS((('Inputs'!$F$114:$F$121-12*I16))-12)+12)/2))/2)</f>
      </c>
      <c r="L16">
        <f>IF(J16&gt;0,1,0)</f>
      </c>
      <c r="P16">
        <f>IF($C$9&lt;&gt;1,0,P15*(1+((1+$C$14)^(1/12)-1))^12-J15/12*(1+((1+$C$14)^(1/12)-1))*(((1+((1+$C$14)^(1/12)-1))^12-1)/((1+((1+$C$14)^(1/12)-1))-1)))</f>
      </c>
      <c r="Q16">
        <f>IF($C$9&lt;&gt;1,0,IFERROR((((1+($C$14+'Inputs'!$H$137/100))^(1/12)-1)-((1+$C$14)^(1/12)-1))*(P16*(((1+((1+$C$14)^(1/12)-1))^12-1)/((1+((1+$C$14)^(1/12)-1))-1))-J16/12/((1+((1+$C$14)^(1/12)-1))-1)*((1+((1+$C$14)^(1/12)-1))*(((1+((1+$C$14)^(1/12)-1))^12-1)/((1+((1+$C$14)^(1/12)-1))-1))-12)),0))</f>
      </c>
    </row>
    <row r="17" spans="2:17" x14ac:dyDescent="0.25">
      <c r="B17" t="s">
        <v>470</v>
      </c>
      <c r="C17">
        <f>SUMPRODUCT(MAX(('Inputs'!$G$76:$G$81=$C$2)*($C$2&lt;&gt;"")*'Inputs'!$F$76:$F$81))</f>
      </c>
      <c r="I17">
        <v>13</v>
      </c>
      <c r="J17">
        <f>IF(I17&lt;$C$6,MAX(0,12*$C$7*(1+$C$8)^I17-K17),0)</f>
      </c>
      <c r="K17">
        <f>SUMPRODUCT(('Inputs'!$G$76:$G$81=$C$2)*($C$2&lt;&gt;"")*'Inputs'!$D$76:$D$81*(1+'Inputs'!$E$76:$E$81/100)^I17*(ABS('Inputs'!$F$76:$F$81-12*I17)-ABS(('Inputs'!$F$76:$F$81-12*I17)-12)+12)/2)+SUMPRODUCT(('Inputs'!$C$114:$C$121=$C$2)*($C$2&lt;&gt;"")*'Inputs'!$D$114:$D$121*(1+'Inputs'!$E$114:$E$121/100)^I17*(((ABS((('Inputs'!$G$114:$G$121&gt;0)*('Inputs'!$F$114:$F$121+'Inputs'!$G$114:$G$121)+('Inputs'!$G$114:$G$121=0)*12*$C$6)-12*I17)-ABS(((('Inputs'!$G$114:$G$121&gt;0)*('Inputs'!$F$114:$F$121+'Inputs'!$G$114:$G$121)+('Inputs'!$G$114:$G$121=0)*12*$C$6)-12*I17)-12)+12)/2-(ABS(('Inputs'!$F$114:$F$121-12*I17))-ABS((('Inputs'!$F$114:$F$121-12*I17))-12)+12)/2)+ABS((ABS((('Inputs'!$G$114:$G$121&gt;0)*('Inputs'!$F$114:$F$121+'Inputs'!$G$114:$G$121)+('Inputs'!$G$114:$G$121=0)*12*$C$6)-12*I17)-ABS(((('Inputs'!$G$114:$G$121&gt;0)*('Inputs'!$F$114:$F$121+'Inputs'!$G$114:$G$121)+('Inputs'!$G$114:$G$121=0)*12*$C$6)-12*I17)-12)+12)/2-(ABS(('Inputs'!$F$114:$F$121-12*I17))-ABS((('Inputs'!$F$114:$F$121-12*I17))-12)+12)/2))/2)</f>
      </c>
      <c r="L17">
        <f>IF(J17&gt;0,1,0)</f>
      </c>
      <c r="P17">
        <f>IF($C$9&lt;&gt;1,0,P16*(1+((1+$C$14)^(1/12)-1))^12-J16/12*(1+((1+$C$14)^(1/12)-1))*(((1+((1+$C$14)^(1/12)-1))^12-1)/((1+((1+$C$14)^(1/12)-1))-1)))</f>
      </c>
      <c r="Q17">
        <f>IF($C$9&lt;&gt;1,0,IFERROR((((1+($C$14+'Inputs'!$H$137/100))^(1/12)-1)-((1+$C$14)^(1/12)-1))*(P17*(((1+((1+$C$14)^(1/12)-1))^12-1)/((1+((1+$C$14)^(1/12)-1))-1))-J17/12/((1+((1+$C$14)^(1/12)-1))-1)*((1+((1+$C$14)^(1/12)-1))*(((1+((1+$C$14)^(1/12)-1))^12-1)/((1+((1+$C$14)^(1/12)-1))-1))-12)),0))</f>
      </c>
    </row>
    <row r="18" spans="2:17" x14ac:dyDescent="0.25">
      <c r="B18" t="s">
        <v>471</v>
      </c>
      <c r="C18">
        <f>SUM($J$4:$J$53)</f>
      </c>
      <c r="I18">
        <v>14</v>
      </c>
      <c r="J18">
        <f>IF(I18&lt;$C$6,MAX(0,12*$C$7*(1+$C$8)^I18-K18),0)</f>
      </c>
      <c r="K18">
        <f>SUMPRODUCT(('Inputs'!$G$76:$G$81=$C$2)*($C$2&lt;&gt;"")*'Inputs'!$D$76:$D$81*(1+'Inputs'!$E$76:$E$81/100)^I18*(ABS('Inputs'!$F$76:$F$81-12*I18)-ABS(('Inputs'!$F$76:$F$81-12*I18)-12)+12)/2)+SUMPRODUCT(('Inputs'!$C$114:$C$121=$C$2)*($C$2&lt;&gt;"")*'Inputs'!$D$114:$D$121*(1+'Inputs'!$E$114:$E$121/100)^I18*(((ABS((('Inputs'!$G$114:$G$121&gt;0)*('Inputs'!$F$114:$F$121+'Inputs'!$G$114:$G$121)+('Inputs'!$G$114:$G$121=0)*12*$C$6)-12*I18)-ABS(((('Inputs'!$G$114:$G$121&gt;0)*('Inputs'!$F$114:$F$121+'Inputs'!$G$114:$G$121)+('Inputs'!$G$114:$G$121=0)*12*$C$6)-12*I18)-12)+12)/2-(ABS(('Inputs'!$F$114:$F$121-12*I18))-ABS((('Inputs'!$F$114:$F$121-12*I18))-12)+12)/2)+ABS((ABS((('Inputs'!$G$114:$G$121&gt;0)*('Inputs'!$F$114:$F$121+'Inputs'!$G$114:$G$121)+('Inputs'!$G$114:$G$121=0)*12*$C$6)-12*I18)-ABS(((('Inputs'!$G$114:$G$121&gt;0)*('Inputs'!$F$114:$F$121+'Inputs'!$G$114:$G$121)+('Inputs'!$G$114:$G$121=0)*12*$C$6)-12*I18)-12)+12)/2-(ABS(('Inputs'!$F$114:$F$121-12*I18))-ABS((('Inputs'!$F$114:$F$121-12*I18))-12)+12)/2))/2)</f>
      </c>
      <c r="L18">
        <f>IF(J18&gt;0,1,0)</f>
      </c>
      <c r="P18">
        <f>IF($C$9&lt;&gt;1,0,P17*(1+((1+$C$14)^(1/12)-1))^12-J17/12*(1+((1+$C$14)^(1/12)-1))*(((1+((1+$C$14)^(1/12)-1))^12-1)/((1+((1+$C$14)^(1/12)-1))-1)))</f>
      </c>
      <c r="Q18">
        <f>IF($C$9&lt;&gt;1,0,IFERROR((((1+($C$14+'Inputs'!$H$137/100))^(1/12)-1)-((1+$C$14)^(1/12)-1))*(P18*(((1+((1+$C$14)^(1/12)-1))^12-1)/((1+((1+$C$14)^(1/12)-1))-1))-J18/12/((1+((1+$C$14)^(1/12)-1))-1)*((1+((1+$C$14)^(1/12)-1))*(((1+((1+$C$14)^(1/12)-1))^12-1)/((1+((1+$C$14)^(1/12)-1))-1))-12)),0))</f>
      </c>
    </row>
    <row r="19" spans="2:17" x14ac:dyDescent="0.25">
      <c r="B19" t="s">
        <v>472</v>
      </c>
      <c r="C19">
        <f>IF('Needs calc'!$C$45&gt;0,IF('Inputs'!$O$100*SUM('Inputs'!$U$100:$U$105)&gt;0,IF('Needs calc'!$C$40&gt;='Needs calc'!$C$48,'Inputs'!$B$100&amp;IF(SUM('Inputs'!$U$100:$U$105)=1," and "&amp;IF('Inputs'!$U$100=1,'Inputs'!$B$100,"")&amp;IF('Inputs'!$U$101=1,'Inputs'!$B$101,"")&amp;IF('Inputs'!$U$102=1,'Inputs'!$B$102,"")&amp;IF('Inputs'!$U$103=1,'Inputs'!$B$103,"")&amp;IF('Inputs'!$U$104=1,'Inputs'!$B$104,"")&amp;IF('Inputs'!$U$105=1,'Inputs'!$B$105,"")," and the children")&amp;" would have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you want for them"&amp;IF(('Needs calc'!$C$48-(IF(AND('Inputs'!$C$108="The spouse, from what they receive",SUM('Inputs'!$O$100:$O$105)&gt;0,OR(LEFT('Inputs'!$C$13,7)="Married",'Inputs'!$C$13="Life partner",'Inputs'!$C$13="Civil Union")),1,0)*MAX(0,'Needs calc'!$C$27)))&gt;0,", after the R "&amp;FIXED(ROUND(('Needs calc'!$C$48-(IF(AND('Inputs'!$C$108="The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"&amp;'Inputs'!$B$100&amp;" pays the R "&amp;FIXED(ROUND((IF(AND('Inputs'!$C$108="The spouse, from what they receive",SUM('Inputs'!$O$100:$O$105)&gt;0,OR(LEFT('Inputs'!$C$13,7)="Married",'Inputs'!$C$13="Life partner",'Inputs'!$C$13="Civil Union")),1,0)*MAX(0,'Needs calc'!$C$27)),-3),0)&amp;" your estate needs","")&amp;". ",'Inputs'!$B$100&amp;IF(SUM('Inputs'!$U$100:$U$105)=1," and "&amp;IF('Inputs'!$U$100=1,'Inputs'!$B$100,"")&amp;IF('Inputs'!$U$101=1,'Inputs'!$B$101,"")&amp;IF('Inputs'!$U$102=1,'Inputs'!$B$102,"")&amp;IF('Inputs'!$U$103=1,'Inputs'!$B$103,"")&amp;IF('Inputs'!$U$104=1,'Inputs'!$B$104,"")&amp;IF('Inputs'!$U$105=1,'Inputs'!$B$105,"")," and the children")&amp;" would have "&amp;IF('Needs calc'!$C$40&lt;=0,"nothing","about R "&amp;FIXED(ROUND('Needs calc'!$C$40,-3),0))&amp;" of the R "&amp;FIXED(ROUND('Needs calc'!$C$48,-3),0)&amp;"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"),IF(N('Inputs'!$E$100)&gt;0,IF('Needs years'!$C$15+'Needs years'!$C$22&lt;=0,IF('Needs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"&amp;'Needs years'!$C$24&amp;" covers the R "&amp;FIXED(ROUND('Inputs'!$E$100,-2),0)&amp;" a month you want"&amp;", but "&amp;'Inputs'!$B$100&amp;" would have "&amp;IF('Needs calc'!$C$40&lt;=0,"nothing","about R "&amp;FIXED(ROUND('Needs calc'!$C$40,-3),0))&amp;" of the R "&amp;FIXED(ROUND('Needs years'!$C$10,-3),0)&amp;" once-off you want for them. ",IF('Needs years'!$C$21&gt;0,'Inputs'!$B$100&amp;"'s "&amp;'Needs years'!$C$24&amp;" covers the R "&amp;FIXED(ROUND('Inputs'!$E$100,-2),0)&amp;" a month you want"&amp;", but the estate duty on it, about R "&amp;FIXED(ROUND('Needs years'!$C$21,-3),0)&amp;", leaves "&amp;'Inputs'!$B$100&amp;" short. ",'Inputs'!$B$100&amp;"'s "&amp;'Needs years'!$C$24&amp;" covers the R "&amp;FIXED(ROUND('Inputs'!$E$100,-2),0)&amp;" a month you want"&amp;", but "&amp;'Inputs'!$B$100&amp;" is still short of what you want for them. ")),IF('Needs years'!$J$4&lt;=0,'Inputs'!$B$100&amp;"'s "&amp;'Needs years'!$C$24&amp;"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"&amp;'Needs years'!$C$24&amp;", and less once it stops. ",IF('Needs calc'!$C$40&gt;='Needs years'!$C$10,'Inputs'!$B$100&amp;" would have about R "&amp;FIXED(ROUND('Needs calc'!$C$46,-2),0)&amp;" a month of the R "&amp;FIXED(ROUND('Inputs'!$E$100,-2),0)&amp;" you want, part of it from the "&amp;'Needs years'!$C$24&amp;",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"&amp;'Needs years'!$C$24&amp;",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SUMPRODUCT(('Inputs'!$C$114:$C$121=$C$2)*($C$2&lt;&gt;"")*'Inputs'!$D$114:$D$121*(1+'Inputs'!$E$114:$E$121/100)^I19*(((ABS((('Inputs'!$G$114:$G$121&gt;0)*('Inputs'!$F$114:$F$121+'Inputs'!$G$114:$G$121)+('Inputs'!$G$114:$G$121=0)*12*$C$6)-12*I19)-ABS(((('Inputs'!$G$114:$G$121&gt;0)*('Inputs'!$F$114:$F$121+'Inputs'!$G$114:$G$121)+('Inputs'!$G$114:$G$121=0)*12*$C$6)-12*I19)-12)+12)/2-(ABS(('Inputs'!$F$114:$F$121-12*I19))-ABS((('Inputs'!$F$114:$F$121-12*I19))-12)+12)/2)+ABS((ABS((('Inputs'!$G$114:$G$121&gt;0)*('Inputs'!$F$114:$F$121+'Inputs'!$G$114:$G$121)+('Inputs'!$G$114:$G$121=0)*12*$C$6)-12*I19)-ABS(((('Inputs'!$G$114:$G$121&gt;0)*('Inputs'!$F$114:$F$121+'Inputs'!$G$114:$G$121)+('Inputs'!$G$114:$G$121=0)*12*$C$6)-12*I19)-12)+12)/2-(ABS(('Inputs'!$F$114:$F$121-12*I19))-ABS((('Inputs'!$F$114:$F$121-12*I19))-12)+12)/2))/2)</f>
      </c>
      <c r="L19">
        <f>IF(J19&gt;0,1,0)</f>
      </c>
      <c r="P19">
        <f>IF($C$9&lt;&gt;1,0,P18*(1+((1+$C$14)^(1/12)-1))^12-J18/12*(1+((1+$C$14)^(1/12)-1))*(((1+((1+$C$14)^(1/12)-1))^12-1)/((1+((1+$C$14)^(1/12)-1))-1)))</f>
      </c>
      <c r="Q19">
        <f>IF($C$9&lt;&gt;1,0,IFERROR((((1+($C$14+'Inputs'!$H$137/100))^(1/12)-1)-((1+$C$14)^(1/12)-1))*(P19*(((1+((1+$C$14)^(1/12)-1))^12-1)/((1+((1+$C$14)^(1/12)-1))-1))-J19/12/((1+((1+$C$14)^(1/12)-1))-1)*((1+((1+$C$14)^(1/12)-1))*(((1+((1+$C$14)^(1/12)-1))^12-1)/((1+((1+$C$14)^(1/12)-1))-1))-12)),0))</f>
      </c>
    </row>
    <row r="20" spans="2:17" x14ac:dyDescent="0.25">
      <c r="B20" t="s">
        <v>473</v>
      </c>
      <c r="C20">
        <f>IFERROR(MATCH(1,$L$4:$L$53,0)-1,$C$6)</f>
      </c>
      <c r="I20">
        <v>16</v>
      </c>
      <c r="J20">
        <f>IF(I20&lt;$C$6,MAX(0,12*$C$7*(1+$C$8)^I20-K20),0)</f>
      </c>
      <c r="K20">
        <f>SUMPRODUCT(('Inputs'!$G$76:$G$81=$C$2)*($C$2&lt;&gt;"")*'Inputs'!$D$76:$D$81*(1+'Inputs'!$E$76:$E$81/100)^I20*(ABS('Inputs'!$F$76:$F$81-12*I20)-ABS(('Inputs'!$F$76:$F$81-12*I20)-12)+12)/2)+SUMPRODUCT(('Inputs'!$C$114:$C$121=$C$2)*($C$2&lt;&gt;"")*'Inputs'!$D$114:$D$121*(1+'Inputs'!$E$114:$E$121/100)^I20*(((ABS((('Inputs'!$G$114:$G$121&gt;0)*('Inputs'!$F$114:$F$121+'Inputs'!$G$114:$G$121)+('Inputs'!$G$114:$G$121=0)*12*$C$6)-12*I20)-ABS(((('Inputs'!$G$114:$G$121&gt;0)*('Inputs'!$F$114:$F$121+'Inputs'!$G$114:$G$121)+('Inputs'!$G$114:$G$121=0)*12*$C$6)-12*I20)-12)+12)/2-(ABS(('Inputs'!$F$114:$F$121-12*I20))-ABS((('Inputs'!$F$114:$F$121-12*I20))-12)+12)/2)+ABS((ABS((('Inputs'!$G$114:$G$121&gt;0)*('Inputs'!$F$114:$F$121+'Inputs'!$G$114:$G$121)+('Inputs'!$G$114:$G$121=0)*12*$C$6)-12*I20)-ABS(((('Inputs'!$G$114:$G$121&gt;0)*('Inputs'!$F$114:$F$121+'Inputs'!$G$114:$G$121)+('Inputs'!$G$114:$G$121=0)*12*$C$6)-12*I20)-12)+12)/2-(ABS(('Inputs'!$F$114:$F$121-12*I20))-ABS((('Inputs'!$F$114:$F$121-12*I20))-12)+12)/2))/2)</f>
      </c>
      <c r="L20">
        <f>IF(J20&gt;0,1,0)</f>
      </c>
      <c r="P20">
        <f>IF($C$9&lt;&gt;1,0,P19*(1+((1+$C$14)^(1/12)-1))^12-J19/12*(1+((1+$C$14)^(1/12)-1))*(((1+((1+$C$14)^(1/12)-1))^12-1)/((1+((1+$C$14)^(1/12)-1))-1)))</f>
      </c>
      <c r="Q20">
        <f>IF($C$9&lt;&gt;1,0,IFERROR((((1+($C$14+'Inputs'!$H$137/100))^(1/12)-1)-((1+$C$14)^(1/12)-1))*(P20*(((1+((1+$C$14)^(1/12)-1))^12-1)/((1+((1+$C$14)^(1/12)-1))-1))-J20/12/((1+((1+$C$14)^(1/12)-1))-1)*((1+((1+$C$14)^(1/12)-1))*(((1+((1+$C$14)^(1/12)-1))^12-1)/((1+((1+$C$14)^(1/12)-1))-1))-12)),0))</f>
      </c>
    </row>
    <row r="21" spans="2:17" x14ac:dyDescent="0.25">
      <c r="B21" t="s">
        <v>474</v>
      </c>
      <c r="C21">
        <f>SUMPRODUCT(('Inputs'!$G$76:$G$81=$C$2)*($C$2&lt;&gt;"")*'Inputs'!$P$76:$P$81)</f>
      </c>
      <c r="I21">
        <v>17</v>
      </c>
      <c r="J21">
        <f>IF(I21&lt;$C$6,MAX(0,12*$C$7*(1+$C$8)^I21-K21),0)</f>
      </c>
      <c r="K21">
        <f>SUMPRODUCT(('Inputs'!$G$76:$G$81=$C$2)*($C$2&lt;&gt;"")*'Inputs'!$D$76:$D$81*(1+'Inputs'!$E$76:$E$81/100)^I21*(ABS('Inputs'!$F$76:$F$81-12*I21)-ABS(('Inputs'!$F$76:$F$81-12*I21)-12)+12)/2)+SUMPRODUCT(('Inputs'!$C$114:$C$121=$C$2)*($C$2&lt;&gt;"")*'Inputs'!$D$114:$D$121*(1+'Inputs'!$E$114:$E$121/100)^I21*(((ABS((('Inputs'!$G$114:$G$121&gt;0)*('Inputs'!$F$114:$F$121+'Inputs'!$G$114:$G$121)+('Inputs'!$G$114:$G$121=0)*12*$C$6)-12*I21)-ABS(((('Inputs'!$G$114:$G$121&gt;0)*('Inputs'!$F$114:$F$121+'Inputs'!$G$114:$G$121)+('Inputs'!$G$114:$G$121=0)*12*$C$6)-12*I21)-12)+12)/2-(ABS(('Inputs'!$F$114:$F$121-12*I21))-ABS((('Inputs'!$F$114:$F$121-12*I21))-12)+12)/2)+ABS((ABS((('Inputs'!$G$114:$G$121&gt;0)*('Inputs'!$F$114:$F$121+'Inputs'!$G$114:$G$121)+('Inputs'!$G$114:$G$121=0)*12*$C$6)-12*I21)-ABS(((('Inputs'!$G$114:$G$121&gt;0)*('Inputs'!$F$114:$F$121+'Inputs'!$G$114:$G$121)+('Inputs'!$G$114:$G$121=0)*12*$C$6)-12*I21)-12)+12)/2-(ABS(('Inputs'!$F$114:$F$121-12*I21))-ABS((('Inputs'!$F$114:$F$121-12*I21))-12)+12)/2))/2)</f>
      </c>
      <c r="L21">
        <f>IF(J21&gt;0,1,0)</f>
      </c>
      <c r="P21">
        <f>IF($C$9&lt;&gt;1,0,P20*(1+((1+$C$14)^(1/12)-1))^12-J20/12*(1+((1+$C$14)^(1/12)-1))*(((1+((1+$C$14)^(1/12)-1))^12-1)/((1+((1+$C$14)^(1/12)-1))-1)))</f>
      </c>
      <c r="Q21">
        <f>IF($C$9&lt;&gt;1,0,IFERROR((((1+($C$14+'Inputs'!$H$137/100))^(1/12)-1)-((1+$C$14)^(1/12)-1))*(P21*(((1+((1+$C$14)^(1/12)-1))^12-1)/((1+((1+$C$14)^(1/12)-1))-1))-J21/12/((1+((1+$C$14)^(1/12)-1))-1)*((1+((1+$C$14)^(1/12)-1))*(((1+((1+$C$14)^(1/12)-1))^12-1)/((1+((1+$C$14)^(1/12)-1))-1))-12)),0))</f>
      </c>
    </row>
    <row r="22" spans="2:17" x14ac:dyDescent="0.25">
      <c r="B22" t="s">
        <v>475</v>
      </c>
      <c r="C22">
        <f>SUMPRODUCT(('Inputs'!$C$114:$C$121=$C$2)*($C$2&lt;&gt;"")*('Inputs'!$D$114:$D$121&gt;0)*('Inputs'!$F$114:$F$121=0)*'Inputs'!$D$114:$D$121)</f>
      </c>
      <c r="I22">
        <v>18</v>
      </c>
      <c r="J22">
        <f>IF(I22&lt;$C$6,MAX(0,12*$C$7*(1+$C$8)^I22-K22),0)</f>
      </c>
      <c r="K22">
        <f>SUMPRODUCT(('Inputs'!$G$76:$G$81=$C$2)*($C$2&lt;&gt;"")*'Inputs'!$D$76:$D$81*(1+'Inputs'!$E$76:$E$81/100)^I22*(ABS('Inputs'!$F$76:$F$81-12*I22)-ABS(('Inputs'!$F$76:$F$81-12*I22)-12)+12)/2)+SUMPRODUCT(('Inputs'!$C$114:$C$121=$C$2)*($C$2&lt;&gt;"")*'Inputs'!$D$114:$D$121*(1+'Inputs'!$E$114:$E$121/100)^I22*(((ABS((('Inputs'!$G$114:$G$121&gt;0)*('Inputs'!$F$114:$F$121+'Inputs'!$G$114:$G$121)+('Inputs'!$G$114:$G$121=0)*12*$C$6)-12*I22)-ABS(((('Inputs'!$G$114:$G$121&gt;0)*('Inputs'!$F$114:$F$121+'Inputs'!$G$114:$G$121)+('Inputs'!$G$114:$G$121=0)*12*$C$6)-12*I22)-12)+12)/2-(ABS(('Inputs'!$F$114:$F$121-12*I22))-ABS((('Inputs'!$F$114:$F$121-12*I22))-12)+12)/2)+ABS((ABS((('Inputs'!$G$114:$G$121&gt;0)*('Inputs'!$F$114:$F$121+'Inputs'!$G$114:$G$121)+('Inputs'!$G$114:$G$121=0)*12*$C$6)-12*I22)-ABS(((('Inputs'!$G$114:$G$121&gt;0)*('Inputs'!$F$114:$F$121+'Inputs'!$G$114:$G$121)+('Inputs'!$G$114:$G$121=0)*12*$C$6)-12*I22)-12)+12)/2-(ABS(('Inputs'!$F$114:$F$121-12*I22))-ABS((('Inputs'!$F$114:$F$121-12*I22))-12)+12)/2))/2)</f>
      </c>
      <c r="L22">
        <f>IF(J22&gt;0,1,0)</f>
      </c>
      <c r="P22">
        <f>IF($C$9&lt;&gt;1,0,P21*(1+((1+$C$14)^(1/12)-1))^12-J21/12*(1+((1+$C$14)^(1/12)-1))*(((1+((1+$C$14)^(1/12)-1))^12-1)/((1+((1+$C$14)^(1/12)-1))-1)))</f>
      </c>
      <c r="Q22">
        <f>IF($C$9&lt;&gt;1,0,IFERROR((((1+($C$14+'Inputs'!$H$137/100))^(1/12)-1)-((1+$C$14)^(1/12)-1))*(P22*(((1+((1+$C$14)^(1/12)-1))^12-1)/((1+((1+$C$14)^(1/12)-1))-1))-J22/12/((1+((1+$C$14)^(1/12)-1))-1)*((1+((1+$C$14)^(1/12)-1))*(((1+((1+$C$14)^(1/12)-1))^12-1)/((1+((1+$C$14)^(1/12)-1))-1))-12)),0))</f>
      </c>
    </row>
    <row r="23" spans="2:17" x14ac:dyDescent="0.25">
      <c r="B23" t="s">
        <v>476</v>
      </c>
      <c r="C23">
        <f>SUMPRODUCT(('Inputs'!$C$114:$C$121=$C$2)*($C$2&lt;&gt;"")*('Inputs'!$D$114:$D$121&gt;0)*1)</f>
      </c>
      <c r="I23">
        <v>19</v>
      </c>
      <c r="J23">
        <f>IF(I23&lt;$C$6,MAX(0,12*$C$7*(1+$C$8)^I23-K23),0)</f>
      </c>
      <c r="K23">
        <f>SUMPRODUCT(('Inputs'!$G$76:$G$81=$C$2)*($C$2&lt;&gt;"")*'Inputs'!$D$76:$D$81*(1+'Inputs'!$E$76:$E$81/100)^I23*(ABS('Inputs'!$F$76:$F$81-12*I23)-ABS(('Inputs'!$F$76:$F$81-12*I23)-12)+12)/2)+SUMPRODUCT(('Inputs'!$C$114:$C$121=$C$2)*($C$2&lt;&gt;"")*'Inputs'!$D$114:$D$121*(1+'Inputs'!$E$114:$E$121/100)^I23*(((ABS((('Inputs'!$G$114:$G$121&gt;0)*('Inputs'!$F$114:$F$121+'Inputs'!$G$114:$G$121)+('Inputs'!$G$114:$G$121=0)*12*$C$6)-12*I23)-ABS(((('Inputs'!$G$114:$G$121&gt;0)*('Inputs'!$F$114:$F$121+'Inputs'!$G$114:$G$121)+('Inputs'!$G$114:$G$121=0)*12*$C$6)-12*I23)-12)+12)/2-(ABS(('Inputs'!$F$114:$F$121-12*I23))-ABS((('Inputs'!$F$114:$F$121-12*I23))-12)+12)/2)+ABS((ABS((('Inputs'!$G$114:$G$121&gt;0)*('Inputs'!$F$114:$F$121+'Inputs'!$G$114:$G$121)+('Inputs'!$G$114:$G$121=0)*12*$C$6)-12*I23)-ABS(((('Inputs'!$G$114:$G$121&gt;0)*('Inputs'!$F$114:$F$121+'Inputs'!$G$114:$G$121)+('Inputs'!$G$114:$G$121=0)*12*$C$6)-12*I23)-12)+12)/2-(ABS(('Inputs'!$F$114:$F$121-12*I23))-ABS((('Inputs'!$F$114:$F$121-12*I23))-12)+12)/2))/2)</f>
      </c>
      <c r="L23">
        <f>IF(J23&gt;0,1,0)</f>
      </c>
      <c r="P23">
        <f>IF($C$9&lt;&gt;1,0,P22*(1+((1+$C$14)^(1/12)-1))^12-J22/12*(1+((1+$C$14)^(1/12)-1))*(((1+((1+$C$14)^(1/12)-1))^12-1)/((1+((1+$C$14)^(1/12)-1))-1)))</f>
      </c>
      <c r="Q23">
        <f>IF($C$9&lt;&gt;1,0,IFERROR((((1+($C$14+'Inputs'!$H$137/100))^(1/12)-1)-((1+$C$14)^(1/12)-1))*(P23*(((1+((1+$C$14)^(1/12)-1))^12-1)/((1+((1+$C$14)^(1/12)-1))-1))-J23/12/((1+((1+$C$14)^(1/12)-1))-1)*((1+((1+$C$14)^(1/12)-1))*(((1+((1+$C$14)^(1/12)-1))^12-1)/((1+((1+$C$14)^(1/12)-1))-1))-12)),0))</f>
      </c>
    </row>
    <row r="24" spans="2:17" x14ac:dyDescent="0.25">
      <c r="B24" t="s">
        <v>477</v>
      </c>
      <c r="C24">
        <f>IF($C$23&gt;0,"income","death income")</f>
      </c>
      <c r="I24">
        <v>20</v>
      </c>
      <c r="J24">
        <f>IF(I24&lt;$C$6,MAX(0,12*$C$7*(1+$C$8)^I24-K24),0)</f>
      </c>
      <c r="K24">
        <f>SUMPRODUCT(('Inputs'!$G$76:$G$81=$C$2)*($C$2&lt;&gt;"")*'Inputs'!$D$76:$D$81*(1+'Inputs'!$E$76:$E$81/100)^I24*(ABS('Inputs'!$F$76:$F$81-12*I24)-ABS(('Inputs'!$F$76:$F$81-12*I24)-12)+12)/2)+SUMPRODUCT(('Inputs'!$C$114:$C$121=$C$2)*($C$2&lt;&gt;"")*'Inputs'!$D$114:$D$121*(1+'Inputs'!$E$114:$E$121/100)^I24*(((ABS((('Inputs'!$G$114:$G$121&gt;0)*('Inputs'!$F$114:$F$121+'Inputs'!$G$114:$G$121)+('Inputs'!$G$114:$G$121=0)*12*$C$6)-12*I24)-ABS(((('Inputs'!$G$114:$G$121&gt;0)*('Inputs'!$F$114:$F$121+'Inputs'!$G$114:$G$121)+('Inputs'!$G$114:$G$121=0)*12*$C$6)-12*I24)-12)+12)/2-(ABS(('Inputs'!$F$114:$F$121-12*I24))-ABS((('Inputs'!$F$114:$F$121-12*I24))-12)+12)/2)+ABS((ABS((('Inputs'!$G$114:$G$121&gt;0)*('Inputs'!$F$114:$F$121+'Inputs'!$G$114:$G$121)+('Inputs'!$G$114:$G$121=0)*12*$C$6)-12*I24)-ABS(((('Inputs'!$G$114:$G$121&gt;0)*('Inputs'!$F$114:$F$121+'Inputs'!$G$114:$G$121)+('Inputs'!$G$114:$G$121=0)*12*$C$6)-12*I24)-12)+12)/2-(ABS(('Inputs'!$F$114:$F$121-12*I24))-ABS((('Inputs'!$F$114:$F$121-12*I24))-12)+12)/2))/2)</f>
      </c>
      <c r="L24">
        <f>IF(J24&gt;0,1,0)</f>
      </c>
      <c r="P24">
        <f>IF($C$9&lt;&gt;1,0,P23*(1+((1+$C$14)^(1/12)-1))^12-J23/12*(1+((1+$C$14)^(1/12)-1))*(((1+((1+$C$14)^(1/12)-1))^12-1)/((1+((1+$C$14)^(1/12)-1))-1)))</f>
      </c>
      <c r="Q24">
        <f>IF($C$9&lt;&gt;1,0,IFERROR((((1+($C$14+'Inputs'!$H$137/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SUMPRODUCT(('Inputs'!$C$114:$C$121=$C$2)*($C$2&lt;&gt;"")*'Inputs'!$D$114:$D$121*(1+'Inputs'!$E$114:$E$121/100)^I25*(((ABS((('Inputs'!$G$114:$G$121&gt;0)*('Inputs'!$F$114:$F$121+'Inputs'!$G$114:$G$121)+('Inputs'!$G$114:$G$121=0)*12*$C$6)-12*I25)-ABS(((('Inputs'!$G$114:$G$121&gt;0)*('Inputs'!$F$114:$F$121+'Inputs'!$G$114:$G$121)+('Inputs'!$G$114:$G$121=0)*12*$C$6)-12*I25)-12)+12)/2-(ABS(('Inputs'!$F$114:$F$121-12*I25))-ABS((('Inputs'!$F$114:$F$121-12*I25))-12)+12)/2)+ABS((ABS((('Inputs'!$G$114:$G$121&gt;0)*('Inputs'!$F$114:$F$121+'Inputs'!$G$114:$G$121)+('Inputs'!$G$114:$G$121=0)*12*$C$6)-12*I25)-ABS(((('Inputs'!$G$114:$G$121&gt;0)*('Inputs'!$F$114:$F$121+'Inputs'!$G$114:$G$121)+('Inputs'!$G$114:$G$121=0)*12*$C$6)-12*I25)-12)+12)/2-(ABS(('Inputs'!$F$114:$F$121-12*I25))-ABS((('Inputs'!$F$114:$F$121-12*I25))-12)+12)/2))/2)</f>
      </c>
      <c r="L25">
        <f>IF(J25&gt;0,1,0)</f>
      </c>
      <c r="P25">
        <f>IF($C$9&lt;&gt;1,0,P24*(1+((1+$C$14)^(1/12)-1))^12-J24/12*(1+((1+$C$14)^(1/12)-1))*(((1+((1+$C$14)^(1/12)-1))^12-1)/((1+((1+$C$14)^(1/12)-1))-1)))</f>
      </c>
      <c r="Q25">
        <f>IF($C$9&lt;&gt;1,0,IFERROR((((1+($C$14+'Inputs'!$H$137/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SUMPRODUCT(('Inputs'!$C$114:$C$121=$C$2)*($C$2&lt;&gt;"")*'Inputs'!$D$114:$D$121*(1+'Inputs'!$E$114:$E$121/100)^I26*(((ABS((('Inputs'!$G$114:$G$121&gt;0)*('Inputs'!$F$114:$F$121+'Inputs'!$G$114:$G$121)+('Inputs'!$G$114:$G$121=0)*12*$C$6)-12*I26)-ABS(((('Inputs'!$G$114:$G$121&gt;0)*('Inputs'!$F$114:$F$121+'Inputs'!$G$114:$G$121)+('Inputs'!$G$114:$G$121=0)*12*$C$6)-12*I26)-12)+12)/2-(ABS(('Inputs'!$F$114:$F$121-12*I26))-ABS((('Inputs'!$F$114:$F$121-12*I26))-12)+12)/2)+ABS((ABS((('Inputs'!$G$114:$G$121&gt;0)*('Inputs'!$F$114:$F$121+'Inputs'!$G$114:$G$121)+('Inputs'!$G$114:$G$121=0)*12*$C$6)-12*I26)-ABS(((('Inputs'!$G$114:$G$121&gt;0)*('Inputs'!$F$114:$F$121+'Inputs'!$G$114:$G$121)+('Inputs'!$G$114:$G$121=0)*12*$C$6)-12*I26)-12)+12)/2-(ABS(('Inputs'!$F$114:$F$121-12*I26))-ABS((('Inputs'!$F$114:$F$121-12*I26))-12)+12)/2))/2)</f>
      </c>
      <c r="L26">
        <f>IF(J26&gt;0,1,0)</f>
      </c>
      <c r="P26">
        <f>IF($C$9&lt;&gt;1,0,P25*(1+((1+$C$14)^(1/12)-1))^12-J25/12*(1+((1+$C$14)^(1/12)-1))*(((1+((1+$C$14)^(1/12)-1))^12-1)/((1+((1+$C$14)^(1/12)-1))-1)))</f>
      </c>
      <c r="Q26">
        <f>IF($C$9&lt;&gt;1,0,IFERROR((((1+($C$14+'Inputs'!$H$137/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SUMPRODUCT(('Inputs'!$C$114:$C$121=$C$2)*($C$2&lt;&gt;"")*'Inputs'!$D$114:$D$121*(1+'Inputs'!$E$114:$E$121/100)^I27*(((ABS((('Inputs'!$G$114:$G$121&gt;0)*('Inputs'!$F$114:$F$121+'Inputs'!$G$114:$G$121)+('Inputs'!$G$114:$G$121=0)*12*$C$6)-12*I27)-ABS(((('Inputs'!$G$114:$G$121&gt;0)*('Inputs'!$F$114:$F$121+'Inputs'!$G$114:$G$121)+('Inputs'!$G$114:$G$121=0)*12*$C$6)-12*I27)-12)+12)/2-(ABS(('Inputs'!$F$114:$F$121-12*I27))-ABS((('Inputs'!$F$114:$F$121-12*I27))-12)+12)/2)+ABS((ABS((('Inputs'!$G$114:$G$121&gt;0)*('Inputs'!$F$114:$F$121+'Inputs'!$G$114:$G$121)+('Inputs'!$G$114:$G$121=0)*12*$C$6)-12*I27)-ABS(((('Inputs'!$G$114:$G$121&gt;0)*('Inputs'!$F$114:$F$121+'Inputs'!$G$114:$G$121)+('Inputs'!$G$114:$G$121=0)*12*$C$6)-12*I27)-12)+12)/2-(ABS(('Inputs'!$F$114:$F$121-12*I27))-ABS((('Inputs'!$F$114:$F$121-12*I27))-12)+12)/2))/2)</f>
      </c>
      <c r="L27">
        <f>IF(J27&gt;0,1,0)</f>
      </c>
      <c r="P27">
        <f>IF($C$9&lt;&gt;1,0,P26*(1+((1+$C$14)^(1/12)-1))^12-J26/12*(1+((1+$C$14)^(1/12)-1))*(((1+((1+$C$14)^(1/12)-1))^12-1)/((1+((1+$C$14)^(1/12)-1))-1)))</f>
      </c>
      <c r="Q27">
        <f>IF($C$9&lt;&gt;1,0,IFERROR((((1+($C$14+'Inputs'!$H$137/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SUMPRODUCT(('Inputs'!$C$114:$C$121=$C$2)*($C$2&lt;&gt;"")*'Inputs'!$D$114:$D$121*(1+'Inputs'!$E$114:$E$121/100)^I28*(((ABS((('Inputs'!$G$114:$G$121&gt;0)*('Inputs'!$F$114:$F$121+'Inputs'!$G$114:$G$121)+('Inputs'!$G$114:$G$121=0)*12*$C$6)-12*I28)-ABS(((('Inputs'!$G$114:$G$121&gt;0)*('Inputs'!$F$114:$F$121+'Inputs'!$G$114:$G$121)+('Inputs'!$G$114:$G$121=0)*12*$C$6)-12*I28)-12)+12)/2-(ABS(('Inputs'!$F$114:$F$121-12*I28))-ABS((('Inputs'!$F$114:$F$121-12*I28))-12)+12)/2)+ABS((ABS((('Inputs'!$G$114:$G$121&gt;0)*('Inputs'!$F$114:$F$121+'Inputs'!$G$114:$G$121)+('Inputs'!$G$114:$G$121=0)*12*$C$6)-12*I28)-ABS(((('Inputs'!$G$114:$G$121&gt;0)*('Inputs'!$F$114:$F$121+'Inputs'!$G$114:$G$121)+('Inputs'!$G$114:$G$121=0)*12*$C$6)-12*I28)-12)+12)/2-(ABS(('Inputs'!$F$114:$F$121-12*I28))-ABS((('Inputs'!$F$114:$F$121-12*I28))-12)+12)/2))/2)</f>
      </c>
      <c r="L28">
        <f>IF(J28&gt;0,1,0)</f>
      </c>
      <c r="P28">
        <f>IF($C$9&lt;&gt;1,0,P27*(1+((1+$C$14)^(1/12)-1))^12-J27/12*(1+((1+$C$14)^(1/12)-1))*(((1+((1+$C$14)^(1/12)-1))^12-1)/((1+((1+$C$14)^(1/12)-1))-1)))</f>
      </c>
      <c r="Q28">
        <f>IF($C$9&lt;&gt;1,0,IFERROR((((1+($C$14+'Inputs'!$H$137/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SUMPRODUCT(('Inputs'!$C$114:$C$121=$C$2)*($C$2&lt;&gt;"")*'Inputs'!$D$114:$D$121*(1+'Inputs'!$E$114:$E$121/100)^I29*(((ABS((('Inputs'!$G$114:$G$121&gt;0)*('Inputs'!$F$114:$F$121+'Inputs'!$G$114:$G$121)+('Inputs'!$G$114:$G$121=0)*12*$C$6)-12*I29)-ABS(((('Inputs'!$G$114:$G$121&gt;0)*('Inputs'!$F$114:$F$121+'Inputs'!$G$114:$G$121)+('Inputs'!$G$114:$G$121=0)*12*$C$6)-12*I29)-12)+12)/2-(ABS(('Inputs'!$F$114:$F$121-12*I29))-ABS((('Inputs'!$F$114:$F$121-12*I29))-12)+12)/2)+ABS((ABS((('Inputs'!$G$114:$G$121&gt;0)*('Inputs'!$F$114:$F$121+'Inputs'!$G$114:$G$121)+('Inputs'!$G$114:$G$121=0)*12*$C$6)-12*I29)-ABS(((('Inputs'!$G$114:$G$121&gt;0)*('Inputs'!$F$114:$F$121+'Inputs'!$G$114:$G$121)+('Inputs'!$G$114:$G$121=0)*12*$C$6)-12*I29)-12)+12)/2-(ABS(('Inputs'!$F$114:$F$121-12*I29))-ABS((('Inputs'!$F$114:$F$121-12*I29))-12)+12)/2))/2)</f>
      </c>
      <c r="L29">
        <f>IF(J29&gt;0,1,0)</f>
      </c>
      <c r="P29">
        <f>IF($C$9&lt;&gt;1,0,P28*(1+((1+$C$14)^(1/12)-1))^12-J28/12*(1+((1+$C$14)^(1/12)-1))*(((1+((1+$C$14)^(1/12)-1))^12-1)/((1+((1+$C$14)^(1/12)-1))-1)))</f>
      </c>
      <c r="Q29">
        <f>IF($C$9&lt;&gt;1,0,IFERROR((((1+($C$14+'Inputs'!$H$137/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SUMPRODUCT(('Inputs'!$C$114:$C$121=$C$2)*($C$2&lt;&gt;"")*'Inputs'!$D$114:$D$121*(1+'Inputs'!$E$114:$E$121/100)^I30*(((ABS((('Inputs'!$G$114:$G$121&gt;0)*('Inputs'!$F$114:$F$121+'Inputs'!$G$114:$G$121)+('Inputs'!$G$114:$G$121=0)*12*$C$6)-12*I30)-ABS(((('Inputs'!$G$114:$G$121&gt;0)*('Inputs'!$F$114:$F$121+'Inputs'!$G$114:$G$121)+('Inputs'!$G$114:$G$121=0)*12*$C$6)-12*I30)-12)+12)/2-(ABS(('Inputs'!$F$114:$F$121-12*I30))-ABS((('Inputs'!$F$114:$F$121-12*I30))-12)+12)/2)+ABS((ABS((('Inputs'!$G$114:$G$121&gt;0)*('Inputs'!$F$114:$F$121+'Inputs'!$G$114:$G$121)+('Inputs'!$G$114:$G$121=0)*12*$C$6)-12*I30)-ABS(((('Inputs'!$G$114:$G$121&gt;0)*('Inputs'!$F$114:$F$121+'Inputs'!$G$114:$G$121)+('Inputs'!$G$114:$G$121=0)*12*$C$6)-12*I30)-12)+12)/2-(ABS(('Inputs'!$F$114:$F$121-12*I30))-ABS((('Inputs'!$F$114:$F$121-12*I30))-12)+12)/2))/2)</f>
      </c>
      <c r="L30">
        <f>IF(J30&gt;0,1,0)</f>
      </c>
      <c r="P30">
        <f>IF($C$9&lt;&gt;1,0,P29*(1+((1+$C$14)^(1/12)-1))^12-J29/12*(1+((1+$C$14)^(1/12)-1))*(((1+((1+$C$14)^(1/12)-1))^12-1)/((1+((1+$C$14)^(1/12)-1))-1)))</f>
      </c>
      <c r="Q30">
        <f>IF($C$9&lt;&gt;1,0,IFERROR((((1+($C$14+'Inputs'!$H$137/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SUMPRODUCT(('Inputs'!$C$114:$C$121=$C$2)*($C$2&lt;&gt;"")*'Inputs'!$D$114:$D$121*(1+'Inputs'!$E$114:$E$121/100)^I31*(((ABS((('Inputs'!$G$114:$G$121&gt;0)*('Inputs'!$F$114:$F$121+'Inputs'!$G$114:$G$121)+('Inputs'!$G$114:$G$121=0)*12*$C$6)-12*I31)-ABS(((('Inputs'!$G$114:$G$121&gt;0)*('Inputs'!$F$114:$F$121+'Inputs'!$G$114:$G$121)+('Inputs'!$G$114:$G$121=0)*12*$C$6)-12*I31)-12)+12)/2-(ABS(('Inputs'!$F$114:$F$121-12*I31))-ABS((('Inputs'!$F$114:$F$121-12*I31))-12)+12)/2)+ABS((ABS((('Inputs'!$G$114:$G$121&gt;0)*('Inputs'!$F$114:$F$121+'Inputs'!$G$114:$G$121)+('Inputs'!$G$114:$G$121=0)*12*$C$6)-12*I31)-ABS(((('Inputs'!$G$114:$G$121&gt;0)*('Inputs'!$F$114:$F$121+'Inputs'!$G$114:$G$121)+('Inputs'!$G$114:$G$121=0)*12*$C$6)-12*I31)-12)+12)/2-(ABS(('Inputs'!$F$114:$F$121-12*I31))-ABS((('Inputs'!$F$114:$F$121-12*I31))-12)+12)/2))/2)</f>
      </c>
      <c r="L31">
        <f>IF(J31&gt;0,1,0)</f>
      </c>
      <c r="P31">
        <f>IF($C$9&lt;&gt;1,0,P30*(1+((1+$C$14)^(1/12)-1))^12-J30/12*(1+((1+$C$14)^(1/12)-1))*(((1+((1+$C$14)^(1/12)-1))^12-1)/((1+((1+$C$14)^(1/12)-1))-1)))</f>
      </c>
      <c r="Q31">
        <f>IF($C$9&lt;&gt;1,0,IFERROR((((1+($C$14+'Inputs'!$H$137/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SUMPRODUCT(('Inputs'!$C$114:$C$121=$C$2)*($C$2&lt;&gt;"")*'Inputs'!$D$114:$D$121*(1+'Inputs'!$E$114:$E$121/100)^I32*(((ABS((('Inputs'!$G$114:$G$121&gt;0)*('Inputs'!$F$114:$F$121+'Inputs'!$G$114:$G$121)+('Inputs'!$G$114:$G$121=0)*12*$C$6)-12*I32)-ABS(((('Inputs'!$G$114:$G$121&gt;0)*('Inputs'!$F$114:$F$121+'Inputs'!$G$114:$G$121)+('Inputs'!$G$114:$G$121=0)*12*$C$6)-12*I32)-12)+12)/2-(ABS(('Inputs'!$F$114:$F$121-12*I32))-ABS((('Inputs'!$F$114:$F$121-12*I32))-12)+12)/2)+ABS((ABS((('Inputs'!$G$114:$G$121&gt;0)*('Inputs'!$F$114:$F$121+'Inputs'!$G$114:$G$121)+('Inputs'!$G$114:$G$121=0)*12*$C$6)-12*I32)-ABS(((('Inputs'!$G$114:$G$121&gt;0)*('Inputs'!$F$114:$F$121+'Inputs'!$G$114:$G$121)+('Inputs'!$G$114:$G$121=0)*12*$C$6)-12*I32)-12)+12)/2-(ABS(('Inputs'!$F$114:$F$121-12*I32))-ABS((('Inputs'!$F$114:$F$121-12*I32))-12)+12)/2))/2)</f>
      </c>
      <c r="L32">
        <f>IF(J32&gt;0,1,0)</f>
      </c>
      <c r="P32">
        <f>IF($C$9&lt;&gt;1,0,P31*(1+((1+$C$14)^(1/12)-1))^12-J31/12*(1+((1+$C$14)^(1/12)-1))*(((1+((1+$C$14)^(1/12)-1))^12-1)/((1+((1+$C$14)^(1/12)-1))-1)))</f>
      </c>
      <c r="Q32">
        <f>IF($C$9&lt;&gt;1,0,IFERROR((((1+($C$14+'Inputs'!$H$137/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SUMPRODUCT(('Inputs'!$C$114:$C$121=$C$2)*($C$2&lt;&gt;"")*'Inputs'!$D$114:$D$121*(1+'Inputs'!$E$114:$E$121/100)^I33*(((ABS((('Inputs'!$G$114:$G$121&gt;0)*('Inputs'!$F$114:$F$121+'Inputs'!$G$114:$G$121)+('Inputs'!$G$114:$G$121=0)*12*$C$6)-12*I33)-ABS(((('Inputs'!$G$114:$G$121&gt;0)*('Inputs'!$F$114:$F$121+'Inputs'!$G$114:$G$121)+('Inputs'!$G$114:$G$121=0)*12*$C$6)-12*I33)-12)+12)/2-(ABS(('Inputs'!$F$114:$F$121-12*I33))-ABS((('Inputs'!$F$114:$F$121-12*I33))-12)+12)/2)+ABS((ABS((('Inputs'!$G$114:$G$121&gt;0)*('Inputs'!$F$114:$F$121+'Inputs'!$G$114:$G$121)+('Inputs'!$G$114:$G$121=0)*12*$C$6)-12*I33)-ABS(((('Inputs'!$G$114:$G$121&gt;0)*('Inputs'!$F$114:$F$121+'Inputs'!$G$114:$G$121)+('Inputs'!$G$114:$G$121=0)*12*$C$6)-12*I33)-12)+12)/2-(ABS(('Inputs'!$F$114:$F$121-12*I33))-ABS((('Inputs'!$F$114:$F$121-12*I33))-12)+12)/2))/2)</f>
      </c>
      <c r="L33">
        <f>IF(J33&gt;0,1,0)</f>
      </c>
      <c r="P33">
        <f>IF($C$9&lt;&gt;1,0,P32*(1+((1+$C$14)^(1/12)-1))^12-J32/12*(1+((1+$C$14)^(1/12)-1))*(((1+((1+$C$14)^(1/12)-1))^12-1)/((1+((1+$C$14)^(1/12)-1))-1)))</f>
      </c>
      <c r="Q33">
        <f>IF($C$9&lt;&gt;1,0,IFERROR((((1+($C$14+'Inputs'!$H$137/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SUMPRODUCT(('Inputs'!$C$114:$C$121=$C$2)*($C$2&lt;&gt;"")*'Inputs'!$D$114:$D$121*(1+'Inputs'!$E$114:$E$121/100)^I34*(((ABS((('Inputs'!$G$114:$G$121&gt;0)*('Inputs'!$F$114:$F$121+'Inputs'!$G$114:$G$121)+('Inputs'!$G$114:$G$121=0)*12*$C$6)-12*I34)-ABS(((('Inputs'!$G$114:$G$121&gt;0)*('Inputs'!$F$114:$F$121+'Inputs'!$G$114:$G$121)+('Inputs'!$G$114:$G$121=0)*12*$C$6)-12*I34)-12)+12)/2-(ABS(('Inputs'!$F$114:$F$121-12*I34))-ABS((('Inputs'!$F$114:$F$121-12*I34))-12)+12)/2)+ABS((ABS((('Inputs'!$G$114:$G$121&gt;0)*('Inputs'!$F$114:$F$121+'Inputs'!$G$114:$G$121)+('Inputs'!$G$114:$G$121=0)*12*$C$6)-12*I34)-ABS(((('Inputs'!$G$114:$G$121&gt;0)*('Inputs'!$F$114:$F$121+'Inputs'!$G$114:$G$121)+('Inputs'!$G$114:$G$121=0)*12*$C$6)-12*I34)-12)+12)/2-(ABS(('Inputs'!$F$114:$F$121-12*I34))-ABS((('Inputs'!$F$114:$F$121-12*I34))-12)+12)/2))/2)</f>
      </c>
      <c r="L34">
        <f>IF(J34&gt;0,1,0)</f>
      </c>
      <c r="P34">
        <f>IF($C$9&lt;&gt;1,0,P33*(1+((1+$C$14)^(1/12)-1))^12-J33/12*(1+((1+$C$14)^(1/12)-1))*(((1+((1+$C$14)^(1/12)-1))^12-1)/((1+((1+$C$14)^(1/12)-1))-1)))</f>
      </c>
      <c r="Q34">
        <f>IF($C$9&lt;&gt;1,0,IFERROR((((1+($C$14+'Inputs'!$H$137/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SUMPRODUCT(('Inputs'!$C$114:$C$121=$C$2)*($C$2&lt;&gt;"")*'Inputs'!$D$114:$D$121*(1+'Inputs'!$E$114:$E$121/100)^I35*(((ABS((('Inputs'!$G$114:$G$121&gt;0)*('Inputs'!$F$114:$F$121+'Inputs'!$G$114:$G$121)+('Inputs'!$G$114:$G$121=0)*12*$C$6)-12*I35)-ABS(((('Inputs'!$G$114:$G$121&gt;0)*('Inputs'!$F$114:$F$121+'Inputs'!$G$114:$G$121)+('Inputs'!$G$114:$G$121=0)*12*$C$6)-12*I35)-12)+12)/2-(ABS(('Inputs'!$F$114:$F$121-12*I35))-ABS((('Inputs'!$F$114:$F$121-12*I35))-12)+12)/2)+ABS((ABS((('Inputs'!$G$114:$G$121&gt;0)*('Inputs'!$F$114:$F$121+'Inputs'!$G$114:$G$121)+('Inputs'!$G$114:$G$121=0)*12*$C$6)-12*I35)-ABS(((('Inputs'!$G$114:$G$121&gt;0)*('Inputs'!$F$114:$F$121+'Inputs'!$G$114:$G$121)+('Inputs'!$G$114:$G$121=0)*12*$C$6)-12*I35)-12)+12)/2-(ABS(('Inputs'!$F$114:$F$121-12*I35))-ABS((('Inputs'!$F$114:$F$121-12*I35))-12)+12)/2))/2)</f>
      </c>
      <c r="L35">
        <f>IF(J35&gt;0,1,0)</f>
      </c>
      <c r="P35">
        <f>IF($C$9&lt;&gt;1,0,P34*(1+((1+$C$14)^(1/12)-1))^12-J34/12*(1+((1+$C$14)^(1/12)-1))*(((1+((1+$C$14)^(1/12)-1))^12-1)/((1+((1+$C$14)^(1/12)-1))-1)))</f>
      </c>
      <c r="Q35">
        <f>IF($C$9&lt;&gt;1,0,IFERROR((((1+($C$14+'Inputs'!$H$137/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SUMPRODUCT(('Inputs'!$C$114:$C$121=$C$2)*($C$2&lt;&gt;"")*'Inputs'!$D$114:$D$121*(1+'Inputs'!$E$114:$E$121/100)^I36*(((ABS((('Inputs'!$G$114:$G$121&gt;0)*('Inputs'!$F$114:$F$121+'Inputs'!$G$114:$G$121)+('Inputs'!$G$114:$G$121=0)*12*$C$6)-12*I36)-ABS(((('Inputs'!$G$114:$G$121&gt;0)*('Inputs'!$F$114:$F$121+'Inputs'!$G$114:$G$121)+('Inputs'!$G$114:$G$121=0)*12*$C$6)-12*I36)-12)+12)/2-(ABS(('Inputs'!$F$114:$F$121-12*I36))-ABS((('Inputs'!$F$114:$F$121-12*I36))-12)+12)/2)+ABS((ABS((('Inputs'!$G$114:$G$121&gt;0)*('Inputs'!$F$114:$F$121+'Inputs'!$G$114:$G$121)+('Inputs'!$G$114:$G$121=0)*12*$C$6)-12*I36)-ABS(((('Inputs'!$G$114:$G$121&gt;0)*('Inputs'!$F$114:$F$121+'Inputs'!$G$114:$G$121)+('Inputs'!$G$114:$G$121=0)*12*$C$6)-12*I36)-12)+12)/2-(ABS(('Inputs'!$F$114:$F$121-12*I36))-ABS((('Inputs'!$F$114:$F$121-12*I36))-12)+12)/2))/2)</f>
      </c>
      <c r="L36">
        <f>IF(J36&gt;0,1,0)</f>
      </c>
      <c r="P36">
        <f>IF($C$9&lt;&gt;1,0,P35*(1+((1+$C$14)^(1/12)-1))^12-J35/12*(1+((1+$C$14)^(1/12)-1))*(((1+((1+$C$14)^(1/12)-1))^12-1)/((1+((1+$C$14)^(1/12)-1))-1)))</f>
      </c>
      <c r="Q36">
        <f>IF($C$9&lt;&gt;1,0,IFERROR((((1+($C$14+'Inputs'!$H$137/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SUMPRODUCT(('Inputs'!$C$114:$C$121=$C$2)*($C$2&lt;&gt;"")*'Inputs'!$D$114:$D$121*(1+'Inputs'!$E$114:$E$121/100)^I37*(((ABS((('Inputs'!$G$114:$G$121&gt;0)*('Inputs'!$F$114:$F$121+'Inputs'!$G$114:$G$121)+('Inputs'!$G$114:$G$121=0)*12*$C$6)-12*I37)-ABS(((('Inputs'!$G$114:$G$121&gt;0)*('Inputs'!$F$114:$F$121+'Inputs'!$G$114:$G$121)+('Inputs'!$G$114:$G$121=0)*12*$C$6)-12*I37)-12)+12)/2-(ABS(('Inputs'!$F$114:$F$121-12*I37))-ABS((('Inputs'!$F$114:$F$121-12*I37))-12)+12)/2)+ABS((ABS((('Inputs'!$G$114:$G$121&gt;0)*('Inputs'!$F$114:$F$121+'Inputs'!$G$114:$G$121)+('Inputs'!$G$114:$G$121=0)*12*$C$6)-12*I37)-ABS(((('Inputs'!$G$114:$G$121&gt;0)*('Inputs'!$F$114:$F$121+'Inputs'!$G$114:$G$121)+('Inputs'!$G$114:$G$121=0)*12*$C$6)-12*I37)-12)+12)/2-(ABS(('Inputs'!$F$114:$F$121-12*I37))-ABS((('Inputs'!$F$114:$F$121-12*I37))-12)+12)/2))/2)</f>
      </c>
      <c r="L37">
        <f>IF(J37&gt;0,1,0)</f>
      </c>
      <c r="P37">
        <f>IF($C$9&lt;&gt;1,0,P36*(1+((1+$C$14)^(1/12)-1))^12-J36/12*(1+((1+$C$14)^(1/12)-1))*(((1+((1+$C$14)^(1/12)-1))^12-1)/((1+((1+$C$14)^(1/12)-1))-1)))</f>
      </c>
      <c r="Q37">
        <f>IF($C$9&lt;&gt;1,0,IFERROR((((1+($C$14+'Inputs'!$H$137/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SUMPRODUCT(('Inputs'!$C$114:$C$121=$C$2)*($C$2&lt;&gt;"")*'Inputs'!$D$114:$D$121*(1+'Inputs'!$E$114:$E$121/100)^I38*(((ABS((('Inputs'!$G$114:$G$121&gt;0)*('Inputs'!$F$114:$F$121+'Inputs'!$G$114:$G$121)+('Inputs'!$G$114:$G$121=0)*12*$C$6)-12*I38)-ABS(((('Inputs'!$G$114:$G$121&gt;0)*('Inputs'!$F$114:$F$121+'Inputs'!$G$114:$G$121)+('Inputs'!$G$114:$G$121=0)*12*$C$6)-12*I38)-12)+12)/2-(ABS(('Inputs'!$F$114:$F$121-12*I38))-ABS((('Inputs'!$F$114:$F$121-12*I38))-12)+12)/2)+ABS((ABS((('Inputs'!$G$114:$G$121&gt;0)*('Inputs'!$F$114:$F$121+'Inputs'!$G$114:$G$121)+('Inputs'!$G$114:$G$121=0)*12*$C$6)-12*I38)-ABS(((('Inputs'!$G$114:$G$121&gt;0)*('Inputs'!$F$114:$F$121+'Inputs'!$G$114:$G$121)+('Inputs'!$G$114:$G$121=0)*12*$C$6)-12*I38)-12)+12)/2-(ABS(('Inputs'!$F$114:$F$121-12*I38))-ABS((('Inputs'!$F$114:$F$121-12*I38))-12)+12)/2))/2)</f>
      </c>
      <c r="L38">
        <f>IF(J38&gt;0,1,0)</f>
      </c>
      <c r="P38">
        <f>IF($C$9&lt;&gt;1,0,P37*(1+((1+$C$14)^(1/12)-1))^12-J37/12*(1+((1+$C$14)^(1/12)-1))*(((1+((1+$C$14)^(1/12)-1))^12-1)/((1+((1+$C$14)^(1/12)-1))-1)))</f>
      </c>
      <c r="Q38">
        <f>IF($C$9&lt;&gt;1,0,IFERROR((((1+($C$14+'Inputs'!$H$137/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SUMPRODUCT(('Inputs'!$C$114:$C$121=$C$2)*($C$2&lt;&gt;"")*'Inputs'!$D$114:$D$121*(1+'Inputs'!$E$114:$E$121/100)^I39*(((ABS((('Inputs'!$G$114:$G$121&gt;0)*('Inputs'!$F$114:$F$121+'Inputs'!$G$114:$G$121)+('Inputs'!$G$114:$G$121=0)*12*$C$6)-12*I39)-ABS(((('Inputs'!$G$114:$G$121&gt;0)*('Inputs'!$F$114:$F$121+'Inputs'!$G$114:$G$121)+('Inputs'!$G$114:$G$121=0)*12*$C$6)-12*I39)-12)+12)/2-(ABS(('Inputs'!$F$114:$F$121-12*I39))-ABS((('Inputs'!$F$114:$F$121-12*I39))-12)+12)/2)+ABS((ABS((('Inputs'!$G$114:$G$121&gt;0)*('Inputs'!$F$114:$F$121+'Inputs'!$G$114:$G$121)+('Inputs'!$G$114:$G$121=0)*12*$C$6)-12*I39)-ABS(((('Inputs'!$G$114:$G$121&gt;0)*('Inputs'!$F$114:$F$121+'Inputs'!$G$114:$G$121)+('Inputs'!$G$114:$G$121=0)*12*$C$6)-12*I39)-12)+12)/2-(ABS(('Inputs'!$F$114:$F$121-12*I39))-ABS((('Inputs'!$F$114:$F$121-12*I39))-12)+12)/2))/2)</f>
      </c>
      <c r="L39">
        <f>IF(J39&gt;0,1,0)</f>
      </c>
      <c r="P39">
        <f>IF($C$9&lt;&gt;1,0,P38*(1+((1+$C$14)^(1/12)-1))^12-J38/12*(1+((1+$C$14)^(1/12)-1))*(((1+((1+$C$14)^(1/12)-1))^12-1)/((1+((1+$C$14)^(1/12)-1))-1)))</f>
      </c>
      <c r="Q39">
        <f>IF($C$9&lt;&gt;1,0,IFERROR((((1+($C$14+'Inputs'!$H$137/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SUMPRODUCT(('Inputs'!$C$114:$C$121=$C$2)*($C$2&lt;&gt;"")*'Inputs'!$D$114:$D$121*(1+'Inputs'!$E$114:$E$121/100)^I40*(((ABS((('Inputs'!$G$114:$G$121&gt;0)*('Inputs'!$F$114:$F$121+'Inputs'!$G$114:$G$121)+('Inputs'!$G$114:$G$121=0)*12*$C$6)-12*I40)-ABS(((('Inputs'!$G$114:$G$121&gt;0)*('Inputs'!$F$114:$F$121+'Inputs'!$G$114:$G$121)+('Inputs'!$G$114:$G$121=0)*12*$C$6)-12*I40)-12)+12)/2-(ABS(('Inputs'!$F$114:$F$121-12*I40))-ABS((('Inputs'!$F$114:$F$121-12*I40))-12)+12)/2)+ABS((ABS((('Inputs'!$G$114:$G$121&gt;0)*('Inputs'!$F$114:$F$121+'Inputs'!$G$114:$G$121)+('Inputs'!$G$114:$G$121=0)*12*$C$6)-12*I40)-ABS(((('Inputs'!$G$114:$G$121&gt;0)*('Inputs'!$F$114:$F$121+'Inputs'!$G$114:$G$121)+('Inputs'!$G$114:$G$121=0)*12*$C$6)-12*I40)-12)+12)/2-(ABS(('Inputs'!$F$114:$F$121-12*I40))-ABS((('Inputs'!$F$114:$F$121-12*I40))-12)+12)/2))/2)</f>
      </c>
      <c r="L40">
        <f>IF(J40&gt;0,1,0)</f>
      </c>
      <c r="P40">
        <f>IF($C$9&lt;&gt;1,0,P39*(1+((1+$C$14)^(1/12)-1))^12-J39/12*(1+((1+$C$14)^(1/12)-1))*(((1+((1+$C$14)^(1/12)-1))^12-1)/((1+((1+$C$14)^(1/12)-1))-1)))</f>
      </c>
      <c r="Q40">
        <f>IF($C$9&lt;&gt;1,0,IFERROR((((1+($C$14+'Inputs'!$H$137/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SUMPRODUCT(('Inputs'!$C$114:$C$121=$C$2)*($C$2&lt;&gt;"")*'Inputs'!$D$114:$D$121*(1+'Inputs'!$E$114:$E$121/100)^I41*(((ABS((('Inputs'!$G$114:$G$121&gt;0)*('Inputs'!$F$114:$F$121+'Inputs'!$G$114:$G$121)+('Inputs'!$G$114:$G$121=0)*12*$C$6)-12*I41)-ABS(((('Inputs'!$G$114:$G$121&gt;0)*('Inputs'!$F$114:$F$121+'Inputs'!$G$114:$G$121)+('Inputs'!$G$114:$G$121=0)*12*$C$6)-12*I41)-12)+12)/2-(ABS(('Inputs'!$F$114:$F$121-12*I41))-ABS((('Inputs'!$F$114:$F$121-12*I41))-12)+12)/2)+ABS((ABS((('Inputs'!$G$114:$G$121&gt;0)*('Inputs'!$F$114:$F$121+'Inputs'!$G$114:$G$121)+('Inputs'!$G$114:$G$121=0)*12*$C$6)-12*I41)-ABS(((('Inputs'!$G$114:$G$121&gt;0)*('Inputs'!$F$114:$F$121+'Inputs'!$G$114:$G$121)+('Inputs'!$G$114:$G$121=0)*12*$C$6)-12*I41)-12)+12)/2-(ABS(('Inputs'!$F$114:$F$121-12*I41))-ABS((('Inputs'!$F$114:$F$121-12*I41))-12)+12)/2))/2)</f>
      </c>
      <c r="L41">
        <f>IF(J41&gt;0,1,0)</f>
      </c>
      <c r="P41">
        <f>IF($C$9&lt;&gt;1,0,P40*(1+((1+$C$14)^(1/12)-1))^12-J40/12*(1+((1+$C$14)^(1/12)-1))*(((1+((1+$C$14)^(1/12)-1))^12-1)/((1+((1+$C$14)^(1/12)-1))-1)))</f>
      </c>
      <c r="Q41">
        <f>IF($C$9&lt;&gt;1,0,IFERROR((((1+($C$14+'Inputs'!$H$137/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SUMPRODUCT(('Inputs'!$C$114:$C$121=$C$2)*($C$2&lt;&gt;"")*'Inputs'!$D$114:$D$121*(1+'Inputs'!$E$114:$E$121/100)^I42*(((ABS((('Inputs'!$G$114:$G$121&gt;0)*('Inputs'!$F$114:$F$121+'Inputs'!$G$114:$G$121)+('Inputs'!$G$114:$G$121=0)*12*$C$6)-12*I42)-ABS(((('Inputs'!$G$114:$G$121&gt;0)*('Inputs'!$F$114:$F$121+'Inputs'!$G$114:$G$121)+('Inputs'!$G$114:$G$121=0)*12*$C$6)-12*I42)-12)+12)/2-(ABS(('Inputs'!$F$114:$F$121-12*I42))-ABS((('Inputs'!$F$114:$F$121-12*I42))-12)+12)/2)+ABS((ABS((('Inputs'!$G$114:$G$121&gt;0)*('Inputs'!$F$114:$F$121+'Inputs'!$G$114:$G$121)+('Inputs'!$G$114:$G$121=0)*12*$C$6)-12*I42)-ABS(((('Inputs'!$G$114:$G$121&gt;0)*('Inputs'!$F$114:$F$121+'Inputs'!$G$114:$G$121)+('Inputs'!$G$114:$G$121=0)*12*$C$6)-12*I42)-12)+12)/2-(ABS(('Inputs'!$F$114:$F$121-12*I42))-ABS((('Inputs'!$F$114:$F$121-12*I42))-12)+12)/2))/2)</f>
      </c>
      <c r="L42">
        <f>IF(J42&gt;0,1,0)</f>
      </c>
      <c r="P42">
        <f>IF($C$9&lt;&gt;1,0,P41*(1+((1+$C$14)^(1/12)-1))^12-J41/12*(1+((1+$C$14)^(1/12)-1))*(((1+((1+$C$14)^(1/12)-1))^12-1)/((1+((1+$C$14)^(1/12)-1))-1)))</f>
      </c>
      <c r="Q42">
        <f>IF($C$9&lt;&gt;1,0,IFERROR((((1+($C$14+'Inputs'!$H$137/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SUMPRODUCT(('Inputs'!$C$114:$C$121=$C$2)*($C$2&lt;&gt;"")*'Inputs'!$D$114:$D$121*(1+'Inputs'!$E$114:$E$121/100)^I43*(((ABS((('Inputs'!$G$114:$G$121&gt;0)*('Inputs'!$F$114:$F$121+'Inputs'!$G$114:$G$121)+('Inputs'!$G$114:$G$121=0)*12*$C$6)-12*I43)-ABS(((('Inputs'!$G$114:$G$121&gt;0)*('Inputs'!$F$114:$F$121+'Inputs'!$G$114:$G$121)+('Inputs'!$G$114:$G$121=0)*12*$C$6)-12*I43)-12)+12)/2-(ABS(('Inputs'!$F$114:$F$121-12*I43))-ABS((('Inputs'!$F$114:$F$121-12*I43))-12)+12)/2)+ABS((ABS((('Inputs'!$G$114:$G$121&gt;0)*('Inputs'!$F$114:$F$121+'Inputs'!$G$114:$G$121)+('Inputs'!$G$114:$G$121=0)*12*$C$6)-12*I43)-ABS(((('Inputs'!$G$114:$G$121&gt;0)*('Inputs'!$F$114:$F$121+'Inputs'!$G$114:$G$121)+('Inputs'!$G$114:$G$121=0)*12*$C$6)-12*I43)-12)+12)/2-(ABS(('Inputs'!$F$114:$F$121-12*I43))-ABS((('Inputs'!$F$114:$F$121-12*I43))-12)+12)/2))/2)</f>
      </c>
      <c r="L43">
        <f>IF(J43&gt;0,1,0)</f>
      </c>
      <c r="P43">
        <f>IF($C$9&lt;&gt;1,0,P42*(1+((1+$C$14)^(1/12)-1))^12-J42/12*(1+((1+$C$14)^(1/12)-1))*(((1+((1+$C$14)^(1/12)-1))^12-1)/((1+((1+$C$14)^(1/12)-1))-1)))</f>
      </c>
      <c r="Q43">
        <f>IF($C$9&lt;&gt;1,0,IFERROR((((1+($C$14+'Inputs'!$H$137/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SUMPRODUCT(('Inputs'!$C$114:$C$121=$C$2)*($C$2&lt;&gt;"")*'Inputs'!$D$114:$D$121*(1+'Inputs'!$E$114:$E$121/100)^I44*(((ABS((('Inputs'!$G$114:$G$121&gt;0)*('Inputs'!$F$114:$F$121+'Inputs'!$G$114:$G$121)+('Inputs'!$G$114:$G$121=0)*12*$C$6)-12*I44)-ABS(((('Inputs'!$G$114:$G$121&gt;0)*('Inputs'!$F$114:$F$121+'Inputs'!$G$114:$G$121)+('Inputs'!$G$114:$G$121=0)*12*$C$6)-12*I44)-12)+12)/2-(ABS(('Inputs'!$F$114:$F$121-12*I44))-ABS((('Inputs'!$F$114:$F$121-12*I44))-12)+12)/2)+ABS((ABS((('Inputs'!$G$114:$G$121&gt;0)*('Inputs'!$F$114:$F$121+'Inputs'!$G$114:$G$121)+('Inputs'!$G$114:$G$121=0)*12*$C$6)-12*I44)-ABS(((('Inputs'!$G$114:$G$121&gt;0)*('Inputs'!$F$114:$F$121+'Inputs'!$G$114:$G$121)+('Inputs'!$G$114:$G$121=0)*12*$C$6)-12*I44)-12)+12)/2-(ABS(('Inputs'!$F$114:$F$121-12*I44))-ABS((('Inputs'!$F$114:$F$121-12*I44))-12)+12)/2))/2)</f>
      </c>
      <c r="L44">
        <f>IF(J44&gt;0,1,0)</f>
      </c>
      <c r="P44">
        <f>IF($C$9&lt;&gt;1,0,P43*(1+((1+$C$14)^(1/12)-1))^12-J43/12*(1+((1+$C$14)^(1/12)-1))*(((1+((1+$C$14)^(1/12)-1))^12-1)/((1+((1+$C$14)^(1/12)-1))-1)))</f>
      </c>
      <c r="Q44">
        <f>IF($C$9&lt;&gt;1,0,IFERROR((((1+($C$14+'Inputs'!$H$137/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SUMPRODUCT(('Inputs'!$C$114:$C$121=$C$2)*($C$2&lt;&gt;"")*'Inputs'!$D$114:$D$121*(1+'Inputs'!$E$114:$E$121/100)^I45*(((ABS((('Inputs'!$G$114:$G$121&gt;0)*('Inputs'!$F$114:$F$121+'Inputs'!$G$114:$G$121)+('Inputs'!$G$114:$G$121=0)*12*$C$6)-12*I45)-ABS(((('Inputs'!$G$114:$G$121&gt;0)*('Inputs'!$F$114:$F$121+'Inputs'!$G$114:$G$121)+('Inputs'!$G$114:$G$121=0)*12*$C$6)-12*I45)-12)+12)/2-(ABS(('Inputs'!$F$114:$F$121-12*I45))-ABS((('Inputs'!$F$114:$F$121-12*I45))-12)+12)/2)+ABS((ABS((('Inputs'!$G$114:$G$121&gt;0)*('Inputs'!$F$114:$F$121+'Inputs'!$G$114:$G$121)+('Inputs'!$G$114:$G$121=0)*12*$C$6)-12*I45)-ABS(((('Inputs'!$G$114:$G$121&gt;0)*('Inputs'!$F$114:$F$121+'Inputs'!$G$114:$G$121)+('Inputs'!$G$114:$G$121=0)*12*$C$6)-12*I45)-12)+12)/2-(ABS(('Inputs'!$F$114:$F$121-12*I45))-ABS((('Inputs'!$F$114:$F$121-12*I45))-12)+12)/2))/2)</f>
      </c>
      <c r="L45">
        <f>IF(J45&gt;0,1,0)</f>
      </c>
      <c r="P45">
        <f>IF($C$9&lt;&gt;1,0,P44*(1+((1+$C$14)^(1/12)-1))^12-J44/12*(1+((1+$C$14)^(1/12)-1))*(((1+((1+$C$14)^(1/12)-1))^12-1)/((1+((1+$C$14)^(1/12)-1))-1)))</f>
      </c>
      <c r="Q45">
        <f>IF($C$9&lt;&gt;1,0,IFERROR((((1+($C$14+'Inputs'!$H$137/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SUMPRODUCT(('Inputs'!$C$114:$C$121=$C$2)*($C$2&lt;&gt;"")*'Inputs'!$D$114:$D$121*(1+'Inputs'!$E$114:$E$121/100)^I46*(((ABS((('Inputs'!$G$114:$G$121&gt;0)*('Inputs'!$F$114:$F$121+'Inputs'!$G$114:$G$121)+('Inputs'!$G$114:$G$121=0)*12*$C$6)-12*I46)-ABS(((('Inputs'!$G$114:$G$121&gt;0)*('Inputs'!$F$114:$F$121+'Inputs'!$G$114:$G$121)+('Inputs'!$G$114:$G$121=0)*12*$C$6)-12*I46)-12)+12)/2-(ABS(('Inputs'!$F$114:$F$121-12*I46))-ABS((('Inputs'!$F$114:$F$121-12*I46))-12)+12)/2)+ABS((ABS((('Inputs'!$G$114:$G$121&gt;0)*('Inputs'!$F$114:$F$121+'Inputs'!$G$114:$G$121)+('Inputs'!$G$114:$G$121=0)*12*$C$6)-12*I46)-ABS(((('Inputs'!$G$114:$G$121&gt;0)*('Inputs'!$F$114:$F$121+'Inputs'!$G$114:$G$121)+('Inputs'!$G$114:$G$121=0)*12*$C$6)-12*I46)-12)+12)/2-(ABS(('Inputs'!$F$114:$F$121-12*I46))-ABS((('Inputs'!$F$114:$F$121-12*I46))-12)+12)/2))/2)</f>
      </c>
      <c r="L46">
        <f>IF(J46&gt;0,1,0)</f>
      </c>
      <c r="P46">
        <f>IF($C$9&lt;&gt;1,0,P45*(1+((1+$C$14)^(1/12)-1))^12-J45/12*(1+((1+$C$14)^(1/12)-1))*(((1+((1+$C$14)^(1/12)-1))^12-1)/((1+((1+$C$14)^(1/12)-1))-1)))</f>
      </c>
      <c r="Q46">
        <f>IF($C$9&lt;&gt;1,0,IFERROR((((1+($C$14+'Inputs'!$H$137/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SUMPRODUCT(('Inputs'!$C$114:$C$121=$C$2)*($C$2&lt;&gt;"")*'Inputs'!$D$114:$D$121*(1+'Inputs'!$E$114:$E$121/100)^I47*(((ABS((('Inputs'!$G$114:$G$121&gt;0)*('Inputs'!$F$114:$F$121+'Inputs'!$G$114:$G$121)+('Inputs'!$G$114:$G$121=0)*12*$C$6)-12*I47)-ABS(((('Inputs'!$G$114:$G$121&gt;0)*('Inputs'!$F$114:$F$121+'Inputs'!$G$114:$G$121)+('Inputs'!$G$114:$G$121=0)*12*$C$6)-12*I47)-12)+12)/2-(ABS(('Inputs'!$F$114:$F$121-12*I47))-ABS((('Inputs'!$F$114:$F$121-12*I47))-12)+12)/2)+ABS((ABS((('Inputs'!$G$114:$G$121&gt;0)*('Inputs'!$F$114:$F$121+'Inputs'!$G$114:$G$121)+('Inputs'!$G$114:$G$121=0)*12*$C$6)-12*I47)-ABS(((('Inputs'!$G$114:$G$121&gt;0)*('Inputs'!$F$114:$F$121+'Inputs'!$G$114:$G$121)+('Inputs'!$G$114:$G$121=0)*12*$C$6)-12*I47)-12)+12)/2-(ABS(('Inputs'!$F$114:$F$121-12*I47))-ABS((('Inputs'!$F$114:$F$121-12*I47))-12)+12)/2))/2)</f>
      </c>
      <c r="L47">
        <f>IF(J47&gt;0,1,0)</f>
      </c>
      <c r="P47">
        <f>IF($C$9&lt;&gt;1,0,P46*(1+((1+$C$14)^(1/12)-1))^12-J46/12*(1+((1+$C$14)^(1/12)-1))*(((1+((1+$C$14)^(1/12)-1))^12-1)/((1+((1+$C$14)^(1/12)-1))-1)))</f>
      </c>
      <c r="Q47">
        <f>IF($C$9&lt;&gt;1,0,IFERROR((((1+($C$14+'Inputs'!$H$137/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SUMPRODUCT(('Inputs'!$C$114:$C$121=$C$2)*($C$2&lt;&gt;"")*'Inputs'!$D$114:$D$121*(1+'Inputs'!$E$114:$E$121/100)^I48*(((ABS((('Inputs'!$G$114:$G$121&gt;0)*('Inputs'!$F$114:$F$121+'Inputs'!$G$114:$G$121)+('Inputs'!$G$114:$G$121=0)*12*$C$6)-12*I48)-ABS(((('Inputs'!$G$114:$G$121&gt;0)*('Inputs'!$F$114:$F$121+'Inputs'!$G$114:$G$121)+('Inputs'!$G$114:$G$121=0)*12*$C$6)-12*I48)-12)+12)/2-(ABS(('Inputs'!$F$114:$F$121-12*I48))-ABS((('Inputs'!$F$114:$F$121-12*I48))-12)+12)/2)+ABS((ABS((('Inputs'!$G$114:$G$121&gt;0)*('Inputs'!$F$114:$F$121+'Inputs'!$G$114:$G$121)+('Inputs'!$G$114:$G$121=0)*12*$C$6)-12*I48)-ABS(((('Inputs'!$G$114:$G$121&gt;0)*('Inputs'!$F$114:$F$121+'Inputs'!$G$114:$G$121)+('Inputs'!$G$114:$G$121=0)*12*$C$6)-12*I48)-12)+12)/2-(ABS(('Inputs'!$F$114:$F$121-12*I48))-ABS((('Inputs'!$F$114:$F$121-12*I48))-12)+12)/2))/2)</f>
      </c>
      <c r="L48">
        <f>IF(J48&gt;0,1,0)</f>
      </c>
      <c r="P48">
        <f>IF($C$9&lt;&gt;1,0,P47*(1+((1+$C$14)^(1/12)-1))^12-J47/12*(1+((1+$C$14)^(1/12)-1))*(((1+((1+$C$14)^(1/12)-1))^12-1)/((1+((1+$C$14)^(1/12)-1))-1)))</f>
      </c>
      <c r="Q48">
        <f>IF($C$9&lt;&gt;1,0,IFERROR((((1+($C$14+'Inputs'!$H$137/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SUMPRODUCT(('Inputs'!$C$114:$C$121=$C$2)*($C$2&lt;&gt;"")*'Inputs'!$D$114:$D$121*(1+'Inputs'!$E$114:$E$121/100)^I49*(((ABS((('Inputs'!$G$114:$G$121&gt;0)*('Inputs'!$F$114:$F$121+'Inputs'!$G$114:$G$121)+('Inputs'!$G$114:$G$121=0)*12*$C$6)-12*I49)-ABS(((('Inputs'!$G$114:$G$121&gt;0)*('Inputs'!$F$114:$F$121+'Inputs'!$G$114:$G$121)+('Inputs'!$G$114:$G$121=0)*12*$C$6)-12*I49)-12)+12)/2-(ABS(('Inputs'!$F$114:$F$121-12*I49))-ABS((('Inputs'!$F$114:$F$121-12*I49))-12)+12)/2)+ABS((ABS((('Inputs'!$G$114:$G$121&gt;0)*('Inputs'!$F$114:$F$121+'Inputs'!$G$114:$G$121)+('Inputs'!$G$114:$G$121=0)*12*$C$6)-12*I49)-ABS(((('Inputs'!$G$114:$G$121&gt;0)*('Inputs'!$F$114:$F$121+'Inputs'!$G$114:$G$121)+('Inputs'!$G$114:$G$121=0)*12*$C$6)-12*I49)-12)+12)/2-(ABS(('Inputs'!$F$114:$F$121-12*I49))-ABS((('Inputs'!$F$114:$F$121-12*I49))-12)+12)/2))/2)</f>
      </c>
      <c r="L49">
        <f>IF(J49&gt;0,1,0)</f>
      </c>
      <c r="P49">
        <f>IF($C$9&lt;&gt;1,0,P48*(1+((1+$C$14)^(1/12)-1))^12-J48/12*(1+((1+$C$14)^(1/12)-1))*(((1+((1+$C$14)^(1/12)-1))^12-1)/((1+((1+$C$14)^(1/12)-1))-1)))</f>
      </c>
      <c r="Q49">
        <f>IF($C$9&lt;&gt;1,0,IFERROR((((1+($C$14+'Inputs'!$H$137/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SUMPRODUCT(('Inputs'!$C$114:$C$121=$C$2)*($C$2&lt;&gt;"")*'Inputs'!$D$114:$D$121*(1+'Inputs'!$E$114:$E$121/100)^I50*(((ABS((('Inputs'!$G$114:$G$121&gt;0)*('Inputs'!$F$114:$F$121+'Inputs'!$G$114:$G$121)+('Inputs'!$G$114:$G$121=0)*12*$C$6)-12*I50)-ABS(((('Inputs'!$G$114:$G$121&gt;0)*('Inputs'!$F$114:$F$121+'Inputs'!$G$114:$G$121)+('Inputs'!$G$114:$G$121=0)*12*$C$6)-12*I50)-12)+12)/2-(ABS(('Inputs'!$F$114:$F$121-12*I50))-ABS((('Inputs'!$F$114:$F$121-12*I50))-12)+12)/2)+ABS((ABS((('Inputs'!$G$114:$G$121&gt;0)*('Inputs'!$F$114:$F$121+'Inputs'!$G$114:$G$121)+('Inputs'!$G$114:$G$121=0)*12*$C$6)-12*I50)-ABS(((('Inputs'!$G$114:$G$121&gt;0)*('Inputs'!$F$114:$F$121+'Inputs'!$G$114:$G$121)+('Inputs'!$G$114:$G$121=0)*12*$C$6)-12*I50)-12)+12)/2-(ABS(('Inputs'!$F$114:$F$121-12*I50))-ABS((('Inputs'!$F$114:$F$121-12*I50))-12)+12)/2))/2)</f>
      </c>
      <c r="L50">
        <f>IF(J50&gt;0,1,0)</f>
      </c>
      <c r="P50">
        <f>IF($C$9&lt;&gt;1,0,P49*(1+((1+$C$14)^(1/12)-1))^12-J49/12*(1+((1+$C$14)^(1/12)-1))*(((1+((1+$C$14)^(1/12)-1))^12-1)/((1+((1+$C$14)^(1/12)-1))-1)))</f>
      </c>
      <c r="Q50">
        <f>IF($C$9&lt;&gt;1,0,IFERROR((((1+($C$14+'Inputs'!$H$137/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SUMPRODUCT(('Inputs'!$C$114:$C$121=$C$2)*($C$2&lt;&gt;"")*'Inputs'!$D$114:$D$121*(1+'Inputs'!$E$114:$E$121/100)^I51*(((ABS((('Inputs'!$G$114:$G$121&gt;0)*('Inputs'!$F$114:$F$121+'Inputs'!$G$114:$G$121)+('Inputs'!$G$114:$G$121=0)*12*$C$6)-12*I51)-ABS(((('Inputs'!$G$114:$G$121&gt;0)*('Inputs'!$F$114:$F$121+'Inputs'!$G$114:$G$121)+('Inputs'!$G$114:$G$121=0)*12*$C$6)-12*I51)-12)+12)/2-(ABS(('Inputs'!$F$114:$F$121-12*I51))-ABS((('Inputs'!$F$114:$F$121-12*I51))-12)+12)/2)+ABS((ABS((('Inputs'!$G$114:$G$121&gt;0)*('Inputs'!$F$114:$F$121+'Inputs'!$G$114:$G$121)+('Inputs'!$G$114:$G$121=0)*12*$C$6)-12*I51)-ABS(((('Inputs'!$G$114:$G$121&gt;0)*('Inputs'!$F$114:$F$121+'Inputs'!$G$114:$G$121)+('Inputs'!$G$114:$G$121=0)*12*$C$6)-12*I51)-12)+12)/2-(ABS(('Inputs'!$F$114:$F$121-12*I51))-ABS((('Inputs'!$F$114:$F$121-12*I51))-12)+12)/2))/2)</f>
      </c>
      <c r="L51">
        <f>IF(J51&gt;0,1,0)</f>
      </c>
      <c r="P51">
        <f>IF($C$9&lt;&gt;1,0,P50*(1+((1+$C$14)^(1/12)-1))^12-J50/12*(1+((1+$C$14)^(1/12)-1))*(((1+((1+$C$14)^(1/12)-1))^12-1)/((1+((1+$C$14)^(1/12)-1))-1)))</f>
      </c>
      <c r="Q51">
        <f>IF($C$9&lt;&gt;1,0,IFERROR((((1+($C$14+'Inputs'!$H$137/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SUMPRODUCT(('Inputs'!$C$114:$C$121=$C$2)*($C$2&lt;&gt;"")*'Inputs'!$D$114:$D$121*(1+'Inputs'!$E$114:$E$121/100)^I52*(((ABS((('Inputs'!$G$114:$G$121&gt;0)*('Inputs'!$F$114:$F$121+'Inputs'!$G$114:$G$121)+('Inputs'!$G$114:$G$121=0)*12*$C$6)-12*I52)-ABS(((('Inputs'!$G$114:$G$121&gt;0)*('Inputs'!$F$114:$F$121+'Inputs'!$G$114:$G$121)+('Inputs'!$G$114:$G$121=0)*12*$C$6)-12*I52)-12)+12)/2-(ABS(('Inputs'!$F$114:$F$121-12*I52))-ABS((('Inputs'!$F$114:$F$121-12*I52))-12)+12)/2)+ABS((ABS((('Inputs'!$G$114:$G$121&gt;0)*('Inputs'!$F$114:$F$121+'Inputs'!$G$114:$G$121)+('Inputs'!$G$114:$G$121=0)*12*$C$6)-12*I52)-ABS(((('Inputs'!$G$114:$G$121&gt;0)*('Inputs'!$F$114:$F$121+'Inputs'!$G$114:$G$121)+('Inputs'!$G$114:$G$121=0)*12*$C$6)-12*I52)-12)+12)/2-(ABS(('Inputs'!$F$114:$F$121-12*I52))-ABS((('Inputs'!$F$114:$F$121-12*I52))-12)+12)/2))/2)</f>
      </c>
      <c r="L52">
        <f>IF(J52&gt;0,1,0)</f>
      </c>
      <c r="P52">
        <f>IF($C$9&lt;&gt;1,0,P51*(1+((1+$C$14)^(1/12)-1))^12-J51/12*(1+((1+$C$14)^(1/12)-1))*(((1+((1+$C$14)^(1/12)-1))^12-1)/((1+((1+$C$14)^(1/12)-1))-1)))</f>
      </c>
      <c r="Q52">
        <f>IF($C$9&lt;&gt;1,0,IFERROR((((1+($C$14+'Inputs'!$H$137/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SUMPRODUCT(('Inputs'!$C$114:$C$121=$C$2)*($C$2&lt;&gt;"")*'Inputs'!$D$114:$D$121*(1+'Inputs'!$E$114:$E$121/100)^I53*(((ABS((('Inputs'!$G$114:$G$121&gt;0)*('Inputs'!$F$114:$F$121+'Inputs'!$G$114:$G$121)+('Inputs'!$G$114:$G$121=0)*12*$C$6)-12*I53)-ABS(((('Inputs'!$G$114:$G$121&gt;0)*('Inputs'!$F$114:$F$121+'Inputs'!$G$114:$G$121)+('Inputs'!$G$114:$G$121=0)*12*$C$6)-12*I53)-12)+12)/2-(ABS(('Inputs'!$F$114:$F$121-12*I53))-ABS((('Inputs'!$F$114:$F$121-12*I53))-12)+12)/2)+ABS((ABS((('Inputs'!$G$114:$G$121&gt;0)*('Inputs'!$F$114:$F$121+'Inputs'!$G$114:$G$121)+('Inputs'!$G$114:$G$121=0)*12*$C$6)-12*I53)-ABS(((('Inputs'!$G$114:$G$121&gt;0)*('Inputs'!$F$114:$F$121+'Inputs'!$G$114:$G$121)+('Inputs'!$G$114:$G$121=0)*12*$C$6)-12*I53)-12)+12)/2-(ABS(('Inputs'!$F$114:$F$121-12*I53))-ABS((('Inputs'!$F$114:$F$121-12*I53))-12)+12)/2))/2)</f>
      </c>
      <c r="L53">
        <f>IF(J53&gt;0,1,0)</f>
      </c>
      <c r="P53">
        <f>IF($C$9&lt;&gt;1,0,P52*(1+((1+$C$14)^(1/12)-1))^12-J52/12*(1+((1+$C$14)^(1/12)-1))*(((1+((1+$C$14)^(1/12)-1))^12-1)/((1+((1+$C$14)^(1/12)-1))-1)))</f>
      </c>
      <c r="Q53">
        <f>IF($C$9&lt;&gt;1,0,IFERROR((((1+($C$14+'Inputs'!$H$137/100))^(1/12)-1)-((1+$C$14)^(1/12)-1))*(P53*(((1+((1+$C$14)^(1/12)-1))^12-1)/((1+((1+$C$14)^(1/12)-1))-1))-J53/12/((1+((1+$C$14)^(1/12)-1))-1)*((1+((1+$C$14)^(1/12)-1))*(((1+((1+$C$14)^(1/12)-1))^12-1)/((1+((1+$C$14)^(1/12)-1))-1))-12)),0))</f>
      </c>
    </row>
    <row r="58" spans="2:3" x14ac:dyDescent="0.25">
      <c r="B58" t="s">
        <v>122</v>
      </c>
      <c r="C58">
        <f>IF('Inputs'!$B$101="","",'Inputs'!$B$101)</f>
      </c>
    </row>
    <row r="59" spans="2:17" x14ac:dyDescent="0.25">
      <c r="B59" t="s">
        <v>124</v>
      </c>
      <c r="C59">
        <f>N('Inputs'!$D$101)</f>
      </c>
      <c r="I59" t="s">
        <v>451</v>
      </c>
      <c r="J59" t="s">
        <v>452</v>
      </c>
      <c r="K59" t="s">
        <v>453</v>
      </c>
      <c r="L59" t="s">
        <v>454</v>
      </c>
      <c r="P59" t="s">
        <v>455</v>
      </c>
      <c r="Q59" t="s">
        <v>456</v>
      </c>
    </row>
    <row r="60" spans="2:17" x14ac:dyDescent="0.25">
      <c r="B60" t="s">
        <v>457</v>
      </c>
      <c r="C60">
        <f>IF($C$59&gt;=75,'Inputs'!$H$145,IF($C$59&gt;=65,'Inputs'!$H$144,'Inputs'!$H$138))</f>
      </c>
      <c r="I60">
        <v>0</v>
      </c>
      <c r="J60">
        <f>IF(I60&lt;$C$62,MAX(0,12*$C$63*(1+$C$64)^I60-K60),0)</f>
      </c>
      <c r="K60">
        <f>SUMPRODUCT(('Inputs'!$G$76:$G$81=$C$58)*($C$58&lt;&gt;"")*'Inputs'!$D$76:$D$81*(1+'Inputs'!$E$76:$E$81/100)^I60*(ABS('Inputs'!$F$76:$F$81-12*I60)-ABS(('Inputs'!$F$76:$F$81-12*I60)-12)+12)/2)+SUMPRODUCT(('Inputs'!$C$114:$C$121=$C$58)*($C$58&lt;&gt;"")*'Inputs'!$D$114:$D$121*(1+'Inputs'!$E$114:$E$121/100)^I60*(((ABS((('Inputs'!$G$114:$G$121&gt;0)*('Inputs'!$F$114:$F$121+'Inputs'!$G$114:$G$121)+('Inputs'!$G$114:$G$121=0)*12*$C$62)-12*I60)-ABS(((('Inputs'!$G$114:$G$121&gt;0)*('Inputs'!$F$114:$F$121+'Inputs'!$G$114:$G$121)+('Inputs'!$G$114:$G$121=0)*12*$C$62)-12*I60)-12)+12)/2-(ABS(('Inputs'!$F$114:$F$121-12*I60))-ABS((('Inputs'!$F$114:$F$121-12*I60))-12)+12)/2)+ABS((ABS((('Inputs'!$G$114:$G$121&gt;0)*('Inputs'!$F$114:$F$121+'Inputs'!$G$114:$G$121)+('Inputs'!$G$114:$G$121=0)*12*$C$62)-12*I60)-ABS(((('Inputs'!$G$114:$G$121&gt;0)*('Inputs'!$F$114:$F$121+'Inputs'!$G$114:$G$121)+('Inputs'!$G$114:$G$121=0)*12*$C$62)-12*I60)-12)+12)/2-(ABS(('Inputs'!$F$114:$F$121-12*I60))-ABS((('Inputs'!$F$114:$F$121-12*I60))-12)+12)/2))/2)</f>
      </c>
      <c r="L60">
        <f>IF(J60&gt;0,1,0)</f>
      </c>
      <c r="P60">
        <f>IF($C$65&lt;&gt;1,0,IF($C$70=0,SUM($J$60:$J$109),(1-(1+$C$70)^-1)/(1-(1+$C$70)^(-1/12))/12*SUMPRODUCT($J$60:$J$109,(1+$C$70)^(-$I$60:$I$109))))</f>
      </c>
      <c r="Q60">
        <f>IF($C$65&lt;&gt;1,0,IFERROR((((1+($C$70+'Inputs'!$H$137/100))^(1/12)-1)-((1+$C$70)^(1/12)-1))*(P60*(((1+((1+$C$70)^(1/12)-1))^12-1)/((1+((1+$C$70)^(1/12)-1))-1))-J60/12/((1+((1+$C$70)^(1/12)-1))-1)*((1+((1+$C$70)^(1/12)-1))*(((1+((1+$C$70)^(1/12)-1))^12-1)/((1+((1+$C$70)^(1/12)-1))-1))-12)),0))</f>
      </c>
    </row>
    <row r="61" spans="2:17" x14ac:dyDescent="0.25">
      <c r="B61" t="s">
        <v>458</v>
      </c>
      <c r="C61">
        <f>N('Inputs'!$I$101)</f>
      </c>
      <c r="I61">
        <v>1</v>
      </c>
      <c r="J61">
        <f>IF(I61&lt;$C$62,MAX(0,12*$C$63*(1+$C$64)^I61-K61),0)</f>
      </c>
      <c r="K61">
        <f>SUMPRODUCT(('Inputs'!$G$76:$G$81=$C$58)*($C$58&lt;&gt;"")*'Inputs'!$D$76:$D$81*(1+'Inputs'!$E$76:$E$81/100)^I61*(ABS('Inputs'!$F$76:$F$81-12*I61)-ABS(('Inputs'!$F$76:$F$81-12*I61)-12)+12)/2)+SUMPRODUCT(('Inputs'!$C$114:$C$121=$C$58)*($C$58&lt;&gt;"")*'Inputs'!$D$114:$D$121*(1+'Inputs'!$E$114:$E$121/100)^I61*(((ABS((('Inputs'!$G$114:$G$121&gt;0)*('Inputs'!$F$114:$F$121+'Inputs'!$G$114:$G$121)+('Inputs'!$G$114:$G$121=0)*12*$C$62)-12*I61)-ABS(((('Inputs'!$G$114:$G$121&gt;0)*('Inputs'!$F$114:$F$121+'Inputs'!$G$114:$G$121)+('Inputs'!$G$114:$G$121=0)*12*$C$62)-12*I61)-12)+12)/2-(ABS(('Inputs'!$F$114:$F$121-12*I61))-ABS((('Inputs'!$F$114:$F$121-12*I61))-12)+12)/2)+ABS((ABS((('Inputs'!$G$114:$G$121&gt;0)*('Inputs'!$F$114:$F$121+'Inputs'!$G$114:$G$121)+('Inputs'!$G$114:$G$121=0)*12*$C$62)-12*I61)-ABS(((('Inputs'!$G$114:$G$121&gt;0)*('Inputs'!$F$114:$F$121+'Inputs'!$G$114:$G$121)+('Inputs'!$G$114:$G$121=0)*12*$C$62)-12*I61)-12)+12)/2-(ABS(('Inputs'!$F$114:$F$121-12*I61))-ABS((('Inputs'!$F$114:$F$121-12*I61))-12)+12)/2))/2)</f>
      </c>
      <c r="L61">
        <f>IF(J61&gt;0,1,0)</f>
      </c>
      <c r="P61">
        <f>IF($C$65&lt;&gt;1,0,P60*(1+((1+$C$70)^(1/12)-1))^12-J60/12*(1+((1+$C$70)^(1/12)-1))*(((1+((1+$C$70)^(1/12)-1))^12-1)/((1+((1+$C$70)^(1/12)-1))-1)))</f>
      </c>
      <c r="Q61">
        <f>IF($C$65&lt;&gt;1,0,IFERROR((((1+($C$70+'Inputs'!$H$137/100))^(1/12)-1)-((1+$C$70)^(1/12)-1))*(P61*(((1+((1+$C$70)^(1/12)-1))^12-1)/((1+((1+$C$70)^(1/12)-1))-1))-J61/12/((1+((1+$C$70)^(1/12)-1))-1)*((1+((1+$C$70)^(1/12)-1))*(((1+((1+$C$70)^(1/12)-1))^12-1)/((1+((1+$C$70)^(1/12)-1))-1))-12)),0))</f>
      </c>
    </row>
    <row r="62" spans="2:17" x14ac:dyDescent="0.25">
      <c r="B62" t="s">
        <v>459</v>
      </c>
      <c r="C62">
        <f>IF($C$58="",0,N('Inputs'!$F$101))</f>
      </c>
      <c r="I62">
        <v>2</v>
      </c>
      <c r="J62">
        <f>IF(I62&lt;$C$62,MAX(0,12*$C$63*(1+$C$64)^I62-K62),0)</f>
      </c>
      <c r="K62">
        <f>SUMPRODUCT(('Inputs'!$G$76:$G$81=$C$58)*($C$58&lt;&gt;"")*'Inputs'!$D$76:$D$81*(1+'Inputs'!$E$76:$E$81/100)^I62*(ABS('Inputs'!$F$76:$F$81-12*I62)-ABS(('Inputs'!$F$76:$F$81-12*I62)-12)+12)/2)+SUMPRODUCT(('Inputs'!$C$114:$C$121=$C$58)*($C$58&lt;&gt;"")*'Inputs'!$D$114:$D$121*(1+'Inputs'!$E$114:$E$121/100)^I62*(((ABS((('Inputs'!$G$114:$G$121&gt;0)*('Inputs'!$F$114:$F$121+'Inputs'!$G$114:$G$121)+('Inputs'!$G$114:$G$121=0)*12*$C$62)-12*I62)-ABS(((('Inputs'!$G$114:$G$121&gt;0)*('Inputs'!$F$114:$F$121+'Inputs'!$G$114:$G$121)+('Inputs'!$G$114:$G$121=0)*12*$C$62)-12*I62)-12)+12)/2-(ABS(('Inputs'!$F$114:$F$121-12*I62))-ABS((('Inputs'!$F$114:$F$121-12*I62))-12)+12)/2)+ABS((ABS((('Inputs'!$G$114:$G$121&gt;0)*('Inputs'!$F$114:$F$121+'Inputs'!$G$114:$G$121)+('Inputs'!$G$114:$G$121=0)*12*$C$62)-12*I62)-ABS(((('Inputs'!$G$114:$G$121&gt;0)*('Inputs'!$F$114:$F$121+'Inputs'!$G$114:$G$121)+('Inputs'!$G$114:$G$121=0)*12*$C$62)-12*I62)-12)+12)/2-(ABS(('Inputs'!$F$114:$F$121-12*I62))-ABS((('Inputs'!$F$114:$F$121-12*I62))-12)+12)/2))/2)</f>
      </c>
      <c r="L62">
        <f>IF(J62&gt;0,1,0)</f>
      </c>
      <c r="P62">
        <f>IF($C$65&lt;&gt;1,0,P61*(1+((1+$C$70)^(1/12)-1))^12-J61/12*(1+((1+$C$70)^(1/12)-1))*(((1+((1+$C$70)^(1/12)-1))^12-1)/((1+((1+$C$70)^(1/12)-1))-1)))</f>
      </c>
      <c r="Q62">
        <f>IF($C$65&lt;&gt;1,0,IFERROR((((1+($C$70+'Inputs'!$H$137/100))^(1/12)-1)-((1+$C$70)^(1/12)-1))*(P62*(((1+((1+$C$70)^(1/12)-1))^12-1)/((1+((1+$C$70)^(1/12)-1))-1))-J62/12/((1+((1+$C$70)^(1/12)-1))-1)*((1+((1+$C$70)^(1/12)-1))*(((1+((1+$C$70)^(1/12)-1))^12-1)/((1+((1+$C$70)^(1/12)-1))-1))-12)),0))</f>
      </c>
    </row>
    <row r="63" spans="2:17" x14ac:dyDescent="0.25">
      <c r="B63" t="s">
        <v>460</v>
      </c>
      <c r="C63">
        <f>N('Inputs'!$E$101)</f>
      </c>
      <c r="I63">
        <v>3</v>
      </c>
      <c r="J63">
        <f>IF(I63&lt;$C$62,MAX(0,12*$C$63*(1+$C$64)^I63-K63),0)</f>
      </c>
      <c r="K63">
        <f>SUMPRODUCT(('Inputs'!$G$76:$G$81=$C$58)*($C$58&lt;&gt;"")*'Inputs'!$D$76:$D$81*(1+'Inputs'!$E$76:$E$81/100)^I63*(ABS('Inputs'!$F$76:$F$81-12*I63)-ABS(('Inputs'!$F$76:$F$81-12*I63)-12)+12)/2)+SUMPRODUCT(('Inputs'!$C$114:$C$121=$C$58)*($C$58&lt;&gt;"")*'Inputs'!$D$114:$D$121*(1+'Inputs'!$E$114:$E$121/100)^I63*(((ABS((('Inputs'!$G$114:$G$121&gt;0)*('Inputs'!$F$114:$F$121+'Inputs'!$G$114:$G$121)+('Inputs'!$G$114:$G$121=0)*12*$C$62)-12*I63)-ABS(((('Inputs'!$G$114:$G$121&gt;0)*('Inputs'!$F$114:$F$121+'Inputs'!$G$114:$G$121)+('Inputs'!$G$114:$G$121=0)*12*$C$62)-12*I63)-12)+12)/2-(ABS(('Inputs'!$F$114:$F$121-12*I63))-ABS((('Inputs'!$F$114:$F$121-12*I63))-12)+12)/2)+ABS((ABS((('Inputs'!$G$114:$G$121&gt;0)*('Inputs'!$F$114:$F$121+'Inputs'!$G$114:$G$121)+('Inputs'!$G$114:$G$121=0)*12*$C$62)-12*I63)-ABS(((('Inputs'!$G$114:$G$121&gt;0)*('Inputs'!$F$114:$F$121+'Inputs'!$G$114:$G$121)+('Inputs'!$G$114:$G$121=0)*12*$C$62)-12*I63)-12)+12)/2-(ABS(('Inputs'!$F$114:$F$121-12*I63))-ABS((('Inputs'!$F$114:$F$121-12*I63))-12)+12)/2))/2)</f>
      </c>
      <c r="L63">
        <f>IF(J63&gt;0,1,0)</f>
      </c>
      <c r="P63">
        <f>IF($C$65&lt;&gt;1,0,P62*(1+((1+$C$70)^(1/12)-1))^12-J62/12*(1+((1+$C$70)^(1/12)-1))*(((1+((1+$C$70)^(1/12)-1))^12-1)/((1+((1+$C$70)^(1/12)-1))-1)))</f>
      </c>
      <c r="Q63">
        <f>IF($C$65&lt;&gt;1,0,IFERROR((((1+($C$70+'Inputs'!$H$137/100))^(1/12)-1)-((1+$C$70)^(1/12)-1))*(P63*(((1+((1+$C$70)^(1/12)-1))^12-1)/((1+((1+$C$70)^(1/12)-1))-1))-J63/12/((1+((1+$C$70)^(1/12)-1))-1)*((1+((1+$C$70)^(1/12)-1))*(((1+((1+$C$70)^(1/12)-1))^12-1)/((1+((1+$C$70)^(1/12)-1))-1))-12)),0))</f>
      </c>
    </row>
    <row r="64" spans="2:17" x14ac:dyDescent="0.25">
      <c r="B64" t="s">
        <v>461</v>
      </c>
      <c r="C64">
        <f>IF('Inputs'!$G$101="",'Inputs'!$H$143/100,'Inputs'!$G$101/100)</f>
      </c>
      <c r="I64">
        <v>4</v>
      </c>
      <c r="J64">
        <f>IF(I64&lt;$C$62,MAX(0,12*$C$63*(1+$C$64)^I64-K64),0)</f>
      </c>
      <c r="K64">
        <f>SUMPRODUCT(('Inputs'!$G$76:$G$81=$C$58)*($C$58&lt;&gt;"")*'Inputs'!$D$76:$D$81*(1+'Inputs'!$E$76:$E$81/100)^I64*(ABS('Inputs'!$F$76:$F$81-12*I64)-ABS(('Inputs'!$F$76:$F$81-12*I64)-12)+12)/2)+SUMPRODUCT(('Inputs'!$C$114:$C$121=$C$58)*($C$58&lt;&gt;"")*'Inputs'!$D$114:$D$121*(1+'Inputs'!$E$114:$E$121/100)^I64*(((ABS((('Inputs'!$G$114:$G$121&gt;0)*('Inputs'!$F$114:$F$121+'Inputs'!$G$114:$G$121)+('Inputs'!$G$114:$G$121=0)*12*$C$62)-12*I64)-ABS(((('Inputs'!$G$114:$G$121&gt;0)*('Inputs'!$F$114:$F$121+'Inputs'!$G$114:$G$121)+('Inputs'!$G$114:$G$121=0)*12*$C$62)-12*I64)-12)+12)/2-(ABS(('Inputs'!$F$114:$F$121-12*I64))-ABS((('Inputs'!$F$114:$F$121-12*I64))-12)+12)/2)+ABS((ABS((('Inputs'!$G$114:$G$121&gt;0)*('Inputs'!$F$114:$F$121+'Inputs'!$G$114:$G$121)+('Inputs'!$G$114:$G$121=0)*12*$C$62)-12*I64)-ABS(((('Inputs'!$G$114:$G$121&gt;0)*('Inputs'!$F$114:$F$121+'Inputs'!$G$114:$G$121)+('Inputs'!$G$114:$G$121=0)*12*$C$62)-12*I64)-12)+12)/2-(ABS(('Inputs'!$F$114:$F$121-12*I64))-ABS((('Inputs'!$F$114:$F$121-12*I64))-12)+12)/2))/2)</f>
      </c>
      <c r="L64">
        <f>IF(J64&gt;0,1,0)</f>
      </c>
      <c r="P64">
        <f>IF($C$65&lt;&gt;1,0,P63*(1+((1+$C$70)^(1/12)-1))^12-J63/12*(1+((1+$C$70)^(1/12)-1))*(((1+((1+$C$70)^(1/12)-1))^12-1)/((1+((1+$C$70)^(1/12)-1))-1)))</f>
      </c>
      <c r="Q64">
        <f>IF($C$65&lt;&gt;1,0,IFERROR((((1+($C$70+'Inputs'!$H$137/100))^(1/12)-1)-((1+$C$70)^(1/12)-1))*(P64*(((1+((1+$C$70)^(1/12)-1))^12-1)/((1+((1+$C$70)^(1/12)-1))-1))-J64/12/((1+((1+$C$70)^(1/12)-1))-1)*((1+((1+$C$70)^(1/12)-1))*(((1+((1+$C$70)^(1/12)-1))^12-1)/((1+((1+$C$70)^(1/12)-1))-1))-12)),0))</f>
      </c>
    </row>
    <row r="65" spans="2:17" x14ac:dyDescent="0.25">
      <c r="B65" t="s">
        <v>462</v>
      </c>
      <c r="C65">
        <f>IF('Inputs'!$H$101="Yes",1,0)</f>
      </c>
      <c r="I65">
        <v>5</v>
      </c>
      <c r="J65">
        <f>IF(I65&lt;$C$62,MAX(0,12*$C$63*(1+$C$64)^I65-K65),0)</f>
      </c>
      <c r="K65">
        <f>SUMPRODUCT(('Inputs'!$G$76:$G$81=$C$58)*($C$58&lt;&gt;"")*'Inputs'!$D$76:$D$81*(1+'Inputs'!$E$76:$E$81/100)^I65*(ABS('Inputs'!$F$76:$F$81-12*I65)-ABS(('Inputs'!$F$76:$F$81-12*I65)-12)+12)/2)+SUMPRODUCT(('Inputs'!$C$114:$C$121=$C$58)*($C$58&lt;&gt;"")*'Inputs'!$D$114:$D$121*(1+'Inputs'!$E$114:$E$121/100)^I65*(((ABS((('Inputs'!$G$114:$G$121&gt;0)*('Inputs'!$F$114:$F$121+'Inputs'!$G$114:$G$121)+('Inputs'!$G$114:$G$121=0)*12*$C$62)-12*I65)-ABS(((('Inputs'!$G$114:$G$121&gt;0)*('Inputs'!$F$114:$F$121+'Inputs'!$G$114:$G$121)+('Inputs'!$G$114:$G$121=0)*12*$C$62)-12*I65)-12)+12)/2-(ABS(('Inputs'!$F$114:$F$121-12*I65))-ABS((('Inputs'!$F$114:$F$121-12*I65))-12)+12)/2)+ABS((ABS((('Inputs'!$G$114:$G$121&gt;0)*('Inputs'!$F$114:$F$121+'Inputs'!$G$114:$G$121)+('Inputs'!$G$114:$G$121=0)*12*$C$62)-12*I65)-ABS(((('Inputs'!$G$114:$G$121&gt;0)*('Inputs'!$F$114:$F$121+'Inputs'!$G$114:$G$121)+('Inputs'!$G$114:$G$121=0)*12*$C$62)-12*I65)-12)+12)/2-(ABS(('Inputs'!$F$114:$F$121-12*I65))-ABS((('Inputs'!$F$114:$F$121-12*I65))-12)+12)/2))/2)</f>
      </c>
      <c r="L65">
        <f>IF(J65&gt;0,1,0)</f>
      </c>
      <c r="P65">
        <f>IF($C$65&lt;&gt;1,0,P64*(1+((1+$C$70)^(1/12)-1))^12-J64/12*(1+((1+$C$70)^(1/12)-1))*(((1+((1+$C$70)^(1/12)-1))^12-1)/((1+((1+$C$70)^(1/12)-1))-1)))</f>
      </c>
      <c r="Q65">
        <f>IF($C$65&lt;&gt;1,0,IFERROR((((1+($C$70+'Inputs'!$H$137/100))^(1/12)-1)-((1+$C$70)^(1/12)-1))*(P65*(((1+((1+$C$70)^(1/12)-1))^12-1)/((1+((1+$C$70)^(1/12)-1))-1))-J65/12/((1+((1+$C$70)^(1/12)-1))-1)*((1+((1+$C$70)^(1/12)-1))*(((1+((1+$C$70)^(1/12)-1))^12-1)/((1+((1+$C$70)^(1/12)-1))-1))-12)),0))</f>
      </c>
    </row>
    <row r="66" spans="2:17" x14ac:dyDescent="0.25">
      <c r="B66" t="s">
        <v>463</v>
      </c>
      <c r="C66">
        <f>IF($C$58="",0,N('Inputs'!$J$101))</f>
      </c>
      <c r="I66">
        <v>6</v>
      </c>
      <c r="J66">
        <f>IF(I66&lt;$C$62,MAX(0,12*$C$63*(1+$C$64)^I66-K66),0)</f>
      </c>
      <c r="K66">
        <f>SUMPRODUCT(('Inputs'!$G$76:$G$81=$C$58)*($C$58&lt;&gt;"")*'Inputs'!$D$76:$D$81*(1+'Inputs'!$E$76:$E$81/100)^I66*(ABS('Inputs'!$F$76:$F$81-12*I66)-ABS(('Inputs'!$F$76:$F$81-12*I66)-12)+12)/2)+SUMPRODUCT(('Inputs'!$C$114:$C$121=$C$58)*($C$58&lt;&gt;"")*'Inputs'!$D$114:$D$121*(1+'Inputs'!$E$114:$E$121/100)^I66*(((ABS((('Inputs'!$G$114:$G$121&gt;0)*('Inputs'!$F$114:$F$121+'Inputs'!$G$114:$G$121)+('Inputs'!$G$114:$G$121=0)*12*$C$62)-12*I66)-ABS(((('Inputs'!$G$114:$G$121&gt;0)*('Inputs'!$F$114:$F$121+'Inputs'!$G$114:$G$121)+('Inputs'!$G$114:$G$121=0)*12*$C$62)-12*I66)-12)+12)/2-(ABS(('Inputs'!$F$114:$F$121-12*I66))-ABS((('Inputs'!$F$114:$F$121-12*I66))-12)+12)/2)+ABS((ABS((('Inputs'!$G$114:$G$121&gt;0)*('Inputs'!$F$114:$F$121+'Inputs'!$G$114:$G$121)+('Inputs'!$G$114:$G$121=0)*12*$C$62)-12*I66)-ABS(((('Inputs'!$G$114:$G$121&gt;0)*('Inputs'!$F$114:$F$121+'Inputs'!$G$114:$G$121)+('Inputs'!$G$114:$G$121=0)*12*$C$62)-12*I66)-12)+12)/2-(ABS(('Inputs'!$F$114:$F$121-12*I66))-ABS((('Inputs'!$F$114:$F$121-12*I66))-12)+12)/2))/2)</f>
      </c>
      <c r="L66">
        <f>IF(J66&gt;0,1,0)</f>
      </c>
      <c r="P66">
        <f>IF($C$65&lt;&gt;1,0,P65*(1+((1+$C$70)^(1/12)-1))^12-J65/12*(1+((1+$C$70)^(1/12)-1))*(((1+((1+$C$70)^(1/12)-1))^12-1)/((1+((1+$C$70)^(1/12)-1))-1)))</f>
      </c>
      <c r="Q66">
        <f>IF($C$65&lt;&gt;1,0,IFERROR((((1+($C$70+'Inputs'!$H$137/100))^(1/12)-1)-((1+$C$70)^(1/12)-1))*(P66*(((1+((1+$C$70)^(1/12)-1))^12-1)/((1+((1+$C$70)^(1/12)-1))-1))-J66/12/((1+((1+$C$70)^(1/12)-1))-1)*((1+((1+$C$70)^(1/12)-1))*(((1+((1+$C$70)^(1/12)-1))^12-1)/((1+((1+$C$70)^(1/12)-1))-1))-12)),0))</f>
      </c>
    </row>
    <row r="67" spans="2:17" x14ac:dyDescent="0.25">
      <c r="B67" t="s">
        <v>464</v>
      </c>
      <c r="C67">
        <f>ROUND(Q60,2)</f>
      </c>
      <c r="I67">
        <v>7</v>
      </c>
      <c r="J67">
        <f>IF(I67&lt;$C$62,MAX(0,12*$C$63*(1+$C$64)^I67-K67),0)</f>
      </c>
      <c r="K67">
        <f>SUMPRODUCT(('Inputs'!$G$76:$G$81=$C$58)*($C$58&lt;&gt;"")*'Inputs'!$D$76:$D$81*(1+'Inputs'!$E$76:$E$81/100)^I67*(ABS('Inputs'!$F$76:$F$81-12*I67)-ABS(('Inputs'!$F$76:$F$81-12*I67)-12)+12)/2)+SUMPRODUCT(('Inputs'!$C$114:$C$121=$C$58)*($C$58&lt;&gt;"")*'Inputs'!$D$114:$D$121*(1+'Inputs'!$E$114:$E$121/100)^I67*(((ABS((('Inputs'!$G$114:$G$121&gt;0)*('Inputs'!$F$114:$F$121+'Inputs'!$G$114:$G$121)+('Inputs'!$G$114:$G$121=0)*12*$C$62)-12*I67)-ABS(((('Inputs'!$G$114:$G$121&gt;0)*('Inputs'!$F$114:$F$121+'Inputs'!$G$114:$G$121)+('Inputs'!$G$114:$G$121=0)*12*$C$62)-12*I67)-12)+12)/2-(ABS(('Inputs'!$F$114:$F$121-12*I67))-ABS((('Inputs'!$F$114:$F$121-12*I67))-12)+12)/2)+ABS((ABS((('Inputs'!$G$114:$G$121&gt;0)*('Inputs'!$F$114:$F$121+'Inputs'!$G$114:$G$121)+('Inputs'!$G$114:$G$121=0)*12*$C$62)-12*I67)-ABS(((('Inputs'!$G$114:$G$121&gt;0)*('Inputs'!$F$114:$F$121+'Inputs'!$G$114:$G$121)+('Inputs'!$G$114:$G$121=0)*12*$C$62)-12*I67)-12)+12)/2-(ABS(('Inputs'!$F$114:$F$121-12*I67))-ABS((('Inputs'!$F$114:$F$121-12*I67))-12)+12)/2))/2)</f>
      </c>
      <c r="L67">
        <f>IF(J67&gt;0,1,0)</f>
      </c>
      <c r="P67">
        <f>IF($C$65&lt;&gt;1,0,P66*(1+((1+$C$70)^(1/12)-1))^12-J66/12*(1+((1+$C$70)^(1/12)-1))*(((1+((1+$C$70)^(1/12)-1))^12-1)/((1+((1+$C$70)^(1/12)-1))-1)))</f>
      </c>
      <c r="Q67">
        <f>IF($C$65&lt;&gt;1,0,IFERROR((((1+($C$70+'Inputs'!$H$137/100))^(1/12)-1)-((1+$C$70)^(1/12)-1))*(P67*(((1+((1+$C$70)^(1/12)-1))^12-1)/((1+((1+$C$70)^(1/12)-1))-1))-J67/12/((1+((1+$C$70)^(1/12)-1))-1)*((1+((1+$C$70)^(1/12)-1))*(((1+((1+$C$70)^(1/12)-1))^12-1)/((1+((1+$C$70)^(1/12)-1))-1))-12)),0))</f>
      </c>
    </row>
    <row r="68" spans="2:17" x14ac:dyDescent="0.25">
      <c r="B68" t="s">
        <v>465</v>
      </c>
      <c r="C68">
        <f>ROUND(SUM($Q$60:$Q$109),2)</f>
      </c>
      <c r="I68">
        <v>8</v>
      </c>
      <c r="J68">
        <f>IF(I68&lt;$C$62,MAX(0,12*$C$63*(1+$C$64)^I68-K68),0)</f>
      </c>
      <c r="K68">
        <f>SUMPRODUCT(('Inputs'!$G$76:$G$81=$C$58)*($C$58&lt;&gt;"")*'Inputs'!$D$76:$D$81*(1+'Inputs'!$E$76:$E$81/100)^I68*(ABS('Inputs'!$F$76:$F$81-12*I68)-ABS(('Inputs'!$F$76:$F$81-12*I68)-12)+12)/2)+SUMPRODUCT(('Inputs'!$C$114:$C$121=$C$58)*($C$58&lt;&gt;"")*'Inputs'!$D$114:$D$121*(1+'Inputs'!$E$114:$E$121/100)^I68*(((ABS((('Inputs'!$G$114:$G$121&gt;0)*('Inputs'!$F$114:$F$121+'Inputs'!$G$114:$G$121)+('Inputs'!$G$114:$G$121=0)*12*$C$62)-12*I68)-ABS(((('Inputs'!$G$114:$G$121&gt;0)*('Inputs'!$F$114:$F$121+'Inputs'!$G$114:$G$121)+('Inputs'!$G$114:$G$121=0)*12*$C$62)-12*I68)-12)+12)/2-(ABS(('Inputs'!$F$114:$F$121-12*I68))-ABS((('Inputs'!$F$114:$F$121-12*I68))-12)+12)/2)+ABS((ABS((('Inputs'!$G$114:$G$121&gt;0)*('Inputs'!$F$114:$F$121+'Inputs'!$G$114:$G$121)+('Inputs'!$G$114:$G$121=0)*12*$C$62)-12*I68)-ABS(((('Inputs'!$G$114:$G$121&gt;0)*('Inputs'!$F$114:$F$121+'Inputs'!$G$114:$G$121)+('Inputs'!$G$114:$G$121=0)*12*$C$62)-12*I68)-12)+12)/2-(ABS(('Inputs'!$F$114:$F$121-12*I68))-ABS((('Inputs'!$F$114:$F$121-12*I68))-12)+12)/2))/2)</f>
      </c>
      <c r="L68">
        <f>IF(J68&gt;0,1,0)</f>
      </c>
      <c r="P68">
        <f>IF($C$65&lt;&gt;1,0,P67*(1+((1+$C$70)^(1/12)-1))^12-J67/12*(1+((1+$C$70)^(1/12)-1))*(((1+((1+$C$70)^(1/12)-1))^12-1)/((1+((1+$C$70)^(1/12)-1))-1)))</f>
      </c>
      <c r="Q68">
        <f>IF($C$65&lt;&gt;1,0,IFERROR((((1+($C$70+'Inputs'!$H$137/100))^(1/12)-1)-((1+$C$70)^(1/12)-1))*(P68*(((1+((1+$C$70)^(1/12)-1))^12-1)/((1+((1+$C$70)^(1/12)-1))-1))-J68/12/((1+((1+$C$70)^(1/12)-1))-1)*((1+((1+$C$70)^(1/12)-1))*(((1+((1+$C$70)^(1/12)-1))^12-1)/((1+((1+$C$70)^(1/12)-1))-1))-12)),0))</f>
      </c>
    </row>
    <row r="69" spans="2:17" x14ac:dyDescent="0.25">
      <c r="B69" t="s">
        <v>466</v>
      </c>
      <c r="C69">
        <f>IF($C$65&lt;&gt;1,0,ROUND(IF($C$70=0,SUM($J$60:$J$109),(1-(1+$C$70)^-1)/(1-(1+$C$70)^(-1/12))/12*SUMPRODUCT($J$60:$J$109,(1+$C$70)^(-$I$60:$I$109)))-IF(($C$70+'Inputs'!$H$137/100)=0,SUM($J$60:$J$109),(1-(1+($C$70+'Inputs'!$H$137/100))^-1)/(1-(1+($C$70+'Inputs'!$H$137/100))^(-1/12))/12*SUMPRODUCT($J$60:$J$109,(1+($C$70+'Inputs'!$H$137/100))^(-$I$60:$I$109))),2))</f>
      </c>
      <c r="I69">
        <v>9</v>
      </c>
      <c r="J69">
        <f>IF(I69&lt;$C$62,MAX(0,12*$C$63*(1+$C$64)^I69-K69),0)</f>
      </c>
      <c r="K69">
        <f>SUMPRODUCT(('Inputs'!$G$76:$G$81=$C$58)*($C$58&lt;&gt;"")*'Inputs'!$D$76:$D$81*(1+'Inputs'!$E$76:$E$81/100)^I69*(ABS('Inputs'!$F$76:$F$81-12*I69)-ABS(('Inputs'!$F$76:$F$81-12*I69)-12)+12)/2)+SUMPRODUCT(('Inputs'!$C$114:$C$121=$C$58)*($C$58&lt;&gt;"")*'Inputs'!$D$114:$D$121*(1+'Inputs'!$E$114:$E$121/100)^I69*(((ABS((('Inputs'!$G$114:$G$121&gt;0)*('Inputs'!$F$114:$F$121+'Inputs'!$G$114:$G$121)+('Inputs'!$G$114:$G$121=0)*12*$C$62)-12*I69)-ABS(((('Inputs'!$G$114:$G$121&gt;0)*('Inputs'!$F$114:$F$121+'Inputs'!$G$114:$G$121)+('Inputs'!$G$114:$G$121=0)*12*$C$62)-12*I69)-12)+12)/2-(ABS(('Inputs'!$F$114:$F$121-12*I69))-ABS((('Inputs'!$F$114:$F$121-12*I69))-12)+12)/2)+ABS((ABS((('Inputs'!$G$114:$G$121&gt;0)*('Inputs'!$F$114:$F$121+'Inputs'!$G$114:$G$121)+('Inputs'!$G$114:$G$121=0)*12*$C$62)-12*I69)-ABS(((('Inputs'!$G$114:$G$121&gt;0)*('Inputs'!$F$114:$F$121+'Inputs'!$G$114:$G$121)+('Inputs'!$G$114:$G$121=0)*12*$C$62)-12*I69)-12)+12)/2-(ABS(('Inputs'!$F$114:$F$121-12*I69))-ABS((('Inputs'!$F$114:$F$121-12*I69))-12)+12)/2))/2)</f>
      </c>
      <c r="L69">
        <f>IF(J69&gt;0,1,0)</f>
      </c>
      <c r="P69">
        <f>IF($C$65&lt;&gt;1,0,P68*(1+((1+$C$70)^(1/12)-1))^12-J68/12*(1+((1+$C$70)^(1/12)-1))*(((1+((1+$C$70)^(1/12)-1))^12-1)/((1+((1+$C$70)^(1/12)-1))-1)))</f>
      </c>
      <c r="Q69">
        <f>IF($C$65&lt;&gt;1,0,IFERROR((((1+($C$70+'Inputs'!$H$137/100))^(1/12)-1)-((1+$C$70)^(1/12)-1))*(P69*(((1+((1+$C$70)^(1/12)-1))^12-1)/((1+((1+$C$70)^(1/12)-1))-1))-J69/12/((1+((1+$C$70)^(1/12)-1))-1)*((1+((1+$C$70)^(1/12)-1))*(((1+((1+$C$70)^(1/12)-1))^12-1)/((1+((1+$C$70)^(1/12)-1))-1))-12)),0))</f>
      </c>
    </row>
    <row r="70" spans="2:17" x14ac:dyDescent="0.25">
      <c r="B70" t="s">
        <v>467</v>
      </c>
      <c r="C70">
        <f>IF($C$65=1,'Needs calc'!$C$55,0)</f>
      </c>
      <c r="I70">
        <v>10</v>
      </c>
      <c r="J70">
        <f>IF(I70&lt;$C$62,MAX(0,12*$C$63*(1+$C$64)^I70-K70),0)</f>
      </c>
      <c r="K70">
        <f>SUMPRODUCT(('Inputs'!$G$76:$G$81=$C$58)*($C$58&lt;&gt;"")*'Inputs'!$D$76:$D$81*(1+'Inputs'!$E$76:$E$81/100)^I70*(ABS('Inputs'!$F$76:$F$81-12*I70)-ABS(('Inputs'!$F$76:$F$81-12*I70)-12)+12)/2)+SUMPRODUCT(('Inputs'!$C$114:$C$121=$C$58)*($C$58&lt;&gt;"")*'Inputs'!$D$114:$D$121*(1+'Inputs'!$E$114:$E$121/100)^I70*(((ABS((('Inputs'!$G$114:$G$121&gt;0)*('Inputs'!$F$114:$F$121+'Inputs'!$G$114:$G$121)+('Inputs'!$G$114:$G$121=0)*12*$C$62)-12*I70)-ABS(((('Inputs'!$G$114:$G$121&gt;0)*('Inputs'!$F$114:$F$121+'Inputs'!$G$114:$G$121)+('Inputs'!$G$114:$G$121=0)*12*$C$62)-12*I70)-12)+12)/2-(ABS(('Inputs'!$F$114:$F$121-12*I70))-ABS((('Inputs'!$F$114:$F$121-12*I70))-12)+12)/2)+ABS((ABS((('Inputs'!$G$114:$G$121&gt;0)*('Inputs'!$F$114:$F$121+'Inputs'!$G$114:$G$121)+('Inputs'!$G$114:$G$121=0)*12*$C$62)-12*I70)-ABS(((('Inputs'!$G$114:$G$121&gt;0)*('Inputs'!$F$114:$F$121+'Inputs'!$G$114:$G$121)+('Inputs'!$G$114:$G$121=0)*12*$C$62)-12*I70)-12)+12)/2-(ABS(('Inputs'!$F$114:$F$121-12*I70))-ABS((('Inputs'!$F$114:$F$121-12*I70))-12)+12)/2))/2)</f>
      </c>
      <c r="L70">
        <f>IF(J70&gt;0,1,0)</f>
      </c>
      <c r="P70">
        <f>IF($C$65&lt;&gt;1,0,P69*(1+((1+$C$70)^(1/12)-1))^12-J69/12*(1+((1+$C$70)^(1/12)-1))*(((1+((1+$C$70)^(1/12)-1))^12-1)/((1+((1+$C$70)^(1/12)-1))-1)))</f>
      </c>
      <c r="Q70">
        <f>IF($C$65&lt;&gt;1,0,IFERROR((((1+($C$70+'Inputs'!$H$137/100))^(1/12)-1)-((1+$C$70)^(1/12)-1))*(P70*(((1+((1+$C$70)^(1/12)-1))^12-1)/((1+((1+$C$70)^(1/12)-1))-1))-J70/12/((1+((1+$C$70)^(1/12)-1))-1)*((1+((1+$C$70)^(1/12)-1))*(((1+((1+$C$70)^(1/12)-1))^12-1)/((1+((1+$C$70)^(1/12)-1))-1))-12)),0))</f>
      </c>
    </row>
    <row r="71" spans="2:17" x14ac:dyDescent="0.25">
      <c r="B71" t="s">
        <v>468</v>
      </c>
      <c r="C71">
        <f>SUMPRODUCT(('Inputs'!$G$76:$G$81=$C$58)*($C$58&lt;&gt;"")*('Inputs'!$F$76:$F$81&gt;0)*'Inputs'!$D$76:$D$81)</f>
      </c>
      <c r="I71">
        <v>11</v>
      </c>
      <c r="J71">
        <f>IF(I71&lt;$C$62,MAX(0,12*$C$63*(1+$C$64)^I71-K71),0)</f>
      </c>
      <c r="K71">
        <f>SUMPRODUCT(('Inputs'!$G$76:$G$81=$C$58)*($C$58&lt;&gt;"")*'Inputs'!$D$76:$D$81*(1+'Inputs'!$E$76:$E$81/100)^I71*(ABS('Inputs'!$F$76:$F$81-12*I71)-ABS(('Inputs'!$F$76:$F$81-12*I71)-12)+12)/2)+SUMPRODUCT(('Inputs'!$C$114:$C$121=$C$58)*($C$58&lt;&gt;"")*'Inputs'!$D$114:$D$121*(1+'Inputs'!$E$114:$E$121/100)^I71*(((ABS((('Inputs'!$G$114:$G$121&gt;0)*('Inputs'!$F$114:$F$121+'Inputs'!$G$114:$G$121)+('Inputs'!$G$114:$G$121=0)*12*$C$62)-12*I71)-ABS(((('Inputs'!$G$114:$G$121&gt;0)*('Inputs'!$F$114:$F$121+'Inputs'!$G$114:$G$121)+('Inputs'!$G$114:$G$121=0)*12*$C$62)-12*I71)-12)+12)/2-(ABS(('Inputs'!$F$114:$F$121-12*I71))-ABS((('Inputs'!$F$114:$F$121-12*I71))-12)+12)/2)+ABS((ABS((('Inputs'!$G$114:$G$121&gt;0)*('Inputs'!$F$114:$F$121+'Inputs'!$G$114:$G$121)+('Inputs'!$G$114:$G$121=0)*12*$C$62)-12*I71)-ABS(((('Inputs'!$G$114:$G$121&gt;0)*('Inputs'!$F$114:$F$121+'Inputs'!$G$114:$G$121)+('Inputs'!$G$114:$G$121=0)*12*$C$62)-12*I71)-12)+12)/2-(ABS(('Inputs'!$F$114:$F$121-12*I71))-ABS((('Inputs'!$F$114:$F$121-12*I71))-12)+12)/2))/2)</f>
      </c>
      <c r="L71">
        <f>IF(J71&gt;0,1,0)</f>
      </c>
      <c r="P71">
        <f>IF($C$65&lt;&gt;1,0,P70*(1+((1+$C$70)^(1/12)-1))^12-J70/12*(1+((1+$C$70)^(1/12)-1))*(((1+((1+$C$70)^(1/12)-1))^12-1)/((1+((1+$C$70)^(1/12)-1))-1)))</f>
      </c>
      <c r="Q71">
        <f>IF($C$65&lt;&gt;1,0,IFERROR((((1+($C$70+'Inputs'!$H$137/100))^(1/12)-1)-((1+$C$70)^(1/12)-1))*(P71*(((1+((1+$C$70)^(1/12)-1))^12-1)/((1+((1+$C$70)^(1/12)-1))-1))-J71/12/((1+((1+$C$70)^(1/12)-1))-1)*((1+((1+$C$70)^(1/12)-1))*(((1+((1+$C$70)^(1/12)-1))^12-1)/((1+((1+$C$70)^(1/12)-1))-1))-12)),0))</f>
      </c>
    </row>
    <row r="72" spans="2:17" x14ac:dyDescent="0.25">
      <c r="B72" t="s">
        <v>469</v>
      </c>
      <c r="C72">
        <f>IF($C$62&gt;0,$C$63-J60/12,0)</f>
      </c>
      <c r="I72">
        <v>12</v>
      </c>
      <c r="J72">
        <f>IF(I72&lt;$C$62,MAX(0,12*$C$63*(1+$C$64)^I72-K72),0)</f>
      </c>
      <c r="K72">
        <f>SUMPRODUCT(('Inputs'!$G$76:$G$81=$C$58)*($C$58&lt;&gt;"")*'Inputs'!$D$76:$D$81*(1+'Inputs'!$E$76:$E$81/100)^I72*(ABS('Inputs'!$F$76:$F$81-12*I72)-ABS(('Inputs'!$F$76:$F$81-12*I72)-12)+12)/2)+SUMPRODUCT(('Inputs'!$C$114:$C$121=$C$58)*($C$58&lt;&gt;"")*'Inputs'!$D$114:$D$121*(1+'Inputs'!$E$114:$E$121/100)^I72*(((ABS((('Inputs'!$G$114:$G$121&gt;0)*('Inputs'!$F$114:$F$121+'Inputs'!$G$114:$G$121)+('Inputs'!$G$114:$G$121=0)*12*$C$62)-12*I72)-ABS(((('Inputs'!$G$114:$G$121&gt;0)*('Inputs'!$F$114:$F$121+'Inputs'!$G$114:$G$121)+('Inputs'!$G$114:$G$121=0)*12*$C$62)-12*I72)-12)+12)/2-(ABS(('Inputs'!$F$114:$F$121-12*I72))-ABS((('Inputs'!$F$114:$F$121-12*I72))-12)+12)/2)+ABS((ABS((('Inputs'!$G$114:$G$121&gt;0)*('Inputs'!$F$114:$F$121+'Inputs'!$G$114:$G$121)+('Inputs'!$G$114:$G$121=0)*12*$C$62)-12*I72)-ABS(((('Inputs'!$G$114:$G$121&gt;0)*('Inputs'!$F$114:$F$121+'Inputs'!$G$114:$G$121)+('Inputs'!$G$114:$G$121=0)*12*$C$62)-12*I72)-12)+12)/2-(ABS(('Inputs'!$F$114:$F$121-12*I72))-ABS((('Inputs'!$F$114:$F$121-12*I72))-12)+12)/2))/2)</f>
      </c>
      <c r="L72">
        <f>IF(J72&gt;0,1,0)</f>
      </c>
      <c r="P72">
        <f>IF($C$65&lt;&gt;1,0,P71*(1+((1+$C$70)^(1/12)-1))^12-J71/12*(1+((1+$C$70)^(1/12)-1))*(((1+((1+$C$70)^(1/12)-1))^12-1)/((1+((1+$C$70)^(1/12)-1))-1)))</f>
      </c>
      <c r="Q72">
        <f>IF($C$65&lt;&gt;1,0,IFERROR((((1+($C$70+'Inputs'!$H$137/100))^(1/12)-1)-((1+$C$70)^(1/12)-1))*(P72*(((1+((1+$C$70)^(1/12)-1))^12-1)/((1+((1+$C$70)^(1/12)-1))-1))-J72/12/((1+((1+$C$70)^(1/12)-1))-1)*((1+((1+$C$70)^(1/12)-1))*(((1+((1+$C$70)^(1/12)-1))^12-1)/((1+((1+$C$70)^(1/12)-1))-1))-12)),0))</f>
      </c>
    </row>
    <row r="73" spans="2:17" x14ac:dyDescent="0.25">
      <c r="B73" t="s">
        <v>470</v>
      </c>
      <c r="C73">
        <f>SUMPRODUCT(MAX(('Inputs'!$G$76:$G$81=$C$58)*($C$58&lt;&gt;"")*'Inputs'!$F$76:$F$81))</f>
      </c>
      <c r="I73">
        <v>13</v>
      </c>
      <c r="J73">
        <f>IF(I73&lt;$C$62,MAX(0,12*$C$63*(1+$C$64)^I73-K73),0)</f>
      </c>
      <c r="K73">
        <f>SUMPRODUCT(('Inputs'!$G$76:$G$81=$C$58)*($C$58&lt;&gt;"")*'Inputs'!$D$76:$D$81*(1+'Inputs'!$E$76:$E$81/100)^I73*(ABS('Inputs'!$F$76:$F$81-12*I73)-ABS(('Inputs'!$F$76:$F$81-12*I73)-12)+12)/2)+SUMPRODUCT(('Inputs'!$C$114:$C$121=$C$58)*($C$58&lt;&gt;"")*'Inputs'!$D$114:$D$121*(1+'Inputs'!$E$114:$E$121/100)^I73*(((ABS((('Inputs'!$G$114:$G$121&gt;0)*('Inputs'!$F$114:$F$121+'Inputs'!$G$114:$G$121)+('Inputs'!$G$114:$G$121=0)*12*$C$62)-12*I73)-ABS(((('Inputs'!$G$114:$G$121&gt;0)*('Inputs'!$F$114:$F$121+'Inputs'!$G$114:$G$121)+('Inputs'!$G$114:$G$121=0)*12*$C$62)-12*I73)-12)+12)/2-(ABS(('Inputs'!$F$114:$F$121-12*I73))-ABS((('Inputs'!$F$114:$F$121-12*I73))-12)+12)/2)+ABS((ABS((('Inputs'!$G$114:$G$121&gt;0)*('Inputs'!$F$114:$F$121+'Inputs'!$G$114:$G$121)+('Inputs'!$G$114:$G$121=0)*12*$C$62)-12*I73)-ABS(((('Inputs'!$G$114:$G$121&gt;0)*('Inputs'!$F$114:$F$121+'Inputs'!$G$114:$G$121)+('Inputs'!$G$114:$G$121=0)*12*$C$62)-12*I73)-12)+12)/2-(ABS(('Inputs'!$F$114:$F$121-12*I73))-ABS((('Inputs'!$F$114:$F$121-12*I73))-12)+12)/2))/2)</f>
      </c>
      <c r="L73">
        <f>IF(J73&gt;0,1,0)</f>
      </c>
      <c r="P73">
        <f>IF($C$65&lt;&gt;1,0,P72*(1+((1+$C$70)^(1/12)-1))^12-J72/12*(1+((1+$C$70)^(1/12)-1))*(((1+((1+$C$70)^(1/12)-1))^12-1)/((1+((1+$C$70)^(1/12)-1))-1)))</f>
      </c>
      <c r="Q73">
        <f>IF($C$65&lt;&gt;1,0,IFERROR((((1+($C$70+'Inputs'!$H$137/100))^(1/12)-1)-((1+$C$70)^(1/12)-1))*(P73*(((1+((1+$C$70)^(1/12)-1))^12-1)/((1+((1+$C$70)^(1/12)-1))-1))-J73/12/((1+((1+$C$70)^(1/12)-1))-1)*((1+((1+$C$70)^(1/12)-1))*(((1+((1+$C$70)^(1/12)-1))^12-1)/((1+((1+$C$70)^(1/12)-1))-1))-12)),0))</f>
      </c>
    </row>
    <row r="74" spans="2:17" x14ac:dyDescent="0.25">
      <c r="B74" t="s">
        <v>471</v>
      </c>
      <c r="C74">
        <f>SUM($J$60:$J$109)</f>
      </c>
      <c r="I74">
        <v>14</v>
      </c>
      <c r="J74">
        <f>IF(I74&lt;$C$62,MAX(0,12*$C$63*(1+$C$64)^I74-K74),0)</f>
      </c>
      <c r="K74">
        <f>SUMPRODUCT(('Inputs'!$G$76:$G$81=$C$58)*($C$58&lt;&gt;"")*'Inputs'!$D$76:$D$81*(1+'Inputs'!$E$76:$E$81/100)^I74*(ABS('Inputs'!$F$76:$F$81-12*I74)-ABS(('Inputs'!$F$76:$F$81-12*I74)-12)+12)/2)+SUMPRODUCT(('Inputs'!$C$114:$C$121=$C$58)*($C$58&lt;&gt;"")*'Inputs'!$D$114:$D$121*(1+'Inputs'!$E$114:$E$121/100)^I74*(((ABS((('Inputs'!$G$114:$G$121&gt;0)*('Inputs'!$F$114:$F$121+'Inputs'!$G$114:$G$121)+('Inputs'!$G$114:$G$121=0)*12*$C$62)-12*I74)-ABS(((('Inputs'!$G$114:$G$121&gt;0)*('Inputs'!$F$114:$F$121+'Inputs'!$G$114:$G$121)+('Inputs'!$G$114:$G$121=0)*12*$C$62)-12*I74)-12)+12)/2-(ABS(('Inputs'!$F$114:$F$121-12*I74))-ABS((('Inputs'!$F$114:$F$121-12*I74))-12)+12)/2)+ABS((ABS((('Inputs'!$G$114:$G$121&gt;0)*('Inputs'!$F$114:$F$121+'Inputs'!$G$114:$G$121)+('Inputs'!$G$114:$G$121=0)*12*$C$62)-12*I74)-ABS(((('Inputs'!$G$114:$G$121&gt;0)*('Inputs'!$F$114:$F$121+'Inputs'!$G$114:$G$121)+('Inputs'!$G$114:$G$121=0)*12*$C$62)-12*I74)-12)+12)/2-(ABS(('Inputs'!$F$114:$F$121-12*I74))-ABS((('Inputs'!$F$114:$F$121-12*I74))-12)+12)/2))/2)</f>
      </c>
      <c r="L74">
        <f>IF(J74&gt;0,1,0)</f>
      </c>
      <c r="P74">
        <f>IF($C$65&lt;&gt;1,0,P73*(1+((1+$C$70)^(1/12)-1))^12-J73/12*(1+((1+$C$70)^(1/12)-1))*(((1+((1+$C$70)^(1/12)-1))^12-1)/((1+((1+$C$70)^(1/12)-1))-1)))</f>
      </c>
      <c r="Q74">
        <f>IF($C$65&lt;&gt;1,0,IFERROR((((1+($C$70+'Inputs'!$H$137/100))^(1/12)-1)-((1+$C$70)^(1/12)-1))*(P74*(((1+((1+$C$70)^(1/12)-1))^12-1)/((1+((1+$C$70)^(1/12)-1))-1))-J74/12/((1+((1+$C$70)^(1/12)-1))-1)*((1+((1+$C$70)^(1/12)-1))*(((1+((1+$C$70)^(1/12)-1))^12-1)/((1+((1+$C$70)^(1/12)-1))-1))-12)),0))</f>
      </c>
    </row>
    <row r="75" spans="2:17" x14ac:dyDescent="0.25">
      <c r="B75" t="s">
        <v>472</v>
      </c>
      <c r="C75">
        <f>IF('Needs calc'!$C$57&gt;0,IF('Inputs'!$O$101*SUM('Inputs'!$U$100:$U$105)&gt;0,IF('Needs calc'!$C$52&gt;='Needs calc'!$C$60,'Inputs'!$B$101&amp;IF(SUM('Inputs'!$U$100:$U$105)=1," and "&amp;IF('Inputs'!$U$100=1,'Inputs'!$B$100,"")&amp;IF('Inputs'!$U$101=1,'Inputs'!$B$101,"")&amp;IF('Inputs'!$U$102=1,'Inputs'!$B$102,"")&amp;IF('Inputs'!$U$103=1,'Inputs'!$B$103,"")&amp;IF('Inputs'!$U$104=1,'Inputs'!$B$104,"")&amp;IF('Inputs'!$U$105=1,'Inputs'!$B$105,"")," and the children")&amp;" would have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you want for them"&amp;IF(('Needs calc'!$C$60-(IF(AND('Inputs'!$C$108="The spouse, from what they receive",SUM('Inputs'!$O$100:$O$105)&gt;0,OR(LEFT('Inputs'!$C$13,7)="Married",'Inputs'!$C$13="Life partner",'Inputs'!$C$13="Civil Union")),1,0)*MAX(0,'Needs calc'!$C$27)))&gt;0,", after the R "&amp;FIXED(ROUND(('Needs calc'!$C$60-(IF(AND('Inputs'!$C$108="The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"&amp;'Inputs'!$B$101&amp;" pays the R "&amp;FIXED(ROUND((IF(AND('Inputs'!$C$108="The spouse, from what they receive",SUM('Inputs'!$O$100:$O$105)&gt;0,OR(LEFT('Inputs'!$C$13,7)="Married",'Inputs'!$C$13="Life partner",'Inputs'!$C$13="Civil Union")),1,0)*MAX(0,'Needs calc'!$C$27)),-3),0)&amp;" your estate needs","")&amp;". ",'Inputs'!$B$101&amp;IF(SUM('Inputs'!$U$100:$U$105)=1," and "&amp;IF('Inputs'!$U$100=1,'Inputs'!$B$100,"")&amp;IF('Inputs'!$U$101=1,'Inputs'!$B$101,"")&amp;IF('Inputs'!$U$102=1,'Inputs'!$B$102,"")&amp;IF('Inputs'!$U$103=1,'Inputs'!$B$103,"")&amp;IF('Inputs'!$U$104=1,'Inputs'!$B$104,"")&amp;IF('Inputs'!$U$105=1,'Inputs'!$B$105,"")," and the children")&amp;" would have "&amp;IF('Needs calc'!$C$52&lt;=0,"nothing","about R "&amp;FIXED(ROUND('Needs calc'!$C$52,-3),0))&amp;" of the R "&amp;FIXED(ROUND('Needs calc'!$C$60,-3),0)&amp;"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"),IF(N('Inputs'!$E$101)&gt;0,IF('Needs years'!$C$71+'Needs years'!$C$78&lt;=0,IF('Needs years'!$C$66&lt;=0,'Inputs'!$B$101&amp;" would have about R "&amp;FIXED(ROUND('Needs calc'!$C$58,-2),0)&amp;" a month of the R "&amp;FIXED(ROUND('Inputs'!$E$101,-2),0)&amp;" you want. ",IF('Needs calc'!$C$52&gt;='Needs years'!$C$66,'Inputs'!$B$101&amp;" would have about R "&amp;FIXED(ROUND('Needs calc'!$C$58,-2),0)&amp;" a month of the R "&amp;FIXED(ROUND('Inputs'!$E$101,-2),0)&amp;" you want,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")),IF('Needs years'!$C$74&lt;=0,IF('Needs years'!$C$66&gt;0,'Inputs'!$B$101&amp;"'s "&amp;'Needs years'!$C$80&amp;" covers the R "&amp;FIXED(ROUND('Inputs'!$E$101,-2),0)&amp;" a month you want"&amp;", but "&amp;'Inputs'!$B$101&amp;" would have "&amp;IF('Needs calc'!$C$52&lt;=0,"nothing","about R "&amp;FIXED(ROUND('Needs calc'!$C$52,-3),0))&amp;" of the R "&amp;FIXED(ROUND('Needs years'!$C$66,-3),0)&amp;" once-off you want for them. ",IF('Needs years'!$C$77&gt;0,'Inputs'!$B$101&amp;"'s "&amp;'Needs years'!$C$80&amp;" covers the R "&amp;FIXED(ROUND('Inputs'!$E$101,-2),0)&amp;" a month you want"&amp;", but the estate duty on it, about R "&amp;FIXED(ROUND('Needs years'!$C$77,-3),0)&amp;", leaves "&amp;'Inputs'!$B$101&amp;" short. ",'Inputs'!$B$101&amp;"'s "&amp;'Needs years'!$C$80&amp;" covers the R "&amp;FIXED(ROUND('Inputs'!$E$101,-2),0)&amp;" a month you want"&amp;", but "&amp;'Inputs'!$B$101&amp;" is still short of what you want for them. ")),IF('Needs years'!$J$60&lt;=0,'Inputs'!$B$101&amp;"'s "&amp;'Needs years'!$C$80&amp;" covers the R "&amp;FIXED(ROUND('Inputs'!$E$101,-2),0)&amp;" a month you want"&amp;" for "&amp;IF('Needs years'!$C$76=1,"the first year","the first "&amp;'Needs years'!$C$76&amp;" years")&amp;"; after that "&amp;'Inputs'!$B$101&amp;" would be short"&amp;IF(AND('Needs years'!$C$66&gt;0,'Needs calc'!$C$52&lt;'Needs years'!$C$66),", and would have "&amp;IF('Needs calc'!$C$52&lt;=0,"nothing","about R "&amp;FIXED(ROUND('Needs calc'!$C$52,-3),0))&amp;" of the R "&amp;FIXED(ROUND('Needs years'!$C$66,-3),0)&amp;" once-off","")&amp;". ",IF('Needs years'!$C$66&lt;=0,'Inputs'!$B$101&amp;" would have about R "&amp;FIXED(ROUND('Needs calc'!$C$58,-2),0)&amp;" a month of the R "&amp;FIXED(ROUND('Inputs'!$E$101,-2),0)&amp;" you want, part of it from the "&amp;'Needs years'!$C$80&amp;", and less once it stops. ",IF('Needs calc'!$C$52&gt;='Needs years'!$C$66,'Inputs'!$B$101&amp;" would have about R "&amp;FIXED(ROUND('Needs calc'!$C$58,-2),0)&amp;" a month of the R "&amp;FIXED(ROUND('Inputs'!$E$101,-2),0)&amp;" you want, part of it from the "&amp;'Needs years'!$C$80&amp;", and less once it stops,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part of it from the "&amp;'Needs years'!$C$80&amp;", and less once it stops. "))))),'Inputs'!$B$101&amp;" would have "&amp;IF('Needs calc'!$C$52&lt;=0,"nothing","about R "&amp;FIXED(ROUND('Needs calc'!$C$52,-3),0))&amp;" of the R "&amp;FIXED(ROUND('Needs years'!$C$66,-3),0)&amp;" you want to leave them. ")),"")</f>
      </c>
      <c r="I75">
        <v>15</v>
      </c>
      <c r="J75">
        <f>IF(I75&lt;$C$62,MAX(0,12*$C$63*(1+$C$64)^I75-K75),0)</f>
      </c>
      <c r="K75">
        <f>SUMPRODUCT(('Inputs'!$G$76:$G$81=$C$58)*($C$58&lt;&gt;"")*'Inputs'!$D$76:$D$81*(1+'Inputs'!$E$76:$E$81/100)^I75*(ABS('Inputs'!$F$76:$F$81-12*I75)-ABS(('Inputs'!$F$76:$F$81-12*I75)-12)+12)/2)+SUMPRODUCT(('Inputs'!$C$114:$C$121=$C$58)*($C$58&lt;&gt;"")*'Inputs'!$D$114:$D$121*(1+'Inputs'!$E$114:$E$121/100)^I75*(((ABS((('Inputs'!$G$114:$G$121&gt;0)*('Inputs'!$F$114:$F$121+'Inputs'!$G$114:$G$121)+('Inputs'!$G$114:$G$121=0)*12*$C$62)-12*I75)-ABS(((('Inputs'!$G$114:$G$121&gt;0)*('Inputs'!$F$114:$F$121+'Inputs'!$G$114:$G$121)+('Inputs'!$G$114:$G$121=0)*12*$C$62)-12*I75)-12)+12)/2-(ABS(('Inputs'!$F$114:$F$121-12*I75))-ABS((('Inputs'!$F$114:$F$121-12*I75))-12)+12)/2)+ABS((ABS((('Inputs'!$G$114:$G$121&gt;0)*('Inputs'!$F$114:$F$121+'Inputs'!$G$114:$G$121)+('Inputs'!$G$114:$G$121=0)*12*$C$62)-12*I75)-ABS(((('Inputs'!$G$114:$G$121&gt;0)*('Inputs'!$F$114:$F$121+'Inputs'!$G$114:$G$121)+('Inputs'!$G$114:$G$121=0)*12*$C$62)-12*I75)-12)+12)/2-(ABS(('Inputs'!$F$114:$F$121-12*I75))-ABS((('Inputs'!$F$114:$F$121-12*I75))-12)+12)/2))/2)</f>
      </c>
      <c r="L75">
        <f>IF(J75&gt;0,1,0)</f>
      </c>
      <c r="P75">
        <f>IF($C$65&lt;&gt;1,0,P74*(1+((1+$C$70)^(1/12)-1))^12-J74/12*(1+((1+$C$70)^(1/12)-1))*(((1+((1+$C$70)^(1/12)-1))^12-1)/((1+((1+$C$70)^(1/12)-1))-1)))</f>
      </c>
      <c r="Q75">
        <f>IF($C$65&lt;&gt;1,0,IFERROR((((1+($C$70+'Inputs'!$H$137/100))^(1/12)-1)-((1+$C$70)^(1/12)-1))*(P75*(((1+((1+$C$70)^(1/12)-1))^12-1)/((1+((1+$C$70)^(1/12)-1))-1))-J75/12/((1+((1+$C$70)^(1/12)-1))-1)*((1+((1+$C$70)^(1/12)-1))*(((1+((1+$C$70)^(1/12)-1))^12-1)/((1+((1+$C$70)^(1/12)-1))-1))-12)),0))</f>
      </c>
    </row>
    <row r="76" spans="2:17" x14ac:dyDescent="0.25">
      <c r="B76" t="s">
        <v>473</v>
      </c>
      <c r="C76">
        <f>IFERROR(MATCH(1,$L$60:$L$109,0)-1,$C$62)</f>
      </c>
      <c r="I76">
        <v>16</v>
      </c>
      <c r="J76">
        <f>IF(I76&lt;$C$62,MAX(0,12*$C$63*(1+$C$64)^I76-K76),0)</f>
      </c>
      <c r="K76">
        <f>SUMPRODUCT(('Inputs'!$G$76:$G$81=$C$58)*($C$58&lt;&gt;"")*'Inputs'!$D$76:$D$81*(1+'Inputs'!$E$76:$E$81/100)^I76*(ABS('Inputs'!$F$76:$F$81-12*I76)-ABS(('Inputs'!$F$76:$F$81-12*I76)-12)+12)/2)+SUMPRODUCT(('Inputs'!$C$114:$C$121=$C$58)*($C$58&lt;&gt;"")*'Inputs'!$D$114:$D$121*(1+'Inputs'!$E$114:$E$121/100)^I76*(((ABS((('Inputs'!$G$114:$G$121&gt;0)*('Inputs'!$F$114:$F$121+'Inputs'!$G$114:$G$121)+('Inputs'!$G$114:$G$121=0)*12*$C$62)-12*I76)-ABS(((('Inputs'!$G$114:$G$121&gt;0)*('Inputs'!$F$114:$F$121+'Inputs'!$G$114:$G$121)+('Inputs'!$G$114:$G$121=0)*12*$C$62)-12*I76)-12)+12)/2-(ABS(('Inputs'!$F$114:$F$121-12*I76))-ABS((('Inputs'!$F$114:$F$121-12*I76))-12)+12)/2)+ABS((ABS((('Inputs'!$G$114:$G$121&gt;0)*('Inputs'!$F$114:$F$121+'Inputs'!$G$114:$G$121)+('Inputs'!$G$114:$G$121=0)*12*$C$62)-12*I76)-ABS(((('Inputs'!$G$114:$G$121&gt;0)*('Inputs'!$F$114:$F$121+'Inputs'!$G$114:$G$121)+('Inputs'!$G$114:$G$121=0)*12*$C$62)-12*I76)-12)+12)/2-(ABS(('Inputs'!$F$114:$F$121-12*I76))-ABS((('Inputs'!$F$114:$F$121-12*I76))-12)+12)/2))/2)</f>
      </c>
      <c r="L76">
        <f>IF(J76&gt;0,1,0)</f>
      </c>
      <c r="P76">
        <f>IF($C$65&lt;&gt;1,0,P75*(1+((1+$C$70)^(1/12)-1))^12-J75/12*(1+((1+$C$70)^(1/12)-1))*(((1+((1+$C$70)^(1/12)-1))^12-1)/((1+((1+$C$70)^(1/12)-1))-1)))</f>
      </c>
      <c r="Q76">
        <f>IF($C$65&lt;&gt;1,0,IFERROR((((1+($C$70+'Inputs'!$H$137/100))^(1/12)-1)-((1+$C$70)^(1/12)-1))*(P76*(((1+((1+$C$70)^(1/12)-1))^12-1)/((1+((1+$C$70)^(1/12)-1))-1))-J76/12/((1+((1+$C$70)^(1/12)-1))-1)*((1+((1+$C$70)^(1/12)-1))*(((1+((1+$C$70)^(1/12)-1))^12-1)/((1+((1+$C$70)^(1/12)-1))-1))-12)),0))</f>
      </c>
    </row>
    <row r="77" spans="2:17" x14ac:dyDescent="0.25">
      <c r="B77" t="s">
        <v>474</v>
      </c>
      <c r="C77">
        <f>SUMPRODUCT(('Inputs'!$G$76:$G$81=$C$58)*($C$58&lt;&gt;"")*'Inputs'!$P$76:$P$81)</f>
      </c>
      <c r="I77">
        <v>17</v>
      </c>
      <c r="J77">
        <f>IF(I77&lt;$C$62,MAX(0,12*$C$63*(1+$C$64)^I77-K77),0)</f>
      </c>
      <c r="K77">
        <f>SUMPRODUCT(('Inputs'!$G$76:$G$81=$C$58)*($C$58&lt;&gt;"")*'Inputs'!$D$76:$D$81*(1+'Inputs'!$E$76:$E$81/100)^I77*(ABS('Inputs'!$F$76:$F$81-12*I77)-ABS(('Inputs'!$F$76:$F$81-12*I77)-12)+12)/2)+SUMPRODUCT(('Inputs'!$C$114:$C$121=$C$58)*($C$58&lt;&gt;"")*'Inputs'!$D$114:$D$121*(1+'Inputs'!$E$114:$E$121/100)^I77*(((ABS((('Inputs'!$G$114:$G$121&gt;0)*('Inputs'!$F$114:$F$121+'Inputs'!$G$114:$G$121)+('Inputs'!$G$114:$G$121=0)*12*$C$62)-12*I77)-ABS(((('Inputs'!$G$114:$G$121&gt;0)*('Inputs'!$F$114:$F$121+'Inputs'!$G$114:$G$121)+('Inputs'!$G$114:$G$121=0)*12*$C$62)-12*I77)-12)+12)/2-(ABS(('Inputs'!$F$114:$F$121-12*I77))-ABS((('Inputs'!$F$114:$F$121-12*I77))-12)+12)/2)+ABS((ABS((('Inputs'!$G$114:$G$121&gt;0)*('Inputs'!$F$114:$F$121+'Inputs'!$G$114:$G$121)+('Inputs'!$G$114:$G$121=0)*12*$C$62)-12*I77)-ABS(((('Inputs'!$G$114:$G$121&gt;0)*('Inputs'!$F$114:$F$121+'Inputs'!$G$114:$G$121)+('Inputs'!$G$114:$G$121=0)*12*$C$62)-12*I77)-12)+12)/2-(ABS(('Inputs'!$F$114:$F$121-12*I77))-ABS((('Inputs'!$F$114:$F$121-12*I77))-12)+12)/2))/2)</f>
      </c>
      <c r="L77">
        <f>IF(J77&gt;0,1,0)</f>
      </c>
      <c r="P77">
        <f>IF($C$65&lt;&gt;1,0,P76*(1+((1+$C$70)^(1/12)-1))^12-J76/12*(1+((1+$C$70)^(1/12)-1))*(((1+((1+$C$70)^(1/12)-1))^12-1)/((1+((1+$C$70)^(1/12)-1))-1)))</f>
      </c>
      <c r="Q77">
        <f>IF($C$65&lt;&gt;1,0,IFERROR((((1+($C$70+'Inputs'!$H$137/100))^(1/12)-1)-((1+$C$70)^(1/12)-1))*(P77*(((1+((1+$C$70)^(1/12)-1))^12-1)/((1+((1+$C$70)^(1/12)-1))-1))-J77/12/((1+((1+$C$70)^(1/12)-1))-1)*((1+((1+$C$70)^(1/12)-1))*(((1+((1+$C$70)^(1/12)-1))^12-1)/((1+((1+$C$70)^(1/12)-1))-1))-12)),0))</f>
      </c>
    </row>
    <row r="78" spans="2:17" x14ac:dyDescent="0.25">
      <c r="B78" t="s">
        <v>475</v>
      </c>
      <c r="C78">
        <f>SUMPRODUCT(('Inputs'!$C$114:$C$121=$C$58)*($C$58&lt;&gt;"")*('Inputs'!$D$114:$D$121&gt;0)*('Inputs'!$F$114:$F$121=0)*'Inputs'!$D$114:$D$121)</f>
      </c>
      <c r="I78">
        <v>18</v>
      </c>
      <c r="J78">
        <f>IF(I78&lt;$C$62,MAX(0,12*$C$63*(1+$C$64)^I78-K78),0)</f>
      </c>
      <c r="K78">
        <f>SUMPRODUCT(('Inputs'!$G$76:$G$81=$C$58)*($C$58&lt;&gt;"")*'Inputs'!$D$76:$D$81*(1+'Inputs'!$E$76:$E$81/100)^I78*(ABS('Inputs'!$F$76:$F$81-12*I78)-ABS(('Inputs'!$F$76:$F$81-12*I78)-12)+12)/2)+SUMPRODUCT(('Inputs'!$C$114:$C$121=$C$58)*($C$58&lt;&gt;"")*'Inputs'!$D$114:$D$121*(1+'Inputs'!$E$114:$E$121/100)^I78*(((ABS((('Inputs'!$G$114:$G$121&gt;0)*('Inputs'!$F$114:$F$121+'Inputs'!$G$114:$G$121)+('Inputs'!$G$114:$G$121=0)*12*$C$62)-12*I78)-ABS(((('Inputs'!$G$114:$G$121&gt;0)*('Inputs'!$F$114:$F$121+'Inputs'!$G$114:$G$121)+('Inputs'!$G$114:$G$121=0)*12*$C$62)-12*I78)-12)+12)/2-(ABS(('Inputs'!$F$114:$F$121-12*I78))-ABS((('Inputs'!$F$114:$F$121-12*I78))-12)+12)/2)+ABS((ABS((('Inputs'!$G$114:$G$121&gt;0)*('Inputs'!$F$114:$F$121+'Inputs'!$G$114:$G$121)+('Inputs'!$G$114:$G$121=0)*12*$C$62)-12*I78)-ABS(((('Inputs'!$G$114:$G$121&gt;0)*('Inputs'!$F$114:$F$121+'Inputs'!$G$114:$G$121)+('Inputs'!$G$114:$G$121=0)*12*$C$62)-12*I78)-12)+12)/2-(ABS(('Inputs'!$F$114:$F$121-12*I78))-ABS((('Inputs'!$F$114:$F$121-12*I78))-12)+12)/2))/2)</f>
      </c>
      <c r="L78">
        <f>IF(J78&gt;0,1,0)</f>
      </c>
      <c r="P78">
        <f>IF($C$65&lt;&gt;1,0,P77*(1+((1+$C$70)^(1/12)-1))^12-J77/12*(1+((1+$C$70)^(1/12)-1))*(((1+((1+$C$70)^(1/12)-1))^12-1)/((1+((1+$C$70)^(1/12)-1))-1)))</f>
      </c>
      <c r="Q78">
        <f>IF($C$65&lt;&gt;1,0,IFERROR((((1+($C$70+'Inputs'!$H$137/100))^(1/12)-1)-((1+$C$70)^(1/12)-1))*(P78*(((1+((1+$C$70)^(1/12)-1))^12-1)/((1+((1+$C$70)^(1/12)-1))-1))-J78/12/((1+((1+$C$70)^(1/12)-1))-1)*((1+((1+$C$70)^(1/12)-1))*(((1+((1+$C$70)^(1/12)-1))^12-1)/((1+((1+$C$70)^(1/12)-1))-1))-12)),0))</f>
      </c>
    </row>
    <row r="79" spans="2:17" x14ac:dyDescent="0.25">
      <c r="B79" t="s">
        <v>476</v>
      </c>
      <c r="C79">
        <f>SUMPRODUCT(('Inputs'!$C$114:$C$121=$C$58)*($C$58&lt;&gt;"")*('Inputs'!$D$114:$D$121&gt;0)*1)</f>
      </c>
      <c r="I79">
        <v>19</v>
      </c>
      <c r="J79">
        <f>IF(I79&lt;$C$62,MAX(0,12*$C$63*(1+$C$64)^I79-K79),0)</f>
      </c>
      <c r="K79">
        <f>SUMPRODUCT(('Inputs'!$G$76:$G$81=$C$58)*($C$58&lt;&gt;"")*'Inputs'!$D$76:$D$81*(1+'Inputs'!$E$76:$E$81/100)^I79*(ABS('Inputs'!$F$76:$F$81-12*I79)-ABS(('Inputs'!$F$76:$F$81-12*I79)-12)+12)/2)+SUMPRODUCT(('Inputs'!$C$114:$C$121=$C$58)*($C$58&lt;&gt;"")*'Inputs'!$D$114:$D$121*(1+'Inputs'!$E$114:$E$121/100)^I79*(((ABS((('Inputs'!$G$114:$G$121&gt;0)*('Inputs'!$F$114:$F$121+'Inputs'!$G$114:$G$121)+('Inputs'!$G$114:$G$121=0)*12*$C$62)-12*I79)-ABS(((('Inputs'!$G$114:$G$121&gt;0)*('Inputs'!$F$114:$F$121+'Inputs'!$G$114:$G$121)+('Inputs'!$G$114:$G$121=0)*12*$C$62)-12*I79)-12)+12)/2-(ABS(('Inputs'!$F$114:$F$121-12*I79))-ABS((('Inputs'!$F$114:$F$121-12*I79))-12)+12)/2)+ABS((ABS((('Inputs'!$G$114:$G$121&gt;0)*('Inputs'!$F$114:$F$121+'Inputs'!$G$114:$G$121)+('Inputs'!$G$114:$G$121=0)*12*$C$62)-12*I79)-ABS(((('Inputs'!$G$114:$G$121&gt;0)*('Inputs'!$F$114:$F$121+'Inputs'!$G$114:$G$121)+('Inputs'!$G$114:$G$121=0)*12*$C$62)-12*I79)-12)+12)/2-(ABS(('Inputs'!$F$114:$F$121-12*I79))-ABS((('Inputs'!$F$114:$F$121-12*I79))-12)+12)/2))/2)</f>
      </c>
      <c r="L79">
        <f>IF(J79&gt;0,1,0)</f>
      </c>
      <c r="P79">
        <f>IF($C$65&lt;&gt;1,0,P78*(1+((1+$C$70)^(1/12)-1))^12-J78/12*(1+((1+$C$70)^(1/12)-1))*(((1+((1+$C$70)^(1/12)-1))^12-1)/((1+((1+$C$70)^(1/12)-1))-1)))</f>
      </c>
      <c r="Q79">
        <f>IF($C$65&lt;&gt;1,0,IFERROR((((1+($C$70+'Inputs'!$H$137/100))^(1/12)-1)-((1+$C$70)^(1/12)-1))*(P79*(((1+((1+$C$70)^(1/12)-1))^12-1)/((1+((1+$C$70)^(1/12)-1))-1))-J79/12/((1+((1+$C$70)^(1/12)-1))-1)*((1+((1+$C$70)^(1/12)-1))*(((1+((1+$C$70)^(1/12)-1))^12-1)/((1+((1+$C$70)^(1/12)-1))-1))-12)),0))</f>
      </c>
    </row>
    <row r="80" spans="2:17" x14ac:dyDescent="0.25">
      <c r="B80" t="s">
        <v>477</v>
      </c>
      <c r="C80">
        <f>IF($C$79&gt;0,"income","death income")</f>
      </c>
      <c r="I80">
        <v>20</v>
      </c>
      <c r="J80">
        <f>IF(I80&lt;$C$62,MAX(0,12*$C$63*(1+$C$64)^I80-K80),0)</f>
      </c>
      <c r="K80">
        <f>SUMPRODUCT(('Inputs'!$G$76:$G$81=$C$58)*($C$58&lt;&gt;"")*'Inputs'!$D$76:$D$81*(1+'Inputs'!$E$76:$E$81/100)^I80*(ABS('Inputs'!$F$76:$F$81-12*I80)-ABS(('Inputs'!$F$76:$F$81-12*I80)-12)+12)/2)+SUMPRODUCT(('Inputs'!$C$114:$C$121=$C$58)*($C$58&lt;&gt;"")*'Inputs'!$D$114:$D$121*(1+'Inputs'!$E$114:$E$121/100)^I80*(((ABS((('Inputs'!$G$114:$G$121&gt;0)*('Inputs'!$F$114:$F$121+'Inputs'!$G$114:$G$121)+('Inputs'!$G$114:$G$121=0)*12*$C$62)-12*I80)-ABS(((('Inputs'!$G$114:$G$121&gt;0)*('Inputs'!$F$114:$F$121+'Inputs'!$G$114:$G$121)+('Inputs'!$G$114:$G$121=0)*12*$C$62)-12*I80)-12)+12)/2-(ABS(('Inputs'!$F$114:$F$121-12*I80))-ABS((('Inputs'!$F$114:$F$121-12*I80))-12)+12)/2)+ABS((ABS((('Inputs'!$G$114:$G$121&gt;0)*('Inputs'!$F$114:$F$121+'Inputs'!$G$114:$G$121)+('Inputs'!$G$114:$G$121=0)*12*$C$62)-12*I80)-ABS(((('Inputs'!$G$114:$G$121&gt;0)*('Inputs'!$F$114:$F$121+'Inputs'!$G$114:$G$121)+('Inputs'!$G$114:$G$121=0)*12*$C$62)-12*I80)-12)+12)/2-(ABS(('Inputs'!$F$114:$F$121-12*I80))-ABS((('Inputs'!$F$114:$F$121-12*I80))-12)+12)/2))/2)</f>
      </c>
      <c r="L80">
        <f>IF(J80&gt;0,1,0)</f>
      </c>
      <c r="P80">
        <f>IF($C$65&lt;&gt;1,0,P79*(1+((1+$C$70)^(1/12)-1))^12-J79/12*(1+((1+$C$70)^(1/12)-1))*(((1+((1+$C$70)^(1/12)-1))^12-1)/((1+((1+$C$70)^(1/12)-1))-1)))</f>
      </c>
      <c r="Q80">
        <f>IF($C$65&lt;&gt;1,0,IFERROR((((1+($C$70+'Inputs'!$H$137/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SUMPRODUCT(('Inputs'!$C$114:$C$121=$C$58)*($C$58&lt;&gt;"")*'Inputs'!$D$114:$D$121*(1+'Inputs'!$E$114:$E$121/100)^I81*(((ABS((('Inputs'!$G$114:$G$121&gt;0)*('Inputs'!$F$114:$F$121+'Inputs'!$G$114:$G$121)+('Inputs'!$G$114:$G$121=0)*12*$C$62)-12*I81)-ABS(((('Inputs'!$G$114:$G$121&gt;0)*('Inputs'!$F$114:$F$121+'Inputs'!$G$114:$G$121)+('Inputs'!$G$114:$G$121=0)*12*$C$62)-12*I81)-12)+12)/2-(ABS(('Inputs'!$F$114:$F$121-12*I81))-ABS((('Inputs'!$F$114:$F$121-12*I81))-12)+12)/2)+ABS((ABS((('Inputs'!$G$114:$G$121&gt;0)*('Inputs'!$F$114:$F$121+'Inputs'!$G$114:$G$121)+('Inputs'!$G$114:$G$121=0)*12*$C$62)-12*I81)-ABS(((('Inputs'!$G$114:$G$121&gt;0)*('Inputs'!$F$114:$F$121+'Inputs'!$G$114:$G$121)+('Inputs'!$G$114:$G$121=0)*12*$C$62)-12*I81)-12)+12)/2-(ABS(('Inputs'!$F$114:$F$121-12*I81))-ABS((('Inputs'!$F$114:$F$121-12*I81))-12)+12)/2))/2)</f>
      </c>
      <c r="L81">
        <f>IF(J81&gt;0,1,0)</f>
      </c>
      <c r="P81">
        <f>IF($C$65&lt;&gt;1,0,P80*(1+((1+$C$70)^(1/12)-1))^12-J80/12*(1+((1+$C$70)^(1/12)-1))*(((1+((1+$C$70)^(1/12)-1))^12-1)/((1+((1+$C$70)^(1/12)-1))-1)))</f>
      </c>
      <c r="Q81">
        <f>IF($C$65&lt;&gt;1,0,IFERROR((((1+($C$70+'Inputs'!$H$137/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SUMPRODUCT(('Inputs'!$C$114:$C$121=$C$58)*($C$58&lt;&gt;"")*'Inputs'!$D$114:$D$121*(1+'Inputs'!$E$114:$E$121/100)^I82*(((ABS((('Inputs'!$G$114:$G$121&gt;0)*('Inputs'!$F$114:$F$121+'Inputs'!$G$114:$G$121)+('Inputs'!$G$114:$G$121=0)*12*$C$62)-12*I82)-ABS(((('Inputs'!$G$114:$G$121&gt;0)*('Inputs'!$F$114:$F$121+'Inputs'!$G$114:$G$121)+('Inputs'!$G$114:$G$121=0)*12*$C$62)-12*I82)-12)+12)/2-(ABS(('Inputs'!$F$114:$F$121-12*I82))-ABS((('Inputs'!$F$114:$F$121-12*I82))-12)+12)/2)+ABS((ABS((('Inputs'!$G$114:$G$121&gt;0)*('Inputs'!$F$114:$F$121+'Inputs'!$G$114:$G$121)+('Inputs'!$G$114:$G$121=0)*12*$C$62)-12*I82)-ABS(((('Inputs'!$G$114:$G$121&gt;0)*('Inputs'!$F$114:$F$121+'Inputs'!$G$114:$G$121)+('Inputs'!$G$114:$G$121=0)*12*$C$62)-12*I82)-12)+12)/2-(ABS(('Inputs'!$F$114:$F$121-12*I82))-ABS((('Inputs'!$F$114:$F$121-12*I82))-12)+12)/2))/2)</f>
      </c>
      <c r="L82">
        <f>IF(J82&gt;0,1,0)</f>
      </c>
      <c r="P82">
        <f>IF($C$65&lt;&gt;1,0,P81*(1+((1+$C$70)^(1/12)-1))^12-J81/12*(1+((1+$C$70)^(1/12)-1))*(((1+((1+$C$70)^(1/12)-1))^12-1)/((1+((1+$C$70)^(1/12)-1))-1)))</f>
      </c>
      <c r="Q82">
        <f>IF($C$65&lt;&gt;1,0,IFERROR((((1+($C$70+'Inputs'!$H$137/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SUMPRODUCT(('Inputs'!$C$114:$C$121=$C$58)*($C$58&lt;&gt;"")*'Inputs'!$D$114:$D$121*(1+'Inputs'!$E$114:$E$121/100)^I83*(((ABS((('Inputs'!$G$114:$G$121&gt;0)*('Inputs'!$F$114:$F$121+'Inputs'!$G$114:$G$121)+('Inputs'!$G$114:$G$121=0)*12*$C$62)-12*I83)-ABS(((('Inputs'!$G$114:$G$121&gt;0)*('Inputs'!$F$114:$F$121+'Inputs'!$G$114:$G$121)+('Inputs'!$G$114:$G$121=0)*12*$C$62)-12*I83)-12)+12)/2-(ABS(('Inputs'!$F$114:$F$121-12*I83))-ABS((('Inputs'!$F$114:$F$121-12*I83))-12)+12)/2)+ABS((ABS((('Inputs'!$G$114:$G$121&gt;0)*('Inputs'!$F$114:$F$121+'Inputs'!$G$114:$G$121)+('Inputs'!$G$114:$G$121=0)*12*$C$62)-12*I83)-ABS(((('Inputs'!$G$114:$G$121&gt;0)*('Inputs'!$F$114:$F$121+'Inputs'!$G$114:$G$121)+('Inputs'!$G$114:$G$121=0)*12*$C$62)-12*I83)-12)+12)/2-(ABS(('Inputs'!$F$114:$F$121-12*I83))-ABS((('Inputs'!$F$114:$F$121-12*I83))-12)+12)/2))/2)</f>
      </c>
      <c r="L83">
        <f>IF(J83&gt;0,1,0)</f>
      </c>
      <c r="P83">
        <f>IF($C$65&lt;&gt;1,0,P82*(1+((1+$C$70)^(1/12)-1))^12-J82/12*(1+((1+$C$70)^(1/12)-1))*(((1+((1+$C$70)^(1/12)-1))^12-1)/((1+((1+$C$70)^(1/12)-1))-1)))</f>
      </c>
      <c r="Q83">
        <f>IF($C$65&lt;&gt;1,0,IFERROR((((1+($C$70+'Inputs'!$H$137/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SUMPRODUCT(('Inputs'!$C$114:$C$121=$C$58)*($C$58&lt;&gt;"")*'Inputs'!$D$114:$D$121*(1+'Inputs'!$E$114:$E$121/100)^I84*(((ABS((('Inputs'!$G$114:$G$121&gt;0)*('Inputs'!$F$114:$F$121+'Inputs'!$G$114:$G$121)+('Inputs'!$G$114:$G$121=0)*12*$C$62)-12*I84)-ABS(((('Inputs'!$G$114:$G$121&gt;0)*('Inputs'!$F$114:$F$121+'Inputs'!$G$114:$G$121)+('Inputs'!$G$114:$G$121=0)*12*$C$62)-12*I84)-12)+12)/2-(ABS(('Inputs'!$F$114:$F$121-12*I84))-ABS((('Inputs'!$F$114:$F$121-12*I84))-12)+12)/2)+ABS((ABS((('Inputs'!$G$114:$G$121&gt;0)*('Inputs'!$F$114:$F$121+'Inputs'!$G$114:$G$121)+('Inputs'!$G$114:$G$121=0)*12*$C$62)-12*I84)-ABS(((('Inputs'!$G$114:$G$121&gt;0)*('Inputs'!$F$114:$F$121+'Inputs'!$G$114:$G$121)+('Inputs'!$G$114:$G$121=0)*12*$C$62)-12*I84)-12)+12)/2-(ABS(('Inputs'!$F$114:$F$121-12*I84))-ABS((('Inputs'!$F$114:$F$121-12*I84))-12)+12)/2))/2)</f>
      </c>
      <c r="L84">
        <f>IF(J84&gt;0,1,0)</f>
      </c>
      <c r="P84">
        <f>IF($C$65&lt;&gt;1,0,P83*(1+((1+$C$70)^(1/12)-1))^12-J83/12*(1+((1+$C$70)^(1/12)-1))*(((1+((1+$C$70)^(1/12)-1))^12-1)/((1+((1+$C$70)^(1/12)-1))-1)))</f>
      </c>
      <c r="Q84">
        <f>IF($C$65&lt;&gt;1,0,IFERROR((((1+($C$70+'Inputs'!$H$137/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SUMPRODUCT(('Inputs'!$C$114:$C$121=$C$58)*($C$58&lt;&gt;"")*'Inputs'!$D$114:$D$121*(1+'Inputs'!$E$114:$E$121/100)^I85*(((ABS((('Inputs'!$G$114:$G$121&gt;0)*('Inputs'!$F$114:$F$121+'Inputs'!$G$114:$G$121)+('Inputs'!$G$114:$G$121=0)*12*$C$62)-12*I85)-ABS(((('Inputs'!$G$114:$G$121&gt;0)*('Inputs'!$F$114:$F$121+'Inputs'!$G$114:$G$121)+('Inputs'!$G$114:$G$121=0)*12*$C$62)-12*I85)-12)+12)/2-(ABS(('Inputs'!$F$114:$F$121-12*I85))-ABS((('Inputs'!$F$114:$F$121-12*I85))-12)+12)/2)+ABS((ABS((('Inputs'!$G$114:$G$121&gt;0)*('Inputs'!$F$114:$F$121+'Inputs'!$G$114:$G$121)+('Inputs'!$G$114:$G$121=0)*12*$C$62)-12*I85)-ABS(((('Inputs'!$G$114:$G$121&gt;0)*('Inputs'!$F$114:$F$121+'Inputs'!$G$114:$G$121)+('Inputs'!$G$114:$G$121=0)*12*$C$62)-12*I85)-12)+12)/2-(ABS(('Inputs'!$F$114:$F$121-12*I85))-ABS((('Inputs'!$F$114:$F$121-12*I85))-12)+12)/2))/2)</f>
      </c>
      <c r="L85">
        <f>IF(J85&gt;0,1,0)</f>
      </c>
      <c r="P85">
        <f>IF($C$65&lt;&gt;1,0,P84*(1+((1+$C$70)^(1/12)-1))^12-J84/12*(1+((1+$C$70)^(1/12)-1))*(((1+((1+$C$70)^(1/12)-1))^12-1)/((1+((1+$C$70)^(1/12)-1))-1)))</f>
      </c>
      <c r="Q85">
        <f>IF($C$65&lt;&gt;1,0,IFERROR((((1+($C$70+'Inputs'!$H$137/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SUMPRODUCT(('Inputs'!$C$114:$C$121=$C$58)*($C$58&lt;&gt;"")*'Inputs'!$D$114:$D$121*(1+'Inputs'!$E$114:$E$121/100)^I86*(((ABS((('Inputs'!$G$114:$G$121&gt;0)*('Inputs'!$F$114:$F$121+'Inputs'!$G$114:$G$121)+('Inputs'!$G$114:$G$121=0)*12*$C$62)-12*I86)-ABS(((('Inputs'!$G$114:$G$121&gt;0)*('Inputs'!$F$114:$F$121+'Inputs'!$G$114:$G$121)+('Inputs'!$G$114:$G$121=0)*12*$C$62)-12*I86)-12)+12)/2-(ABS(('Inputs'!$F$114:$F$121-12*I86))-ABS((('Inputs'!$F$114:$F$121-12*I86))-12)+12)/2)+ABS((ABS((('Inputs'!$G$114:$G$121&gt;0)*('Inputs'!$F$114:$F$121+'Inputs'!$G$114:$G$121)+('Inputs'!$G$114:$G$121=0)*12*$C$62)-12*I86)-ABS(((('Inputs'!$G$114:$G$121&gt;0)*('Inputs'!$F$114:$F$121+'Inputs'!$G$114:$G$121)+('Inputs'!$G$114:$G$121=0)*12*$C$62)-12*I86)-12)+12)/2-(ABS(('Inputs'!$F$114:$F$121-12*I86))-ABS((('Inputs'!$F$114:$F$121-12*I86))-12)+12)/2))/2)</f>
      </c>
      <c r="L86">
        <f>IF(J86&gt;0,1,0)</f>
      </c>
      <c r="P86">
        <f>IF($C$65&lt;&gt;1,0,P85*(1+((1+$C$70)^(1/12)-1))^12-J85/12*(1+((1+$C$70)^(1/12)-1))*(((1+((1+$C$70)^(1/12)-1))^12-1)/((1+((1+$C$70)^(1/12)-1))-1)))</f>
      </c>
      <c r="Q86">
        <f>IF($C$65&lt;&gt;1,0,IFERROR((((1+($C$70+'Inputs'!$H$137/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SUMPRODUCT(('Inputs'!$C$114:$C$121=$C$58)*($C$58&lt;&gt;"")*'Inputs'!$D$114:$D$121*(1+'Inputs'!$E$114:$E$121/100)^I87*(((ABS((('Inputs'!$G$114:$G$121&gt;0)*('Inputs'!$F$114:$F$121+'Inputs'!$G$114:$G$121)+('Inputs'!$G$114:$G$121=0)*12*$C$62)-12*I87)-ABS(((('Inputs'!$G$114:$G$121&gt;0)*('Inputs'!$F$114:$F$121+'Inputs'!$G$114:$G$121)+('Inputs'!$G$114:$G$121=0)*12*$C$62)-12*I87)-12)+12)/2-(ABS(('Inputs'!$F$114:$F$121-12*I87))-ABS((('Inputs'!$F$114:$F$121-12*I87))-12)+12)/2)+ABS((ABS((('Inputs'!$G$114:$G$121&gt;0)*('Inputs'!$F$114:$F$121+'Inputs'!$G$114:$G$121)+('Inputs'!$G$114:$G$121=0)*12*$C$62)-12*I87)-ABS(((('Inputs'!$G$114:$G$121&gt;0)*('Inputs'!$F$114:$F$121+'Inputs'!$G$114:$G$121)+('Inputs'!$G$114:$G$121=0)*12*$C$62)-12*I87)-12)+12)/2-(ABS(('Inputs'!$F$114:$F$121-12*I87))-ABS((('Inputs'!$F$114:$F$121-12*I87))-12)+12)/2))/2)</f>
      </c>
      <c r="L87">
        <f>IF(J87&gt;0,1,0)</f>
      </c>
      <c r="P87">
        <f>IF($C$65&lt;&gt;1,0,P86*(1+((1+$C$70)^(1/12)-1))^12-J86/12*(1+((1+$C$70)^(1/12)-1))*(((1+((1+$C$70)^(1/12)-1))^12-1)/((1+((1+$C$70)^(1/12)-1))-1)))</f>
      </c>
      <c r="Q87">
        <f>IF($C$65&lt;&gt;1,0,IFERROR((((1+($C$70+'Inputs'!$H$137/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SUMPRODUCT(('Inputs'!$C$114:$C$121=$C$58)*($C$58&lt;&gt;"")*'Inputs'!$D$114:$D$121*(1+'Inputs'!$E$114:$E$121/100)^I88*(((ABS((('Inputs'!$G$114:$G$121&gt;0)*('Inputs'!$F$114:$F$121+'Inputs'!$G$114:$G$121)+('Inputs'!$G$114:$G$121=0)*12*$C$62)-12*I88)-ABS(((('Inputs'!$G$114:$G$121&gt;0)*('Inputs'!$F$114:$F$121+'Inputs'!$G$114:$G$121)+('Inputs'!$G$114:$G$121=0)*12*$C$62)-12*I88)-12)+12)/2-(ABS(('Inputs'!$F$114:$F$121-12*I88))-ABS((('Inputs'!$F$114:$F$121-12*I88))-12)+12)/2)+ABS((ABS((('Inputs'!$G$114:$G$121&gt;0)*('Inputs'!$F$114:$F$121+'Inputs'!$G$114:$G$121)+('Inputs'!$G$114:$G$121=0)*12*$C$62)-12*I88)-ABS(((('Inputs'!$G$114:$G$121&gt;0)*('Inputs'!$F$114:$F$121+'Inputs'!$G$114:$G$121)+('Inputs'!$G$114:$G$121=0)*12*$C$62)-12*I88)-12)+12)/2-(ABS(('Inputs'!$F$114:$F$121-12*I88))-ABS((('Inputs'!$F$114:$F$121-12*I88))-12)+12)/2))/2)</f>
      </c>
      <c r="L88">
        <f>IF(J88&gt;0,1,0)</f>
      </c>
      <c r="P88">
        <f>IF($C$65&lt;&gt;1,0,P87*(1+((1+$C$70)^(1/12)-1))^12-J87/12*(1+((1+$C$70)^(1/12)-1))*(((1+((1+$C$70)^(1/12)-1))^12-1)/((1+((1+$C$70)^(1/12)-1))-1)))</f>
      </c>
      <c r="Q88">
        <f>IF($C$65&lt;&gt;1,0,IFERROR((((1+($C$70+'Inputs'!$H$137/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SUMPRODUCT(('Inputs'!$C$114:$C$121=$C$58)*($C$58&lt;&gt;"")*'Inputs'!$D$114:$D$121*(1+'Inputs'!$E$114:$E$121/100)^I89*(((ABS((('Inputs'!$G$114:$G$121&gt;0)*('Inputs'!$F$114:$F$121+'Inputs'!$G$114:$G$121)+('Inputs'!$G$114:$G$121=0)*12*$C$62)-12*I89)-ABS(((('Inputs'!$G$114:$G$121&gt;0)*('Inputs'!$F$114:$F$121+'Inputs'!$G$114:$G$121)+('Inputs'!$G$114:$G$121=0)*12*$C$62)-12*I89)-12)+12)/2-(ABS(('Inputs'!$F$114:$F$121-12*I89))-ABS((('Inputs'!$F$114:$F$121-12*I89))-12)+12)/2)+ABS((ABS((('Inputs'!$G$114:$G$121&gt;0)*('Inputs'!$F$114:$F$121+'Inputs'!$G$114:$G$121)+('Inputs'!$G$114:$G$121=0)*12*$C$62)-12*I89)-ABS(((('Inputs'!$G$114:$G$121&gt;0)*('Inputs'!$F$114:$F$121+'Inputs'!$G$114:$G$121)+('Inputs'!$G$114:$G$121=0)*12*$C$62)-12*I89)-12)+12)/2-(ABS(('Inputs'!$F$114:$F$121-12*I89))-ABS((('Inputs'!$F$114:$F$121-12*I89))-12)+12)/2))/2)</f>
      </c>
      <c r="L89">
        <f>IF(J89&gt;0,1,0)</f>
      </c>
      <c r="P89">
        <f>IF($C$65&lt;&gt;1,0,P88*(1+((1+$C$70)^(1/12)-1))^12-J88/12*(1+((1+$C$70)^(1/12)-1))*(((1+((1+$C$70)^(1/12)-1))^12-1)/((1+((1+$C$70)^(1/12)-1))-1)))</f>
      </c>
      <c r="Q89">
        <f>IF($C$65&lt;&gt;1,0,IFERROR((((1+($C$70+'Inputs'!$H$137/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SUMPRODUCT(('Inputs'!$C$114:$C$121=$C$58)*($C$58&lt;&gt;"")*'Inputs'!$D$114:$D$121*(1+'Inputs'!$E$114:$E$121/100)^I90*(((ABS((('Inputs'!$G$114:$G$121&gt;0)*('Inputs'!$F$114:$F$121+'Inputs'!$G$114:$G$121)+('Inputs'!$G$114:$G$121=0)*12*$C$62)-12*I90)-ABS(((('Inputs'!$G$114:$G$121&gt;0)*('Inputs'!$F$114:$F$121+'Inputs'!$G$114:$G$121)+('Inputs'!$G$114:$G$121=0)*12*$C$62)-12*I90)-12)+12)/2-(ABS(('Inputs'!$F$114:$F$121-12*I90))-ABS((('Inputs'!$F$114:$F$121-12*I90))-12)+12)/2)+ABS((ABS((('Inputs'!$G$114:$G$121&gt;0)*('Inputs'!$F$114:$F$121+'Inputs'!$G$114:$G$121)+('Inputs'!$G$114:$G$121=0)*12*$C$62)-12*I90)-ABS(((('Inputs'!$G$114:$G$121&gt;0)*('Inputs'!$F$114:$F$121+'Inputs'!$G$114:$G$121)+('Inputs'!$G$114:$G$121=0)*12*$C$62)-12*I90)-12)+12)/2-(ABS(('Inputs'!$F$114:$F$121-12*I90))-ABS((('Inputs'!$F$114:$F$121-12*I90))-12)+12)/2))/2)</f>
      </c>
      <c r="L90">
        <f>IF(J90&gt;0,1,0)</f>
      </c>
      <c r="P90">
        <f>IF($C$65&lt;&gt;1,0,P89*(1+((1+$C$70)^(1/12)-1))^12-J89/12*(1+((1+$C$70)^(1/12)-1))*(((1+((1+$C$70)^(1/12)-1))^12-1)/((1+((1+$C$70)^(1/12)-1))-1)))</f>
      </c>
      <c r="Q90">
        <f>IF($C$65&lt;&gt;1,0,IFERROR((((1+($C$70+'Inputs'!$H$137/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SUMPRODUCT(('Inputs'!$C$114:$C$121=$C$58)*($C$58&lt;&gt;"")*'Inputs'!$D$114:$D$121*(1+'Inputs'!$E$114:$E$121/100)^I91*(((ABS((('Inputs'!$G$114:$G$121&gt;0)*('Inputs'!$F$114:$F$121+'Inputs'!$G$114:$G$121)+('Inputs'!$G$114:$G$121=0)*12*$C$62)-12*I91)-ABS(((('Inputs'!$G$114:$G$121&gt;0)*('Inputs'!$F$114:$F$121+'Inputs'!$G$114:$G$121)+('Inputs'!$G$114:$G$121=0)*12*$C$62)-12*I91)-12)+12)/2-(ABS(('Inputs'!$F$114:$F$121-12*I91))-ABS((('Inputs'!$F$114:$F$121-12*I91))-12)+12)/2)+ABS((ABS((('Inputs'!$G$114:$G$121&gt;0)*('Inputs'!$F$114:$F$121+'Inputs'!$G$114:$G$121)+('Inputs'!$G$114:$G$121=0)*12*$C$62)-12*I91)-ABS(((('Inputs'!$G$114:$G$121&gt;0)*('Inputs'!$F$114:$F$121+'Inputs'!$G$114:$G$121)+('Inputs'!$G$114:$G$121=0)*12*$C$62)-12*I91)-12)+12)/2-(ABS(('Inputs'!$F$114:$F$121-12*I91))-ABS((('Inputs'!$F$114:$F$121-12*I91))-12)+12)/2))/2)</f>
      </c>
      <c r="L91">
        <f>IF(J91&gt;0,1,0)</f>
      </c>
      <c r="P91">
        <f>IF($C$65&lt;&gt;1,0,P90*(1+((1+$C$70)^(1/12)-1))^12-J90/12*(1+((1+$C$70)^(1/12)-1))*(((1+((1+$C$70)^(1/12)-1))^12-1)/((1+((1+$C$70)^(1/12)-1))-1)))</f>
      </c>
      <c r="Q91">
        <f>IF($C$65&lt;&gt;1,0,IFERROR((((1+($C$70+'Inputs'!$H$137/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SUMPRODUCT(('Inputs'!$C$114:$C$121=$C$58)*($C$58&lt;&gt;"")*'Inputs'!$D$114:$D$121*(1+'Inputs'!$E$114:$E$121/100)^I92*(((ABS((('Inputs'!$G$114:$G$121&gt;0)*('Inputs'!$F$114:$F$121+'Inputs'!$G$114:$G$121)+('Inputs'!$G$114:$G$121=0)*12*$C$62)-12*I92)-ABS(((('Inputs'!$G$114:$G$121&gt;0)*('Inputs'!$F$114:$F$121+'Inputs'!$G$114:$G$121)+('Inputs'!$G$114:$G$121=0)*12*$C$62)-12*I92)-12)+12)/2-(ABS(('Inputs'!$F$114:$F$121-12*I92))-ABS((('Inputs'!$F$114:$F$121-12*I92))-12)+12)/2)+ABS((ABS((('Inputs'!$G$114:$G$121&gt;0)*('Inputs'!$F$114:$F$121+'Inputs'!$G$114:$G$121)+('Inputs'!$G$114:$G$121=0)*12*$C$62)-12*I92)-ABS(((('Inputs'!$G$114:$G$121&gt;0)*('Inputs'!$F$114:$F$121+'Inputs'!$G$114:$G$121)+('Inputs'!$G$114:$G$121=0)*12*$C$62)-12*I92)-12)+12)/2-(ABS(('Inputs'!$F$114:$F$121-12*I92))-ABS((('Inputs'!$F$114:$F$121-12*I92))-12)+12)/2))/2)</f>
      </c>
      <c r="L92">
        <f>IF(J92&gt;0,1,0)</f>
      </c>
      <c r="P92">
        <f>IF($C$65&lt;&gt;1,0,P91*(1+((1+$C$70)^(1/12)-1))^12-J91/12*(1+((1+$C$70)^(1/12)-1))*(((1+((1+$C$70)^(1/12)-1))^12-1)/((1+((1+$C$70)^(1/12)-1))-1)))</f>
      </c>
      <c r="Q92">
        <f>IF($C$65&lt;&gt;1,0,IFERROR((((1+($C$70+'Inputs'!$H$137/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SUMPRODUCT(('Inputs'!$C$114:$C$121=$C$58)*($C$58&lt;&gt;"")*'Inputs'!$D$114:$D$121*(1+'Inputs'!$E$114:$E$121/100)^I93*(((ABS((('Inputs'!$G$114:$G$121&gt;0)*('Inputs'!$F$114:$F$121+'Inputs'!$G$114:$G$121)+('Inputs'!$G$114:$G$121=0)*12*$C$62)-12*I93)-ABS(((('Inputs'!$G$114:$G$121&gt;0)*('Inputs'!$F$114:$F$121+'Inputs'!$G$114:$G$121)+('Inputs'!$G$114:$G$121=0)*12*$C$62)-12*I93)-12)+12)/2-(ABS(('Inputs'!$F$114:$F$121-12*I93))-ABS((('Inputs'!$F$114:$F$121-12*I93))-12)+12)/2)+ABS((ABS((('Inputs'!$G$114:$G$121&gt;0)*('Inputs'!$F$114:$F$121+'Inputs'!$G$114:$G$121)+('Inputs'!$G$114:$G$121=0)*12*$C$62)-12*I93)-ABS(((('Inputs'!$G$114:$G$121&gt;0)*('Inputs'!$F$114:$F$121+'Inputs'!$G$114:$G$121)+('Inputs'!$G$114:$G$121=0)*12*$C$62)-12*I93)-12)+12)/2-(ABS(('Inputs'!$F$114:$F$121-12*I93))-ABS((('Inputs'!$F$114:$F$121-12*I93))-12)+12)/2))/2)</f>
      </c>
      <c r="L93">
        <f>IF(J93&gt;0,1,0)</f>
      </c>
      <c r="P93">
        <f>IF($C$65&lt;&gt;1,0,P92*(1+((1+$C$70)^(1/12)-1))^12-J92/12*(1+((1+$C$70)^(1/12)-1))*(((1+((1+$C$70)^(1/12)-1))^12-1)/((1+((1+$C$70)^(1/12)-1))-1)))</f>
      </c>
      <c r="Q93">
        <f>IF($C$65&lt;&gt;1,0,IFERROR((((1+($C$70+'Inputs'!$H$137/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SUMPRODUCT(('Inputs'!$C$114:$C$121=$C$58)*($C$58&lt;&gt;"")*'Inputs'!$D$114:$D$121*(1+'Inputs'!$E$114:$E$121/100)^I94*(((ABS((('Inputs'!$G$114:$G$121&gt;0)*('Inputs'!$F$114:$F$121+'Inputs'!$G$114:$G$121)+('Inputs'!$G$114:$G$121=0)*12*$C$62)-12*I94)-ABS(((('Inputs'!$G$114:$G$121&gt;0)*('Inputs'!$F$114:$F$121+'Inputs'!$G$114:$G$121)+('Inputs'!$G$114:$G$121=0)*12*$C$62)-12*I94)-12)+12)/2-(ABS(('Inputs'!$F$114:$F$121-12*I94))-ABS((('Inputs'!$F$114:$F$121-12*I94))-12)+12)/2)+ABS((ABS((('Inputs'!$G$114:$G$121&gt;0)*('Inputs'!$F$114:$F$121+'Inputs'!$G$114:$G$121)+('Inputs'!$G$114:$G$121=0)*12*$C$62)-12*I94)-ABS(((('Inputs'!$G$114:$G$121&gt;0)*('Inputs'!$F$114:$F$121+'Inputs'!$G$114:$G$121)+('Inputs'!$G$114:$G$121=0)*12*$C$62)-12*I94)-12)+12)/2-(ABS(('Inputs'!$F$114:$F$121-12*I94))-ABS((('Inputs'!$F$114:$F$121-12*I94))-12)+12)/2))/2)</f>
      </c>
      <c r="L94">
        <f>IF(J94&gt;0,1,0)</f>
      </c>
      <c r="P94">
        <f>IF($C$65&lt;&gt;1,0,P93*(1+((1+$C$70)^(1/12)-1))^12-J93/12*(1+((1+$C$70)^(1/12)-1))*(((1+((1+$C$70)^(1/12)-1))^12-1)/((1+((1+$C$70)^(1/12)-1))-1)))</f>
      </c>
      <c r="Q94">
        <f>IF($C$65&lt;&gt;1,0,IFERROR((((1+($C$70+'Inputs'!$H$137/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SUMPRODUCT(('Inputs'!$C$114:$C$121=$C$58)*($C$58&lt;&gt;"")*'Inputs'!$D$114:$D$121*(1+'Inputs'!$E$114:$E$121/100)^I95*(((ABS((('Inputs'!$G$114:$G$121&gt;0)*('Inputs'!$F$114:$F$121+'Inputs'!$G$114:$G$121)+('Inputs'!$G$114:$G$121=0)*12*$C$62)-12*I95)-ABS(((('Inputs'!$G$114:$G$121&gt;0)*('Inputs'!$F$114:$F$121+'Inputs'!$G$114:$G$121)+('Inputs'!$G$114:$G$121=0)*12*$C$62)-12*I95)-12)+12)/2-(ABS(('Inputs'!$F$114:$F$121-12*I95))-ABS((('Inputs'!$F$114:$F$121-12*I95))-12)+12)/2)+ABS((ABS((('Inputs'!$G$114:$G$121&gt;0)*('Inputs'!$F$114:$F$121+'Inputs'!$G$114:$G$121)+('Inputs'!$G$114:$G$121=0)*12*$C$62)-12*I95)-ABS(((('Inputs'!$G$114:$G$121&gt;0)*('Inputs'!$F$114:$F$121+'Inputs'!$G$114:$G$121)+('Inputs'!$G$114:$G$121=0)*12*$C$62)-12*I95)-12)+12)/2-(ABS(('Inputs'!$F$114:$F$121-12*I95))-ABS((('Inputs'!$F$114:$F$121-12*I95))-12)+12)/2))/2)</f>
      </c>
      <c r="L95">
        <f>IF(J95&gt;0,1,0)</f>
      </c>
      <c r="P95">
        <f>IF($C$65&lt;&gt;1,0,P94*(1+((1+$C$70)^(1/12)-1))^12-J94/12*(1+((1+$C$70)^(1/12)-1))*(((1+((1+$C$70)^(1/12)-1))^12-1)/((1+((1+$C$70)^(1/12)-1))-1)))</f>
      </c>
      <c r="Q95">
        <f>IF($C$65&lt;&gt;1,0,IFERROR((((1+($C$70+'Inputs'!$H$137/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SUMPRODUCT(('Inputs'!$C$114:$C$121=$C$58)*($C$58&lt;&gt;"")*'Inputs'!$D$114:$D$121*(1+'Inputs'!$E$114:$E$121/100)^I96*(((ABS((('Inputs'!$G$114:$G$121&gt;0)*('Inputs'!$F$114:$F$121+'Inputs'!$G$114:$G$121)+('Inputs'!$G$114:$G$121=0)*12*$C$62)-12*I96)-ABS(((('Inputs'!$G$114:$G$121&gt;0)*('Inputs'!$F$114:$F$121+'Inputs'!$G$114:$G$121)+('Inputs'!$G$114:$G$121=0)*12*$C$62)-12*I96)-12)+12)/2-(ABS(('Inputs'!$F$114:$F$121-12*I96))-ABS((('Inputs'!$F$114:$F$121-12*I96))-12)+12)/2)+ABS((ABS((('Inputs'!$G$114:$G$121&gt;0)*('Inputs'!$F$114:$F$121+'Inputs'!$G$114:$G$121)+('Inputs'!$G$114:$G$121=0)*12*$C$62)-12*I96)-ABS(((('Inputs'!$G$114:$G$121&gt;0)*('Inputs'!$F$114:$F$121+'Inputs'!$G$114:$G$121)+('Inputs'!$G$114:$G$121=0)*12*$C$62)-12*I96)-12)+12)/2-(ABS(('Inputs'!$F$114:$F$121-12*I96))-ABS((('Inputs'!$F$114:$F$121-12*I96))-12)+12)/2))/2)</f>
      </c>
      <c r="L96">
        <f>IF(J96&gt;0,1,0)</f>
      </c>
      <c r="P96">
        <f>IF($C$65&lt;&gt;1,0,P95*(1+((1+$C$70)^(1/12)-1))^12-J95/12*(1+((1+$C$70)^(1/12)-1))*(((1+((1+$C$70)^(1/12)-1))^12-1)/((1+((1+$C$70)^(1/12)-1))-1)))</f>
      </c>
      <c r="Q96">
        <f>IF($C$65&lt;&gt;1,0,IFERROR((((1+($C$70+'Inputs'!$H$137/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SUMPRODUCT(('Inputs'!$C$114:$C$121=$C$58)*($C$58&lt;&gt;"")*'Inputs'!$D$114:$D$121*(1+'Inputs'!$E$114:$E$121/100)^I97*(((ABS((('Inputs'!$G$114:$G$121&gt;0)*('Inputs'!$F$114:$F$121+'Inputs'!$G$114:$G$121)+('Inputs'!$G$114:$G$121=0)*12*$C$62)-12*I97)-ABS(((('Inputs'!$G$114:$G$121&gt;0)*('Inputs'!$F$114:$F$121+'Inputs'!$G$114:$G$121)+('Inputs'!$G$114:$G$121=0)*12*$C$62)-12*I97)-12)+12)/2-(ABS(('Inputs'!$F$114:$F$121-12*I97))-ABS((('Inputs'!$F$114:$F$121-12*I97))-12)+12)/2)+ABS((ABS((('Inputs'!$G$114:$G$121&gt;0)*('Inputs'!$F$114:$F$121+'Inputs'!$G$114:$G$121)+('Inputs'!$G$114:$G$121=0)*12*$C$62)-12*I97)-ABS(((('Inputs'!$G$114:$G$121&gt;0)*('Inputs'!$F$114:$F$121+'Inputs'!$G$114:$G$121)+('Inputs'!$G$114:$G$121=0)*12*$C$62)-12*I97)-12)+12)/2-(ABS(('Inputs'!$F$114:$F$121-12*I97))-ABS((('Inputs'!$F$114:$F$121-12*I97))-12)+12)/2))/2)</f>
      </c>
      <c r="L97">
        <f>IF(J97&gt;0,1,0)</f>
      </c>
      <c r="P97">
        <f>IF($C$65&lt;&gt;1,0,P96*(1+((1+$C$70)^(1/12)-1))^12-J96/12*(1+((1+$C$70)^(1/12)-1))*(((1+((1+$C$70)^(1/12)-1))^12-1)/((1+((1+$C$70)^(1/12)-1))-1)))</f>
      </c>
      <c r="Q97">
        <f>IF($C$65&lt;&gt;1,0,IFERROR((((1+($C$70+'Inputs'!$H$137/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SUMPRODUCT(('Inputs'!$C$114:$C$121=$C$58)*($C$58&lt;&gt;"")*'Inputs'!$D$114:$D$121*(1+'Inputs'!$E$114:$E$121/100)^I98*(((ABS((('Inputs'!$G$114:$G$121&gt;0)*('Inputs'!$F$114:$F$121+'Inputs'!$G$114:$G$121)+('Inputs'!$G$114:$G$121=0)*12*$C$62)-12*I98)-ABS(((('Inputs'!$G$114:$G$121&gt;0)*('Inputs'!$F$114:$F$121+'Inputs'!$G$114:$G$121)+('Inputs'!$G$114:$G$121=0)*12*$C$62)-12*I98)-12)+12)/2-(ABS(('Inputs'!$F$114:$F$121-12*I98))-ABS((('Inputs'!$F$114:$F$121-12*I98))-12)+12)/2)+ABS((ABS((('Inputs'!$G$114:$G$121&gt;0)*('Inputs'!$F$114:$F$121+'Inputs'!$G$114:$G$121)+('Inputs'!$G$114:$G$121=0)*12*$C$62)-12*I98)-ABS(((('Inputs'!$G$114:$G$121&gt;0)*('Inputs'!$F$114:$F$121+'Inputs'!$G$114:$G$121)+('Inputs'!$G$114:$G$121=0)*12*$C$62)-12*I98)-12)+12)/2-(ABS(('Inputs'!$F$114:$F$121-12*I98))-ABS((('Inputs'!$F$114:$F$121-12*I98))-12)+12)/2))/2)</f>
      </c>
      <c r="L98">
        <f>IF(J98&gt;0,1,0)</f>
      </c>
      <c r="P98">
        <f>IF($C$65&lt;&gt;1,0,P97*(1+((1+$C$70)^(1/12)-1))^12-J97/12*(1+((1+$C$70)^(1/12)-1))*(((1+((1+$C$70)^(1/12)-1))^12-1)/((1+((1+$C$70)^(1/12)-1))-1)))</f>
      </c>
      <c r="Q98">
        <f>IF($C$65&lt;&gt;1,0,IFERROR((((1+($C$70+'Inputs'!$H$137/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SUMPRODUCT(('Inputs'!$C$114:$C$121=$C$58)*($C$58&lt;&gt;"")*'Inputs'!$D$114:$D$121*(1+'Inputs'!$E$114:$E$121/100)^I99*(((ABS((('Inputs'!$G$114:$G$121&gt;0)*('Inputs'!$F$114:$F$121+'Inputs'!$G$114:$G$121)+('Inputs'!$G$114:$G$121=0)*12*$C$62)-12*I99)-ABS(((('Inputs'!$G$114:$G$121&gt;0)*('Inputs'!$F$114:$F$121+'Inputs'!$G$114:$G$121)+('Inputs'!$G$114:$G$121=0)*12*$C$62)-12*I99)-12)+12)/2-(ABS(('Inputs'!$F$114:$F$121-12*I99))-ABS((('Inputs'!$F$114:$F$121-12*I99))-12)+12)/2)+ABS((ABS((('Inputs'!$G$114:$G$121&gt;0)*('Inputs'!$F$114:$F$121+'Inputs'!$G$114:$G$121)+('Inputs'!$G$114:$G$121=0)*12*$C$62)-12*I99)-ABS(((('Inputs'!$G$114:$G$121&gt;0)*('Inputs'!$F$114:$F$121+'Inputs'!$G$114:$G$121)+('Inputs'!$G$114:$G$121=0)*12*$C$62)-12*I99)-12)+12)/2-(ABS(('Inputs'!$F$114:$F$121-12*I99))-ABS((('Inputs'!$F$114:$F$121-12*I99))-12)+12)/2))/2)</f>
      </c>
      <c r="L99">
        <f>IF(J99&gt;0,1,0)</f>
      </c>
      <c r="P99">
        <f>IF($C$65&lt;&gt;1,0,P98*(1+((1+$C$70)^(1/12)-1))^12-J98/12*(1+((1+$C$70)^(1/12)-1))*(((1+((1+$C$70)^(1/12)-1))^12-1)/((1+((1+$C$70)^(1/12)-1))-1)))</f>
      </c>
      <c r="Q99">
        <f>IF($C$65&lt;&gt;1,0,IFERROR((((1+($C$70+'Inputs'!$H$137/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SUMPRODUCT(('Inputs'!$C$114:$C$121=$C$58)*($C$58&lt;&gt;"")*'Inputs'!$D$114:$D$121*(1+'Inputs'!$E$114:$E$121/100)^I100*(((ABS((('Inputs'!$G$114:$G$121&gt;0)*('Inputs'!$F$114:$F$121+'Inputs'!$G$114:$G$121)+('Inputs'!$G$114:$G$121=0)*12*$C$62)-12*I100)-ABS(((('Inputs'!$G$114:$G$121&gt;0)*('Inputs'!$F$114:$F$121+'Inputs'!$G$114:$G$121)+('Inputs'!$G$114:$G$121=0)*12*$C$62)-12*I100)-12)+12)/2-(ABS(('Inputs'!$F$114:$F$121-12*I100))-ABS((('Inputs'!$F$114:$F$121-12*I100))-12)+12)/2)+ABS((ABS((('Inputs'!$G$114:$G$121&gt;0)*('Inputs'!$F$114:$F$121+'Inputs'!$G$114:$G$121)+('Inputs'!$G$114:$G$121=0)*12*$C$62)-12*I100)-ABS(((('Inputs'!$G$114:$G$121&gt;0)*('Inputs'!$F$114:$F$121+'Inputs'!$G$114:$G$121)+('Inputs'!$G$114:$G$121=0)*12*$C$62)-12*I100)-12)+12)/2-(ABS(('Inputs'!$F$114:$F$121-12*I100))-ABS((('Inputs'!$F$114:$F$121-12*I100))-12)+12)/2))/2)</f>
      </c>
      <c r="L100">
        <f>IF(J100&gt;0,1,0)</f>
      </c>
      <c r="P100">
        <f>IF($C$65&lt;&gt;1,0,P99*(1+((1+$C$70)^(1/12)-1))^12-J99/12*(1+((1+$C$70)^(1/12)-1))*(((1+((1+$C$70)^(1/12)-1))^12-1)/((1+((1+$C$70)^(1/12)-1))-1)))</f>
      </c>
      <c r="Q100">
        <f>IF($C$65&lt;&gt;1,0,IFERROR((((1+($C$70+'Inputs'!$H$137/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SUMPRODUCT(('Inputs'!$C$114:$C$121=$C$58)*($C$58&lt;&gt;"")*'Inputs'!$D$114:$D$121*(1+'Inputs'!$E$114:$E$121/100)^I101*(((ABS((('Inputs'!$G$114:$G$121&gt;0)*('Inputs'!$F$114:$F$121+'Inputs'!$G$114:$G$121)+('Inputs'!$G$114:$G$121=0)*12*$C$62)-12*I101)-ABS(((('Inputs'!$G$114:$G$121&gt;0)*('Inputs'!$F$114:$F$121+'Inputs'!$G$114:$G$121)+('Inputs'!$G$114:$G$121=0)*12*$C$62)-12*I101)-12)+12)/2-(ABS(('Inputs'!$F$114:$F$121-12*I101))-ABS((('Inputs'!$F$114:$F$121-12*I101))-12)+12)/2)+ABS((ABS((('Inputs'!$G$114:$G$121&gt;0)*('Inputs'!$F$114:$F$121+'Inputs'!$G$114:$G$121)+('Inputs'!$G$114:$G$121=0)*12*$C$62)-12*I101)-ABS(((('Inputs'!$G$114:$G$121&gt;0)*('Inputs'!$F$114:$F$121+'Inputs'!$G$114:$G$121)+('Inputs'!$G$114:$G$121=0)*12*$C$62)-12*I101)-12)+12)/2-(ABS(('Inputs'!$F$114:$F$121-12*I101))-ABS((('Inputs'!$F$114:$F$121-12*I101))-12)+12)/2))/2)</f>
      </c>
      <c r="L101">
        <f>IF(J101&gt;0,1,0)</f>
      </c>
      <c r="P101">
        <f>IF($C$65&lt;&gt;1,0,P100*(1+((1+$C$70)^(1/12)-1))^12-J100/12*(1+((1+$C$70)^(1/12)-1))*(((1+((1+$C$70)^(1/12)-1))^12-1)/((1+((1+$C$70)^(1/12)-1))-1)))</f>
      </c>
      <c r="Q101">
        <f>IF($C$65&lt;&gt;1,0,IFERROR((((1+($C$70+'Inputs'!$H$137/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SUMPRODUCT(('Inputs'!$C$114:$C$121=$C$58)*($C$58&lt;&gt;"")*'Inputs'!$D$114:$D$121*(1+'Inputs'!$E$114:$E$121/100)^I102*(((ABS((('Inputs'!$G$114:$G$121&gt;0)*('Inputs'!$F$114:$F$121+'Inputs'!$G$114:$G$121)+('Inputs'!$G$114:$G$121=0)*12*$C$62)-12*I102)-ABS(((('Inputs'!$G$114:$G$121&gt;0)*('Inputs'!$F$114:$F$121+'Inputs'!$G$114:$G$121)+('Inputs'!$G$114:$G$121=0)*12*$C$62)-12*I102)-12)+12)/2-(ABS(('Inputs'!$F$114:$F$121-12*I102))-ABS((('Inputs'!$F$114:$F$121-12*I102))-12)+12)/2)+ABS((ABS((('Inputs'!$G$114:$G$121&gt;0)*('Inputs'!$F$114:$F$121+'Inputs'!$G$114:$G$121)+('Inputs'!$G$114:$G$121=0)*12*$C$62)-12*I102)-ABS(((('Inputs'!$G$114:$G$121&gt;0)*('Inputs'!$F$114:$F$121+'Inputs'!$G$114:$G$121)+('Inputs'!$G$114:$G$121=0)*12*$C$62)-12*I102)-12)+12)/2-(ABS(('Inputs'!$F$114:$F$121-12*I102))-ABS((('Inputs'!$F$114:$F$121-12*I102))-12)+12)/2))/2)</f>
      </c>
      <c r="L102">
        <f>IF(J102&gt;0,1,0)</f>
      </c>
      <c r="P102">
        <f>IF($C$65&lt;&gt;1,0,P101*(1+((1+$C$70)^(1/12)-1))^12-J101/12*(1+((1+$C$70)^(1/12)-1))*(((1+((1+$C$70)^(1/12)-1))^12-1)/((1+((1+$C$70)^(1/12)-1))-1)))</f>
      </c>
      <c r="Q102">
        <f>IF($C$65&lt;&gt;1,0,IFERROR((((1+($C$70+'Inputs'!$H$137/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SUMPRODUCT(('Inputs'!$C$114:$C$121=$C$58)*($C$58&lt;&gt;"")*'Inputs'!$D$114:$D$121*(1+'Inputs'!$E$114:$E$121/100)^I103*(((ABS((('Inputs'!$G$114:$G$121&gt;0)*('Inputs'!$F$114:$F$121+'Inputs'!$G$114:$G$121)+('Inputs'!$G$114:$G$121=0)*12*$C$62)-12*I103)-ABS(((('Inputs'!$G$114:$G$121&gt;0)*('Inputs'!$F$114:$F$121+'Inputs'!$G$114:$G$121)+('Inputs'!$G$114:$G$121=0)*12*$C$62)-12*I103)-12)+12)/2-(ABS(('Inputs'!$F$114:$F$121-12*I103))-ABS((('Inputs'!$F$114:$F$121-12*I103))-12)+12)/2)+ABS((ABS((('Inputs'!$G$114:$G$121&gt;0)*('Inputs'!$F$114:$F$121+'Inputs'!$G$114:$G$121)+('Inputs'!$G$114:$G$121=0)*12*$C$62)-12*I103)-ABS(((('Inputs'!$G$114:$G$121&gt;0)*('Inputs'!$F$114:$F$121+'Inputs'!$G$114:$G$121)+('Inputs'!$G$114:$G$121=0)*12*$C$62)-12*I103)-12)+12)/2-(ABS(('Inputs'!$F$114:$F$121-12*I103))-ABS((('Inputs'!$F$114:$F$121-12*I103))-12)+12)/2))/2)</f>
      </c>
      <c r="L103">
        <f>IF(J103&gt;0,1,0)</f>
      </c>
      <c r="P103">
        <f>IF($C$65&lt;&gt;1,0,P102*(1+((1+$C$70)^(1/12)-1))^12-J102/12*(1+((1+$C$70)^(1/12)-1))*(((1+((1+$C$70)^(1/12)-1))^12-1)/((1+((1+$C$70)^(1/12)-1))-1)))</f>
      </c>
      <c r="Q103">
        <f>IF($C$65&lt;&gt;1,0,IFERROR((((1+($C$70+'Inputs'!$H$137/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SUMPRODUCT(('Inputs'!$C$114:$C$121=$C$58)*($C$58&lt;&gt;"")*'Inputs'!$D$114:$D$121*(1+'Inputs'!$E$114:$E$121/100)^I104*(((ABS((('Inputs'!$G$114:$G$121&gt;0)*('Inputs'!$F$114:$F$121+'Inputs'!$G$114:$G$121)+('Inputs'!$G$114:$G$121=0)*12*$C$62)-12*I104)-ABS(((('Inputs'!$G$114:$G$121&gt;0)*('Inputs'!$F$114:$F$121+'Inputs'!$G$114:$G$121)+('Inputs'!$G$114:$G$121=0)*12*$C$62)-12*I104)-12)+12)/2-(ABS(('Inputs'!$F$114:$F$121-12*I104))-ABS((('Inputs'!$F$114:$F$121-12*I104))-12)+12)/2)+ABS((ABS((('Inputs'!$G$114:$G$121&gt;0)*('Inputs'!$F$114:$F$121+'Inputs'!$G$114:$G$121)+('Inputs'!$G$114:$G$121=0)*12*$C$62)-12*I104)-ABS(((('Inputs'!$G$114:$G$121&gt;0)*('Inputs'!$F$114:$F$121+'Inputs'!$G$114:$G$121)+('Inputs'!$G$114:$G$121=0)*12*$C$62)-12*I104)-12)+12)/2-(ABS(('Inputs'!$F$114:$F$121-12*I104))-ABS((('Inputs'!$F$114:$F$121-12*I104))-12)+12)/2))/2)</f>
      </c>
      <c r="L104">
        <f>IF(J104&gt;0,1,0)</f>
      </c>
      <c r="P104">
        <f>IF($C$65&lt;&gt;1,0,P103*(1+((1+$C$70)^(1/12)-1))^12-J103/12*(1+((1+$C$70)^(1/12)-1))*(((1+((1+$C$70)^(1/12)-1))^12-1)/((1+((1+$C$70)^(1/12)-1))-1)))</f>
      </c>
      <c r="Q104">
        <f>IF($C$65&lt;&gt;1,0,IFERROR((((1+($C$70+'Inputs'!$H$137/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SUMPRODUCT(('Inputs'!$C$114:$C$121=$C$58)*($C$58&lt;&gt;"")*'Inputs'!$D$114:$D$121*(1+'Inputs'!$E$114:$E$121/100)^I105*(((ABS((('Inputs'!$G$114:$G$121&gt;0)*('Inputs'!$F$114:$F$121+'Inputs'!$G$114:$G$121)+('Inputs'!$G$114:$G$121=0)*12*$C$62)-12*I105)-ABS(((('Inputs'!$G$114:$G$121&gt;0)*('Inputs'!$F$114:$F$121+'Inputs'!$G$114:$G$121)+('Inputs'!$G$114:$G$121=0)*12*$C$62)-12*I105)-12)+12)/2-(ABS(('Inputs'!$F$114:$F$121-12*I105))-ABS((('Inputs'!$F$114:$F$121-12*I105))-12)+12)/2)+ABS((ABS((('Inputs'!$G$114:$G$121&gt;0)*('Inputs'!$F$114:$F$121+'Inputs'!$G$114:$G$121)+('Inputs'!$G$114:$G$121=0)*12*$C$62)-12*I105)-ABS(((('Inputs'!$G$114:$G$121&gt;0)*('Inputs'!$F$114:$F$121+'Inputs'!$G$114:$G$121)+('Inputs'!$G$114:$G$121=0)*12*$C$62)-12*I105)-12)+12)/2-(ABS(('Inputs'!$F$114:$F$121-12*I105))-ABS((('Inputs'!$F$114:$F$121-12*I105))-12)+12)/2))/2)</f>
      </c>
      <c r="L105">
        <f>IF(J105&gt;0,1,0)</f>
      </c>
      <c r="P105">
        <f>IF($C$65&lt;&gt;1,0,P104*(1+((1+$C$70)^(1/12)-1))^12-J104/12*(1+((1+$C$70)^(1/12)-1))*(((1+((1+$C$70)^(1/12)-1))^12-1)/((1+((1+$C$70)^(1/12)-1))-1)))</f>
      </c>
      <c r="Q105">
        <f>IF($C$65&lt;&gt;1,0,IFERROR((((1+($C$70+'Inputs'!$H$137/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SUMPRODUCT(('Inputs'!$C$114:$C$121=$C$58)*($C$58&lt;&gt;"")*'Inputs'!$D$114:$D$121*(1+'Inputs'!$E$114:$E$121/100)^I106*(((ABS((('Inputs'!$G$114:$G$121&gt;0)*('Inputs'!$F$114:$F$121+'Inputs'!$G$114:$G$121)+('Inputs'!$G$114:$G$121=0)*12*$C$62)-12*I106)-ABS(((('Inputs'!$G$114:$G$121&gt;0)*('Inputs'!$F$114:$F$121+'Inputs'!$G$114:$G$121)+('Inputs'!$G$114:$G$121=0)*12*$C$62)-12*I106)-12)+12)/2-(ABS(('Inputs'!$F$114:$F$121-12*I106))-ABS((('Inputs'!$F$114:$F$121-12*I106))-12)+12)/2)+ABS((ABS((('Inputs'!$G$114:$G$121&gt;0)*('Inputs'!$F$114:$F$121+'Inputs'!$G$114:$G$121)+('Inputs'!$G$114:$G$121=0)*12*$C$62)-12*I106)-ABS(((('Inputs'!$G$114:$G$121&gt;0)*('Inputs'!$F$114:$F$121+'Inputs'!$G$114:$G$121)+('Inputs'!$G$114:$G$121=0)*12*$C$62)-12*I106)-12)+12)/2-(ABS(('Inputs'!$F$114:$F$121-12*I106))-ABS((('Inputs'!$F$114:$F$121-12*I106))-12)+12)/2))/2)</f>
      </c>
      <c r="L106">
        <f>IF(J106&gt;0,1,0)</f>
      </c>
      <c r="P106">
        <f>IF($C$65&lt;&gt;1,0,P105*(1+((1+$C$70)^(1/12)-1))^12-J105/12*(1+((1+$C$70)^(1/12)-1))*(((1+((1+$C$70)^(1/12)-1))^12-1)/((1+((1+$C$70)^(1/12)-1))-1)))</f>
      </c>
      <c r="Q106">
        <f>IF($C$65&lt;&gt;1,0,IFERROR((((1+($C$70+'Inputs'!$H$137/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SUMPRODUCT(('Inputs'!$C$114:$C$121=$C$58)*($C$58&lt;&gt;"")*'Inputs'!$D$114:$D$121*(1+'Inputs'!$E$114:$E$121/100)^I107*(((ABS((('Inputs'!$G$114:$G$121&gt;0)*('Inputs'!$F$114:$F$121+'Inputs'!$G$114:$G$121)+('Inputs'!$G$114:$G$121=0)*12*$C$62)-12*I107)-ABS(((('Inputs'!$G$114:$G$121&gt;0)*('Inputs'!$F$114:$F$121+'Inputs'!$G$114:$G$121)+('Inputs'!$G$114:$G$121=0)*12*$C$62)-12*I107)-12)+12)/2-(ABS(('Inputs'!$F$114:$F$121-12*I107))-ABS((('Inputs'!$F$114:$F$121-12*I107))-12)+12)/2)+ABS((ABS((('Inputs'!$G$114:$G$121&gt;0)*('Inputs'!$F$114:$F$121+'Inputs'!$G$114:$G$121)+('Inputs'!$G$114:$G$121=0)*12*$C$62)-12*I107)-ABS(((('Inputs'!$G$114:$G$121&gt;0)*('Inputs'!$F$114:$F$121+'Inputs'!$G$114:$G$121)+('Inputs'!$G$114:$G$121=0)*12*$C$62)-12*I107)-12)+12)/2-(ABS(('Inputs'!$F$114:$F$121-12*I107))-ABS((('Inputs'!$F$114:$F$121-12*I107))-12)+12)/2))/2)</f>
      </c>
      <c r="L107">
        <f>IF(J107&gt;0,1,0)</f>
      </c>
      <c r="P107">
        <f>IF($C$65&lt;&gt;1,0,P106*(1+((1+$C$70)^(1/12)-1))^12-J106/12*(1+((1+$C$70)^(1/12)-1))*(((1+((1+$C$70)^(1/12)-1))^12-1)/((1+((1+$C$70)^(1/12)-1))-1)))</f>
      </c>
      <c r="Q107">
        <f>IF($C$65&lt;&gt;1,0,IFERROR((((1+($C$70+'Inputs'!$H$137/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SUMPRODUCT(('Inputs'!$C$114:$C$121=$C$58)*($C$58&lt;&gt;"")*'Inputs'!$D$114:$D$121*(1+'Inputs'!$E$114:$E$121/100)^I108*(((ABS((('Inputs'!$G$114:$G$121&gt;0)*('Inputs'!$F$114:$F$121+'Inputs'!$G$114:$G$121)+('Inputs'!$G$114:$G$121=0)*12*$C$62)-12*I108)-ABS(((('Inputs'!$G$114:$G$121&gt;0)*('Inputs'!$F$114:$F$121+'Inputs'!$G$114:$G$121)+('Inputs'!$G$114:$G$121=0)*12*$C$62)-12*I108)-12)+12)/2-(ABS(('Inputs'!$F$114:$F$121-12*I108))-ABS((('Inputs'!$F$114:$F$121-12*I108))-12)+12)/2)+ABS((ABS((('Inputs'!$G$114:$G$121&gt;0)*('Inputs'!$F$114:$F$121+'Inputs'!$G$114:$G$121)+('Inputs'!$G$114:$G$121=0)*12*$C$62)-12*I108)-ABS(((('Inputs'!$G$114:$G$121&gt;0)*('Inputs'!$F$114:$F$121+'Inputs'!$G$114:$G$121)+('Inputs'!$G$114:$G$121=0)*12*$C$62)-12*I108)-12)+12)/2-(ABS(('Inputs'!$F$114:$F$121-12*I108))-ABS((('Inputs'!$F$114:$F$121-12*I108))-12)+12)/2))/2)</f>
      </c>
      <c r="L108">
        <f>IF(J108&gt;0,1,0)</f>
      </c>
      <c r="P108">
        <f>IF($C$65&lt;&gt;1,0,P107*(1+((1+$C$70)^(1/12)-1))^12-J107/12*(1+((1+$C$70)^(1/12)-1))*(((1+((1+$C$70)^(1/12)-1))^12-1)/((1+((1+$C$70)^(1/12)-1))-1)))</f>
      </c>
      <c r="Q108">
        <f>IF($C$65&lt;&gt;1,0,IFERROR((((1+($C$70+'Inputs'!$H$137/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SUMPRODUCT(('Inputs'!$C$114:$C$121=$C$58)*($C$58&lt;&gt;"")*'Inputs'!$D$114:$D$121*(1+'Inputs'!$E$114:$E$121/100)^I109*(((ABS((('Inputs'!$G$114:$G$121&gt;0)*('Inputs'!$F$114:$F$121+'Inputs'!$G$114:$G$121)+('Inputs'!$G$114:$G$121=0)*12*$C$62)-12*I109)-ABS(((('Inputs'!$G$114:$G$121&gt;0)*('Inputs'!$F$114:$F$121+'Inputs'!$G$114:$G$121)+('Inputs'!$G$114:$G$121=0)*12*$C$62)-12*I109)-12)+12)/2-(ABS(('Inputs'!$F$114:$F$121-12*I109))-ABS((('Inputs'!$F$114:$F$121-12*I109))-12)+12)/2)+ABS((ABS((('Inputs'!$G$114:$G$121&gt;0)*('Inputs'!$F$114:$F$121+'Inputs'!$G$114:$G$121)+('Inputs'!$G$114:$G$121=0)*12*$C$62)-12*I109)-ABS(((('Inputs'!$G$114:$G$121&gt;0)*('Inputs'!$F$114:$F$121+'Inputs'!$G$114:$G$121)+('Inputs'!$G$114:$G$121=0)*12*$C$62)-12*I109)-12)+12)/2-(ABS(('Inputs'!$F$114:$F$121-12*I109))-ABS((('Inputs'!$F$114:$F$121-12*I109))-12)+12)/2))/2)</f>
      </c>
      <c r="L109">
        <f>IF(J109&gt;0,1,0)</f>
      </c>
      <c r="P109">
        <f>IF($C$65&lt;&gt;1,0,P108*(1+((1+$C$70)^(1/12)-1))^12-J108/12*(1+((1+$C$70)^(1/12)-1))*(((1+((1+$C$70)^(1/12)-1))^12-1)/((1+((1+$C$70)^(1/12)-1))-1)))</f>
      </c>
      <c r="Q109">
        <f>IF($C$65&lt;&gt;1,0,IFERROR((((1+($C$70+'Inputs'!$H$137/100))^(1/12)-1)-((1+$C$70)^(1/12)-1))*(P109*(((1+((1+$C$70)^(1/12)-1))^12-1)/((1+((1+$C$70)^(1/12)-1))-1))-J109/12/((1+((1+$C$70)^(1/12)-1))-1)*((1+((1+$C$70)^(1/12)-1))*(((1+((1+$C$70)^(1/12)-1))^12-1)/((1+((1+$C$70)^(1/12)-1))-1))-12)),0))</f>
      </c>
    </row>
    <row r="114" spans="2:3" x14ac:dyDescent="0.25">
      <c r="B114" t="s">
        <v>122</v>
      </c>
      <c r="C114">
        <f>IF('Inputs'!$B$102="","",'Inputs'!$B$102)</f>
      </c>
    </row>
    <row r="115" spans="2:17" x14ac:dyDescent="0.25">
      <c r="B115" t="s">
        <v>124</v>
      </c>
      <c r="C115">
        <f>N('Inputs'!$D$102)</f>
      </c>
      <c r="I115" t="s">
        <v>451</v>
      </c>
      <c r="J115" t="s">
        <v>452</v>
      </c>
      <c r="K115" t="s">
        <v>453</v>
      </c>
      <c r="L115" t="s">
        <v>454</v>
      </c>
      <c r="P115" t="s">
        <v>455</v>
      </c>
      <c r="Q115" t="s">
        <v>456</v>
      </c>
    </row>
    <row r="116" spans="2:17" x14ac:dyDescent="0.25">
      <c r="B116" t="s">
        <v>457</v>
      </c>
      <c r="C116">
        <f>IF($C$115&gt;=75,'Inputs'!$H$145,IF($C$115&gt;=65,'Inputs'!$H$144,'Inputs'!$H$138))</f>
      </c>
      <c r="I116">
        <v>0</v>
      </c>
      <c r="J116">
        <f>IF(I116&lt;$C$118,MAX(0,12*$C$119*(1+$C$120)^I116-K116),0)</f>
      </c>
      <c r="K116">
        <f>SUMPRODUCT(('Inputs'!$G$76:$G$81=$C$114)*($C$114&lt;&gt;"")*'Inputs'!$D$76:$D$81*(1+'Inputs'!$E$76:$E$81/100)^I116*(ABS('Inputs'!$F$76:$F$81-12*I116)-ABS(('Inputs'!$F$76:$F$81-12*I116)-12)+12)/2)+SUMPRODUCT(('Inputs'!$C$114:$C$121=$C$114)*($C$114&lt;&gt;"")*'Inputs'!$D$114:$D$121*(1+'Inputs'!$E$114:$E$121/100)^I116*(((ABS((('Inputs'!$G$114:$G$121&gt;0)*('Inputs'!$F$114:$F$121+'Inputs'!$G$114:$G$121)+('Inputs'!$G$114:$G$121=0)*12*$C$118)-12*I116)-ABS(((('Inputs'!$G$114:$G$121&gt;0)*('Inputs'!$F$114:$F$121+'Inputs'!$G$114:$G$121)+('Inputs'!$G$114:$G$121=0)*12*$C$118)-12*I116)-12)+12)/2-(ABS(('Inputs'!$F$114:$F$121-12*I116))-ABS((('Inputs'!$F$114:$F$121-12*I116))-12)+12)/2)+ABS((ABS((('Inputs'!$G$114:$G$121&gt;0)*('Inputs'!$F$114:$F$121+'Inputs'!$G$114:$G$121)+('Inputs'!$G$114:$G$121=0)*12*$C$118)-12*I116)-ABS(((('Inputs'!$G$114:$G$121&gt;0)*('Inputs'!$F$114:$F$121+'Inputs'!$G$114:$G$121)+('Inputs'!$G$114:$G$121=0)*12*$C$118)-12*I116)-12)+12)/2-(ABS(('Inputs'!$F$114:$F$121-12*I116))-ABS((('Inputs'!$F$114:$F$121-12*I116))-12)+12)/2))/2)</f>
      </c>
      <c r="L116">
        <f>IF(J116&gt;0,1,0)</f>
      </c>
      <c r="P116">
        <f>IF($C$121&lt;&gt;1,0,IF($C$126=0,SUM($J$116:$J$165),(1-(1+$C$126)^-1)/(1-(1+$C$126)^(-1/12))/12*SUMPRODUCT($J$116:$J$165,(1+$C$126)^(-$I$116:$I$165))))</f>
      </c>
      <c r="Q116">
        <f>IF($C$121&lt;&gt;1,0,IFERROR((((1+($C$126+'Inputs'!$H$137/100))^(1/12)-1)-((1+$C$126)^(1/12)-1))*(P116*(((1+((1+$C$126)^(1/12)-1))^12-1)/((1+((1+$C$126)^(1/12)-1))-1))-J116/12/((1+((1+$C$126)^(1/12)-1))-1)*((1+((1+$C$126)^(1/12)-1))*(((1+((1+$C$126)^(1/12)-1))^12-1)/((1+((1+$C$126)^(1/12)-1))-1))-12)),0))</f>
      </c>
    </row>
    <row r="117" spans="2:17" x14ac:dyDescent="0.25">
      <c r="B117" t="s">
        <v>458</v>
      </c>
      <c r="C117">
        <f>N('Inputs'!$I$102)</f>
      </c>
      <c r="I117">
        <v>1</v>
      </c>
      <c r="J117">
        <f>IF(I117&lt;$C$118,MAX(0,12*$C$119*(1+$C$120)^I117-K117),0)</f>
      </c>
      <c r="K117">
        <f>SUMPRODUCT(('Inputs'!$G$76:$G$81=$C$114)*($C$114&lt;&gt;"")*'Inputs'!$D$76:$D$81*(1+'Inputs'!$E$76:$E$81/100)^I117*(ABS('Inputs'!$F$76:$F$81-12*I117)-ABS(('Inputs'!$F$76:$F$81-12*I117)-12)+12)/2)+SUMPRODUCT(('Inputs'!$C$114:$C$121=$C$114)*($C$114&lt;&gt;"")*'Inputs'!$D$114:$D$121*(1+'Inputs'!$E$114:$E$121/100)^I117*(((ABS((('Inputs'!$G$114:$G$121&gt;0)*('Inputs'!$F$114:$F$121+'Inputs'!$G$114:$G$121)+('Inputs'!$G$114:$G$121=0)*12*$C$118)-12*I117)-ABS(((('Inputs'!$G$114:$G$121&gt;0)*('Inputs'!$F$114:$F$121+'Inputs'!$G$114:$G$121)+('Inputs'!$G$114:$G$121=0)*12*$C$118)-12*I117)-12)+12)/2-(ABS(('Inputs'!$F$114:$F$121-12*I117))-ABS((('Inputs'!$F$114:$F$121-12*I117))-12)+12)/2)+ABS((ABS((('Inputs'!$G$114:$G$121&gt;0)*('Inputs'!$F$114:$F$121+'Inputs'!$G$114:$G$121)+('Inputs'!$G$114:$G$121=0)*12*$C$118)-12*I117)-ABS(((('Inputs'!$G$114:$G$121&gt;0)*('Inputs'!$F$114:$F$121+'Inputs'!$G$114:$G$121)+('Inputs'!$G$114:$G$121=0)*12*$C$118)-12*I117)-12)+12)/2-(ABS(('Inputs'!$F$114:$F$121-12*I117))-ABS((('Inputs'!$F$114:$F$121-12*I117))-12)+12)/2))/2)</f>
      </c>
      <c r="L117">
        <f>IF(J117&gt;0,1,0)</f>
      </c>
      <c r="P117">
        <f>IF($C$121&lt;&gt;1,0,P116*(1+((1+$C$126)^(1/12)-1))^12-J116/12*(1+((1+$C$126)^(1/12)-1))*(((1+((1+$C$126)^(1/12)-1))^12-1)/((1+((1+$C$126)^(1/12)-1))-1)))</f>
      </c>
      <c r="Q117">
        <f>IF($C$121&lt;&gt;1,0,IFERROR((((1+($C$126+'Inputs'!$H$137/100))^(1/12)-1)-((1+$C$126)^(1/12)-1))*(P117*(((1+((1+$C$126)^(1/12)-1))^12-1)/((1+((1+$C$126)^(1/12)-1))-1))-J117/12/((1+((1+$C$126)^(1/12)-1))-1)*((1+((1+$C$126)^(1/12)-1))*(((1+((1+$C$126)^(1/12)-1))^12-1)/((1+((1+$C$126)^(1/12)-1))-1))-12)),0))</f>
      </c>
    </row>
    <row r="118" spans="2:17" x14ac:dyDescent="0.25">
      <c r="B118" t="s">
        <v>459</v>
      </c>
      <c r="C118">
        <f>IF($C$114="",0,N('Inputs'!$F$102))</f>
      </c>
      <c r="I118">
        <v>2</v>
      </c>
      <c r="J118">
        <f>IF(I118&lt;$C$118,MAX(0,12*$C$119*(1+$C$120)^I118-K118),0)</f>
      </c>
      <c r="K118">
        <f>SUMPRODUCT(('Inputs'!$G$76:$G$81=$C$114)*($C$114&lt;&gt;"")*'Inputs'!$D$76:$D$81*(1+'Inputs'!$E$76:$E$81/100)^I118*(ABS('Inputs'!$F$76:$F$81-12*I118)-ABS(('Inputs'!$F$76:$F$81-12*I118)-12)+12)/2)+SUMPRODUCT(('Inputs'!$C$114:$C$121=$C$114)*($C$114&lt;&gt;"")*'Inputs'!$D$114:$D$121*(1+'Inputs'!$E$114:$E$121/100)^I118*(((ABS((('Inputs'!$G$114:$G$121&gt;0)*('Inputs'!$F$114:$F$121+'Inputs'!$G$114:$G$121)+('Inputs'!$G$114:$G$121=0)*12*$C$118)-12*I118)-ABS(((('Inputs'!$G$114:$G$121&gt;0)*('Inputs'!$F$114:$F$121+'Inputs'!$G$114:$G$121)+('Inputs'!$G$114:$G$121=0)*12*$C$118)-12*I118)-12)+12)/2-(ABS(('Inputs'!$F$114:$F$121-12*I118))-ABS((('Inputs'!$F$114:$F$121-12*I118))-12)+12)/2)+ABS((ABS((('Inputs'!$G$114:$G$121&gt;0)*('Inputs'!$F$114:$F$121+'Inputs'!$G$114:$G$121)+('Inputs'!$G$114:$G$121=0)*12*$C$118)-12*I118)-ABS(((('Inputs'!$G$114:$G$121&gt;0)*('Inputs'!$F$114:$F$121+'Inputs'!$G$114:$G$121)+('Inputs'!$G$114:$G$121=0)*12*$C$118)-12*I118)-12)+12)/2-(ABS(('Inputs'!$F$114:$F$121-12*I118))-ABS((('Inputs'!$F$114:$F$121-12*I118))-12)+12)/2))/2)</f>
      </c>
      <c r="L118">
        <f>IF(J118&gt;0,1,0)</f>
      </c>
      <c r="P118">
        <f>IF($C$121&lt;&gt;1,0,P117*(1+((1+$C$126)^(1/12)-1))^12-J117/12*(1+((1+$C$126)^(1/12)-1))*(((1+((1+$C$126)^(1/12)-1))^12-1)/((1+((1+$C$126)^(1/12)-1))-1)))</f>
      </c>
      <c r="Q118">
        <f>IF($C$121&lt;&gt;1,0,IFERROR((((1+($C$126+'Inputs'!$H$137/100))^(1/12)-1)-((1+$C$126)^(1/12)-1))*(P118*(((1+((1+$C$126)^(1/12)-1))^12-1)/((1+((1+$C$126)^(1/12)-1))-1))-J118/12/((1+((1+$C$126)^(1/12)-1))-1)*((1+((1+$C$126)^(1/12)-1))*(((1+((1+$C$126)^(1/12)-1))^12-1)/((1+((1+$C$126)^(1/12)-1))-1))-12)),0))</f>
      </c>
    </row>
    <row r="119" spans="2:17" x14ac:dyDescent="0.25">
      <c r="B119" t="s">
        <v>460</v>
      </c>
      <c r="C119">
        <f>N('Inputs'!$E$102)</f>
      </c>
      <c r="I119">
        <v>3</v>
      </c>
      <c r="J119">
        <f>IF(I119&lt;$C$118,MAX(0,12*$C$119*(1+$C$120)^I119-K119),0)</f>
      </c>
      <c r="K119">
        <f>SUMPRODUCT(('Inputs'!$G$76:$G$81=$C$114)*($C$114&lt;&gt;"")*'Inputs'!$D$76:$D$81*(1+'Inputs'!$E$76:$E$81/100)^I119*(ABS('Inputs'!$F$76:$F$81-12*I119)-ABS(('Inputs'!$F$76:$F$81-12*I119)-12)+12)/2)+SUMPRODUCT(('Inputs'!$C$114:$C$121=$C$114)*($C$114&lt;&gt;"")*'Inputs'!$D$114:$D$121*(1+'Inputs'!$E$114:$E$121/100)^I119*(((ABS((('Inputs'!$G$114:$G$121&gt;0)*('Inputs'!$F$114:$F$121+'Inputs'!$G$114:$G$121)+('Inputs'!$G$114:$G$121=0)*12*$C$118)-12*I119)-ABS(((('Inputs'!$G$114:$G$121&gt;0)*('Inputs'!$F$114:$F$121+'Inputs'!$G$114:$G$121)+('Inputs'!$G$114:$G$121=0)*12*$C$118)-12*I119)-12)+12)/2-(ABS(('Inputs'!$F$114:$F$121-12*I119))-ABS((('Inputs'!$F$114:$F$121-12*I119))-12)+12)/2)+ABS((ABS((('Inputs'!$G$114:$G$121&gt;0)*('Inputs'!$F$114:$F$121+'Inputs'!$G$114:$G$121)+('Inputs'!$G$114:$G$121=0)*12*$C$118)-12*I119)-ABS(((('Inputs'!$G$114:$G$121&gt;0)*('Inputs'!$F$114:$F$121+'Inputs'!$G$114:$G$121)+('Inputs'!$G$114:$G$121=0)*12*$C$118)-12*I119)-12)+12)/2-(ABS(('Inputs'!$F$114:$F$121-12*I119))-ABS((('Inputs'!$F$114:$F$121-12*I119))-12)+12)/2))/2)</f>
      </c>
      <c r="L119">
        <f>IF(J119&gt;0,1,0)</f>
      </c>
      <c r="P119">
        <f>IF($C$121&lt;&gt;1,0,P118*(1+((1+$C$126)^(1/12)-1))^12-J118/12*(1+((1+$C$126)^(1/12)-1))*(((1+((1+$C$126)^(1/12)-1))^12-1)/((1+((1+$C$126)^(1/12)-1))-1)))</f>
      </c>
      <c r="Q119">
        <f>IF($C$121&lt;&gt;1,0,IFERROR((((1+($C$126+'Inputs'!$H$137/100))^(1/12)-1)-((1+$C$126)^(1/12)-1))*(P119*(((1+((1+$C$126)^(1/12)-1))^12-1)/((1+((1+$C$126)^(1/12)-1))-1))-J119/12/((1+((1+$C$126)^(1/12)-1))-1)*((1+((1+$C$126)^(1/12)-1))*(((1+((1+$C$126)^(1/12)-1))^12-1)/((1+((1+$C$126)^(1/12)-1))-1))-12)),0))</f>
      </c>
    </row>
    <row r="120" spans="2:17" x14ac:dyDescent="0.25">
      <c r="B120" t="s">
        <v>461</v>
      </c>
      <c r="C120">
        <f>IF('Inputs'!$G$102="",'Inputs'!$H$143/100,'Inputs'!$G$102/100)</f>
      </c>
      <c r="I120">
        <v>4</v>
      </c>
      <c r="J120">
        <f>IF(I120&lt;$C$118,MAX(0,12*$C$119*(1+$C$120)^I120-K120),0)</f>
      </c>
      <c r="K120">
        <f>SUMPRODUCT(('Inputs'!$G$76:$G$81=$C$114)*($C$114&lt;&gt;"")*'Inputs'!$D$76:$D$81*(1+'Inputs'!$E$76:$E$81/100)^I120*(ABS('Inputs'!$F$76:$F$81-12*I120)-ABS(('Inputs'!$F$76:$F$81-12*I120)-12)+12)/2)+SUMPRODUCT(('Inputs'!$C$114:$C$121=$C$114)*($C$114&lt;&gt;"")*'Inputs'!$D$114:$D$121*(1+'Inputs'!$E$114:$E$121/100)^I120*(((ABS((('Inputs'!$G$114:$G$121&gt;0)*('Inputs'!$F$114:$F$121+'Inputs'!$G$114:$G$121)+('Inputs'!$G$114:$G$121=0)*12*$C$118)-12*I120)-ABS(((('Inputs'!$G$114:$G$121&gt;0)*('Inputs'!$F$114:$F$121+'Inputs'!$G$114:$G$121)+('Inputs'!$G$114:$G$121=0)*12*$C$118)-12*I120)-12)+12)/2-(ABS(('Inputs'!$F$114:$F$121-12*I120))-ABS((('Inputs'!$F$114:$F$121-12*I120))-12)+12)/2)+ABS((ABS((('Inputs'!$G$114:$G$121&gt;0)*('Inputs'!$F$114:$F$121+'Inputs'!$G$114:$G$121)+('Inputs'!$G$114:$G$121=0)*12*$C$118)-12*I120)-ABS(((('Inputs'!$G$114:$G$121&gt;0)*('Inputs'!$F$114:$F$121+'Inputs'!$G$114:$G$121)+('Inputs'!$G$114:$G$121=0)*12*$C$118)-12*I120)-12)+12)/2-(ABS(('Inputs'!$F$114:$F$121-12*I120))-ABS((('Inputs'!$F$114:$F$121-12*I120))-12)+12)/2))/2)</f>
      </c>
      <c r="L120">
        <f>IF(J120&gt;0,1,0)</f>
      </c>
      <c r="P120">
        <f>IF($C$121&lt;&gt;1,0,P119*(1+((1+$C$126)^(1/12)-1))^12-J119/12*(1+((1+$C$126)^(1/12)-1))*(((1+((1+$C$126)^(1/12)-1))^12-1)/((1+((1+$C$126)^(1/12)-1))-1)))</f>
      </c>
      <c r="Q120">
        <f>IF($C$121&lt;&gt;1,0,IFERROR((((1+($C$126+'Inputs'!$H$137/100))^(1/12)-1)-((1+$C$126)^(1/12)-1))*(P120*(((1+((1+$C$126)^(1/12)-1))^12-1)/((1+((1+$C$126)^(1/12)-1))-1))-J120/12/((1+((1+$C$126)^(1/12)-1))-1)*((1+((1+$C$126)^(1/12)-1))*(((1+((1+$C$126)^(1/12)-1))^12-1)/((1+((1+$C$126)^(1/12)-1))-1))-12)),0))</f>
      </c>
    </row>
    <row r="121" spans="2:17" x14ac:dyDescent="0.25">
      <c r="B121" t="s">
        <v>462</v>
      </c>
      <c r="C121">
        <f>IF('Inputs'!$H$102="Yes",1,0)</f>
      </c>
      <c r="I121">
        <v>5</v>
      </c>
      <c r="J121">
        <f>IF(I121&lt;$C$118,MAX(0,12*$C$119*(1+$C$120)^I121-K121),0)</f>
      </c>
      <c r="K121">
        <f>SUMPRODUCT(('Inputs'!$G$76:$G$81=$C$114)*($C$114&lt;&gt;"")*'Inputs'!$D$76:$D$81*(1+'Inputs'!$E$76:$E$81/100)^I121*(ABS('Inputs'!$F$76:$F$81-12*I121)-ABS(('Inputs'!$F$76:$F$81-12*I121)-12)+12)/2)+SUMPRODUCT(('Inputs'!$C$114:$C$121=$C$114)*($C$114&lt;&gt;"")*'Inputs'!$D$114:$D$121*(1+'Inputs'!$E$114:$E$121/100)^I121*(((ABS((('Inputs'!$G$114:$G$121&gt;0)*('Inputs'!$F$114:$F$121+'Inputs'!$G$114:$G$121)+('Inputs'!$G$114:$G$121=0)*12*$C$118)-12*I121)-ABS(((('Inputs'!$G$114:$G$121&gt;0)*('Inputs'!$F$114:$F$121+'Inputs'!$G$114:$G$121)+('Inputs'!$G$114:$G$121=0)*12*$C$118)-12*I121)-12)+12)/2-(ABS(('Inputs'!$F$114:$F$121-12*I121))-ABS((('Inputs'!$F$114:$F$121-12*I121))-12)+12)/2)+ABS((ABS((('Inputs'!$G$114:$G$121&gt;0)*('Inputs'!$F$114:$F$121+'Inputs'!$G$114:$G$121)+('Inputs'!$G$114:$G$121=0)*12*$C$118)-12*I121)-ABS(((('Inputs'!$G$114:$G$121&gt;0)*('Inputs'!$F$114:$F$121+'Inputs'!$G$114:$G$121)+('Inputs'!$G$114:$G$121=0)*12*$C$118)-12*I121)-12)+12)/2-(ABS(('Inputs'!$F$114:$F$121-12*I121))-ABS((('Inputs'!$F$114:$F$121-12*I121))-12)+12)/2))/2)</f>
      </c>
      <c r="L121">
        <f>IF(J121&gt;0,1,0)</f>
      </c>
      <c r="P121">
        <f>IF($C$121&lt;&gt;1,0,P120*(1+((1+$C$126)^(1/12)-1))^12-J120/12*(1+((1+$C$126)^(1/12)-1))*(((1+((1+$C$126)^(1/12)-1))^12-1)/((1+((1+$C$126)^(1/12)-1))-1)))</f>
      </c>
      <c r="Q121">
        <f>IF($C$121&lt;&gt;1,0,IFERROR((((1+($C$126+'Inputs'!$H$137/100))^(1/12)-1)-((1+$C$126)^(1/12)-1))*(P121*(((1+((1+$C$126)^(1/12)-1))^12-1)/((1+((1+$C$126)^(1/12)-1))-1))-J121/12/((1+((1+$C$126)^(1/12)-1))-1)*((1+((1+$C$126)^(1/12)-1))*(((1+((1+$C$126)^(1/12)-1))^12-1)/((1+((1+$C$126)^(1/12)-1))-1))-12)),0))</f>
      </c>
    </row>
    <row r="122" spans="2:17" x14ac:dyDescent="0.25">
      <c r="B122" t="s">
        <v>463</v>
      </c>
      <c r="C122">
        <f>IF($C$114="",0,N('Inputs'!$J$102))</f>
      </c>
      <c r="I122">
        <v>6</v>
      </c>
      <c r="J122">
        <f>IF(I122&lt;$C$118,MAX(0,12*$C$119*(1+$C$120)^I122-K122),0)</f>
      </c>
      <c r="K122">
        <f>SUMPRODUCT(('Inputs'!$G$76:$G$81=$C$114)*($C$114&lt;&gt;"")*'Inputs'!$D$76:$D$81*(1+'Inputs'!$E$76:$E$81/100)^I122*(ABS('Inputs'!$F$76:$F$81-12*I122)-ABS(('Inputs'!$F$76:$F$81-12*I122)-12)+12)/2)+SUMPRODUCT(('Inputs'!$C$114:$C$121=$C$114)*($C$114&lt;&gt;"")*'Inputs'!$D$114:$D$121*(1+'Inputs'!$E$114:$E$121/100)^I122*(((ABS((('Inputs'!$G$114:$G$121&gt;0)*('Inputs'!$F$114:$F$121+'Inputs'!$G$114:$G$121)+('Inputs'!$G$114:$G$121=0)*12*$C$118)-12*I122)-ABS(((('Inputs'!$G$114:$G$121&gt;0)*('Inputs'!$F$114:$F$121+'Inputs'!$G$114:$G$121)+('Inputs'!$G$114:$G$121=0)*12*$C$118)-12*I122)-12)+12)/2-(ABS(('Inputs'!$F$114:$F$121-12*I122))-ABS((('Inputs'!$F$114:$F$121-12*I122))-12)+12)/2)+ABS((ABS((('Inputs'!$G$114:$G$121&gt;0)*('Inputs'!$F$114:$F$121+'Inputs'!$G$114:$G$121)+('Inputs'!$G$114:$G$121=0)*12*$C$118)-12*I122)-ABS(((('Inputs'!$G$114:$G$121&gt;0)*('Inputs'!$F$114:$F$121+'Inputs'!$G$114:$G$121)+('Inputs'!$G$114:$G$121=0)*12*$C$118)-12*I122)-12)+12)/2-(ABS(('Inputs'!$F$114:$F$121-12*I122))-ABS((('Inputs'!$F$114:$F$121-12*I122))-12)+12)/2))/2)</f>
      </c>
      <c r="L122">
        <f>IF(J122&gt;0,1,0)</f>
      </c>
      <c r="P122">
        <f>IF($C$121&lt;&gt;1,0,P121*(1+((1+$C$126)^(1/12)-1))^12-J121/12*(1+((1+$C$126)^(1/12)-1))*(((1+((1+$C$126)^(1/12)-1))^12-1)/((1+((1+$C$126)^(1/12)-1))-1)))</f>
      </c>
      <c r="Q122">
        <f>IF($C$121&lt;&gt;1,0,IFERROR((((1+($C$126+'Inputs'!$H$137/100))^(1/12)-1)-((1+$C$126)^(1/12)-1))*(P122*(((1+((1+$C$126)^(1/12)-1))^12-1)/((1+((1+$C$126)^(1/12)-1))-1))-J122/12/((1+((1+$C$126)^(1/12)-1))-1)*((1+((1+$C$126)^(1/12)-1))*(((1+((1+$C$126)^(1/12)-1))^12-1)/((1+((1+$C$126)^(1/12)-1))-1))-12)),0))</f>
      </c>
    </row>
    <row r="123" spans="2:17" x14ac:dyDescent="0.25">
      <c r="B123" t="s">
        <v>464</v>
      </c>
      <c r="C123">
        <f>ROUND(Q116,2)</f>
      </c>
      <c r="I123">
        <v>7</v>
      </c>
      <c r="J123">
        <f>IF(I123&lt;$C$118,MAX(0,12*$C$119*(1+$C$120)^I123-K123),0)</f>
      </c>
      <c r="K123">
        <f>SUMPRODUCT(('Inputs'!$G$76:$G$81=$C$114)*($C$114&lt;&gt;"")*'Inputs'!$D$76:$D$81*(1+'Inputs'!$E$76:$E$81/100)^I123*(ABS('Inputs'!$F$76:$F$81-12*I123)-ABS(('Inputs'!$F$76:$F$81-12*I123)-12)+12)/2)+SUMPRODUCT(('Inputs'!$C$114:$C$121=$C$114)*($C$114&lt;&gt;"")*'Inputs'!$D$114:$D$121*(1+'Inputs'!$E$114:$E$121/100)^I123*(((ABS((('Inputs'!$G$114:$G$121&gt;0)*('Inputs'!$F$114:$F$121+'Inputs'!$G$114:$G$121)+('Inputs'!$G$114:$G$121=0)*12*$C$118)-12*I123)-ABS(((('Inputs'!$G$114:$G$121&gt;0)*('Inputs'!$F$114:$F$121+'Inputs'!$G$114:$G$121)+('Inputs'!$G$114:$G$121=0)*12*$C$118)-12*I123)-12)+12)/2-(ABS(('Inputs'!$F$114:$F$121-12*I123))-ABS((('Inputs'!$F$114:$F$121-12*I123))-12)+12)/2)+ABS((ABS((('Inputs'!$G$114:$G$121&gt;0)*('Inputs'!$F$114:$F$121+'Inputs'!$G$114:$G$121)+('Inputs'!$G$114:$G$121=0)*12*$C$118)-12*I123)-ABS(((('Inputs'!$G$114:$G$121&gt;0)*('Inputs'!$F$114:$F$121+'Inputs'!$G$114:$G$121)+('Inputs'!$G$114:$G$121=0)*12*$C$118)-12*I123)-12)+12)/2-(ABS(('Inputs'!$F$114:$F$121-12*I123))-ABS((('Inputs'!$F$114:$F$121-12*I123))-12)+12)/2))/2)</f>
      </c>
      <c r="L123">
        <f>IF(J123&gt;0,1,0)</f>
      </c>
      <c r="P123">
        <f>IF($C$121&lt;&gt;1,0,P122*(1+((1+$C$126)^(1/12)-1))^12-J122/12*(1+((1+$C$126)^(1/12)-1))*(((1+((1+$C$126)^(1/12)-1))^12-1)/((1+((1+$C$126)^(1/12)-1))-1)))</f>
      </c>
      <c r="Q123">
        <f>IF($C$121&lt;&gt;1,0,IFERROR((((1+($C$126+'Inputs'!$H$137/100))^(1/12)-1)-((1+$C$126)^(1/12)-1))*(P123*(((1+((1+$C$126)^(1/12)-1))^12-1)/((1+((1+$C$126)^(1/12)-1))-1))-J123/12/((1+((1+$C$126)^(1/12)-1))-1)*((1+((1+$C$126)^(1/12)-1))*(((1+((1+$C$126)^(1/12)-1))^12-1)/((1+((1+$C$126)^(1/12)-1))-1))-12)),0))</f>
      </c>
    </row>
    <row r="124" spans="2:17" x14ac:dyDescent="0.25">
      <c r="B124" t="s">
        <v>465</v>
      </c>
      <c r="C124">
        <f>ROUND(SUM($Q$116:$Q$165),2)</f>
      </c>
      <c r="I124">
        <v>8</v>
      </c>
      <c r="J124">
        <f>IF(I124&lt;$C$118,MAX(0,12*$C$119*(1+$C$120)^I124-K124),0)</f>
      </c>
      <c r="K124">
        <f>SUMPRODUCT(('Inputs'!$G$76:$G$81=$C$114)*($C$114&lt;&gt;"")*'Inputs'!$D$76:$D$81*(1+'Inputs'!$E$76:$E$81/100)^I124*(ABS('Inputs'!$F$76:$F$81-12*I124)-ABS(('Inputs'!$F$76:$F$81-12*I124)-12)+12)/2)+SUMPRODUCT(('Inputs'!$C$114:$C$121=$C$114)*($C$114&lt;&gt;"")*'Inputs'!$D$114:$D$121*(1+'Inputs'!$E$114:$E$121/100)^I124*(((ABS((('Inputs'!$G$114:$G$121&gt;0)*('Inputs'!$F$114:$F$121+'Inputs'!$G$114:$G$121)+('Inputs'!$G$114:$G$121=0)*12*$C$118)-12*I124)-ABS(((('Inputs'!$G$114:$G$121&gt;0)*('Inputs'!$F$114:$F$121+'Inputs'!$G$114:$G$121)+('Inputs'!$G$114:$G$121=0)*12*$C$118)-12*I124)-12)+12)/2-(ABS(('Inputs'!$F$114:$F$121-12*I124))-ABS((('Inputs'!$F$114:$F$121-12*I124))-12)+12)/2)+ABS((ABS((('Inputs'!$G$114:$G$121&gt;0)*('Inputs'!$F$114:$F$121+'Inputs'!$G$114:$G$121)+('Inputs'!$G$114:$G$121=0)*12*$C$118)-12*I124)-ABS(((('Inputs'!$G$114:$G$121&gt;0)*('Inputs'!$F$114:$F$121+'Inputs'!$G$114:$G$121)+('Inputs'!$G$114:$G$121=0)*12*$C$118)-12*I124)-12)+12)/2-(ABS(('Inputs'!$F$114:$F$121-12*I124))-ABS((('Inputs'!$F$114:$F$121-12*I124))-12)+12)/2))/2)</f>
      </c>
      <c r="L124">
        <f>IF(J124&gt;0,1,0)</f>
      </c>
      <c r="P124">
        <f>IF($C$121&lt;&gt;1,0,P123*(1+((1+$C$126)^(1/12)-1))^12-J123/12*(1+((1+$C$126)^(1/12)-1))*(((1+((1+$C$126)^(1/12)-1))^12-1)/((1+((1+$C$126)^(1/12)-1))-1)))</f>
      </c>
      <c r="Q124">
        <f>IF($C$121&lt;&gt;1,0,IFERROR((((1+($C$126+'Inputs'!$H$137/100))^(1/12)-1)-((1+$C$126)^(1/12)-1))*(P124*(((1+((1+$C$126)^(1/12)-1))^12-1)/((1+((1+$C$126)^(1/12)-1))-1))-J124/12/((1+((1+$C$126)^(1/12)-1))-1)*((1+((1+$C$126)^(1/12)-1))*(((1+((1+$C$126)^(1/12)-1))^12-1)/((1+((1+$C$126)^(1/12)-1))-1))-12)),0))</f>
      </c>
    </row>
    <row r="125" spans="2:17" x14ac:dyDescent="0.25">
      <c r="B125" t="s">
        <v>466</v>
      </c>
      <c r="C125">
        <f>IF($C$121&lt;&gt;1,0,ROUND(IF($C$126=0,SUM($J$116:$J$165),(1-(1+$C$126)^-1)/(1-(1+$C$126)^(-1/12))/12*SUMPRODUCT($J$116:$J$165,(1+$C$126)^(-$I$116:$I$165)))-IF(($C$126+'Inputs'!$H$137/100)=0,SUM($J$116:$J$165),(1-(1+($C$126+'Inputs'!$H$137/100))^-1)/(1-(1+($C$126+'Inputs'!$H$137/100))^(-1/12))/12*SUMPRODUCT($J$116:$J$165,(1+($C$126+'Inputs'!$H$137/100))^(-$I$116:$I$165))),2))</f>
      </c>
      <c r="I125">
        <v>9</v>
      </c>
      <c r="J125">
        <f>IF(I125&lt;$C$118,MAX(0,12*$C$119*(1+$C$120)^I125-K125),0)</f>
      </c>
      <c r="K125">
        <f>SUMPRODUCT(('Inputs'!$G$76:$G$81=$C$114)*($C$114&lt;&gt;"")*'Inputs'!$D$76:$D$81*(1+'Inputs'!$E$76:$E$81/100)^I125*(ABS('Inputs'!$F$76:$F$81-12*I125)-ABS(('Inputs'!$F$76:$F$81-12*I125)-12)+12)/2)+SUMPRODUCT(('Inputs'!$C$114:$C$121=$C$114)*($C$114&lt;&gt;"")*'Inputs'!$D$114:$D$121*(1+'Inputs'!$E$114:$E$121/100)^I125*(((ABS((('Inputs'!$G$114:$G$121&gt;0)*('Inputs'!$F$114:$F$121+'Inputs'!$G$114:$G$121)+('Inputs'!$G$114:$G$121=0)*12*$C$118)-12*I125)-ABS(((('Inputs'!$G$114:$G$121&gt;0)*('Inputs'!$F$114:$F$121+'Inputs'!$G$114:$G$121)+('Inputs'!$G$114:$G$121=0)*12*$C$118)-12*I125)-12)+12)/2-(ABS(('Inputs'!$F$114:$F$121-12*I125))-ABS((('Inputs'!$F$114:$F$121-12*I125))-12)+12)/2)+ABS((ABS((('Inputs'!$G$114:$G$121&gt;0)*('Inputs'!$F$114:$F$121+'Inputs'!$G$114:$G$121)+('Inputs'!$G$114:$G$121=0)*12*$C$118)-12*I125)-ABS(((('Inputs'!$G$114:$G$121&gt;0)*('Inputs'!$F$114:$F$121+'Inputs'!$G$114:$G$121)+('Inputs'!$G$114:$G$121=0)*12*$C$118)-12*I125)-12)+12)/2-(ABS(('Inputs'!$F$114:$F$121-12*I125))-ABS((('Inputs'!$F$114:$F$121-12*I125))-12)+12)/2))/2)</f>
      </c>
      <c r="L125">
        <f>IF(J125&gt;0,1,0)</f>
      </c>
      <c r="P125">
        <f>IF($C$121&lt;&gt;1,0,P124*(1+((1+$C$126)^(1/12)-1))^12-J124/12*(1+((1+$C$126)^(1/12)-1))*(((1+((1+$C$126)^(1/12)-1))^12-1)/((1+((1+$C$126)^(1/12)-1))-1)))</f>
      </c>
      <c r="Q125">
        <f>IF($C$121&lt;&gt;1,0,IFERROR((((1+($C$126+'Inputs'!$H$137/100))^(1/12)-1)-((1+$C$126)^(1/12)-1))*(P125*(((1+((1+$C$126)^(1/12)-1))^12-1)/((1+((1+$C$126)^(1/12)-1))-1))-J125/12/((1+((1+$C$126)^(1/12)-1))-1)*((1+((1+$C$126)^(1/12)-1))*(((1+((1+$C$126)^(1/12)-1))^12-1)/((1+((1+$C$126)^(1/12)-1))-1))-12)),0))</f>
      </c>
    </row>
    <row r="126" spans="2:17" x14ac:dyDescent="0.25">
      <c r="B126" t="s">
        <v>467</v>
      </c>
      <c r="C126">
        <f>IF($C$121=1,'Needs calc'!$C$67,0)</f>
      </c>
      <c r="I126">
        <v>10</v>
      </c>
      <c r="J126">
        <f>IF(I126&lt;$C$118,MAX(0,12*$C$119*(1+$C$120)^I126-K126),0)</f>
      </c>
      <c r="K126">
        <f>SUMPRODUCT(('Inputs'!$G$76:$G$81=$C$114)*($C$114&lt;&gt;"")*'Inputs'!$D$76:$D$81*(1+'Inputs'!$E$76:$E$81/100)^I126*(ABS('Inputs'!$F$76:$F$81-12*I126)-ABS(('Inputs'!$F$76:$F$81-12*I126)-12)+12)/2)+SUMPRODUCT(('Inputs'!$C$114:$C$121=$C$114)*($C$114&lt;&gt;"")*'Inputs'!$D$114:$D$121*(1+'Inputs'!$E$114:$E$121/100)^I126*(((ABS((('Inputs'!$G$114:$G$121&gt;0)*('Inputs'!$F$114:$F$121+'Inputs'!$G$114:$G$121)+('Inputs'!$G$114:$G$121=0)*12*$C$118)-12*I126)-ABS(((('Inputs'!$G$114:$G$121&gt;0)*('Inputs'!$F$114:$F$121+'Inputs'!$G$114:$G$121)+('Inputs'!$G$114:$G$121=0)*12*$C$118)-12*I126)-12)+12)/2-(ABS(('Inputs'!$F$114:$F$121-12*I126))-ABS((('Inputs'!$F$114:$F$121-12*I126))-12)+12)/2)+ABS((ABS((('Inputs'!$G$114:$G$121&gt;0)*('Inputs'!$F$114:$F$121+'Inputs'!$G$114:$G$121)+('Inputs'!$G$114:$G$121=0)*12*$C$118)-12*I126)-ABS(((('Inputs'!$G$114:$G$121&gt;0)*('Inputs'!$F$114:$F$121+'Inputs'!$G$114:$G$121)+('Inputs'!$G$114:$G$121=0)*12*$C$118)-12*I126)-12)+12)/2-(ABS(('Inputs'!$F$114:$F$121-12*I126))-ABS((('Inputs'!$F$114:$F$121-12*I126))-12)+12)/2))/2)</f>
      </c>
      <c r="L126">
        <f>IF(J126&gt;0,1,0)</f>
      </c>
      <c r="P126">
        <f>IF($C$121&lt;&gt;1,0,P125*(1+((1+$C$126)^(1/12)-1))^12-J125/12*(1+((1+$C$126)^(1/12)-1))*(((1+((1+$C$126)^(1/12)-1))^12-1)/((1+((1+$C$126)^(1/12)-1))-1)))</f>
      </c>
      <c r="Q126">
        <f>IF($C$121&lt;&gt;1,0,IFERROR((((1+($C$126+'Inputs'!$H$137/100))^(1/12)-1)-((1+$C$126)^(1/12)-1))*(P126*(((1+((1+$C$126)^(1/12)-1))^12-1)/((1+((1+$C$126)^(1/12)-1))-1))-J126/12/((1+((1+$C$126)^(1/12)-1))-1)*((1+((1+$C$126)^(1/12)-1))*(((1+((1+$C$126)^(1/12)-1))^12-1)/((1+((1+$C$126)^(1/12)-1))-1))-12)),0))</f>
      </c>
    </row>
    <row r="127" spans="2:17" x14ac:dyDescent="0.25">
      <c r="B127" t="s">
        <v>468</v>
      </c>
      <c r="C127">
        <f>SUMPRODUCT(('Inputs'!$G$76:$G$81=$C$114)*($C$114&lt;&gt;"")*('Inputs'!$F$76:$F$81&gt;0)*'Inputs'!$D$76:$D$81)</f>
      </c>
      <c r="I127">
        <v>11</v>
      </c>
      <c r="J127">
        <f>IF(I127&lt;$C$118,MAX(0,12*$C$119*(1+$C$120)^I127-K127),0)</f>
      </c>
      <c r="K127">
        <f>SUMPRODUCT(('Inputs'!$G$76:$G$81=$C$114)*($C$114&lt;&gt;"")*'Inputs'!$D$76:$D$81*(1+'Inputs'!$E$76:$E$81/100)^I127*(ABS('Inputs'!$F$76:$F$81-12*I127)-ABS(('Inputs'!$F$76:$F$81-12*I127)-12)+12)/2)+SUMPRODUCT(('Inputs'!$C$114:$C$121=$C$114)*($C$114&lt;&gt;"")*'Inputs'!$D$114:$D$121*(1+'Inputs'!$E$114:$E$121/100)^I127*(((ABS((('Inputs'!$G$114:$G$121&gt;0)*('Inputs'!$F$114:$F$121+'Inputs'!$G$114:$G$121)+('Inputs'!$G$114:$G$121=0)*12*$C$118)-12*I127)-ABS(((('Inputs'!$G$114:$G$121&gt;0)*('Inputs'!$F$114:$F$121+'Inputs'!$G$114:$G$121)+('Inputs'!$G$114:$G$121=0)*12*$C$118)-12*I127)-12)+12)/2-(ABS(('Inputs'!$F$114:$F$121-12*I127))-ABS((('Inputs'!$F$114:$F$121-12*I127))-12)+12)/2)+ABS((ABS((('Inputs'!$G$114:$G$121&gt;0)*('Inputs'!$F$114:$F$121+'Inputs'!$G$114:$G$121)+('Inputs'!$G$114:$G$121=0)*12*$C$118)-12*I127)-ABS(((('Inputs'!$G$114:$G$121&gt;0)*('Inputs'!$F$114:$F$121+'Inputs'!$G$114:$G$121)+('Inputs'!$G$114:$G$121=0)*12*$C$118)-12*I127)-12)+12)/2-(ABS(('Inputs'!$F$114:$F$121-12*I127))-ABS((('Inputs'!$F$114:$F$121-12*I127))-12)+12)/2))/2)</f>
      </c>
      <c r="L127">
        <f>IF(J127&gt;0,1,0)</f>
      </c>
      <c r="P127">
        <f>IF($C$121&lt;&gt;1,0,P126*(1+((1+$C$126)^(1/12)-1))^12-J126/12*(1+((1+$C$126)^(1/12)-1))*(((1+((1+$C$126)^(1/12)-1))^12-1)/((1+((1+$C$126)^(1/12)-1))-1)))</f>
      </c>
      <c r="Q127">
        <f>IF($C$121&lt;&gt;1,0,IFERROR((((1+($C$126+'Inputs'!$H$137/100))^(1/12)-1)-((1+$C$126)^(1/12)-1))*(P127*(((1+((1+$C$126)^(1/12)-1))^12-1)/((1+((1+$C$126)^(1/12)-1))-1))-J127/12/((1+((1+$C$126)^(1/12)-1))-1)*((1+((1+$C$126)^(1/12)-1))*(((1+((1+$C$126)^(1/12)-1))^12-1)/((1+((1+$C$126)^(1/12)-1))-1))-12)),0))</f>
      </c>
    </row>
    <row r="128" spans="2:17" x14ac:dyDescent="0.25">
      <c r="B128" t="s">
        <v>469</v>
      </c>
      <c r="C128">
        <f>IF($C$118&gt;0,$C$119-J116/12,0)</f>
      </c>
      <c r="I128">
        <v>12</v>
      </c>
      <c r="J128">
        <f>IF(I128&lt;$C$118,MAX(0,12*$C$119*(1+$C$120)^I128-K128),0)</f>
      </c>
      <c r="K128">
        <f>SUMPRODUCT(('Inputs'!$G$76:$G$81=$C$114)*($C$114&lt;&gt;"")*'Inputs'!$D$76:$D$81*(1+'Inputs'!$E$76:$E$81/100)^I128*(ABS('Inputs'!$F$76:$F$81-12*I128)-ABS(('Inputs'!$F$76:$F$81-12*I128)-12)+12)/2)+SUMPRODUCT(('Inputs'!$C$114:$C$121=$C$114)*($C$114&lt;&gt;"")*'Inputs'!$D$114:$D$121*(1+'Inputs'!$E$114:$E$121/100)^I128*(((ABS((('Inputs'!$G$114:$G$121&gt;0)*('Inputs'!$F$114:$F$121+'Inputs'!$G$114:$G$121)+('Inputs'!$G$114:$G$121=0)*12*$C$118)-12*I128)-ABS(((('Inputs'!$G$114:$G$121&gt;0)*('Inputs'!$F$114:$F$121+'Inputs'!$G$114:$G$121)+('Inputs'!$G$114:$G$121=0)*12*$C$118)-12*I128)-12)+12)/2-(ABS(('Inputs'!$F$114:$F$121-12*I128))-ABS((('Inputs'!$F$114:$F$121-12*I128))-12)+12)/2)+ABS((ABS((('Inputs'!$G$114:$G$121&gt;0)*('Inputs'!$F$114:$F$121+'Inputs'!$G$114:$G$121)+('Inputs'!$G$114:$G$121=0)*12*$C$118)-12*I128)-ABS(((('Inputs'!$G$114:$G$121&gt;0)*('Inputs'!$F$114:$F$121+'Inputs'!$G$114:$G$121)+('Inputs'!$G$114:$G$121=0)*12*$C$118)-12*I128)-12)+12)/2-(ABS(('Inputs'!$F$114:$F$121-12*I128))-ABS((('Inputs'!$F$114:$F$121-12*I128))-12)+12)/2))/2)</f>
      </c>
      <c r="L128">
        <f>IF(J128&gt;0,1,0)</f>
      </c>
      <c r="P128">
        <f>IF($C$121&lt;&gt;1,0,P127*(1+((1+$C$126)^(1/12)-1))^12-J127/12*(1+((1+$C$126)^(1/12)-1))*(((1+((1+$C$126)^(1/12)-1))^12-1)/((1+((1+$C$126)^(1/12)-1))-1)))</f>
      </c>
      <c r="Q128">
        <f>IF($C$121&lt;&gt;1,0,IFERROR((((1+($C$126+'Inputs'!$H$137/100))^(1/12)-1)-((1+$C$126)^(1/12)-1))*(P128*(((1+((1+$C$126)^(1/12)-1))^12-1)/((1+((1+$C$126)^(1/12)-1))-1))-J128/12/((1+((1+$C$126)^(1/12)-1))-1)*((1+((1+$C$126)^(1/12)-1))*(((1+((1+$C$126)^(1/12)-1))^12-1)/((1+((1+$C$126)^(1/12)-1))-1))-12)),0))</f>
      </c>
    </row>
    <row r="129" spans="2:17" x14ac:dyDescent="0.25">
      <c r="B129" t="s">
        <v>470</v>
      </c>
      <c r="C129">
        <f>SUMPRODUCT(MAX(('Inputs'!$G$76:$G$81=$C$114)*($C$114&lt;&gt;"")*'Inputs'!$F$76:$F$81))</f>
      </c>
      <c r="I129">
        <v>13</v>
      </c>
      <c r="J129">
        <f>IF(I129&lt;$C$118,MAX(0,12*$C$119*(1+$C$120)^I129-K129),0)</f>
      </c>
      <c r="K129">
        <f>SUMPRODUCT(('Inputs'!$G$76:$G$81=$C$114)*($C$114&lt;&gt;"")*'Inputs'!$D$76:$D$81*(1+'Inputs'!$E$76:$E$81/100)^I129*(ABS('Inputs'!$F$76:$F$81-12*I129)-ABS(('Inputs'!$F$76:$F$81-12*I129)-12)+12)/2)+SUMPRODUCT(('Inputs'!$C$114:$C$121=$C$114)*($C$114&lt;&gt;"")*'Inputs'!$D$114:$D$121*(1+'Inputs'!$E$114:$E$121/100)^I129*(((ABS((('Inputs'!$G$114:$G$121&gt;0)*('Inputs'!$F$114:$F$121+'Inputs'!$G$114:$G$121)+('Inputs'!$G$114:$G$121=0)*12*$C$118)-12*I129)-ABS(((('Inputs'!$G$114:$G$121&gt;0)*('Inputs'!$F$114:$F$121+'Inputs'!$G$114:$G$121)+('Inputs'!$G$114:$G$121=0)*12*$C$118)-12*I129)-12)+12)/2-(ABS(('Inputs'!$F$114:$F$121-12*I129))-ABS((('Inputs'!$F$114:$F$121-12*I129))-12)+12)/2)+ABS((ABS((('Inputs'!$G$114:$G$121&gt;0)*('Inputs'!$F$114:$F$121+'Inputs'!$G$114:$G$121)+('Inputs'!$G$114:$G$121=0)*12*$C$118)-12*I129)-ABS(((('Inputs'!$G$114:$G$121&gt;0)*('Inputs'!$F$114:$F$121+'Inputs'!$G$114:$G$121)+('Inputs'!$G$114:$G$121=0)*12*$C$118)-12*I129)-12)+12)/2-(ABS(('Inputs'!$F$114:$F$121-12*I129))-ABS((('Inputs'!$F$114:$F$121-12*I129))-12)+12)/2))/2)</f>
      </c>
      <c r="L129">
        <f>IF(J129&gt;0,1,0)</f>
      </c>
      <c r="P129">
        <f>IF($C$121&lt;&gt;1,0,P128*(1+((1+$C$126)^(1/12)-1))^12-J128/12*(1+((1+$C$126)^(1/12)-1))*(((1+((1+$C$126)^(1/12)-1))^12-1)/((1+((1+$C$126)^(1/12)-1))-1)))</f>
      </c>
      <c r="Q129">
        <f>IF($C$121&lt;&gt;1,0,IFERROR((((1+($C$126+'Inputs'!$H$137/100))^(1/12)-1)-((1+$C$126)^(1/12)-1))*(P129*(((1+((1+$C$126)^(1/12)-1))^12-1)/((1+((1+$C$126)^(1/12)-1))-1))-J129/12/((1+((1+$C$126)^(1/12)-1))-1)*((1+((1+$C$126)^(1/12)-1))*(((1+((1+$C$126)^(1/12)-1))^12-1)/((1+((1+$C$126)^(1/12)-1))-1))-12)),0))</f>
      </c>
    </row>
    <row r="130" spans="2:17" x14ac:dyDescent="0.25">
      <c r="B130" t="s">
        <v>471</v>
      </c>
      <c r="C130">
        <f>SUM($J$116:$J$165)</f>
      </c>
      <c r="I130">
        <v>14</v>
      </c>
      <c r="J130">
        <f>IF(I130&lt;$C$118,MAX(0,12*$C$119*(1+$C$120)^I130-K130),0)</f>
      </c>
      <c r="K130">
        <f>SUMPRODUCT(('Inputs'!$G$76:$G$81=$C$114)*($C$114&lt;&gt;"")*'Inputs'!$D$76:$D$81*(1+'Inputs'!$E$76:$E$81/100)^I130*(ABS('Inputs'!$F$76:$F$81-12*I130)-ABS(('Inputs'!$F$76:$F$81-12*I130)-12)+12)/2)+SUMPRODUCT(('Inputs'!$C$114:$C$121=$C$114)*($C$114&lt;&gt;"")*'Inputs'!$D$114:$D$121*(1+'Inputs'!$E$114:$E$121/100)^I130*(((ABS((('Inputs'!$G$114:$G$121&gt;0)*('Inputs'!$F$114:$F$121+'Inputs'!$G$114:$G$121)+('Inputs'!$G$114:$G$121=0)*12*$C$118)-12*I130)-ABS(((('Inputs'!$G$114:$G$121&gt;0)*('Inputs'!$F$114:$F$121+'Inputs'!$G$114:$G$121)+('Inputs'!$G$114:$G$121=0)*12*$C$118)-12*I130)-12)+12)/2-(ABS(('Inputs'!$F$114:$F$121-12*I130))-ABS((('Inputs'!$F$114:$F$121-12*I130))-12)+12)/2)+ABS((ABS((('Inputs'!$G$114:$G$121&gt;0)*('Inputs'!$F$114:$F$121+'Inputs'!$G$114:$G$121)+('Inputs'!$G$114:$G$121=0)*12*$C$118)-12*I130)-ABS(((('Inputs'!$G$114:$G$121&gt;0)*('Inputs'!$F$114:$F$121+'Inputs'!$G$114:$G$121)+('Inputs'!$G$114:$G$121=0)*12*$C$118)-12*I130)-12)+12)/2-(ABS(('Inputs'!$F$114:$F$121-12*I130))-ABS((('Inputs'!$F$114:$F$121-12*I130))-12)+12)/2))/2)</f>
      </c>
      <c r="L130">
        <f>IF(J130&gt;0,1,0)</f>
      </c>
      <c r="P130">
        <f>IF($C$121&lt;&gt;1,0,P129*(1+((1+$C$126)^(1/12)-1))^12-J129/12*(1+((1+$C$126)^(1/12)-1))*(((1+((1+$C$126)^(1/12)-1))^12-1)/((1+((1+$C$126)^(1/12)-1))-1)))</f>
      </c>
      <c r="Q130">
        <f>IF($C$121&lt;&gt;1,0,IFERROR((((1+($C$126+'Inputs'!$H$137/100))^(1/12)-1)-((1+$C$126)^(1/12)-1))*(P130*(((1+((1+$C$126)^(1/12)-1))^12-1)/((1+((1+$C$126)^(1/12)-1))-1))-J130/12/((1+((1+$C$126)^(1/12)-1))-1)*((1+((1+$C$126)^(1/12)-1))*(((1+((1+$C$126)^(1/12)-1))^12-1)/((1+((1+$C$126)^(1/12)-1))-1))-12)),0))</f>
      </c>
    </row>
    <row r="131" spans="2:17" x14ac:dyDescent="0.25">
      <c r="B131" t="s">
        <v>472</v>
      </c>
      <c r="C131">
        <f>IF('Needs calc'!$C$69&gt;0,IF('Inputs'!$O$102*SUM('Inputs'!$U$100:$U$105)&gt;0,IF('Needs calc'!$C$64&gt;='Needs calc'!$C$72,'Inputs'!$B$102&amp;IF(SUM('Inputs'!$U$100:$U$105)=1," and "&amp;IF('Inputs'!$U$100=1,'Inputs'!$B$100,"")&amp;IF('Inputs'!$U$101=1,'Inputs'!$B$101,"")&amp;IF('Inputs'!$U$102=1,'Inputs'!$B$102,"")&amp;IF('Inputs'!$U$103=1,'Inputs'!$B$103,"")&amp;IF('Inputs'!$U$104=1,'Inputs'!$B$104,"")&amp;IF('Inputs'!$U$105=1,'Inputs'!$B$105,"")," and the children")&amp;" would have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you want for them"&amp;IF(('Needs calc'!$C$72-(IF(AND('Inputs'!$C$108="The spouse, from what they receive",SUM('Inputs'!$O$100:$O$105)&gt;0,OR(LEFT('Inputs'!$C$13,7)="Married",'Inputs'!$C$13="Life partner",'Inputs'!$C$13="Civil Union")),1,0)*MAX(0,'Needs calc'!$C$27)))&gt;0,", after the R "&amp;FIXED(ROUND(('Needs calc'!$C$72-(IF(AND('Inputs'!$C$108="The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"&amp;'Inputs'!$B$102&amp;" pays the R "&amp;FIXED(ROUND((IF(AND('Inputs'!$C$108="The spouse, from what they receive",SUM('Inputs'!$O$100:$O$105)&gt;0,OR(LEFT('Inputs'!$C$13,7)="Married",'Inputs'!$C$13="Life partner",'Inputs'!$C$13="Civil Union")),1,0)*MAX(0,'Needs calc'!$C$27)),-3),0)&amp;" your estate needs","")&amp;". ",'Inputs'!$B$102&amp;IF(SUM('Inputs'!$U$100:$U$105)=1," and "&amp;IF('Inputs'!$U$100=1,'Inputs'!$B$100,"")&amp;IF('Inputs'!$U$101=1,'Inputs'!$B$101,"")&amp;IF('Inputs'!$U$102=1,'Inputs'!$B$102,"")&amp;IF('Inputs'!$U$103=1,'Inputs'!$B$103,"")&amp;IF('Inputs'!$U$104=1,'Inputs'!$B$104,"")&amp;IF('Inputs'!$U$105=1,'Inputs'!$B$105,"")," and the children")&amp;" would have "&amp;IF('Needs calc'!$C$64&lt;=0,"nothing","about R "&amp;FIXED(ROUND('Needs calc'!$C$64,-3),0))&amp;" of the R "&amp;FIXED(ROUND('Needs calc'!$C$72,-3),0)&amp;"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"),IF(N('Inputs'!$E$102)&gt;0,IF('Needs years'!$C$127+'Needs years'!$C$134&lt;=0,IF('Needs years'!$C$122&lt;=0,'Inputs'!$B$102&amp;" would have about R "&amp;FIXED(ROUND('Needs calc'!$C$70,-2),0)&amp;" a month of the R "&amp;FIXED(ROUND('Inputs'!$E$102,-2),0)&amp;" you want. ",IF('Needs calc'!$C$64&gt;='Needs years'!$C$122,'Inputs'!$B$102&amp;" would have about R "&amp;FIXED(ROUND('Needs calc'!$C$70,-2),0)&amp;" a month of the R "&amp;FIXED(ROUND('Inputs'!$E$102,-2),0)&amp;" you want,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")),IF('Needs years'!$C$130&lt;=0,IF('Needs years'!$C$122&gt;0,'Inputs'!$B$102&amp;"'s "&amp;'Needs years'!$C$136&amp;" covers the R "&amp;FIXED(ROUND('Inputs'!$E$102,-2),0)&amp;" a month you want"&amp;", but "&amp;'Inputs'!$B$102&amp;" would have "&amp;IF('Needs calc'!$C$64&lt;=0,"nothing","about R "&amp;FIXED(ROUND('Needs calc'!$C$64,-3),0))&amp;" of the R "&amp;FIXED(ROUND('Needs years'!$C$122,-3),0)&amp;" once-off you want for them. ",IF('Needs years'!$C$133&gt;0,'Inputs'!$B$102&amp;"'s "&amp;'Needs years'!$C$136&amp;" covers the R "&amp;FIXED(ROUND('Inputs'!$E$102,-2),0)&amp;" a month you want"&amp;", but the estate duty on it, about R "&amp;FIXED(ROUND('Needs years'!$C$133,-3),0)&amp;", leaves "&amp;'Inputs'!$B$102&amp;" short. ",'Inputs'!$B$102&amp;"'s "&amp;'Needs years'!$C$136&amp;" covers the R "&amp;FIXED(ROUND('Inputs'!$E$102,-2),0)&amp;" a month you want"&amp;", but "&amp;'Inputs'!$B$102&amp;" is still short of what you want for them. ")),IF('Needs years'!$J$116&lt;=0,'Inputs'!$B$102&amp;"'s "&amp;'Needs years'!$C$136&amp;" covers the R "&amp;FIXED(ROUND('Inputs'!$E$102,-2),0)&amp;" a month you want"&amp;" for "&amp;IF('Needs years'!$C$132=1,"the first year","the first "&amp;'Needs years'!$C$132&amp;" years")&amp;"; after that "&amp;'Inputs'!$B$102&amp;" would be short"&amp;IF(AND('Needs years'!$C$122&gt;0,'Needs calc'!$C$64&lt;'Needs years'!$C$122),", and would have "&amp;IF('Needs calc'!$C$64&lt;=0,"nothing","about R "&amp;FIXED(ROUND('Needs calc'!$C$64,-3),0))&amp;" of the R "&amp;FIXED(ROUND('Needs years'!$C$122,-3),0)&amp;" once-off","")&amp;". ",IF('Needs years'!$C$122&lt;=0,'Inputs'!$B$102&amp;" would have about R "&amp;FIXED(ROUND('Needs calc'!$C$70,-2),0)&amp;" a month of the R "&amp;FIXED(ROUND('Inputs'!$E$102,-2),0)&amp;" you want, part of it from the "&amp;'Needs years'!$C$136&amp;", and less once it stops. ",IF('Needs calc'!$C$64&gt;='Needs years'!$C$122,'Inputs'!$B$102&amp;" would have about R "&amp;FIXED(ROUND('Needs calc'!$C$70,-2),0)&amp;" a month of the R "&amp;FIXED(ROUND('Inputs'!$E$102,-2),0)&amp;" you want, part of it from the "&amp;'Needs years'!$C$136&amp;", and less once it stops,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part of it from the "&amp;'Needs years'!$C$136&amp;", and less once it stops. "))))),'Inputs'!$B$102&amp;" would have "&amp;IF('Needs calc'!$C$64&lt;=0,"nothing","about R "&amp;FIXED(ROUND('Needs calc'!$C$64,-3),0))&amp;" of the R "&amp;FIXED(ROUND('Needs years'!$C$122,-3),0)&amp;" you want to leave them. ")),"")</f>
      </c>
      <c r="I131">
        <v>15</v>
      </c>
      <c r="J131">
        <f>IF(I131&lt;$C$118,MAX(0,12*$C$119*(1+$C$120)^I131-K131),0)</f>
      </c>
      <c r="K131">
        <f>SUMPRODUCT(('Inputs'!$G$76:$G$81=$C$114)*($C$114&lt;&gt;"")*'Inputs'!$D$76:$D$81*(1+'Inputs'!$E$76:$E$81/100)^I131*(ABS('Inputs'!$F$76:$F$81-12*I131)-ABS(('Inputs'!$F$76:$F$81-12*I131)-12)+12)/2)+SUMPRODUCT(('Inputs'!$C$114:$C$121=$C$114)*($C$114&lt;&gt;"")*'Inputs'!$D$114:$D$121*(1+'Inputs'!$E$114:$E$121/100)^I131*(((ABS((('Inputs'!$G$114:$G$121&gt;0)*('Inputs'!$F$114:$F$121+'Inputs'!$G$114:$G$121)+('Inputs'!$G$114:$G$121=0)*12*$C$118)-12*I131)-ABS(((('Inputs'!$G$114:$G$121&gt;0)*('Inputs'!$F$114:$F$121+'Inputs'!$G$114:$G$121)+('Inputs'!$G$114:$G$121=0)*12*$C$118)-12*I131)-12)+12)/2-(ABS(('Inputs'!$F$114:$F$121-12*I131))-ABS((('Inputs'!$F$114:$F$121-12*I131))-12)+12)/2)+ABS((ABS((('Inputs'!$G$114:$G$121&gt;0)*('Inputs'!$F$114:$F$121+'Inputs'!$G$114:$G$121)+('Inputs'!$G$114:$G$121=0)*12*$C$118)-12*I131)-ABS(((('Inputs'!$G$114:$G$121&gt;0)*('Inputs'!$F$114:$F$121+'Inputs'!$G$114:$G$121)+('Inputs'!$G$114:$G$121=0)*12*$C$118)-12*I131)-12)+12)/2-(ABS(('Inputs'!$F$114:$F$121-12*I131))-ABS((('Inputs'!$F$114:$F$121-12*I131))-12)+12)/2))/2)</f>
      </c>
      <c r="L131">
        <f>IF(J131&gt;0,1,0)</f>
      </c>
      <c r="P131">
        <f>IF($C$121&lt;&gt;1,0,P130*(1+((1+$C$126)^(1/12)-1))^12-J130/12*(1+((1+$C$126)^(1/12)-1))*(((1+((1+$C$126)^(1/12)-1))^12-1)/((1+((1+$C$126)^(1/12)-1))-1)))</f>
      </c>
      <c r="Q131">
        <f>IF($C$121&lt;&gt;1,0,IFERROR((((1+($C$126+'Inputs'!$H$137/100))^(1/12)-1)-((1+$C$126)^(1/12)-1))*(P131*(((1+((1+$C$126)^(1/12)-1))^12-1)/((1+((1+$C$126)^(1/12)-1))-1))-J131/12/((1+((1+$C$126)^(1/12)-1))-1)*((1+((1+$C$126)^(1/12)-1))*(((1+((1+$C$126)^(1/12)-1))^12-1)/((1+((1+$C$126)^(1/12)-1))-1))-12)),0))</f>
      </c>
    </row>
    <row r="132" spans="2:17" x14ac:dyDescent="0.25">
      <c r="B132" t="s">
        <v>473</v>
      </c>
      <c r="C132">
        <f>IFERROR(MATCH(1,$L$116:$L$165,0)-1,$C$118)</f>
      </c>
      <c r="I132">
        <v>16</v>
      </c>
      <c r="J132">
        <f>IF(I132&lt;$C$118,MAX(0,12*$C$119*(1+$C$120)^I132-K132),0)</f>
      </c>
      <c r="K132">
        <f>SUMPRODUCT(('Inputs'!$G$76:$G$81=$C$114)*($C$114&lt;&gt;"")*'Inputs'!$D$76:$D$81*(1+'Inputs'!$E$76:$E$81/100)^I132*(ABS('Inputs'!$F$76:$F$81-12*I132)-ABS(('Inputs'!$F$76:$F$81-12*I132)-12)+12)/2)+SUMPRODUCT(('Inputs'!$C$114:$C$121=$C$114)*($C$114&lt;&gt;"")*'Inputs'!$D$114:$D$121*(1+'Inputs'!$E$114:$E$121/100)^I132*(((ABS((('Inputs'!$G$114:$G$121&gt;0)*('Inputs'!$F$114:$F$121+'Inputs'!$G$114:$G$121)+('Inputs'!$G$114:$G$121=0)*12*$C$118)-12*I132)-ABS(((('Inputs'!$G$114:$G$121&gt;0)*('Inputs'!$F$114:$F$121+'Inputs'!$G$114:$G$121)+('Inputs'!$G$114:$G$121=0)*12*$C$118)-12*I132)-12)+12)/2-(ABS(('Inputs'!$F$114:$F$121-12*I132))-ABS((('Inputs'!$F$114:$F$121-12*I132))-12)+12)/2)+ABS((ABS((('Inputs'!$G$114:$G$121&gt;0)*('Inputs'!$F$114:$F$121+'Inputs'!$G$114:$G$121)+('Inputs'!$G$114:$G$121=0)*12*$C$118)-12*I132)-ABS(((('Inputs'!$G$114:$G$121&gt;0)*('Inputs'!$F$114:$F$121+'Inputs'!$G$114:$G$121)+('Inputs'!$G$114:$G$121=0)*12*$C$118)-12*I132)-12)+12)/2-(ABS(('Inputs'!$F$114:$F$121-12*I132))-ABS((('Inputs'!$F$114:$F$121-12*I132))-12)+12)/2))/2)</f>
      </c>
      <c r="L132">
        <f>IF(J132&gt;0,1,0)</f>
      </c>
      <c r="P132">
        <f>IF($C$121&lt;&gt;1,0,P131*(1+((1+$C$126)^(1/12)-1))^12-J131/12*(1+((1+$C$126)^(1/12)-1))*(((1+((1+$C$126)^(1/12)-1))^12-1)/((1+((1+$C$126)^(1/12)-1))-1)))</f>
      </c>
      <c r="Q132">
        <f>IF($C$121&lt;&gt;1,0,IFERROR((((1+($C$126+'Inputs'!$H$137/100))^(1/12)-1)-((1+$C$126)^(1/12)-1))*(P132*(((1+((1+$C$126)^(1/12)-1))^12-1)/((1+((1+$C$126)^(1/12)-1))-1))-J132/12/((1+((1+$C$126)^(1/12)-1))-1)*((1+((1+$C$126)^(1/12)-1))*(((1+((1+$C$126)^(1/12)-1))^12-1)/((1+((1+$C$126)^(1/12)-1))-1))-12)),0))</f>
      </c>
    </row>
    <row r="133" spans="2:17" x14ac:dyDescent="0.25">
      <c r="B133" t="s">
        <v>474</v>
      </c>
      <c r="C133">
        <f>SUMPRODUCT(('Inputs'!$G$76:$G$81=$C$114)*($C$114&lt;&gt;"")*'Inputs'!$P$76:$P$81)</f>
      </c>
      <c r="I133">
        <v>17</v>
      </c>
      <c r="J133">
        <f>IF(I133&lt;$C$118,MAX(0,12*$C$119*(1+$C$120)^I133-K133),0)</f>
      </c>
      <c r="K133">
        <f>SUMPRODUCT(('Inputs'!$G$76:$G$81=$C$114)*($C$114&lt;&gt;"")*'Inputs'!$D$76:$D$81*(1+'Inputs'!$E$76:$E$81/100)^I133*(ABS('Inputs'!$F$76:$F$81-12*I133)-ABS(('Inputs'!$F$76:$F$81-12*I133)-12)+12)/2)+SUMPRODUCT(('Inputs'!$C$114:$C$121=$C$114)*($C$114&lt;&gt;"")*'Inputs'!$D$114:$D$121*(1+'Inputs'!$E$114:$E$121/100)^I133*(((ABS((('Inputs'!$G$114:$G$121&gt;0)*('Inputs'!$F$114:$F$121+'Inputs'!$G$114:$G$121)+('Inputs'!$G$114:$G$121=0)*12*$C$118)-12*I133)-ABS(((('Inputs'!$G$114:$G$121&gt;0)*('Inputs'!$F$114:$F$121+'Inputs'!$G$114:$G$121)+('Inputs'!$G$114:$G$121=0)*12*$C$118)-12*I133)-12)+12)/2-(ABS(('Inputs'!$F$114:$F$121-12*I133))-ABS((('Inputs'!$F$114:$F$121-12*I133))-12)+12)/2)+ABS((ABS((('Inputs'!$G$114:$G$121&gt;0)*('Inputs'!$F$114:$F$121+'Inputs'!$G$114:$G$121)+('Inputs'!$G$114:$G$121=0)*12*$C$118)-12*I133)-ABS(((('Inputs'!$G$114:$G$121&gt;0)*('Inputs'!$F$114:$F$121+'Inputs'!$G$114:$G$121)+('Inputs'!$G$114:$G$121=0)*12*$C$118)-12*I133)-12)+12)/2-(ABS(('Inputs'!$F$114:$F$121-12*I133))-ABS((('Inputs'!$F$114:$F$121-12*I133))-12)+12)/2))/2)</f>
      </c>
      <c r="L133">
        <f>IF(J133&gt;0,1,0)</f>
      </c>
      <c r="P133">
        <f>IF($C$121&lt;&gt;1,0,P132*(1+((1+$C$126)^(1/12)-1))^12-J132/12*(1+((1+$C$126)^(1/12)-1))*(((1+((1+$C$126)^(1/12)-1))^12-1)/((1+((1+$C$126)^(1/12)-1))-1)))</f>
      </c>
      <c r="Q133">
        <f>IF($C$121&lt;&gt;1,0,IFERROR((((1+($C$126+'Inputs'!$H$137/100))^(1/12)-1)-((1+$C$126)^(1/12)-1))*(P133*(((1+((1+$C$126)^(1/12)-1))^12-1)/((1+((1+$C$126)^(1/12)-1))-1))-J133/12/((1+((1+$C$126)^(1/12)-1))-1)*((1+((1+$C$126)^(1/12)-1))*(((1+((1+$C$126)^(1/12)-1))^12-1)/((1+((1+$C$126)^(1/12)-1))-1))-12)),0))</f>
      </c>
    </row>
    <row r="134" spans="2:17" x14ac:dyDescent="0.25">
      <c r="B134" t="s">
        <v>475</v>
      </c>
      <c r="C134">
        <f>SUMPRODUCT(('Inputs'!$C$114:$C$121=$C$114)*($C$114&lt;&gt;"")*('Inputs'!$D$114:$D$121&gt;0)*('Inputs'!$F$114:$F$121=0)*'Inputs'!$D$114:$D$121)</f>
      </c>
      <c r="I134">
        <v>18</v>
      </c>
      <c r="J134">
        <f>IF(I134&lt;$C$118,MAX(0,12*$C$119*(1+$C$120)^I134-K134),0)</f>
      </c>
      <c r="K134">
        <f>SUMPRODUCT(('Inputs'!$G$76:$G$81=$C$114)*($C$114&lt;&gt;"")*'Inputs'!$D$76:$D$81*(1+'Inputs'!$E$76:$E$81/100)^I134*(ABS('Inputs'!$F$76:$F$81-12*I134)-ABS(('Inputs'!$F$76:$F$81-12*I134)-12)+12)/2)+SUMPRODUCT(('Inputs'!$C$114:$C$121=$C$114)*($C$114&lt;&gt;"")*'Inputs'!$D$114:$D$121*(1+'Inputs'!$E$114:$E$121/100)^I134*(((ABS((('Inputs'!$G$114:$G$121&gt;0)*('Inputs'!$F$114:$F$121+'Inputs'!$G$114:$G$121)+('Inputs'!$G$114:$G$121=0)*12*$C$118)-12*I134)-ABS(((('Inputs'!$G$114:$G$121&gt;0)*('Inputs'!$F$114:$F$121+'Inputs'!$G$114:$G$121)+('Inputs'!$G$114:$G$121=0)*12*$C$118)-12*I134)-12)+12)/2-(ABS(('Inputs'!$F$114:$F$121-12*I134))-ABS((('Inputs'!$F$114:$F$121-12*I134))-12)+12)/2)+ABS((ABS((('Inputs'!$G$114:$G$121&gt;0)*('Inputs'!$F$114:$F$121+'Inputs'!$G$114:$G$121)+('Inputs'!$G$114:$G$121=0)*12*$C$118)-12*I134)-ABS(((('Inputs'!$G$114:$G$121&gt;0)*('Inputs'!$F$114:$F$121+'Inputs'!$G$114:$G$121)+('Inputs'!$G$114:$G$121=0)*12*$C$118)-12*I134)-12)+12)/2-(ABS(('Inputs'!$F$114:$F$121-12*I134))-ABS((('Inputs'!$F$114:$F$121-12*I134))-12)+12)/2))/2)</f>
      </c>
      <c r="L134">
        <f>IF(J134&gt;0,1,0)</f>
      </c>
      <c r="P134">
        <f>IF($C$121&lt;&gt;1,0,P133*(1+((1+$C$126)^(1/12)-1))^12-J133/12*(1+((1+$C$126)^(1/12)-1))*(((1+((1+$C$126)^(1/12)-1))^12-1)/((1+((1+$C$126)^(1/12)-1))-1)))</f>
      </c>
      <c r="Q134">
        <f>IF($C$121&lt;&gt;1,0,IFERROR((((1+($C$126+'Inputs'!$H$137/100))^(1/12)-1)-((1+$C$126)^(1/12)-1))*(P134*(((1+((1+$C$126)^(1/12)-1))^12-1)/((1+((1+$C$126)^(1/12)-1))-1))-J134/12/((1+((1+$C$126)^(1/12)-1))-1)*((1+((1+$C$126)^(1/12)-1))*(((1+((1+$C$126)^(1/12)-1))^12-1)/((1+((1+$C$126)^(1/12)-1))-1))-12)),0))</f>
      </c>
    </row>
    <row r="135" spans="2:17" x14ac:dyDescent="0.25">
      <c r="B135" t="s">
        <v>476</v>
      </c>
      <c r="C135">
        <f>SUMPRODUCT(('Inputs'!$C$114:$C$121=$C$114)*($C$114&lt;&gt;"")*('Inputs'!$D$114:$D$121&gt;0)*1)</f>
      </c>
      <c r="I135">
        <v>19</v>
      </c>
      <c r="J135">
        <f>IF(I135&lt;$C$118,MAX(0,12*$C$119*(1+$C$120)^I135-K135),0)</f>
      </c>
      <c r="K135">
        <f>SUMPRODUCT(('Inputs'!$G$76:$G$81=$C$114)*($C$114&lt;&gt;"")*'Inputs'!$D$76:$D$81*(1+'Inputs'!$E$76:$E$81/100)^I135*(ABS('Inputs'!$F$76:$F$81-12*I135)-ABS(('Inputs'!$F$76:$F$81-12*I135)-12)+12)/2)+SUMPRODUCT(('Inputs'!$C$114:$C$121=$C$114)*($C$114&lt;&gt;"")*'Inputs'!$D$114:$D$121*(1+'Inputs'!$E$114:$E$121/100)^I135*(((ABS((('Inputs'!$G$114:$G$121&gt;0)*('Inputs'!$F$114:$F$121+'Inputs'!$G$114:$G$121)+('Inputs'!$G$114:$G$121=0)*12*$C$118)-12*I135)-ABS(((('Inputs'!$G$114:$G$121&gt;0)*('Inputs'!$F$114:$F$121+'Inputs'!$G$114:$G$121)+('Inputs'!$G$114:$G$121=0)*12*$C$118)-12*I135)-12)+12)/2-(ABS(('Inputs'!$F$114:$F$121-12*I135))-ABS((('Inputs'!$F$114:$F$121-12*I135))-12)+12)/2)+ABS((ABS((('Inputs'!$G$114:$G$121&gt;0)*('Inputs'!$F$114:$F$121+'Inputs'!$G$114:$G$121)+('Inputs'!$G$114:$G$121=0)*12*$C$118)-12*I135)-ABS(((('Inputs'!$G$114:$G$121&gt;0)*('Inputs'!$F$114:$F$121+'Inputs'!$G$114:$G$121)+('Inputs'!$G$114:$G$121=0)*12*$C$118)-12*I135)-12)+12)/2-(ABS(('Inputs'!$F$114:$F$121-12*I135))-ABS((('Inputs'!$F$114:$F$121-12*I135))-12)+12)/2))/2)</f>
      </c>
      <c r="L135">
        <f>IF(J135&gt;0,1,0)</f>
      </c>
      <c r="P135">
        <f>IF($C$121&lt;&gt;1,0,P134*(1+((1+$C$126)^(1/12)-1))^12-J134/12*(1+((1+$C$126)^(1/12)-1))*(((1+((1+$C$126)^(1/12)-1))^12-1)/((1+((1+$C$126)^(1/12)-1))-1)))</f>
      </c>
      <c r="Q135">
        <f>IF($C$121&lt;&gt;1,0,IFERROR((((1+($C$126+'Inputs'!$H$137/100))^(1/12)-1)-((1+$C$126)^(1/12)-1))*(P135*(((1+((1+$C$126)^(1/12)-1))^12-1)/((1+((1+$C$126)^(1/12)-1))-1))-J135/12/((1+((1+$C$126)^(1/12)-1))-1)*((1+((1+$C$126)^(1/12)-1))*(((1+((1+$C$126)^(1/12)-1))^12-1)/((1+((1+$C$126)^(1/12)-1))-1))-12)),0))</f>
      </c>
    </row>
    <row r="136" spans="2:17" x14ac:dyDescent="0.25">
      <c r="B136" t="s">
        <v>477</v>
      </c>
      <c r="C136">
        <f>IF($C$135&gt;0,"income","death income")</f>
      </c>
      <c r="I136">
        <v>20</v>
      </c>
      <c r="J136">
        <f>IF(I136&lt;$C$118,MAX(0,12*$C$119*(1+$C$120)^I136-K136),0)</f>
      </c>
      <c r="K136">
        <f>SUMPRODUCT(('Inputs'!$G$76:$G$81=$C$114)*($C$114&lt;&gt;"")*'Inputs'!$D$76:$D$81*(1+'Inputs'!$E$76:$E$81/100)^I136*(ABS('Inputs'!$F$76:$F$81-12*I136)-ABS(('Inputs'!$F$76:$F$81-12*I136)-12)+12)/2)+SUMPRODUCT(('Inputs'!$C$114:$C$121=$C$114)*($C$114&lt;&gt;"")*'Inputs'!$D$114:$D$121*(1+'Inputs'!$E$114:$E$121/100)^I136*(((ABS((('Inputs'!$G$114:$G$121&gt;0)*('Inputs'!$F$114:$F$121+'Inputs'!$G$114:$G$121)+('Inputs'!$G$114:$G$121=0)*12*$C$118)-12*I136)-ABS(((('Inputs'!$G$114:$G$121&gt;0)*('Inputs'!$F$114:$F$121+'Inputs'!$G$114:$G$121)+('Inputs'!$G$114:$G$121=0)*12*$C$118)-12*I136)-12)+12)/2-(ABS(('Inputs'!$F$114:$F$121-12*I136))-ABS((('Inputs'!$F$114:$F$121-12*I136))-12)+12)/2)+ABS((ABS((('Inputs'!$G$114:$G$121&gt;0)*('Inputs'!$F$114:$F$121+'Inputs'!$G$114:$G$121)+('Inputs'!$G$114:$G$121=0)*12*$C$118)-12*I136)-ABS(((('Inputs'!$G$114:$G$121&gt;0)*('Inputs'!$F$114:$F$121+'Inputs'!$G$114:$G$121)+('Inputs'!$G$114:$G$121=0)*12*$C$118)-12*I136)-12)+12)/2-(ABS(('Inputs'!$F$114:$F$121-12*I136))-ABS((('Inputs'!$F$114:$F$121-12*I136))-12)+12)/2))/2)</f>
      </c>
      <c r="L136">
        <f>IF(J136&gt;0,1,0)</f>
      </c>
      <c r="P136">
        <f>IF($C$121&lt;&gt;1,0,P135*(1+((1+$C$126)^(1/12)-1))^12-J135/12*(1+((1+$C$126)^(1/12)-1))*(((1+((1+$C$126)^(1/12)-1))^12-1)/((1+((1+$C$126)^(1/12)-1))-1)))</f>
      </c>
      <c r="Q136">
        <f>IF($C$121&lt;&gt;1,0,IFERROR((((1+($C$126+'Inputs'!$H$137/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SUMPRODUCT(('Inputs'!$C$114:$C$121=$C$114)*($C$114&lt;&gt;"")*'Inputs'!$D$114:$D$121*(1+'Inputs'!$E$114:$E$121/100)^I137*(((ABS((('Inputs'!$G$114:$G$121&gt;0)*('Inputs'!$F$114:$F$121+'Inputs'!$G$114:$G$121)+('Inputs'!$G$114:$G$121=0)*12*$C$118)-12*I137)-ABS(((('Inputs'!$G$114:$G$121&gt;0)*('Inputs'!$F$114:$F$121+'Inputs'!$G$114:$G$121)+('Inputs'!$G$114:$G$121=0)*12*$C$118)-12*I137)-12)+12)/2-(ABS(('Inputs'!$F$114:$F$121-12*I137))-ABS((('Inputs'!$F$114:$F$121-12*I137))-12)+12)/2)+ABS((ABS((('Inputs'!$G$114:$G$121&gt;0)*('Inputs'!$F$114:$F$121+'Inputs'!$G$114:$G$121)+('Inputs'!$G$114:$G$121=0)*12*$C$118)-12*I137)-ABS(((('Inputs'!$G$114:$G$121&gt;0)*('Inputs'!$F$114:$F$121+'Inputs'!$G$114:$G$121)+('Inputs'!$G$114:$G$121=0)*12*$C$118)-12*I137)-12)+12)/2-(ABS(('Inputs'!$F$114:$F$121-12*I137))-ABS((('Inputs'!$F$114:$F$121-12*I137))-12)+12)/2))/2)</f>
      </c>
      <c r="L137">
        <f>IF(J137&gt;0,1,0)</f>
      </c>
      <c r="P137">
        <f>IF($C$121&lt;&gt;1,0,P136*(1+((1+$C$126)^(1/12)-1))^12-J136/12*(1+((1+$C$126)^(1/12)-1))*(((1+((1+$C$126)^(1/12)-1))^12-1)/((1+((1+$C$126)^(1/12)-1))-1)))</f>
      </c>
      <c r="Q137">
        <f>IF($C$121&lt;&gt;1,0,IFERROR((((1+($C$126+'Inputs'!$H$137/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SUMPRODUCT(('Inputs'!$C$114:$C$121=$C$114)*($C$114&lt;&gt;"")*'Inputs'!$D$114:$D$121*(1+'Inputs'!$E$114:$E$121/100)^I138*(((ABS((('Inputs'!$G$114:$G$121&gt;0)*('Inputs'!$F$114:$F$121+'Inputs'!$G$114:$G$121)+('Inputs'!$G$114:$G$121=0)*12*$C$118)-12*I138)-ABS(((('Inputs'!$G$114:$G$121&gt;0)*('Inputs'!$F$114:$F$121+'Inputs'!$G$114:$G$121)+('Inputs'!$G$114:$G$121=0)*12*$C$118)-12*I138)-12)+12)/2-(ABS(('Inputs'!$F$114:$F$121-12*I138))-ABS((('Inputs'!$F$114:$F$121-12*I138))-12)+12)/2)+ABS((ABS((('Inputs'!$G$114:$G$121&gt;0)*('Inputs'!$F$114:$F$121+'Inputs'!$G$114:$G$121)+('Inputs'!$G$114:$G$121=0)*12*$C$118)-12*I138)-ABS(((('Inputs'!$G$114:$G$121&gt;0)*('Inputs'!$F$114:$F$121+'Inputs'!$G$114:$G$121)+('Inputs'!$G$114:$G$121=0)*12*$C$118)-12*I138)-12)+12)/2-(ABS(('Inputs'!$F$114:$F$121-12*I138))-ABS((('Inputs'!$F$114:$F$121-12*I138))-12)+12)/2))/2)</f>
      </c>
      <c r="L138">
        <f>IF(J138&gt;0,1,0)</f>
      </c>
      <c r="P138">
        <f>IF($C$121&lt;&gt;1,0,P137*(1+((1+$C$126)^(1/12)-1))^12-J137/12*(1+((1+$C$126)^(1/12)-1))*(((1+((1+$C$126)^(1/12)-1))^12-1)/((1+((1+$C$126)^(1/12)-1))-1)))</f>
      </c>
      <c r="Q138">
        <f>IF($C$121&lt;&gt;1,0,IFERROR((((1+($C$126+'Inputs'!$H$137/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SUMPRODUCT(('Inputs'!$C$114:$C$121=$C$114)*($C$114&lt;&gt;"")*'Inputs'!$D$114:$D$121*(1+'Inputs'!$E$114:$E$121/100)^I139*(((ABS((('Inputs'!$G$114:$G$121&gt;0)*('Inputs'!$F$114:$F$121+'Inputs'!$G$114:$G$121)+('Inputs'!$G$114:$G$121=0)*12*$C$118)-12*I139)-ABS(((('Inputs'!$G$114:$G$121&gt;0)*('Inputs'!$F$114:$F$121+'Inputs'!$G$114:$G$121)+('Inputs'!$G$114:$G$121=0)*12*$C$118)-12*I139)-12)+12)/2-(ABS(('Inputs'!$F$114:$F$121-12*I139))-ABS((('Inputs'!$F$114:$F$121-12*I139))-12)+12)/2)+ABS((ABS((('Inputs'!$G$114:$G$121&gt;0)*('Inputs'!$F$114:$F$121+'Inputs'!$G$114:$G$121)+('Inputs'!$G$114:$G$121=0)*12*$C$118)-12*I139)-ABS(((('Inputs'!$G$114:$G$121&gt;0)*('Inputs'!$F$114:$F$121+'Inputs'!$G$114:$G$121)+('Inputs'!$G$114:$G$121=0)*12*$C$118)-12*I139)-12)+12)/2-(ABS(('Inputs'!$F$114:$F$121-12*I139))-ABS((('Inputs'!$F$114:$F$121-12*I139))-12)+12)/2))/2)</f>
      </c>
      <c r="L139">
        <f>IF(J139&gt;0,1,0)</f>
      </c>
      <c r="P139">
        <f>IF($C$121&lt;&gt;1,0,P138*(1+((1+$C$126)^(1/12)-1))^12-J138/12*(1+((1+$C$126)^(1/12)-1))*(((1+((1+$C$126)^(1/12)-1))^12-1)/((1+((1+$C$126)^(1/12)-1))-1)))</f>
      </c>
      <c r="Q139">
        <f>IF($C$121&lt;&gt;1,0,IFERROR((((1+($C$126+'Inputs'!$H$137/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SUMPRODUCT(('Inputs'!$C$114:$C$121=$C$114)*($C$114&lt;&gt;"")*'Inputs'!$D$114:$D$121*(1+'Inputs'!$E$114:$E$121/100)^I140*(((ABS((('Inputs'!$G$114:$G$121&gt;0)*('Inputs'!$F$114:$F$121+'Inputs'!$G$114:$G$121)+('Inputs'!$G$114:$G$121=0)*12*$C$118)-12*I140)-ABS(((('Inputs'!$G$114:$G$121&gt;0)*('Inputs'!$F$114:$F$121+'Inputs'!$G$114:$G$121)+('Inputs'!$G$114:$G$121=0)*12*$C$118)-12*I140)-12)+12)/2-(ABS(('Inputs'!$F$114:$F$121-12*I140))-ABS((('Inputs'!$F$114:$F$121-12*I140))-12)+12)/2)+ABS((ABS((('Inputs'!$G$114:$G$121&gt;0)*('Inputs'!$F$114:$F$121+'Inputs'!$G$114:$G$121)+('Inputs'!$G$114:$G$121=0)*12*$C$118)-12*I140)-ABS(((('Inputs'!$G$114:$G$121&gt;0)*('Inputs'!$F$114:$F$121+'Inputs'!$G$114:$G$121)+('Inputs'!$G$114:$G$121=0)*12*$C$118)-12*I140)-12)+12)/2-(ABS(('Inputs'!$F$114:$F$121-12*I140))-ABS((('Inputs'!$F$114:$F$121-12*I140))-12)+12)/2))/2)</f>
      </c>
      <c r="L140">
        <f>IF(J140&gt;0,1,0)</f>
      </c>
      <c r="P140">
        <f>IF($C$121&lt;&gt;1,0,P139*(1+((1+$C$126)^(1/12)-1))^12-J139/12*(1+((1+$C$126)^(1/12)-1))*(((1+((1+$C$126)^(1/12)-1))^12-1)/((1+((1+$C$126)^(1/12)-1))-1)))</f>
      </c>
      <c r="Q140">
        <f>IF($C$121&lt;&gt;1,0,IFERROR((((1+($C$126+'Inputs'!$H$137/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SUMPRODUCT(('Inputs'!$C$114:$C$121=$C$114)*($C$114&lt;&gt;"")*'Inputs'!$D$114:$D$121*(1+'Inputs'!$E$114:$E$121/100)^I141*(((ABS((('Inputs'!$G$114:$G$121&gt;0)*('Inputs'!$F$114:$F$121+'Inputs'!$G$114:$G$121)+('Inputs'!$G$114:$G$121=0)*12*$C$118)-12*I141)-ABS(((('Inputs'!$G$114:$G$121&gt;0)*('Inputs'!$F$114:$F$121+'Inputs'!$G$114:$G$121)+('Inputs'!$G$114:$G$121=0)*12*$C$118)-12*I141)-12)+12)/2-(ABS(('Inputs'!$F$114:$F$121-12*I141))-ABS((('Inputs'!$F$114:$F$121-12*I141))-12)+12)/2)+ABS((ABS((('Inputs'!$G$114:$G$121&gt;0)*('Inputs'!$F$114:$F$121+'Inputs'!$G$114:$G$121)+('Inputs'!$G$114:$G$121=0)*12*$C$118)-12*I141)-ABS(((('Inputs'!$G$114:$G$121&gt;0)*('Inputs'!$F$114:$F$121+'Inputs'!$G$114:$G$121)+('Inputs'!$G$114:$G$121=0)*12*$C$118)-12*I141)-12)+12)/2-(ABS(('Inputs'!$F$114:$F$121-12*I141))-ABS((('Inputs'!$F$114:$F$121-12*I141))-12)+12)/2))/2)</f>
      </c>
      <c r="L141">
        <f>IF(J141&gt;0,1,0)</f>
      </c>
      <c r="P141">
        <f>IF($C$121&lt;&gt;1,0,P140*(1+((1+$C$126)^(1/12)-1))^12-J140/12*(1+((1+$C$126)^(1/12)-1))*(((1+((1+$C$126)^(1/12)-1))^12-1)/((1+((1+$C$126)^(1/12)-1))-1)))</f>
      </c>
      <c r="Q141">
        <f>IF($C$121&lt;&gt;1,0,IFERROR((((1+($C$126+'Inputs'!$H$137/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SUMPRODUCT(('Inputs'!$C$114:$C$121=$C$114)*($C$114&lt;&gt;"")*'Inputs'!$D$114:$D$121*(1+'Inputs'!$E$114:$E$121/100)^I142*(((ABS((('Inputs'!$G$114:$G$121&gt;0)*('Inputs'!$F$114:$F$121+'Inputs'!$G$114:$G$121)+('Inputs'!$G$114:$G$121=0)*12*$C$118)-12*I142)-ABS(((('Inputs'!$G$114:$G$121&gt;0)*('Inputs'!$F$114:$F$121+'Inputs'!$G$114:$G$121)+('Inputs'!$G$114:$G$121=0)*12*$C$118)-12*I142)-12)+12)/2-(ABS(('Inputs'!$F$114:$F$121-12*I142))-ABS((('Inputs'!$F$114:$F$121-12*I142))-12)+12)/2)+ABS((ABS((('Inputs'!$G$114:$G$121&gt;0)*('Inputs'!$F$114:$F$121+'Inputs'!$G$114:$G$121)+('Inputs'!$G$114:$G$121=0)*12*$C$118)-12*I142)-ABS(((('Inputs'!$G$114:$G$121&gt;0)*('Inputs'!$F$114:$F$121+'Inputs'!$G$114:$G$121)+('Inputs'!$G$114:$G$121=0)*12*$C$118)-12*I142)-12)+12)/2-(ABS(('Inputs'!$F$114:$F$121-12*I142))-ABS((('Inputs'!$F$114:$F$121-12*I142))-12)+12)/2))/2)</f>
      </c>
      <c r="L142">
        <f>IF(J142&gt;0,1,0)</f>
      </c>
      <c r="P142">
        <f>IF($C$121&lt;&gt;1,0,P141*(1+((1+$C$126)^(1/12)-1))^12-J141/12*(1+((1+$C$126)^(1/12)-1))*(((1+((1+$C$126)^(1/12)-1))^12-1)/((1+((1+$C$126)^(1/12)-1))-1)))</f>
      </c>
      <c r="Q142">
        <f>IF($C$121&lt;&gt;1,0,IFERROR((((1+($C$126+'Inputs'!$H$137/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SUMPRODUCT(('Inputs'!$C$114:$C$121=$C$114)*($C$114&lt;&gt;"")*'Inputs'!$D$114:$D$121*(1+'Inputs'!$E$114:$E$121/100)^I143*(((ABS((('Inputs'!$G$114:$G$121&gt;0)*('Inputs'!$F$114:$F$121+'Inputs'!$G$114:$G$121)+('Inputs'!$G$114:$G$121=0)*12*$C$118)-12*I143)-ABS(((('Inputs'!$G$114:$G$121&gt;0)*('Inputs'!$F$114:$F$121+'Inputs'!$G$114:$G$121)+('Inputs'!$G$114:$G$121=0)*12*$C$118)-12*I143)-12)+12)/2-(ABS(('Inputs'!$F$114:$F$121-12*I143))-ABS((('Inputs'!$F$114:$F$121-12*I143))-12)+12)/2)+ABS((ABS((('Inputs'!$G$114:$G$121&gt;0)*('Inputs'!$F$114:$F$121+'Inputs'!$G$114:$G$121)+('Inputs'!$G$114:$G$121=0)*12*$C$118)-12*I143)-ABS(((('Inputs'!$G$114:$G$121&gt;0)*('Inputs'!$F$114:$F$121+'Inputs'!$G$114:$G$121)+('Inputs'!$G$114:$G$121=0)*12*$C$118)-12*I143)-12)+12)/2-(ABS(('Inputs'!$F$114:$F$121-12*I143))-ABS((('Inputs'!$F$114:$F$121-12*I143))-12)+12)/2))/2)</f>
      </c>
      <c r="L143">
        <f>IF(J143&gt;0,1,0)</f>
      </c>
      <c r="P143">
        <f>IF($C$121&lt;&gt;1,0,P142*(1+((1+$C$126)^(1/12)-1))^12-J142/12*(1+((1+$C$126)^(1/12)-1))*(((1+((1+$C$126)^(1/12)-1))^12-1)/((1+((1+$C$126)^(1/12)-1))-1)))</f>
      </c>
      <c r="Q143">
        <f>IF($C$121&lt;&gt;1,0,IFERROR((((1+($C$126+'Inputs'!$H$137/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SUMPRODUCT(('Inputs'!$C$114:$C$121=$C$114)*($C$114&lt;&gt;"")*'Inputs'!$D$114:$D$121*(1+'Inputs'!$E$114:$E$121/100)^I144*(((ABS((('Inputs'!$G$114:$G$121&gt;0)*('Inputs'!$F$114:$F$121+'Inputs'!$G$114:$G$121)+('Inputs'!$G$114:$G$121=0)*12*$C$118)-12*I144)-ABS(((('Inputs'!$G$114:$G$121&gt;0)*('Inputs'!$F$114:$F$121+'Inputs'!$G$114:$G$121)+('Inputs'!$G$114:$G$121=0)*12*$C$118)-12*I144)-12)+12)/2-(ABS(('Inputs'!$F$114:$F$121-12*I144))-ABS((('Inputs'!$F$114:$F$121-12*I144))-12)+12)/2)+ABS((ABS((('Inputs'!$G$114:$G$121&gt;0)*('Inputs'!$F$114:$F$121+'Inputs'!$G$114:$G$121)+('Inputs'!$G$114:$G$121=0)*12*$C$118)-12*I144)-ABS(((('Inputs'!$G$114:$G$121&gt;0)*('Inputs'!$F$114:$F$121+'Inputs'!$G$114:$G$121)+('Inputs'!$G$114:$G$121=0)*12*$C$118)-12*I144)-12)+12)/2-(ABS(('Inputs'!$F$114:$F$121-12*I144))-ABS((('Inputs'!$F$114:$F$121-12*I144))-12)+12)/2))/2)</f>
      </c>
      <c r="L144">
        <f>IF(J144&gt;0,1,0)</f>
      </c>
      <c r="P144">
        <f>IF($C$121&lt;&gt;1,0,P143*(1+((1+$C$126)^(1/12)-1))^12-J143/12*(1+((1+$C$126)^(1/12)-1))*(((1+((1+$C$126)^(1/12)-1))^12-1)/((1+((1+$C$126)^(1/12)-1))-1)))</f>
      </c>
      <c r="Q144">
        <f>IF($C$121&lt;&gt;1,0,IFERROR((((1+($C$126+'Inputs'!$H$137/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SUMPRODUCT(('Inputs'!$C$114:$C$121=$C$114)*($C$114&lt;&gt;"")*'Inputs'!$D$114:$D$121*(1+'Inputs'!$E$114:$E$121/100)^I145*(((ABS((('Inputs'!$G$114:$G$121&gt;0)*('Inputs'!$F$114:$F$121+'Inputs'!$G$114:$G$121)+('Inputs'!$G$114:$G$121=0)*12*$C$118)-12*I145)-ABS(((('Inputs'!$G$114:$G$121&gt;0)*('Inputs'!$F$114:$F$121+'Inputs'!$G$114:$G$121)+('Inputs'!$G$114:$G$121=0)*12*$C$118)-12*I145)-12)+12)/2-(ABS(('Inputs'!$F$114:$F$121-12*I145))-ABS((('Inputs'!$F$114:$F$121-12*I145))-12)+12)/2)+ABS((ABS((('Inputs'!$G$114:$G$121&gt;0)*('Inputs'!$F$114:$F$121+'Inputs'!$G$114:$G$121)+('Inputs'!$G$114:$G$121=0)*12*$C$118)-12*I145)-ABS(((('Inputs'!$G$114:$G$121&gt;0)*('Inputs'!$F$114:$F$121+'Inputs'!$G$114:$G$121)+('Inputs'!$G$114:$G$121=0)*12*$C$118)-12*I145)-12)+12)/2-(ABS(('Inputs'!$F$114:$F$121-12*I145))-ABS((('Inputs'!$F$114:$F$121-12*I145))-12)+12)/2))/2)</f>
      </c>
      <c r="L145">
        <f>IF(J145&gt;0,1,0)</f>
      </c>
      <c r="P145">
        <f>IF($C$121&lt;&gt;1,0,P144*(1+((1+$C$126)^(1/12)-1))^12-J144/12*(1+((1+$C$126)^(1/12)-1))*(((1+((1+$C$126)^(1/12)-1))^12-1)/((1+((1+$C$126)^(1/12)-1))-1)))</f>
      </c>
      <c r="Q145">
        <f>IF($C$121&lt;&gt;1,0,IFERROR((((1+($C$126+'Inputs'!$H$137/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SUMPRODUCT(('Inputs'!$C$114:$C$121=$C$114)*($C$114&lt;&gt;"")*'Inputs'!$D$114:$D$121*(1+'Inputs'!$E$114:$E$121/100)^I146*(((ABS((('Inputs'!$G$114:$G$121&gt;0)*('Inputs'!$F$114:$F$121+'Inputs'!$G$114:$G$121)+('Inputs'!$G$114:$G$121=0)*12*$C$118)-12*I146)-ABS(((('Inputs'!$G$114:$G$121&gt;0)*('Inputs'!$F$114:$F$121+'Inputs'!$G$114:$G$121)+('Inputs'!$G$114:$G$121=0)*12*$C$118)-12*I146)-12)+12)/2-(ABS(('Inputs'!$F$114:$F$121-12*I146))-ABS((('Inputs'!$F$114:$F$121-12*I146))-12)+12)/2)+ABS((ABS((('Inputs'!$G$114:$G$121&gt;0)*('Inputs'!$F$114:$F$121+'Inputs'!$G$114:$G$121)+('Inputs'!$G$114:$G$121=0)*12*$C$118)-12*I146)-ABS(((('Inputs'!$G$114:$G$121&gt;0)*('Inputs'!$F$114:$F$121+'Inputs'!$G$114:$G$121)+('Inputs'!$G$114:$G$121=0)*12*$C$118)-12*I146)-12)+12)/2-(ABS(('Inputs'!$F$114:$F$121-12*I146))-ABS((('Inputs'!$F$114:$F$121-12*I146))-12)+12)/2))/2)</f>
      </c>
      <c r="L146">
        <f>IF(J146&gt;0,1,0)</f>
      </c>
      <c r="P146">
        <f>IF($C$121&lt;&gt;1,0,P145*(1+((1+$C$126)^(1/12)-1))^12-J145/12*(1+((1+$C$126)^(1/12)-1))*(((1+((1+$C$126)^(1/12)-1))^12-1)/((1+((1+$C$126)^(1/12)-1))-1)))</f>
      </c>
      <c r="Q146">
        <f>IF($C$121&lt;&gt;1,0,IFERROR((((1+($C$126+'Inputs'!$H$137/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SUMPRODUCT(('Inputs'!$C$114:$C$121=$C$114)*($C$114&lt;&gt;"")*'Inputs'!$D$114:$D$121*(1+'Inputs'!$E$114:$E$121/100)^I147*(((ABS((('Inputs'!$G$114:$G$121&gt;0)*('Inputs'!$F$114:$F$121+'Inputs'!$G$114:$G$121)+('Inputs'!$G$114:$G$121=0)*12*$C$118)-12*I147)-ABS(((('Inputs'!$G$114:$G$121&gt;0)*('Inputs'!$F$114:$F$121+'Inputs'!$G$114:$G$121)+('Inputs'!$G$114:$G$121=0)*12*$C$118)-12*I147)-12)+12)/2-(ABS(('Inputs'!$F$114:$F$121-12*I147))-ABS((('Inputs'!$F$114:$F$121-12*I147))-12)+12)/2)+ABS((ABS((('Inputs'!$G$114:$G$121&gt;0)*('Inputs'!$F$114:$F$121+'Inputs'!$G$114:$G$121)+('Inputs'!$G$114:$G$121=0)*12*$C$118)-12*I147)-ABS(((('Inputs'!$G$114:$G$121&gt;0)*('Inputs'!$F$114:$F$121+'Inputs'!$G$114:$G$121)+('Inputs'!$G$114:$G$121=0)*12*$C$118)-12*I147)-12)+12)/2-(ABS(('Inputs'!$F$114:$F$121-12*I147))-ABS((('Inputs'!$F$114:$F$121-12*I147))-12)+12)/2))/2)</f>
      </c>
      <c r="L147">
        <f>IF(J147&gt;0,1,0)</f>
      </c>
      <c r="P147">
        <f>IF($C$121&lt;&gt;1,0,P146*(1+((1+$C$126)^(1/12)-1))^12-J146/12*(1+((1+$C$126)^(1/12)-1))*(((1+((1+$C$126)^(1/12)-1))^12-1)/((1+((1+$C$126)^(1/12)-1))-1)))</f>
      </c>
      <c r="Q147">
        <f>IF($C$121&lt;&gt;1,0,IFERROR((((1+($C$126+'Inputs'!$H$137/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SUMPRODUCT(('Inputs'!$C$114:$C$121=$C$114)*($C$114&lt;&gt;"")*'Inputs'!$D$114:$D$121*(1+'Inputs'!$E$114:$E$121/100)^I148*(((ABS((('Inputs'!$G$114:$G$121&gt;0)*('Inputs'!$F$114:$F$121+'Inputs'!$G$114:$G$121)+('Inputs'!$G$114:$G$121=0)*12*$C$118)-12*I148)-ABS(((('Inputs'!$G$114:$G$121&gt;0)*('Inputs'!$F$114:$F$121+'Inputs'!$G$114:$G$121)+('Inputs'!$G$114:$G$121=0)*12*$C$118)-12*I148)-12)+12)/2-(ABS(('Inputs'!$F$114:$F$121-12*I148))-ABS((('Inputs'!$F$114:$F$121-12*I148))-12)+12)/2)+ABS((ABS((('Inputs'!$G$114:$G$121&gt;0)*('Inputs'!$F$114:$F$121+'Inputs'!$G$114:$G$121)+('Inputs'!$G$114:$G$121=0)*12*$C$118)-12*I148)-ABS(((('Inputs'!$G$114:$G$121&gt;0)*('Inputs'!$F$114:$F$121+'Inputs'!$G$114:$G$121)+('Inputs'!$G$114:$G$121=0)*12*$C$118)-12*I148)-12)+12)/2-(ABS(('Inputs'!$F$114:$F$121-12*I148))-ABS((('Inputs'!$F$114:$F$121-12*I148))-12)+12)/2))/2)</f>
      </c>
      <c r="L148">
        <f>IF(J148&gt;0,1,0)</f>
      </c>
      <c r="P148">
        <f>IF($C$121&lt;&gt;1,0,P147*(1+((1+$C$126)^(1/12)-1))^12-J147/12*(1+((1+$C$126)^(1/12)-1))*(((1+((1+$C$126)^(1/12)-1))^12-1)/((1+((1+$C$126)^(1/12)-1))-1)))</f>
      </c>
      <c r="Q148">
        <f>IF($C$121&lt;&gt;1,0,IFERROR((((1+($C$126+'Inputs'!$H$137/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SUMPRODUCT(('Inputs'!$C$114:$C$121=$C$114)*($C$114&lt;&gt;"")*'Inputs'!$D$114:$D$121*(1+'Inputs'!$E$114:$E$121/100)^I149*(((ABS((('Inputs'!$G$114:$G$121&gt;0)*('Inputs'!$F$114:$F$121+'Inputs'!$G$114:$G$121)+('Inputs'!$G$114:$G$121=0)*12*$C$118)-12*I149)-ABS(((('Inputs'!$G$114:$G$121&gt;0)*('Inputs'!$F$114:$F$121+'Inputs'!$G$114:$G$121)+('Inputs'!$G$114:$G$121=0)*12*$C$118)-12*I149)-12)+12)/2-(ABS(('Inputs'!$F$114:$F$121-12*I149))-ABS((('Inputs'!$F$114:$F$121-12*I149))-12)+12)/2)+ABS((ABS((('Inputs'!$G$114:$G$121&gt;0)*('Inputs'!$F$114:$F$121+'Inputs'!$G$114:$G$121)+('Inputs'!$G$114:$G$121=0)*12*$C$118)-12*I149)-ABS(((('Inputs'!$G$114:$G$121&gt;0)*('Inputs'!$F$114:$F$121+'Inputs'!$G$114:$G$121)+('Inputs'!$G$114:$G$121=0)*12*$C$118)-12*I149)-12)+12)/2-(ABS(('Inputs'!$F$114:$F$121-12*I149))-ABS((('Inputs'!$F$114:$F$121-12*I149))-12)+12)/2))/2)</f>
      </c>
      <c r="L149">
        <f>IF(J149&gt;0,1,0)</f>
      </c>
      <c r="P149">
        <f>IF($C$121&lt;&gt;1,0,P148*(1+((1+$C$126)^(1/12)-1))^12-J148/12*(1+((1+$C$126)^(1/12)-1))*(((1+((1+$C$126)^(1/12)-1))^12-1)/((1+((1+$C$126)^(1/12)-1))-1)))</f>
      </c>
      <c r="Q149">
        <f>IF($C$121&lt;&gt;1,0,IFERROR((((1+($C$126+'Inputs'!$H$137/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SUMPRODUCT(('Inputs'!$C$114:$C$121=$C$114)*($C$114&lt;&gt;"")*'Inputs'!$D$114:$D$121*(1+'Inputs'!$E$114:$E$121/100)^I150*(((ABS((('Inputs'!$G$114:$G$121&gt;0)*('Inputs'!$F$114:$F$121+'Inputs'!$G$114:$G$121)+('Inputs'!$G$114:$G$121=0)*12*$C$118)-12*I150)-ABS(((('Inputs'!$G$114:$G$121&gt;0)*('Inputs'!$F$114:$F$121+'Inputs'!$G$114:$G$121)+('Inputs'!$G$114:$G$121=0)*12*$C$118)-12*I150)-12)+12)/2-(ABS(('Inputs'!$F$114:$F$121-12*I150))-ABS((('Inputs'!$F$114:$F$121-12*I150))-12)+12)/2)+ABS((ABS((('Inputs'!$G$114:$G$121&gt;0)*('Inputs'!$F$114:$F$121+'Inputs'!$G$114:$G$121)+('Inputs'!$G$114:$G$121=0)*12*$C$118)-12*I150)-ABS(((('Inputs'!$G$114:$G$121&gt;0)*('Inputs'!$F$114:$F$121+'Inputs'!$G$114:$G$121)+('Inputs'!$G$114:$G$121=0)*12*$C$118)-12*I150)-12)+12)/2-(ABS(('Inputs'!$F$114:$F$121-12*I150))-ABS((('Inputs'!$F$114:$F$121-12*I150))-12)+12)/2))/2)</f>
      </c>
      <c r="L150">
        <f>IF(J150&gt;0,1,0)</f>
      </c>
      <c r="P150">
        <f>IF($C$121&lt;&gt;1,0,P149*(1+((1+$C$126)^(1/12)-1))^12-J149/12*(1+((1+$C$126)^(1/12)-1))*(((1+((1+$C$126)^(1/12)-1))^12-1)/((1+((1+$C$126)^(1/12)-1))-1)))</f>
      </c>
      <c r="Q150">
        <f>IF($C$121&lt;&gt;1,0,IFERROR((((1+($C$126+'Inputs'!$H$137/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SUMPRODUCT(('Inputs'!$C$114:$C$121=$C$114)*($C$114&lt;&gt;"")*'Inputs'!$D$114:$D$121*(1+'Inputs'!$E$114:$E$121/100)^I151*(((ABS((('Inputs'!$G$114:$G$121&gt;0)*('Inputs'!$F$114:$F$121+'Inputs'!$G$114:$G$121)+('Inputs'!$G$114:$G$121=0)*12*$C$118)-12*I151)-ABS(((('Inputs'!$G$114:$G$121&gt;0)*('Inputs'!$F$114:$F$121+'Inputs'!$G$114:$G$121)+('Inputs'!$G$114:$G$121=0)*12*$C$118)-12*I151)-12)+12)/2-(ABS(('Inputs'!$F$114:$F$121-12*I151))-ABS((('Inputs'!$F$114:$F$121-12*I151))-12)+12)/2)+ABS((ABS((('Inputs'!$G$114:$G$121&gt;0)*('Inputs'!$F$114:$F$121+'Inputs'!$G$114:$G$121)+('Inputs'!$G$114:$G$121=0)*12*$C$118)-12*I151)-ABS(((('Inputs'!$G$114:$G$121&gt;0)*('Inputs'!$F$114:$F$121+'Inputs'!$G$114:$G$121)+('Inputs'!$G$114:$G$121=0)*12*$C$118)-12*I151)-12)+12)/2-(ABS(('Inputs'!$F$114:$F$121-12*I151))-ABS((('Inputs'!$F$114:$F$121-12*I151))-12)+12)/2))/2)</f>
      </c>
      <c r="L151">
        <f>IF(J151&gt;0,1,0)</f>
      </c>
      <c r="P151">
        <f>IF($C$121&lt;&gt;1,0,P150*(1+((1+$C$126)^(1/12)-1))^12-J150/12*(1+((1+$C$126)^(1/12)-1))*(((1+((1+$C$126)^(1/12)-1))^12-1)/((1+((1+$C$126)^(1/12)-1))-1)))</f>
      </c>
      <c r="Q151">
        <f>IF($C$121&lt;&gt;1,0,IFERROR((((1+($C$126+'Inputs'!$H$137/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SUMPRODUCT(('Inputs'!$C$114:$C$121=$C$114)*($C$114&lt;&gt;"")*'Inputs'!$D$114:$D$121*(1+'Inputs'!$E$114:$E$121/100)^I152*(((ABS((('Inputs'!$G$114:$G$121&gt;0)*('Inputs'!$F$114:$F$121+'Inputs'!$G$114:$G$121)+('Inputs'!$G$114:$G$121=0)*12*$C$118)-12*I152)-ABS(((('Inputs'!$G$114:$G$121&gt;0)*('Inputs'!$F$114:$F$121+'Inputs'!$G$114:$G$121)+('Inputs'!$G$114:$G$121=0)*12*$C$118)-12*I152)-12)+12)/2-(ABS(('Inputs'!$F$114:$F$121-12*I152))-ABS((('Inputs'!$F$114:$F$121-12*I152))-12)+12)/2)+ABS((ABS((('Inputs'!$G$114:$G$121&gt;0)*('Inputs'!$F$114:$F$121+'Inputs'!$G$114:$G$121)+('Inputs'!$G$114:$G$121=0)*12*$C$118)-12*I152)-ABS(((('Inputs'!$G$114:$G$121&gt;0)*('Inputs'!$F$114:$F$121+'Inputs'!$G$114:$G$121)+('Inputs'!$G$114:$G$121=0)*12*$C$118)-12*I152)-12)+12)/2-(ABS(('Inputs'!$F$114:$F$121-12*I152))-ABS((('Inputs'!$F$114:$F$121-12*I152))-12)+12)/2))/2)</f>
      </c>
      <c r="L152">
        <f>IF(J152&gt;0,1,0)</f>
      </c>
      <c r="P152">
        <f>IF($C$121&lt;&gt;1,0,P151*(1+((1+$C$126)^(1/12)-1))^12-J151/12*(1+((1+$C$126)^(1/12)-1))*(((1+((1+$C$126)^(1/12)-1))^12-1)/((1+((1+$C$126)^(1/12)-1))-1)))</f>
      </c>
      <c r="Q152">
        <f>IF($C$121&lt;&gt;1,0,IFERROR((((1+($C$126+'Inputs'!$H$137/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SUMPRODUCT(('Inputs'!$C$114:$C$121=$C$114)*($C$114&lt;&gt;"")*'Inputs'!$D$114:$D$121*(1+'Inputs'!$E$114:$E$121/100)^I153*(((ABS((('Inputs'!$G$114:$G$121&gt;0)*('Inputs'!$F$114:$F$121+'Inputs'!$G$114:$G$121)+('Inputs'!$G$114:$G$121=0)*12*$C$118)-12*I153)-ABS(((('Inputs'!$G$114:$G$121&gt;0)*('Inputs'!$F$114:$F$121+'Inputs'!$G$114:$G$121)+('Inputs'!$G$114:$G$121=0)*12*$C$118)-12*I153)-12)+12)/2-(ABS(('Inputs'!$F$114:$F$121-12*I153))-ABS((('Inputs'!$F$114:$F$121-12*I153))-12)+12)/2)+ABS((ABS((('Inputs'!$G$114:$G$121&gt;0)*('Inputs'!$F$114:$F$121+'Inputs'!$G$114:$G$121)+('Inputs'!$G$114:$G$121=0)*12*$C$118)-12*I153)-ABS(((('Inputs'!$G$114:$G$121&gt;0)*('Inputs'!$F$114:$F$121+'Inputs'!$G$114:$G$121)+('Inputs'!$G$114:$G$121=0)*12*$C$118)-12*I153)-12)+12)/2-(ABS(('Inputs'!$F$114:$F$121-12*I153))-ABS((('Inputs'!$F$114:$F$121-12*I153))-12)+12)/2))/2)</f>
      </c>
      <c r="L153">
        <f>IF(J153&gt;0,1,0)</f>
      </c>
      <c r="P153">
        <f>IF($C$121&lt;&gt;1,0,P152*(1+((1+$C$126)^(1/12)-1))^12-J152/12*(1+((1+$C$126)^(1/12)-1))*(((1+((1+$C$126)^(1/12)-1))^12-1)/((1+((1+$C$126)^(1/12)-1))-1)))</f>
      </c>
      <c r="Q153">
        <f>IF($C$121&lt;&gt;1,0,IFERROR((((1+($C$126+'Inputs'!$H$137/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SUMPRODUCT(('Inputs'!$C$114:$C$121=$C$114)*($C$114&lt;&gt;"")*'Inputs'!$D$114:$D$121*(1+'Inputs'!$E$114:$E$121/100)^I154*(((ABS((('Inputs'!$G$114:$G$121&gt;0)*('Inputs'!$F$114:$F$121+'Inputs'!$G$114:$G$121)+('Inputs'!$G$114:$G$121=0)*12*$C$118)-12*I154)-ABS(((('Inputs'!$G$114:$G$121&gt;0)*('Inputs'!$F$114:$F$121+'Inputs'!$G$114:$G$121)+('Inputs'!$G$114:$G$121=0)*12*$C$118)-12*I154)-12)+12)/2-(ABS(('Inputs'!$F$114:$F$121-12*I154))-ABS((('Inputs'!$F$114:$F$121-12*I154))-12)+12)/2)+ABS((ABS((('Inputs'!$G$114:$G$121&gt;0)*('Inputs'!$F$114:$F$121+'Inputs'!$G$114:$G$121)+('Inputs'!$G$114:$G$121=0)*12*$C$118)-12*I154)-ABS(((('Inputs'!$G$114:$G$121&gt;0)*('Inputs'!$F$114:$F$121+'Inputs'!$G$114:$G$121)+('Inputs'!$G$114:$G$121=0)*12*$C$118)-12*I154)-12)+12)/2-(ABS(('Inputs'!$F$114:$F$121-12*I154))-ABS((('Inputs'!$F$114:$F$121-12*I154))-12)+12)/2))/2)</f>
      </c>
      <c r="L154">
        <f>IF(J154&gt;0,1,0)</f>
      </c>
      <c r="P154">
        <f>IF($C$121&lt;&gt;1,0,P153*(1+((1+$C$126)^(1/12)-1))^12-J153/12*(1+((1+$C$126)^(1/12)-1))*(((1+((1+$C$126)^(1/12)-1))^12-1)/((1+((1+$C$126)^(1/12)-1))-1)))</f>
      </c>
      <c r="Q154">
        <f>IF($C$121&lt;&gt;1,0,IFERROR((((1+($C$126+'Inputs'!$H$137/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SUMPRODUCT(('Inputs'!$C$114:$C$121=$C$114)*($C$114&lt;&gt;"")*'Inputs'!$D$114:$D$121*(1+'Inputs'!$E$114:$E$121/100)^I155*(((ABS((('Inputs'!$G$114:$G$121&gt;0)*('Inputs'!$F$114:$F$121+'Inputs'!$G$114:$G$121)+('Inputs'!$G$114:$G$121=0)*12*$C$118)-12*I155)-ABS(((('Inputs'!$G$114:$G$121&gt;0)*('Inputs'!$F$114:$F$121+'Inputs'!$G$114:$G$121)+('Inputs'!$G$114:$G$121=0)*12*$C$118)-12*I155)-12)+12)/2-(ABS(('Inputs'!$F$114:$F$121-12*I155))-ABS((('Inputs'!$F$114:$F$121-12*I155))-12)+12)/2)+ABS((ABS((('Inputs'!$G$114:$G$121&gt;0)*('Inputs'!$F$114:$F$121+'Inputs'!$G$114:$G$121)+('Inputs'!$G$114:$G$121=0)*12*$C$118)-12*I155)-ABS(((('Inputs'!$G$114:$G$121&gt;0)*('Inputs'!$F$114:$F$121+'Inputs'!$G$114:$G$121)+('Inputs'!$G$114:$G$121=0)*12*$C$118)-12*I155)-12)+12)/2-(ABS(('Inputs'!$F$114:$F$121-12*I155))-ABS((('Inputs'!$F$114:$F$121-12*I155))-12)+12)/2))/2)</f>
      </c>
      <c r="L155">
        <f>IF(J155&gt;0,1,0)</f>
      </c>
      <c r="P155">
        <f>IF($C$121&lt;&gt;1,0,P154*(1+((1+$C$126)^(1/12)-1))^12-J154/12*(1+((1+$C$126)^(1/12)-1))*(((1+((1+$C$126)^(1/12)-1))^12-1)/((1+((1+$C$126)^(1/12)-1))-1)))</f>
      </c>
      <c r="Q155">
        <f>IF($C$121&lt;&gt;1,0,IFERROR((((1+($C$126+'Inputs'!$H$137/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SUMPRODUCT(('Inputs'!$C$114:$C$121=$C$114)*($C$114&lt;&gt;"")*'Inputs'!$D$114:$D$121*(1+'Inputs'!$E$114:$E$121/100)^I156*(((ABS((('Inputs'!$G$114:$G$121&gt;0)*('Inputs'!$F$114:$F$121+'Inputs'!$G$114:$G$121)+('Inputs'!$G$114:$G$121=0)*12*$C$118)-12*I156)-ABS(((('Inputs'!$G$114:$G$121&gt;0)*('Inputs'!$F$114:$F$121+'Inputs'!$G$114:$G$121)+('Inputs'!$G$114:$G$121=0)*12*$C$118)-12*I156)-12)+12)/2-(ABS(('Inputs'!$F$114:$F$121-12*I156))-ABS((('Inputs'!$F$114:$F$121-12*I156))-12)+12)/2)+ABS((ABS((('Inputs'!$G$114:$G$121&gt;0)*('Inputs'!$F$114:$F$121+'Inputs'!$G$114:$G$121)+('Inputs'!$G$114:$G$121=0)*12*$C$118)-12*I156)-ABS(((('Inputs'!$G$114:$G$121&gt;0)*('Inputs'!$F$114:$F$121+'Inputs'!$G$114:$G$121)+('Inputs'!$G$114:$G$121=0)*12*$C$118)-12*I156)-12)+12)/2-(ABS(('Inputs'!$F$114:$F$121-12*I156))-ABS((('Inputs'!$F$114:$F$121-12*I156))-12)+12)/2))/2)</f>
      </c>
      <c r="L156">
        <f>IF(J156&gt;0,1,0)</f>
      </c>
      <c r="P156">
        <f>IF($C$121&lt;&gt;1,0,P155*(1+((1+$C$126)^(1/12)-1))^12-J155/12*(1+((1+$C$126)^(1/12)-1))*(((1+((1+$C$126)^(1/12)-1))^12-1)/((1+((1+$C$126)^(1/12)-1))-1)))</f>
      </c>
      <c r="Q156">
        <f>IF($C$121&lt;&gt;1,0,IFERROR((((1+($C$126+'Inputs'!$H$137/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SUMPRODUCT(('Inputs'!$C$114:$C$121=$C$114)*($C$114&lt;&gt;"")*'Inputs'!$D$114:$D$121*(1+'Inputs'!$E$114:$E$121/100)^I157*(((ABS((('Inputs'!$G$114:$G$121&gt;0)*('Inputs'!$F$114:$F$121+'Inputs'!$G$114:$G$121)+('Inputs'!$G$114:$G$121=0)*12*$C$118)-12*I157)-ABS(((('Inputs'!$G$114:$G$121&gt;0)*('Inputs'!$F$114:$F$121+'Inputs'!$G$114:$G$121)+('Inputs'!$G$114:$G$121=0)*12*$C$118)-12*I157)-12)+12)/2-(ABS(('Inputs'!$F$114:$F$121-12*I157))-ABS((('Inputs'!$F$114:$F$121-12*I157))-12)+12)/2)+ABS((ABS((('Inputs'!$G$114:$G$121&gt;0)*('Inputs'!$F$114:$F$121+'Inputs'!$G$114:$G$121)+('Inputs'!$G$114:$G$121=0)*12*$C$118)-12*I157)-ABS(((('Inputs'!$G$114:$G$121&gt;0)*('Inputs'!$F$114:$F$121+'Inputs'!$G$114:$G$121)+('Inputs'!$G$114:$G$121=0)*12*$C$118)-12*I157)-12)+12)/2-(ABS(('Inputs'!$F$114:$F$121-12*I157))-ABS((('Inputs'!$F$114:$F$121-12*I157))-12)+12)/2))/2)</f>
      </c>
      <c r="L157">
        <f>IF(J157&gt;0,1,0)</f>
      </c>
      <c r="P157">
        <f>IF($C$121&lt;&gt;1,0,P156*(1+((1+$C$126)^(1/12)-1))^12-J156/12*(1+((1+$C$126)^(1/12)-1))*(((1+((1+$C$126)^(1/12)-1))^12-1)/((1+((1+$C$126)^(1/12)-1))-1)))</f>
      </c>
      <c r="Q157">
        <f>IF($C$121&lt;&gt;1,0,IFERROR((((1+($C$126+'Inputs'!$H$137/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SUMPRODUCT(('Inputs'!$C$114:$C$121=$C$114)*($C$114&lt;&gt;"")*'Inputs'!$D$114:$D$121*(1+'Inputs'!$E$114:$E$121/100)^I158*(((ABS((('Inputs'!$G$114:$G$121&gt;0)*('Inputs'!$F$114:$F$121+'Inputs'!$G$114:$G$121)+('Inputs'!$G$114:$G$121=0)*12*$C$118)-12*I158)-ABS(((('Inputs'!$G$114:$G$121&gt;0)*('Inputs'!$F$114:$F$121+'Inputs'!$G$114:$G$121)+('Inputs'!$G$114:$G$121=0)*12*$C$118)-12*I158)-12)+12)/2-(ABS(('Inputs'!$F$114:$F$121-12*I158))-ABS((('Inputs'!$F$114:$F$121-12*I158))-12)+12)/2)+ABS((ABS((('Inputs'!$G$114:$G$121&gt;0)*('Inputs'!$F$114:$F$121+'Inputs'!$G$114:$G$121)+('Inputs'!$G$114:$G$121=0)*12*$C$118)-12*I158)-ABS(((('Inputs'!$G$114:$G$121&gt;0)*('Inputs'!$F$114:$F$121+'Inputs'!$G$114:$G$121)+('Inputs'!$G$114:$G$121=0)*12*$C$118)-12*I158)-12)+12)/2-(ABS(('Inputs'!$F$114:$F$121-12*I158))-ABS((('Inputs'!$F$114:$F$121-12*I158))-12)+12)/2))/2)</f>
      </c>
      <c r="L158">
        <f>IF(J158&gt;0,1,0)</f>
      </c>
      <c r="P158">
        <f>IF($C$121&lt;&gt;1,0,P157*(1+((1+$C$126)^(1/12)-1))^12-J157/12*(1+((1+$C$126)^(1/12)-1))*(((1+((1+$C$126)^(1/12)-1))^12-1)/((1+((1+$C$126)^(1/12)-1))-1)))</f>
      </c>
      <c r="Q158">
        <f>IF($C$121&lt;&gt;1,0,IFERROR((((1+($C$126+'Inputs'!$H$137/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SUMPRODUCT(('Inputs'!$C$114:$C$121=$C$114)*($C$114&lt;&gt;"")*'Inputs'!$D$114:$D$121*(1+'Inputs'!$E$114:$E$121/100)^I159*(((ABS((('Inputs'!$G$114:$G$121&gt;0)*('Inputs'!$F$114:$F$121+'Inputs'!$G$114:$G$121)+('Inputs'!$G$114:$G$121=0)*12*$C$118)-12*I159)-ABS(((('Inputs'!$G$114:$G$121&gt;0)*('Inputs'!$F$114:$F$121+'Inputs'!$G$114:$G$121)+('Inputs'!$G$114:$G$121=0)*12*$C$118)-12*I159)-12)+12)/2-(ABS(('Inputs'!$F$114:$F$121-12*I159))-ABS((('Inputs'!$F$114:$F$121-12*I159))-12)+12)/2)+ABS((ABS((('Inputs'!$G$114:$G$121&gt;0)*('Inputs'!$F$114:$F$121+'Inputs'!$G$114:$G$121)+('Inputs'!$G$114:$G$121=0)*12*$C$118)-12*I159)-ABS(((('Inputs'!$G$114:$G$121&gt;0)*('Inputs'!$F$114:$F$121+'Inputs'!$G$114:$G$121)+('Inputs'!$G$114:$G$121=0)*12*$C$118)-12*I159)-12)+12)/2-(ABS(('Inputs'!$F$114:$F$121-12*I159))-ABS((('Inputs'!$F$114:$F$121-12*I159))-12)+12)/2))/2)</f>
      </c>
      <c r="L159">
        <f>IF(J159&gt;0,1,0)</f>
      </c>
      <c r="P159">
        <f>IF($C$121&lt;&gt;1,0,P158*(1+((1+$C$126)^(1/12)-1))^12-J158/12*(1+((1+$C$126)^(1/12)-1))*(((1+((1+$C$126)^(1/12)-1))^12-1)/((1+((1+$C$126)^(1/12)-1))-1)))</f>
      </c>
      <c r="Q159">
        <f>IF($C$121&lt;&gt;1,0,IFERROR((((1+($C$126+'Inputs'!$H$137/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SUMPRODUCT(('Inputs'!$C$114:$C$121=$C$114)*($C$114&lt;&gt;"")*'Inputs'!$D$114:$D$121*(1+'Inputs'!$E$114:$E$121/100)^I160*(((ABS((('Inputs'!$G$114:$G$121&gt;0)*('Inputs'!$F$114:$F$121+'Inputs'!$G$114:$G$121)+('Inputs'!$G$114:$G$121=0)*12*$C$118)-12*I160)-ABS(((('Inputs'!$G$114:$G$121&gt;0)*('Inputs'!$F$114:$F$121+'Inputs'!$G$114:$G$121)+('Inputs'!$G$114:$G$121=0)*12*$C$118)-12*I160)-12)+12)/2-(ABS(('Inputs'!$F$114:$F$121-12*I160))-ABS((('Inputs'!$F$114:$F$121-12*I160))-12)+12)/2)+ABS((ABS((('Inputs'!$G$114:$G$121&gt;0)*('Inputs'!$F$114:$F$121+'Inputs'!$G$114:$G$121)+('Inputs'!$G$114:$G$121=0)*12*$C$118)-12*I160)-ABS(((('Inputs'!$G$114:$G$121&gt;0)*('Inputs'!$F$114:$F$121+'Inputs'!$G$114:$G$121)+('Inputs'!$G$114:$G$121=0)*12*$C$118)-12*I160)-12)+12)/2-(ABS(('Inputs'!$F$114:$F$121-12*I160))-ABS((('Inputs'!$F$114:$F$121-12*I160))-12)+12)/2))/2)</f>
      </c>
      <c r="L160">
        <f>IF(J160&gt;0,1,0)</f>
      </c>
      <c r="P160">
        <f>IF($C$121&lt;&gt;1,0,P159*(1+((1+$C$126)^(1/12)-1))^12-J159/12*(1+((1+$C$126)^(1/12)-1))*(((1+((1+$C$126)^(1/12)-1))^12-1)/((1+((1+$C$126)^(1/12)-1))-1)))</f>
      </c>
      <c r="Q160">
        <f>IF($C$121&lt;&gt;1,0,IFERROR((((1+($C$126+'Inputs'!$H$137/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SUMPRODUCT(('Inputs'!$C$114:$C$121=$C$114)*($C$114&lt;&gt;"")*'Inputs'!$D$114:$D$121*(1+'Inputs'!$E$114:$E$121/100)^I161*(((ABS((('Inputs'!$G$114:$G$121&gt;0)*('Inputs'!$F$114:$F$121+'Inputs'!$G$114:$G$121)+('Inputs'!$G$114:$G$121=0)*12*$C$118)-12*I161)-ABS(((('Inputs'!$G$114:$G$121&gt;0)*('Inputs'!$F$114:$F$121+'Inputs'!$G$114:$G$121)+('Inputs'!$G$114:$G$121=0)*12*$C$118)-12*I161)-12)+12)/2-(ABS(('Inputs'!$F$114:$F$121-12*I161))-ABS((('Inputs'!$F$114:$F$121-12*I161))-12)+12)/2)+ABS((ABS((('Inputs'!$G$114:$G$121&gt;0)*('Inputs'!$F$114:$F$121+'Inputs'!$G$114:$G$121)+('Inputs'!$G$114:$G$121=0)*12*$C$118)-12*I161)-ABS(((('Inputs'!$G$114:$G$121&gt;0)*('Inputs'!$F$114:$F$121+'Inputs'!$G$114:$G$121)+('Inputs'!$G$114:$G$121=0)*12*$C$118)-12*I161)-12)+12)/2-(ABS(('Inputs'!$F$114:$F$121-12*I161))-ABS((('Inputs'!$F$114:$F$121-12*I161))-12)+12)/2))/2)</f>
      </c>
      <c r="L161">
        <f>IF(J161&gt;0,1,0)</f>
      </c>
      <c r="P161">
        <f>IF($C$121&lt;&gt;1,0,P160*(1+((1+$C$126)^(1/12)-1))^12-J160/12*(1+((1+$C$126)^(1/12)-1))*(((1+((1+$C$126)^(1/12)-1))^12-1)/((1+((1+$C$126)^(1/12)-1))-1)))</f>
      </c>
      <c r="Q161">
        <f>IF($C$121&lt;&gt;1,0,IFERROR((((1+($C$126+'Inputs'!$H$137/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SUMPRODUCT(('Inputs'!$C$114:$C$121=$C$114)*($C$114&lt;&gt;"")*'Inputs'!$D$114:$D$121*(1+'Inputs'!$E$114:$E$121/100)^I162*(((ABS((('Inputs'!$G$114:$G$121&gt;0)*('Inputs'!$F$114:$F$121+'Inputs'!$G$114:$G$121)+('Inputs'!$G$114:$G$121=0)*12*$C$118)-12*I162)-ABS(((('Inputs'!$G$114:$G$121&gt;0)*('Inputs'!$F$114:$F$121+'Inputs'!$G$114:$G$121)+('Inputs'!$G$114:$G$121=0)*12*$C$118)-12*I162)-12)+12)/2-(ABS(('Inputs'!$F$114:$F$121-12*I162))-ABS((('Inputs'!$F$114:$F$121-12*I162))-12)+12)/2)+ABS((ABS((('Inputs'!$G$114:$G$121&gt;0)*('Inputs'!$F$114:$F$121+'Inputs'!$G$114:$G$121)+('Inputs'!$G$114:$G$121=0)*12*$C$118)-12*I162)-ABS(((('Inputs'!$G$114:$G$121&gt;0)*('Inputs'!$F$114:$F$121+'Inputs'!$G$114:$G$121)+('Inputs'!$G$114:$G$121=0)*12*$C$118)-12*I162)-12)+12)/2-(ABS(('Inputs'!$F$114:$F$121-12*I162))-ABS((('Inputs'!$F$114:$F$121-12*I162))-12)+12)/2))/2)</f>
      </c>
      <c r="L162">
        <f>IF(J162&gt;0,1,0)</f>
      </c>
      <c r="P162">
        <f>IF($C$121&lt;&gt;1,0,P161*(1+((1+$C$126)^(1/12)-1))^12-J161/12*(1+((1+$C$126)^(1/12)-1))*(((1+((1+$C$126)^(1/12)-1))^12-1)/((1+((1+$C$126)^(1/12)-1))-1)))</f>
      </c>
      <c r="Q162">
        <f>IF($C$121&lt;&gt;1,0,IFERROR((((1+($C$126+'Inputs'!$H$137/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SUMPRODUCT(('Inputs'!$C$114:$C$121=$C$114)*($C$114&lt;&gt;"")*'Inputs'!$D$114:$D$121*(1+'Inputs'!$E$114:$E$121/100)^I163*(((ABS((('Inputs'!$G$114:$G$121&gt;0)*('Inputs'!$F$114:$F$121+'Inputs'!$G$114:$G$121)+('Inputs'!$G$114:$G$121=0)*12*$C$118)-12*I163)-ABS(((('Inputs'!$G$114:$G$121&gt;0)*('Inputs'!$F$114:$F$121+'Inputs'!$G$114:$G$121)+('Inputs'!$G$114:$G$121=0)*12*$C$118)-12*I163)-12)+12)/2-(ABS(('Inputs'!$F$114:$F$121-12*I163))-ABS((('Inputs'!$F$114:$F$121-12*I163))-12)+12)/2)+ABS((ABS((('Inputs'!$G$114:$G$121&gt;0)*('Inputs'!$F$114:$F$121+'Inputs'!$G$114:$G$121)+('Inputs'!$G$114:$G$121=0)*12*$C$118)-12*I163)-ABS(((('Inputs'!$G$114:$G$121&gt;0)*('Inputs'!$F$114:$F$121+'Inputs'!$G$114:$G$121)+('Inputs'!$G$114:$G$121=0)*12*$C$118)-12*I163)-12)+12)/2-(ABS(('Inputs'!$F$114:$F$121-12*I163))-ABS((('Inputs'!$F$114:$F$121-12*I163))-12)+12)/2))/2)</f>
      </c>
      <c r="L163">
        <f>IF(J163&gt;0,1,0)</f>
      </c>
      <c r="P163">
        <f>IF($C$121&lt;&gt;1,0,P162*(1+((1+$C$126)^(1/12)-1))^12-J162/12*(1+((1+$C$126)^(1/12)-1))*(((1+((1+$C$126)^(1/12)-1))^12-1)/((1+((1+$C$126)^(1/12)-1))-1)))</f>
      </c>
      <c r="Q163">
        <f>IF($C$121&lt;&gt;1,0,IFERROR((((1+($C$126+'Inputs'!$H$137/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SUMPRODUCT(('Inputs'!$C$114:$C$121=$C$114)*($C$114&lt;&gt;"")*'Inputs'!$D$114:$D$121*(1+'Inputs'!$E$114:$E$121/100)^I164*(((ABS((('Inputs'!$G$114:$G$121&gt;0)*('Inputs'!$F$114:$F$121+'Inputs'!$G$114:$G$121)+('Inputs'!$G$114:$G$121=0)*12*$C$118)-12*I164)-ABS(((('Inputs'!$G$114:$G$121&gt;0)*('Inputs'!$F$114:$F$121+'Inputs'!$G$114:$G$121)+('Inputs'!$G$114:$G$121=0)*12*$C$118)-12*I164)-12)+12)/2-(ABS(('Inputs'!$F$114:$F$121-12*I164))-ABS((('Inputs'!$F$114:$F$121-12*I164))-12)+12)/2)+ABS((ABS((('Inputs'!$G$114:$G$121&gt;0)*('Inputs'!$F$114:$F$121+'Inputs'!$G$114:$G$121)+('Inputs'!$G$114:$G$121=0)*12*$C$118)-12*I164)-ABS(((('Inputs'!$G$114:$G$121&gt;0)*('Inputs'!$F$114:$F$121+'Inputs'!$G$114:$G$121)+('Inputs'!$G$114:$G$121=0)*12*$C$118)-12*I164)-12)+12)/2-(ABS(('Inputs'!$F$114:$F$121-12*I164))-ABS((('Inputs'!$F$114:$F$121-12*I164))-12)+12)/2))/2)</f>
      </c>
      <c r="L164">
        <f>IF(J164&gt;0,1,0)</f>
      </c>
      <c r="P164">
        <f>IF($C$121&lt;&gt;1,0,P163*(1+((1+$C$126)^(1/12)-1))^12-J163/12*(1+((1+$C$126)^(1/12)-1))*(((1+((1+$C$126)^(1/12)-1))^12-1)/((1+((1+$C$126)^(1/12)-1))-1)))</f>
      </c>
      <c r="Q164">
        <f>IF($C$121&lt;&gt;1,0,IFERROR((((1+($C$126+'Inputs'!$H$137/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SUMPRODUCT(('Inputs'!$C$114:$C$121=$C$114)*($C$114&lt;&gt;"")*'Inputs'!$D$114:$D$121*(1+'Inputs'!$E$114:$E$121/100)^I165*(((ABS((('Inputs'!$G$114:$G$121&gt;0)*('Inputs'!$F$114:$F$121+'Inputs'!$G$114:$G$121)+('Inputs'!$G$114:$G$121=0)*12*$C$118)-12*I165)-ABS(((('Inputs'!$G$114:$G$121&gt;0)*('Inputs'!$F$114:$F$121+'Inputs'!$G$114:$G$121)+('Inputs'!$G$114:$G$121=0)*12*$C$118)-12*I165)-12)+12)/2-(ABS(('Inputs'!$F$114:$F$121-12*I165))-ABS((('Inputs'!$F$114:$F$121-12*I165))-12)+12)/2)+ABS((ABS((('Inputs'!$G$114:$G$121&gt;0)*('Inputs'!$F$114:$F$121+'Inputs'!$G$114:$G$121)+('Inputs'!$G$114:$G$121=0)*12*$C$118)-12*I165)-ABS(((('Inputs'!$G$114:$G$121&gt;0)*('Inputs'!$F$114:$F$121+'Inputs'!$G$114:$G$121)+('Inputs'!$G$114:$G$121=0)*12*$C$118)-12*I165)-12)+12)/2-(ABS(('Inputs'!$F$114:$F$121-12*I165))-ABS((('Inputs'!$F$114:$F$121-12*I165))-12)+12)/2))/2)</f>
      </c>
      <c r="L165">
        <f>IF(J165&gt;0,1,0)</f>
      </c>
      <c r="P165">
        <f>IF($C$121&lt;&gt;1,0,P164*(1+((1+$C$126)^(1/12)-1))^12-J164/12*(1+((1+$C$126)^(1/12)-1))*(((1+((1+$C$126)^(1/12)-1))^12-1)/((1+((1+$C$126)^(1/12)-1))-1)))</f>
      </c>
      <c r="Q165">
        <f>IF($C$121&lt;&gt;1,0,IFERROR((((1+($C$126+'Inputs'!$H$137/100))^(1/12)-1)-((1+$C$126)^(1/12)-1))*(P165*(((1+((1+$C$126)^(1/12)-1))^12-1)/((1+((1+$C$126)^(1/12)-1))-1))-J165/12/((1+((1+$C$126)^(1/12)-1))-1)*((1+((1+$C$126)^(1/12)-1))*(((1+((1+$C$126)^(1/12)-1))^12-1)/((1+((1+$C$126)^(1/12)-1))-1))-12)),0))</f>
      </c>
    </row>
    <row r="170" spans="2:3" x14ac:dyDescent="0.25">
      <c r="B170" t="s">
        <v>122</v>
      </c>
      <c r="C170">
        <f>IF('Inputs'!$B$103="","",'Inputs'!$B$103)</f>
      </c>
    </row>
    <row r="171" spans="2:17" x14ac:dyDescent="0.25">
      <c r="B171" t="s">
        <v>124</v>
      </c>
      <c r="C171">
        <f>N('Inputs'!$D$103)</f>
      </c>
      <c r="I171" t="s">
        <v>451</v>
      </c>
      <c r="J171" t="s">
        <v>452</v>
      </c>
      <c r="K171" t="s">
        <v>453</v>
      </c>
      <c r="L171" t="s">
        <v>454</v>
      </c>
      <c r="P171" t="s">
        <v>455</v>
      </c>
      <c r="Q171" t="s">
        <v>456</v>
      </c>
    </row>
    <row r="172" spans="2:17" x14ac:dyDescent="0.25">
      <c r="B172" t="s">
        <v>457</v>
      </c>
      <c r="C172">
        <f>IF($C$171&gt;=75,'Inputs'!$H$145,IF($C$171&gt;=65,'Inputs'!$H$144,'Inputs'!$H$138))</f>
      </c>
      <c r="I172">
        <v>0</v>
      </c>
      <c r="J172">
        <f>IF(I172&lt;$C$174,MAX(0,12*$C$175*(1+$C$176)^I172-K172),0)</f>
      </c>
      <c r="K172">
        <f>SUMPRODUCT(('Inputs'!$G$76:$G$81=$C$170)*($C$170&lt;&gt;"")*'Inputs'!$D$76:$D$81*(1+'Inputs'!$E$76:$E$81/100)^I172*(ABS('Inputs'!$F$76:$F$81-12*I172)-ABS(('Inputs'!$F$76:$F$81-12*I172)-12)+12)/2)+SUMPRODUCT(('Inputs'!$C$114:$C$121=$C$170)*($C$170&lt;&gt;"")*'Inputs'!$D$114:$D$121*(1+'Inputs'!$E$114:$E$121/100)^I172*(((ABS((('Inputs'!$G$114:$G$121&gt;0)*('Inputs'!$F$114:$F$121+'Inputs'!$G$114:$G$121)+('Inputs'!$G$114:$G$121=0)*12*$C$174)-12*I172)-ABS(((('Inputs'!$G$114:$G$121&gt;0)*('Inputs'!$F$114:$F$121+'Inputs'!$G$114:$G$121)+('Inputs'!$G$114:$G$121=0)*12*$C$174)-12*I172)-12)+12)/2-(ABS(('Inputs'!$F$114:$F$121-12*I172))-ABS((('Inputs'!$F$114:$F$121-12*I172))-12)+12)/2)+ABS((ABS((('Inputs'!$G$114:$G$121&gt;0)*('Inputs'!$F$114:$F$121+'Inputs'!$G$114:$G$121)+('Inputs'!$G$114:$G$121=0)*12*$C$174)-12*I172)-ABS(((('Inputs'!$G$114:$G$121&gt;0)*('Inputs'!$F$114:$F$121+'Inputs'!$G$114:$G$121)+('Inputs'!$G$114:$G$121=0)*12*$C$174)-12*I172)-12)+12)/2-(ABS(('Inputs'!$F$114:$F$121-12*I172))-ABS((('Inputs'!$F$114:$F$121-12*I172))-12)+12)/2))/2)</f>
      </c>
      <c r="L172">
        <f>IF(J172&gt;0,1,0)</f>
      </c>
      <c r="P172">
        <f>IF($C$177&lt;&gt;1,0,IF($C$182=0,SUM($J$172:$J$221),(1-(1+$C$182)^-1)/(1-(1+$C$182)^(-1/12))/12*SUMPRODUCT($J$172:$J$221,(1+$C$182)^(-$I$172:$I$221))))</f>
      </c>
      <c r="Q172">
        <f>IF($C$177&lt;&gt;1,0,IFERROR((((1+($C$182+'Inputs'!$H$137/100))^(1/12)-1)-((1+$C$182)^(1/12)-1))*(P172*(((1+((1+$C$182)^(1/12)-1))^12-1)/((1+((1+$C$182)^(1/12)-1))-1))-J172/12/((1+((1+$C$182)^(1/12)-1))-1)*((1+((1+$C$182)^(1/12)-1))*(((1+((1+$C$182)^(1/12)-1))^12-1)/((1+((1+$C$182)^(1/12)-1))-1))-12)),0))</f>
      </c>
    </row>
    <row r="173" spans="2:17" x14ac:dyDescent="0.25">
      <c r="B173" t="s">
        <v>458</v>
      </c>
      <c r="C173">
        <f>N('Inputs'!$I$103)</f>
      </c>
      <c r="I173">
        <v>1</v>
      </c>
      <c r="J173">
        <f>IF(I173&lt;$C$174,MAX(0,12*$C$175*(1+$C$176)^I173-K173),0)</f>
      </c>
      <c r="K173">
        <f>SUMPRODUCT(('Inputs'!$G$76:$G$81=$C$170)*($C$170&lt;&gt;"")*'Inputs'!$D$76:$D$81*(1+'Inputs'!$E$76:$E$81/100)^I173*(ABS('Inputs'!$F$76:$F$81-12*I173)-ABS(('Inputs'!$F$76:$F$81-12*I173)-12)+12)/2)+SUMPRODUCT(('Inputs'!$C$114:$C$121=$C$170)*($C$170&lt;&gt;"")*'Inputs'!$D$114:$D$121*(1+'Inputs'!$E$114:$E$121/100)^I173*(((ABS((('Inputs'!$G$114:$G$121&gt;0)*('Inputs'!$F$114:$F$121+'Inputs'!$G$114:$G$121)+('Inputs'!$G$114:$G$121=0)*12*$C$174)-12*I173)-ABS(((('Inputs'!$G$114:$G$121&gt;0)*('Inputs'!$F$114:$F$121+'Inputs'!$G$114:$G$121)+('Inputs'!$G$114:$G$121=0)*12*$C$174)-12*I173)-12)+12)/2-(ABS(('Inputs'!$F$114:$F$121-12*I173))-ABS((('Inputs'!$F$114:$F$121-12*I173))-12)+12)/2)+ABS((ABS((('Inputs'!$G$114:$G$121&gt;0)*('Inputs'!$F$114:$F$121+'Inputs'!$G$114:$G$121)+('Inputs'!$G$114:$G$121=0)*12*$C$174)-12*I173)-ABS(((('Inputs'!$G$114:$G$121&gt;0)*('Inputs'!$F$114:$F$121+'Inputs'!$G$114:$G$121)+('Inputs'!$G$114:$G$121=0)*12*$C$174)-12*I173)-12)+12)/2-(ABS(('Inputs'!$F$114:$F$121-12*I173))-ABS((('Inputs'!$F$114:$F$121-12*I173))-12)+12)/2))/2)</f>
      </c>
      <c r="L173">
        <f>IF(J173&gt;0,1,0)</f>
      </c>
      <c r="P173">
        <f>IF($C$177&lt;&gt;1,0,P172*(1+((1+$C$182)^(1/12)-1))^12-J172/12*(1+((1+$C$182)^(1/12)-1))*(((1+((1+$C$182)^(1/12)-1))^12-1)/((1+((1+$C$182)^(1/12)-1))-1)))</f>
      </c>
      <c r="Q173">
        <f>IF($C$177&lt;&gt;1,0,IFERROR((((1+($C$182+'Inputs'!$H$137/100))^(1/12)-1)-((1+$C$182)^(1/12)-1))*(P173*(((1+((1+$C$182)^(1/12)-1))^12-1)/((1+((1+$C$182)^(1/12)-1))-1))-J173/12/((1+((1+$C$182)^(1/12)-1))-1)*((1+((1+$C$182)^(1/12)-1))*(((1+((1+$C$182)^(1/12)-1))^12-1)/((1+((1+$C$182)^(1/12)-1))-1))-12)),0))</f>
      </c>
    </row>
    <row r="174" spans="2:17" x14ac:dyDescent="0.25">
      <c r="B174" t="s">
        <v>459</v>
      </c>
      <c r="C174">
        <f>IF($C$170="",0,N('Inputs'!$F$103))</f>
      </c>
      <c r="I174">
        <v>2</v>
      </c>
      <c r="J174">
        <f>IF(I174&lt;$C$174,MAX(0,12*$C$175*(1+$C$176)^I174-K174),0)</f>
      </c>
      <c r="K174">
        <f>SUMPRODUCT(('Inputs'!$G$76:$G$81=$C$170)*($C$170&lt;&gt;"")*'Inputs'!$D$76:$D$81*(1+'Inputs'!$E$76:$E$81/100)^I174*(ABS('Inputs'!$F$76:$F$81-12*I174)-ABS(('Inputs'!$F$76:$F$81-12*I174)-12)+12)/2)+SUMPRODUCT(('Inputs'!$C$114:$C$121=$C$170)*($C$170&lt;&gt;"")*'Inputs'!$D$114:$D$121*(1+'Inputs'!$E$114:$E$121/100)^I174*(((ABS((('Inputs'!$G$114:$G$121&gt;0)*('Inputs'!$F$114:$F$121+'Inputs'!$G$114:$G$121)+('Inputs'!$G$114:$G$121=0)*12*$C$174)-12*I174)-ABS(((('Inputs'!$G$114:$G$121&gt;0)*('Inputs'!$F$114:$F$121+'Inputs'!$G$114:$G$121)+('Inputs'!$G$114:$G$121=0)*12*$C$174)-12*I174)-12)+12)/2-(ABS(('Inputs'!$F$114:$F$121-12*I174))-ABS((('Inputs'!$F$114:$F$121-12*I174))-12)+12)/2)+ABS((ABS((('Inputs'!$G$114:$G$121&gt;0)*('Inputs'!$F$114:$F$121+'Inputs'!$G$114:$G$121)+('Inputs'!$G$114:$G$121=0)*12*$C$174)-12*I174)-ABS(((('Inputs'!$G$114:$G$121&gt;0)*('Inputs'!$F$114:$F$121+'Inputs'!$G$114:$G$121)+('Inputs'!$G$114:$G$121=0)*12*$C$174)-12*I174)-12)+12)/2-(ABS(('Inputs'!$F$114:$F$121-12*I174))-ABS((('Inputs'!$F$114:$F$121-12*I174))-12)+12)/2))/2)</f>
      </c>
      <c r="L174">
        <f>IF(J174&gt;0,1,0)</f>
      </c>
      <c r="P174">
        <f>IF($C$177&lt;&gt;1,0,P173*(1+((1+$C$182)^(1/12)-1))^12-J173/12*(1+((1+$C$182)^(1/12)-1))*(((1+((1+$C$182)^(1/12)-1))^12-1)/((1+((1+$C$182)^(1/12)-1))-1)))</f>
      </c>
      <c r="Q174">
        <f>IF($C$177&lt;&gt;1,0,IFERROR((((1+($C$182+'Inputs'!$H$137/100))^(1/12)-1)-((1+$C$182)^(1/12)-1))*(P174*(((1+((1+$C$182)^(1/12)-1))^12-1)/((1+((1+$C$182)^(1/12)-1))-1))-J174/12/((1+((1+$C$182)^(1/12)-1))-1)*((1+((1+$C$182)^(1/12)-1))*(((1+((1+$C$182)^(1/12)-1))^12-1)/((1+((1+$C$182)^(1/12)-1))-1))-12)),0))</f>
      </c>
    </row>
    <row r="175" spans="2:17" x14ac:dyDescent="0.25">
      <c r="B175" t="s">
        <v>460</v>
      </c>
      <c r="C175">
        <f>N('Inputs'!$E$103)</f>
      </c>
      <c r="I175">
        <v>3</v>
      </c>
      <c r="J175">
        <f>IF(I175&lt;$C$174,MAX(0,12*$C$175*(1+$C$176)^I175-K175),0)</f>
      </c>
      <c r="K175">
        <f>SUMPRODUCT(('Inputs'!$G$76:$G$81=$C$170)*($C$170&lt;&gt;"")*'Inputs'!$D$76:$D$81*(1+'Inputs'!$E$76:$E$81/100)^I175*(ABS('Inputs'!$F$76:$F$81-12*I175)-ABS(('Inputs'!$F$76:$F$81-12*I175)-12)+12)/2)+SUMPRODUCT(('Inputs'!$C$114:$C$121=$C$170)*($C$170&lt;&gt;"")*'Inputs'!$D$114:$D$121*(1+'Inputs'!$E$114:$E$121/100)^I175*(((ABS((('Inputs'!$G$114:$G$121&gt;0)*('Inputs'!$F$114:$F$121+'Inputs'!$G$114:$G$121)+('Inputs'!$G$114:$G$121=0)*12*$C$174)-12*I175)-ABS(((('Inputs'!$G$114:$G$121&gt;0)*('Inputs'!$F$114:$F$121+'Inputs'!$G$114:$G$121)+('Inputs'!$G$114:$G$121=0)*12*$C$174)-12*I175)-12)+12)/2-(ABS(('Inputs'!$F$114:$F$121-12*I175))-ABS((('Inputs'!$F$114:$F$121-12*I175))-12)+12)/2)+ABS((ABS((('Inputs'!$G$114:$G$121&gt;0)*('Inputs'!$F$114:$F$121+'Inputs'!$G$114:$G$121)+('Inputs'!$G$114:$G$121=0)*12*$C$174)-12*I175)-ABS(((('Inputs'!$G$114:$G$121&gt;0)*('Inputs'!$F$114:$F$121+'Inputs'!$G$114:$G$121)+('Inputs'!$G$114:$G$121=0)*12*$C$174)-12*I175)-12)+12)/2-(ABS(('Inputs'!$F$114:$F$121-12*I175))-ABS((('Inputs'!$F$114:$F$121-12*I175))-12)+12)/2))/2)</f>
      </c>
      <c r="L175">
        <f>IF(J175&gt;0,1,0)</f>
      </c>
      <c r="P175">
        <f>IF($C$177&lt;&gt;1,0,P174*(1+((1+$C$182)^(1/12)-1))^12-J174/12*(1+((1+$C$182)^(1/12)-1))*(((1+((1+$C$182)^(1/12)-1))^12-1)/((1+((1+$C$182)^(1/12)-1))-1)))</f>
      </c>
      <c r="Q175">
        <f>IF($C$177&lt;&gt;1,0,IFERROR((((1+($C$182+'Inputs'!$H$137/100))^(1/12)-1)-((1+$C$182)^(1/12)-1))*(P175*(((1+((1+$C$182)^(1/12)-1))^12-1)/((1+((1+$C$182)^(1/12)-1))-1))-J175/12/((1+((1+$C$182)^(1/12)-1))-1)*((1+((1+$C$182)^(1/12)-1))*(((1+((1+$C$182)^(1/12)-1))^12-1)/((1+((1+$C$182)^(1/12)-1))-1))-12)),0))</f>
      </c>
    </row>
    <row r="176" spans="2:17" x14ac:dyDescent="0.25">
      <c r="B176" t="s">
        <v>461</v>
      </c>
      <c r="C176">
        <f>IF('Inputs'!$G$103="",'Inputs'!$H$143/100,'Inputs'!$G$103/100)</f>
      </c>
      <c r="I176">
        <v>4</v>
      </c>
      <c r="J176">
        <f>IF(I176&lt;$C$174,MAX(0,12*$C$175*(1+$C$176)^I176-K176),0)</f>
      </c>
      <c r="K176">
        <f>SUMPRODUCT(('Inputs'!$G$76:$G$81=$C$170)*($C$170&lt;&gt;"")*'Inputs'!$D$76:$D$81*(1+'Inputs'!$E$76:$E$81/100)^I176*(ABS('Inputs'!$F$76:$F$81-12*I176)-ABS(('Inputs'!$F$76:$F$81-12*I176)-12)+12)/2)+SUMPRODUCT(('Inputs'!$C$114:$C$121=$C$170)*($C$170&lt;&gt;"")*'Inputs'!$D$114:$D$121*(1+'Inputs'!$E$114:$E$121/100)^I176*(((ABS((('Inputs'!$G$114:$G$121&gt;0)*('Inputs'!$F$114:$F$121+'Inputs'!$G$114:$G$121)+('Inputs'!$G$114:$G$121=0)*12*$C$174)-12*I176)-ABS(((('Inputs'!$G$114:$G$121&gt;0)*('Inputs'!$F$114:$F$121+'Inputs'!$G$114:$G$121)+('Inputs'!$G$114:$G$121=0)*12*$C$174)-12*I176)-12)+12)/2-(ABS(('Inputs'!$F$114:$F$121-12*I176))-ABS((('Inputs'!$F$114:$F$121-12*I176))-12)+12)/2)+ABS((ABS((('Inputs'!$G$114:$G$121&gt;0)*('Inputs'!$F$114:$F$121+'Inputs'!$G$114:$G$121)+('Inputs'!$G$114:$G$121=0)*12*$C$174)-12*I176)-ABS(((('Inputs'!$G$114:$G$121&gt;0)*('Inputs'!$F$114:$F$121+'Inputs'!$G$114:$G$121)+('Inputs'!$G$114:$G$121=0)*12*$C$174)-12*I176)-12)+12)/2-(ABS(('Inputs'!$F$114:$F$121-12*I176))-ABS((('Inputs'!$F$114:$F$121-12*I176))-12)+12)/2))/2)</f>
      </c>
      <c r="L176">
        <f>IF(J176&gt;0,1,0)</f>
      </c>
      <c r="P176">
        <f>IF($C$177&lt;&gt;1,0,P175*(1+((1+$C$182)^(1/12)-1))^12-J175/12*(1+((1+$C$182)^(1/12)-1))*(((1+((1+$C$182)^(1/12)-1))^12-1)/((1+((1+$C$182)^(1/12)-1))-1)))</f>
      </c>
      <c r="Q176">
        <f>IF($C$177&lt;&gt;1,0,IFERROR((((1+($C$182+'Inputs'!$H$137/100))^(1/12)-1)-((1+$C$182)^(1/12)-1))*(P176*(((1+((1+$C$182)^(1/12)-1))^12-1)/((1+((1+$C$182)^(1/12)-1))-1))-J176/12/((1+((1+$C$182)^(1/12)-1))-1)*((1+((1+$C$182)^(1/12)-1))*(((1+((1+$C$182)^(1/12)-1))^12-1)/((1+((1+$C$182)^(1/12)-1))-1))-12)),0))</f>
      </c>
    </row>
    <row r="177" spans="2:17" x14ac:dyDescent="0.25">
      <c r="B177" t="s">
        <v>462</v>
      </c>
      <c r="C177">
        <f>IF('Inputs'!$H$103="Yes",1,0)</f>
      </c>
      <c r="I177">
        <v>5</v>
      </c>
      <c r="J177">
        <f>IF(I177&lt;$C$174,MAX(0,12*$C$175*(1+$C$176)^I177-K177),0)</f>
      </c>
      <c r="K177">
        <f>SUMPRODUCT(('Inputs'!$G$76:$G$81=$C$170)*($C$170&lt;&gt;"")*'Inputs'!$D$76:$D$81*(1+'Inputs'!$E$76:$E$81/100)^I177*(ABS('Inputs'!$F$76:$F$81-12*I177)-ABS(('Inputs'!$F$76:$F$81-12*I177)-12)+12)/2)+SUMPRODUCT(('Inputs'!$C$114:$C$121=$C$170)*($C$170&lt;&gt;"")*'Inputs'!$D$114:$D$121*(1+'Inputs'!$E$114:$E$121/100)^I177*(((ABS((('Inputs'!$G$114:$G$121&gt;0)*('Inputs'!$F$114:$F$121+'Inputs'!$G$114:$G$121)+('Inputs'!$G$114:$G$121=0)*12*$C$174)-12*I177)-ABS(((('Inputs'!$G$114:$G$121&gt;0)*('Inputs'!$F$114:$F$121+'Inputs'!$G$114:$G$121)+('Inputs'!$G$114:$G$121=0)*12*$C$174)-12*I177)-12)+12)/2-(ABS(('Inputs'!$F$114:$F$121-12*I177))-ABS((('Inputs'!$F$114:$F$121-12*I177))-12)+12)/2)+ABS((ABS((('Inputs'!$G$114:$G$121&gt;0)*('Inputs'!$F$114:$F$121+'Inputs'!$G$114:$G$121)+('Inputs'!$G$114:$G$121=0)*12*$C$174)-12*I177)-ABS(((('Inputs'!$G$114:$G$121&gt;0)*('Inputs'!$F$114:$F$121+'Inputs'!$G$114:$G$121)+('Inputs'!$G$114:$G$121=0)*12*$C$174)-12*I177)-12)+12)/2-(ABS(('Inputs'!$F$114:$F$121-12*I177))-ABS((('Inputs'!$F$114:$F$121-12*I177))-12)+12)/2))/2)</f>
      </c>
      <c r="L177">
        <f>IF(J177&gt;0,1,0)</f>
      </c>
      <c r="P177">
        <f>IF($C$177&lt;&gt;1,0,P176*(1+((1+$C$182)^(1/12)-1))^12-J176/12*(1+((1+$C$182)^(1/12)-1))*(((1+((1+$C$182)^(1/12)-1))^12-1)/((1+((1+$C$182)^(1/12)-1))-1)))</f>
      </c>
      <c r="Q177">
        <f>IF($C$177&lt;&gt;1,0,IFERROR((((1+($C$182+'Inputs'!$H$137/100))^(1/12)-1)-((1+$C$182)^(1/12)-1))*(P177*(((1+((1+$C$182)^(1/12)-1))^12-1)/((1+((1+$C$182)^(1/12)-1))-1))-J177/12/((1+((1+$C$182)^(1/12)-1))-1)*((1+((1+$C$182)^(1/12)-1))*(((1+((1+$C$182)^(1/12)-1))^12-1)/((1+((1+$C$182)^(1/12)-1))-1))-12)),0))</f>
      </c>
    </row>
    <row r="178" spans="2:17" x14ac:dyDescent="0.25">
      <c r="B178" t="s">
        <v>463</v>
      </c>
      <c r="C178">
        <f>IF($C$170="",0,N('Inputs'!$J$103))</f>
      </c>
      <c r="I178">
        <v>6</v>
      </c>
      <c r="J178">
        <f>IF(I178&lt;$C$174,MAX(0,12*$C$175*(1+$C$176)^I178-K178),0)</f>
      </c>
      <c r="K178">
        <f>SUMPRODUCT(('Inputs'!$G$76:$G$81=$C$170)*($C$170&lt;&gt;"")*'Inputs'!$D$76:$D$81*(1+'Inputs'!$E$76:$E$81/100)^I178*(ABS('Inputs'!$F$76:$F$81-12*I178)-ABS(('Inputs'!$F$76:$F$81-12*I178)-12)+12)/2)+SUMPRODUCT(('Inputs'!$C$114:$C$121=$C$170)*($C$170&lt;&gt;"")*'Inputs'!$D$114:$D$121*(1+'Inputs'!$E$114:$E$121/100)^I178*(((ABS((('Inputs'!$G$114:$G$121&gt;0)*('Inputs'!$F$114:$F$121+'Inputs'!$G$114:$G$121)+('Inputs'!$G$114:$G$121=0)*12*$C$174)-12*I178)-ABS(((('Inputs'!$G$114:$G$121&gt;0)*('Inputs'!$F$114:$F$121+'Inputs'!$G$114:$G$121)+('Inputs'!$G$114:$G$121=0)*12*$C$174)-12*I178)-12)+12)/2-(ABS(('Inputs'!$F$114:$F$121-12*I178))-ABS((('Inputs'!$F$114:$F$121-12*I178))-12)+12)/2)+ABS((ABS((('Inputs'!$G$114:$G$121&gt;0)*('Inputs'!$F$114:$F$121+'Inputs'!$G$114:$G$121)+('Inputs'!$G$114:$G$121=0)*12*$C$174)-12*I178)-ABS(((('Inputs'!$G$114:$G$121&gt;0)*('Inputs'!$F$114:$F$121+'Inputs'!$G$114:$G$121)+('Inputs'!$G$114:$G$121=0)*12*$C$174)-12*I178)-12)+12)/2-(ABS(('Inputs'!$F$114:$F$121-12*I178))-ABS((('Inputs'!$F$114:$F$121-12*I178))-12)+12)/2))/2)</f>
      </c>
      <c r="L178">
        <f>IF(J178&gt;0,1,0)</f>
      </c>
      <c r="P178">
        <f>IF($C$177&lt;&gt;1,0,P177*(1+((1+$C$182)^(1/12)-1))^12-J177/12*(1+((1+$C$182)^(1/12)-1))*(((1+((1+$C$182)^(1/12)-1))^12-1)/((1+((1+$C$182)^(1/12)-1))-1)))</f>
      </c>
      <c r="Q178">
        <f>IF($C$177&lt;&gt;1,0,IFERROR((((1+($C$182+'Inputs'!$H$137/100))^(1/12)-1)-((1+$C$182)^(1/12)-1))*(P178*(((1+((1+$C$182)^(1/12)-1))^12-1)/((1+((1+$C$182)^(1/12)-1))-1))-J178/12/((1+((1+$C$182)^(1/12)-1))-1)*((1+((1+$C$182)^(1/12)-1))*(((1+((1+$C$182)^(1/12)-1))^12-1)/((1+((1+$C$182)^(1/12)-1))-1))-12)),0))</f>
      </c>
    </row>
    <row r="179" spans="2:17" x14ac:dyDescent="0.25">
      <c r="B179" t="s">
        <v>464</v>
      </c>
      <c r="C179">
        <f>ROUND(Q172,2)</f>
      </c>
      <c r="I179">
        <v>7</v>
      </c>
      <c r="J179">
        <f>IF(I179&lt;$C$174,MAX(0,12*$C$175*(1+$C$176)^I179-K179),0)</f>
      </c>
      <c r="K179">
        <f>SUMPRODUCT(('Inputs'!$G$76:$G$81=$C$170)*($C$170&lt;&gt;"")*'Inputs'!$D$76:$D$81*(1+'Inputs'!$E$76:$E$81/100)^I179*(ABS('Inputs'!$F$76:$F$81-12*I179)-ABS(('Inputs'!$F$76:$F$81-12*I179)-12)+12)/2)+SUMPRODUCT(('Inputs'!$C$114:$C$121=$C$170)*($C$170&lt;&gt;"")*'Inputs'!$D$114:$D$121*(1+'Inputs'!$E$114:$E$121/100)^I179*(((ABS((('Inputs'!$G$114:$G$121&gt;0)*('Inputs'!$F$114:$F$121+'Inputs'!$G$114:$G$121)+('Inputs'!$G$114:$G$121=0)*12*$C$174)-12*I179)-ABS(((('Inputs'!$G$114:$G$121&gt;0)*('Inputs'!$F$114:$F$121+'Inputs'!$G$114:$G$121)+('Inputs'!$G$114:$G$121=0)*12*$C$174)-12*I179)-12)+12)/2-(ABS(('Inputs'!$F$114:$F$121-12*I179))-ABS((('Inputs'!$F$114:$F$121-12*I179))-12)+12)/2)+ABS((ABS((('Inputs'!$G$114:$G$121&gt;0)*('Inputs'!$F$114:$F$121+'Inputs'!$G$114:$G$121)+('Inputs'!$G$114:$G$121=0)*12*$C$174)-12*I179)-ABS(((('Inputs'!$G$114:$G$121&gt;0)*('Inputs'!$F$114:$F$121+'Inputs'!$G$114:$G$121)+('Inputs'!$G$114:$G$121=0)*12*$C$174)-12*I179)-12)+12)/2-(ABS(('Inputs'!$F$114:$F$121-12*I179))-ABS((('Inputs'!$F$114:$F$121-12*I179))-12)+12)/2))/2)</f>
      </c>
      <c r="L179">
        <f>IF(J179&gt;0,1,0)</f>
      </c>
      <c r="P179">
        <f>IF($C$177&lt;&gt;1,0,P178*(1+((1+$C$182)^(1/12)-1))^12-J178/12*(1+((1+$C$182)^(1/12)-1))*(((1+((1+$C$182)^(1/12)-1))^12-1)/((1+((1+$C$182)^(1/12)-1))-1)))</f>
      </c>
      <c r="Q179">
        <f>IF($C$177&lt;&gt;1,0,IFERROR((((1+($C$182+'Inputs'!$H$137/100))^(1/12)-1)-((1+$C$182)^(1/12)-1))*(P179*(((1+((1+$C$182)^(1/12)-1))^12-1)/((1+((1+$C$182)^(1/12)-1))-1))-J179/12/((1+((1+$C$182)^(1/12)-1))-1)*((1+((1+$C$182)^(1/12)-1))*(((1+((1+$C$182)^(1/12)-1))^12-1)/((1+((1+$C$182)^(1/12)-1))-1))-12)),0))</f>
      </c>
    </row>
    <row r="180" spans="2:17" x14ac:dyDescent="0.25">
      <c r="B180" t="s">
        <v>465</v>
      </c>
      <c r="C180">
        <f>ROUND(SUM($Q$172:$Q$221),2)</f>
      </c>
      <c r="I180">
        <v>8</v>
      </c>
      <c r="J180">
        <f>IF(I180&lt;$C$174,MAX(0,12*$C$175*(1+$C$176)^I180-K180),0)</f>
      </c>
      <c r="K180">
        <f>SUMPRODUCT(('Inputs'!$G$76:$G$81=$C$170)*($C$170&lt;&gt;"")*'Inputs'!$D$76:$D$81*(1+'Inputs'!$E$76:$E$81/100)^I180*(ABS('Inputs'!$F$76:$F$81-12*I180)-ABS(('Inputs'!$F$76:$F$81-12*I180)-12)+12)/2)+SUMPRODUCT(('Inputs'!$C$114:$C$121=$C$170)*($C$170&lt;&gt;"")*'Inputs'!$D$114:$D$121*(1+'Inputs'!$E$114:$E$121/100)^I180*(((ABS((('Inputs'!$G$114:$G$121&gt;0)*('Inputs'!$F$114:$F$121+'Inputs'!$G$114:$G$121)+('Inputs'!$G$114:$G$121=0)*12*$C$174)-12*I180)-ABS(((('Inputs'!$G$114:$G$121&gt;0)*('Inputs'!$F$114:$F$121+'Inputs'!$G$114:$G$121)+('Inputs'!$G$114:$G$121=0)*12*$C$174)-12*I180)-12)+12)/2-(ABS(('Inputs'!$F$114:$F$121-12*I180))-ABS((('Inputs'!$F$114:$F$121-12*I180))-12)+12)/2)+ABS((ABS((('Inputs'!$G$114:$G$121&gt;0)*('Inputs'!$F$114:$F$121+'Inputs'!$G$114:$G$121)+('Inputs'!$G$114:$G$121=0)*12*$C$174)-12*I180)-ABS(((('Inputs'!$G$114:$G$121&gt;0)*('Inputs'!$F$114:$F$121+'Inputs'!$G$114:$G$121)+('Inputs'!$G$114:$G$121=0)*12*$C$174)-12*I180)-12)+12)/2-(ABS(('Inputs'!$F$114:$F$121-12*I180))-ABS((('Inputs'!$F$114:$F$121-12*I180))-12)+12)/2))/2)</f>
      </c>
      <c r="L180">
        <f>IF(J180&gt;0,1,0)</f>
      </c>
      <c r="P180">
        <f>IF($C$177&lt;&gt;1,0,P179*(1+((1+$C$182)^(1/12)-1))^12-J179/12*(1+((1+$C$182)^(1/12)-1))*(((1+((1+$C$182)^(1/12)-1))^12-1)/((1+((1+$C$182)^(1/12)-1))-1)))</f>
      </c>
      <c r="Q180">
        <f>IF($C$177&lt;&gt;1,0,IFERROR((((1+($C$182+'Inputs'!$H$137/100))^(1/12)-1)-((1+$C$182)^(1/12)-1))*(P180*(((1+((1+$C$182)^(1/12)-1))^12-1)/((1+((1+$C$182)^(1/12)-1))-1))-J180/12/((1+((1+$C$182)^(1/12)-1))-1)*((1+((1+$C$182)^(1/12)-1))*(((1+((1+$C$182)^(1/12)-1))^12-1)/((1+((1+$C$182)^(1/12)-1))-1))-12)),0))</f>
      </c>
    </row>
    <row r="181" spans="2:17" x14ac:dyDescent="0.25">
      <c r="B181" t="s">
        <v>466</v>
      </c>
      <c r="C181">
        <f>IF($C$177&lt;&gt;1,0,ROUND(IF($C$182=0,SUM($J$172:$J$221),(1-(1+$C$182)^-1)/(1-(1+$C$182)^(-1/12))/12*SUMPRODUCT($J$172:$J$221,(1+$C$182)^(-$I$172:$I$221)))-IF(($C$182+'Inputs'!$H$137/100)=0,SUM($J$172:$J$221),(1-(1+($C$182+'Inputs'!$H$137/100))^-1)/(1-(1+($C$182+'Inputs'!$H$137/100))^(-1/12))/12*SUMPRODUCT($J$172:$J$221,(1+($C$182+'Inputs'!$H$137/100))^(-$I$172:$I$221))),2))</f>
      </c>
      <c r="I181">
        <v>9</v>
      </c>
      <c r="J181">
        <f>IF(I181&lt;$C$174,MAX(0,12*$C$175*(1+$C$176)^I181-K181),0)</f>
      </c>
      <c r="K181">
        <f>SUMPRODUCT(('Inputs'!$G$76:$G$81=$C$170)*($C$170&lt;&gt;"")*'Inputs'!$D$76:$D$81*(1+'Inputs'!$E$76:$E$81/100)^I181*(ABS('Inputs'!$F$76:$F$81-12*I181)-ABS(('Inputs'!$F$76:$F$81-12*I181)-12)+12)/2)+SUMPRODUCT(('Inputs'!$C$114:$C$121=$C$170)*($C$170&lt;&gt;"")*'Inputs'!$D$114:$D$121*(1+'Inputs'!$E$114:$E$121/100)^I181*(((ABS((('Inputs'!$G$114:$G$121&gt;0)*('Inputs'!$F$114:$F$121+'Inputs'!$G$114:$G$121)+('Inputs'!$G$114:$G$121=0)*12*$C$174)-12*I181)-ABS(((('Inputs'!$G$114:$G$121&gt;0)*('Inputs'!$F$114:$F$121+'Inputs'!$G$114:$G$121)+('Inputs'!$G$114:$G$121=0)*12*$C$174)-12*I181)-12)+12)/2-(ABS(('Inputs'!$F$114:$F$121-12*I181))-ABS((('Inputs'!$F$114:$F$121-12*I181))-12)+12)/2)+ABS((ABS((('Inputs'!$G$114:$G$121&gt;0)*('Inputs'!$F$114:$F$121+'Inputs'!$G$114:$G$121)+('Inputs'!$G$114:$G$121=0)*12*$C$174)-12*I181)-ABS(((('Inputs'!$G$114:$G$121&gt;0)*('Inputs'!$F$114:$F$121+'Inputs'!$G$114:$G$121)+('Inputs'!$G$114:$G$121=0)*12*$C$174)-12*I181)-12)+12)/2-(ABS(('Inputs'!$F$114:$F$121-12*I181))-ABS((('Inputs'!$F$114:$F$121-12*I181))-12)+12)/2))/2)</f>
      </c>
      <c r="L181">
        <f>IF(J181&gt;0,1,0)</f>
      </c>
      <c r="P181">
        <f>IF($C$177&lt;&gt;1,0,P180*(1+((1+$C$182)^(1/12)-1))^12-J180/12*(1+((1+$C$182)^(1/12)-1))*(((1+((1+$C$182)^(1/12)-1))^12-1)/((1+((1+$C$182)^(1/12)-1))-1)))</f>
      </c>
      <c r="Q181">
        <f>IF($C$177&lt;&gt;1,0,IFERROR((((1+($C$182+'Inputs'!$H$137/100))^(1/12)-1)-((1+$C$182)^(1/12)-1))*(P181*(((1+((1+$C$182)^(1/12)-1))^12-1)/((1+((1+$C$182)^(1/12)-1))-1))-J181/12/((1+((1+$C$182)^(1/12)-1))-1)*((1+((1+$C$182)^(1/12)-1))*(((1+((1+$C$182)^(1/12)-1))^12-1)/((1+((1+$C$182)^(1/12)-1))-1))-12)),0))</f>
      </c>
    </row>
    <row r="182" spans="2:17" x14ac:dyDescent="0.25">
      <c r="B182" t="s">
        <v>467</v>
      </c>
      <c r="C182">
        <f>IF($C$177=1,'Needs calc'!$C$79,0)</f>
      </c>
      <c r="I182">
        <v>10</v>
      </c>
      <c r="J182">
        <f>IF(I182&lt;$C$174,MAX(0,12*$C$175*(1+$C$176)^I182-K182),0)</f>
      </c>
      <c r="K182">
        <f>SUMPRODUCT(('Inputs'!$G$76:$G$81=$C$170)*($C$170&lt;&gt;"")*'Inputs'!$D$76:$D$81*(1+'Inputs'!$E$76:$E$81/100)^I182*(ABS('Inputs'!$F$76:$F$81-12*I182)-ABS(('Inputs'!$F$76:$F$81-12*I182)-12)+12)/2)+SUMPRODUCT(('Inputs'!$C$114:$C$121=$C$170)*($C$170&lt;&gt;"")*'Inputs'!$D$114:$D$121*(1+'Inputs'!$E$114:$E$121/100)^I182*(((ABS((('Inputs'!$G$114:$G$121&gt;0)*('Inputs'!$F$114:$F$121+'Inputs'!$G$114:$G$121)+('Inputs'!$G$114:$G$121=0)*12*$C$174)-12*I182)-ABS(((('Inputs'!$G$114:$G$121&gt;0)*('Inputs'!$F$114:$F$121+'Inputs'!$G$114:$G$121)+('Inputs'!$G$114:$G$121=0)*12*$C$174)-12*I182)-12)+12)/2-(ABS(('Inputs'!$F$114:$F$121-12*I182))-ABS((('Inputs'!$F$114:$F$121-12*I182))-12)+12)/2)+ABS((ABS((('Inputs'!$G$114:$G$121&gt;0)*('Inputs'!$F$114:$F$121+'Inputs'!$G$114:$G$121)+('Inputs'!$G$114:$G$121=0)*12*$C$174)-12*I182)-ABS(((('Inputs'!$G$114:$G$121&gt;0)*('Inputs'!$F$114:$F$121+'Inputs'!$G$114:$G$121)+('Inputs'!$G$114:$G$121=0)*12*$C$174)-12*I182)-12)+12)/2-(ABS(('Inputs'!$F$114:$F$121-12*I182))-ABS((('Inputs'!$F$114:$F$121-12*I182))-12)+12)/2))/2)</f>
      </c>
      <c r="L182">
        <f>IF(J182&gt;0,1,0)</f>
      </c>
      <c r="P182">
        <f>IF($C$177&lt;&gt;1,0,P181*(1+((1+$C$182)^(1/12)-1))^12-J181/12*(1+((1+$C$182)^(1/12)-1))*(((1+((1+$C$182)^(1/12)-1))^12-1)/((1+((1+$C$182)^(1/12)-1))-1)))</f>
      </c>
      <c r="Q182">
        <f>IF($C$177&lt;&gt;1,0,IFERROR((((1+($C$182+'Inputs'!$H$137/100))^(1/12)-1)-((1+$C$182)^(1/12)-1))*(P182*(((1+((1+$C$182)^(1/12)-1))^12-1)/((1+((1+$C$182)^(1/12)-1))-1))-J182/12/((1+((1+$C$182)^(1/12)-1))-1)*((1+((1+$C$182)^(1/12)-1))*(((1+((1+$C$182)^(1/12)-1))^12-1)/((1+((1+$C$182)^(1/12)-1))-1))-12)),0))</f>
      </c>
    </row>
    <row r="183" spans="2:17" x14ac:dyDescent="0.25">
      <c r="B183" t="s">
        <v>468</v>
      </c>
      <c r="C183">
        <f>SUMPRODUCT(('Inputs'!$G$76:$G$81=$C$170)*($C$170&lt;&gt;"")*('Inputs'!$F$76:$F$81&gt;0)*'Inputs'!$D$76:$D$81)</f>
      </c>
      <c r="I183">
        <v>11</v>
      </c>
      <c r="J183">
        <f>IF(I183&lt;$C$174,MAX(0,12*$C$175*(1+$C$176)^I183-K183),0)</f>
      </c>
      <c r="K183">
        <f>SUMPRODUCT(('Inputs'!$G$76:$G$81=$C$170)*($C$170&lt;&gt;"")*'Inputs'!$D$76:$D$81*(1+'Inputs'!$E$76:$E$81/100)^I183*(ABS('Inputs'!$F$76:$F$81-12*I183)-ABS(('Inputs'!$F$76:$F$81-12*I183)-12)+12)/2)+SUMPRODUCT(('Inputs'!$C$114:$C$121=$C$170)*($C$170&lt;&gt;"")*'Inputs'!$D$114:$D$121*(1+'Inputs'!$E$114:$E$121/100)^I183*(((ABS((('Inputs'!$G$114:$G$121&gt;0)*('Inputs'!$F$114:$F$121+'Inputs'!$G$114:$G$121)+('Inputs'!$G$114:$G$121=0)*12*$C$174)-12*I183)-ABS(((('Inputs'!$G$114:$G$121&gt;0)*('Inputs'!$F$114:$F$121+'Inputs'!$G$114:$G$121)+('Inputs'!$G$114:$G$121=0)*12*$C$174)-12*I183)-12)+12)/2-(ABS(('Inputs'!$F$114:$F$121-12*I183))-ABS((('Inputs'!$F$114:$F$121-12*I183))-12)+12)/2)+ABS((ABS((('Inputs'!$G$114:$G$121&gt;0)*('Inputs'!$F$114:$F$121+'Inputs'!$G$114:$G$121)+('Inputs'!$G$114:$G$121=0)*12*$C$174)-12*I183)-ABS(((('Inputs'!$G$114:$G$121&gt;0)*('Inputs'!$F$114:$F$121+'Inputs'!$G$114:$G$121)+('Inputs'!$G$114:$G$121=0)*12*$C$174)-12*I183)-12)+12)/2-(ABS(('Inputs'!$F$114:$F$121-12*I183))-ABS((('Inputs'!$F$114:$F$121-12*I183))-12)+12)/2))/2)</f>
      </c>
      <c r="L183">
        <f>IF(J183&gt;0,1,0)</f>
      </c>
      <c r="P183">
        <f>IF($C$177&lt;&gt;1,0,P182*(1+((1+$C$182)^(1/12)-1))^12-J182/12*(1+((1+$C$182)^(1/12)-1))*(((1+((1+$C$182)^(1/12)-1))^12-1)/((1+((1+$C$182)^(1/12)-1))-1)))</f>
      </c>
      <c r="Q183">
        <f>IF($C$177&lt;&gt;1,0,IFERROR((((1+($C$182+'Inputs'!$H$137/100))^(1/12)-1)-((1+$C$182)^(1/12)-1))*(P183*(((1+((1+$C$182)^(1/12)-1))^12-1)/((1+((1+$C$182)^(1/12)-1))-1))-J183/12/((1+((1+$C$182)^(1/12)-1))-1)*((1+((1+$C$182)^(1/12)-1))*(((1+((1+$C$182)^(1/12)-1))^12-1)/((1+((1+$C$182)^(1/12)-1))-1))-12)),0))</f>
      </c>
    </row>
    <row r="184" spans="2:17" x14ac:dyDescent="0.25">
      <c r="B184" t="s">
        <v>469</v>
      </c>
      <c r="C184">
        <f>IF($C$174&gt;0,$C$175-J172/12,0)</f>
      </c>
      <c r="I184">
        <v>12</v>
      </c>
      <c r="J184">
        <f>IF(I184&lt;$C$174,MAX(0,12*$C$175*(1+$C$176)^I184-K184),0)</f>
      </c>
      <c r="K184">
        <f>SUMPRODUCT(('Inputs'!$G$76:$G$81=$C$170)*($C$170&lt;&gt;"")*'Inputs'!$D$76:$D$81*(1+'Inputs'!$E$76:$E$81/100)^I184*(ABS('Inputs'!$F$76:$F$81-12*I184)-ABS(('Inputs'!$F$76:$F$81-12*I184)-12)+12)/2)+SUMPRODUCT(('Inputs'!$C$114:$C$121=$C$170)*($C$170&lt;&gt;"")*'Inputs'!$D$114:$D$121*(1+'Inputs'!$E$114:$E$121/100)^I184*(((ABS((('Inputs'!$G$114:$G$121&gt;0)*('Inputs'!$F$114:$F$121+'Inputs'!$G$114:$G$121)+('Inputs'!$G$114:$G$121=0)*12*$C$174)-12*I184)-ABS(((('Inputs'!$G$114:$G$121&gt;0)*('Inputs'!$F$114:$F$121+'Inputs'!$G$114:$G$121)+('Inputs'!$G$114:$G$121=0)*12*$C$174)-12*I184)-12)+12)/2-(ABS(('Inputs'!$F$114:$F$121-12*I184))-ABS((('Inputs'!$F$114:$F$121-12*I184))-12)+12)/2)+ABS((ABS((('Inputs'!$G$114:$G$121&gt;0)*('Inputs'!$F$114:$F$121+'Inputs'!$G$114:$G$121)+('Inputs'!$G$114:$G$121=0)*12*$C$174)-12*I184)-ABS(((('Inputs'!$G$114:$G$121&gt;0)*('Inputs'!$F$114:$F$121+'Inputs'!$G$114:$G$121)+('Inputs'!$G$114:$G$121=0)*12*$C$174)-12*I184)-12)+12)/2-(ABS(('Inputs'!$F$114:$F$121-12*I184))-ABS((('Inputs'!$F$114:$F$121-12*I184))-12)+12)/2))/2)</f>
      </c>
      <c r="L184">
        <f>IF(J184&gt;0,1,0)</f>
      </c>
      <c r="P184">
        <f>IF($C$177&lt;&gt;1,0,P183*(1+((1+$C$182)^(1/12)-1))^12-J183/12*(1+((1+$C$182)^(1/12)-1))*(((1+((1+$C$182)^(1/12)-1))^12-1)/((1+((1+$C$182)^(1/12)-1))-1)))</f>
      </c>
      <c r="Q184">
        <f>IF($C$177&lt;&gt;1,0,IFERROR((((1+($C$182+'Inputs'!$H$137/100))^(1/12)-1)-((1+$C$182)^(1/12)-1))*(P184*(((1+((1+$C$182)^(1/12)-1))^12-1)/((1+((1+$C$182)^(1/12)-1))-1))-J184/12/((1+((1+$C$182)^(1/12)-1))-1)*((1+((1+$C$182)^(1/12)-1))*(((1+((1+$C$182)^(1/12)-1))^12-1)/((1+((1+$C$182)^(1/12)-1))-1))-12)),0))</f>
      </c>
    </row>
    <row r="185" spans="2:17" x14ac:dyDescent="0.25">
      <c r="B185" t="s">
        <v>470</v>
      </c>
      <c r="C185">
        <f>SUMPRODUCT(MAX(('Inputs'!$G$76:$G$81=$C$170)*($C$170&lt;&gt;"")*'Inputs'!$F$76:$F$81))</f>
      </c>
      <c r="I185">
        <v>13</v>
      </c>
      <c r="J185">
        <f>IF(I185&lt;$C$174,MAX(0,12*$C$175*(1+$C$176)^I185-K185),0)</f>
      </c>
      <c r="K185">
        <f>SUMPRODUCT(('Inputs'!$G$76:$G$81=$C$170)*($C$170&lt;&gt;"")*'Inputs'!$D$76:$D$81*(1+'Inputs'!$E$76:$E$81/100)^I185*(ABS('Inputs'!$F$76:$F$81-12*I185)-ABS(('Inputs'!$F$76:$F$81-12*I185)-12)+12)/2)+SUMPRODUCT(('Inputs'!$C$114:$C$121=$C$170)*($C$170&lt;&gt;"")*'Inputs'!$D$114:$D$121*(1+'Inputs'!$E$114:$E$121/100)^I185*(((ABS((('Inputs'!$G$114:$G$121&gt;0)*('Inputs'!$F$114:$F$121+'Inputs'!$G$114:$G$121)+('Inputs'!$G$114:$G$121=0)*12*$C$174)-12*I185)-ABS(((('Inputs'!$G$114:$G$121&gt;0)*('Inputs'!$F$114:$F$121+'Inputs'!$G$114:$G$121)+('Inputs'!$G$114:$G$121=0)*12*$C$174)-12*I185)-12)+12)/2-(ABS(('Inputs'!$F$114:$F$121-12*I185))-ABS((('Inputs'!$F$114:$F$121-12*I185))-12)+12)/2)+ABS((ABS((('Inputs'!$G$114:$G$121&gt;0)*('Inputs'!$F$114:$F$121+'Inputs'!$G$114:$G$121)+('Inputs'!$G$114:$G$121=0)*12*$C$174)-12*I185)-ABS(((('Inputs'!$G$114:$G$121&gt;0)*('Inputs'!$F$114:$F$121+'Inputs'!$G$114:$G$121)+('Inputs'!$G$114:$G$121=0)*12*$C$174)-12*I185)-12)+12)/2-(ABS(('Inputs'!$F$114:$F$121-12*I185))-ABS((('Inputs'!$F$114:$F$121-12*I185))-12)+12)/2))/2)</f>
      </c>
      <c r="L185">
        <f>IF(J185&gt;0,1,0)</f>
      </c>
      <c r="P185">
        <f>IF($C$177&lt;&gt;1,0,P184*(1+((1+$C$182)^(1/12)-1))^12-J184/12*(1+((1+$C$182)^(1/12)-1))*(((1+((1+$C$182)^(1/12)-1))^12-1)/((1+((1+$C$182)^(1/12)-1))-1)))</f>
      </c>
      <c r="Q185">
        <f>IF($C$177&lt;&gt;1,0,IFERROR((((1+($C$182+'Inputs'!$H$137/100))^(1/12)-1)-((1+$C$182)^(1/12)-1))*(P185*(((1+((1+$C$182)^(1/12)-1))^12-1)/((1+((1+$C$182)^(1/12)-1))-1))-J185/12/((1+((1+$C$182)^(1/12)-1))-1)*((1+((1+$C$182)^(1/12)-1))*(((1+((1+$C$182)^(1/12)-1))^12-1)/((1+((1+$C$182)^(1/12)-1))-1))-12)),0))</f>
      </c>
    </row>
    <row r="186" spans="2:17" x14ac:dyDescent="0.25">
      <c r="B186" t="s">
        <v>471</v>
      </c>
      <c r="C186">
        <f>SUM($J$172:$J$221)</f>
      </c>
      <c r="I186">
        <v>14</v>
      </c>
      <c r="J186">
        <f>IF(I186&lt;$C$174,MAX(0,12*$C$175*(1+$C$176)^I186-K186),0)</f>
      </c>
      <c r="K186">
        <f>SUMPRODUCT(('Inputs'!$G$76:$G$81=$C$170)*($C$170&lt;&gt;"")*'Inputs'!$D$76:$D$81*(1+'Inputs'!$E$76:$E$81/100)^I186*(ABS('Inputs'!$F$76:$F$81-12*I186)-ABS(('Inputs'!$F$76:$F$81-12*I186)-12)+12)/2)+SUMPRODUCT(('Inputs'!$C$114:$C$121=$C$170)*($C$170&lt;&gt;"")*'Inputs'!$D$114:$D$121*(1+'Inputs'!$E$114:$E$121/100)^I186*(((ABS((('Inputs'!$G$114:$G$121&gt;0)*('Inputs'!$F$114:$F$121+'Inputs'!$G$114:$G$121)+('Inputs'!$G$114:$G$121=0)*12*$C$174)-12*I186)-ABS(((('Inputs'!$G$114:$G$121&gt;0)*('Inputs'!$F$114:$F$121+'Inputs'!$G$114:$G$121)+('Inputs'!$G$114:$G$121=0)*12*$C$174)-12*I186)-12)+12)/2-(ABS(('Inputs'!$F$114:$F$121-12*I186))-ABS((('Inputs'!$F$114:$F$121-12*I186))-12)+12)/2)+ABS((ABS((('Inputs'!$G$114:$G$121&gt;0)*('Inputs'!$F$114:$F$121+'Inputs'!$G$114:$G$121)+('Inputs'!$G$114:$G$121=0)*12*$C$174)-12*I186)-ABS(((('Inputs'!$G$114:$G$121&gt;0)*('Inputs'!$F$114:$F$121+'Inputs'!$G$114:$G$121)+('Inputs'!$G$114:$G$121=0)*12*$C$174)-12*I186)-12)+12)/2-(ABS(('Inputs'!$F$114:$F$121-12*I186))-ABS((('Inputs'!$F$114:$F$121-12*I186))-12)+12)/2))/2)</f>
      </c>
      <c r="L186">
        <f>IF(J186&gt;0,1,0)</f>
      </c>
      <c r="P186">
        <f>IF($C$177&lt;&gt;1,0,P185*(1+((1+$C$182)^(1/12)-1))^12-J185/12*(1+((1+$C$182)^(1/12)-1))*(((1+((1+$C$182)^(1/12)-1))^12-1)/((1+((1+$C$182)^(1/12)-1))-1)))</f>
      </c>
      <c r="Q186">
        <f>IF($C$177&lt;&gt;1,0,IFERROR((((1+($C$182+'Inputs'!$H$137/100))^(1/12)-1)-((1+$C$182)^(1/12)-1))*(P186*(((1+((1+$C$182)^(1/12)-1))^12-1)/((1+((1+$C$182)^(1/12)-1))-1))-J186/12/((1+((1+$C$182)^(1/12)-1))-1)*((1+((1+$C$182)^(1/12)-1))*(((1+((1+$C$182)^(1/12)-1))^12-1)/((1+((1+$C$182)^(1/12)-1))-1))-12)),0))</f>
      </c>
    </row>
    <row r="187" spans="2:17" x14ac:dyDescent="0.25">
      <c r="B187" t="s">
        <v>472</v>
      </c>
      <c r="C187">
        <f>IF('Needs calc'!$C$81&gt;0,IF('Inputs'!$O$103*SUM('Inputs'!$U$100:$U$105)&gt;0,IF('Needs calc'!$C$76&gt;='Needs calc'!$C$84,'Inputs'!$B$103&amp;IF(SUM('Inputs'!$U$100:$U$105)=1," and "&amp;IF('Inputs'!$U$100=1,'Inputs'!$B$100,"")&amp;IF('Inputs'!$U$101=1,'Inputs'!$B$101,"")&amp;IF('Inputs'!$U$102=1,'Inputs'!$B$102,"")&amp;IF('Inputs'!$U$103=1,'Inputs'!$B$103,"")&amp;IF('Inputs'!$U$104=1,'Inputs'!$B$104,"")&amp;IF('Inputs'!$U$105=1,'Inputs'!$B$105,"")," and the children")&amp;" would have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you want for them"&amp;IF(('Needs calc'!$C$84-(IF(AND('Inputs'!$C$108="The spouse, from what they receive",SUM('Inputs'!$O$100:$O$105)&gt;0,OR(LEFT('Inputs'!$C$13,7)="Married",'Inputs'!$C$13="Life partner",'Inputs'!$C$13="Civil Union")),1,0)*MAX(0,'Needs calc'!$C$27)))&gt;0,", after the R "&amp;FIXED(ROUND(('Needs calc'!$C$84-(IF(AND('Inputs'!$C$108="The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"&amp;'Inputs'!$B$103&amp;" pays the R "&amp;FIXED(ROUND((IF(AND('Inputs'!$C$108="The spouse, from what they receive",SUM('Inputs'!$O$100:$O$105)&gt;0,OR(LEFT('Inputs'!$C$13,7)="Married",'Inputs'!$C$13="Life partner",'Inputs'!$C$13="Civil Union")),1,0)*MAX(0,'Needs calc'!$C$27)),-3),0)&amp;" your estate needs","")&amp;". ",'Inputs'!$B$103&amp;IF(SUM('Inputs'!$U$100:$U$105)=1," and "&amp;IF('Inputs'!$U$100=1,'Inputs'!$B$100,"")&amp;IF('Inputs'!$U$101=1,'Inputs'!$B$101,"")&amp;IF('Inputs'!$U$102=1,'Inputs'!$B$102,"")&amp;IF('Inputs'!$U$103=1,'Inputs'!$B$103,"")&amp;IF('Inputs'!$U$104=1,'Inputs'!$B$104,"")&amp;IF('Inputs'!$U$105=1,'Inputs'!$B$105,"")," and the children")&amp;" would have "&amp;IF('Needs calc'!$C$76&lt;=0,"nothing","about R "&amp;FIXED(ROUND('Needs calc'!$C$76,-3),0))&amp;" of the R "&amp;FIXED(ROUND('Needs calc'!$C$84,-3),0)&amp;"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"),IF(N('Inputs'!$E$103)&gt;0,IF('Needs years'!$C$183+'Needs years'!$C$190&lt;=0,IF('Needs years'!$C$178&lt;=0,'Inputs'!$B$103&amp;" would have about R "&amp;FIXED(ROUND('Needs calc'!$C$82,-2),0)&amp;" a month of the R "&amp;FIXED(ROUND('Inputs'!$E$103,-2),0)&amp;" you want. ",IF('Needs calc'!$C$76&gt;='Needs years'!$C$178,'Inputs'!$B$103&amp;" would have about R "&amp;FIXED(ROUND('Needs calc'!$C$82,-2),0)&amp;" a month of the R "&amp;FIXED(ROUND('Inputs'!$E$103,-2),0)&amp;" you want,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")),IF('Needs years'!$C$186&lt;=0,IF('Needs years'!$C$178&gt;0,'Inputs'!$B$103&amp;"'s "&amp;'Needs years'!$C$192&amp;" covers the R "&amp;FIXED(ROUND('Inputs'!$E$103,-2),0)&amp;" a month you want"&amp;", but "&amp;'Inputs'!$B$103&amp;" would have "&amp;IF('Needs calc'!$C$76&lt;=0,"nothing","about R "&amp;FIXED(ROUND('Needs calc'!$C$76,-3),0))&amp;" of the R "&amp;FIXED(ROUND('Needs years'!$C$178,-3),0)&amp;" once-off you want for them. ",IF('Needs years'!$C$189&gt;0,'Inputs'!$B$103&amp;"'s "&amp;'Needs years'!$C$192&amp;" covers the R "&amp;FIXED(ROUND('Inputs'!$E$103,-2),0)&amp;" a month you want"&amp;", but the estate duty on it, about R "&amp;FIXED(ROUND('Needs years'!$C$189,-3),0)&amp;", leaves "&amp;'Inputs'!$B$103&amp;" short. ",'Inputs'!$B$103&amp;"'s "&amp;'Needs years'!$C$192&amp;" covers the R "&amp;FIXED(ROUND('Inputs'!$E$103,-2),0)&amp;" a month you want"&amp;", but "&amp;'Inputs'!$B$103&amp;" is still short of what you want for them. ")),IF('Needs years'!$J$172&lt;=0,'Inputs'!$B$103&amp;"'s "&amp;'Needs years'!$C$192&amp;" covers the R "&amp;FIXED(ROUND('Inputs'!$E$103,-2),0)&amp;" a month you want"&amp;" for "&amp;IF('Needs years'!$C$188=1,"the first year","the first "&amp;'Needs years'!$C$188&amp;" years")&amp;"; after that "&amp;'Inputs'!$B$103&amp;" would be short"&amp;IF(AND('Needs years'!$C$178&gt;0,'Needs calc'!$C$76&lt;'Needs years'!$C$178),", and would have "&amp;IF('Needs calc'!$C$76&lt;=0,"nothing","about R "&amp;FIXED(ROUND('Needs calc'!$C$76,-3),0))&amp;" of the R "&amp;FIXED(ROUND('Needs years'!$C$178,-3),0)&amp;" once-off","")&amp;". ",IF('Needs years'!$C$178&lt;=0,'Inputs'!$B$103&amp;" would have about R "&amp;FIXED(ROUND('Needs calc'!$C$82,-2),0)&amp;" a month of the R "&amp;FIXED(ROUND('Inputs'!$E$103,-2),0)&amp;" you want, part of it from the "&amp;'Needs years'!$C$192&amp;", and less once it stops. ",IF('Needs calc'!$C$76&gt;='Needs years'!$C$178,'Inputs'!$B$103&amp;" would have about R "&amp;FIXED(ROUND('Needs calc'!$C$82,-2),0)&amp;" a month of the R "&amp;FIXED(ROUND('Inputs'!$E$103,-2),0)&amp;" you want, part of it from the "&amp;'Needs years'!$C$192&amp;", and less once it stops,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part of it from the "&amp;'Needs years'!$C$192&amp;", and less once it stops. "))))),'Inputs'!$B$103&amp;" would have "&amp;IF('Needs calc'!$C$76&lt;=0,"nothing","about R "&amp;FIXED(ROUND('Needs calc'!$C$76,-3),0))&amp;" of the R "&amp;FIXED(ROUND('Needs years'!$C$178,-3),0)&amp;" you want to leave them. ")),"")</f>
      </c>
      <c r="I187">
        <v>15</v>
      </c>
      <c r="J187">
        <f>IF(I187&lt;$C$174,MAX(0,12*$C$175*(1+$C$176)^I187-K187),0)</f>
      </c>
      <c r="K187">
        <f>SUMPRODUCT(('Inputs'!$G$76:$G$81=$C$170)*($C$170&lt;&gt;"")*'Inputs'!$D$76:$D$81*(1+'Inputs'!$E$76:$E$81/100)^I187*(ABS('Inputs'!$F$76:$F$81-12*I187)-ABS(('Inputs'!$F$76:$F$81-12*I187)-12)+12)/2)+SUMPRODUCT(('Inputs'!$C$114:$C$121=$C$170)*($C$170&lt;&gt;"")*'Inputs'!$D$114:$D$121*(1+'Inputs'!$E$114:$E$121/100)^I187*(((ABS((('Inputs'!$G$114:$G$121&gt;0)*('Inputs'!$F$114:$F$121+'Inputs'!$G$114:$G$121)+('Inputs'!$G$114:$G$121=0)*12*$C$174)-12*I187)-ABS(((('Inputs'!$G$114:$G$121&gt;0)*('Inputs'!$F$114:$F$121+'Inputs'!$G$114:$G$121)+('Inputs'!$G$114:$G$121=0)*12*$C$174)-12*I187)-12)+12)/2-(ABS(('Inputs'!$F$114:$F$121-12*I187))-ABS((('Inputs'!$F$114:$F$121-12*I187))-12)+12)/2)+ABS((ABS((('Inputs'!$G$114:$G$121&gt;0)*('Inputs'!$F$114:$F$121+'Inputs'!$G$114:$G$121)+('Inputs'!$G$114:$G$121=0)*12*$C$174)-12*I187)-ABS(((('Inputs'!$G$114:$G$121&gt;0)*('Inputs'!$F$114:$F$121+'Inputs'!$G$114:$G$121)+('Inputs'!$G$114:$G$121=0)*12*$C$174)-12*I187)-12)+12)/2-(ABS(('Inputs'!$F$114:$F$121-12*I187))-ABS((('Inputs'!$F$114:$F$121-12*I187))-12)+12)/2))/2)</f>
      </c>
      <c r="L187">
        <f>IF(J187&gt;0,1,0)</f>
      </c>
      <c r="P187">
        <f>IF($C$177&lt;&gt;1,0,P186*(1+((1+$C$182)^(1/12)-1))^12-J186/12*(1+((1+$C$182)^(1/12)-1))*(((1+((1+$C$182)^(1/12)-1))^12-1)/((1+((1+$C$182)^(1/12)-1))-1)))</f>
      </c>
      <c r="Q187">
        <f>IF($C$177&lt;&gt;1,0,IFERROR((((1+($C$182+'Inputs'!$H$137/100))^(1/12)-1)-((1+$C$182)^(1/12)-1))*(P187*(((1+((1+$C$182)^(1/12)-1))^12-1)/((1+((1+$C$182)^(1/12)-1))-1))-J187/12/((1+((1+$C$182)^(1/12)-1))-1)*((1+((1+$C$182)^(1/12)-1))*(((1+((1+$C$182)^(1/12)-1))^12-1)/((1+((1+$C$182)^(1/12)-1))-1))-12)),0))</f>
      </c>
    </row>
    <row r="188" spans="2:17" x14ac:dyDescent="0.25">
      <c r="B188" t="s">
        <v>473</v>
      </c>
      <c r="C188">
        <f>IFERROR(MATCH(1,$L$172:$L$221,0)-1,$C$174)</f>
      </c>
      <c r="I188">
        <v>16</v>
      </c>
      <c r="J188">
        <f>IF(I188&lt;$C$174,MAX(0,12*$C$175*(1+$C$176)^I188-K188),0)</f>
      </c>
      <c r="K188">
        <f>SUMPRODUCT(('Inputs'!$G$76:$G$81=$C$170)*($C$170&lt;&gt;"")*'Inputs'!$D$76:$D$81*(1+'Inputs'!$E$76:$E$81/100)^I188*(ABS('Inputs'!$F$76:$F$81-12*I188)-ABS(('Inputs'!$F$76:$F$81-12*I188)-12)+12)/2)+SUMPRODUCT(('Inputs'!$C$114:$C$121=$C$170)*($C$170&lt;&gt;"")*'Inputs'!$D$114:$D$121*(1+'Inputs'!$E$114:$E$121/100)^I188*(((ABS((('Inputs'!$G$114:$G$121&gt;0)*('Inputs'!$F$114:$F$121+'Inputs'!$G$114:$G$121)+('Inputs'!$G$114:$G$121=0)*12*$C$174)-12*I188)-ABS(((('Inputs'!$G$114:$G$121&gt;0)*('Inputs'!$F$114:$F$121+'Inputs'!$G$114:$G$121)+('Inputs'!$G$114:$G$121=0)*12*$C$174)-12*I188)-12)+12)/2-(ABS(('Inputs'!$F$114:$F$121-12*I188))-ABS((('Inputs'!$F$114:$F$121-12*I188))-12)+12)/2)+ABS((ABS((('Inputs'!$G$114:$G$121&gt;0)*('Inputs'!$F$114:$F$121+'Inputs'!$G$114:$G$121)+('Inputs'!$G$114:$G$121=0)*12*$C$174)-12*I188)-ABS(((('Inputs'!$G$114:$G$121&gt;0)*('Inputs'!$F$114:$F$121+'Inputs'!$G$114:$G$121)+('Inputs'!$G$114:$G$121=0)*12*$C$174)-12*I188)-12)+12)/2-(ABS(('Inputs'!$F$114:$F$121-12*I188))-ABS((('Inputs'!$F$114:$F$121-12*I188))-12)+12)/2))/2)</f>
      </c>
      <c r="L188">
        <f>IF(J188&gt;0,1,0)</f>
      </c>
      <c r="P188">
        <f>IF($C$177&lt;&gt;1,0,P187*(1+((1+$C$182)^(1/12)-1))^12-J187/12*(1+((1+$C$182)^(1/12)-1))*(((1+((1+$C$182)^(1/12)-1))^12-1)/((1+((1+$C$182)^(1/12)-1))-1)))</f>
      </c>
      <c r="Q188">
        <f>IF($C$177&lt;&gt;1,0,IFERROR((((1+($C$182+'Inputs'!$H$137/100))^(1/12)-1)-((1+$C$182)^(1/12)-1))*(P188*(((1+((1+$C$182)^(1/12)-1))^12-1)/((1+((1+$C$182)^(1/12)-1))-1))-J188/12/((1+((1+$C$182)^(1/12)-1))-1)*((1+((1+$C$182)^(1/12)-1))*(((1+((1+$C$182)^(1/12)-1))^12-1)/((1+((1+$C$182)^(1/12)-1))-1))-12)),0))</f>
      </c>
    </row>
    <row r="189" spans="2:17" x14ac:dyDescent="0.25">
      <c r="B189" t="s">
        <v>474</v>
      </c>
      <c r="C189">
        <f>SUMPRODUCT(('Inputs'!$G$76:$G$81=$C$170)*($C$170&lt;&gt;"")*'Inputs'!$P$76:$P$81)</f>
      </c>
      <c r="I189">
        <v>17</v>
      </c>
      <c r="J189">
        <f>IF(I189&lt;$C$174,MAX(0,12*$C$175*(1+$C$176)^I189-K189),0)</f>
      </c>
      <c r="K189">
        <f>SUMPRODUCT(('Inputs'!$G$76:$G$81=$C$170)*($C$170&lt;&gt;"")*'Inputs'!$D$76:$D$81*(1+'Inputs'!$E$76:$E$81/100)^I189*(ABS('Inputs'!$F$76:$F$81-12*I189)-ABS(('Inputs'!$F$76:$F$81-12*I189)-12)+12)/2)+SUMPRODUCT(('Inputs'!$C$114:$C$121=$C$170)*($C$170&lt;&gt;"")*'Inputs'!$D$114:$D$121*(1+'Inputs'!$E$114:$E$121/100)^I189*(((ABS((('Inputs'!$G$114:$G$121&gt;0)*('Inputs'!$F$114:$F$121+'Inputs'!$G$114:$G$121)+('Inputs'!$G$114:$G$121=0)*12*$C$174)-12*I189)-ABS(((('Inputs'!$G$114:$G$121&gt;0)*('Inputs'!$F$114:$F$121+'Inputs'!$G$114:$G$121)+('Inputs'!$G$114:$G$121=0)*12*$C$174)-12*I189)-12)+12)/2-(ABS(('Inputs'!$F$114:$F$121-12*I189))-ABS((('Inputs'!$F$114:$F$121-12*I189))-12)+12)/2)+ABS((ABS((('Inputs'!$G$114:$G$121&gt;0)*('Inputs'!$F$114:$F$121+'Inputs'!$G$114:$G$121)+('Inputs'!$G$114:$G$121=0)*12*$C$174)-12*I189)-ABS(((('Inputs'!$G$114:$G$121&gt;0)*('Inputs'!$F$114:$F$121+'Inputs'!$G$114:$G$121)+('Inputs'!$G$114:$G$121=0)*12*$C$174)-12*I189)-12)+12)/2-(ABS(('Inputs'!$F$114:$F$121-12*I189))-ABS((('Inputs'!$F$114:$F$121-12*I189))-12)+12)/2))/2)</f>
      </c>
      <c r="L189">
        <f>IF(J189&gt;0,1,0)</f>
      </c>
      <c r="P189">
        <f>IF($C$177&lt;&gt;1,0,P188*(1+((1+$C$182)^(1/12)-1))^12-J188/12*(1+((1+$C$182)^(1/12)-1))*(((1+((1+$C$182)^(1/12)-1))^12-1)/((1+((1+$C$182)^(1/12)-1))-1)))</f>
      </c>
      <c r="Q189">
        <f>IF($C$177&lt;&gt;1,0,IFERROR((((1+($C$182+'Inputs'!$H$137/100))^(1/12)-1)-((1+$C$182)^(1/12)-1))*(P189*(((1+((1+$C$182)^(1/12)-1))^12-1)/((1+((1+$C$182)^(1/12)-1))-1))-J189/12/((1+((1+$C$182)^(1/12)-1))-1)*((1+((1+$C$182)^(1/12)-1))*(((1+((1+$C$182)^(1/12)-1))^12-1)/((1+((1+$C$182)^(1/12)-1))-1))-12)),0))</f>
      </c>
    </row>
    <row r="190" spans="2:17" x14ac:dyDescent="0.25">
      <c r="B190" t="s">
        <v>475</v>
      </c>
      <c r="C190">
        <f>SUMPRODUCT(('Inputs'!$C$114:$C$121=$C$170)*($C$170&lt;&gt;"")*('Inputs'!$D$114:$D$121&gt;0)*('Inputs'!$F$114:$F$121=0)*'Inputs'!$D$114:$D$121)</f>
      </c>
      <c r="I190">
        <v>18</v>
      </c>
      <c r="J190">
        <f>IF(I190&lt;$C$174,MAX(0,12*$C$175*(1+$C$176)^I190-K190),0)</f>
      </c>
      <c r="K190">
        <f>SUMPRODUCT(('Inputs'!$G$76:$G$81=$C$170)*($C$170&lt;&gt;"")*'Inputs'!$D$76:$D$81*(1+'Inputs'!$E$76:$E$81/100)^I190*(ABS('Inputs'!$F$76:$F$81-12*I190)-ABS(('Inputs'!$F$76:$F$81-12*I190)-12)+12)/2)+SUMPRODUCT(('Inputs'!$C$114:$C$121=$C$170)*($C$170&lt;&gt;"")*'Inputs'!$D$114:$D$121*(1+'Inputs'!$E$114:$E$121/100)^I190*(((ABS((('Inputs'!$G$114:$G$121&gt;0)*('Inputs'!$F$114:$F$121+'Inputs'!$G$114:$G$121)+('Inputs'!$G$114:$G$121=0)*12*$C$174)-12*I190)-ABS(((('Inputs'!$G$114:$G$121&gt;0)*('Inputs'!$F$114:$F$121+'Inputs'!$G$114:$G$121)+('Inputs'!$G$114:$G$121=0)*12*$C$174)-12*I190)-12)+12)/2-(ABS(('Inputs'!$F$114:$F$121-12*I190))-ABS((('Inputs'!$F$114:$F$121-12*I190))-12)+12)/2)+ABS((ABS((('Inputs'!$G$114:$G$121&gt;0)*('Inputs'!$F$114:$F$121+'Inputs'!$G$114:$G$121)+('Inputs'!$G$114:$G$121=0)*12*$C$174)-12*I190)-ABS(((('Inputs'!$G$114:$G$121&gt;0)*('Inputs'!$F$114:$F$121+'Inputs'!$G$114:$G$121)+('Inputs'!$G$114:$G$121=0)*12*$C$174)-12*I190)-12)+12)/2-(ABS(('Inputs'!$F$114:$F$121-12*I190))-ABS((('Inputs'!$F$114:$F$121-12*I190))-12)+12)/2))/2)</f>
      </c>
      <c r="L190">
        <f>IF(J190&gt;0,1,0)</f>
      </c>
      <c r="P190">
        <f>IF($C$177&lt;&gt;1,0,P189*(1+((1+$C$182)^(1/12)-1))^12-J189/12*(1+((1+$C$182)^(1/12)-1))*(((1+((1+$C$182)^(1/12)-1))^12-1)/((1+((1+$C$182)^(1/12)-1))-1)))</f>
      </c>
      <c r="Q190">
        <f>IF($C$177&lt;&gt;1,0,IFERROR((((1+($C$182+'Inputs'!$H$137/100))^(1/12)-1)-((1+$C$182)^(1/12)-1))*(P190*(((1+((1+$C$182)^(1/12)-1))^12-1)/((1+((1+$C$182)^(1/12)-1))-1))-J190/12/((1+((1+$C$182)^(1/12)-1))-1)*((1+((1+$C$182)^(1/12)-1))*(((1+((1+$C$182)^(1/12)-1))^12-1)/((1+((1+$C$182)^(1/12)-1))-1))-12)),0))</f>
      </c>
    </row>
    <row r="191" spans="2:17" x14ac:dyDescent="0.25">
      <c r="B191" t="s">
        <v>476</v>
      </c>
      <c r="C191">
        <f>SUMPRODUCT(('Inputs'!$C$114:$C$121=$C$170)*($C$170&lt;&gt;"")*('Inputs'!$D$114:$D$121&gt;0)*1)</f>
      </c>
      <c r="I191">
        <v>19</v>
      </c>
      <c r="J191">
        <f>IF(I191&lt;$C$174,MAX(0,12*$C$175*(1+$C$176)^I191-K191),0)</f>
      </c>
      <c r="K191">
        <f>SUMPRODUCT(('Inputs'!$G$76:$G$81=$C$170)*($C$170&lt;&gt;"")*'Inputs'!$D$76:$D$81*(1+'Inputs'!$E$76:$E$81/100)^I191*(ABS('Inputs'!$F$76:$F$81-12*I191)-ABS(('Inputs'!$F$76:$F$81-12*I191)-12)+12)/2)+SUMPRODUCT(('Inputs'!$C$114:$C$121=$C$170)*($C$170&lt;&gt;"")*'Inputs'!$D$114:$D$121*(1+'Inputs'!$E$114:$E$121/100)^I191*(((ABS((('Inputs'!$G$114:$G$121&gt;0)*('Inputs'!$F$114:$F$121+'Inputs'!$G$114:$G$121)+('Inputs'!$G$114:$G$121=0)*12*$C$174)-12*I191)-ABS(((('Inputs'!$G$114:$G$121&gt;0)*('Inputs'!$F$114:$F$121+'Inputs'!$G$114:$G$121)+('Inputs'!$G$114:$G$121=0)*12*$C$174)-12*I191)-12)+12)/2-(ABS(('Inputs'!$F$114:$F$121-12*I191))-ABS((('Inputs'!$F$114:$F$121-12*I191))-12)+12)/2)+ABS((ABS((('Inputs'!$G$114:$G$121&gt;0)*('Inputs'!$F$114:$F$121+'Inputs'!$G$114:$G$121)+('Inputs'!$G$114:$G$121=0)*12*$C$174)-12*I191)-ABS(((('Inputs'!$G$114:$G$121&gt;0)*('Inputs'!$F$114:$F$121+'Inputs'!$G$114:$G$121)+('Inputs'!$G$114:$G$121=0)*12*$C$174)-12*I191)-12)+12)/2-(ABS(('Inputs'!$F$114:$F$121-12*I191))-ABS((('Inputs'!$F$114:$F$121-12*I191))-12)+12)/2))/2)</f>
      </c>
      <c r="L191">
        <f>IF(J191&gt;0,1,0)</f>
      </c>
      <c r="P191">
        <f>IF($C$177&lt;&gt;1,0,P190*(1+((1+$C$182)^(1/12)-1))^12-J190/12*(1+((1+$C$182)^(1/12)-1))*(((1+((1+$C$182)^(1/12)-1))^12-1)/((1+((1+$C$182)^(1/12)-1))-1)))</f>
      </c>
      <c r="Q191">
        <f>IF($C$177&lt;&gt;1,0,IFERROR((((1+($C$182+'Inputs'!$H$137/100))^(1/12)-1)-((1+$C$182)^(1/12)-1))*(P191*(((1+((1+$C$182)^(1/12)-1))^12-1)/((1+((1+$C$182)^(1/12)-1))-1))-J191/12/((1+((1+$C$182)^(1/12)-1))-1)*((1+((1+$C$182)^(1/12)-1))*(((1+((1+$C$182)^(1/12)-1))^12-1)/((1+((1+$C$182)^(1/12)-1))-1))-12)),0))</f>
      </c>
    </row>
    <row r="192" spans="2:17" x14ac:dyDescent="0.25">
      <c r="B192" t="s">
        <v>477</v>
      </c>
      <c r="C192">
        <f>IF($C$191&gt;0,"income","death income")</f>
      </c>
      <c r="I192">
        <v>20</v>
      </c>
      <c r="J192">
        <f>IF(I192&lt;$C$174,MAX(0,12*$C$175*(1+$C$176)^I192-K192),0)</f>
      </c>
      <c r="K192">
        <f>SUMPRODUCT(('Inputs'!$G$76:$G$81=$C$170)*($C$170&lt;&gt;"")*'Inputs'!$D$76:$D$81*(1+'Inputs'!$E$76:$E$81/100)^I192*(ABS('Inputs'!$F$76:$F$81-12*I192)-ABS(('Inputs'!$F$76:$F$81-12*I192)-12)+12)/2)+SUMPRODUCT(('Inputs'!$C$114:$C$121=$C$170)*($C$170&lt;&gt;"")*'Inputs'!$D$114:$D$121*(1+'Inputs'!$E$114:$E$121/100)^I192*(((ABS((('Inputs'!$G$114:$G$121&gt;0)*('Inputs'!$F$114:$F$121+'Inputs'!$G$114:$G$121)+('Inputs'!$G$114:$G$121=0)*12*$C$174)-12*I192)-ABS(((('Inputs'!$G$114:$G$121&gt;0)*('Inputs'!$F$114:$F$121+'Inputs'!$G$114:$G$121)+('Inputs'!$G$114:$G$121=0)*12*$C$174)-12*I192)-12)+12)/2-(ABS(('Inputs'!$F$114:$F$121-12*I192))-ABS((('Inputs'!$F$114:$F$121-12*I192))-12)+12)/2)+ABS((ABS((('Inputs'!$G$114:$G$121&gt;0)*('Inputs'!$F$114:$F$121+'Inputs'!$G$114:$G$121)+('Inputs'!$G$114:$G$121=0)*12*$C$174)-12*I192)-ABS(((('Inputs'!$G$114:$G$121&gt;0)*('Inputs'!$F$114:$F$121+'Inputs'!$G$114:$G$121)+('Inputs'!$G$114:$G$121=0)*12*$C$174)-12*I192)-12)+12)/2-(ABS(('Inputs'!$F$114:$F$121-12*I192))-ABS((('Inputs'!$F$114:$F$121-12*I192))-12)+12)/2))/2)</f>
      </c>
      <c r="L192">
        <f>IF(J192&gt;0,1,0)</f>
      </c>
      <c r="P192">
        <f>IF($C$177&lt;&gt;1,0,P191*(1+((1+$C$182)^(1/12)-1))^12-J191/12*(1+((1+$C$182)^(1/12)-1))*(((1+((1+$C$182)^(1/12)-1))^12-1)/((1+((1+$C$182)^(1/12)-1))-1)))</f>
      </c>
      <c r="Q192">
        <f>IF($C$177&lt;&gt;1,0,IFERROR((((1+($C$182+'Inputs'!$H$137/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SUMPRODUCT(('Inputs'!$C$114:$C$121=$C$170)*($C$170&lt;&gt;"")*'Inputs'!$D$114:$D$121*(1+'Inputs'!$E$114:$E$121/100)^I193*(((ABS((('Inputs'!$G$114:$G$121&gt;0)*('Inputs'!$F$114:$F$121+'Inputs'!$G$114:$G$121)+('Inputs'!$G$114:$G$121=0)*12*$C$174)-12*I193)-ABS(((('Inputs'!$G$114:$G$121&gt;0)*('Inputs'!$F$114:$F$121+'Inputs'!$G$114:$G$121)+('Inputs'!$G$114:$G$121=0)*12*$C$174)-12*I193)-12)+12)/2-(ABS(('Inputs'!$F$114:$F$121-12*I193))-ABS((('Inputs'!$F$114:$F$121-12*I193))-12)+12)/2)+ABS((ABS((('Inputs'!$G$114:$G$121&gt;0)*('Inputs'!$F$114:$F$121+'Inputs'!$G$114:$G$121)+('Inputs'!$G$114:$G$121=0)*12*$C$174)-12*I193)-ABS(((('Inputs'!$G$114:$G$121&gt;0)*('Inputs'!$F$114:$F$121+'Inputs'!$G$114:$G$121)+('Inputs'!$G$114:$G$121=0)*12*$C$174)-12*I193)-12)+12)/2-(ABS(('Inputs'!$F$114:$F$121-12*I193))-ABS((('Inputs'!$F$114:$F$121-12*I193))-12)+12)/2))/2)</f>
      </c>
      <c r="L193">
        <f>IF(J193&gt;0,1,0)</f>
      </c>
      <c r="P193">
        <f>IF($C$177&lt;&gt;1,0,P192*(1+((1+$C$182)^(1/12)-1))^12-J192/12*(1+((1+$C$182)^(1/12)-1))*(((1+((1+$C$182)^(1/12)-1))^12-1)/((1+((1+$C$182)^(1/12)-1))-1)))</f>
      </c>
      <c r="Q193">
        <f>IF($C$177&lt;&gt;1,0,IFERROR((((1+($C$182+'Inputs'!$H$137/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SUMPRODUCT(('Inputs'!$C$114:$C$121=$C$170)*($C$170&lt;&gt;"")*'Inputs'!$D$114:$D$121*(1+'Inputs'!$E$114:$E$121/100)^I194*(((ABS((('Inputs'!$G$114:$G$121&gt;0)*('Inputs'!$F$114:$F$121+'Inputs'!$G$114:$G$121)+('Inputs'!$G$114:$G$121=0)*12*$C$174)-12*I194)-ABS(((('Inputs'!$G$114:$G$121&gt;0)*('Inputs'!$F$114:$F$121+'Inputs'!$G$114:$G$121)+('Inputs'!$G$114:$G$121=0)*12*$C$174)-12*I194)-12)+12)/2-(ABS(('Inputs'!$F$114:$F$121-12*I194))-ABS((('Inputs'!$F$114:$F$121-12*I194))-12)+12)/2)+ABS((ABS((('Inputs'!$G$114:$G$121&gt;0)*('Inputs'!$F$114:$F$121+'Inputs'!$G$114:$G$121)+('Inputs'!$G$114:$G$121=0)*12*$C$174)-12*I194)-ABS(((('Inputs'!$G$114:$G$121&gt;0)*('Inputs'!$F$114:$F$121+'Inputs'!$G$114:$G$121)+('Inputs'!$G$114:$G$121=0)*12*$C$174)-12*I194)-12)+12)/2-(ABS(('Inputs'!$F$114:$F$121-12*I194))-ABS((('Inputs'!$F$114:$F$121-12*I194))-12)+12)/2))/2)</f>
      </c>
      <c r="L194">
        <f>IF(J194&gt;0,1,0)</f>
      </c>
      <c r="P194">
        <f>IF($C$177&lt;&gt;1,0,P193*(1+((1+$C$182)^(1/12)-1))^12-J193/12*(1+((1+$C$182)^(1/12)-1))*(((1+((1+$C$182)^(1/12)-1))^12-1)/((1+((1+$C$182)^(1/12)-1))-1)))</f>
      </c>
      <c r="Q194">
        <f>IF($C$177&lt;&gt;1,0,IFERROR((((1+($C$182+'Inputs'!$H$137/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SUMPRODUCT(('Inputs'!$C$114:$C$121=$C$170)*($C$170&lt;&gt;"")*'Inputs'!$D$114:$D$121*(1+'Inputs'!$E$114:$E$121/100)^I195*(((ABS((('Inputs'!$G$114:$G$121&gt;0)*('Inputs'!$F$114:$F$121+'Inputs'!$G$114:$G$121)+('Inputs'!$G$114:$G$121=0)*12*$C$174)-12*I195)-ABS(((('Inputs'!$G$114:$G$121&gt;0)*('Inputs'!$F$114:$F$121+'Inputs'!$G$114:$G$121)+('Inputs'!$G$114:$G$121=0)*12*$C$174)-12*I195)-12)+12)/2-(ABS(('Inputs'!$F$114:$F$121-12*I195))-ABS((('Inputs'!$F$114:$F$121-12*I195))-12)+12)/2)+ABS((ABS((('Inputs'!$G$114:$G$121&gt;0)*('Inputs'!$F$114:$F$121+'Inputs'!$G$114:$G$121)+('Inputs'!$G$114:$G$121=0)*12*$C$174)-12*I195)-ABS(((('Inputs'!$G$114:$G$121&gt;0)*('Inputs'!$F$114:$F$121+'Inputs'!$G$114:$G$121)+('Inputs'!$G$114:$G$121=0)*12*$C$174)-12*I195)-12)+12)/2-(ABS(('Inputs'!$F$114:$F$121-12*I195))-ABS((('Inputs'!$F$114:$F$121-12*I195))-12)+12)/2))/2)</f>
      </c>
      <c r="L195">
        <f>IF(J195&gt;0,1,0)</f>
      </c>
      <c r="P195">
        <f>IF($C$177&lt;&gt;1,0,P194*(1+((1+$C$182)^(1/12)-1))^12-J194/12*(1+((1+$C$182)^(1/12)-1))*(((1+((1+$C$182)^(1/12)-1))^12-1)/((1+((1+$C$182)^(1/12)-1))-1)))</f>
      </c>
      <c r="Q195">
        <f>IF($C$177&lt;&gt;1,0,IFERROR((((1+($C$182+'Inputs'!$H$137/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SUMPRODUCT(('Inputs'!$C$114:$C$121=$C$170)*($C$170&lt;&gt;"")*'Inputs'!$D$114:$D$121*(1+'Inputs'!$E$114:$E$121/100)^I196*(((ABS((('Inputs'!$G$114:$G$121&gt;0)*('Inputs'!$F$114:$F$121+'Inputs'!$G$114:$G$121)+('Inputs'!$G$114:$G$121=0)*12*$C$174)-12*I196)-ABS(((('Inputs'!$G$114:$G$121&gt;0)*('Inputs'!$F$114:$F$121+'Inputs'!$G$114:$G$121)+('Inputs'!$G$114:$G$121=0)*12*$C$174)-12*I196)-12)+12)/2-(ABS(('Inputs'!$F$114:$F$121-12*I196))-ABS((('Inputs'!$F$114:$F$121-12*I196))-12)+12)/2)+ABS((ABS((('Inputs'!$G$114:$G$121&gt;0)*('Inputs'!$F$114:$F$121+'Inputs'!$G$114:$G$121)+('Inputs'!$G$114:$G$121=0)*12*$C$174)-12*I196)-ABS(((('Inputs'!$G$114:$G$121&gt;0)*('Inputs'!$F$114:$F$121+'Inputs'!$G$114:$G$121)+('Inputs'!$G$114:$G$121=0)*12*$C$174)-12*I196)-12)+12)/2-(ABS(('Inputs'!$F$114:$F$121-12*I196))-ABS((('Inputs'!$F$114:$F$121-12*I196))-12)+12)/2))/2)</f>
      </c>
      <c r="L196">
        <f>IF(J196&gt;0,1,0)</f>
      </c>
      <c r="P196">
        <f>IF($C$177&lt;&gt;1,0,P195*(1+((1+$C$182)^(1/12)-1))^12-J195/12*(1+((1+$C$182)^(1/12)-1))*(((1+((1+$C$182)^(1/12)-1))^12-1)/((1+((1+$C$182)^(1/12)-1))-1)))</f>
      </c>
      <c r="Q196">
        <f>IF($C$177&lt;&gt;1,0,IFERROR((((1+($C$182+'Inputs'!$H$137/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SUMPRODUCT(('Inputs'!$C$114:$C$121=$C$170)*($C$170&lt;&gt;"")*'Inputs'!$D$114:$D$121*(1+'Inputs'!$E$114:$E$121/100)^I197*(((ABS((('Inputs'!$G$114:$G$121&gt;0)*('Inputs'!$F$114:$F$121+'Inputs'!$G$114:$G$121)+('Inputs'!$G$114:$G$121=0)*12*$C$174)-12*I197)-ABS(((('Inputs'!$G$114:$G$121&gt;0)*('Inputs'!$F$114:$F$121+'Inputs'!$G$114:$G$121)+('Inputs'!$G$114:$G$121=0)*12*$C$174)-12*I197)-12)+12)/2-(ABS(('Inputs'!$F$114:$F$121-12*I197))-ABS((('Inputs'!$F$114:$F$121-12*I197))-12)+12)/2)+ABS((ABS((('Inputs'!$G$114:$G$121&gt;0)*('Inputs'!$F$114:$F$121+'Inputs'!$G$114:$G$121)+('Inputs'!$G$114:$G$121=0)*12*$C$174)-12*I197)-ABS(((('Inputs'!$G$114:$G$121&gt;0)*('Inputs'!$F$114:$F$121+'Inputs'!$G$114:$G$121)+('Inputs'!$G$114:$G$121=0)*12*$C$174)-12*I197)-12)+12)/2-(ABS(('Inputs'!$F$114:$F$121-12*I197))-ABS((('Inputs'!$F$114:$F$121-12*I197))-12)+12)/2))/2)</f>
      </c>
      <c r="L197">
        <f>IF(J197&gt;0,1,0)</f>
      </c>
      <c r="P197">
        <f>IF($C$177&lt;&gt;1,0,P196*(1+((1+$C$182)^(1/12)-1))^12-J196/12*(1+((1+$C$182)^(1/12)-1))*(((1+((1+$C$182)^(1/12)-1))^12-1)/((1+((1+$C$182)^(1/12)-1))-1)))</f>
      </c>
      <c r="Q197">
        <f>IF($C$177&lt;&gt;1,0,IFERROR((((1+($C$182+'Inputs'!$H$137/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SUMPRODUCT(('Inputs'!$C$114:$C$121=$C$170)*($C$170&lt;&gt;"")*'Inputs'!$D$114:$D$121*(1+'Inputs'!$E$114:$E$121/100)^I198*(((ABS((('Inputs'!$G$114:$G$121&gt;0)*('Inputs'!$F$114:$F$121+'Inputs'!$G$114:$G$121)+('Inputs'!$G$114:$G$121=0)*12*$C$174)-12*I198)-ABS(((('Inputs'!$G$114:$G$121&gt;0)*('Inputs'!$F$114:$F$121+'Inputs'!$G$114:$G$121)+('Inputs'!$G$114:$G$121=0)*12*$C$174)-12*I198)-12)+12)/2-(ABS(('Inputs'!$F$114:$F$121-12*I198))-ABS((('Inputs'!$F$114:$F$121-12*I198))-12)+12)/2)+ABS((ABS((('Inputs'!$G$114:$G$121&gt;0)*('Inputs'!$F$114:$F$121+'Inputs'!$G$114:$G$121)+('Inputs'!$G$114:$G$121=0)*12*$C$174)-12*I198)-ABS(((('Inputs'!$G$114:$G$121&gt;0)*('Inputs'!$F$114:$F$121+'Inputs'!$G$114:$G$121)+('Inputs'!$G$114:$G$121=0)*12*$C$174)-12*I198)-12)+12)/2-(ABS(('Inputs'!$F$114:$F$121-12*I198))-ABS((('Inputs'!$F$114:$F$121-12*I198))-12)+12)/2))/2)</f>
      </c>
      <c r="L198">
        <f>IF(J198&gt;0,1,0)</f>
      </c>
      <c r="P198">
        <f>IF($C$177&lt;&gt;1,0,P197*(1+((1+$C$182)^(1/12)-1))^12-J197/12*(1+((1+$C$182)^(1/12)-1))*(((1+((1+$C$182)^(1/12)-1))^12-1)/((1+((1+$C$182)^(1/12)-1))-1)))</f>
      </c>
      <c r="Q198">
        <f>IF($C$177&lt;&gt;1,0,IFERROR((((1+($C$182+'Inputs'!$H$137/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SUMPRODUCT(('Inputs'!$C$114:$C$121=$C$170)*($C$170&lt;&gt;"")*'Inputs'!$D$114:$D$121*(1+'Inputs'!$E$114:$E$121/100)^I199*(((ABS((('Inputs'!$G$114:$G$121&gt;0)*('Inputs'!$F$114:$F$121+'Inputs'!$G$114:$G$121)+('Inputs'!$G$114:$G$121=0)*12*$C$174)-12*I199)-ABS(((('Inputs'!$G$114:$G$121&gt;0)*('Inputs'!$F$114:$F$121+'Inputs'!$G$114:$G$121)+('Inputs'!$G$114:$G$121=0)*12*$C$174)-12*I199)-12)+12)/2-(ABS(('Inputs'!$F$114:$F$121-12*I199))-ABS((('Inputs'!$F$114:$F$121-12*I199))-12)+12)/2)+ABS((ABS((('Inputs'!$G$114:$G$121&gt;0)*('Inputs'!$F$114:$F$121+'Inputs'!$G$114:$G$121)+('Inputs'!$G$114:$G$121=0)*12*$C$174)-12*I199)-ABS(((('Inputs'!$G$114:$G$121&gt;0)*('Inputs'!$F$114:$F$121+'Inputs'!$G$114:$G$121)+('Inputs'!$G$114:$G$121=0)*12*$C$174)-12*I199)-12)+12)/2-(ABS(('Inputs'!$F$114:$F$121-12*I199))-ABS((('Inputs'!$F$114:$F$121-12*I199))-12)+12)/2))/2)</f>
      </c>
      <c r="L199">
        <f>IF(J199&gt;0,1,0)</f>
      </c>
      <c r="P199">
        <f>IF($C$177&lt;&gt;1,0,P198*(1+((1+$C$182)^(1/12)-1))^12-J198/12*(1+((1+$C$182)^(1/12)-1))*(((1+((1+$C$182)^(1/12)-1))^12-1)/((1+((1+$C$182)^(1/12)-1))-1)))</f>
      </c>
      <c r="Q199">
        <f>IF($C$177&lt;&gt;1,0,IFERROR((((1+($C$182+'Inputs'!$H$137/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SUMPRODUCT(('Inputs'!$C$114:$C$121=$C$170)*($C$170&lt;&gt;"")*'Inputs'!$D$114:$D$121*(1+'Inputs'!$E$114:$E$121/100)^I200*(((ABS((('Inputs'!$G$114:$G$121&gt;0)*('Inputs'!$F$114:$F$121+'Inputs'!$G$114:$G$121)+('Inputs'!$G$114:$G$121=0)*12*$C$174)-12*I200)-ABS(((('Inputs'!$G$114:$G$121&gt;0)*('Inputs'!$F$114:$F$121+'Inputs'!$G$114:$G$121)+('Inputs'!$G$114:$G$121=0)*12*$C$174)-12*I200)-12)+12)/2-(ABS(('Inputs'!$F$114:$F$121-12*I200))-ABS((('Inputs'!$F$114:$F$121-12*I200))-12)+12)/2)+ABS((ABS((('Inputs'!$G$114:$G$121&gt;0)*('Inputs'!$F$114:$F$121+'Inputs'!$G$114:$G$121)+('Inputs'!$G$114:$G$121=0)*12*$C$174)-12*I200)-ABS(((('Inputs'!$G$114:$G$121&gt;0)*('Inputs'!$F$114:$F$121+'Inputs'!$G$114:$G$121)+('Inputs'!$G$114:$G$121=0)*12*$C$174)-12*I200)-12)+12)/2-(ABS(('Inputs'!$F$114:$F$121-12*I200))-ABS((('Inputs'!$F$114:$F$121-12*I200))-12)+12)/2))/2)</f>
      </c>
      <c r="L200">
        <f>IF(J200&gt;0,1,0)</f>
      </c>
      <c r="P200">
        <f>IF($C$177&lt;&gt;1,0,P199*(1+((1+$C$182)^(1/12)-1))^12-J199/12*(1+((1+$C$182)^(1/12)-1))*(((1+((1+$C$182)^(1/12)-1))^12-1)/((1+((1+$C$182)^(1/12)-1))-1)))</f>
      </c>
      <c r="Q200">
        <f>IF($C$177&lt;&gt;1,0,IFERROR((((1+($C$182+'Inputs'!$H$137/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SUMPRODUCT(('Inputs'!$C$114:$C$121=$C$170)*($C$170&lt;&gt;"")*'Inputs'!$D$114:$D$121*(1+'Inputs'!$E$114:$E$121/100)^I201*(((ABS((('Inputs'!$G$114:$G$121&gt;0)*('Inputs'!$F$114:$F$121+'Inputs'!$G$114:$G$121)+('Inputs'!$G$114:$G$121=0)*12*$C$174)-12*I201)-ABS(((('Inputs'!$G$114:$G$121&gt;0)*('Inputs'!$F$114:$F$121+'Inputs'!$G$114:$G$121)+('Inputs'!$G$114:$G$121=0)*12*$C$174)-12*I201)-12)+12)/2-(ABS(('Inputs'!$F$114:$F$121-12*I201))-ABS((('Inputs'!$F$114:$F$121-12*I201))-12)+12)/2)+ABS((ABS((('Inputs'!$G$114:$G$121&gt;0)*('Inputs'!$F$114:$F$121+'Inputs'!$G$114:$G$121)+('Inputs'!$G$114:$G$121=0)*12*$C$174)-12*I201)-ABS(((('Inputs'!$G$114:$G$121&gt;0)*('Inputs'!$F$114:$F$121+'Inputs'!$G$114:$G$121)+('Inputs'!$G$114:$G$121=0)*12*$C$174)-12*I201)-12)+12)/2-(ABS(('Inputs'!$F$114:$F$121-12*I201))-ABS((('Inputs'!$F$114:$F$121-12*I201))-12)+12)/2))/2)</f>
      </c>
      <c r="L201">
        <f>IF(J201&gt;0,1,0)</f>
      </c>
      <c r="P201">
        <f>IF($C$177&lt;&gt;1,0,P200*(1+((1+$C$182)^(1/12)-1))^12-J200/12*(1+((1+$C$182)^(1/12)-1))*(((1+((1+$C$182)^(1/12)-1))^12-1)/((1+((1+$C$182)^(1/12)-1))-1)))</f>
      </c>
      <c r="Q201">
        <f>IF($C$177&lt;&gt;1,0,IFERROR((((1+($C$182+'Inputs'!$H$137/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SUMPRODUCT(('Inputs'!$C$114:$C$121=$C$170)*($C$170&lt;&gt;"")*'Inputs'!$D$114:$D$121*(1+'Inputs'!$E$114:$E$121/100)^I202*(((ABS((('Inputs'!$G$114:$G$121&gt;0)*('Inputs'!$F$114:$F$121+'Inputs'!$G$114:$G$121)+('Inputs'!$G$114:$G$121=0)*12*$C$174)-12*I202)-ABS(((('Inputs'!$G$114:$G$121&gt;0)*('Inputs'!$F$114:$F$121+'Inputs'!$G$114:$G$121)+('Inputs'!$G$114:$G$121=0)*12*$C$174)-12*I202)-12)+12)/2-(ABS(('Inputs'!$F$114:$F$121-12*I202))-ABS((('Inputs'!$F$114:$F$121-12*I202))-12)+12)/2)+ABS((ABS((('Inputs'!$G$114:$G$121&gt;0)*('Inputs'!$F$114:$F$121+'Inputs'!$G$114:$G$121)+('Inputs'!$G$114:$G$121=0)*12*$C$174)-12*I202)-ABS(((('Inputs'!$G$114:$G$121&gt;0)*('Inputs'!$F$114:$F$121+'Inputs'!$G$114:$G$121)+('Inputs'!$G$114:$G$121=0)*12*$C$174)-12*I202)-12)+12)/2-(ABS(('Inputs'!$F$114:$F$121-12*I202))-ABS((('Inputs'!$F$114:$F$121-12*I202))-12)+12)/2))/2)</f>
      </c>
      <c r="L202">
        <f>IF(J202&gt;0,1,0)</f>
      </c>
      <c r="P202">
        <f>IF($C$177&lt;&gt;1,0,P201*(1+((1+$C$182)^(1/12)-1))^12-J201/12*(1+((1+$C$182)^(1/12)-1))*(((1+((1+$C$182)^(1/12)-1))^12-1)/((1+((1+$C$182)^(1/12)-1))-1)))</f>
      </c>
      <c r="Q202">
        <f>IF($C$177&lt;&gt;1,0,IFERROR((((1+($C$182+'Inputs'!$H$137/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SUMPRODUCT(('Inputs'!$C$114:$C$121=$C$170)*($C$170&lt;&gt;"")*'Inputs'!$D$114:$D$121*(1+'Inputs'!$E$114:$E$121/100)^I203*(((ABS((('Inputs'!$G$114:$G$121&gt;0)*('Inputs'!$F$114:$F$121+'Inputs'!$G$114:$G$121)+('Inputs'!$G$114:$G$121=0)*12*$C$174)-12*I203)-ABS(((('Inputs'!$G$114:$G$121&gt;0)*('Inputs'!$F$114:$F$121+'Inputs'!$G$114:$G$121)+('Inputs'!$G$114:$G$121=0)*12*$C$174)-12*I203)-12)+12)/2-(ABS(('Inputs'!$F$114:$F$121-12*I203))-ABS((('Inputs'!$F$114:$F$121-12*I203))-12)+12)/2)+ABS((ABS((('Inputs'!$G$114:$G$121&gt;0)*('Inputs'!$F$114:$F$121+'Inputs'!$G$114:$G$121)+('Inputs'!$G$114:$G$121=0)*12*$C$174)-12*I203)-ABS(((('Inputs'!$G$114:$G$121&gt;0)*('Inputs'!$F$114:$F$121+'Inputs'!$G$114:$G$121)+('Inputs'!$G$114:$G$121=0)*12*$C$174)-12*I203)-12)+12)/2-(ABS(('Inputs'!$F$114:$F$121-12*I203))-ABS((('Inputs'!$F$114:$F$121-12*I203))-12)+12)/2))/2)</f>
      </c>
      <c r="L203">
        <f>IF(J203&gt;0,1,0)</f>
      </c>
      <c r="P203">
        <f>IF($C$177&lt;&gt;1,0,P202*(1+((1+$C$182)^(1/12)-1))^12-J202/12*(1+((1+$C$182)^(1/12)-1))*(((1+((1+$C$182)^(1/12)-1))^12-1)/((1+((1+$C$182)^(1/12)-1))-1)))</f>
      </c>
      <c r="Q203">
        <f>IF($C$177&lt;&gt;1,0,IFERROR((((1+($C$182+'Inputs'!$H$137/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SUMPRODUCT(('Inputs'!$C$114:$C$121=$C$170)*($C$170&lt;&gt;"")*'Inputs'!$D$114:$D$121*(1+'Inputs'!$E$114:$E$121/100)^I204*(((ABS((('Inputs'!$G$114:$G$121&gt;0)*('Inputs'!$F$114:$F$121+'Inputs'!$G$114:$G$121)+('Inputs'!$G$114:$G$121=0)*12*$C$174)-12*I204)-ABS(((('Inputs'!$G$114:$G$121&gt;0)*('Inputs'!$F$114:$F$121+'Inputs'!$G$114:$G$121)+('Inputs'!$G$114:$G$121=0)*12*$C$174)-12*I204)-12)+12)/2-(ABS(('Inputs'!$F$114:$F$121-12*I204))-ABS((('Inputs'!$F$114:$F$121-12*I204))-12)+12)/2)+ABS((ABS((('Inputs'!$G$114:$G$121&gt;0)*('Inputs'!$F$114:$F$121+'Inputs'!$G$114:$G$121)+('Inputs'!$G$114:$G$121=0)*12*$C$174)-12*I204)-ABS(((('Inputs'!$G$114:$G$121&gt;0)*('Inputs'!$F$114:$F$121+'Inputs'!$G$114:$G$121)+('Inputs'!$G$114:$G$121=0)*12*$C$174)-12*I204)-12)+12)/2-(ABS(('Inputs'!$F$114:$F$121-12*I204))-ABS((('Inputs'!$F$114:$F$121-12*I204))-12)+12)/2))/2)</f>
      </c>
      <c r="L204">
        <f>IF(J204&gt;0,1,0)</f>
      </c>
      <c r="P204">
        <f>IF($C$177&lt;&gt;1,0,P203*(1+((1+$C$182)^(1/12)-1))^12-J203/12*(1+((1+$C$182)^(1/12)-1))*(((1+((1+$C$182)^(1/12)-1))^12-1)/((1+((1+$C$182)^(1/12)-1))-1)))</f>
      </c>
      <c r="Q204">
        <f>IF($C$177&lt;&gt;1,0,IFERROR((((1+($C$182+'Inputs'!$H$137/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SUMPRODUCT(('Inputs'!$C$114:$C$121=$C$170)*($C$170&lt;&gt;"")*'Inputs'!$D$114:$D$121*(1+'Inputs'!$E$114:$E$121/100)^I205*(((ABS((('Inputs'!$G$114:$G$121&gt;0)*('Inputs'!$F$114:$F$121+'Inputs'!$G$114:$G$121)+('Inputs'!$G$114:$G$121=0)*12*$C$174)-12*I205)-ABS(((('Inputs'!$G$114:$G$121&gt;0)*('Inputs'!$F$114:$F$121+'Inputs'!$G$114:$G$121)+('Inputs'!$G$114:$G$121=0)*12*$C$174)-12*I205)-12)+12)/2-(ABS(('Inputs'!$F$114:$F$121-12*I205))-ABS((('Inputs'!$F$114:$F$121-12*I205))-12)+12)/2)+ABS((ABS((('Inputs'!$G$114:$G$121&gt;0)*('Inputs'!$F$114:$F$121+'Inputs'!$G$114:$G$121)+('Inputs'!$G$114:$G$121=0)*12*$C$174)-12*I205)-ABS(((('Inputs'!$G$114:$G$121&gt;0)*('Inputs'!$F$114:$F$121+'Inputs'!$G$114:$G$121)+('Inputs'!$G$114:$G$121=0)*12*$C$174)-12*I205)-12)+12)/2-(ABS(('Inputs'!$F$114:$F$121-12*I205))-ABS((('Inputs'!$F$114:$F$121-12*I205))-12)+12)/2))/2)</f>
      </c>
      <c r="L205">
        <f>IF(J205&gt;0,1,0)</f>
      </c>
      <c r="P205">
        <f>IF($C$177&lt;&gt;1,0,P204*(1+((1+$C$182)^(1/12)-1))^12-J204/12*(1+((1+$C$182)^(1/12)-1))*(((1+((1+$C$182)^(1/12)-1))^12-1)/((1+((1+$C$182)^(1/12)-1))-1)))</f>
      </c>
      <c r="Q205">
        <f>IF($C$177&lt;&gt;1,0,IFERROR((((1+($C$182+'Inputs'!$H$137/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SUMPRODUCT(('Inputs'!$C$114:$C$121=$C$170)*($C$170&lt;&gt;"")*'Inputs'!$D$114:$D$121*(1+'Inputs'!$E$114:$E$121/100)^I206*(((ABS((('Inputs'!$G$114:$G$121&gt;0)*('Inputs'!$F$114:$F$121+'Inputs'!$G$114:$G$121)+('Inputs'!$G$114:$G$121=0)*12*$C$174)-12*I206)-ABS(((('Inputs'!$G$114:$G$121&gt;0)*('Inputs'!$F$114:$F$121+'Inputs'!$G$114:$G$121)+('Inputs'!$G$114:$G$121=0)*12*$C$174)-12*I206)-12)+12)/2-(ABS(('Inputs'!$F$114:$F$121-12*I206))-ABS((('Inputs'!$F$114:$F$121-12*I206))-12)+12)/2)+ABS((ABS((('Inputs'!$G$114:$G$121&gt;0)*('Inputs'!$F$114:$F$121+'Inputs'!$G$114:$G$121)+('Inputs'!$G$114:$G$121=0)*12*$C$174)-12*I206)-ABS(((('Inputs'!$G$114:$G$121&gt;0)*('Inputs'!$F$114:$F$121+'Inputs'!$G$114:$G$121)+('Inputs'!$G$114:$G$121=0)*12*$C$174)-12*I206)-12)+12)/2-(ABS(('Inputs'!$F$114:$F$121-12*I206))-ABS((('Inputs'!$F$114:$F$121-12*I206))-12)+12)/2))/2)</f>
      </c>
      <c r="L206">
        <f>IF(J206&gt;0,1,0)</f>
      </c>
      <c r="P206">
        <f>IF($C$177&lt;&gt;1,0,P205*(1+((1+$C$182)^(1/12)-1))^12-J205/12*(1+((1+$C$182)^(1/12)-1))*(((1+((1+$C$182)^(1/12)-1))^12-1)/((1+((1+$C$182)^(1/12)-1))-1)))</f>
      </c>
      <c r="Q206">
        <f>IF($C$177&lt;&gt;1,0,IFERROR((((1+($C$182+'Inputs'!$H$137/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SUMPRODUCT(('Inputs'!$C$114:$C$121=$C$170)*($C$170&lt;&gt;"")*'Inputs'!$D$114:$D$121*(1+'Inputs'!$E$114:$E$121/100)^I207*(((ABS((('Inputs'!$G$114:$G$121&gt;0)*('Inputs'!$F$114:$F$121+'Inputs'!$G$114:$G$121)+('Inputs'!$G$114:$G$121=0)*12*$C$174)-12*I207)-ABS(((('Inputs'!$G$114:$G$121&gt;0)*('Inputs'!$F$114:$F$121+'Inputs'!$G$114:$G$121)+('Inputs'!$G$114:$G$121=0)*12*$C$174)-12*I207)-12)+12)/2-(ABS(('Inputs'!$F$114:$F$121-12*I207))-ABS((('Inputs'!$F$114:$F$121-12*I207))-12)+12)/2)+ABS((ABS((('Inputs'!$G$114:$G$121&gt;0)*('Inputs'!$F$114:$F$121+'Inputs'!$G$114:$G$121)+('Inputs'!$G$114:$G$121=0)*12*$C$174)-12*I207)-ABS(((('Inputs'!$G$114:$G$121&gt;0)*('Inputs'!$F$114:$F$121+'Inputs'!$G$114:$G$121)+('Inputs'!$G$114:$G$121=0)*12*$C$174)-12*I207)-12)+12)/2-(ABS(('Inputs'!$F$114:$F$121-12*I207))-ABS((('Inputs'!$F$114:$F$121-12*I207))-12)+12)/2))/2)</f>
      </c>
      <c r="L207">
        <f>IF(J207&gt;0,1,0)</f>
      </c>
      <c r="P207">
        <f>IF($C$177&lt;&gt;1,0,P206*(1+((1+$C$182)^(1/12)-1))^12-J206/12*(1+((1+$C$182)^(1/12)-1))*(((1+((1+$C$182)^(1/12)-1))^12-1)/((1+((1+$C$182)^(1/12)-1))-1)))</f>
      </c>
      <c r="Q207">
        <f>IF($C$177&lt;&gt;1,0,IFERROR((((1+($C$182+'Inputs'!$H$137/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SUMPRODUCT(('Inputs'!$C$114:$C$121=$C$170)*($C$170&lt;&gt;"")*'Inputs'!$D$114:$D$121*(1+'Inputs'!$E$114:$E$121/100)^I208*(((ABS((('Inputs'!$G$114:$G$121&gt;0)*('Inputs'!$F$114:$F$121+'Inputs'!$G$114:$G$121)+('Inputs'!$G$114:$G$121=0)*12*$C$174)-12*I208)-ABS(((('Inputs'!$G$114:$G$121&gt;0)*('Inputs'!$F$114:$F$121+'Inputs'!$G$114:$G$121)+('Inputs'!$G$114:$G$121=0)*12*$C$174)-12*I208)-12)+12)/2-(ABS(('Inputs'!$F$114:$F$121-12*I208))-ABS((('Inputs'!$F$114:$F$121-12*I208))-12)+12)/2)+ABS((ABS((('Inputs'!$G$114:$G$121&gt;0)*('Inputs'!$F$114:$F$121+'Inputs'!$G$114:$G$121)+('Inputs'!$G$114:$G$121=0)*12*$C$174)-12*I208)-ABS(((('Inputs'!$G$114:$G$121&gt;0)*('Inputs'!$F$114:$F$121+'Inputs'!$G$114:$G$121)+('Inputs'!$G$114:$G$121=0)*12*$C$174)-12*I208)-12)+12)/2-(ABS(('Inputs'!$F$114:$F$121-12*I208))-ABS((('Inputs'!$F$114:$F$121-12*I208))-12)+12)/2))/2)</f>
      </c>
      <c r="L208">
        <f>IF(J208&gt;0,1,0)</f>
      </c>
      <c r="P208">
        <f>IF($C$177&lt;&gt;1,0,P207*(1+((1+$C$182)^(1/12)-1))^12-J207/12*(1+((1+$C$182)^(1/12)-1))*(((1+((1+$C$182)^(1/12)-1))^12-1)/((1+((1+$C$182)^(1/12)-1))-1)))</f>
      </c>
      <c r="Q208">
        <f>IF($C$177&lt;&gt;1,0,IFERROR((((1+($C$182+'Inputs'!$H$137/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SUMPRODUCT(('Inputs'!$C$114:$C$121=$C$170)*($C$170&lt;&gt;"")*'Inputs'!$D$114:$D$121*(1+'Inputs'!$E$114:$E$121/100)^I209*(((ABS((('Inputs'!$G$114:$G$121&gt;0)*('Inputs'!$F$114:$F$121+'Inputs'!$G$114:$G$121)+('Inputs'!$G$114:$G$121=0)*12*$C$174)-12*I209)-ABS(((('Inputs'!$G$114:$G$121&gt;0)*('Inputs'!$F$114:$F$121+'Inputs'!$G$114:$G$121)+('Inputs'!$G$114:$G$121=0)*12*$C$174)-12*I209)-12)+12)/2-(ABS(('Inputs'!$F$114:$F$121-12*I209))-ABS((('Inputs'!$F$114:$F$121-12*I209))-12)+12)/2)+ABS((ABS((('Inputs'!$G$114:$G$121&gt;0)*('Inputs'!$F$114:$F$121+'Inputs'!$G$114:$G$121)+('Inputs'!$G$114:$G$121=0)*12*$C$174)-12*I209)-ABS(((('Inputs'!$G$114:$G$121&gt;0)*('Inputs'!$F$114:$F$121+'Inputs'!$G$114:$G$121)+('Inputs'!$G$114:$G$121=0)*12*$C$174)-12*I209)-12)+12)/2-(ABS(('Inputs'!$F$114:$F$121-12*I209))-ABS((('Inputs'!$F$114:$F$121-12*I209))-12)+12)/2))/2)</f>
      </c>
      <c r="L209">
        <f>IF(J209&gt;0,1,0)</f>
      </c>
      <c r="P209">
        <f>IF($C$177&lt;&gt;1,0,P208*(1+((1+$C$182)^(1/12)-1))^12-J208/12*(1+((1+$C$182)^(1/12)-1))*(((1+((1+$C$182)^(1/12)-1))^12-1)/((1+((1+$C$182)^(1/12)-1))-1)))</f>
      </c>
      <c r="Q209">
        <f>IF($C$177&lt;&gt;1,0,IFERROR((((1+($C$182+'Inputs'!$H$137/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SUMPRODUCT(('Inputs'!$C$114:$C$121=$C$170)*($C$170&lt;&gt;"")*'Inputs'!$D$114:$D$121*(1+'Inputs'!$E$114:$E$121/100)^I210*(((ABS((('Inputs'!$G$114:$G$121&gt;0)*('Inputs'!$F$114:$F$121+'Inputs'!$G$114:$G$121)+('Inputs'!$G$114:$G$121=0)*12*$C$174)-12*I210)-ABS(((('Inputs'!$G$114:$G$121&gt;0)*('Inputs'!$F$114:$F$121+'Inputs'!$G$114:$G$121)+('Inputs'!$G$114:$G$121=0)*12*$C$174)-12*I210)-12)+12)/2-(ABS(('Inputs'!$F$114:$F$121-12*I210))-ABS((('Inputs'!$F$114:$F$121-12*I210))-12)+12)/2)+ABS((ABS((('Inputs'!$G$114:$G$121&gt;0)*('Inputs'!$F$114:$F$121+'Inputs'!$G$114:$G$121)+('Inputs'!$G$114:$G$121=0)*12*$C$174)-12*I210)-ABS(((('Inputs'!$G$114:$G$121&gt;0)*('Inputs'!$F$114:$F$121+'Inputs'!$G$114:$G$121)+('Inputs'!$G$114:$G$121=0)*12*$C$174)-12*I210)-12)+12)/2-(ABS(('Inputs'!$F$114:$F$121-12*I210))-ABS((('Inputs'!$F$114:$F$121-12*I210))-12)+12)/2))/2)</f>
      </c>
      <c r="L210">
        <f>IF(J210&gt;0,1,0)</f>
      </c>
      <c r="P210">
        <f>IF($C$177&lt;&gt;1,0,P209*(1+((1+$C$182)^(1/12)-1))^12-J209/12*(1+((1+$C$182)^(1/12)-1))*(((1+((1+$C$182)^(1/12)-1))^12-1)/((1+((1+$C$182)^(1/12)-1))-1)))</f>
      </c>
      <c r="Q210">
        <f>IF($C$177&lt;&gt;1,0,IFERROR((((1+($C$182+'Inputs'!$H$137/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SUMPRODUCT(('Inputs'!$C$114:$C$121=$C$170)*($C$170&lt;&gt;"")*'Inputs'!$D$114:$D$121*(1+'Inputs'!$E$114:$E$121/100)^I211*(((ABS((('Inputs'!$G$114:$G$121&gt;0)*('Inputs'!$F$114:$F$121+'Inputs'!$G$114:$G$121)+('Inputs'!$G$114:$G$121=0)*12*$C$174)-12*I211)-ABS(((('Inputs'!$G$114:$G$121&gt;0)*('Inputs'!$F$114:$F$121+'Inputs'!$G$114:$G$121)+('Inputs'!$G$114:$G$121=0)*12*$C$174)-12*I211)-12)+12)/2-(ABS(('Inputs'!$F$114:$F$121-12*I211))-ABS((('Inputs'!$F$114:$F$121-12*I211))-12)+12)/2)+ABS((ABS((('Inputs'!$G$114:$G$121&gt;0)*('Inputs'!$F$114:$F$121+'Inputs'!$G$114:$G$121)+('Inputs'!$G$114:$G$121=0)*12*$C$174)-12*I211)-ABS(((('Inputs'!$G$114:$G$121&gt;0)*('Inputs'!$F$114:$F$121+'Inputs'!$G$114:$G$121)+('Inputs'!$G$114:$G$121=0)*12*$C$174)-12*I211)-12)+12)/2-(ABS(('Inputs'!$F$114:$F$121-12*I211))-ABS((('Inputs'!$F$114:$F$121-12*I211))-12)+12)/2))/2)</f>
      </c>
      <c r="L211">
        <f>IF(J211&gt;0,1,0)</f>
      </c>
      <c r="P211">
        <f>IF($C$177&lt;&gt;1,0,P210*(1+((1+$C$182)^(1/12)-1))^12-J210/12*(1+((1+$C$182)^(1/12)-1))*(((1+((1+$C$182)^(1/12)-1))^12-1)/((1+((1+$C$182)^(1/12)-1))-1)))</f>
      </c>
      <c r="Q211">
        <f>IF($C$177&lt;&gt;1,0,IFERROR((((1+($C$182+'Inputs'!$H$137/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SUMPRODUCT(('Inputs'!$C$114:$C$121=$C$170)*($C$170&lt;&gt;"")*'Inputs'!$D$114:$D$121*(1+'Inputs'!$E$114:$E$121/100)^I212*(((ABS((('Inputs'!$G$114:$G$121&gt;0)*('Inputs'!$F$114:$F$121+'Inputs'!$G$114:$G$121)+('Inputs'!$G$114:$G$121=0)*12*$C$174)-12*I212)-ABS(((('Inputs'!$G$114:$G$121&gt;0)*('Inputs'!$F$114:$F$121+'Inputs'!$G$114:$G$121)+('Inputs'!$G$114:$G$121=0)*12*$C$174)-12*I212)-12)+12)/2-(ABS(('Inputs'!$F$114:$F$121-12*I212))-ABS((('Inputs'!$F$114:$F$121-12*I212))-12)+12)/2)+ABS((ABS((('Inputs'!$G$114:$G$121&gt;0)*('Inputs'!$F$114:$F$121+'Inputs'!$G$114:$G$121)+('Inputs'!$G$114:$G$121=0)*12*$C$174)-12*I212)-ABS(((('Inputs'!$G$114:$G$121&gt;0)*('Inputs'!$F$114:$F$121+'Inputs'!$G$114:$G$121)+('Inputs'!$G$114:$G$121=0)*12*$C$174)-12*I212)-12)+12)/2-(ABS(('Inputs'!$F$114:$F$121-12*I212))-ABS((('Inputs'!$F$114:$F$121-12*I212))-12)+12)/2))/2)</f>
      </c>
      <c r="L212">
        <f>IF(J212&gt;0,1,0)</f>
      </c>
      <c r="P212">
        <f>IF($C$177&lt;&gt;1,0,P211*(1+((1+$C$182)^(1/12)-1))^12-J211/12*(1+((1+$C$182)^(1/12)-1))*(((1+((1+$C$182)^(1/12)-1))^12-1)/((1+((1+$C$182)^(1/12)-1))-1)))</f>
      </c>
      <c r="Q212">
        <f>IF($C$177&lt;&gt;1,0,IFERROR((((1+($C$182+'Inputs'!$H$137/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SUMPRODUCT(('Inputs'!$C$114:$C$121=$C$170)*($C$170&lt;&gt;"")*'Inputs'!$D$114:$D$121*(1+'Inputs'!$E$114:$E$121/100)^I213*(((ABS((('Inputs'!$G$114:$G$121&gt;0)*('Inputs'!$F$114:$F$121+'Inputs'!$G$114:$G$121)+('Inputs'!$G$114:$G$121=0)*12*$C$174)-12*I213)-ABS(((('Inputs'!$G$114:$G$121&gt;0)*('Inputs'!$F$114:$F$121+'Inputs'!$G$114:$G$121)+('Inputs'!$G$114:$G$121=0)*12*$C$174)-12*I213)-12)+12)/2-(ABS(('Inputs'!$F$114:$F$121-12*I213))-ABS((('Inputs'!$F$114:$F$121-12*I213))-12)+12)/2)+ABS((ABS((('Inputs'!$G$114:$G$121&gt;0)*('Inputs'!$F$114:$F$121+'Inputs'!$G$114:$G$121)+('Inputs'!$G$114:$G$121=0)*12*$C$174)-12*I213)-ABS(((('Inputs'!$G$114:$G$121&gt;0)*('Inputs'!$F$114:$F$121+'Inputs'!$G$114:$G$121)+('Inputs'!$G$114:$G$121=0)*12*$C$174)-12*I213)-12)+12)/2-(ABS(('Inputs'!$F$114:$F$121-12*I213))-ABS((('Inputs'!$F$114:$F$121-12*I213))-12)+12)/2))/2)</f>
      </c>
      <c r="L213">
        <f>IF(J213&gt;0,1,0)</f>
      </c>
      <c r="P213">
        <f>IF($C$177&lt;&gt;1,0,P212*(1+((1+$C$182)^(1/12)-1))^12-J212/12*(1+((1+$C$182)^(1/12)-1))*(((1+((1+$C$182)^(1/12)-1))^12-1)/((1+((1+$C$182)^(1/12)-1))-1)))</f>
      </c>
      <c r="Q213">
        <f>IF($C$177&lt;&gt;1,0,IFERROR((((1+($C$182+'Inputs'!$H$137/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SUMPRODUCT(('Inputs'!$C$114:$C$121=$C$170)*($C$170&lt;&gt;"")*'Inputs'!$D$114:$D$121*(1+'Inputs'!$E$114:$E$121/100)^I214*(((ABS((('Inputs'!$G$114:$G$121&gt;0)*('Inputs'!$F$114:$F$121+'Inputs'!$G$114:$G$121)+('Inputs'!$G$114:$G$121=0)*12*$C$174)-12*I214)-ABS(((('Inputs'!$G$114:$G$121&gt;0)*('Inputs'!$F$114:$F$121+'Inputs'!$G$114:$G$121)+('Inputs'!$G$114:$G$121=0)*12*$C$174)-12*I214)-12)+12)/2-(ABS(('Inputs'!$F$114:$F$121-12*I214))-ABS((('Inputs'!$F$114:$F$121-12*I214))-12)+12)/2)+ABS((ABS((('Inputs'!$G$114:$G$121&gt;0)*('Inputs'!$F$114:$F$121+'Inputs'!$G$114:$G$121)+('Inputs'!$G$114:$G$121=0)*12*$C$174)-12*I214)-ABS(((('Inputs'!$G$114:$G$121&gt;0)*('Inputs'!$F$114:$F$121+'Inputs'!$G$114:$G$121)+('Inputs'!$G$114:$G$121=0)*12*$C$174)-12*I214)-12)+12)/2-(ABS(('Inputs'!$F$114:$F$121-12*I214))-ABS((('Inputs'!$F$114:$F$121-12*I214))-12)+12)/2))/2)</f>
      </c>
      <c r="L214">
        <f>IF(J214&gt;0,1,0)</f>
      </c>
      <c r="P214">
        <f>IF($C$177&lt;&gt;1,0,P213*(1+((1+$C$182)^(1/12)-1))^12-J213/12*(1+((1+$C$182)^(1/12)-1))*(((1+((1+$C$182)^(1/12)-1))^12-1)/((1+((1+$C$182)^(1/12)-1))-1)))</f>
      </c>
      <c r="Q214">
        <f>IF($C$177&lt;&gt;1,0,IFERROR((((1+($C$182+'Inputs'!$H$137/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SUMPRODUCT(('Inputs'!$C$114:$C$121=$C$170)*($C$170&lt;&gt;"")*'Inputs'!$D$114:$D$121*(1+'Inputs'!$E$114:$E$121/100)^I215*(((ABS((('Inputs'!$G$114:$G$121&gt;0)*('Inputs'!$F$114:$F$121+'Inputs'!$G$114:$G$121)+('Inputs'!$G$114:$G$121=0)*12*$C$174)-12*I215)-ABS(((('Inputs'!$G$114:$G$121&gt;0)*('Inputs'!$F$114:$F$121+'Inputs'!$G$114:$G$121)+('Inputs'!$G$114:$G$121=0)*12*$C$174)-12*I215)-12)+12)/2-(ABS(('Inputs'!$F$114:$F$121-12*I215))-ABS((('Inputs'!$F$114:$F$121-12*I215))-12)+12)/2)+ABS((ABS((('Inputs'!$G$114:$G$121&gt;0)*('Inputs'!$F$114:$F$121+'Inputs'!$G$114:$G$121)+('Inputs'!$G$114:$G$121=0)*12*$C$174)-12*I215)-ABS(((('Inputs'!$G$114:$G$121&gt;0)*('Inputs'!$F$114:$F$121+'Inputs'!$G$114:$G$121)+('Inputs'!$G$114:$G$121=0)*12*$C$174)-12*I215)-12)+12)/2-(ABS(('Inputs'!$F$114:$F$121-12*I215))-ABS((('Inputs'!$F$114:$F$121-12*I215))-12)+12)/2))/2)</f>
      </c>
      <c r="L215">
        <f>IF(J215&gt;0,1,0)</f>
      </c>
      <c r="P215">
        <f>IF($C$177&lt;&gt;1,0,P214*(1+((1+$C$182)^(1/12)-1))^12-J214/12*(1+((1+$C$182)^(1/12)-1))*(((1+((1+$C$182)^(1/12)-1))^12-1)/((1+((1+$C$182)^(1/12)-1))-1)))</f>
      </c>
      <c r="Q215">
        <f>IF($C$177&lt;&gt;1,0,IFERROR((((1+($C$182+'Inputs'!$H$137/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SUMPRODUCT(('Inputs'!$C$114:$C$121=$C$170)*($C$170&lt;&gt;"")*'Inputs'!$D$114:$D$121*(1+'Inputs'!$E$114:$E$121/100)^I216*(((ABS((('Inputs'!$G$114:$G$121&gt;0)*('Inputs'!$F$114:$F$121+'Inputs'!$G$114:$G$121)+('Inputs'!$G$114:$G$121=0)*12*$C$174)-12*I216)-ABS(((('Inputs'!$G$114:$G$121&gt;0)*('Inputs'!$F$114:$F$121+'Inputs'!$G$114:$G$121)+('Inputs'!$G$114:$G$121=0)*12*$C$174)-12*I216)-12)+12)/2-(ABS(('Inputs'!$F$114:$F$121-12*I216))-ABS((('Inputs'!$F$114:$F$121-12*I216))-12)+12)/2)+ABS((ABS((('Inputs'!$G$114:$G$121&gt;0)*('Inputs'!$F$114:$F$121+'Inputs'!$G$114:$G$121)+('Inputs'!$G$114:$G$121=0)*12*$C$174)-12*I216)-ABS(((('Inputs'!$G$114:$G$121&gt;0)*('Inputs'!$F$114:$F$121+'Inputs'!$G$114:$G$121)+('Inputs'!$G$114:$G$121=0)*12*$C$174)-12*I216)-12)+12)/2-(ABS(('Inputs'!$F$114:$F$121-12*I216))-ABS((('Inputs'!$F$114:$F$121-12*I216))-12)+12)/2))/2)</f>
      </c>
      <c r="L216">
        <f>IF(J216&gt;0,1,0)</f>
      </c>
      <c r="P216">
        <f>IF($C$177&lt;&gt;1,0,P215*(1+((1+$C$182)^(1/12)-1))^12-J215/12*(1+((1+$C$182)^(1/12)-1))*(((1+((1+$C$182)^(1/12)-1))^12-1)/((1+((1+$C$182)^(1/12)-1))-1)))</f>
      </c>
      <c r="Q216">
        <f>IF($C$177&lt;&gt;1,0,IFERROR((((1+($C$182+'Inputs'!$H$137/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SUMPRODUCT(('Inputs'!$C$114:$C$121=$C$170)*($C$170&lt;&gt;"")*'Inputs'!$D$114:$D$121*(1+'Inputs'!$E$114:$E$121/100)^I217*(((ABS((('Inputs'!$G$114:$G$121&gt;0)*('Inputs'!$F$114:$F$121+'Inputs'!$G$114:$G$121)+('Inputs'!$G$114:$G$121=0)*12*$C$174)-12*I217)-ABS(((('Inputs'!$G$114:$G$121&gt;0)*('Inputs'!$F$114:$F$121+'Inputs'!$G$114:$G$121)+('Inputs'!$G$114:$G$121=0)*12*$C$174)-12*I217)-12)+12)/2-(ABS(('Inputs'!$F$114:$F$121-12*I217))-ABS((('Inputs'!$F$114:$F$121-12*I217))-12)+12)/2)+ABS((ABS((('Inputs'!$G$114:$G$121&gt;0)*('Inputs'!$F$114:$F$121+'Inputs'!$G$114:$G$121)+('Inputs'!$G$114:$G$121=0)*12*$C$174)-12*I217)-ABS(((('Inputs'!$G$114:$G$121&gt;0)*('Inputs'!$F$114:$F$121+'Inputs'!$G$114:$G$121)+('Inputs'!$G$114:$G$121=0)*12*$C$174)-12*I217)-12)+12)/2-(ABS(('Inputs'!$F$114:$F$121-12*I217))-ABS((('Inputs'!$F$114:$F$121-12*I217))-12)+12)/2))/2)</f>
      </c>
      <c r="L217">
        <f>IF(J217&gt;0,1,0)</f>
      </c>
      <c r="P217">
        <f>IF($C$177&lt;&gt;1,0,P216*(1+((1+$C$182)^(1/12)-1))^12-J216/12*(1+((1+$C$182)^(1/12)-1))*(((1+((1+$C$182)^(1/12)-1))^12-1)/((1+((1+$C$182)^(1/12)-1))-1)))</f>
      </c>
      <c r="Q217">
        <f>IF($C$177&lt;&gt;1,0,IFERROR((((1+($C$182+'Inputs'!$H$137/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SUMPRODUCT(('Inputs'!$C$114:$C$121=$C$170)*($C$170&lt;&gt;"")*'Inputs'!$D$114:$D$121*(1+'Inputs'!$E$114:$E$121/100)^I218*(((ABS((('Inputs'!$G$114:$G$121&gt;0)*('Inputs'!$F$114:$F$121+'Inputs'!$G$114:$G$121)+('Inputs'!$G$114:$G$121=0)*12*$C$174)-12*I218)-ABS(((('Inputs'!$G$114:$G$121&gt;0)*('Inputs'!$F$114:$F$121+'Inputs'!$G$114:$G$121)+('Inputs'!$G$114:$G$121=0)*12*$C$174)-12*I218)-12)+12)/2-(ABS(('Inputs'!$F$114:$F$121-12*I218))-ABS((('Inputs'!$F$114:$F$121-12*I218))-12)+12)/2)+ABS((ABS((('Inputs'!$G$114:$G$121&gt;0)*('Inputs'!$F$114:$F$121+'Inputs'!$G$114:$G$121)+('Inputs'!$G$114:$G$121=0)*12*$C$174)-12*I218)-ABS(((('Inputs'!$G$114:$G$121&gt;0)*('Inputs'!$F$114:$F$121+'Inputs'!$G$114:$G$121)+('Inputs'!$G$114:$G$121=0)*12*$C$174)-12*I218)-12)+12)/2-(ABS(('Inputs'!$F$114:$F$121-12*I218))-ABS((('Inputs'!$F$114:$F$121-12*I218))-12)+12)/2))/2)</f>
      </c>
      <c r="L218">
        <f>IF(J218&gt;0,1,0)</f>
      </c>
      <c r="P218">
        <f>IF($C$177&lt;&gt;1,0,P217*(1+((1+$C$182)^(1/12)-1))^12-J217/12*(1+((1+$C$182)^(1/12)-1))*(((1+((1+$C$182)^(1/12)-1))^12-1)/((1+((1+$C$182)^(1/12)-1))-1)))</f>
      </c>
      <c r="Q218">
        <f>IF($C$177&lt;&gt;1,0,IFERROR((((1+($C$182+'Inputs'!$H$137/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SUMPRODUCT(('Inputs'!$C$114:$C$121=$C$170)*($C$170&lt;&gt;"")*'Inputs'!$D$114:$D$121*(1+'Inputs'!$E$114:$E$121/100)^I219*(((ABS((('Inputs'!$G$114:$G$121&gt;0)*('Inputs'!$F$114:$F$121+'Inputs'!$G$114:$G$121)+('Inputs'!$G$114:$G$121=0)*12*$C$174)-12*I219)-ABS(((('Inputs'!$G$114:$G$121&gt;0)*('Inputs'!$F$114:$F$121+'Inputs'!$G$114:$G$121)+('Inputs'!$G$114:$G$121=0)*12*$C$174)-12*I219)-12)+12)/2-(ABS(('Inputs'!$F$114:$F$121-12*I219))-ABS((('Inputs'!$F$114:$F$121-12*I219))-12)+12)/2)+ABS((ABS((('Inputs'!$G$114:$G$121&gt;0)*('Inputs'!$F$114:$F$121+'Inputs'!$G$114:$G$121)+('Inputs'!$G$114:$G$121=0)*12*$C$174)-12*I219)-ABS(((('Inputs'!$G$114:$G$121&gt;0)*('Inputs'!$F$114:$F$121+'Inputs'!$G$114:$G$121)+('Inputs'!$G$114:$G$121=0)*12*$C$174)-12*I219)-12)+12)/2-(ABS(('Inputs'!$F$114:$F$121-12*I219))-ABS((('Inputs'!$F$114:$F$121-12*I219))-12)+12)/2))/2)</f>
      </c>
      <c r="L219">
        <f>IF(J219&gt;0,1,0)</f>
      </c>
      <c r="P219">
        <f>IF($C$177&lt;&gt;1,0,P218*(1+((1+$C$182)^(1/12)-1))^12-J218/12*(1+((1+$C$182)^(1/12)-1))*(((1+((1+$C$182)^(1/12)-1))^12-1)/((1+((1+$C$182)^(1/12)-1))-1)))</f>
      </c>
      <c r="Q219">
        <f>IF($C$177&lt;&gt;1,0,IFERROR((((1+($C$182+'Inputs'!$H$137/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SUMPRODUCT(('Inputs'!$C$114:$C$121=$C$170)*($C$170&lt;&gt;"")*'Inputs'!$D$114:$D$121*(1+'Inputs'!$E$114:$E$121/100)^I220*(((ABS((('Inputs'!$G$114:$G$121&gt;0)*('Inputs'!$F$114:$F$121+'Inputs'!$G$114:$G$121)+('Inputs'!$G$114:$G$121=0)*12*$C$174)-12*I220)-ABS(((('Inputs'!$G$114:$G$121&gt;0)*('Inputs'!$F$114:$F$121+'Inputs'!$G$114:$G$121)+('Inputs'!$G$114:$G$121=0)*12*$C$174)-12*I220)-12)+12)/2-(ABS(('Inputs'!$F$114:$F$121-12*I220))-ABS((('Inputs'!$F$114:$F$121-12*I220))-12)+12)/2)+ABS((ABS((('Inputs'!$G$114:$G$121&gt;0)*('Inputs'!$F$114:$F$121+'Inputs'!$G$114:$G$121)+('Inputs'!$G$114:$G$121=0)*12*$C$174)-12*I220)-ABS(((('Inputs'!$G$114:$G$121&gt;0)*('Inputs'!$F$114:$F$121+'Inputs'!$G$114:$G$121)+('Inputs'!$G$114:$G$121=0)*12*$C$174)-12*I220)-12)+12)/2-(ABS(('Inputs'!$F$114:$F$121-12*I220))-ABS((('Inputs'!$F$114:$F$121-12*I220))-12)+12)/2))/2)</f>
      </c>
      <c r="L220">
        <f>IF(J220&gt;0,1,0)</f>
      </c>
      <c r="P220">
        <f>IF($C$177&lt;&gt;1,0,P219*(1+((1+$C$182)^(1/12)-1))^12-J219/12*(1+((1+$C$182)^(1/12)-1))*(((1+((1+$C$182)^(1/12)-1))^12-1)/((1+((1+$C$182)^(1/12)-1))-1)))</f>
      </c>
      <c r="Q220">
        <f>IF($C$177&lt;&gt;1,0,IFERROR((((1+($C$182+'Inputs'!$H$137/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SUMPRODUCT(('Inputs'!$C$114:$C$121=$C$170)*($C$170&lt;&gt;"")*'Inputs'!$D$114:$D$121*(1+'Inputs'!$E$114:$E$121/100)^I221*(((ABS((('Inputs'!$G$114:$G$121&gt;0)*('Inputs'!$F$114:$F$121+'Inputs'!$G$114:$G$121)+('Inputs'!$G$114:$G$121=0)*12*$C$174)-12*I221)-ABS(((('Inputs'!$G$114:$G$121&gt;0)*('Inputs'!$F$114:$F$121+'Inputs'!$G$114:$G$121)+('Inputs'!$G$114:$G$121=0)*12*$C$174)-12*I221)-12)+12)/2-(ABS(('Inputs'!$F$114:$F$121-12*I221))-ABS((('Inputs'!$F$114:$F$121-12*I221))-12)+12)/2)+ABS((ABS((('Inputs'!$G$114:$G$121&gt;0)*('Inputs'!$F$114:$F$121+'Inputs'!$G$114:$G$121)+('Inputs'!$G$114:$G$121=0)*12*$C$174)-12*I221)-ABS(((('Inputs'!$G$114:$G$121&gt;0)*('Inputs'!$F$114:$F$121+'Inputs'!$G$114:$G$121)+('Inputs'!$G$114:$G$121=0)*12*$C$174)-12*I221)-12)+12)/2-(ABS(('Inputs'!$F$114:$F$121-12*I221))-ABS((('Inputs'!$F$114:$F$121-12*I221))-12)+12)/2))/2)</f>
      </c>
      <c r="L221">
        <f>IF(J221&gt;0,1,0)</f>
      </c>
      <c r="P221">
        <f>IF($C$177&lt;&gt;1,0,P220*(1+((1+$C$182)^(1/12)-1))^12-J220/12*(1+((1+$C$182)^(1/12)-1))*(((1+((1+$C$182)^(1/12)-1))^12-1)/((1+((1+$C$182)^(1/12)-1))-1)))</f>
      </c>
      <c r="Q221">
        <f>IF($C$177&lt;&gt;1,0,IFERROR((((1+($C$182+'Inputs'!$H$137/100))^(1/12)-1)-((1+$C$182)^(1/12)-1))*(P221*(((1+((1+$C$182)^(1/12)-1))^12-1)/((1+((1+$C$182)^(1/12)-1))-1))-J221/12/((1+((1+$C$182)^(1/12)-1))-1)*((1+((1+$C$182)^(1/12)-1))*(((1+((1+$C$182)^(1/12)-1))^12-1)/((1+((1+$C$182)^(1/12)-1))-1))-12)),0))</f>
      </c>
    </row>
    <row r="226" spans="2:3" x14ac:dyDescent="0.25">
      <c r="B226" t="s">
        <v>122</v>
      </c>
      <c r="C226">
        <f>IF('Inputs'!$B$104="","",'Inputs'!$B$104)</f>
      </c>
    </row>
    <row r="227" spans="2:17" x14ac:dyDescent="0.25">
      <c r="B227" t="s">
        <v>124</v>
      </c>
      <c r="C227">
        <f>N('Inputs'!$D$104)</f>
      </c>
      <c r="I227" t="s">
        <v>451</v>
      </c>
      <c r="J227" t="s">
        <v>452</v>
      </c>
      <c r="K227" t="s">
        <v>453</v>
      </c>
      <c r="L227" t="s">
        <v>454</v>
      </c>
      <c r="P227" t="s">
        <v>455</v>
      </c>
      <c r="Q227" t="s">
        <v>456</v>
      </c>
    </row>
    <row r="228" spans="2:17" x14ac:dyDescent="0.25">
      <c r="B228" t="s">
        <v>457</v>
      </c>
      <c r="C228">
        <f>IF($C$227&gt;=75,'Inputs'!$H$145,IF($C$227&gt;=65,'Inputs'!$H$144,'Inputs'!$H$138))</f>
      </c>
      <c r="I228">
        <v>0</v>
      </c>
      <c r="J228">
        <f>IF(I228&lt;$C$230,MAX(0,12*$C$231*(1+$C$232)^I228-K228),0)</f>
      </c>
      <c r="K228">
        <f>SUMPRODUCT(('Inputs'!$G$76:$G$81=$C$226)*($C$226&lt;&gt;"")*'Inputs'!$D$76:$D$81*(1+'Inputs'!$E$76:$E$81/100)^I228*(ABS('Inputs'!$F$76:$F$81-12*I228)-ABS(('Inputs'!$F$76:$F$81-12*I228)-12)+12)/2)+SUMPRODUCT(('Inputs'!$C$114:$C$121=$C$226)*($C$226&lt;&gt;"")*'Inputs'!$D$114:$D$121*(1+'Inputs'!$E$114:$E$121/100)^I228*(((ABS((('Inputs'!$G$114:$G$121&gt;0)*('Inputs'!$F$114:$F$121+'Inputs'!$G$114:$G$121)+('Inputs'!$G$114:$G$121=0)*12*$C$230)-12*I228)-ABS(((('Inputs'!$G$114:$G$121&gt;0)*('Inputs'!$F$114:$F$121+'Inputs'!$G$114:$G$121)+('Inputs'!$G$114:$G$121=0)*12*$C$230)-12*I228)-12)+12)/2-(ABS(('Inputs'!$F$114:$F$121-12*I228))-ABS((('Inputs'!$F$114:$F$121-12*I228))-12)+12)/2)+ABS((ABS((('Inputs'!$G$114:$G$121&gt;0)*('Inputs'!$F$114:$F$121+'Inputs'!$G$114:$G$121)+('Inputs'!$G$114:$G$121=0)*12*$C$230)-12*I228)-ABS(((('Inputs'!$G$114:$G$121&gt;0)*('Inputs'!$F$114:$F$121+'Inputs'!$G$114:$G$121)+('Inputs'!$G$114:$G$121=0)*12*$C$230)-12*I228)-12)+12)/2-(ABS(('Inputs'!$F$114:$F$121-12*I228))-ABS((('Inputs'!$F$114:$F$121-12*I228))-12)+12)/2))/2)</f>
      </c>
      <c r="L228">
        <f>IF(J228&gt;0,1,0)</f>
      </c>
      <c r="P228">
        <f>IF($C$233&lt;&gt;1,0,IF($C$238=0,SUM($J$228:$J$277),(1-(1+$C$238)^-1)/(1-(1+$C$238)^(-1/12))/12*SUMPRODUCT($J$228:$J$277,(1+$C$238)^(-$I$228:$I$277))))</f>
      </c>
      <c r="Q228">
        <f>IF($C$233&lt;&gt;1,0,IFERROR((((1+($C$238+'Inputs'!$H$137/100))^(1/12)-1)-((1+$C$238)^(1/12)-1))*(P228*(((1+((1+$C$238)^(1/12)-1))^12-1)/((1+((1+$C$238)^(1/12)-1))-1))-J228/12/((1+((1+$C$238)^(1/12)-1))-1)*((1+((1+$C$238)^(1/12)-1))*(((1+((1+$C$238)^(1/12)-1))^12-1)/((1+((1+$C$238)^(1/12)-1))-1))-12)),0))</f>
      </c>
    </row>
    <row r="229" spans="2:17" x14ac:dyDescent="0.25">
      <c r="B229" t="s">
        <v>458</v>
      </c>
      <c r="C229">
        <f>N('Inputs'!$I$104)</f>
      </c>
      <c r="I229">
        <v>1</v>
      </c>
      <c r="J229">
        <f>IF(I229&lt;$C$230,MAX(0,12*$C$231*(1+$C$232)^I229-K229),0)</f>
      </c>
      <c r="K229">
        <f>SUMPRODUCT(('Inputs'!$G$76:$G$81=$C$226)*($C$226&lt;&gt;"")*'Inputs'!$D$76:$D$81*(1+'Inputs'!$E$76:$E$81/100)^I229*(ABS('Inputs'!$F$76:$F$81-12*I229)-ABS(('Inputs'!$F$76:$F$81-12*I229)-12)+12)/2)+SUMPRODUCT(('Inputs'!$C$114:$C$121=$C$226)*($C$226&lt;&gt;"")*'Inputs'!$D$114:$D$121*(1+'Inputs'!$E$114:$E$121/100)^I229*(((ABS((('Inputs'!$G$114:$G$121&gt;0)*('Inputs'!$F$114:$F$121+'Inputs'!$G$114:$G$121)+('Inputs'!$G$114:$G$121=0)*12*$C$230)-12*I229)-ABS(((('Inputs'!$G$114:$G$121&gt;0)*('Inputs'!$F$114:$F$121+'Inputs'!$G$114:$G$121)+('Inputs'!$G$114:$G$121=0)*12*$C$230)-12*I229)-12)+12)/2-(ABS(('Inputs'!$F$114:$F$121-12*I229))-ABS((('Inputs'!$F$114:$F$121-12*I229))-12)+12)/2)+ABS((ABS((('Inputs'!$G$114:$G$121&gt;0)*('Inputs'!$F$114:$F$121+'Inputs'!$G$114:$G$121)+('Inputs'!$G$114:$G$121=0)*12*$C$230)-12*I229)-ABS(((('Inputs'!$G$114:$G$121&gt;0)*('Inputs'!$F$114:$F$121+'Inputs'!$G$114:$G$121)+('Inputs'!$G$114:$G$121=0)*12*$C$230)-12*I229)-12)+12)/2-(ABS(('Inputs'!$F$114:$F$121-12*I229))-ABS((('Inputs'!$F$114:$F$121-12*I229))-12)+12)/2))/2)</f>
      </c>
      <c r="L229">
        <f>IF(J229&gt;0,1,0)</f>
      </c>
      <c r="P229">
        <f>IF($C$233&lt;&gt;1,0,P228*(1+((1+$C$238)^(1/12)-1))^12-J228/12*(1+((1+$C$238)^(1/12)-1))*(((1+((1+$C$238)^(1/12)-1))^12-1)/((1+((1+$C$238)^(1/12)-1))-1)))</f>
      </c>
      <c r="Q229">
        <f>IF($C$233&lt;&gt;1,0,IFERROR((((1+($C$238+'Inputs'!$H$137/100))^(1/12)-1)-((1+$C$238)^(1/12)-1))*(P229*(((1+((1+$C$238)^(1/12)-1))^12-1)/((1+((1+$C$238)^(1/12)-1))-1))-J229/12/((1+((1+$C$238)^(1/12)-1))-1)*((1+((1+$C$238)^(1/12)-1))*(((1+((1+$C$238)^(1/12)-1))^12-1)/((1+((1+$C$238)^(1/12)-1))-1))-12)),0))</f>
      </c>
    </row>
    <row r="230" spans="2:17" x14ac:dyDescent="0.25">
      <c r="B230" t="s">
        <v>459</v>
      </c>
      <c r="C230">
        <f>IF($C$226="",0,N('Inputs'!$F$104))</f>
      </c>
      <c r="I230">
        <v>2</v>
      </c>
      <c r="J230">
        <f>IF(I230&lt;$C$230,MAX(0,12*$C$231*(1+$C$232)^I230-K230),0)</f>
      </c>
      <c r="K230">
        <f>SUMPRODUCT(('Inputs'!$G$76:$G$81=$C$226)*($C$226&lt;&gt;"")*'Inputs'!$D$76:$D$81*(1+'Inputs'!$E$76:$E$81/100)^I230*(ABS('Inputs'!$F$76:$F$81-12*I230)-ABS(('Inputs'!$F$76:$F$81-12*I230)-12)+12)/2)+SUMPRODUCT(('Inputs'!$C$114:$C$121=$C$226)*($C$226&lt;&gt;"")*'Inputs'!$D$114:$D$121*(1+'Inputs'!$E$114:$E$121/100)^I230*(((ABS((('Inputs'!$G$114:$G$121&gt;0)*('Inputs'!$F$114:$F$121+'Inputs'!$G$114:$G$121)+('Inputs'!$G$114:$G$121=0)*12*$C$230)-12*I230)-ABS(((('Inputs'!$G$114:$G$121&gt;0)*('Inputs'!$F$114:$F$121+'Inputs'!$G$114:$G$121)+('Inputs'!$G$114:$G$121=0)*12*$C$230)-12*I230)-12)+12)/2-(ABS(('Inputs'!$F$114:$F$121-12*I230))-ABS((('Inputs'!$F$114:$F$121-12*I230))-12)+12)/2)+ABS((ABS((('Inputs'!$G$114:$G$121&gt;0)*('Inputs'!$F$114:$F$121+'Inputs'!$G$114:$G$121)+('Inputs'!$G$114:$G$121=0)*12*$C$230)-12*I230)-ABS(((('Inputs'!$G$114:$G$121&gt;0)*('Inputs'!$F$114:$F$121+'Inputs'!$G$114:$G$121)+('Inputs'!$G$114:$G$121=0)*12*$C$230)-12*I230)-12)+12)/2-(ABS(('Inputs'!$F$114:$F$121-12*I230))-ABS((('Inputs'!$F$114:$F$121-12*I230))-12)+12)/2))/2)</f>
      </c>
      <c r="L230">
        <f>IF(J230&gt;0,1,0)</f>
      </c>
      <c r="P230">
        <f>IF($C$233&lt;&gt;1,0,P229*(1+((1+$C$238)^(1/12)-1))^12-J229/12*(1+((1+$C$238)^(1/12)-1))*(((1+((1+$C$238)^(1/12)-1))^12-1)/((1+((1+$C$238)^(1/12)-1))-1)))</f>
      </c>
      <c r="Q230">
        <f>IF($C$233&lt;&gt;1,0,IFERROR((((1+($C$238+'Inputs'!$H$137/100))^(1/12)-1)-((1+$C$238)^(1/12)-1))*(P230*(((1+((1+$C$238)^(1/12)-1))^12-1)/((1+((1+$C$238)^(1/12)-1))-1))-J230/12/((1+((1+$C$238)^(1/12)-1))-1)*((1+((1+$C$238)^(1/12)-1))*(((1+((1+$C$238)^(1/12)-1))^12-1)/((1+((1+$C$238)^(1/12)-1))-1))-12)),0))</f>
      </c>
    </row>
    <row r="231" spans="2:17" x14ac:dyDescent="0.25">
      <c r="B231" t="s">
        <v>460</v>
      </c>
      <c r="C231">
        <f>N('Inputs'!$E$104)</f>
      </c>
      <c r="I231">
        <v>3</v>
      </c>
      <c r="J231">
        <f>IF(I231&lt;$C$230,MAX(0,12*$C$231*(1+$C$232)^I231-K231),0)</f>
      </c>
      <c r="K231">
        <f>SUMPRODUCT(('Inputs'!$G$76:$G$81=$C$226)*($C$226&lt;&gt;"")*'Inputs'!$D$76:$D$81*(1+'Inputs'!$E$76:$E$81/100)^I231*(ABS('Inputs'!$F$76:$F$81-12*I231)-ABS(('Inputs'!$F$76:$F$81-12*I231)-12)+12)/2)+SUMPRODUCT(('Inputs'!$C$114:$C$121=$C$226)*($C$226&lt;&gt;"")*'Inputs'!$D$114:$D$121*(1+'Inputs'!$E$114:$E$121/100)^I231*(((ABS((('Inputs'!$G$114:$G$121&gt;0)*('Inputs'!$F$114:$F$121+'Inputs'!$G$114:$G$121)+('Inputs'!$G$114:$G$121=0)*12*$C$230)-12*I231)-ABS(((('Inputs'!$G$114:$G$121&gt;0)*('Inputs'!$F$114:$F$121+'Inputs'!$G$114:$G$121)+('Inputs'!$G$114:$G$121=0)*12*$C$230)-12*I231)-12)+12)/2-(ABS(('Inputs'!$F$114:$F$121-12*I231))-ABS((('Inputs'!$F$114:$F$121-12*I231))-12)+12)/2)+ABS((ABS((('Inputs'!$G$114:$G$121&gt;0)*('Inputs'!$F$114:$F$121+'Inputs'!$G$114:$G$121)+('Inputs'!$G$114:$G$121=0)*12*$C$230)-12*I231)-ABS(((('Inputs'!$G$114:$G$121&gt;0)*('Inputs'!$F$114:$F$121+'Inputs'!$G$114:$G$121)+('Inputs'!$G$114:$G$121=0)*12*$C$230)-12*I231)-12)+12)/2-(ABS(('Inputs'!$F$114:$F$121-12*I231))-ABS((('Inputs'!$F$114:$F$121-12*I231))-12)+12)/2))/2)</f>
      </c>
      <c r="L231">
        <f>IF(J231&gt;0,1,0)</f>
      </c>
      <c r="P231">
        <f>IF($C$233&lt;&gt;1,0,P230*(1+((1+$C$238)^(1/12)-1))^12-J230/12*(1+((1+$C$238)^(1/12)-1))*(((1+((1+$C$238)^(1/12)-1))^12-1)/((1+((1+$C$238)^(1/12)-1))-1)))</f>
      </c>
      <c r="Q231">
        <f>IF($C$233&lt;&gt;1,0,IFERROR((((1+($C$238+'Inputs'!$H$137/100))^(1/12)-1)-((1+$C$238)^(1/12)-1))*(P231*(((1+((1+$C$238)^(1/12)-1))^12-1)/((1+((1+$C$238)^(1/12)-1))-1))-J231/12/((1+((1+$C$238)^(1/12)-1))-1)*((1+((1+$C$238)^(1/12)-1))*(((1+((1+$C$238)^(1/12)-1))^12-1)/((1+((1+$C$238)^(1/12)-1))-1))-12)),0))</f>
      </c>
    </row>
    <row r="232" spans="2:17" x14ac:dyDescent="0.25">
      <c r="B232" t="s">
        <v>461</v>
      </c>
      <c r="C232">
        <f>IF('Inputs'!$G$104="",'Inputs'!$H$143/100,'Inputs'!$G$104/100)</f>
      </c>
      <c r="I232">
        <v>4</v>
      </c>
      <c r="J232">
        <f>IF(I232&lt;$C$230,MAX(0,12*$C$231*(1+$C$232)^I232-K232),0)</f>
      </c>
      <c r="K232">
        <f>SUMPRODUCT(('Inputs'!$G$76:$G$81=$C$226)*($C$226&lt;&gt;"")*'Inputs'!$D$76:$D$81*(1+'Inputs'!$E$76:$E$81/100)^I232*(ABS('Inputs'!$F$76:$F$81-12*I232)-ABS(('Inputs'!$F$76:$F$81-12*I232)-12)+12)/2)+SUMPRODUCT(('Inputs'!$C$114:$C$121=$C$226)*($C$226&lt;&gt;"")*'Inputs'!$D$114:$D$121*(1+'Inputs'!$E$114:$E$121/100)^I232*(((ABS((('Inputs'!$G$114:$G$121&gt;0)*('Inputs'!$F$114:$F$121+'Inputs'!$G$114:$G$121)+('Inputs'!$G$114:$G$121=0)*12*$C$230)-12*I232)-ABS(((('Inputs'!$G$114:$G$121&gt;0)*('Inputs'!$F$114:$F$121+'Inputs'!$G$114:$G$121)+('Inputs'!$G$114:$G$121=0)*12*$C$230)-12*I232)-12)+12)/2-(ABS(('Inputs'!$F$114:$F$121-12*I232))-ABS((('Inputs'!$F$114:$F$121-12*I232))-12)+12)/2)+ABS((ABS((('Inputs'!$G$114:$G$121&gt;0)*('Inputs'!$F$114:$F$121+'Inputs'!$G$114:$G$121)+('Inputs'!$G$114:$G$121=0)*12*$C$230)-12*I232)-ABS(((('Inputs'!$G$114:$G$121&gt;0)*('Inputs'!$F$114:$F$121+'Inputs'!$G$114:$G$121)+('Inputs'!$G$114:$G$121=0)*12*$C$230)-12*I232)-12)+12)/2-(ABS(('Inputs'!$F$114:$F$121-12*I232))-ABS((('Inputs'!$F$114:$F$121-12*I232))-12)+12)/2))/2)</f>
      </c>
      <c r="L232">
        <f>IF(J232&gt;0,1,0)</f>
      </c>
      <c r="P232">
        <f>IF($C$233&lt;&gt;1,0,P231*(1+((1+$C$238)^(1/12)-1))^12-J231/12*(1+((1+$C$238)^(1/12)-1))*(((1+((1+$C$238)^(1/12)-1))^12-1)/((1+((1+$C$238)^(1/12)-1))-1)))</f>
      </c>
      <c r="Q232">
        <f>IF($C$233&lt;&gt;1,0,IFERROR((((1+($C$238+'Inputs'!$H$137/100))^(1/12)-1)-((1+$C$238)^(1/12)-1))*(P232*(((1+((1+$C$238)^(1/12)-1))^12-1)/((1+((1+$C$238)^(1/12)-1))-1))-J232/12/((1+((1+$C$238)^(1/12)-1))-1)*((1+((1+$C$238)^(1/12)-1))*(((1+((1+$C$238)^(1/12)-1))^12-1)/((1+((1+$C$238)^(1/12)-1))-1))-12)),0))</f>
      </c>
    </row>
    <row r="233" spans="2:17" x14ac:dyDescent="0.25">
      <c r="B233" t="s">
        <v>462</v>
      </c>
      <c r="C233">
        <f>IF('Inputs'!$H$104="Yes",1,0)</f>
      </c>
      <c r="I233">
        <v>5</v>
      </c>
      <c r="J233">
        <f>IF(I233&lt;$C$230,MAX(0,12*$C$231*(1+$C$232)^I233-K233),0)</f>
      </c>
      <c r="K233">
        <f>SUMPRODUCT(('Inputs'!$G$76:$G$81=$C$226)*($C$226&lt;&gt;"")*'Inputs'!$D$76:$D$81*(1+'Inputs'!$E$76:$E$81/100)^I233*(ABS('Inputs'!$F$76:$F$81-12*I233)-ABS(('Inputs'!$F$76:$F$81-12*I233)-12)+12)/2)+SUMPRODUCT(('Inputs'!$C$114:$C$121=$C$226)*($C$226&lt;&gt;"")*'Inputs'!$D$114:$D$121*(1+'Inputs'!$E$114:$E$121/100)^I233*(((ABS((('Inputs'!$G$114:$G$121&gt;0)*('Inputs'!$F$114:$F$121+'Inputs'!$G$114:$G$121)+('Inputs'!$G$114:$G$121=0)*12*$C$230)-12*I233)-ABS(((('Inputs'!$G$114:$G$121&gt;0)*('Inputs'!$F$114:$F$121+'Inputs'!$G$114:$G$121)+('Inputs'!$G$114:$G$121=0)*12*$C$230)-12*I233)-12)+12)/2-(ABS(('Inputs'!$F$114:$F$121-12*I233))-ABS((('Inputs'!$F$114:$F$121-12*I233))-12)+12)/2)+ABS((ABS((('Inputs'!$G$114:$G$121&gt;0)*('Inputs'!$F$114:$F$121+'Inputs'!$G$114:$G$121)+('Inputs'!$G$114:$G$121=0)*12*$C$230)-12*I233)-ABS(((('Inputs'!$G$114:$G$121&gt;0)*('Inputs'!$F$114:$F$121+'Inputs'!$G$114:$G$121)+('Inputs'!$G$114:$G$121=0)*12*$C$230)-12*I233)-12)+12)/2-(ABS(('Inputs'!$F$114:$F$121-12*I233))-ABS((('Inputs'!$F$114:$F$121-12*I233))-12)+12)/2))/2)</f>
      </c>
      <c r="L233">
        <f>IF(J233&gt;0,1,0)</f>
      </c>
      <c r="P233">
        <f>IF($C$233&lt;&gt;1,0,P232*(1+((1+$C$238)^(1/12)-1))^12-J232/12*(1+((1+$C$238)^(1/12)-1))*(((1+((1+$C$238)^(1/12)-1))^12-1)/((1+((1+$C$238)^(1/12)-1))-1)))</f>
      </c>
      <c r="Q233">
        <f>IF($C$233&lt;&gt;1,0,IFERROR((((1+($C$238+'Inputs'!$H$137/100))^(1/12)-1)-((1+$C$238)^(1/12)-1))*(P233*(((1+((1+$C$238)^(1/12)-1))^12-1)/((1+((1+$C$238)^(1/12)-1))-1))-J233/12/((1+((1+$C$238)^(1/12)-1))-1)*((1+((1+$C$238)^(1/12)-1))*(((1+((1+$C$238)^(1/12)-1))^12-1)/((1+((1+$C$238)^(1/12)-1))-1))-12)),0))</f>
      </c>
    </row>
    <row r="234" spans="2:17" x14ac:dyDescent="0.25">
      <c r="B234" t="s">
        <v>463</v>
      </c>
      <c r="C234">
        <f>IF($C$226="",0,N('Inputs'!$J$104))</f>
      </c>
      <c r="I234">
        <v>6</v>
      </c>
      <c r="J234">
        <f>IF(I234&lt;$C$230,MAX(0,12*$C$231*(1+$C$232)^I234-K234),0)</f>
      </c>
      <c r="K234">
        <f>SUMPRODUCT(('Inputs'!$G$76:$G$81=$C$226)*($C$226&lt;&gt;"")*'Inputs'!$D$76:$D$81*(1+'Inputs'!$E$76:$E$81/100)^I234*(ABS('Inputs'!$F$76:$F$81-12*I234)-ABS(('Inputs'!$F$76:$F$81-12*I234)-12)+12)/2)+SUMPRODUCT(('Inputs'!$C$114:$C$121=$C$226)*($C$226&lt;&gt;"")*'Inputs'!$D$114:$D$121*(1+'Inputs'!$E$114:$E$121/100)^I234*(((ABS((('Inputs'!$G$114:$G$121&gt;0)*('Inputs'!$F$114:$F$121+'Inputs'!$G$114:$G$121)+('Inputs'!$G$114:$G$121=0)*12*$C$230)-12*I234)-ABS(((('Inputs'!$G$114:$G$121&gt;0)*('Inputs'!$F$114:$F$121+'Inputs'!$G$114:$G$121)+('Inputs'!$G$114:$G$121=0)*12*$C$230)-12*I234)-12)+12)/2-(ABS(('Inputs'!$F$114:$F$121-12*I234))-ABS((('Inputs'!$F$114:$F$121-12*I234))-12)+12)/2)+ABS((ABS((('Inputs'!$G$114:$G$121&gt;0)*('Inputs'!$F$114:$F$121+'Inputs'!$G$114:$G$121)+('Inputs'!$G$114:$G$121=0)*12*$C$230)-12*I234)-ABS(((('Inputs'!$G$114:$G$121&gt;0)*('Inputs'!$F$114:$F$121+'Inputs'!$G$114:$G$121)+('Inputs'!$G$114:$G$121=0)*12*$C$230)-12*I234)-12)+12)/2-(ABS(('Inputs'!$F$114:$F$121-12*I234))-ABS((('Inputs'!$F$114:$F$121-12*I234))-12)+12)/2))/2)</f>
      </c>
      <c r="L234">
        <f>IF(J234&gt;0,1,0)</f>
      </c>
      <c r="P234">
        <f>IF($C$233&lt;&gt;1,0,P233*(1+((1+$C$238)^(1/12)-1))^12-J233/12*(1+((1+$C$238)^(1/12)-1))*(((1+((1+$C$238)^(1/12)-1))^12-1)/((1+((1+$C$238)^(1/12)-1))-1)))</f>
      </c>
      <c r="Q234">
        <f>IF($C$233&lt;&gt;1,0,IFERROR((((1+($C$238+'Inputs'!$H$137/100))^(1/12)-1)-((1+$C$238)^(1/12)-1))*(P234*(((1+((1+$C$238)^(1/12)-1))^12-1)/((1+((1+$C$238)^(1/12)-1))-1))-J234/12/((1+((1+$C$238)^(1/12)-1))-1)*((1+((1+$C$238)^(1/12)-1))*(((1+((1+$C$238)^(1/12)-1))^12-1)/((1+((1+$C$238)^(1/12)-1))-1))-12)),0))</f>
      </c>
    </row>
    <row r="235" spans="2:17" x14ac:dyDescent="0.25">
      <c r="B235" t="s">
        <v>464</v>
      </c>
      <c r="C235">
        <f>ROUND(Q228,2)</f>
      </c>
      <c r="I235">
        <v>7</v>
      </c>
      <c r="J235">
        <f>IF(I235&lt;$C$230,MAX(0,12*$C$231*(1+$C$232)^I235-K235),0)</f>
      </c>
      <c r="K235">
        <f>SUMPRODUCT(('Inputs'!$G$76:$G$81=$C$226)*($C$226&lt;&gt;"")*'Inputs'!$D$76:$D$81*(1+'Inputs'!$E$76:$E$81/100)^I235*(ABS('Inputs'!$F$76:$F$81-12*I235)-ABS(('Inputs'!$F$76:$F$81-12*I235)-12)+12)/2)+SUMPRODUCT(('Inputs'!$C$114:$C$121=$C$226)*($C$226&lt;&gt;"")*'Inputs'!$D$114:$D$121*(1+'Inputs'!$E$114:$E$121/100)^I235*(((ABS((('Inputs'!$G$114:$G$121&gt;0)*('Inputs'!$F$114:$F$121+'Inputs'!$G$114:$G$121)+('Inputs'!$G$114:$G$121=0)*12*$C$230)-12*I235)-ABS(((('Inputs'!$G$114:$G$121&gt;0)*('Inputs'!$F$114:$F$121+'Inputs'!$G$114:$G$121)+('Inputs'!$G$114:$G$121=0)*12*$C$230)-12*I235)-12)+12)/2-(ABS(('Inputs'!$F$114:$F$121-12*I235))-ABS((('Inputs'!$F$114:$F$121-12*I235))-12)+12)/2)+ABS((ABS((('Inputs'!$G$114:$G$121&gt;0)*('Inputs'!$F$114:$F$121+'Inputs'!$G$114:$G$121)+('Inputs'!$G$114:$G$121=0)*12*$C$230)-12*I235)-ABS(((('Inputs'!$G$114:$G$121&gt;0)*('Inputs'!$F$114:$F$121+'Inputs'!$G$114:$G$121)+('Inputs'!$G$114:$G$121=0)*12*$C$230)-12*I235)-12)+12)/2-(ABS(('Inputs'!$F$114:$F$121-12*I235))-ABS((('Inputs'!$F$114:$F$121-12*I235))-12)+12)/2))/2)</f>
      </c>
      <c r="L235">
        <f>IF(J235&gt;0,1,0)</f>
      </c>
      <c r="P235">
        <f>IF($C$233&lt;&gt;1,0,P234*(1+((1+$C$238)^(1/12)-1))^12-J234/12*(1+((1+$C$238)^(1/12)-1))*(((1+((1+$C$238)^(1/12)-1))^12-1)/((1+((1+$C$238)^(1/12)-1))-1)))</f>
      </c>
      <c r="Q235">
        <f>IF($C$233&lt;&gt;1,0,IFERROR((((1+($C$238+'Inputs'!$H$137/100))^(1/12)-1)-((1+$C$238)^(1/12)-1))*(P235*(((1+((1+$C$238)^(1/12)-1))^12-1)/((1+((1+$C$238)^(1/12)-1))-1))-J235/12/((1+((1+$C$238)^(1/12)-1))-1)*((1+((1+$C$238)^(1/12)-1))*(((1+((1+$C$238)^(1/12)-1))^12-1)/((1+((1+$C$238)^(1/12)-1))-1))-12)),0))</f>
      </c>
    </row>
    <row r="236" spans="2:17" x14ac:dyDescent="0.25">
      <c r="B236" t="s">
        <v>465</v>
      </c>
      <c r="C236">
        <f>ROUND(SUM($Q$228:$Q$277),2)</f>
      </c>
      <c r="I236">
        <v>8</v>
      </c>
      <c r="J236">
        <f>IF(I236&lt;$C$230,MAX(0,12*$C$231*(1+$C$232)^I236-K236),0)</f>
      </c>
      <c r="K236">
        <f>SUMPRODUCT(('Inputs'!$G$76:$G$81=$C$226)*($C$226&lt;&gt;"")*'Inputs'!$D$76:$D$81*(1+'Inputs'!$E$76:$E$81/100)^I236*(ABS('Inputs'!$F$76:$F$81-12*I236)-ABS(('Inputs'!$F$76:$F$81-12*I236)-12)+12)/2)+SUMPRODUCT(('Inputs'!$C$114:$C$121=$C$226)*($C$226&lt;&gt;"")*'Inputs'!$D$114:$D$121*(1+'Inputs'!$E$114:$E$121/100)^I236*(((ABS((('Inputs'!$G$114:$G$121&gt;0)*('Inputs'!$F$114:$F$121+'Inputs'!$G$114:$G$121)+('Inputs'!$G$114:$G$121=0)*12*$C$230)-12*I236)-ABS(((('Inputs'!$G$114:$G$121&gt;0)*('Inputs'!$F$114:$F$121+'Inputs'!$G$114:$G$121)+('Inputs'!$G$114:$G$121=0)*12*$C$230)-12*I236)-12)+12)/2-(ABS(('Inputs'!$F$114:$F$121-12*I236))-ABS((('Inputs'!$F$114:$F$121-12*I236))-12)+12)/2)+ABS((ABS((('Inputs'!$G$114:$G$121&gt;0)*('Inputs'!$F$114:$F$121+'Inputs'!$G$114:$G$121)+('Inputs'!$G$114:$G$121=0)*12*$C$230)-12*I236)-ABS(((('Inputs'!$G$114:$G$121&gt;0)*('Inputs'!$F$114:$F$121+'Inputs'!$G$114:$G$121)+('Inputs'!$G$114:$G$121=0)*12*$C$230)-12*I236)-12)+12)/2-(ABS(('Inputs'!$F$114:$F$121-12*I236))-ABS((('Inputs'!$F$114:$F$121-12*I236))-12)+12)/2))/2)</f>
      </c>
      <c r="L236">
        <f>IF(J236&gt;0,1,0)</f>
      </c>
      <c r="P236">
        <f>IF($C$233&lt;&gt;1,0,P235*(1+((1+$C$238)^(1/12)-1))^12-J235/12*(1+((1+$C$238)^(1/12)-1))*(((1+((1+$C$238)^(1/12)-1))^12-1)/((1+((1+$C$238)^(1/12)-1))-1)))</f>
      </c>
      <c r="Q236">
        <f>IF($C$233&lt;&gt;1,0,IFERROR((((1+($C$238+'Inputs'!$H$137/100))^(1/12)-1)-((1+$C$238)^(1/12)-1))*(P236*(((1+((1+$C$238)^(1/12)-1))^12-1)/((1+((1+$C$238)^(1/12)-1))-1))-J236/12/((1+((1+$C$238)^(1/12)-1))-1)*((1+((1+$C$238)^(1/12)-1))*(((1+((1+$C$238)^(1/12)-1))^12-1)/((1+((1+$C$238)^(1/12)-1))-1))-12)),0))</f>
      </c>
    </row>
    <row r="237" spans="2:17" x14ac:dyDescent="0.25">
      <c r="B237" t="s">
        <v>466</v>
      </c>
      <c r="C237">
        <f>IF($C$233&lt;&gt;1,0,ROUND(IF($C$238=0,SUM($J$228:$J$277),(1-(1+$C$238)^-1)/(1-(1+$C$238)^(-1/12))/12*SUMPRODUCT($J$228:$J$277,(1+$C$238)^(-$I$228:$I$277)))-IF(($C$238+'Inputs'!$H$137/100)=0,SUM($J$228:$J$277),(1-(1+($C$238+'Inputs'!$H$137/100))^-1)/(1-(1+($C$238+'Inputs'!$H$137/100))^(-1/12))/12*SUMPRODUCT($J$228:$J$277,(1+($C$238+'Inputs'!$H$137/100))^(-$I$228:$I$277))),2))</f>
      </c>
      <c r="I237">
        <v>9</v>
      </c>
      <c r="J237">
        <f>IF(I237&lt;$C$230,MAX(0,12*$C$231*(1+$C$232)^I237-K237),0)</f>
      </c>
      <c r="K237">
        <f>SUMPRODUCT(('Inputs'!$G$76:$G$81=$C$226)*($C$226&lt;&gt;"")*'Inputs'!$D$76:$D$81*(1+'Inputs'!$E$76:$E$81/100)^I237*(ABS('Inputs'!$F$76:$F$81-12*I237)-ABS(('Inputs'!$F$76:$F$81-12*I237)-12)+12)/2)+SUMPRODUCT(('Inputs'!$C$114:$C$121=$C$226)*($C$226&lt;&gt;"")*'Inputs'!$D$114:$D$121*(1+'Inputs'!$E$114:$E$121/100)^I237*(((ABS((('Inputs'!$G$114:$G$121&gt;0)*('Inputs'!$F$114:$F$121+'Inputs'!$G$114:$G$121)+('Inputs'!$G$114:$G$121=0)*12*$C$230)-12*I237)-ABS(((('Inputs'!$G$114:$G$121&gt;0)*('Inputs'!$F$114:$F$121+'Inputs'!$G$114:$G$121)+('Inputs'!$G$114:$G$121=0)*12*$C$230)-12*I237)-12)+12)/2-(ABS(('Inputs'!$F$114:$F$121-12*I237))-ABS((('Inputs'!$F$114:$F$121-12*I237))-12)+12)/2)+ABS((ABS((('Inputs'!$G$114:$G$121&gt;0)*('Inputs'!$F$114:$F$121+'Inputs'!$G$114:$G$121)+('Inputs'!$G$114:$G$121=0)*12*$C$230)-12*I237)-ABS(((('Inputs'!$G$114:$G$121&gt;0)*('Inputs'!$F$114:$F$121+'Inputs'!$G$114:$G$121)+('Inputs'!$G$114:$G$121=0)*12*$C$230)-12*I237)-12)+12)/2-(ABS(('Inputs'!$F$114:$F$121-12*I237))-ABS((('Inputs'!$F$114:$F$121-12*I237))-12)+12)/2))/2)</f>
      </c>
      <c r="L237">
        <f>IF(J237&gt;0,1,0)</f>
      </c>
      <c r="P237">
        <f>IF($C$233&lt;&gt;1,0,P236*(1+((1+$C$238)^(1/12)-1))^12-J236/12*(1+((1+$C$238)^(1/12)-1))*(((1+((1+$C$238)^(1/12)-1))^12-1)/((1+((1+$C$238)^(1/12)-1))-1)))</f>
      </c>
      <c r="Q237">
        <f>IF($C$233&lt;&gt;1,0,IFERROR((((1+($C$238+'Inputs'!$H$137/100))^(1/12)-1)-((1+$C$238)^(1/12)-1))*(P237*(((1+((1+$C$238)^(1/12)-1))^12-1)/((1+((1+$C$238)^(1/12)-1))-1))-J237/12/((1+((1+$C$238)^(1/12)-1))-1)*((1+((1+$C$238)^(1/12)-1))*(((1+((1+$C$238)^(1/12)-1))^12-1)/((1+((1+$C$238)^(1/12)-1))-1))-12)),0))</f>
      </c>
    </row>
    <row r="238" spans="2:17" x14ac:dyDescent="0.25">
      <c r="B238" t="s">
        <v>467</v>
      </c>
      <c r="C238">
        <f>IF($C$233=1,'Needs calc'!$C$91,0)</f>
      </c>
      <c r="I238">
        <v>10</v>
      </c>
      <c r="J238">
        <f>IF(I238&lt;$C$230,MAX(0,12*$C$231*(1+$C$232)^I238-K238),0)</f>
      </c>
      <c r="K238">
        <f>SUMPRODUCT(('Inputs'!$G$76:$G$81=$C$226)*($C$226&lt;&gt;"")*'Inputs'!$D$76:$D$81*(1+'Inputs'!$E$76:$E$81/100)^I238*(ABS('Inputs'!$F$76:$F$81-12*I238)-ABS(('Inputs'!$F$76:$F$81-12*I238)-12)+12)/2)+SUMPRODUCT(('Inputs'!$C$114:$C$121=$C$226)*($C$226&lt;&gt;"")*'Inputs'!$D$114:$D$121*(1+'Inputs'!$E$114:$E$121/100)^I238*(((ABS((('Inputs'!$G$114:$G$121&gt;0)*('Inputs'!$F$114:$F$121+'Inputs'!$G$114:$G$121)+('Inputs'!$G$114:$G$121=0)*12*$C$230)-12*I238)-ABS(((('Inputs'!$G$114:$G$121&gt;0)*('Inputs'!$F$114:$F$121+'Inputs'!$G$114:$G$121)+('Inputs'!$G$114:$G$121=0)*12*$C$230)-12*I238)-12)+12)/2-(ABS(('Inputs'!$F$114:$F$121-12*I238))-ABS((('Inputs'!$F$114:$F$121-12*I238))-12)+12)/2)+ABS((ABS((('Inputs'!$G$114:$G$121&gt;0)*('Inputs'!$F$114:$F$121+'Inputs'!$G$114:$G$121)+('Inputs'!$G$114:$G$121=0)*12*$C$230)-12*I238)-ABS(((('Inputs'!$G$114:$G$121&gt;0)*('Inputs'!$F$114:$F$121+'Inputs'!$G$114:$G$121)+('Inputs'!$G$114:$G$121=0)*12*$C$230)-12*I238)-12)+12)/2-(ABS(('Inputs'!$F$114:$F$121-12*I238))-ABS((('Inputs'!$F$114:$F$121-12*I238))-12)+12)/2))/2)</f>
      </c>
      <c r="L238">
        <f>IF(J238&gt;0,1,0)</f>
      </c>
      <c r="P238">
        <f>IF($C$233&lt;&gt;1,0,P237*(1+((1+$C$238)^(1/12)-1))^12-J237/12*(1+((1+$C$238)^(1/12)-1))*(((1+((1+$C$238)^(1/12)-1))^12-1)/((1+((1+$C$238)^(1/12)-1))-1)))</f>
      </c>
      <c r="Q238">
        <f>IF($C$233&lt;&gt;1,0,IFERROR((((1+($C$238+'Inputs'!$H$137/100))^(1/12)-1)-((1+$C$238)^(1/12)-1))*(P238*(((1+((1+$C$238)^(1/12)-1))^12-1)/((1+((1+$C$238)^(1/12)-1))-1))-J238/12/((1+((1+$C$238)^(1/12)-1))-1)*((1+((1+$C$238)^(1/12)-1))*(((1+((1+$C$238)^(1/12)-1))^12-1)/((1+((1+$C$238)^(1/12)-1))-1))-12)),0))</f>
      </c>
    </row>
    <row r="239" spans="2:17" x14ac:dyDescent="0.25">
      <c r="B239" t="s">
        <v>468</v>
      </c>
      <c r="C239">
        <f>SUMPRODUCT(('Inputs'!$G$76:$G$81=$C$226)*($C$226&lt;&gt;"")*('Inputs'!$F$76:$F$81&gt;0)*'Inputs'!$D$76:$D$81)</f>
      </c>
      <c r="I239">
        <v>11</v>
      </c>
      <c r="J239">
        <f>IF(I239&lt;$C$230,MAX(0,12*$C$231*(1+$C$232)^I239-K239),0)</f>
      </c>
      <c r="K239">
        <f>SUMPRODUCT(('Inputs'!$G$76:$G$81=$C$226)*($C$226&lt;&gt;"")*'Inputs'!$D$76:$D$81*(1+'Inputs'!$E$76:$E$81/100)^I239*(ABS('Inputs'!$F$76:$F$81-12*I239)-ABS(('Inputs'!$F$76:$F$81-12*I239)-12)+12)/2)+SUMPRODUCT(('Inputs'!$C$114:$C$121=$C$226)*($C$226&lt;&gt;"")*'Inputs'!$D$114:$D$121*(1+'Inputs'!$E$114:$E$121/100)^I239*(((ABS((('Inputs'!$G$114:$G$121&gt;0)*('Inputs'!$F$114:$F$121+'Inputs'!$G$114:$G$121)+('Inputs'!$G$114:$G$121=0)*12*$C$230)-12*I239)-ABS(((('Inputs'!$G$114:$G$121&gt;0)*('Inputs'!$F$114:$F$121+'Inputs'!$G$114:$G$121)+('Inputs'!$G$114:$G$121=0)*12*$C$230)-12*I239)-12)+12)/2-(ABS(('Inputs'!$F$114:$F$121-12*I239))-ABS((('Inputs'!$F$114:$F$121-12*I239))-12)+12)/2)+ABS((ABS((('Inputs'!$G$114:$G$121&gt;0)*('Inputs'!$F$114:$F$121+'Inputs'!$G$114:$G$121)+('Inputs'!$G$114:$G$121=0)*12*$C$230)-12*I239)-ABS(((('Inputs'!$G$114:$G$121&gt;0)*('Inputs'!$F$114:$F$121+'Inputs'!$G$114:$G$121)+('Inputs'!$G$114:$G$121=0)*12*$C$230)-12*I239)-12)+12)/2-(ABS(('Inputs'!$F$114:$F$121-12*I239))-ABS((('Inputs'!$F$114:$F$121-12*I239))-12)+12)/2))/2)</f>
      </c>
      <c r="L239">
        <f>IF(J239&gt;0,1,0)</f>
      </c>
      <c r="P239">
        <f>IF($C$233&lt;&gt;1,0,P238*(1+((1+$C$238)^(1/12)-1))^12-J238/12*(1+((1+$C$238)^(1/12)-1))*(((1+((1+$C$238)^(1/12)-1))^12-1)/((1+((1+$C$238)^(1/12)-1))-1)))</f>
      </c>
      <c r="Q239">
        <f>IF($C$233&lt;&gt;1,0,IFERROR((((1+($C$238+'Inputs'!$H$137/100))^(1/12)-1)-((1+$C$238)^(1/12)-1))*(P239*(((1+((1+$C$238)^(1/12)-1))^12-1)/((1+((1+$C$238)^(1/12)-1))-1))-J239/12/((1+((1+$C$238)^(1/12)-1))-1)*((1+((1+$C$238)^(1/12)-1))*(((1+((1+$C$238)^(1/12)-1))^12-1)/((1+((1+$C$238)^(1/12)-1))-1))-12)),0))</f>
      </c>
    </row>
    <row r="240" spans="2:17" x14ac:dyDescent="0.25">
      <c r="B240" t="s">
        <v>469</v>
      </c>
      <c r="C240">
        <f>IF($C$230&gt;0,$C$231-J228/12,0)</f>
      </c>
      <c r="I240">
        <v>12</v>
      </c>
      <c r="J240">
        <f>IF(I240&lt;$C$230,MAX(0,12*$C$231*(1+$C$232)^I240-K240),0)</f>
      </c>
      <c r="K240">
        <f>SUMPRODUCT(('Inputs'!$G$76:$G$81=$C$226)*($C$226&lt;&gt;"")*'Inputs'!$D$76:$D$81*(1+'Inputs'!$E$76:$E$81/100)^I240*(ABS('Inputs'!$F$76:$F$81-12*I240)-ABS(('Inputs'!$F$76:$F$81-12*I240)-12)+12)/2)+SUMPRODUCT(('Inputs'!$C$114:$C$121=$C$226)*($C$226&lt;&gt;"")*'Inputs'!$D$114:$D$121*(1+'Inputs'!$E$114:$E$121/100)^I240*(((ABS((('Inputs'!$G$114:$G$121&gt;0)*('Inputs'!$F$114:$F$121+'Inputs'!$G$114:$G$121)+('Inputs'!$G$114:$G$121=0)*12*$C$230)-12*I240)-ABS(((('Inputs'!$G$114:$G$121&gt;0)*('Inputs'!$F$114:$F$121+'Inputs'!$G$114:$G$121)+('Inputs'!$G$114:$G$121=0)*12*$C$230)-12*I240)-12)+12)/2-(ABS(('Inputs'!$F$114:$F$121-12*I240))-ABS((('Inputs'!$F$114:$F$121-12*I240))-12)+12)/2)+ABS((ABS((('Inputs'!$G$114:$G$121&gt;0)*('Inputs'!$F$114:$F$121+'Inputs'!$G$114:$G$121)+('Inputs'!$G$114:$G$121=0)*12*$C$230)-12*I240)-ABS(((('Inputs'!$G$114:$G$121&gt;0)*('Inputs'!$F$114:$F$121+'Inputs'!$G$114:$G$121)+('Inputs'!$G$114:$G$121=0)*12*$C$230)-12*I240)-12)+12)/2-(ABS(('Inputs'!$F$114:$F$121-12*I240))-ABS((('Inputs'!$F$114:$F$121-12*I240))-12)+12)/2))/2)</f>
      </c>
      <c r="L240">
        <f>IF(J240&gt;0,1,0)</f>
      </c>
      <c r="P240">
        <f>IF($C$233&lt;&gt;1,0,P239*(1+((1+$C$238)^(1/12)-1))^12-J239/12*(1+((1+$C$238)^(1/12)-1))*(((1+((1+$C$238)^(1/12)-1))^12-1)/((1+((1+$C$238)^(1/12)-1))-1)))</f>
      </c>
      <c r="Q240">
        <f>IF($C$233&lt;&gt;1,0,IFERROR((((1+($C$238+'Inputs'!$H$137/100))^(1/12)-1)-((1+$C$238)^(1/12)-1))*(P240*(((1+((1+$C$238)^(1/12)-1))^12-1)/((1+((1+$C$238)^(1/12)-1))-1))-J240/12/((1+((1+$C$238)^(1/12)-1))-1)*((1+((1+$C$238)^(1/12)-1))*(((1+((1+$C$238)^(1/12)-1))^12-1)/((1+((1+$C$238)^(1/12)-1))-1))-12)),0))</f>
      </c>
    </row>
    <row r="241" spans="2:17" x14ac:dyDescent="0.25">
      <c r="B241" t="s">
        <v>470</v>
      </c>
      <c r="C241">
        <f>SUMPRODUCT(MAX(('Inputs'!$G$76:$G$81=$C$226)*($C$226&lt;&gt;"")*'Inputs'!$F$76:$F$81))</f>
      </c>
      <c r="I241">
        <v>13</v>
      </c>
      <c r="J241">
        <f>IF(I241&lt;$C$230,MAX(0,12*$C$231*(1+$C$232)^I241-K241),0)</f>
      </c>
      <c r="K241">
        <f>SUMPRODUCT(('Inputs'!$G$76:$G$81=$C$226)*($C$226&lt;&gt;"")*'Inputs'!$D$76:$D$81*(1+'Inputs'!$E$76:$E$81/100)^I241*(ABS('Inputs'!$F$76:$F$81-12*I241)-ABS(('Inputs'!$F$76:$F$81-12*I241)-12)+12)/2)+SUMPRODUCT(('Inputs'!$C$114:$C$121=$C$226)*($C$226&lt;&gt;"")*'Inputs'!$D$114:$D$121*(1+'Inputs'!$E$114:$E$121/100)^I241*(((ABS((('Inputs'!$G$114:$G$121&gt;0)*('Inputs'!$F$114:$F$121+'Inputs'!$G$114:$G$121)+('Inputs'!$G$114:$G$121=0)*12*$C$230)-12*I241)-ABS(((('Inputs'!$G$114:$G$121&gt;0)*('Inputs'!$F$114:$F$121+'Inputs'!$G$114:$G$121)+('Inputs'!$G$114:$G$121=0)*12*$C$230)-12*I241)-12)+12)/2-(ABS(('Inputs'!$F$114:$F$121-12*I241))-ABS((('Inputs'!$F$114:$F$121-12*I241))-12)+12)/2)+ABS((ABS((('Inputs'!$G$114:$G$121&gt;0)*('Inputs'!$F$114:$F$121+'Inputs'!$G$114:$G$121)+('Inputs'!$G$114:$G$121=0)*12*$C$230)-12*I241)-ABS(((('Inputs'!$G$114:$G$121&gt;0)*('Inputs'!$F$114:$F$121+'Inputs'!$G$114:$G$121)+('Inputs'!$G$114:$G$121=0)*12*$C$230)-12*I241)-12)+12)/2-(ABS(('Inputs'!$F$114:$F$121-12*I241))-ABS((('Inputs'!$F$114:$F$121-12*I241))-12)+12)/2))/2)</f>
      </c>
      <c r="L241">
        <f>IF(J241&gt;0,1,0)</f>
      </c>
      <c r="P241">
        <f>IF($C$233&lt;&gt;1,0,P240*(1+((1+$C$238)^(1/12)-1))^12-J240/12*(1+((1+$C$238)^(1/12)-1))*(((1+((1+$C$238)^(1/12)-1))^12-1)/((1+((1+$C$238)^(1/12)-1))-1)))</f>
      </c>
      <c r="Q241">
        <f>IF($C$233&lt;&gt;1,0,IFERROR((((1+($C$238+'Inputs'!$H$137/100))^(1/12)-1)-((1+$C$238)^(1/12)-1))*(P241*(((1+((1+$C$238)^(1/12)-1))^12-1)/((1+((1+$C$238)^(1/12)-1))-1))-J241/12/((1+((1+$C$238)^(1/12)-1))-1)*((1+((1+$C$238)^(1/12)-1))*(((1+((1+$C$238)^(1/12)-1))^12-1)/((1+((1+$C$238)^(1/12)-1))-1))-12)),0))</f>
      </c>
    </row>
    <row r="242" spans="2:17" x14ac:dyDescent="0.25">
      <c r="B242" t="s">
        <v>471</v>
      </c>
      <c r="C242">
        <f>SUM($J$228:$J$277)</f>
      </c>
      <c r="I242">
        <v>14</v>
      </c>
      <c r="J242">
        <f>IF(I242&lt;$C$230,MAX(0,12*$C$231*(1+$C$232)^I242-K242),0)</f>
      </c>
      <c r="K242">
        <f>SUMPRODUCT(('Inputs'!$G$76:$G$81=$C$226)*($C$226&lt;&gt;"")*'Inputs'!$D$76:$D$81*(1+'Inputs'!$E$76:$E$81/100)^I242*(ABS('Inputs'!$F$76:$F$81-12*I242)-ABS(('Inputs'!$F$76:$F$81-12*I242)-12)+12)/2)+SUMPRODUCT(('Inputs'!$C$114:$C$121=$C$226)*($C$226&lt;&gt;"")*'Inputs'!$D$114:$D$121*(1+'Inputs'!$E$114:$E$121/100)^I242*(((ABS((('Inputs'!$G$114:$G$121&gt;0)*('Inputs'!$F$114:$F$121+'Inputs'!$G$114:$G$121)+('Inputs'!$G$114:$G$121=0)*12*$C$230)-12*I242)-ABS(((('Inputs'!$G$114:$G$121&gt;0)*('Inputs'!$F$114:$F$121+'Inputs'!$G$114:$G$121)+('Inputs'!$G$114:$G$121=0)*12*$C$230)-12*I242)-12)+12)/2-(ABS(('Inputs'!$F$114:$F$121-12*I242))-ABS((('Inputs'!$F$114:$F$121-12*I242))-12)+12)/2)+ABS((ABS((('Inputs'!$G$114:$G$121&gt;0)*('Inputs'!$F$114:$F$121+'Inputs'!$G$114:$G$121)+('Inputs'!$G$114:$G$121=0)*12*$C$230)-12*I242)-ABS(((('Inputs'!$G$114:$G$121&gt;0)*('Inputs'!$F$114:$F$121+'Inputs'!$G$114:$G$121)+('Inputs'!$G$114:$G$121=0)*12*$C$230)-12*I242)-12)+12)/2-(ABS(('Inputs'!$F$114:$F$121-12*I242))-ABS((('Inputs'!$F$114:$F$121-12*I242))-12)+12)/2))/2)</f>
      </c>
      <c r="L242">
        <f>IF(J242&gt;0,1,0)</f>
      </c>
      <c r="P242">
        <f>IF($C$233&lt;&gt;1,0,P241*(1+((1+$C$238)^(1/12)-1))^12-J241/12*(1+((1+$C$238)^(1/12)-1))*(((1+((1+$C$238)^(1/12)-1))^12-1)/((1+((1+$C$238)^(1/12)-1))-1)))</f>
      </c>
      <c r="Q242">
        <f>IF($C$233&lt;&gt;1,0,IFERROR((((1+($C$238+'Inputs'!$H$137/100))^(1/12)-1)-((1+$C$238)^(1/12)-1))*(P242*(((1+((1+$C$238)^(1/12)-1))^12-1)/((1+((1+$C$238)^(1/12)-1))-1))-J242/12/((1+((1+$C$238)^(1/12)-1))-1)*((1+((1+$C$238)^(1/12)-1))*(((1+((1+$C$238)^(1/12)-1))^12-1)/((1+((1+$C$238)^(1/12)-1))-1))-12)),0))</f>
      </c>
    </row>
    <row r="243" spans="2:17" x14ac:dyDescent="0.25">
      <c r="B243" t="s">
        <v>472</v>
      </c>
      <c r="C243">
        <f>IF('Needs calc'!$C$93&gt;0,IF('Inputs'!$O$104*SUM('Inputs'!$U$100:$U$105)&gt;0,IF('Needs calc'!$C$88&gt;='Needs calc'!$C$96,'Inputs'!$B$104&amp;IF(SUM('Inputs'!$U$100:$U$105)=1," and "&amp;IF('Inputs'!$U$100=1,'Inputs'!$B$100,"")&amp;IF('Inputs'!$U$101=1,'Inputs'!$B$101,"")&amp;IF('Inputs'!$U$102=1,'Inputs'!$B$102,"")&amp;IF('Inputs'!$U$103=1,'Inputs'!$B$103,"")&amp;IF('Inputs'!$U$104=1,'Inputs'!$B$104,"")&amp;IF('Inputs'!$U$105=1,'Inputs'!$B$105,"")," and the children")&amp;" would have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you want for them"&amp;IF(('Needs calc'!$C$96-(IF(AND('Inputs'!$C$108="The spouse, from what they receive",SUM('Inputs'!$O$100:$O$105)&gt;0,OR(LEFT('Inputs'!$C$13,7)="Married",'Inputs'!$C$13="Life partner",'Inputs'!$C$13="Civil Union")),1,0)*MAX(0,'Needs calc'!$C$27)))&gt;0,", after the R "&amp;FIXED(ROUND(('Needs calc'!$C$96-(IF(AND('Inputs'!$C$108="The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"&amp;'Inputs'!$B$104&amp;" pays the R "&amp;FIXED(ROUND((IF(AND('Inputs'!$C$108="The spouse, from what they receive",SUM('Inputs'!$O$100:$O$105)&gt;0,OR(LEFT('Inputs'!$C$13,7)="Married",'Inputs'!$C$13="Life partner",'Inputs'!$C$13="Civil Union")),1,0)*MAX(0,'Needs calc'!$C$27)),-3),0)&amp;" your estate needs","")&amp;". ",'Inputs'!$B$104&amp;IF(SUM('Inputs'!$U$100:$U$105)=1," and "&amp;IF('Inputs'!$U$100=1,'Inputs'!$B$100,"")&amp;IF('Inputs'!$U$101=1,'Inputs'!$B$101,"")&amp;IF('Inputs'!$U$102=1,'Inputs'!$B$102,"")&amp;IF('Inputs'!$U$103=1,'Inputs'!$B$103,"")&amp;IF('Inputs'!$U$104=1,'Inputs'!$B$104,"")&amp;IF('Inputs'!$U$105=1,'Inputs'!$B$105,"")," and the children")&amp;" would have "&amp;IF('Needs calc'!$C$88&lt;=0,"nothing","about R "&amp;FIXED(ROUND('Needs calc'!$C$88,-3),0))&amp;" of the R "&amp;FIXED(ROUND('Needs calc'!$C$96,-3),0)&amp;"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"),IF(N('Inputs'!$E$104)&gt;0,IF('Needs years'!$C$239+'Needs years'!$C$246&lt;=0,IF('Needs years'!$C$234&lt;=0,'Inputs'!$B$104&amp;" would have about R "&amp;FIXED(ROUND('Needs calc'!$C$94,-2),0)&amp;" a month of the R "&amp;FIXED(ROUND('Inputs'!$E$104,-2),0)&amp;" you want. ",IF('Needs calc'!$C$88&gt;='Needs years'!$C$234,'Inputs'!$B$104&amp;" would have about R "&amp;FIXED(ROUND('Needs calc'!$C$94,-2),0)&amp;" a month of the R "&amp;FIXED(ROUND('Inputs'!$E$104,-2),0)&amp;" you want,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")),IF('Needs years'!$C$242&lt;=0,IF('Needs years'!$C$234&gt;0,'Inputs'!$B$104&amp;"'s "&amp;'Needs years'!$C$248&amp;" covers the R "&amp;FIXED(ROUND('Inputs'!$E$104,-2),0)&amp;" a month you want"&amp;", but "&amp;'Inputs'!$B$104&amp;" would have "&amp;IF('Needs calc'!$C$88&lt;=0,"nothing","about R "&amp;FIXED(ROUND('Needs calc'!$C$88,-3),0))&amp;" of the R "&amp;FIXED(ROUND('Needs years'!$C$234,-3),0)&amp;" once-off you want for them. ",IF('Needs years'!$C$245&gt;0,'Inputs'!$B$104&amp;"'s "&amp;'Needs years'!$C$248&amp;" covers the R "&amp;FIXED(ROUND('Inputs'!$E$104,-2),0)&amp;" a month you want"&amp;", but the estate duty on it, about R "&amp;FIXED(ROUND('Needs years'!$C$245,-3),0)&amp;", leaves "&amp;'Inputs'!$B$104&amp;" short. ",'Inputs'!$B$104&amp;"'s "&amp;'Needs years'!$C$248&amp;" covers the R "&amp;FIXED(ROUND('Inputs'!$E$104,-2),0)&amp;" a month you want"&amp;", but "&amp;'Inputs'!$B$104&amp;" is still short of what you want for them. ")),IF('Needs years'!$J$228&lt;=0,'Inputs'!$B$104&amp;"'s "&amp;'Needs years'!$C$248&amp;" covers the R "&amp;FIXED(ROUND('Inputs'!$E$104,-2),0)&amp;" a month you want"&amp;" for "&amp;IF('Needs years'!$C$244=1,"the first year","the first "&amp;'Needs years'!$C$244&amp;" years")&amp;"; after that "&amp;'Inputs'!$B$104&amp;" would be short"&amp;IF(AND('Needs years'!$C$234&gt;0,'Needs calc'!$C$88&lt;'Needs years'!$C$234),", and would have "&amp;IF('Needs calc'!$C$88&lt;=0,"nothing","about R "&amp;FIXED(ROUND('Needs calc'!$C$88,-3),0))&amp;" of the R "&amp;FIXED(ROUND('Needs years'!$C$234,-3),0)&amp;" once-off","")&amp;". ",IF('Needs years'!$C$234&lt;=0,'Inputs'!$B$104&amp;" would have about R "&amp;FIXED(ROUND('Needs calc'!$C$94,-2),0)&amp;" a month of the R "&amp;FIXED(ROUND('Inputs'!$E$104,-2),0)&amp;" you want, part of it from the "&amp;'Needs years'!$C$248&amp;", and less once it stops. ",IF('Needs calc'!$C$88&gt;='Needs years'!$C$234,'Inputs'!$B$104&amp;" would have about R "&amp;FIXED(ROUND('Needs calc'!$C$94,-2),0)&amp;" a month of the R "&amp;FIXED(ROUND('Inputs'!$E$104,-2),0)&amp;" you want, part of it from the "&amp;'Needs years'!$C$248&amp;", and less once it stops,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part of it from the "&amp;'Needs years'!$C$248&amp;", and less once it stops. "))))),'Inputs'!$B$104&amp;" would have "&amp;IF('Needs calc'!$C$88&lt;=0,"nothing","about R "&amp;FIXED(ROUND('Needs calc'!$C$88,-3),0))&amp;" of the R "&amp;FIXED(ROUND('Needs years'!$C$234,-3),0)&amp;" you want to leave them. ")),"")</f>
      </c>
      <c r="I243">
        <v>15</v>
      </c>
      <c r="J243">
        <f>IF(I243&lt;$C$230,MAX(0,12*$C$231*(1+$C$232)^I243-K243),0)</f>
      </c>
      <c r="K243">
        <f>SUMPRODUCT(('Inputs'!$G$76:$G$81=$C$226)*($C$226&lt;&gt;"")*'Inputs'!$D$76:$D$81*(1+'Inputs'!$E$76:$E$81/100)^I243*(ABS('Inputs'!$F$76:$F$81-12*I243)-ABS(('Inputs'!$F$76:$F$81-12*I243)-12)+12)/2)+SUMPRODUCT(('Inputs'!$C$114:$C$121=$C$226)*($C$226&lt;&gt;"")*'Inputs'!$D$114:$D$121*(1+'Inputs'!$E$114:$E$121/100)^I243*(((ABS((('Inputs'!$G$114:$G$121&gt;0)*('Inputs'!$F$114:$F$121+'Inputs'!$G$114:$G$121)+('Inputs'!$G$114:$G$121=0)*12*$C$230)-12*I243)-ABS(((('Inputs'!$G$114:$G$121&gt;0)*('Inputs'!$F$114:$F$121+'Inputs'!$G$114:$G$121)+('Inputs'!$G$114:$G$121=0)*12*$C$230)-12*I243)-12)+12)/2-(ABS(('Inputs'!$F$114:$F$121-12*I243))-ABS((('Inputs'!$F$114:$F$121-12*I243))-12)+12)/2)+ABS((ABS((('Inputs'!$G$114:$G$121&gt;0)*('Inputs'!$F$114:$F$121+'Inputs'!$G$114:$G$121)+('Inputs'!$G$114:$G$121=0)*12*$C$230)-12*I243)-ABS(((('Inputs'!$G$114:$G$121&gt;0)*('Inputs'!$F$114:$F$121+'Inputs'!$G$114:$G$121)+('Inputs'!$G$114:$G$121=0)*12*$C$230)-12*I243)-12)+12)/2-(ABS(('Inputs'!$F$114:$F$121-12*I243))-ABS((('Inputs'!$F$114:$F$121-12*I243))-12)+12)/2))/2)</f>
      </c>
      <c r="L243">
        <f>IF(J243&gt;0,1,0)</f>
      </c>
      <c r="P243">
        <f>IF($C$233&lt;&gt;1,0,P242*(1+((1+$C$238)^(1/12)-1))^12-J242/12*(1+((1+$C$238)^(1/12)-1))*(((1+((1+$C$238)^(1/12)-1))^12-1)/((1+((1+$C$238)^(1/12)-1))-1)))</f>
      </c>
      <c r="Q243">
        <f>IF($C$233&lt;&gt;1,0,IFERROR((((1+($C$238+'Inputs'!$H$137/100))^(1/12)-1)-((1+$C$238)^(1/12)-1))*(P243*(((1+((1+$C$238)^(1/12)-1))^12-1)/((1+((1+$C$238)^(1/12)-1))-1))-J243/12/((1+((1+$C$238)^(1/12)-1))-1)*((1+((1+$C$238)^(1/12)-1))*(((1+((1+$C$238)^(1/12)-1))^12-1)/((1+((1+$C$238)^(1/12)-1))-1))-12)),0))</f>
      </c>
    </row>
    <row r="244" spans="2:17" x14ac:dyDescent="0.25">
      <c r="B244" t="s">
        <v>473</v>
      </c>
      <c r="C244">
        <f>IFERROR(MATCH(1,$L$228:$L$277,0)-1,$C$230)</f>
      </c>
      <c r="I244">
        <v>16</v>
      </c>
      <c r="J244">
        <f>IF(I244&lt;$C$230,MAX(0,12*$C$231*(1+$C$232)^I244-K244),0)</f>
      </c>
      <c r="K244">
        <f>SUMPRODUCT(('Inputs'!$G$76:$G$81=$C$226)*($C$226&lt;&gt;"")*'Inputs'!$D$76:$D$81*(1+'Inputs'!$E$76:$E$81/100)^I244*(ABS('Inputs'!$F$76:$F$81-12*I244)-ABS(('Inputs'!$F$76:$F$81-12*I244)-12)+12)/2)+SUMPRODUCT(('Inputs'!$C$114:$C$121=$C$226)*($C$226&lt;&gt;"")*'Inputs'!$D$114:$D$121*(1+'Inputs'!$E$114:$E$121/100)^I244*(((ABS((('Inputs'!$G$114:$G$121&gt;0)*('Inputs'!$F$114:$F$121+'Inputs'!$G$114:$G$121)+('Inputs'!$G$114:$G$121=0)*12*$C$230)-12*I244)-ABS(((('Inputs'!$G$114:$G$121&gt;0)*('Inputs'!$F$114:$F$121+'Inputs'!$G$114:$G$121)+('Inputs'!$G$114:$G$121=0)*12*$C$230)-12*I244)-12)+12)/2-(ABS(('Inputs'!$F$114:$F$121-12*I244))-ABS((('Inputs'!$F$114:$F$121-12*I244))-12)+12)/2)+ABS((ABS((('Inputs'!$G$114:$G$121&gt;0)*('Inputs'!$F$114:$F$121+'Inputs'!$G$114:$G$121)+('Inputs'!$G$114:$G$121=0)*12*$C$230)-12*I244)-ABS(((('Inputs'!$G$114:$G$121&gt;0)*('Inputs'!$F$114:$F$121+'Inputs'!$G$114:$G$121)+('Inputs'!$G$114:$G$121=0)*12*$C$230)-12*I244)-12)+12)/2-(ABS(('Inputs'!$F$114:$F$121-12*I244))-ABS((('Inputs'!$F$114:$F$121-12*I244))-12)+12)/2))/2)</f>
      </c>
      <c r="L244">
        <f>IF(J244&gt;0,1,0)</f>
      </c>
      <c r="P244">
        <f>IF($C$233&lt;&gt;1,0,P243*(1+((1+$C$238)^(1/12)-1))^12-J243/12*(1+((1+$C$238)^(1/12)-1))*(((1+((1+$C$238)^(1/12)-1))^12-1)/((1+((1+$C$238)^(1/12)-1))-1)))</f>
      </c>
      <c r="Q244">
        <f>IF($C$233&lt;&gt;1,0,IFERROR((((1+($C$238+'Inputs'!$H$137/100))^(1/12)-1)-((1+$C$238)^(1/12)-1))*(P244*(((1+((1+$C$238)^(1/12)-1))^12-1)/((1+((1+$C$238)^(1/12)-1))-1))-J244/12/((1+((1+$C$238)^(1/12)-1))-1)*((1+((1+$C$238)^(1/12)-1))*(((1+((1+$C$238)^(1/12)-1))^12-1)/((1+((1+$C$238)^(1/12)-1))-1))-12)),0))</f>
      </c>
    </row>
    <row r="245" spans="2:17" x14ac:dyDescent="0.25">
      <c r="B245" t="s">
        <v>474</v>
      </c>
      <c r="C245">
        <f>SUMPRODUCT(('Inputs'!$G$76:$G$81=$C$226)*($C$226&lt;&gt;"")*'Inputs'!$P$76:$P$81)</f>
      </c>
      <c r="I245">
        <v>17</v>
      </c>
      <c r="J245">
        <f>IF(I245&lt;$C$230,MAX(0,12*$C$231*(1+$C$232)^I245-K245),0)</f>
      </c>
      <c r="K245">
        <f>SUMPRODUCT(('Inputs'!$G$76:$G$81=$C$226)*($C$226&lt;&gt;"")*'Inputs'!$D$76:$D$81*(1+'Inputs'!$E$76:$E$81/100)^I245*(ABS('Inputs'!$F$76:$F$81-12*I245)-ABS(('Inputs'!$F$76:$F$81-12*I245)-12)+12)/2)+SUMPRODUCT(('Inputs'!$C$114:$C$121=$C$226)*($C$226&lt;&gt;"")*'Inputs'!$D$114:$D$121*(1+'Inputs'!$E$114:$E$121/100)^I245*(((ABS((('Inputs'!$G$114:$G$121&gt;0)*('Inputs'!$F$114:$F$121+'Inputs'!$G$114:$G$121)+('Inputs'!$G$114:$G$121=0)*12*$C$230)-12*I245)-ABS(((('Inputs'!$G$114:$G$121&gt;0)*('Inputs'!$F$114:$F$121+'Inputs'!$G$114:$G$121)+('Inputs'!$G$114:$G$121=0)*12*$C$230)-12*I245)-12)+12)/2-(ABS(('Inputs'!$F$114:$F$121-12*I245))-ABS((('Inputs'!$F$114:$F$121-12*I245))-12)+12)/2)+ABS((ABS((('Inputs'!$G$114:$G$121&gt;0)*('Inputs'!$F$114:$F$121+'Inputs'!$G$114:$G$121)+('Inputs'!$G$114:$G$121=0)*12*$C$230)-12*I245)-ABS(((('Inputs'!$G$114:$G$121&gt;0)*('Inputs'!$F$114:$F$121+'Inputs'!$G$114:$G$121)+('Inputs'!$G$114:$G$121=0)*12*$C$230)-12*I245)-12)+12)/2-(ABS(('Inputs'!$F$114:$F$121-12*I245))-ABS((('Inputs'!$F$114:$F$121-12*I245))-12)+12)/2))/2)</f>
      </c>
      <c r="L245">
        <f>IF(J245&gt;0,1,0)</f>
      </c>
      <c r="P245">
        <f>IF($C$233&lt;&gt;1,0,P244*(1+((1+$C$238)^(1/12)-1))^12-J244/12*(1+((1+$C$238)^(1/12)-1))*(((1+((1+$C$238)^(1/12)-1))^12-1)/((1+((1+$C$238)^(1/12)-1))-1)))</f>
      </c>
      <c r="Q245">
        <f>IF($C$233&lt;&gt;1,0,IFERROR((((1+($C$238+'Inputs'!$H$137/100))^(1/12)-1)-((1+$C$238)^(1/12)-1))*(P245*(((1+((1+$C$238)^(1/12)-1))^12-1)/((1+((1+$C$238)^(1/12)-1))-1))-J245/12/((1+((1+$C$238)^(1/12)-1))-1)*((1+((1+$C$238)^(1/12)-1))*(((1+((1+$C$238)^(1/12)-1))^12-1)/((1+((1+$C$238)^(1/12)-1))-1))-12)),0))</f>
      </c>
    </row>
    <row r="246" spans="2:17" x14ac:dyDescent="0.25">
      <c r="B246" t="s">
        <v>475</v>
      </c>
      <c r="C246">
        <f>SUMPRODUCT(('Inputs'!$C$114:$C$121=$C$226)*($C$226&lt;&gt;"")*('Inputs'!$D$114:$D$121&gt;0)*('Inputs'!$F$114:$F$121=0)*'Inputs'!$D$114:$D$121)</f>
      </c>
      <c r="I246">
        <v>18</v>
      </c>
      <c r="J246">
        <f>IF(I246&lt;$C$230,MAX(0,12*$C$231*(1+$C$232)^I246-K246),0)</f>
      </c>
      <c r="K246">
        <f>SUMPRODUCT(('Inputs'!$G$76:$G$81=$C$226)*($C$226&lt;&gt;"")*'Inputs'!$D$76:$D$81*(1+'Inputs'!$E$76:$E$81/100)^I246*(ABS('Inputs'!$F$76:$F$81-12*I246)-ABS(('Inputs'!$F$76:$F$81-12*I246)-12)+12)/2)+SUMPRODUCT(('Inputs'!$C$114:$C$121=$C$226)*($C$226&lt;&gt;"")*'Inputs'!$D$114:$D$121*(1+'Inputs'!$E$114:$E$121/100)^I246*(((ABS((('Inputs'!$G$114:$G$121&gt;0)*('Inputs'!$F$114:$F$121+'Inputs'!$G$114:$G$121)+('Inputs'!$G$114:$G$121=0)*12*$C$230)-12*I246)-ABS(((('Inputs'!$G$114:$G$121&gt;0)*('Inputs'!$F$114:$F$121+'Inputs'!$G$114:$G$121)+('Inputs'!$G$114:$G$121=0)*12*$C$230)-12*I246)-12)+12)/2-(ABS(('Inputs'!$F$114:$F$121-12*I246))-ABS((('Inputs'!$F$114:$F$121-12*I246))-12)+12)/2)+ABS((ABS((('Inputs'!$G$114:$G$121&gt;0)*('Inputs'!$F$114:$F$121+'Inputs'!$G$114:$G$121)+('Inputs'!$G$114:$G$121=0)*12*$C$230)-12*I246)-ABS(((('Inputs'!$G$114:$G$121&gt;0)*('Inputs'!$F$114:$F$121+'Inputs'!$G$114:$G$121)+('Inputs'!$G$114:$G$121=0)*12*$C$230)-12*I246)-12)+12)/2-(ABS(('Inputs'!$F$114:$F$121-12*I246))-ABS((('Inputs'!$F$114:$F$121-12*I246))-12)+12)/2))/2)</f>
      </c>
      <c r="L246">
        <f>IF(J246&gt;0,1,0)</f>
      </c>
      <c r="P246">
        <f>IF($C$233&lt;&gt;1,0,P245*(1+((1+$C$238)^(1/12)-1))^12-J245/12*(1+((1+$C$238)^(1/12)-1))*(((1+((1+$C$238)^(1/12)-1))^12-1)/((1+((1+$C$238)^(1/12)-1))-1)))</f>
      </c>
      <c r="Q246">
        <f>IF($C$233&lt;&gt;1,0,IFERROR((((1+($C$238+'Inputs'!$H$137/100))^(1/12)-1)-((1+$C$238)^(1/12)-1))*(P246*(((1+((1+$C$238)^(1/12)-1))^12-1)/((1+((1+$C$238)^(1/12)-1))-1))-J246/12/((1+((1+$C$238)^(1/12)-1))-1)*((1+((1+$C$238)^(1/12)-1))*(((1+((1+$C$238)^(1/12)-1))^12-1)/((1+((1+$C$238)^(1/12)-1))-1))-12)),0))</f>
      </c>
    </row>
    <row r="247" spans="2:17" x14ac:dyDescent="0.25">
      <c r="B247" t="s">
        <v>476</v>
      </c>
      <c r="C247">
        <f>SUMPRODUCT(('Inputs'!$C$114:$C$121=$C$226)*($C$226&lt;&gt;"")*('Inputs'!$D$114:$D$121&gt;0)*1)</f>
      </c>
      <c r="I247">
        <v>19</v>
      </c>
      <c r="J247">
        <f>IF(I247&lt;$C$230,MAX(0,12*$C$231*(1+$C$232)^I247-K247),0)</f>
      </c>
      <c r="K247">
        <f>SUMPRODUCT(('Inputs'!$G$76:$G$81=$C$226)*($C$226&lt;&gt;"")*'Inputs'!$D$76:$D$81*(1+'Inputs'!$E$76:$E$81/100)^I247*(ABS('Inputs'!$F$76:$F$81-12*I247)-ABS(('Inputs'!$F$76:$F$81-12*I247)-12)+12)/2)+SUMPRODUCT(('Inputs'!$C$114:$C$121=$C$226)*($C$226&lt;&gt;"")*'Inputs'!$D$114:$D$121*(1+'Inputs'!$E$114:$E$121/100)^I247*(((ABS((('Inputs'!$G$114:$G$121&gt;0)*('Inputs'!$F$114:$F$121+'Inputs'!$G$114:$G$121)+('Inputs'!$G$114:$G$121=0)*12*$C$230)-12*I247)-ABS(((('Inputs'!$G$114:$G$121&gt;0)*('Inputs'!$F$114:$F$121+'Inputs'!$G$114:$G$121)+('Inputs'!$G$114:$G$121=0)*12*$C$230)-12*I247)-12)+12)/2-(ABS(('Inputs'!$F$114:$F$121-12*I247))-ABS((('Inputs'!$F$114:$F$121-12*I247))-12)+12)/2)+ABS((ABS((('Inputs'!$G$114:$G$121&gt;0)*('Inputs'!$F$114:$F$121+'Inputs'!$G$114:$G$121)+('Inputs'!$G$114:$G$121=0)*12*$C$230)-12*I247)-ABS(((('Inputs'!$G$114:$G$121&gt;0)*('Inputs'!$F$114:$F$121+'Inputs'!$G$114:$G$121)+('Inputs'!$G$114:$G$121=0)*12*$C$230)-12*I247)-12)+12)/2-(ABS(('Inputs'!$F$114:$F$121-12*I247))-ABS((('Inputs'!$F$114:$F$121-12*I247))-12)+12)/2))/2)</f>
      </c>
      <c r="L247">
        <f>IF(J247&gt;0,1,0)</f>
      </c>
      <c r="P247">
        <f>IF($C$233&lt;&gt;1,0,P246*(1+((1+$C$238)^(1/12)-1))^12-J246/12*(1+((1+$C$238)^(1/12)-1))*(((1+((1+$C$238)^(1/12)-1))^12-1)/((1+((1+$C$238)^(1/12)-1))-1)))</f>
      </c>
      <c r="Q247">
        <f>IF($C$233&lt;&gt;1,0,IFERROR((((1+($C$238+'Inputs'!$H$137/100))^(1/12)-1)-((1+$C$238)^(1/12)-1))*(P247*(((1+((1+$C$238)^(1/12)-1))^12-1)/((1+((1+$C$238)^(1/12)-1))-1))-J247/12/((1+((1+$C$238)^(1/12)-1))-1)*((1+((1+$C$238)^(1/12)-1))*(((1+((1+$C$238)^(1/12)-1))^12-1)/((1+((1+$C$238)^(1/12)-1))-1))-12)),0))</f>
      </c>
    </row>
    <row r="248" spans="2:17" x14ac:dyDescent="0.25">
      <c r="B248" t="s">
        <v>477</v>
      </c>
      <c r="C248">
        <f>IF($C$247&gt;0,"income","death income")</f>
      </c>
      <c r="I248">
        <v>20</v>
      </c>
      <c r="J248">
        <f>IF(I248&lt;$C$230,MAX(0,12*$C$231*(1+$C$232)^I248-K248),0)</f>
      </c>
      <c r="K248">
        <f>SUMPRODUCT(('Inputs'!$G$76:$G$81=$C$226)*($C$226&lt;&gt;"")*'Inputs'!$D$76:$D$81*(1+'Inputs'!$E$76:$E$81/100)^I248*(ABS('Inputs'!$F$76:$F$81-12*I248)-ABS(('Inputs'!$F$76:$F$81-12*I248)-12)+12)/2)+SUMPRODUCT(('Inputs'!$C$114:$C$121=$C$226)*($C$226&lt;&gt;"")*'Inputs'!$D$114:$D$121*(1+'Inputs'!$E$114:$E$121/100)^I248*(((ABS((('Inputs'!$G$114:$G$121&gt;0)*('Inputs'!$F$114:$F$121+'Inputs'!$G$114:$G$121)+('Inputs'!$G$114:$G$121=0)*12*$C$230)-12*I248)-ABS(((('Inputs'!$G$114:$G$121&gt;0)*('Inputs'!$F$114:$F$121+'Inputs'!$G$114:$G$121)+('Inputs'!$G$114:$G$121=0)*12*$C$230)-12*I248)-12)+12)/2-(ABS(('Inputs'!$F$114:$F$121-12*I248))-ABS((('Inputs'!$F$114:$F$121-12*I248))-12)+12)/2)+ABS((ABS((('Inputs'!$G$114:$G$121&gt;0)*('Inputs'!$F$114:$F$121+'Inputs'!$G$114:$G$121)+('Inputs'!$G$114:$G$121=0)*12*$C$230)-12*I248)-ABS(((('Inputs'!$G$114:$G$121&gt;0)*('Inputs'!$F$114:$F$121+'Inputs'!$G$114:$G$121)+('Inputs'!$G$114:$G$121=0)*12*$C$230)-12*I248)-12)+12)/2-(ABS(('Inputs'!$F$114:$F$121-12*I248))-ABS((('Inputs'!$F$114:$F$121-12*I248))-12)+12)/2))/2)</f>
      </c>
      <c r="L248">
        <f>IF(J248&gt;0,1,0)</f>
      </c>
      <c r="P248">
        <f>IF($C$233&lt;&gt;1,0,P247*(1+((1+$C$238)^(1/12)-1))^12-J247/12*(1+((1+$C$238)^(1/12)-1))*(((1+((1+$C$238)^(1/12)-1))^12-1)/((1+((1+$C$238)^(1/12)-1))-1)))</f>
      </c>
      <c r="Q248">
        <f>IF($C$233&lt;&gt;1,0,IFERROR((((1+($C$238+'Inputs'!$H$137/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SUMPRODUCT(('Inputs'!$C$114:$C$121=$C$226)*($C$226&lt;&gt;"")*'Inputs'!$D$114:$D$121*(1+'Inputs'!$E$114:$E$121/100)^I249*(((ABS((('Inputs'!$G$114:$G$121&gt;0)*('Inputs'!$F$114:$F$121+'Inputs'!$G$114:$G$121)+('Inputs'!$G$114:$G$121=0)*12*$C$230)-12*I249)-ABS(((('Inputs'!$G$114:$G$121&gt;0)*('Inputs'!$F$114:$F$121+'Inputs'!$G$114:$G$121)+('Inputs'!$G$114:$G$121=0)*12*$C$230)-12*I249)-12)+12)/2-(ABS(('Inputs'!$F$114:$F$121-12*I249))-ABS((('Inputs'!$F$114:$F$121-12*I249))-12)+12)/2)+ABS((ABS((('Inputs'!$G$114:$G$121&gt;0)*('Inputs'!$F$114:$F$121+'Inputs'!$G$114:$G$121)+('Inputs'!$G$114:$G$121=0)*12*$C$230)-12*I249)-ABS(((('Inputs'!$G$114:$G$121&gt;0)*('Inputs'!$F$114:$F$121+'Inputs'!$G$114:$G$121)+('Inputs'!$G$114:$G$121=0)*12*$C$230)-12*I249)-12)+12)/2-(ABS(('Inputs'!$F$114:$F$121-12*I249))-ABS((('Inputs'!$F$114:$F$121-12*I249))-12)+12)/2))/2)</f>
      </c>
      <c r="L249">
        <f>IF(J249&gt;0,1,0)</f>
      </c>
      <c r="P249">
        <f>IF($C$233&lt;&gt;1,0,P248*(1+((1+$C$238)^(1/12)-1))^12-J248/12*(1+((1+$C$238)^(1/12)-1))*(((1+((1+$C$238)^(1/12)-1))^12-1)/((1+((1+$C$238)^(1/12)-1))-1)))</f>
      </c>
      <c r="Q249">
        <f>IF($C$233&lt;&gt;1,0,IFERROR((((1+($C$238+'Inputs'!$H$137/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SUMPRODUCT(('Inputs'!$C$114:$C$121=$C$226)*($C$226&lt;&gt;"")*'Inputs'!$D$114:$D$121*(1+'Inputs'!$E$114:$E$121/100)^I250*(((ABS((('Inputs'!$G$114:$G$121&gt;0)*('Inputs'!$F$114:$F$121+'Inputs'!$G$114:$G$121)+('Inputs'!$G$114:$G$121=0)*12*$C$230)-12*I250)-ABS(((('Inputs'!$G$114:$G$121&gt;0)*('Inputs'!$F$114:$F$121+'Inputs'!$G$114:$G$121)+('Inputs'!$G$114:$G$121=0)*12*$C$230)-12*I250)-12)+12)/2-(ABS(('Inputs'!$F$114:$F$121-12*I250))-ABS((('Inputs'!$F$114:$F$121-12*I250))-12)+12)/2)+ABS((ABS((('Inputs'!$G$114:$G$121&gt;0)*('Inputs'!$F$114:$F$121+'Inputs'!$G$114:$G$121)+('Inputs'!$G$114:$G$121=0)*12*$C$230)-12*I250)-ABS(((('Inputs'!$G$114:$G$121&gt;0)*('Inputs'!$F$114:$F$121+'Inputs'!$G$114:$G$121)+('Inputs'!$G$114:$G$121=0)*12*$C$230)-12*I250)-12)+12)/2-(ABS(('Inputs'!$F$114:$F$121-12*I250))-ABS((('Inputs'!$F$114:$F$121-12*I250))-12)+12)/2))/2)</f>
      </c>
      <c r="L250">
        <f>IF(J250&gt;0,1,0)</f>
      </c>
      <c r="P250">
        <f>IF($C$233&lt;&gt;1,0,P249*(1+((1+$C$238)^(1/12)-1))^12-J249/12*(1+((1+$C$238)^(1/12)-1))*(((1+((1+$C$238)^(1/12)-1))^12-1)/((1+((1+$C$238)^(1/12)-1))-1)))</f>
      </c>
      <c r="Q250">
        <f>IF($C$233&lt;&gt;1,0,IFERROR((((1+($C$238+'Inputs'!$H$137/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SUMPRODUCT(('Inputs'!$C$114:$C$121=$C$226)*($C$226&lt;&gt;"")*'Inputs'!$D$114:$D$121*(1+'Inputs'!$E$114:$E$121/100)^I251*(((ABS((('Inputs'!$G$114:$G$121&gt;0)*('Inputs'!$F$114:$F$121+'Inputs'!$G$114:$G$121)+('Inputs'!$G$114:$G$121=0)*12*$C$230)-12*I251)-ABS(((('Inputs'!$G$114:$G$121&gt;0)*('Inputs'!$F$114:$F$121+'Inputs'!$G$114:$G$121)+('Inputs'!$G$114:$G$121=0)*12*$C$230)-12*I251)-12)+12)/2-(ABS(('Inputs'!$F$114:$F$121-12*I251))-ABS((('Inputs'!$F$114:$F$121-12*I251))-12)+12)/2)+ABS((ABS((('Inputs'!$G$114:$G$121&gt;0)*('Inputs'!$F$114:$F$121+'Inputs'!$G$114:$G$121)+('Inputs'!$G$114:$G$121=0)*12*$C$230)-12*I251)-ABS(((('Inputs'!$G$114:$G$121&gt;0)*('Inputs'!$F$114:$F$121+'Inputs'!$G$114:$G$121)+('Inputs'!$G$114:$G$121=0)*12*$C$230)-12*I251)-12)+12)/2-(ABS(('Inputs'!$F$114:$F$121-12*I251))-ABS((('Inputs'!$F$114:$F$121-12*I251))-12)+12)/2))/2)</f>
      </c>
      <c r="L251">
        <f>IF(J251&gt;0,1,0)</f>
      </c>
      <c r="P251">
        <f>IF($C$233&lt;&gt;1,0,P250*(1+((1+$C$238)^(1/12)-1))^12-J250/12*(1+((1+$C$238)^(1/12)-1))*(((1+((1+$C$238)^(1/12)-1))^12-1)/((1+((1+$C$238)^(1/12)-1))-1)))</f>
      </c>
      <c r="Q251">
        <f>IF($C$233&lt;&gt;1,0,IFERROR((((1+($C$238+'Inputs'!$H$137/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SUMPRODUCT(('Inputs'!$C$114:$C$121=$C$226)*($C$226&lt;&gt;"")*'Inputs'!$D$114:$D$121*(1+'Inputs'!$E$114:$E$121/100)^I252*(((ABS((('Inputs'!$G$114:$G$121&gt;0)*('Inputs'!$F$114:$F$121+'Inputs'!$G$114:$G$121)+('Inputs'!$G$114:$G$121=0)*12*$C$230)-12*I252)-ABS(((('Inputs'!$G$114:$G$121&gt;0)*('Inputs'!$F$114:$F$121+'Inputs'!$G$114:$G$121)+('Inputs'!$G$114:$G$121=0)*12*$C$230)-12*I252)-12)+12)/2-(ABS(('Inputs'!$F$114:$F$121-12*I252))-ABS((('Inputs'!$F$114:$F$121-12*I252))-12)+12)/2)+ABS((ABS((('Inputs'!$G$114:$G$121&gt;0)*('Inputs'!$F$114:$F$121+'Inputs'!$G$114:$G$121)+('Inputs'!$G$114:$G$121=0)*12*$C$230)-12*I252)-ABS(((('Inputs'!$G$114:$G$121&gt;0)*('Inputs'!$F$114:$F$121+'Inputs'!$G$114:$G$121)+('Inputs'!$G$114:$G$121=0)*12*$C$230)-12*I252)-12)+12)/2-(ABS(('Inputs'!$F$114:$F$121-12*I252))-ABS((('Inputs'!$F$114:$F$121-12*I252))-12)+12)/2))/2)</f>
      </c>
      <c r="L252">
        <f>IF(J252&gt;0,1,0)</f>
      </c>
      <c r="P252">
        <f>IF($C$233&lt;&gt;1,0,P251*(1+((1+$C$238)^(1/12)-1))^12-J251/12*(1+((1+$C$238)^(1/12)-1))*(((1+((1+$C$238)^(1/12)-1))^12-1)/((1+((1+$C$238)^(1/12)-1))-1)))</f>
      </c>
      <c r="Q252">
        <f>IF($C$233&lt;&gt;1,0,IFERROR((((1+($C$238+'Inputs'!$H$137/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SUMPRODUCT(('Inputs'!$C$114:$C$121=$C$226)*($C$226&lt;&gt;"")*'Inputs'!$D$114:$D$121*(1+'Inputs'!$E$114:$E$121/100)^I253*(((ABS((('Inputs'!$G$114:$G$121&gt;0)*('Inputs'!$F$114:$F$121+'Inputs'!$G$114:$G$121)+('Inputs'!$G$114:$G$121=0)*12*$C$230)-12*I253)-ABS(((('Inputs'!$G$114:$G$121&gt;0)*('Inputs'!$F$114:$F$121+'Inputs'!$G$114:$G$121)+('Inputs'!$G$114:$G$121=0)*12*$C$230)-12*I253)-12)+12)/2-(ABS(('Inputs'!$F$114:$F$121-12*I253))-ABS((('Inputs'!$F$114:$F$121-12*I253))-12)+12)/2)+ABS((ABS((('Inputs'!$G$114:$G$121&gt;0)*('Inputs'!$F$114:$F$121+'Inputs'!$G$114:$G$121)+('Inputs'!$G$114:$G$121=0)*12*$C$230)-12*I253)-ABS(((('Inputs'!$G$114:$G$121&gt;0)*('Inputs'!$F$114:$F$121+'Inputs'!$G$114:$G$121)+('Inputs'!$G$114:$G$121=0)*12*$C$230)-12*I253)-12)+12)/2-(ABS(('Inputs'!$F$114:$F$121-12*I253))-ABS((('Inputs'!$F$114:$F$121-12*I253))-12)+12)/2))/2)</f>
      </c>
      <c r="L253">
        <f>IF(J253&gt;0,1,0)</f>
      </c>
      <c r="P253">
        <f>IF($C$233&lt;&gt;1,0,P252*(1+((1+$C$238)^(1/12)-1))^12-J252/12*(1+((1+$C$238)^(1/12)-1))*(((1+((1+$C$238)^(1/12)-1))^12-1)/((1+((1+$C$238)^(1/12)-1))-1)))</f>
      </c>
      <c r="Q253">
        <f>IF($C$233&lt;&gt;1,0,IFERROR((((1+($C$238+'Inputs'!$H$137/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SUMPRODUCT(('Inputs'!$C$114:$C$121=$C$226)*($C$226&lt;&gt;"")*'Inputs'!$D$114:$D$121*(1+'Inputs'!$E$114:$E$121/100)^I254*(((ABS((('Inputs'!$G$114:$G$121&gt;0)*('Inputs'!$F$114:$F$121+'Inputs'!$G$114:$G$121)+('Inputs'!$G$114:$G$121=0)*12*$C$230)-12*I254)-ABS(((('Inputs'!$G$114:$G$121&gt;0)*('Inputs'!$F$114:$F$121+'Inputs'!$G$114:$G$121)+('Inputs'!$G$114:$G$121=0)*12*$C$230)-12*I254)-12)+12)/2-(ABS(('Inputs'!$F$114:$F$121-12*I254))-ABS((('Inputs'!$F$114:$F$121-12*I254))-12)+12)/2)+ABS((ABS((('Inputs'!$G$114:$G$121&gt;0)*('Inputs'!$F$114:$F$121+'Inputs'!$G$114:$G$121)+('Inputs'!$G$114:$G$121=0)*12*$C$230)-12*I254)-ABS(((('Inputs'!$G$114:$G$121&gt;0)*('Inputs'!$F$114:$F$121+'Inputs'!$G$114:$G$121)+('Inputs'!$G$114:$G$121=0)*12*$C$230)-12*I254)-12)+12)/2-(ABS(('Inputs'!$F$114:$F$121-12*I254))-ABS((('Inputs'!$F$114:$F$121-12*I254))-12)+12)/2))/2)</f>
      </c>
      <c r="L254">
        <f>IF(J254&gt;0,1,0)</f>
      </c>
      <c r="P254">
        <f>IF($C$233&lt;&gt;1,0,P253*(1+((1+$C$238)^(1/12)-1))^12-J253/12*(1+((1+$C$238)^(1/12)-1))*(((1+((1+$C$238)^(1/12)-1))^12-1)/((1+((1+$C$238)^(1/12)-1))-1)))</f>
      </c>
      <c r="Q254">
        <f>IF($C$233&lt;&gt;1,0,IFERROR((((1+($C$238+'Inputs'!$H$137/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SUMPRODUCT(('Inputs'!$C$114:$C$121=$C$226)*($C$226&lt;&gt;"")*'Inputs'!$D$114:$D$121*(1+'Inputs'!$E$114:$E$121/100)^I255*(((ABS((('Inputs'!$G$114:$G$121&gt;0)*('Inputs'!$F$114:$F$121+'Inputs'!$G$114:$G$121)+('Inputs'!$G$114:$G$121=0)*12*$C$230)-12*I255)-ABS(((('Inputs'!$G$114:$G$121&gt;0)*('Inputs'!$F$114:$F$121+'Inputs'!$G$114:$G$121)+('Inputs'!$G$114:$G$121=0)*12*$C$230)-12*I255)-12)+12)/2-(ABS(('Inputs'!$F$114:$F$121-12*I255))-ABS((('Inputs'!$F$114:$F$121-12*I255))-12)+12)/2)+ABS((ABS((('Inputs'!$G$114:$G$121&gt;0)*('Inputs'!$F$114:$F$121+'Inputs'!$G$114:$G$121)+('Inputs'!$G$114:$G$121=0)*12*$C$230)-12*I255)-ABS(((('Inputs'!$G$114:$G$121&gt;0)*('Inputs'!$F$114:$F$121+'Inputs'!$G$114:$G$121)+('Inputs'!$G$114:$G$121=0)*12*$C$230)-12*I255)-12)+12)/2-(ABS(('Inputs'!$F$114:$F$121-12*I255))-ABS((('Inputs'!$F$114:$F$121-12*I255))-12)+12)/2))/2)</f>
      </c>
      <c r="L255">
        <f>IF(J255&gt;0,1,0)</f>
      </c>
      <c r="P255">
        <f>IF($C$233&lt;&gt;1,0,P254*(1+((1+$C$238)^(1/12)-1))^12-J254/12*(1+((1+$C$238)^(1/12)-1))*(((1+((1+$C$238)^(1/12)-1))^12-1)/((1+((1+$C$238)^(1/12)-1))-1)))</f>
      </c>
      <c r="Q255">
        <f>IF($C$233&lt;&gt;1,0,IFERROR((((1+($C$238+'Inputs'!$H$137/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SUMPRODUCT(('Inputs'!$C$114:$C$121=$C$226)*($C$226&lt;&gt;"")*'Inputs'!$D$114:$D$121*(1+'Inputs'!$E$114:$E$121/100)^I256*(((ABS((('Inputs'!$G$114:$G$121&gt;0)*('Inputs'!$F$114:$F$121+'Inputs'!$G$114:$G$121)+('Inputs'!$G$114:$G$121=0)*12*$C$230)-12*I256)-ABS(((('Inputs'!$G$114:$G$121&gt;0)*('Inputs'!$F$114:$F$121+'Inputs'!$G$114:$G$121)+('Inputs'!$G$114:$G$121=0)*12*$C$230)-12*I256)-12)+12)/2-(ABS(('Inputs'!$F$114:$F$121-12*I256))-ABS((('Inputs'!$F$114:$F$121-12*I256))-12)+12)/2)+ABS((ABS((('Inputs'!$G$114:$G$121&gt;0)*('Inputs'!$F$114:$F$121+'Inputs'!$G$114:$G$121)+('Inputs'!$G$114:$G$121=0)*12*$C$230)-12*I256)-ABS(((('Inputs'!$G$114:$G$121&gt;0)*('Inputs'!$F$114:$F$121+'Inputs'!$G$114:$G$121)+('Inputs'!$G$114:$G$121=0)*12*$C$230)-12*I256)-12)+12)/2-(ABS(('Inputs'!$F$114:$F$121-12*I256))-ABS((('Inputs'!$F$114:$F$121-12*I256))-12)+12)/2))/2)</f>
      </c>
      <c r="L256">
        <f>IF(J256&gt;0,1,0)</f>
      </c>
      <c r="P256">
        <f>IF($C$233&lt;&gt;1,0,P255*(1+((1+$C$238)^(1/12)-1))^12-J255/12*(1+((1+$C$238)^(1/12)-1))*(((1+((1+$C$238)^(1/12)-1))^12-1)/((1+((1+$C$238)^(1/12)-1))-1)))</f>
      </c>
      <c r="Q256">
        <f>IF($C$233&lt;&gt;1,0,IFERROR((((1+($C$238+'Inputs'!$H$137/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SUMPRODUCT(('Inputs'!$C$114:$C$121=$C$226)*($C$226&lt;&gt;"")*'Inputs'!$D$114:$D$121*(1+'Inputs'!$E$114:$E$121/100)^I257*(((ABS((('Inputs'!$G$114:$G$121&gt;0)*('Inputs'!$F$114:$F$121+'Inputs'!$G$114:$G$121)+('Inputs'!$G$114:$G$121=0)*12*$C$230)-12*I257)-ABS(((('Inputs'!$G$114:$G$121&gt;0)*('Inputs'!$F$114:$F$121+'Inputs'!$G$114:$G$121)+('Inputs'!$G$114:$G$121=0)*12*$C$230)-12*I257)-12)+12)/2-(ABS(('Inputs'!$F$114:$F$121-12*I257))-ABS((('Inputs'!$F$114:$F$121-12*I257))-12)+12)/2)+ABS((ABS((('Inputs'!$G$114:$G$121&gt;0)*('Inputs'!$F$114:$F$121+'Inputs'!$G$114:$G$121)+('Inputs'!$G$114:$G$121=0)*12*$C$230)-12*I257)-ABS(((('Inputs'!$G$114:$G$121&gt;0)*('Inputs'!$F$114:$F$121+'Inputs'!$G$114:$G$121)+('Inputs'!$G$114:$G$121=0)*12*$C$230)-12*I257)-12)+12)/2-(ABS(('Inputs'!$F$114:$F$121-12*I257))-ABS((('Inputs'!$F$114:$F$121-12*I257))-12)+12)/2))/2)</f>
      </c>
      <c r="L257">
        <f>IF(J257&gt;0,1,0)</f>
      </c>
      <c r="P257">
        <f>IF($C$233&lt;&gt;1,0,P256*(1+((1+$C$238)^(1/12)-1))^12-J256/12*(1+((1+$C$238)^(1/12)-1))*(((1+((1+$C$238)^(1/12)-1))^12-1)/((1+((1+$C$238)^(1/12)-1))-1)))</f>
      </c>
      <c r="Q257">
        <f>IF($C$233&lt;&gt;1,0,IFERROR((((1+($C$238+'Inputs'!$H$137/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SUMPRODUCT(('Inputs'!$C$114:$C$121=$C$226)*($C$226&lt;&gt;"")*'Inputs'!$D$114:$D$121*(1+'Inputs'!$E$114:$E$121/100)^I258*(((ABS((('Inputs'!$G$114:$G$121&gt;0)*('Inputs'!$F$114:$F$121+'Inputs'!$G$114:$G$121)+('Inputs'!$G$114:$G$121=0)*12*$C$230)-12*I258)-ABS(((('Inputs'!$G$114:$G$121&gt;0)*('Inputs'!$F$114:$F$121+'Inputs'!$G$114:$G$121)+('Inputs'!$G$114:$G$121=0)*12*$C$230)-12*I258)-12)+12)/2-(ABS(('Inputs'!$F$114:$F$121-12*I258))-ABS((('Inputs'!$F$114:$F$121-12*I258))-12)+12)/2)+ABS((ABS((('Inputs'!$G$114:$G$121&gt;0)*('Inputs'!$F$114:$F$121+'Inputs'!$G$114:$G$121)+('Inputs'!$G$114:$G$121=0)*12*$C$230)-12*I258)-ABS(((('Inputs'!$G$114:$G$121&gt;0)*('Inputs'!$F$114:$F$121+'Inputs'!$G$114:$G$121)+('Inputs'!$G$114:$G$121=0)*12*$C$230)-12*I258)-12)+12)/2-(ABS(('Inputs'!$F$114:$F$121-12*I258))-ABS((('Inputs'!$F$114:$F$121-12*I258))-12)+12)/2))/2)</f>
      </c>
      <c r="L258">
        <f>IF(J258&gt;0,1,0)</f>
      </c>
      <c r="P258">
        <f>IF($C$233&lt;&gt;1,0,P257*(1+((1+$C$238)^(1/12)-1))^12-J257/12*(1+((1+$C$238)^(1/12)-1))*(((1+((1+$C$238)^(1/12)-1))^12-1)/((1+((1+$C$238)^(1/12)-1))-1)))</f>
      </c>
      <c r="Q258">
        <f>IF($C$233&lt;&gt;1,0,IFERROR((((1+($C$238+'Inputs'!$H$137/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SUMPRODUCT(('Inputs'!$C$114:$C$121=$C$226)*($C$226&lt;&gt;"")*'Inputs'!$D$114:$D$121*(1+'Inputs'!$E$114:$E$121/100)^I259*(((ABS((('Inputs'!$G$114:$G$121&gt;0)*('Inputs'!$F$114:$F$121+'Inputs'!$G$114:$G$121)+('Inputs'!$G$114:$G$121=0)*12*$C$230)-12*I259)-ABS(((('Inputs'!$G$114:$G$121&gt;0)*('Inputs'!$F$114:$F$121+'Inputs'!$G$114:$G$121)+('Inputs'!$G$114:$G$121=0)*12*$C$230)-12*I259)-12)+12)/2-(ABS(('Inputs'!$F$114:$F$121-12*I259))-ABS((('Inputs'!$F$114:$F$121-12*I259))-12)+12)/2)+ABS((ABS((('Inputs'!$G$114:$G$121&gt;0)*('Inputs'!$F$114:$F$121+'Inputs'!$G$114:$G$121)+('Inputs'!$G$114:$G$121=0)*12*$C$230)-12*I259)-ABS(((('Inputs'!$G$114:$G$121&gt;0)*('Inputs'!$F$114:$F$121+'Inputs'!$G$114:$G$121)+('Inputs'!$G$114:$G$121=0)*12*$C$230)-12*I259)-12)+12)/2-(ABS(('Inputs'!$F$114:$F$121-12*I259))-ABS((('Inputs'!$F$114:$F$121-12*I259))-12)+12)/2))/2)</f>
      </c>
      <c r="L259">
        <f>IF(J259&gt;0,1,0)</f>
      </c>
      <c r="P259">
        <f>IF($C$233&lt;&gt;1,0,P258*(1+((1+$C$238)^(1/12)-1))^12-J258/12*(1+((1+$C$238)^(1/12)-1))*(((1+((1+$C$238)^(1/12)-1))^12-1)/((1+((1+$C$238)^(1/12)-1))-1)))</f>
      </c>
      <c r="Q259">
        <f>IF($C$233&lt;&gt;1,0,IFERROR((((1+($C$238+'Inputs'!$H$137/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SUMPRODUCT(('Inputs'!$C$114:$C$121=$C$226)*($C$226&lt;&gt;"")*'Inputs'!$D$114:$D$121*(1+'Inputs'!$E$114:$E$121/100)^I260*(((ABS((('Inputs'!$G$114:$G$121&gt;0)*('Inputs'!$F$114:$F$121+'Inputs'!$G$114:$G$121)+('Inputs'!$G$114:$G$121=0)*12*$C$230)-12*I260)-ABS(((('Inputs'!$G$114:$G$121&gt;0)*('Inputs'!$F$114:$F$121+'Inputs'!$G$114:$G$121)+('Inputs'!$G$114:$G$121=0)*12*$C$230)-12*I260)-12)+12)/2-(ABS(('Inputs'!$F$114:$F$121-12*I260))-ABS((('Inputs'!$F$114:$F$121-12*I260))-12)+12)/2)+ABS((ABS((('Inputs'!$G$114:$G$121&gt;0)*('Inputs'!$F$114:$F$121+'Inputs'!$G$114:$G$121)+('Inputs'!$G$114:$G$121=0)*12*$C$230)-12*I260)-ABS(((('Inputs'!$G$114:$G$121&gt;0)*('Inputs'!$F$114:$F$121+'Inputs'!$G$114:$G$121)+('Inputs'!$G$114:$G$121=0)*12*$C$230)-12*I260)-12)+12)/2-(ABS(('Inputs'!$F$114:$F$121-12*I260))-ABS((('Inputs'!$F$114:$F$121-12*I260))-12)+12)/2))/2)</f>
      </c>
      <c r="L260">
        <f>IF(J260&gt;0,1,0)</f>
      </c>
      <c r="P260">
        <f>IF($C$233&lt;&gt;1,0,P259*(1+((1+$C$238)^(1/12)-1))^12-J259/12*(1+((1+$C$238)^(1/12)-1))*(((1+((1+$C$238)^(1/12)-1))^12-1)/((1+((1+$C$238)^(1/12)-1))-1)))</f>
      </c>
      <c r="Q260">
        <f>IF($C$233&lt;&gt;1,0,IFERROR((((1+($C$238+'Inputs'!$H$137/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SUMPRODUCT(('Inputs'!$C$114:$C$121=$C$226)*($C$226&lt;&gt;"")*'Inputs'!$D$114:$D$121*(1+'Inputs'!$E$114:$E$121/100)^I261*(((ABS((('Inputs'!$G$114:$G$121&gt;0)*('Inputs'!$F$114:$F$121+'Inputs'!$G$114:$G$121)+('Inputs'!$G$114:$G$121=0)*12*$C$230)-12*I261)-ABS(((('Inputs'!$G$114:$G$121&gt;0)*('Inputs'!$F$114:$F$121+'Inputs'!$G$114:$G$121)+('Inputs'!$G$114:$G$121=0)*12*$C$230)-12*I261)-12)+12)/2-(ABS(('Inputs'!$F$114:$F$121-12*I261))-ABS((('Inputs'!$F$114:$F$121-12*I261))-12)+12)/2)+ABS((ABS((('Inputs'!$G$114:$G$121&gt;0)*('Inputs'!$F$114:$F$121+'Inputs'!$G$114:$G$121)+('Inputs'!$G$114:$G$121=0)*12*$C$230)-12*I261)-ABS(((('Inputs'!$G$114:$G$121&gt;0)*('Inputs'!$F$114:$F$121+'Inputs'!$G$114:$G$121)+('Inputs'!$G$114:$G$121=0)*12*$C$230)-12*I261)-12)+12)/2-(ABS(('Inputs'!$F$114:$F$121-12*I261))-ABS((('Inputs'!$F$114:$F$121-12*I261))-12)+12)/2))/2)</f>
      </c>
      <c r="L261">
        <f>IF(J261&gt;0,1,0)</f>
      </c>
      <c r="P261">
        <f>IF($C$233&lt;&gt;1,0,P260*(1+((1+$C$238)^(1/12)-1))^12-J260/12*(1+((1+$C$238)^(1/12)-1))*(((1+((1+$C$238)^(1/12)-1))^12-1)/((1+((1+$C$238)^(1/12)-1))-1)))</f>
      </c>
      <c r="Q261">
        <f>IF($C$233&lt;&gt;1,0,IFERROR((((1+($C$238+'Inputs'!$H$137/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SUMPRODUCT(('Inputs'!$C$114:$C$121=$C$226)*($C$226&lt;&gt;"")*'Inputs'!$D$114:$D$121*(1+'Inputs'!$E$114:$E$121/100)^I262*(((ABS((('Inputs'!$G$114:$G$121&gt;0)*('Inputs'!$F$114:$F$121+'Inputs'!$G$114:$G$121)+('Inputs'!$G$114:$G$121=0)*12*$C$230)-12*I262)-ABS(((('Inputs'!$G$114:$G$121&gt;0)*('Inputs'!$F$114:$F$121+'Inputs'!$G$114:$G$121)+('Inputs'!$G$114:$G$121=0)*12*$C$230)-12*I262)-12)+12)/2-(ABS(('Inputs'!$F$114:$F$121-12*I262))-ABS((('Inputs'!$F$114:$F$121-12*I262))-12)+12)/2)+ABS((ABS((('Inputs'!$G$114:$G$121&gt;0)*('Inputs'!$F$114:$F$121+'Inputs'!$G$114:$G$121)+('Inputs'!$G$114:$G$121=0)*12*$C$230)-12*I262)-ABS(((('Inputs'!$G$114:$G$121&gt;0)*('Inputs'!$F$114:$F$121+'Inputs'!$G$114:$G$121)+('Inputs'!$G$114:$G$121=0)*12*$C$230)-12*I262)-12)+12)/2-(ABS(('Inputs'!$F$114:$F$121-12*I262))-ABS((('Inputs'!$F$114:$F$121-12*I262))-12)+12)/2))/2)</f>
      </c>
      <c r="L262">
        <f>IF(J262&gt;0,1,0)</f>
      </c>
      <c r="P262">
        <f>IF($C$233&lt;&gt;1,0,P261*(1+((1+$C$238)^(1/12)-1))^12-J261/12*(1+((1+$C$238)^(1/12)-1))*(((1+((1+$C$238)^(1/12)-1))^12-1)/((1+((1+$C$238)^(1/12)-1))-1)))</f>
      </c>
      <c r="Q262">
        <f>IF($C$233&lt;&gt;1,0,IFERROR((((1+($C$238+'Inputs'!$H$137/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SUMPRODUCT(('Inputs'!$C$114:$C$121=$C$226)*($C$226&lt;&gt;"")*'Inputs'!$D$114:$D$121*(1+'Inputs'!$E$114:$E$121/100)^I263*(((ABS((('Inputs'!$G$114:$G$121&gt;0)*('Inputs'!$F$114:$F$121+'Inputs'!$G$114:$G$121)+('Inputs'!$G$114:$G$121=0)*12*$C$230)-12*I263)-ABS(((('Inputs'!$G$114:$G$121&gt;0)*('Inputs'!$F$114:$F$121+'Inputs'!$G$114:$G$121)+('Inputs'!$G$114:$G$121=0)*12*$C$230)-12*I263)-12)+12)/2-(ABS(('Inputs'!$F$114:$F$121-12*I263))-ABS((('Inputs'!$F$114:$F$121-12*I263))-12)+12)/2)+ABS((ABS((('Inputs'!$G$114:$G$121&gt;0)*('Inputs'!$F$114:$F$121+'Inputs'!$G$114:$G$121)+('Inputs'!$G$114:$G$121=0)*12*$C$230)-12*I263)-ABS(((('Inputs'!$G$114:$G$121&gt;0)*('Inputs'!$F$114:$F$121+'Inputs'!$G$114:$G$121)+('Inputs'!$G$114:$G$121=0)*12*$C$230)-12*I263)-12)+12)/2-(ABS(('Inputs'!$F$114:$F$121-12*I263))-ABS((('Inputs'!$F$114:$F$121-12*I263))-12)+12)/2))/2)</f>
      </c>
      <c r="L263">
        <f>IF(J263&gt;0,1,0)</f>
      </c>
      <c r="P263">
        <f>IF($C$233&lt;&gt;1,0,P262*(1+((1+$C$238)^(1/12)-1))^12-J262/12*(1+((1+$C$238)^(1/12)-1))*(((1+((1+$C$238)^(1/12)-1))^12-1)/((1+((1+$C$238)^(1/12)-1))-1)))</f>
      </c>
      <c r="Q263">
        <f>IF($C$233&lt;&gt;1,0,IFERROR((((1+($C$238+'Inputs'!$H$137/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SUMPRODUCT(('Inputs'!$C$114:$C$121=$C$226)*($C$226&lt;&gt;"")*'Inputs'!$D$114:$D$121*(1+'Inputs'!$E$114:$E$121/100)^I264*(((ABS((('Inputs'!$G$114:$G$121&gt;0)*('Inputs'!$F$114:$F$121+'Inputs'!$G$114:$G$121)+('Inputs'!$G$114:$G$121=0)*12*$C$230)-12*I264)-ABS(((('Inputs'!$G$114:$G$121&gt;0)*('Inputs'!$F$114:$F$121+'Inputs'!$G$114:$G$121)+('Inputs'!$G$114:$G$121=0)*12*$C$230)-12*I264)-12)+12)/2-(ABS(('Inputs'!$F$114:$F$121-12*I264))-ABS((('Inputs'!$F$114:$F$121-12*I264))-12)+12)/2)+ABS((ABS((('Inputs'!$G$114:$G$121&gt;0)*('Inputs'!$F$114:$F$121+'Inputs'!$G$114:$G$121)+('Inputs'!$G$114:$G$121=0)*12*$C$230)-12*I264)-ABS(((('Inputs'!$G$114:$G$121&gt;0)*('Inputs'!$F$114:$F$121+'Inputs'!$G$114:$G$121)+('Inputs'!$G$114:$G$121=0)*12*$C$230)-12*I264)-12)+12)/2-(ABS(('Inputs'!$F$114:$F$121-12*I264))-ABS((('Inputs'!$F$114:$F$121-12*I264))-12)+12)/2))/2)</f>
      </c>
      <c r="L264">
        <f>IF(J264&gt;0,1,0)</f>
      </c>
      <c r="P264">
        <f>IF($C$233&lt;&gt;1,0,P263*(1+((1+$C$238)^(1/12)-1))^12-J263/12*(1+((1+$C$238)^(1/12)-1))*(((1+((1+$C$238)^(1/12)-1))^12-1)/((1+((1+$C$238)^(1/12)-1))-1)))</f>
      </c>
      <c r="Q264">
        <f>IF($C$233&lt;&gt;1,0,IFERROR((((1+($C$238+'Inputs'!$H$137/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SUMPRODUCT(('Inputs'!$C$114:$C$121=$C$226)*($C$226&lt;&gt;"")*'Inputs'!$D$114:$D$121*(1+'Inputs'!$E$114:$E$121/100)^I265*(((ABS((('Inputs'!$G$114:$G$121&gt;0)*('Inputs'!$F$114:$F$121+'Inputs'!$G$114:$G$121)+('Inputs'!$G$114:$G$121=0)*12*$C$230)-12*I265)-ABS(((('Inputs'!$G$114:$G$121&gt;0)*('Inputs'!$F$114:$F$121+'Inputs'!$G$114:$G$121)+('Inputs'!$G$114:$G$121=0)*12*$C$230)-12*I265)-12)+12)/2-(ABS(('Inputs'!$F$114:$F$121-12*I265))-ABS((('Inputs'!$F$114:$F$121-12*I265))-12)+12)/2)+ABS((ABS((('Inputs'!$G$114:$G$121&gt;0)*('Inputs'!$F$114:$F$121+'Inputs'!$G$114:$G$121)+('Inputs'!$G$114:$G$121=0)*12*$C$230)-12*I265)-ABS(((('Inputs'!$G$114:$G$121&gt;0)*('Inputs'!$F$114:$F$121+'Inputs'!$G$114:$G$121)+('Inputs'!$G$114:$G$121=0)*12*$C$230)-12*I265)-12)+12)/2-(ABS(('Inputs'!$F$114:$F$121-12*I265))-ABS((('Inputs'!$F$114:$F$121-12*I265))-12)+12)/2))/2)</f>
      </c>
      <c r="L265">
        <f>IF(J265&gt;0,1,0)</f>
      </c>
      <c r="P265">
        <f>IF($C$233&lt;&gt;1,0,P264*(1+((1+$C$238)^(1/12)-1))^12-J264/12*(1+((1+$C$238)^(1/12)-1))*(((1+((1+$C$238)^(1/12)-1))^12-1)/((1+((1+$C$238)^(1/12)-1))-1)))</f>
      </c>
      <c r="Q265">
        <f>IF($C$233&lt;&gt;1,0,IFERROR((((1+($C$238+'Inputs'!$H$137/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SUMPRODUCT(('Inputs'!$C$114:$C$121=$C$226)*($C$226&lt;&gt;"")*'Inputs'!$D$114:$D$121*(1+'Inputs'!$E$114:$E$121/100)^I266*(((ABS((('Inputs'!$G$114:$G$121&gt;0)*('Inputs'!$F$114:$F$121+'Inputs'!$G$114:$G$121)+('Inputs'!$G$114:$G$121=0)*12*$C$230)-12*I266)-ABS(((('Inputs'!$G$114:$G$121&gt;0)*('Inputs'!$F$114:$F$121+'Inputs'!$G$114:$G$121)+('Inputs'!$G$114:$G$121=0)*12*$C$230)-12*I266)-12)+12)/2-(ABS(('Inputs'!$F$114:$F$121-12*I266))-ABS((('Inputs'!$F$114:$F$121-12*I266))-12)+12)/2)+ABS((ABS((('Inputs'!$G$114:$G$121&gt;0)*('Inputs'!$F$114:$F$121+'Inputs'!$G$114:$G$121)+('Inputs'!$G$114:$G$121=0)*12*$C$230)-12*I266)-ABS(((('Inputs'!$G$114:$G$121&gt;0)*('Inputs'!$F$114:$F$121+'Inputs'!$G$114:$G$121)+('Inputs'!$G$114:$G$121=0)*12*$C$230)-12*I266)-12)+12)/2-(ABS(('Inputs'!$F$114:$F$121-12*I266))-ABS((('Inputs'!$F$114:$F$121-12*I266))-12)+12)/2))/2)</f>
      </c>
      <c r="L266">
        <f>IF(J266&gt;0,1,0)</f>
      </c>
      <c r="P266">
        <f>IF($C$233&lt;&gt;1,0,P265*(1+((1+$C$238)^(1/12)-1))^12-J265/12*(1+((1+$C$238)^(1/12)-1))*(((1+((1+$C$238)^(1/12)-1))^12-1)/((1+((1+$C$238)^(1/12)-1))-1)))</f>
      </c>
      <c r="Q266">
        <f>IF($C$233&lt;&gt;1,0,IFERROR((((1+($C$238+'Inputs'!$H$137/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SUMPRODUCT(('Inputs'!$C$114:$C$121=$C$226)*($C$226&lt;&gt;"")*'Inputs'!$D$114:$D$121*(1+'Inputs'!$E$114:$E$121/100)^I267*(((ABS((('Inputs'!$G$114:$G$121&gt;0)*('Inputs'!$F$114:$F$121+'Inputs'!$G$114:$G$121)+('Inputs'!$G$114:$G$121=0)*12*$C$230)-12*I267)-ABS(((('Inputs'!$G$114:$G$121&gt;0)*('Inputs'!$F$114:$F$121+'Inputs'!$G$114:$G$121)+('Inputs'!$G$114:$G$121=0)*12*$C$230)-12*I267)-12)+12)/2-(ABS(('Inputs'!$F$114:$F$121-12*I267))-ABS((('Inputs'!$F$114:$F$121-12*I267))-12)+12)/2)+ABS((ABS((('Inputs'!$G$114:$G$121&gt;0)*('Inputs'!$F$114:$F$121+'Inputs'!$G$114:$G$121)+('Inputs'!$G$114:$G$121=0)*12*$C$230)-12*I267)-ABS(((('Inputs'!$G$114:$G$121&gt;0)*('Inputs'!$F$114:$F$121+'Inputs'!$G$114:$G$121)+('Inputs'!$G$114:$G$121=0)*12*$C$230)-12*I267)-12)+12)/2-(ABS(('Inputs'!$F$114:$F$121-12*I267))-ABS((('Inputs'!$F$114:$F$121-12*I267))-12)+12)/2))/2)</f>
      </c>
      <c r="L267">
        <f>IF(J267&gt;0,1,0)</f>
      </c>
      <c r="P267">
        <f>IF($C$233&lt;&gt;1,0,P266*(1+((1+$C$238)^(1/12)-1))^12-J266/12*(1+((1+$C$238)^(1/12)-1))*(((1+((1+$C$238)^(1/12)-1))^12-1)/((1+((1+$C$238)^(1/12)-1))-1)))</f>
      </c>
      <c r="Q267">
        <f>IF($C$233&lt;&gt;1,0,IFERROR((((1+($C$238+'Inputs'!$H$137/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SUMPRODUCT(('Inputs'!$C$114:$C$121=$C$226)*($C$226&lt;&gt;"")*'Inputs'!$D$114:$D$121*(1+'Inputs'!$E$114:$E$121/100)^I268*(((ABS((('Inputs'!$G$114:$G$121&gt;0)*('Inputs'!$F$114:$F$121+'Inputs'!$G$114:$G$121)+('Inputs'!$G$114:$G$121=0)*12*$C$230)-12*I268)-ABS(((('Inputs'!$G$114:$G$121&gt;0)*('Inputs'!$F$114:$F$121+'Inputs'!$G$114:$G$121)+('Inputs'!$G$114:$G$121=0)*12*$C$230)-12*I268)-12)+12)/2-(ABS(('Inputs'!$F$114:$F$121-12*I268))-ABS((('Inputs'!$F$114:$F$121-12*I268))-12)+12)/2)+ABS((ABS((('Inputs'!$G$114:$G$121&gt;0)*('Inputs'!$F$114:$F$121+'Inputs'!$G$114:$G$121)+('Inputs'!$G$114:$G$121=0)*12*$C$230)-12*I268)-ABS(((('Inputs'!$G$114:$G$121&gt;0)*('Inputs'!$F$114:$F$121+'Inputs'!$G$114:$G$121)+('Inputs'!$G$114:$G$121=0)*12*$C$230)-12*I268)-12)+12)/2-(ABS(('Inputs'!$F$114:$F$121-12*I268))-ABS((('Inputs'!$F$114:$F$121-12*I268))-12)+12)/2))/2)</f>
      </c>
      <c r="L268">
        <f>IF(J268&gt;0,1,0)</f>
      </c>
      <c r="P268">
        <f>IF($C$233&lt;&gt;1,0,P267*(1+((1+$C$238)^(1/12)-1))^12-J267/12*(1+((1+$C$238)^(1/12)-1))*(((1+((1+$C$238)^(1/12)-1))^12-1)/((1+((1+$C$238)^(1/12)-1))-1)))</f>
      </c>
      <c r="Q268">
        <f>IF($C$233&lt;&gt;1,0,IFERROR((((1+($C$238+'Inputs'!$H$137/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SUMPRODUCT(('Inputs'!$C$114:$C$121=$C$226)*($C$226&lt;&gt;"")*'Inputs'!$D$114:$D$121*(1+'Inputs'!$E$114:$E$121/100)^I269*(((ABS((('Inputs'!$G$114:$G$121&gt;0)*('Inputs'!$F$114:$F$121+'Inputs'!$G$114:$G$121)+('Inputs'!$G$114:$G$121=0)*12*$C$230)-12*I269)-ABS(((('Inputs'!$G$114:$G$121&gt;0)*('Inputs'!$F$114:$F$121+'Inputs'!$G$114:$G$121)+('Inputs'!$G$114:$G$121=0)*12*$C$230)-12*I269)-12)+12)/2-(ABS(('Inputs'!$F$114:$F$121-12*I269))-ABS((('Inputs'!$F$114:$F$121-12*I269))-12)+12)/2)+ABS((ABS((('Inputs'!$G$114:$G$121&gt;0)*('Inputs'!$F$114:$F$121+'Inputs'!$G$114:$G$121)+('Inputs'!$G$114:$G$121=0)*12*$C$230)-12*I269)-ABS(((('Inputs'!$G$114:$G$121&gt;0)*('Inputs'!$F$114:$F$121+'Inputs'!$G$114:$G$121)+('Inputs'!$G$114:$G$121=0)*12*$C$230)-12*I269)-12)+12)/2-(ABS(('Inputs'!$F$114:$F$121-12*I269))-ABS((('Inputs'!$F$114:$F$121-12*I269))-12)+12)/2))/2)</f>
      </c>
      <c r="L269">
        <f>IF(J269&gt;0,1,0)</f>
      </c>
      <c r="P269">
        <f>IF($C$233&lt;&gt;1,0,P268*(1+((1+$C$238)^(1/12)-1))^12-J268/12*(1+((1+$C$238)^(1/12)-1))*(((1+((1+$C$238)^(1/12)-1))^12-1)/((1+((1+$C$238)^(1/12)-1))-1)))</f>
      </c>
      <c r="Q269">
        <f>IF($C$233&lt;&gt;1,0,IFERROR((((1+($C$238+'Inputs'!$H$137/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SUMPRODUCT(('Inputs'!$C$114:$C$121=$C$226)*($C$226&lt;&gt;"")*'Inputs'!$D$114:$D$121*(1+'Inputs'!$E$114:$E$121/100)^I270*(((ABS((('Inputs'!$G$114:$G$121&gt;0)*('Inputs'!$F$114:$F$121+'Inputs'!$G$114:$G$121)+('Inputs'!$G$114:$G$121=0)*12*$C$230)-12*I270)-ABS(((('Inputs'!$G$114:$G$121&gt;0)*('Inputs'!$F$114:$F$121+'Inputs'!$G$114:$G$121)+('Inputs'!$G$114:$G$121=0)*12*$C$230)-12*I270)-12)+12)/2-(ABS(('Inputs'!$F$114:$F$121-12*I270))-ABS((('Inputs'!$F$114:$F$121-12*I270))-12)+12)/2)+ABS((ABS((('Inputs'!$G$114:$G$121&gt;0)*('Inputs'!$F$114:$F$121+'Inputs'!$G$114:$G$121)+('Inputs'!$G$114:$G$121=0)*12*$C$230)-12*I270)-ABS(((('Inputs'!$G$114:$G$121&gt;0)*('Inputs'!$F$114:$F$121+'Inputs'!$G$114:$G$121)+('Inputs'!$G$114:$G$121=0)*12*$C$230)-12*I270)-12)+12)/2-(ABS(('Inputs'!$F$114:$F$121-12*I270))-ABS((('Inputs'!$F$114:$F$121-12*I270))-12)+12)/2))/2)</f>
      </c>
      <c r="L270">
        <f>IF(J270&gt;0,1,0)</f>
      </c>
      <c r="P270">
        <f>IF($C$233&lt;&gt;1,0,P269*(1+((1+$C$238)^(1/12)-1))^12-J269/12*(1+((1+$C$238)^(1/12)-1))*(((1+((1+$C$238)^(1/12)-1))^12-1)/((1+((1+$C$238)^(1/12)-1))-1)))</f>
      </c>
      <c r="Q270">
        <f>IF($C$233&lt;&gt;1,0,IFERROR((((1+($C$238+'Inputs'!$H$137/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SUMPRODUCT(('Inputs'!$C$114:$C$121=$C$226)*($C$226&lt;&gt;"")*'Inputs'!$D$114:$D$121*(1+'Inputs'!$E$114:$E$121/100)^I271*(((ABS((('Inputs'!$G$114:$G$121&gt;0)*('Inputs'!$F$114:$F$121+'Inputs'!$G$114:$G$121)+('Inputs'!$G$114:$G$121=0)*12*$C$230)-12*I271)-ABS(((('Inputs'!$G$114:$G$121&gt;0)*('Inputs'!$F$114:$F$121+'Inputs'!$G$114:$G$121)+('Inputs'!$G$114:$G$121=0)*12*$C$230)-12*I271)-12)+12)/2-(ABS(('Inputs'!$F$114:$F$121-12*I271))-ABS((('Inputs'!$F$114:$F$121-12*I271))-12)+12)/2)+ABS((ABS((('Inputs'!$G$114:$G$121&gt;0)*('Inputs'!$F$114:$F$121+'Inputs'!$G$114:$G$121)+('Inputs'!$G$114:$G$121=0)*12*$C$230)-12*I271)-ABS(((('Inputs'!$G$114:$G$121&gt;0)*('Inputs'!$F$114:$F$121+'Inputs'!$G$114:$G$121)+('Inputs'!$G$114:$G$121=0)*12*$C$230)-12*I271)-12)+12)/2-(ABS(('Inputs'!$F$114:$F$121-12*I271))-ABS((('Inputs'!$F$114:$F$121-12*I271))-12)+12)/2))/2)</f>
      </c>
      <c r="L271">
        <f>IF(J271&gt;0,1,0)</f>
      </c>
      <c r="P271">
        <f>IF($C$233&lt;&gt;1,0,P270*(1+((1+$C$238)^(1/12)-1))^12-J270/12*(1+((1+$C$238)^(1/12)-1))*(((1+((1+$C$238)^(1/12)-1))^12-1)/((1+((1+$C$238)^(1/12)-1))-1)))</f>
      </c>
      <c r="Q271">
        <f>IF($C$233&lt;&gt;1,0,IFERROR((((1+($C$238+'Inputs'!$H$137/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SUMPRODUCT(('Inputs'!$C$114:$C$121=$C$226)*($C$226&lt;&gt;"")*'Inputs'!$D$114:$D$121*(1+'Inputs'!$E$114:$E$121/100)^I272*(((ABS((('Inputs'!$G$114:$G$121&gt;0)*('Inputs'!$F$114:$F$121+'Inputs'!$G$114:$G$121)+('Inputs'!$G$114:$G$121=0)*12*$C$230)-12*I272)-ABS(((('Inputs'!$G$114:$G$121&gt;0)*('Inputs'!$F$114:$F$121+'Inputs'!$G$114:$G$121)+('Inputs'!$G$114:$G$121=0)*12*$C$230)-12*I272)-12)+12)/2-(ABS(('Inputs'!$F$114:$F$121-12*I272))-ABS((('Inputs'!$F$114:$F$121-12*I272))-12)+12)/2)+ABS((ABS((('Inputs'!$G$114:$G$121&gt;0)*('Inputs'!$F$114:$F$121+'Inputs'!$G$114:$G$121)+('Inputs'!$G$114:$G$121=0)*12*$C$230)-12*I272)-ABS(((('Inputs'!$G$114:$G$121&gt;0)*('Inputs'!$F$114:$F$121+'Inputs'!$G$114:$G$121)+('Inputs'!$G$114:$G$121=0)*12*$C$230)-12*I272)-12)+12)/2-(ABS(('Inputs'!$F$114:$F$121-12*I272))-ABS((('Inputs'!$F$114:$F$121-12*I272))-12)+12)/2))/2)</f>
      </c>
      <c r="L272">
        <f>IF(J272&gt;0,1,0)</f>
      </c>
      <c r="P272">
        <f>IF($C$233&lt;&gt;1,0,P271*(1+((1+$C$238)^(1/12)-1))^12-J271/12*(1+((1+$C$238)^(1/12)-1))*(((1+((1+$C$238)^(1/12)-1))^12-1)/((1+((1+$C$238)^(1/12)-1))-1)))</f>
      </c>
      <c r="Q272">
        <f>IF($C$233&lt;&gt;1,0,IFERROR((((1+($C$238+'Inputs'!$H$137/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SUMPRODUCT(('Inputs'!$C$114:$C$121=$C$226)*($C$226&lt;&gt;"")*'Inputs'!$D$114:$D$121*(1+'Inputs'!$E$114:$E$121/100)^I273*(((ABS((('Inputs'!$G$114:$G$121&gt;0)*('Inputs'!$F$114:$F$121+'Inputs'!$G$114:$G$121)+('Inputs'!$G$114:$G$121=0)*12*$C$230)-12*I273)-ABS(((('Inputs'!$G$114:$G$121&gt;0)*('Inputs'!$F$114:$F$121+'Inputs'!$G$114:$G$121)+('Inputs'!$G$114:$G$121=0)*12*$C$230)-12*I273)-12)+12)/2-(ABS(('Inputs'!$F$114:$F$121-12*I273))-ABS((('Inputs'!$F$114:$F$121-12*I273))-12)+12)/2)+ABS((ABS((('Inputs'!$G$114:$G$121&gt;0)*('Inputs'!$F$114:$F$121+'Inputs'!$G$114:$G$121)+('Inputs'!$G$114:$G$121=0)*12*$C$230)-12*I273)-ABS(((('Inputs'!$G$114:$G$121&gt;0)*('Inputs'!$F$114:$F$121+'Inputs'!$G$114:$G$121)+('Inputs'!$G$114:$G$121=0)*12*$C$230)-12*I273)-12)+12)/2-(ABS(('Inputs'!$F$114:$F$121-12*I273))-ABS((('Inputs'!$F$114:$F$121-12*I273))-12)+12)/2))/2)</f>
      </c>
      <c r="L273">
        <f>IF(J273&gt;0,1,0)</f>
      </c>
      <c r="P273">
        <f>IF($C$233&lt;&gt;1,0,P272*(1+((1+$C$238)^(1/12)-1))^12-J272/12*(1+((1+$C$238)^(1/12)-1))*(((1+((1+$C$238)^(1/12)-1))^12-1)/((1+((1+$C$238)^(1/12)-1))-1)))</f>
      </c>
      <c r="Q273">
        <f>IF($C$233&lt;&gt;1,0,IFERROR((((1+($C$238+'Inputs'!$H$137/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SUMPRODUCT(('Inputs'!$C$114:$C$121=$C$226)*($C$226&lt;&gt;"")*'Inputs'!$D$114:$D$121*(1+'Inputs'!$E$114:$E$121/100)^I274*(((ABS((('Inputs'!$G$114:$G$121&gt;0)*('Inputs'!$F$114:$F$121+'Inputs'!$G$114:$G$121)+('Inputs'!$G$114:$G$121=0)*12*$C$230)-12*I274)-ABS(((('Inputs'!$G$114:$G$121&gt;0)*('Inputs'!$F$114:$F$121+'Inputs'!$G$114:$G$121)+('Inputs'!$G$114:$G$121=0)*12*$C$230)-12*I274)-12)+12)/2-(ABS(('Inputs'!$F$114:$F$121-12*I274))-ABS((('Inputs'!$F$114:$F$121-12*I274))-12)+12)/2)+ABS((ABS((('Inputs'!$G$114:$G$121&gt;0)*('Inputs'!$F$114:$F$121+'Inputs'!$G$114:$G$121)+('Inputs'!$G$114:$G$121=0)*12*$C$230)-12*I274)-ABS(((('Inputs'!$G$114:$G$121&gt;0)*('Inputs'!$F$114:$F$121+'Inputs'!$G$114:$G$121)+('Inputs'!$G$114:$G$121=0)*12*$C$230)-12*I274)-12)+12)/2-(ABS(('Inputs'!$F$114:$F$121-12*I274))-ABS((('Inputs'!$F$114:$F$121-12*I274))-12)+12)/2))/2)</f>
      </c>
      <c r="L274">
        <f>IF(J274&gt;0,1,0)</f>
      </c>
      <c r="P274">
        <f>IF($C$233&lt;&gt;1,0,P273*(1+((1+$C$238)^(1/12)-1))^12-J273/12*(1+((1+$C$238)^(1/12)-1))*(((1+((1+$C$238)^(1/12)-1))^12-1)/((1+((1+$C$238)^(1/12)-1))-1)))</f>
      </c>
      <c r="Q274">
        <f>IF($C$233&lt;&gt;1,0,IFERROR((((1+($C$238+'Inputs'!$H$137/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SUMPRODUCT(('Inputs'!$C$114:$C$121=$C$226)*($C$226&lt;&gt;"")*'Inputs'!$D$114:$D$121*(1+'Inputs'!$E$114:$E$121/100)^I275*(((ABS((('Inputs'!$G$114:$G$121&gt;0)*('Inputs'!$F$114:$F$121+'Inputs'!$G$114:$G$121)+('Inputs'!$G$114:$G$121=0)*12*$C$230)-12*I275)-ABS(((('Inputs'!$G$114:$G$121&gt;0)*('Inputs'!$F$114:$F$121+'Inputs'!$G$114:$G$121)+('Inputs'!$G$114:$G$121=0)*12*$C$230)-12*I275)-12)+12)/2-(ABS(('Inputs'!$F$114:$F$121-12*I275))-ABS((('Inputs'!$F$114:$F$121-12*I275))-12)+12)/2)+ABS((ABS((('Inputs'!$G$114:$G$121&gt;0)*('Inputs'!$F$114:$F$121+'Inputs'!$G$114:$G$121)+('Inputs'!$G$114:$G$121=0)*12*$C$230)-12*I275)-ABS(((('Inputs'!$G$114:$G$121&gt;0)*('Inputs'!$F$114:$F$121+'Inputs'!$G$114:$G$121)+('Inputs'!$G$114:$G$121=0)*12*$C$230)-12*I275)-12)+12)/2-(ABS(('Inputs'!$F$114:$F$121-12*I275))-ABS((('Inputs'!$F$114:$F$121-12*I275))-12)+12)/2))/2)</f>
      </c>
      <c r="L275">
        <f>IF(J275&gt;0,1,0)</f>
      </c>
      <c r="P275">
        <f>IF($C$233&lt;&gt;1,0,P274*(1+((1+$C$238)^(1/12)-1))^12-J274/12*(1+((1+$C$238)^(1/12)-1))*(((1+((1+$C$238)^(1/12)-1))^12-1)/((1+((1+$C$238)^(1/12)-1))-1)))</f>
      </c>
      <c r="Q275">
        <f>IF($C$233&lt;&gt;1,0,IFERROR((((1+($C$238+'Inputs'!$H$137/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SUMPRODUCT(('Inputs'!$C$114:$C$121=$C$226)*($C$226&lt;&gt;"")*'Inputs'!$D$114:$D$121*(1+'Inputs'!$E$114:$E$121/100)^I276*(((ABS((('Inputs'!$G$114:$G$121&gt;0)*('Inputs'!$F$114:$F$121+'Inputs'!$G$114:$G$121)+('Inputs'!$G$114:$G$121=0)*12*$C$230)-12*I276)-ABS(((('Inputs'!$G$114:$G$121&gt;0)*('Inputs'!$F$114:$F$121+'Inputs'!$G$114:$G$121)+('Inputs'!$G$114:$G$121=0)*12*$C$230)-12*I276)-12)+12)/2-(ABS(('Inputs'!$F$114:$F$121-12*I276))-ABS((('Inputs'!$F$114:$F$121-12*I276))-12)+12)/2)+ABS((ABS((('Inputs'!$G$114:$G$121&gt;0)*('Inputs'!$F$114:$F$121+'Inputs'!$G$114:$G$121)+('Inputs'!$G$114:$G$121=0)*12*$C$230)-12*I276)-ABS(((('Inputs'!$G$114:$G$121&gt;0)*('Inputs'!$F$114:$F$121+'Inputs'!$G$114:$G$121)+('Inputs'!$G$114:$G$121=0)*12*$C$230)-12*I276)-12)+12)/2-(ABS(('Inputs'!$F$114:$F$121-12*I276))-ABS((('Inputs'!$F$114:$F$121-12*I276))-12)+12)/2))/2)</f>
      </c>
      <c r="L276">
        <f>IF(J276&gt;0,1,0)</f>
      </c>
      <c r="P276">
        <f>IF($C$233&lt;&gt;1,0,P275*(1+((1+$C$238)^(1/12)-1))^12-J275/12*(1+((1+$C$238)^(1/12)-1))*(((1+((1+$C$238)^(1/12)-1))^12-1)/((1+((1+$C$238)^(1/12)-1))-1)))</f>
      </c>
      <c r="Q276">
        <f>IF($C$233&lt;&gt;1,0,IFERROR((((1+($C$238+'Inputs'!$H$137/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SUMPRODUCT(('Inputs'!$C$114:$C$121=$C$226)*($C$226&lt;&gt;"")*'Inputs'!$D$114:$D$121*(1+'Inputs'!$E$114:$E$121/100)^I277*(((ABS((('Inputs'!$G$114:$G$121&gt;0)*('Inputs'!$F$114:$F$121+'Inputs'!$G$114:$G$121)+('Inputs'!$G$114:$G$121=0)*12*$C$230)-12*I277)-ABS(((('Inputs'!$G$114:$G$121&gt;0)*('Inputs'!$F$114:$F$121+'Inputs'!$G$114:$G$121)+('Inputs'!$G$114:$G$121=0)*12*$C$230)-12*I277)-12)+12)/2-(ABS(('Inputs'!$F$114:$F$121-12*I277))-ABS((('Inputs'!$F$114:$F$121-12*I277))-12)+12)/2)+ABS((ABS((('Inputs'!$G$114:$G$121&gt;0)*('Inputs'!$F$114:$F$121+'Inputs'!$G$114:$G$121)+('Inputs'!$G$114:$G$121=0)*12*$C$230)-12*I277)-ABS(((('Inputs'!$G$114:$G$121&gt;0)*('Inputs'!$F$114:$F$121+'Inputs'!$G$114:$G$121)+('Inputs'!$G$114:$G$121=0)*12*$C$230)-12*I277)-12)+12)/2-(ABS(('Inputs'!$F$114:$F$121-12*I277))-ABS((('Inputs'!$F$114:$F$121-12*I277))-12)+12)/2))/2)</f>
      </c>
      <c r="L277">
        <f>IF(J277&gt;0,1,0)</f>
      </c>
      <c r="P277">
        <f>IF($C$233&lt;&gt;1,0,P276*(1+((1+$C$238)^(1/12)-1))^12-J276/12*(1+((1+$C$238)^(1/12)-1))*(((1+((1+$C$238)^(1/12)-1))^12-1)/((1+((1+$C$238)^(1/12)-1))-1)))</f>
      </c>
      <c r="Q277">
        <f>IF($C$233&lt;&gt;1,0,IFERROR((((1+($C$238+'Inputs'!$H$137/100))^(1/12)-1)-((1+$C$238)^(1/12)-1))*(P277*(((1+((1+$C$238)^(1/12)-1))^12-1)/((1+((1+$C$238)^(1/12)-1))-1))-J277/12/((1+((1+$C$238)^(1/12)-1))-1)*((1+((1+$C$238)^(1/12)-1))*(((1+((1+$C$238)^(1/12)-1))^12-1)/((1+((1+$C$238)^(1/12)-1))-1))-12)),0))</f>
      </c>
    </row>
    <row r="282" spans="2:3" x14ac:dyDescent="0.25">
      <c r="B282" t="s">
        <v>122</v>
      </c>
      <c r="C282">
        <f>IF('Inputs'!$B$105="","",'Inputs'!$B$105)</f>
      </c>
    </row>
    <row r="283" spans="2:17" x14ac:dyDescent="0.25">
      <c r="B283" t="s">
        <v>124</v>
      </c>
      <c r="C283">
        <f>N('Inputs'!$D$105)</f>
      </c>
      <c r="I283" t="s">
        <v>451</v>
      </c>
      <c r="J283" t="s">
        <v>452</v>
      </c>
      <c r="K283" t="s">
        <v>453</v>
      </c>
      <c r="L283" t="s">
        <v>454</v>
      </c>
      <c r="P283" t="s">
        <v>455</v>
      </c>
      <c r="Q283" t="s">
        <v>456</v>
      </c>
    </row>
    <row r="284" spans="2:17" x14ac:dyDescent="0.25">
      <c r="B284" t="s">
        <v>457</v>
      </c>
      <c r="C284">
        <f>IF($C$283&gt;=75,'Inputs'!$H$145,IF($C$283&gt;=65,'Inputs'!$H$144,'Inputs'!$H$138))</f>
      </c>
      <c r="I284">
        <v>0</v>
      </c>
      <c r="J284">
        <f>IF(I284&lt;$C$286,MAX(0,12*$C$287*(1+$C$288)^I284-K284),0)</f>
      </c>
      <c r="K284">
        <f>SUMPRODUCT(('Inputs'!$G$76:$G$81=$C$282)*($C$282&lt;&gt;"")*'Inputs'!$D$76:$D$81*(1+'Inputs'!$E$76:$E$81/100)^I284*(ABS('Inputs'!$F$76:$F$81-12*I284)-ABS(('Inputs'!$F$76:$F$81-12*I284)-12)+12)/2)+SUMPRODUCT(('Inputs'!$C$114:$C$121=$C$282)*($C$282&lt;&gt;"")*'Inputs'!$D$114:$D$121*(1+'Inputs'!$E$114:$E$121/100)^I284*(((ABS((('Inputs'!$G$114:$G$121&gt;0)*('Inputs'!$F$114:$F$121+'Inputs'!$G$114:$G$121)+('Inputs'!$G$114:$G$121=0)*12*$C$286)-12*I284)-ABS(((('Inputs'!$G$114:$G$121&gt;0)*('Inputs'!$F$114:$F$121+'Inputs'!$G$114:$G$121)+('Inputs'!$G$114:$G$121=0)*12*$C$286)-12*I284)-12)+12)/2-(ABS(('Inputs'!$F$114:$F$121-12*I284))-ABS((('Inputs'!$F$114:$F$121-12*I284))-12)+12)/2)+ABS((ABS((('Inputs'!$G$114:$G$121&gt;0)*('Inputs'!$F$114:$F$121+'Inputs'!$G$114:$G$121)+('Inputs'!$G$114:$G$121=0)*12*$C$286)-12*I284)-ABS(((('Inputs'!$G$114:$G$121&gt;0)*('Inputs'!$F$114:$F$121+'Inputs'!$G$114:$G$121)+('Inputs'!$G$114:$G$121=0)*12*$C$286)-12*I284)-12)+12)/2-(ABS(('Inputs'!$F$114:$F$121-12*I284))-ABS((('Inputs'!$F$114:$F$121-12*I284))-12)+12)/2))/2)</f>
      </c>
      <c r="L284">
        <f>IF(J284&gt;0,1,0)</f>
      </c>
      <c r="P284">
        <f>IF($C$289&lt;&gt;1,0,IF($C$294=0,SUM($J$284:$J$333),(1-(1+$C$294)^-1)/(1-(1+$C$294)^(-1/12))/12*SUMPRODUCT($J$284:$J$333,(1+$C$294)^(-$I$284:$I$333))))</f>
      </c>
      <c r="Q284">
        <f>IF($C$289&lt;&gt;1,0,IFERROR((((1+($C$294+'Inputs'!$H$137/100))^(1/12)-1)-((1+$C$294)^(1/12)-1))*(P284*(((1+((1+$C$294)^(1/12)-1))^12-1)/((1+((1+$C$294)^(1/12)-1))-1))-J284/12/((1+((1+$C$294)^(1/12)-1))-1)*((1+((1+$C$294)^(1/12)-1))*(((1+((1+$C$294)^(1/12)-1))^12-1)/((1+((1+$C$294)^(1/12)-1))-1))-12)),0))</f>
      </c>
    </row>
    <row r="285" spans="2:17" x14ac:dyDescent="0.25">
      <c r="B285" t="s">
        <v>458</v>
      </c>
      <c r="C285">
        <f>N('Inputs'!$I$105)</f>
      </c>
      <c r="I285">
        <v>1</v>
      </c>
      <c r="J285">
        <f>IF(I285&lt;$C$286,MAX(0,12*$C$287*(1+$C$288)^I285-K285),0)</f>
      </c>
      <c r="K285">
        <f>SUMPRODUCT(('Inputs'!$G$76:$G$81=$C$282)*($C$282&lt;&gt;"")*'Inputs'!$D$76:$D$81*(1+'Inputs'!$E$76:$E$81/100)^I285*(ABS('Inputs'!$F$76:$F$81-12*I285)-ABS(('Inputs'!$F$76:$F$81-12*I285)-12)+12)/2)+SUMPRODUCT(('Inputs'!$C$114:$C$121=$C$282)*($C$282&lt;&gt;"")*'Inputs'!$D$114:$D$121*(1+'Inputs'!$E$114:$E$121/100)^I285*(((ABS((('Inputs'!$G$114:$G$121&gt;0)*('Inputs'!$F$114:$F$121+'Inputs'!$G$114:$G$121)+('Inputs'!$G$114:$G$121=0)*12*$C$286)-12*I285)-ABS(((('Inputs'!$G$114:$G$121&gt;0)*('Inputs'!$F$114:$F$121+'Inputs'!$G$114:$G$121)+('Inputs'!$G$114:$G$121=0)*12*$C$286)-12*I285)-12)+12)/2-(ABS(('Inputs'!$F$114:$F$121-12*I285))-ABS((('Inputs'!$F$114:$F$121-12*I285))-12)+12)/2)+ABS((ABS((('Inputs'!$G$114:$G$121&gt;0)*('Inputs'!$F$114:$F$121+'Inputs'!$G$114:$G$121)+('Inputs'!$G$114:$G$121=0)*12*$C$286)-12*I285)-ABS(((('Inputs'!$G$114:$G$121&gt;0)*('Inputs'!$F$114:$F$121+'Inputs'!$G$114:$G$121)+('Inputs'!$G$114:$G$121=0)*12*$C$286)-12*I285)-12)+12)/2-(ABS(('Inputs'!$F$114:$F$121-12*I285))-ABS((('Inputs'!$F$114:$F$121-12*I285))-12)+12)/2))/2)</f>
      </c>
      <c r="L285">
        <f>IF(J285&gt;0,1,0)</f>
      </c>
      <c r="P285">
        <f>IF($C$289&lt;&gt;1,0,P284*(1+((1+$C$294)^(1/12)-1))^12-J284/12*(1+((1+$C$294)^(1/12)-1))*(((1+((1+$C$294)^(1/12)-1))^12-1)/((1+((1+$C$294)^(1/12)-1))-1)))</f>
      </c>
      <c r="Q285">
        <f>IF($C$289&lt;&gt;1,0,IFERROR((((1+($C$294+'Inputs'!$H$137/100))^(1/12)-1)-((1+$C$294)^(1/12)-1))*(P285*(((1+((1+$C$294)^(1/12)-1))^12-1)/((1+((1+$C$294)^(1/12)-1))-1))-J285/12/((1+((1+$C$294)^(1/12)-1))-1)*((1+((1+$C$294)^(1/12)-1))*(((1+((1+$C$294)^(1/12)-1))^12-1)/((1+((1+$C$294)^(1/12)-1))-1))-12)),0))</f>
      </c>
    </row>
    <row r="286" spans="2:17" x14ac:dyDescent="0.25">
      <c r="B286" t="s">
        <v>459</v>
      </c>
      <c r="C286">
        <f>IF($C$282="",0,N('Inputs'!$F$105))</f>
      </c>
      <c r="I286">
        <v>2</v>
      </c>
      <c r="J286">
        <f>IF(I286&lt;$C$286,MAX(0,12*$C$287*(1+$C$288)^I286-K286),0)</f>
      </c>
      <c r="K286">
        <f>SUMPRODUCT(('Inputs'!$G$76:$G$81=$C$282)*($C$282&lt;&gt;"")*'Inputs'!$D$76:$D$81*(1+'Inputs'!$E$76:$E$81/100)^I286*(ABS('Inputs'!$F$76:$F$81-12*I286)-ABS(('Inputs'!$F$76:$F$81-12*I286)-12)+12)/2)+SUMPRODUCT(('Inputs'!$C$114:$C$121=$C$282)*($C$282&lt;&gt;"")*'Inputs'!$D$114:$D$121*(1+'Inputs'!$E$114:$E$121/100)^I286*(((ABS((('Inputs'!$G$114:$G$121&gt;0)*('Inputs'!$F$114:$F$121+'Inputs'!$G$114:$G$121)+('Inputs'!$G$114:$G$121=0)*12*$C$286)-12*I286)-ABS(((('Inputs'!$G$114:$G$121&gt;0)*('Inputs'!$F$114:$F$121+'Inputs'!$G$114:$G$121)+('Inputs'!$G$114:$G$121=0)*12*$C$286)-12*I286)-12)+12)/2-(ABS(('Inputs'!$F$114:$F$121-12*I286))-ABS((('Inputs'!$F$114:$F$121-12*I286))-12)+12)/2)+ABS((ABS((('Inputs'!$G$114:$G$121&gt;0)*('Inputs'!$F$114:$F$121+'Inputs'!$G$114:$G$121)+('Inputs'!$G$114:$G$121=0)*12*$C$286)-12*I286)-ABS(((('Inputs'!$G$114:$G$121&gt;0)*('Inputs'!$F$114:$F$121+'Inputs'!$G$114:$G$121)+('Inputs'!$G$114:$G$121=0)*12*$C$286)-12*I286)-12)+12)/2-(ABS(('Inputs'!$F$114:$F$121-12*I286))-ABS((('Inputs'!$F$114:$F$121-12*I286))-12)+12)/2))/2)</f>
      </c>
      <c r="L286">
        <f>IF(J286&gt;0,1,0)</f>
      </c>
      <c r="P286">
        <f>IF($C$289&lt;&gt;1,0,P285*(1+((1+$C$294)^(1/12)-1))^12-J285/12*(1+((1+$C$294)^(1/12)-1))*(((1+((1+$C$294)^(1/12)-1))^12-1)/((1+((1+$C$294)^(1/12)-1))-1)))</f>
      </c>
      <c r="Q286">
        <f>IF($C$289&lt;&gt;1,0,IFERROR((((1+($C$294+'Inputs'!$H$137/100))^(1/12)-1)-((1+$C$294)^(1/12)-1))*(P286*(((1+((1+$C$294)^(1/12)-1))^12-1)/((1+((1+$C$294)^(1/12)-1))-1))-J286/12/((1+((1+$C$294)^(1/12)-1))-1)*((1+((1+$C$294)^(1/12)-1))*(((1+((1+$C$294)^(1/12)-1))^12-1)/((1+((1+$C$294)^(1/12)-1))-1))-12)),0))</f>
      </c>
    </row>
    <row r="287" spans="2:17" x14ac:dyDescent="0.25">
      <c r="B287" t="s">
        <v>460</v>
      </c>
      <c r="C287">
        <f>N('Inputs'!$E$105)</f>
      </c>
      <c r="I287">
        <v>3</v>
      </c>
      <c r="J287">
        <f>IF(I287&lt;$C$286,MAX(0,12*$C$287*(1+$C$288)^I287-K287),0)</f>
      </c>
      <c r="K287">
        <f>SUMPRODUCT(('Inputs'!$G$76:$G$81=$C$282)*($C$282&lt;&gt;"")*'Inputs'!$D$76:$D$81*(1+'Inputs'!$E$76:$E$81/100)^I287*(ABS('Inputs'!$F$76:$F$81-12*I287)-ABS(('Inputs'!$F$76:$F$81-12*I287)-12)+12)/2)+SUMPRODUCT(('Inputs'!$C$114:$C$121=$C$282)*($C$282&lt;&gt;"")*'Inputs'!$D$114:$D$121*(1+'Inputs'!$E$114:$E$121/100)^I287*(((ABS((('Inputs'!$G$114:$G$121&gt;0)*('Inputs'!$F$114:$F$121+'Inputs'!$G$114:$G$121)+('Inputs'!$G$114:$G$121=0)*12*$C$286)-12*I287)-ABS(((('Inputs'!$G$114:$G$121&gt;0)*('Inputs'!$F$114:$F$121+'Inputs'!$G$114:$G$121)+('Inputs'!$G$114:$G$121=0)*12*$C$286)-12*I287)-12)+12)/2-(ABS(('Inputs'!$F$114:$F$121-12*I287))-ABS((('Inputs'!$F$114:$F$121-12*I287))-12)+12)/2)+ABS((ABS((('Inputs'!$G$114:$G$121&gt;0)*('Inputs'!$F$114:$F$121+'Inputs'!$G$114:$G$121)+('Inputs'!$G$114:$G$121=0)*12*$C$286)-12*I287)-ABS(((('Inputs'!$G$114:$G$121&gt;0)*('Inputs'!$F$114:$F$121+'Inputs'!$G$114:$G$121)+('Inputs'!$G$114:$G$121=0)*12*$C$286)-12*I287)-12)+12)/2-(ABS(('Inputs'!$F$114:$F$121-12*I287))-ABS((('Inputs'!$F$114:$F$121-12*I287))-12)+12)/2))/2)</f>
      </c>
      <c r="L287">
        <f>IF(J287&gt;0,1,0)</f>
      </c>
      <c r="P287">
        <f>IF($C$289&lt;&gt;1,0,P286*(1+((1+$C$294)^(1/12)-1))^12-J286/12*(1+((1+$C$294)^(1/12)-1))*(((1+((1+$C$294)^(1/12)-1))^12-1)/((1+((1+$C$294)^(1/12)-1))-1)))</f>
      </c>
      <c r="Q287">
        <f>IF($C$289&lt;&gt;1,0,IFERROR((((1+($C$294+'Inputs'!$H$137/100))^(1/12)-1)-((1+$C$294)^(1/12)-1))*(P287*(((1+((1+$C$294)^(1/12)-1))^12-1)/((1+((1+$C$294)^(1/12)-1))-1))-J287/12/((1+((1+$C$294)^(1/12)-1))-1)*((1+((1+$C$294)^(1/12)-1))*(((1+((1+$C$294)^(1/12)-1))^12-1)/((1+((1+$C$294)^(1/12)-1))-1))-12)),0))</f>
      </c>
    </row>
    <row r="288" spans="2:17" x14ac:dyDescent="0.25">
      <c r="B288" t="s">
        <v>461</v>
      </c>
      <c r="C288">
        <f>IF('Inputs'!$G$105="",'Inputs'!$H$143/100,'Inputs'!$G$105/100)</f>
      </c>
      <c r="I288">
        <v>4</v>
      </c>
      <c r="J288">
        <f>IF(I288&lt;$C$286,MAX(0,12*$C$287*(1+$C$288)^I288-K288),0)</f>
      </c>
      <c r="K288">
        <f>SUMPRODUCT(('Inputs'!$G$76:$G$81=$C$282)*($C$282&lt;&gt;"")*'Inputs'!$D$76:$D$81*(1+'Inputs'!$E$76:$E$81/100)^I288*(ABS('Inputs'!$F$76:$F$81-12*I288)-ABS(('Inputs'!$F$76:$F$81-12*I288)-12)+12)/2)+SUMPRODUCT(('Inputs'!$C$114:$C$121=$C$282)*($C$282&lt;&gt;"")*'Inputs'!$D$114:$D$121*(1+'Inputs'!$E$114:$E$121/100)^I288*(((ABS((('Inputs'!$G$114:$G$121&gt;0)*('Inputs'!$F$114:$F$121+'Inputs'!$G$114:$G$121)+('Inputs'!$G$114:$G$121=0)*12*$C$286)-12*I288)-ABS(((('Inputs'!$G$114:$G$121&gt;0)*('Inputs'!$F$114:$F$121+'Inputs'!$G$114:$G$121)+('Inputs'!$G$114:$G$121=0)*12*$C$286)-12*I288)-12)+12)/2-(ABS(('Inputs'!$F$114:$F$121-12*I288))-ABS((('Inputs'!$F$114:$F$121-12*I288))-12)+12)/2)+ABS((ABS((('Inputs'!$G$114:$G$121&gt;0)*('Inputs'!$F$114:$F$121+'Inputs'!$G$114:$G$121)+('Inputs'!$G$114:$G$121=0)*12*$C$286)-12*I288)-ABS(((('Inputs'!$G$114:$G$121&gt;0)*('Inputs'!$F$114:$F$121+'Inputs'!$G$114:$G$121)+('Inputs'!$G$114:$G$121=0)*12*$C$286)-12*I288)-12)+12)/2-(ABS(('Inputs'!$F$114:$F$121-12*I288))-ABS((('Inputs'!$F$114:$F$121-12*I288))-12)+12)/2))/2)</f>
      </c>
      <c r="L288">
        <f>IF(J288&gt;0,1,0)</f>
      </c>
      <c r="P288">
        <f>IF($C$289&lt;&gt;1,0,P287*(1+((1+$C$294)^(1/12)-1))^12-J287/12*(1+((1+$C$294)^(1/12)-1))*(((1+((1+$C$294)^(1/12)-1))^12-1)/((1+((1+$C$294)^(1/12)-1))-1)))</f>
      </c>
      <c r="Q288">
        <f>IF($C$289&lt;&gt;1,0,IFERROR((((1+($C$294+'Inputs'!$H$137/100))^(1/12)-1)-((1+$C$294)^(1/12)-1))*(P288*(((1+((1+$C$294)^(1/12)-1))^12-1)/((1+((1+$C$294)^(1/12)-1))-1))-J288/12/((1+((1+$C$294)^(1/12)-1))-1)*((1+((1+$C$294)^(1/12)-1))*(((1+((1+$C$294)^(1/12)-1))^12-1)/((1+((1+$C$294)^(1/12)-1))-1))-12)),0))</f>
      </c>
    </row>
    <row r="289" spans="2:17" x14ac:dyDescent="0.25">
      <c r="B289" t="s">
        <v>462</v>
      </c>
      <c r="C289">
        <f>IF('Inputs'!$H$105="Yes",1,0)</f>
      </c>
      <c r="I289">
        <v>5</v>
      </c>
      <c r="J289">
        <f>IF(I289&lt;$C$286,MAX(0,12*$C$287*(1+$C$288)^I289-K289),0)</f>
      </c>
      <c r="K289">
        <f>SUMPRODUCT(('Inputs'!$G$76:$G$81=$C$282)*($C$282&lt;&gt;"")*'Inputs'!$D$76:$D$81*(1+'Inputs'!$E$76:$E$81/100)^I289*(ABS('Inputs'!$F$76:$F$81-12*I289)-ABS(('Inputs'!$F$76:$F$81-12*I289)-12)+12)/2)+SUMPRODUCT(('Inputs'!$C$114:$C$121=$C$282)*($C$282&lt;&gt;"")*'Inputs'!$D$114:$D$121*(1+'Inputs'!$E$114:$E$121/100)^I289*(((ABS((('Inputs'!$G$114:$G$121&gt;0)*('Inputs'!$F$114:$F$121+'Inputs'!$G$114:$G$121)+('Inputs'!$G$114:$G$121=0)*12*$C$286)-12*I289)-ABS(((('Inputs'!$G$114:$G$121&gt;0)*('Inputs'!$F$114:$F$121+'Inputs'!$G$114:$G$121)+('Inputs'!$G$114:$G$121=0)*12*$C$286)-12*I289)-12)+12)/2-(ABS(('Inputs'!$F$114:$F$121-12*I289))-ABS((('Inputs'!$F$114:$F$121-12*I289))-12)+12)/2)+ABS((ABS((('Inputs'!$G$114:$G$121&gt;0)*('Inputs'!$F$114:$F$121+'Inputs'!$G$114:$G$121)+('Inputs'!$G$114:$G$121=0)*12*$C$286)-12*I289)-ABS(((('Inputs'!$G$114:$G$121&gt;0)*('Inputs'!$F$114:$F$121+'Inputs'!$G$114:$G$121)+('Inputs'!$G$114:$G$121=0)*12*$C$286)-12*I289)-12)+12)/2-(ABS(('Inputs'!$F$114:$F$121-12*I289))-ABS((('Inputs'!$F$114:$F$121-12*I289))-12)+12)/2))/2)</f>
      </c>
      <c r="L289">
        <f>IF(J289&gt;0,1,0)</f>
      </c>
      <c r="P289">
        <f>IF($C$289&lt;&gt;1,0,P288*(1+((1+$C$294)^(1/12)-1))^12-J288/12*(1+((1+$C$294)^(1/12)-1))*(((1+((1+$C$294)^(1/12)-1))^12-1)/((1+((1+$C$294)^(1/12)-1))-1)))</f>
      </c>
      <c r="Q289">
        <f>IF($C$289&lt;&gt;1,0,IFERROR((((1+($C$294+'Inputs'!$H$137/100))^(1/12)-1)-((1+$C$294)^(1/12)-1))*(P289*(((1+((1+$C$294)^(1/12)-1))^12-1)/((1+((1+$C$294)^(1/12)-1))-1))-J289/12/((1+((1+$C$294)^(1/12)-1))-1)*((1+((1+$C$294)^(1/12)-1))*(((1+((1+$C$294)^(1/12)-1))^12-1)/((1+((1+$C$294)^(1/12)-1))-1))-12)),0))</f>
      </c>
    </row>
    <row r="290" spans="2:17" x14ac:dyDescent="0.25">
      <c r="B290" t="s">
        <v>463</v>
      </c>
      <c r="C290">
        <f>IF($C$282="",0,N('Inputs'!$J$105))</f>
      </c>
      <c r="I290">
        <v>6</v>
      </c>
      <c r="J290">
        <f>IF(I290&lt;$C$286,MAX(0,12*$C$287*(1+$C$288)^I290-K290),0)</f>
      </c>
      <c r="K290">
        <f>SUMPRODUCT(('Inputs'!$G$76:$G$81=$C$282)*($C$282&lt;&gt;"")*'Inputs'!$D$76:$D$81*(1+'Inputs'!$E$76:$E$81/100)^I290*(ABS('Inputs'!$F$76:$F$81-12*I290)-ABS(('Inputs'!$F$76:$F$81-12*I290)-12)+12)/2)+SUMPRODUCT(('Inputs'!$C$114:$C$121=$C$282)*($C$282&lt;&gt;"")*'Inputs'!$D$114:$D$121*(1+'Inputs'!$E$114:$E$121/100)^I290*(((ABS((('Inputs'!$G$114:$G$121&gt;0)*('Inputs'!$F$114:$F$121+'Inputs'!$G$114:$G$121)+('Inputs'!$G$114:$G$121=0)*12*$C$286)-12*I290)-ABS(((('Inputs'!$G$114:$G$121&gt;0)*('Inputs'!$F$114:$F$121+'Inputs'!$G$114:$G$121)+('Inputs'!$G$114:$G$121=0)*12*$C$286)-12*I290)-12)+12)/2-(ABS(('Inputs'!$F$114:$F$121-12*I290))-ABS((('Inputs'!$F$114:$F$121-12*I290))-12)+12)/2)+ABS((ABS((('Inputs'!$G$114:$G$121&gt;0)*('Inputs'!$F$114:$F$121+'Inputs'!$G$114:$G$121)+('Inputs'!$G$114:$G$121=0)*12*$C$286)-12*I290)-ABS(((('Inputs'!$G$114:$G$121&gt;0)*('Inputs'!$F$114:$F$121+'Inputs'!$G$114:$G$121)+('Inputs'!$G$114:$G$121=0)*12*$C$286)-12*I290)-12)+12)/2-(ABS(('Inputs'!$F$114:$F$121-12*I290))-ABS((('Inputs'!$F$114:$F$121-12*I290))-12)+12)/2))/2)</f>
      </c>
      <c r="L290">
        <f>IF(J290&gt;0,1,0)</f>
      </c>
      <c r="P290">
        <f>IF($C$289&lt;&gt;1,0,P289*(1+((1+$C$294)^(1/12)-1))^12-J289/12*(1+((1+$C$294)^(1/12)-1))*(((1+((1+$C$294)^(1/12)-1))^12-1)/((1+((1+$C$294)^(1/12)-1))-1)))</f>
      </c>
      <c r="Q290">
        <f>IF($C$289&lt;&gt;1,0,IFERROR((((1+($C$294+'Inputs'!$H$137/100))^(1/12)-1)-((1+$C$294)^(1/12)-1))*(P290*(((1+((1+$C$294)^(1/12)-1))^12-1)/((1+((1+$C$294)^(1/12)-1))-1))-J290/12/((1+((1+$C$294)^(1/12)-1))-1)*((1+((1+$C$294)^(1/12)-1))*(((1+((1+$C$294)^(1/12)-1))^12-1)/((1+((1+$C$294)^(1/12)-1))-1))-12)),0))</f>
      </c>
    </row>
    <row r="291" spans="2:17" x14ac:dyDescent="0.25">
      <c r="B291" t="s">
        <v>464</v>
      </c>
      <c r="C291">
        <f>ROUND(Q284,2)</f>
      </c>
      <c r="I291">
        <v>7</v>
      </c>
      <c r="J291">
        <f>IF(I291&lt;$C$286,MAX(0,12*$C$287*(1+$C$288)^I291-K291),0)</f>
      </c>
      <c r="K291">
        <f>SUMPRODUCT(('Inputs'!$G$76:$G$81=$C$282)*($C$282&lt;&gt;"")*'Inputs'!$D$76:$D$81*(1+'Inputs'!$E$76:$E$81/100)^I291*(ABS('Inputs'!$F$76:$F$81-12*I291)-ABS(('Inputs'!$F$76:$F$81-12*I291)-12)+12)/2)+SUMPRODUCT(('Inputs'!$C$114:$C$121=$C$282)*($C$282&lt;&gt;"")*'Inputs'!$D$114:$D$121*(1+'Inputs'!$E$114:$E$121/100)^I291*(((ABS((('Inputs'!$G$114:$G$121&gt;0)*('Inputs'!$F$114:$F$121+'Inputs'!$G$114:$G$121)+('Inputs'!$G$114:$G$121=0)*12*$C$286)-12*I291)-ABS(((('Inputs'!$G$114:$G$121&gt;0)*('Inputs'!$F$114:$F$121+'Inputs'!$G$114:$G$121)+('Inputs'!$G$114:$G$121=0)*12*$C$286)-12*I291)-12)+12)/2-(ABS(('Inputs'!$F$114:$F$121-12*I291))-ABS((('Inputs'!$F$114:$F$121-12*I291))-12)+12)/2)+ABS((ABS((('Inputs'!$G$114:$G$121&gt;0)*('Inputs'!$F$114:$F$121+'Inputs'!$G$114:$G$121)+('Inputs'!$G$114:$G$121=0)*12*$C$286)-12*I291)-ABS(((('Inputs'!$G$114:$G$121&gt;0)*('Inputs'!$F$114:$F$121+'Inputs'!$G$114:$G$121)+('Inputs'!$G$114:$G$121=0)*12*$C$286)-12*I291)-12)+12)/2-(ABS(('Inputs'!$F$114:$F$121-12*I291))-ABS((('Inputs'!$F$114:$F$121-12*I291))-12)+12)/2))/2)</f>
      </c>
      <c r="L291">
        <f>IF(J291&gt;0,1,0)</f>
      </c>
      <c r="P291">
        <f>IF($C$289&lt;&gt;1,0,P290*(1+((1+$C$294)^(1/12)-1))^12-J290/12*(1+((1+$C$294)^(1/12)-1))*(((1+((1+$C$294)^(1/12)-1))^12-1)/((1+((1+$C$294)^(1/12)-1))-1)))</f>
      </c>
      <c r="Q291">
        <f>IF($C$289&lt;&gt;1,0,IFERROR((((1+($C$294+'Inputs'!$H$137/100))^(1/12)-1)-((1+$C$294)^(1/12)-1))*(P291*(((1+((1+$C$294)^(1/12)-1))^12-1)/((1+((1+$C$294)^(1/12)-1))-1))-J291/12/((1+((1+$C$294)^(1/12)-1))-1)*((1+((1+$C$294)^(1/12)-1))*(((1+((1+$C$294)^(1/12)-1))^12-1)/((1+((1+$C$294)^(1/12)-1))-1))-12)),0))</f>
      </c>
    </row>
    <row r="292" spans="2:17" x14ac:dyDescent="0.25">
      <c r="B292" t="s">
        <v>465</v>
      </c>
      <c r="C292">
        <f>ROUND(SUM($Q$284:$Q$333),2)</f>
      </c>
      <c r="I292">
        <v>8</v>
      </c>
      <c r="J292">
        <f>IF(I292&lt;$C$286,MAX(0,12*$C$287*(1+$C$288)^I292-K292),0)</f>
      </c>
      <c r="K292">
        <f>SUMPRODUCT(('Inputs'!$G$76:$G$81=$C$282)*($C$282&lt;&gt;"")*'Inputs'!$D$76:$D$81*(1+'Inputs'!$E$76:$E$81/100)^I292*(ABS('Inputs'!$F$76:$F$81-12*I292)-ABS(('Inputs'!$F$76:$F$81-12*I292)-12)+12)/2)+SUMPRODUCT(('Inputs'!$C$114:$C$121=$C$282)*($C$282&lt;&gt;"")*'Inputs'!$D$114:$D$121*(1+'Inputs'!$E$114:$E$121/100)^I292*(((ABS((('Inputs'!$G$114:$G$121&gt;0)*('Inputs'!$F$114:$F$121+'Inputs'!$G$114:$G$121)+('Inputs'!$G$114:$G$121=0)*12*$C$286)-12*I292)-ABS(((('Inputs'!$G$114:$G$121&gt;0)*('Inputs'!$F$114:$F$121+'Inputs'!$G$114:$G$121)+('Inputs'!$G$114:$G$121=0)*12*$C$286)-12*I292)-12)+12)/2-(ABS(('Inputs'!$F$114:$F$121-12*I292))-ABS((('Inputs'!$F$114:$F$121-12*I292))-12)+12)/2)+ABS((ABS((('Inputs'!$G$114:$G$121&gt;0)*('Inputs'!$F$114:$F$121+'Inputs'!$G$114:$G$121)+('Inputs'!$G$114:$G$121=0)*12*$C$286)-12*I292)-ABS(((('Inputs'!$G$114:$G$121&gt;0)*('Inputs'!$F$114:$F$121+'Inputs'!$G$114:$G$121)+('Inputs'!$G$114:$G$121=0)*12*$C$286)-12*I292)-12)+12)/2-(ABS(('Inputs'!$F$114:$F$121-12*I292))-ABS((('Inputs'!$F$114:$F$121-12*I292))-12)+12)/2))/2)</f>
      </c>
      <c r="L292">
        <f>IF(J292&gt;0,1,0)</f>
      </c>
      <c r="P292">
        <f>IF($C$289&lt;&gt;1,0,P291*(1+((1+$C$294)^(1/12)-1))^12-J291/12*(1+((1+$C$294)^(1/12)-1))*(((1+((1+$C$294)^(1/12)-1))^12-1)/((1+((1+$C$294)^(1/12)-1))-1)))</f>
      </c>
      <c r="Q292">
        <f>IF($C$289&lt;&gt;1,0,IFERROR((((1+($C$294+'Inputs'!$H$137/100))^(1/12)-1)-((1+$C$294)^(1/12)-1))*(P292*(((1+((1+$C$294)^(1/12)-1))^12-1)/((1+((1+$C$294)^(1/12)-1))-1))-J292/12/((1+((1+$C$294)^(1/12)-1))-1)*((1+((1+$C$294)^(1/12)-1))*(((1+((1+$C$294)^(1/12)-1))^12-1)/((1+((1+$C$294)^(1/12)-1))-1))-12)),0))</f>
      </c>
    </row>
    <row r="293" spans="2:17" x14ac:dyDescent="0.25">
      <c r="B293" t="s">
        <v>466</v>
      </c>
      <c r="C293">
        <f>IF($C$289&lt;&gt;1,0,ROUND(IF($C$294=0,SUM($J$284:$J$333),(1-(1+$C$294)^-1)/(1-(1+$C$294)^(-1/12))/12*SUMPRODUCT($J$284:$J$333,(1+$C$294)^(-$I$284:$I$333)))-IF(($C$294+'Inputs'!$H$137/100)=0,SUM($J$284:$J$333),(1-(1+($C$294+'Inputs'!$H$137/100))^-1)/(1-(1+($C$294+'Inputs'!$H$137/100))^(-1/12))/12*SUMPRODUCT($J$284:$J$333,(1+($C$294+'Inputs'!$H$137/100))^(-$I$284:$I$333))),2))</f>
      </c>
      <c r="I293">
        <v>9</v>
      </c>
      <c r="J293">
        <f>IF(I293&lt;$C$286,MAX(0,12*$C$287*(1+$C$288)^I293-K293),0)</f>
      </c>
      <c r="K293">
        <f>SUMPRODUCT(('Inputs'!$G$76:$G$81=$C$282)*($C$282&lt;&gt;"")*'Inputs'!$D$76:$D$81*(1+'Inputs'!$E$76:$E$81/100)^I293*(ABS('Inputs'!$F$76:$F$81-12*I293)-ABS(('Inputs'!$F$76:$F$81-12*I293)-12)+12)/2)+SUMPRODUCT(('Inputs'!$C$114:$C$121=$C$282)*($C$282&lt;&gt;"")*'Inputs'!$D$114:$D$121*(1+'Inputs'!$E$114:$E$121/100)^I293*(((ABS((('Inputs'!$G$114:$G$121&gt;0)*('Inputs'!$F$114:$F$121+'Inputs'!$G$114:$G$121)+('Inputs'!$G$114:$G$121=0)*12*$C$286)-12*I293)-ABS(((('Inputs'!$G$114:$G$121&gt;0)*('Inputs'!$F$114:$F$121+'Inputs'!$G$114:$G$121)+('Inputs'!$G$114:$G$121=0)*12*$C$286)-12*I293)-12)+12)/2-(ABS(('Inputs'!$F$114:$F$121-12*I293))-ABS((('Inputs'!$F$114:$F$121-12*I293))-12)+12)/2)+ABS((ABS((('Inputs'!$G$114:$G$121&gt;0)*('Inputs'!$F$114:$F$121+'Inputs'!$G$114:$G$121)+('Inputs'!$G$114:$G$121=0)*12*$C$286)-12*I293)-ABS(((('Inputs'!$G$114:$G$121&gt;0)*('Inputs'!$F$114:$F$121+'Inputs'!$G$114:$G$121)+('Inputs'!$G$114:$G$121=0)*12*$C$286)-12*I293)-12)+12)/2-(ABS(('Inputs'!$F$114:$F$121-12*I293))-ABS((('Inputs'!$F$114:$F$121-12*I293))-12)+12)/2))/2)</f>
      </c>
      <c r="L293">
        <f>IF(J293&gt;0,1,0)</f>
      </c>
      <c r="P293">
        <f>IF($C$289&lt;&gt;1,0,P292*(1+((1+$C$294)^(1/12)-1))^12-J292/12*(1+((1+$C$294)^(1/12)-1))*(((1+((1+$C$294)^(1/12)-1))^12-1)/((1+((1+$C$294)^(1/12)-1))-1)))</f>
      </c>
      <c r="Q293">
        <f>IF($C$289&lt;&gt;1,0,IFERROR((((1+($C$294+'Inputs'!$H$137/100))^(1/12)-1)-((1+$C$294)^(1/12)-1))*(P293*(((1+((1+$C$294)^(1/12)-1))^12-1)/((1+((1+$C$294)^(1/12)-1))-1))-J293/12/((1+((1+$C$294)^(1/12)-1))-1)*((1+((1+$C$294)^(1/12)-1))*(((1+((1+$C$294)^(1/12)-1))^12-1)/((1+((1+$C$294)^(1/12)-1))-1))-12)),0))</f>
      </c>
    </row>
    <row r="294" spans="2:17" x14ac:dyDescent="0.25">
      <c r="B294" t="s">
        <v>467</v>
      </c>
      <c r="C294">
        <f>IF($C$289=1,'Needs calc'!$C$103,0)</f>
      </c>
      <c r="I294">
        <v>10</v>
      </c>
      <c r="J294">
        <f>IF(I294&lt;$C$286,MAX(0,12*$C$287*(1+$C$288)^I294-K294),0)</f>
      </c>
      <c r="K294">
        <f>SUMPRODUCT(('Inputs'!$G$76:$G$81=$C$282)*($C$282&lt;&gt;"")*'Inputs'!$D$76:$D$81*(1+'Inputs'!$E$76:$E$81/100)^I294*(ABS('Inputs'!$F$76:$F$81-12*I294)-ABS(('Inputs'!$F$76:$F$81-12*I294)-12)+12)/2)+SUMPRODUCT(('Inputs'!$C$114:$C$121=$C$282)*($C$282&lt;&gt;"")*'Inputs'!$D$114:$D$121*(1+'Inputs'!$E$114:$E$121/100)^I294*(((ABS((('Inputs'!$G$114:$G$121&gt;0)*('Inputs'!$F$114:$F$121+'Inputs'!$G$114:$G$121)+('Inputs'!$G$114:$G$121=0)*12*$C$286)-12*I294)-ABS(((('Inputs'!$G$114:$G$121&gt;0)*('Inputs'!$F$114:$F$121+'Inputs'!$G$114:$G$121)+('Inputs'!$G$114:$G$121=0)*12*$C$286)-12*I294)-12)+12)/2-(ABS(('Inputs'!$F$114:$F$121-12*I294))-ABS((('Inputs'!$F$114:$F$121-12*I294))-12)+12)/2)+ABS((ABS((('Inputs'!$G$114:$G$121&gt;0)*('Inputs'!$F$114:$F$121+'Inputs'!$G$114:$G$121)+('Inputs'!$G$114:$G$121=0)*12*$C$286)-12*I294)-ABS(((('Inputs'!$G$114:$G$121&gt;0)*('Inputs'!$F$114:$F$121+'Inputs'!$G$114:$G$121)+('Inputs'!$G$114:$G$121=0)*12*$C$286)-12*I294)-12)+12)/2-(ABS(('Inputs'!$F$114:$F$121-12*I294))-ABS((('Inputs'!$F$114:$F$121-12*I294))-12)+12)/2))/2)</f>
      </c>
      <c r="L294">
        <f>IF(J294&gt;0,1,0)</f>
      </c>
      <c r="P294">
        <f>IF($C$289&lt;&gt;1,0,P293*(1+((1+$C$294)^(1/12)-1))^12-J293/12*(1+((1+$C$294)^(1/12)-1))*(((1+((1+$C$294)^(1/12)-1))^12-1)/((1+((1+$C$294)^(1/12)-1))-1)))</f>
      </c>
      <c r="Q294">
        <f>IF($C$289&lt;&gt;1,0,IFERROR((((1+($C$294+'Inputs'!$H$137/100))^(1/12)-1)-((1+$C$294)^(1/12)-1))*(P294*(((1+((1+$C$294)^(1/12)-1))^12-1)/((1+((1+$C$294)^(1/12)-1))-1))-J294/12/((1+((1+$C$294)^(1/12)-1))-1)*((1+((1+$C$294)^(1/12)-1))*(((1+((1+$C$294)^(1/12)-1))^12-1)/((1+((1+$C$294)^(1/12)-1))-1))-12)),0))</f>
      </c>
    </row>
    <row r="295" spans="2:17" x14ac:dyDescent="0.25">
      <c r="B295" t="s">
        <v>468</v>
      </c>
      <c r="C295">
        <f>SUMPRODUCT(('Inputs'!$G$76:$G$81=$C$282)*($C$282&lt;&gt;"")*('Inputs'!$F$76:$F$81&gt;0)*'Inputs'!$D$76:$D$81)</f>
      </c>
      <c r="I295">
        <v>11</v>
      </c>
      <c r="J295">
        <f>IF(I295&lt;$C$286,MAX(0,12*$C$287*(1+$C$288)^I295-K295),0)</f>
      </c>
      <c r="K295">
        <f>SUMPRODUCT(('Inputs'!$G$76:$G$81=$C$282)*($C$282&lt;&gt;"")*'Inputs'!$D$76:$D$81*(1+'Inputs'!$E$76:$E$81/100)^I295*(ABS('Inputs'!$F$76:$F$81-12*I295)-ABS(('Inputs'!$F$76:$F$81-12*I295)-12)+12)/2)+SUMPRODUCT(('Inputs'!$C$114:$C$121=$C$282)*($C$282&lt;&gt;"")*'Inputs'!$D$114:$D$121*(1+'Inputs'!$E$114:$E$121/100)^I295*(((ABS((('Inputs'!$G$114:$G$121&gt;0)*('Inputs'!$F$114:$F$121+'Inputs'!$G$114:$G$121)+('Inputs'!$G$114:$G$121=0)*12*$C$286)-12*I295)-ABS(((('Inputs'!$G$114:$G$121&gt;0)*('Inputs'!$F$114:$F$121+'Inputs'!$G$114:$G$121)+('Inputs'!$G$114:$G$121=0)*12*$C$286)-12*I295)-12)+12)/2-(ABS(('Inputs'!$F$114:$F$121-12*I295))-ABS((('Inputs'!$F$114:$F$121-12*I295))-12)+12)/2)+ABS((ABS((('Inputs'!$G$114:$G$121&gt;0)*('Inputs'!$F$114:$F$121+'Inputs'!$G$114:$G$121)+('Inputs'!$G$114:$G$121=0)*12*$C$286)-12*I295)-ABS(((('Inputs'!$G$114:$G$121&gt;0)*('Inputs'!$F$114:$F$121+'Inputs'!$G$114:$G$121)+('Inputs'!$G$114:$G$121=0)*12*$C$286)-12*I295)-12)+12)/2-(ABS(('Inputs'!$F$114:$F$121-12*I295))-ABS((('Inputs'!$F$114:$F$121-12*I295))-12)+12)/2))/2)</f>
      </c>
      <c r="L295">
        <f>IF(J295&gt;0,1,0)</f>
      </c>
      <c r="P295">
        <f>IF($C$289&lt;&gt;1,0,P294*(1+((1+$C$294)^(1/12)-1))^12-J294/12*(1+((1+$C$294)^(1/12)-1))*(((1+((1+$C$294)^(1/12)-1))^12-1)/((1+((1+$C$294)^(1/12)-1))-1)))</f>
      </c>
      <c r="Q295">
        <f>IF($C$289&lt;&gt;1,0,IFERROR((((1+($C$294+'Inputs'!$H$137/100))^(1/12)-1)-((1+$C$294)^(1/12)-1))*(P295*(((1+((1+$C$294)^(1/12)-1))^12-1)/((1+((1+$C$294)^(1/12)-1))-1))-J295/12/((1+((1+$C$294)^(1/12)-1))-1)*((1+((1+$C$294)^(1/12)-1))*(((1+((1+$C$294)^(1/12)-1))^12-1)/((1+((1+$C$294)^(1/12)-1))-1))-12)),0))</f>
      </c>
    </row>
    <row r="296" spans="2:17" x14ac:dyDescent="0.25">
      <c r="B296" t="s">
        <v>469</v>
      </c>
      <c r="C296">
        <f>IF($C$286&gt;0,$C$287-J284/12,0)</f>
      </c>
      <c r="I296">
        <v>12</v>
      </c>
      <c r="J296">
        <f>IF(I296&lt;$C$286,MAX(0,12*$C$287*(1+$C$288)^I296-K296),0)</f>
      </c>
      <c r="K296">
        <f>SUMPRODUCT(('Inputs'!$G$76:$G$81=$C$282)*($C$282&lt;&gt;"")*'Inputs'!$D$76:$D$81*(1+'Inputs'!$E$76:$E$81/100)^I296*(ABS('Inputs'!$F$76:$F$81-12*I296)-ABS(('Inputs'!$F$76:$F$81-12*I296)-12)+12)/2)+SUMPRODUCT(('Inputs'!$C$114:$C$121=$C$282)*($C$282&lt;&gt;"")*'Inputs'!$D$114:$D$121*(1+'Inputs'!$E$114:$E$121/100)^I296*(((ABS((('Inputs'!$G$114:$G$121&gt;0)*('Inputs'!$F$114:$F$121+'Inputs'!$G$114:$G$121)+('Inputs'!$G$114:$G$121=0)*12*$C$286)-12*I296)-ABS(((('Inputs'!$G$114:$G$121&gt;0)*('Inputs'!$F$114:$F$121+'Inputs'!$G$114:$G$121)+('Inputs'!$G$114:$G$121=0)*12*$C$286)-12*I296)-12)+12)/2-(ABS(('Inputs'!$F$114:$F$121-12*I296))-ABS((('Inputs'!$F$114:$F$121-12*I296))-12)+12)/2)+ABS((ABS((('Inputs'!$G$114:$G$121&gt;0)*('Inputs'!$F$114:$F$121+'Inputs'!$G$114:$G$121)+('Inputs'!$G$114:$G$121=0)*12*$C$286)-12*I296)-ABS(((('Inputs'!$G$114:$G$121&gt;0)*('Inputs'!$F$114:$F$121+'Inputs'!$G$114:$G$121)+('Inputs'!$G$114:$G$121=0)*12*$C$286)-12*I296)-12)+12)/2-(ABS(('Inputs'!$F$114:$F$121-12*I296))-ABS((('Inputs'!$F$114:$F$121-12*I296))-12)+12)/2))/2)</f>
      </c>
      <c r="L296">
        <f>IF(J296&gt;0,1,0)</f>
      </c>
      <c r="P296">
        <f>IF($C$289&lt;&gt;1,0,P295*(1+((1+$C$294)^(1/12)-1))^12-J295/12*(1+((1+$C$294)^(1/12)-1))*(((1+((1+$C$294)^(1/12)-1))^12-1)/((1+((1+$C$294)^(1/12)-1))-1)))</f>
      </c>
      <c r="Q296">
        <f>IF($C$289&lt;&gt;1,0,IFERROR((((1+($C$294+'Inputs'!$H$137/100))^(1/12)-1)-((1+$C$294)^(1/12)-1))*(P296*(((1+((1+$C$294)^(1/12)-1))^12-1)/((1+((1+$C$294)^(1/12)-1))-1))-J296/12/((1+((1+$C$294)^(1/12)-1))-1)*((1+((1+$C$294)^(1/12)-1))*(((1+((1+$C$294)^(1/12)-1))^12-1)/((1+((1+$C$294)^(1/12)-1))-1))-12)),0))</f>
      </c>
    </row>
    <row r="297" spans="2:17" x14ac:dyDescent="0.25">
      <c r="B297" t="s">
        <v>470</v>
      </c>
      <c r="C297">
        <f>SUMPRODUCT(MAX(('Inputs'!$G$76:$G$81=$C$282)*($C$282&lt;&gt;"")*'Inputs'!$F$76:$F$81))</f>
      </c>
      <c r="I297">
        <v>13</v>
      </c>
      <c r="J297">
        <f>IF(I297&lt;$C$286,MAX(0,12*$C$287*(1+$C$288)^I297-K297),0)</f>
      </c>
      <c r="K297">
        <f>SUMPRODUCT(('Inputs'!$G$76:$G$81=$C$282)*($C$282&lt;&gt;"")*'Inputs'!$D$76:$D$81*(1+'Inputs'!$E$76:$E$81/100)^I297*(ABS('Inputs'!$F$76:$F$81-12*I297)-ABS(('Inputs'!$F$76:$F$81-12*I297)-12)+12)/2)+SUMPRODUCT(('Inputs'!$C$114:$C$121=$C$282)*($C$282&lt;&gt;"")*'Inputs'!$D$114:$D$121*(1+'Inputs'!$E$114:$E$121/100)^I297*(((ABS((('Inputs'!$G$114:$G$121&gt;0)*('Inputs'!$F$114:$F$121+'Inputs'!$G$114:$G$121)+('Inputs'!$G$114:$G$121=0)*12*$C$286)-12*I297)-ABS(((('Inputs'!$G$114:$G$121&gt;0)*('Inputs'!$F$114:$F$121+'Inputs'!$G$114:$G$121)+('Inputs'!$G$114:$G$121=0)*12*$C$286)-12*I297)-12)+12)/2-(ABS(('Inputs'!$F$114:$F$121-12*I297))-ABS((('Inputs'!$F$114:$F$121-12*I297))-12)+12)/2)+ABS((ABS((('Inputs'!$G$114:$G$121&gt;0)*('Inputs'!$F$114:$F$121+'Inputs'!$G$114:$G$121)+('Inputs'!$G$114:$G$121=0)*12*$C$286)-12*I297)-ABS(((('Inputs'!$G$114:$G$121&gt;0)*('Inputs'!$F$114:$F$121+'Inputs'!$G$114:$G$121)+('Inputs'!$G$114:$G$121=0)*12*$C$286)-12*I297)-12)+12)/2-(ABS(('Inputs'!$F$114:$F$121-12*I297))-ABS((('Inputs'!$F$114:$F$121-12*I297))-12)+12)/2))/2)</f>
      </c>
      <c r="L297">
        <f>IF(J297&gt;0,1,0)</f>
      </c>
      <c r="P297">
        <f>IF($C$289&lt;&gt;1,0,P296*(1+((1+$C$294)^(1/12)-1))^12-J296/12*(1+((1+$C$294)^(1/12)-1))*(((1+((1+$C$294)^(1/12)-1))^12-1)/((1+((1+$C$294)^(1/12)-1))-1)))</f>
      </c>
      <c r="Q297">
        <f>IF($C$289&lt;&gt;1,0,IFERROR((((1+($C$294+'Inputs'!$H$137/100))^(1/12)-1)-((1+$C$294)^(1/12)-1))*(P297*(((1+((1+$C$294)^(1/12)-1))^12-1)/((1+((1+$C$294)^(1/12)-1))-1))-J297/12/((1+((1+$C$294)^(1/12)-1))-1)*((1+((1+$C$294)^(1/12)-1))*(((1+((1+$C$294)^(1/12)-1))^12-1)/((1+((1+$C$294)^(1/12)-1))-1))-12)),0))</f>
      </c>
    </row>
    <row r="298" spans="2:17" x14ac:dyDescent="0.25">
      <c r="B298" t="s">
        <v>471</v>
      </c>
      <c r="C298">
        <f>SUM($J$284:$J$333)</f>
      </c>
      <c r="I298">
        <v>14</v>
      </c>
      <c r="J298">
        <f>IF(I298&lt;$C$286,MAX(0,12*$C$287*(1+$C$288)^I298-K298),0)</f>
      </c>
      <c r="K298">
        <f>SUMPRODUCT(('Inputs'!$G$76:$G$81=$C$282)*($C$282&lt;&gt;"")*'Inputs'!$D$76:$D$81*(1+'Inputs'!$E$76:$E$81/100)^I298*(ABS('Inputs'!$F$76:$F$81-12*I298)-ABS(('Inputs'!$F$76:$F$81-12*I298)-12)+12)/2)+SUMPRODUCT(('Inputs'!$C$114:$C$121=$C$282)*($C$282&lt;&gt;"")*'Inputs'!$D$114:$D$121*(1+'Inputs'!$E$114:$E$121/100)^I298*(((ABS((('Inputs'!$G$114:$G$121&gt;0)*('Inputs'!$F$114:$F$121+'Inputs'!$G$114:$G$121)+('Inputs'!$G$114:$G$121=0)*12*$C$286)-12*I298)-ABS(((('Inputs'!$G$114:$G$121&gt;0)*('Inputs'!$F$114:$F$121+'Inputs'!$G$114:$G$121)+('Inputs'!$G$114:$G$121=0)*12*$C$286)-12*I298)-12)+12)/2-(ABS(('Inputs'!$F$114:$F$121-12*I298))-ABS((('Inputs'!$F$114:$F$121-12*I298))-12)+12)/2)+ABS((ABS((('Inputs'!$G$114:$G$121&gt;0)*('Inputs'!$F$114:$F$121+'Inputs'!$G$114:$G$121)+('Inputs'!$G$114:$G$121=0)*12*$C$286)-12*I298)-ABS(((('Inputs'!$G$114:$G$121&gt;0)*('Inputs'!$F$114:$F$121+'Inputs'!$G$114:$G$121)+('Inputs'!$G$114:$G$121=0)*12*$C$286)-12*I298)-12)+12)/2-(ABS(('Inputs'!$F$114:$F$121-12*I298))-ABS((('Inputs'!$F$114:$F$121-12*I298))-12)+12)/2))/2)</f>
      </c>
      <c r="L298">
        <f>IF(J298&gt;0,1,0)</f>
      </c>
      <c r="P298">
        <f>IF($C$289&lt;&gt;1,0,P297*(1+((1+$C$294)^(1/12)-1))^12-J297/12*(1+((1+$C$294)^(1/12)-1))*(((1+((1+$C$294)^(1/12)-1))^12-1)/((1+((1+$C$294)^(1/12)-1))-1)))</f>
      </c>
      <c r="Q298">
        <f>IF($C$289&lt;&gt;1,0,IFERROR((((1+($C$294+'Inputs'!$H$137/100))^(1/12)-1)-((1+$C$294)^(1/12)-1))*(P298*(((1+((1+$C$294)^(1/12)-1))^12-1)/((1+((1+$C$294)^(1/12)-1))-1))-J298/12/((1+((1+$C$294)^(1/12)-1))-1)*((1+((1+$C$294)^(1/12)-1))*(((1+((1+$C$294)^(1/12)-1))^12-1)/((1+((1+$C$294)^(1/12)-1))-1))-12)),0))</f>
      </c>
    </row>
    <row r="299" spans="2:17" x14ac:dyDescent="0.25">
      <c r="B299" t="s">
        <v>472</v>
      </c>
      <c r="C299">
        <f>IF('Needs calc'!$C$105&gt;0,IF('Inputs'!$O$105*SUM('Inputs'!$U$100:$U$105)&gt;0,IF('Needs calc'!$C$100&gt;='Needs calc'!$C$108,'Inputs'!$B$105&amp;IF(SUM('Inputs'!$U$100:$U$105)=1," and "&amp;IF('Inputs'!$U$100=1,'Inputs'!$B$100,"")&amp;IF('Inputs'!$U$101=1,'Inputs'!$B$101,"")&amp;IF('Inputs'!$U$102=1,'Inputs'!$B$102,"")&amp;IF('Inputs'!$U$103=1,'Inputs'!$B$103,"")&amp;IF('Inputs'!$U$104=1,'Inputs'!$B$104,"")&amp;IF('Inputs'!$U$105=1,'Inputs'!$B$105,"")," and the children")&amp;" would have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you want for them"&amp;IF(('Needs calc'!$C$108-(IF(AND('Inputs'!$C$108="The spouse, from what they receive",SUM('Inputs'!$O$100:$O$105)&gt;0,OR(LEFT('Inputs'!$C$13,7)="Married",'Inputs'!$C$13="Life partner",'Inputs'!$C$13="Civil Union")),1,0)*MAX(0,'Needs calc'!$C$27)))&gt;0,", after the R "&amp;FIXED(ROUND(('Needs calc'!$C$108-(IF(AND('Inputs'!$C$108="The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"&amp;'Inputs'!$B$105&amp;" pays the R "&amp;FIXED(ROUND((IF(AND('Inputs'!$C$108="The spouse, from what they receive",SUM('Inputs'!$O$100:$O$105)&gt;0,OR(LEFT('Inputs'!$C$13,7)="Married",'Inputs'!$C$13="Life partner",'Inputs'!$C$13="Civil Union")),1,0)*MAX(0,'Needs calc'!$C$27)),-3),0)&amp;" your estate needs","")&amp;". ",'Inputs'!$B$105&amp;IF(SUM('Inputs'!$U$100:$U$105)=1," and "&amp;IF('Inputs'!$U$100=1,'Inputs'!$B$100,"")&amp;IF('Inputs'!$U$101=1,'Inputs'!$B$101,"")&amp;IF('Inputs'!$U$102=1,'Inputs'!$B$102,"")&amp;IF('Inputs'!$U$103=1,'Inputs'!$B$103,"")&amp;IF('Inputs'!$U$104=1,'Inputs'!$B$104,"")&amp;IF('Inputs'!$U$105=1,'Inputs'!$B$105,"")," and the children")&amp;" would have "&amp;IF('Needs calc'!$C$100&lt;=0,"nothing","about R "&amp;FIXED(ROUND('Needs calc'!$C$100,-3),0))&amp;" of the R "&amp;FIXED(ROUND('Needs calc'!$C$108,-3),0)&amp;"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"),IF(N('Inputs'!$E$105)&gt;0,IF('Needs years'!$C$295+'Needs years'!$C$302&lt;=0,IF('Needs years'!$C$290&lt;=0,'Inputs'!$B$105&amp;" would have about R "&amp;FIXED(ROUND('Needs calc'!$C$106,-2),0)&amp;" a month of the R "&amp;FIXED(ROUND('Inputs'!$E$105,-2),0)&amp;" you want. ",IF('Needs calc'!$C$100&gt;='Needs years'!$C$290,'Inputs'!$B$105&amp;" would have about R "&amp;FIXED(ROUND('Needs calc'!$C$106,-2),0)&amp;" a month of the R "&amp;FIXED(ROUND('Inputs'!$E$105,-2),0)&amp;" you want,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")),IF('Needs years'!$C$298&lt;=0,IF('Needs years'!$C$290&gt;0,'Inputs'!$B$105&amp;"'s "&amp;'Needs years'!$C$304&amp;" covers the R "&amp;FIXED(ROUND('Inputs'!$E$105,-2),0)&amp;" a month you want"&amp;", but "&amp;'Inputs'!$B$105&amp;" would have "&amp;IF('Needs calc'!$C$100&lt;=0,"nothing","about R "&amp;FIXED(ROUND('Needs calc'!$C$100,-3),0))&amp;" of the R "&amp;FIXED(ROUND('Needs years'!$C$290,-3),0)&amp;" once-off you want for them. ",IF('Needs years'!$C$301&gt;0,'Inputs'!$B$105&amp;"'s "&amp;'Needs years'!$C$304&amp;" covers the R "&amp;FIXED(ROUND('Inputs'!$E$105,-2),0)&amp;" a month you want"&amp;", but the estate duty on it, about R "&amp;FIXED(ROUND('Needs years'!$C$301,-3),0)&amp;", leaves "&amp;'Inputs'!$B$105&amp;" short. ",'Inputs'!$B$105&amp;"'s "&amp;'Needs years'!$C$304&amp;" covers the R "&amp;FIXED(ROUND('Inputs'!$E$105,-2),0)&amp;" a month you want"&amp;", but "&amp;'Inputs'!$B$105&amp;" is still short of what you want for them. ")),IF('Needs years'!$J$284&lt;=0,'Inputs'!$B$105&amp;"'s "&amp;'Needs years'!$C$304&amp;" covers the R "&amp;FIXED(ROUND('Inputs'!$E$105,-2),0)&amp;" a month you want"&amp;" for "&amp;IF('Needs years'!$C$300=1,"the first year","the first "&amp;'Needs years'!$C$300&amp;" years")&amp;"; after that "&amp;'Inputs'!$B$105&amp;" would be short"&amp;IF(AND('Needs years'!$C$290&gt;0,'Needs calc'!$C$100&lt;'Needs years'!$C$290),", and would have "&amp;IF('Needs calc'!$C$100&lt;=0,"nothing","about R "&amp;FIXED(ROUND('Needs calc'!$C$100,-3),0))&amp;" of the R "&amp;FIXED(ROUND('Needs years'!$C$290,-3),0)&amp;" once-off","")&amp;". ",IF('Needs years'!$C$290&lt;=0,'Inputs'!$B$105&amp;" would have about R "&amp;FIXED(ROUND('Needs calc'!$C$106,-2),0)&amp;" a month of the R "&amp;FIXED(ROUND('Inputs'!$E$105,-2),0)&amp;" you want, part of it from the "&amp;'Needs years'!$C$304&amp;", and less once it stops. ",IF('Needs calc'!$C$100&gt;='Needs years'!$C$290,'Inputs'!$B$105&amp;" would have about R "&amp;FIXED(ROUND('Needs calc'!$C$106,-2),0)&amp;" a month of the R "&amp;FIXED(ROUND('Inputs'!$E$105,-2),0)&amp;" you want, part of it from the "&amp;'Needs years'!$C$304&amp;", and less once it stops,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part of it from the "&amp;'Needs years'!$C$304&amp;", and less once it stops. "))))),'Inputs'!$B$105&amp;" would have "&amp;IF('Needs calc'!$C$100&lt;=0,"nothing","about R "&amp;FIXED(ROUND('Needs calc'!$C$100,-3),0))&amp;" of the R "&amp;FIXED(ROUND('Needs years'!$C$290,-3),0)&amp;" you want to leave them. ")),"")</f>
      </c>
      <c r="I299">
        <v>15</v>
      </c>
      <c r="J299">
        <f>IF(I299&lt;$C$286,MAX(0,12*$C$287*(1+$C$288)^I299-K299),0)</f>
      </c>
      <c r="K299">
        <f>SUMPRODUCT(('Inputs'!$G$76:$G$81=$C$282)*($C$282&lt;&gt;"")*'Inputs'!$D$76:$D$81*(1+'Inputs'!$E$76:$E$81/100)^I299*(ABS('Inputs'!$F$76:$F$81-12*I299)-ABS(('Inputs'!$F$76:$F$81-12*I299)-12)+12)/2)+SUMPRODUCT(('Inputs'!$C$114:$C$121=$C$282)*($C$282&lt;&gt;"")*'Inputs'!$D$114:$D$121*(1+'Inputs'!$E$114:$E$121/100)^I299*(((ABS((('Inputs'!$G$114:$G$121&gt;0)*('Inputs'!$F$114:$F$121+'Inputs'!$G$114:$G$121)+('Inputs'!$G$114:$G$121=0)*12*$C$286)-12*I299)-ABS(((('Inputs'!$G$114:$G$121&gt;0)*('Inputs'!$F$114:$F$121+'Inputs'!$G$114:$G$121)+('Inputs'!$G$114:$G$121=0)*12*$C$286)-12*I299)-12)+12)/2-(ABS(('Inputs'!$F$114:$F$121-12*I299))-ABS((('Inputs'!$F$114:$F$121-12*I299))-12)+12)/2)+ABS((ABS((('Inputs'!$G$114:$G$121&gt;0)*('Inputs'!$F$114:$F$121+'Inputs'!$G$114:$G$121)+('Inputs'!$G$114:$G$121=0)*12*$C$286)-12*I299)-ABS(((('Inputs'!$G$114:$G$121&gt;0)*('Inputs'!$F$114:$F$121+'Inputs'!$G$114:$G$121)+('Inputs'!$G$114:$G$121=0)*12*$C$286)-12*I299)-12)+12)/2-(ABS(('Inputs'!$F$114:$F$121-12*I299))-ABS((('Inputs'!$F$114:$F$121-12*I299))-12)+12)/2))/2)</f>
      </c>
      <c r="L299">
        <f>IF(J299&gt;0,1,0)</f>
      </c>
      <c r="P299">
        <f>IF($C$289&lt;&gt;1,0,P298*(1+((1+$C$294)^(1/12)-1))^12-J298/12*(1+((1+$C$294)^(1/12)-1))*(((1+((1+$C$294)^(1/12)-1))^12-1)/((1+((1+$C$294)^(1/12)-1))-1)))</f>
      </c>
      <c r="Q299">
        <f>IF($C$289&lt;&gt;1,0,IFERROR((((1+($C$294+'Inputs'!$H$137/100))^(1/12)-1)-((1+$C$294)^(1/12)-1))*(P299*(((1+((1+$C$294)^(1/12)-1))^12-1)/((1+((1+$C$294)^(1/12)-1))-1))-J299/12/((1+((1+$C$294)^(1/12)-1))-1)*((1+((1+$C$294)^(1/12)-1))*(((1+((1+$C$294)^(1/12)-1))^12-1)/((1+((1+$C$294)^(1/12)-1))-1))-12)),0))</f>
      </c>
    </row>
    <row r="300" spans="2:17" x14ac:dyDescent="0.25">
      <c r="B300" t="s">
        <v>473</v>
      </c>
      <c r="C300">
        <f>IFERROR(MATCH(1,$L$284:$L$333,0)-1,$C$286)</f>
      </c>
      <c r="I300">
        <v>16</v>
      </c>
      <c r="J300">
        <f>IF(I300&lt;$C$286,MAX(0,12*$C$287*(1+$C$288)^I300-K300),0)</f>
      </c>
      <c r="K300">
        <f>SUMPRODUCT(('Inputs'!$G$76:$G$81=$C$282)*($C$282&lt;&gt;"")*'Inputs'!$D$76:$D$81*(1+'Inputs'!$E$76:$E$81/100)^I300*(ABS('Inputs'!$F$76:$F$81-12*I300)-ABS(('Inputs'!$F$76:$F$81-12*I300)-12)+12)/2)+SUMPRODUCT(('Inputs'!$C$114:$C$121=$C$282)*($C$282&lt;&gt;"")*'Inputs'!$D$114:$D$121*(1+'Inputs'!$E$114:$E$121/100)^I300*(((ABS((('Inputs'!$G$114:$G$121&gt;0)*('Inputs'!$F$114:$F$121+'Inputs'!$G$114:$G$121)+('Inputs'!$G$114:$G$121=0)*12*$C$286)-12*I300)-ABS(((('Inputs'!$G$114:$G$121&gt;0)*('Inputs'!$F$114:$F$121+'Inputs'!$G$114:$G$121)+('Inputs'!$G$114:$G$121=0)*12*$C$286)-12*I300)-12)+12)/2-(ABS(('Inputs'!$F$114:$F$121-12*I300))-ABS((('Inputs'!$F$114:$F$121-12*I300))-12)+12)/2)+ABS((ABS((('Inputs'!$G$114:$G$121&gt;0)*('Inputs'!$F$114:$F$121+'Inputs'!$G$114:$G$121)+('Inputs'!$G$114:$G$121=0)*12*$C$286)-12*I300)-ABS(((('Inputs'!$G$114:$G$121&gt;0)*('Inputs'!$F$114:$F$121+'Inputs'!$G$114:$G$121)+('Inputs'!$G$114:$G$121=0)*12*$C$286)-12*I300)-12)+12)/2-(ABS(('Inputs'!$F$114:$F$121-12*I300))-ABS((('Inputs'!$F$114:$F$121-12*I300))-12)+12)/2))/2)</f>
      </c>
      <c r="L300">
        <f>IF(J300&gt;0,1,0)</f>
      </c>
      <c r="P300">
        <f>IF($C$289&lt;&gt;1,0,P299*(1+((1+$C$294)^(1/12)-1))^12-J299/12*(1+((1+$C$294)^(1/12)-1))*(((1+((1+$C$294)^(1/12)-1))^12-1)/((1+((1+$C$294)^(1/12)-1))-1)))</f>
      </c>
      <c r="Q300">
        <f>IF($C$289&lt;&gt;1,0,IFERROR((((1+($C$294+'Inputs'!$H$137/100))^(1/12)-1)-((1+$C$294)^(1/12)-1))*(P300*(((1+((1+$C$294)^(1/12)-1))^12-1)/((1+((1+$C$294)^(1/12)-1))-1))-J300/12/((1+((1+$C$294)^(1/12)-1))-1)*((1+((1+$C$294)^(1/12)-1))*(((1+((1+$C$294)^(1/12)-1))^12-1)/((1+((1+$C$294)^(1/12)-1))-1))-12)),0))</f>
      </c>
    </row>
    <row r="301" spans="2:17" x14ac:dyDescent="0.25">
      <c r="B301" t="s">
        <v>474</v>
      </c>
      <c r="C301">
        <f>SUMPRODUCT(('Inputs'!$G$76:$G$81=$C$282)*($C$282&lt;&gt;"")*'Inputs'!$P$76:$P$81)</f>
      </c>
      <c r="I301">
        <v>17</v>
      </c>
      <c r="J301">
        <f>IF(I301&lt;$C$286,MAX(0,12*$C$287*(1+$C$288)^I301-K301),0)</f>
      </c>
      <c r="K301">
        <f>SUMPRODUCT(('Inputs'!$G$76:$G$81=$C$282)*($C$282&lt;&gt;"")*'Inputs'!$D$76:$D$81*(1+'Inputs'!$E$76:$E$81/100)^I301*(ABS('Inputs'!$F$76:$F$81-12*I301)-ABS(('Inputs'!$F$76:$F$81-12*I301)-12)+12)/2)+SUMPRODUCT(('Inputs'!$C$114:$C$121=$C$282)*($C$282&lt;&gt;"")*'Inputs'!$D$114:$D$121*(1+'Inputs'!$E$114:$E$121/100)^I301*(((ABS((('Inputs'!$G$114:$G$121&gt;0)*('Inputs'!$F$114:$F$121+'Inputs'!$G$114:$G$121)+('Inputs'!$G$114:$G$121=0)*12*$C$286)-12*I301)-ABS(((('Inputs'!$G$114:$G$121&gt;0)*('Inputs'!$F$114:$F$121+'Inputs'!$G$114:$G$121)+('Inputs'!$G$114:$G$121=0)*12*$C$286)-12*I301)-12)+12)/2-(ABS(('Inputs'!$F$114:$F$121-12*I301))-ABS((('Inputs'!$F$114:$F$121-12*I301))-12)+12)/2)+ABS((ABS((('Inputs'!$G$114:$G$121&gt;0)*('Inputs'!$F$114:$F$121+'Inputs'!$G$114:$G$121)+('Inputs'!$G$114:$G$121=0)*12*$C$286)-12*I301)-ABS(((('Inputs'!$G$114:$G$121&gt;0)*('Inputs'!$F$114:$F$121+'Inputs'!$G$114:$G$121)+('Inputs'!$G$114:$G$121=0)*12*$C$286)-12*I301)-12)+12)/2-(ABS(('Inputs'!$F$114:$F$121-12*I301))-ABS((('Inputs'!$F$114:$F$121-12*I301))-12)+12)/2))/2)</f>
      </c>
      <c r="L301">
        <f>IF(J301&gt;0,1,0)</f>
      </c>
      <c r="P301">
        <f>IF($C$289&lt;&gt;1,0,P300*(1+((1+$C$294)^(1/12)-1))^12-J300/12*(1+((1+$C$294)^(1/12)-1))*(((1+((1+$C$294)^(1/12)-1))^12-1)/((1+((1+$C$294)^(1/12)-1))-1)))</f>
      </c>
      <c r="Q301">
        <f>IF($C$289&lt;&gt;1,0,IFERROR((((1+($C$294+'Inputs'!$H$137/100))^(1/12)-1)-((1+$C$294)^(1/12)-1))*(P301*(((1+((1+$C$294)^(1/12)-1))^12-1)/((1+((1+$C$294)^(1/12)-1))-1))-J301/12/((1+((1+$C$294)^(1/12)-1))-1)*((1+((1+$C$294)^(1/12)-1))*(((1+((1+$C$294)^(1/12)-1))^12-1)/((1+((1+$C$294)^(1/12)-1))-1))-12)),0))</f>
      </c>
    </row>
    <row r="302" spans="2:17" x14ac:dyDescent="0.25">
      <c r="B302" t="s">
        <v>475</v>
      </c>
      <c r="C302">
        <f>SUMPRODUCT(('Inputs'!$C$114:$C$121=$C$282)*($C$282&lt;&gt;"")*('Inputs'!$D$114:$D$121&gt;0)*('Inputs'!$F$114:$F$121=0)*'Inputs'!$D$114:$D$121)</f>
      </c>
      <c r="I302">
        <v>18</v>
      </c>
      <c r="J302">
        <f>IF(I302&lt;$C$286,MAX(0,12*$C$287*(1+$C$288)^I302-K302),0)</f>
      </c>
      <c r="K302">
        <f>SUMPRODUCT(('Inputs'!$G$76:$G$81=$C$282)*($C$282&lt;&gt;"")*'Inputs'!$D$76:$D$81*(1+'Inputs'!$E$76:$E$81/100)^I302*(ABS('Inputs'!$F$76:$F$81-12*I302)-ABS(('Inputs'!$F$76:$F$81-12*I302)-12)+12)/2)+SUMPRODUCT(('Inputs'!$C$114:$C$121=$C$282)*($C$282&lt;&gt;"")*'Inputs'!$D$114:$D$121*(1+'Inputs'!$E$114:$E$121/100)^I302*(((ABS((('Inputs'!$G$114:$G$121&gt;0)*('Inputs'!$F$114:$F$121+'Inputs'!$G$114:$G$121)+('Inputs'!$G$114:$G$121=0)*12*$C$286)-12*I302)-ABS(((('Inputs'!$G$114:$G$121&gt;0)*('Inputs'!$F$114:$F$121+'Inputs'!$G$114:$G$121)+('Inputs'!$G$114:$G$121=0)*12*$C$286)-12*I302)-12)+12)/2-(ABS(('Inputs'!$F$114:$F$121-12*I302))-ABS((('Inputs'!$F$114:$F$121-12*I302))-12)+12)/2)+ABS((ABS((('Inputs'!$G$114:$G$121&gt;0)*('Inputs'!$F$114:$F$121+'Inputs'!$G$114:$G$121)+('Inputs'!$G$114:$G$121=0)*12*$C$286)-12*I302)-ABS(((('Inputs'!$G$114:$G$121&gt;0)*('Inputs'!$F$114:$F$121+'Inputs'!$G$114:$G$121)+('Inputs'!$G$114:$G$121=0)*12*$C$286)-12*I302)-12)+12)/2-(ABS(('Inputs'!$F$114:$F$121-12*I302))-ABS((('Inputs'!$F$114:$F$121-12*I302))-12)+12)/2))/2)</f>
      </c>
      <c r="L302">
        <f>IF(J302&gt;0,1,0)</f>
      </c>
      <c r="P302">
        <f>IF($C$289&lt;&gt;1,0,P301*(1+((1+$C$294)^(1/12)-1))^12-J301/12*(1+((1+$C$294)^(1/12)-1))*(((1+((1+$C$294)^(1/12)-1))^12-1)/((1+((1+$C$294)^(1/12)-1))-1)))</f>
      </c>
      <c r="Q302">
        <f>IF($C$289&lt;&gt;1,0,IFERROR((((1+($C$294+'Inputs'!$H$137/100))^(1/12)-1)-((1+$C$294)^(1/12)-1))*(P302*(((1+((1+$C$294)^(1/12)-1))^12-1)/((1+((1+$C$294)^(1/12)-1))-1))-J302/12/((1+((1+$C$294)^(1/12)-1))-1)*((1+((1+$C$294)^(1/12)-1))*(((1+((1+$C$294)^(1/12)-1))^12-1)/((1+((1+$C$294)^(1/12)-1))-1))-12)),0))</f>
      </c>
    </row>
    <row r="303" spans="2:17" x14ac:dyDescent="0.25">
      <c r="B303" t="s">
        <v>476</v>
      </c>
      <c r="C303">
        <f>SUMPRODUCT(('Inputs'!$C$114:$C$121=$C$282)*($C$282&lt;&gt;"")*('Inputs'!$D$114:$D$121&gt;0)*1)</f>
      </c>
      <c r="I303">
        <v>19</v>
      </c>
      <c r="J303">
        <f>IF(I303&lt;$C$286,MAX(0,12*$C$287*(1+$C$288)^I303-K303),0)</f>
      </c>
      <c r="K303">
        <f>SUMPRODUCT(('Inputs'!$G$76:$G$81=$C$282)*($C$282&lt;&gt;"")*'Inputs'!$D$76:$D$81*(1+'Inputs'!$E$76:$E$81/100)^I303*(ABS('Inputs'!$F$76:$F$81-12*I303)-ABS(('Inputs'!$F$76:$F$81-12*I303)-12)+12)/2)+SUMPRODUCT(('Inputs'!$C$114:$C$121=$C$282)*($C$282&lt;&gt;"")*'Inputs'!$D$114:$D$121*(1+'Inputs'!$E$114:$E$121/100)^I303*(((ABS((('Inputs'!$G$114:$G$121&gt;0)*('Inputs'!$F$114:$F$121+'Inputs'!$G$114:$G$121)+('Inputs'!$G$114:$G$121=0)*12*$C$286)-12*I303)-ABS(((('Inputs'!$G$114:$G$121&gt;0)*('Inputs'!$F$114:$F$121+'Inputs'!$G$114:$G$121)+('Inputs'!$G$114:$G$121=0)*12*$C$286)-12*I303)-12)+12)/2-(ABS(('Inputs'!$F$114:$F$121-12*I303))-ABS((('Inputs'!$F$114:$F$121-12*I303))-12)+12)/2)+ABS((ABS((('Inputs'!$G$114:$G$121&gt;0)*('Inputs'!$F$114:$F$121+'Inputs'!$G$114:$G$121)+('Inputs'!$G$114:$G$121=0)*12*$C$286)-12*I303)-ABS(((('Inputs'!$G$114:$G$121&gt;0)*('Inputs'!$F$114:$F$121+'Inputs'!$G$114:$G$121)+('Inputs'!$G$114:$G$121=0)*12*$C$286)-12*I303)-12)+12)/2-(ABS(('Inputs'!$F$114:$F$121-12*I303))-ABS((('Inputs'!$F$114:$F$121-12*I303))-12)+12)/2))/2)</f>
      </c>
      <c r="L303">
        <f>IF(J303&gt;0,1,0)</f>
      </c>
      <c r="P303">
        <f>IF($C$289&lt;&gt;1,0,P302*(1+((1+$C$294)^(1/12)-1))^12-J302/12*(1+((1+$C$294)^(1/12)-1))*(((1+((1+$C$294)^(1/12)-1))^12-1)/((1+((1+$C$294)^(1/12)-1))-1)))</f>
      </c>
      <c r="Q303">
        <f>IF($C$289&lt;&gt;1,0,IFERROR((((1+($C$294+'Inputs'!$H$137/100))^(1/12)-1)-((1+$C$294)^(1/12)-1))*(P303*(((1+((1+$C$294)^(1/12)-1))^12-1)/((1+((1+$C$294)^(1/12)-1))-1))-J303/12/((1+((1+$C$294)^(1/12)-1))-1)*((1+((1+$C$294)^(1/12)-1))*(((1+((1+$C$294)^(1/12)-1))^12-1)/((1+((1+$C$294)^(1/12)-1))-1))-12)),0))</f>
      </c>
    </row>
    <row r="304" spans="2:17" x14ac:dyDescent="0.25">
      <c r="B304" t="s">
        <v>477</v>
      </c>
      <c r="C304">
        <f>IF($C$303&gt;0,"income","death income")</f>
      </c>
      <c r="I304">
        <v>20</v>
      </c>
      <c r="J304">
        <f>IF(I304&lt;$C$286,MAX(0,12*$C$287*(1+$C$288)^I304-K304),0)</f>
      </c>
      <c r="K304">
        <f>SUMPRODUCT(('Inputs'!$G$76:$G$81=$C$282)*($C$282&lt;&gt;"")*'Inputs'!$D$76:$D$81*(1+'Inputs'!$E$76:$E$81/100)^I304*(ABS('Inputs'!$F$76:$F$81-12*I304)-ABS(('Inputs'!$F$76:$F$81-12*I304)-12)+12)/2)+SUMPRODUCT(('Inputs'!$C$114:$C$121=$C$282)*($C$282&lt;&gt;"")*'Inputs'!$D$114:$D$121*(1+'Inputs'!$E$114:$E$121/100)^I304*(((ABS((('Inputs'!$G$114:$G$121&gt;0)*('Inputs'!$F$114:$F$121+'Inputs'!$G$114:$G$121)+('Inputs'!$G$114:$G$121=0)*12*$C$286)-12*I304)-ABS(((('Inputs'!$G$114:$G$121&gt;0)*('Inputs'!$F$114:$F$121+'Inputs'!$G$114:$G$121)+('Inputs'!$G$114:$G$121=0)*12*$C$286)-12*I304)-12)+12)/2-(ABS(('Inputs'!$F$114:$F$121-12*I304))-ABS((('Inputs'!$F$114:$F$121-12*I304))-12)+12)/2)+ABS((ABS((('Inputs'!$G$114:$G$121&gt;0)*('Inputs'!$F$114:$F$121+'Inputs'!$G$114:$G$121)+('Inputs'!$G$114:$G$121=0)*12*$C$286)-12*I304)-ABS(((('Inputs'!$G$114:$G$121&gt;0)*('Inputs'!$F$114:$F$121+'Inputs'!$G$114:$G$121)+('Inputs'!$G$114:$G$121=0)*12*$C$286)-12*I304)-12)+12)/2-(ABS(('Inputs'!$F$114:$F$121-12*I304))-ABS((('Inputs'!$F$114:$F$121-12*I304))-12)+12)/2))/2)</f>
      </c>
      <c r="L304">
        <f>IF(J304&gt;0,1,0)</f>
      </c>
      <c r="P304">
        <f>IF($C$289&lt;&gt;1,0,P303*(1+((1+$C$294)^(1/12)-1))^12-J303/12*(1+((1+$C$294)^(1/12)-1))*(((1+((1+$C$294)^(1/12)-1))^12-1)/((1+((1+$C$294)^(1/12)-1))-1)))</f>
      </c>
      <c r="Q304">
        <f>IF($C$289&lt;&gt;1,0,IFERROR((((1+($C$294+'Inputs'!$H$137/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SUMPRODUCT(('Inputs'!$C$114:$C$121=$C$282)*($C$282&lt;&gt;"")*'Inputs'!$D$114:$D$121*(1+'Inputs'!$E$114:$E$121/100)^I305*(((ABS((('Inputs'!$G$114:$G$121&gt;0)*('Inputs'!$F$114:$F$121+'Inputs'!$G$114:$G$121)+('Inputs'!$G$114:$G$121=0)*12*$C$286)-12*I305)-ABS(((('Inputs'!$G$114:$G$121&gt;0)*('Inputs'!$F$114:$F$121+'Inputs'!$G$114:$G$121)+('Inputs'!$G$114:$G$121=0)*12*$C$286)-12*I305)-12)+12)/2-(ABS(('Inputs'!$F$114:$F$121-12*I305))-ABS((('Inputs'!$F$114:$F$121-12*I305))-12)+12)/2)+ABS((ABS((('Inputs'!$G$114:$G$121&gt;0)*('Inputs'!$F$114:$F$121+'Inputs'!$G$114:$G$121)+('Inputs'!$G$114:$G$121=0)*12*$C$286)-12*I305)-ABS(((('Inputs'!$G$114:$G$121&gt;0)*('Inputs'!$F$114:$F$121+'Inputs'!$G$114:$G$121)+('Inputs'!$G$114:$G$121=0)*12*$C$286)-12*I305)-12)+12)/2-(ABS(('Inputs'!$F$114:$F$121-12*I305))-ABS((('Inputs'!$F$114:$F$121-12*I305))-12)+12)/2))/2)</f>
      </c>
      <c r="L305">
        <f>IF(J305&gt;0,1,0)</f>
      </c>
      <c r="P305">
        <f>IF($C$289&lt;&gt;1,0,P304*(1+((1+$C$294)^(1/12)-1))^12-J304/12*(1+((1+$C$294)^(1/12)-1))*(((1+((1+$C$294)^(1/12)-1))^12-1)/((1+((1+$C$294)^(1/12)-1))-1)))</f>
      </c>
      <c r="Q305">
        <f>IF($C$289&lt;&gt;1,0,IFERROR((((1+($C$294+'Inputs'!$H$137/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SUMPRODUCT(('Inputs'!$C$114:$C$121=$C$282)*($C$282&lt;&gt;"")*'Inputs'!$D$114:$D$121*(1+'Inputs'!$E$114:$E$121/100)^I306*(((ABS((('Inputs'!$G$114:$G$121&gt;0)*('Inputs'!$F$114:$F$121+'Inputs'!$G$114:$G$121)+('Inputs'!$G$114:$G$121=0)*12*$C$286)-12*I306)-ABS(((('Inputs'!$G$114:$G$121&gt;0)*('Inputs'!$F$114:$F$121+'Inputs'!$G$114:$G$121)+('Inputs'!$G$114:$G$121=0)*12*$C$286)-12*I306)-12)+12)/2-(ABS(('Inputs'!$F$114:$F$121-12*I306))-ABS((('Inputs'!$F$114:$F$121-12*I306))-12)+12)/2)+ABS((ABS((('Inputs'!$G$114:$G$121&gt;0)*('Inputs'!$F$114:$F$121+'Inputs'!$G$114:$G$121)+('Inputs'!$G$114:$G$121=0)*12*$C$286)-12*I306)-ABS(((('Inputs'!$G$114:$G$121&gt;0)*('Inputs'!$F$114:$F$121+'Inputs'!$G$114:$G$121)+('Inputs'!$G$114:$G$121=0)*12*$C$286)-12*I306)-12)+12)/2-(ABS(('Inputs'!$F$114:$F$121-12*I306))-ABS((('Inputs'!$F$114:$F$121-12*I306))-12)+12)/2))/2)</f>
      </c>
      <c r="L306">
        <f>IF(J306&gt;0,1,0)</f>
      </c>
      <c r="P306">
        <f>IF($C$289&lt;&gt;1,0,P305*(1+((1+$C$294)^(1/12)-1))^12-J305/12*(1+((1+$C$294)^(1/12)-1))*(((1+((1+$C$294)^(1/12)-1))^12-1)/((1+((1+$C$294)^(1/12)-1))-1)))</f>
      </c>
      <c r="Q306">
        <f>IF($C$289&lt;&gt;1,0,IFERROR((((1+($C$294+'Inputs'!$H$137/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SUMPRODUCT(('Inputs'!$C$114:$C$121=$C$282)*($C$282&lt;&gt;"")*'Inputs'!$D$114:$D$121*(1+'Inputs'!$E$114:$E$121/100)^I307*(((ABS((('Inputs'!$G$114:$G$121&gt;0)*('Inputs'!$F$114:$F$121+'Inputs'!$G$114:$G$121)+('Inputs'!$G$114:$G$121=0)*12*$C$286)-12*I307)-ABS(((('Inputs'!$G$114:$G$121&gt;0)*('Inputs'!$F$114:$F$121+'Inputs'!$G$114:$G$121)+('Inputs'!$G$114:$G$121=0)*12*$C$286)-12*I307)-12)+12)/2-(ABS(('Inputs'!$F$114:$F$121-12*I307))-ABS((('Inputs'!$F$114:$F$121-12*I307))-12)+12)/2)+ABS((ABS((('Inputs'!$G$114:$G$121&gt;0)*('Inputs'!$F$114:$F$121+'Inputs'!$G$114:$G$121)+('Inputs'!$G$114:$G$121=0)*12*$C$286)-12*I307)-ABS(((('Inputs'!$G$114:$G$121&gt;0)*('Inputs'!$F$114:$F$121+'Inputs'!$G$114:$G$121)+('Inputs'!$G$114:$G$121=0)*12*$C$286)-12*I307)-12)+12)/2-(ABS(('Inputs'!$F$114:$F$121-12*I307))-ABS((('Inputs'!$F$114:$F$121-12*I307))-12)+12)/2))/2)</f>
      </c>
      <c r="L307">
        <f>IF(J307&gt;0,1,0)</f>
      </c>
      <c r="P307">
        <f>IF($C$289&lt;&gt;1,0,P306*(1+((1+$C$294)^(1/12)-1))^12-J306/12*(1+((1+$C$294)^(1/12)-1))*(((1+((1+$C$294)^(1/12)-1))^12-1)/((1+((1+$C$294)^(1/12)-1))-1)))</f>
      </c>
      <c r="Q307">
        <f>IF($C$289&lt;&gt;1,0,IFERROR((((1+($C$294+'Inputs'!$H$137/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SUMPRODUCT(('Inputs'!$C$114:$C$121=$C$282)*($C$282&lt;&gt;"")*'Inputs'!$D$114:$D$121*(1+'Inputs'!$E$114:$E$121/100)^I308*(((ABS((('Inputs'!$G$114:$G$121&gt;0)*('Inputs'!$F$114:$F$121+'Inputs'!$G$114:$G$121)+('Inputs'!$G$114:$G$121=0)*12*$C$286)-12*I308)-ABS(((('Inputs'!$G$114:$G$121&gt;0)*('Inputs'!$F$114:$F$121+'Inputs'!$G$114:$G$121)+('Inputs'!$G$114:$G$121=0)*12*$C$286)-12*I308)-12)+12)/2-(ABS(('Inputs'!$F$114:$F$121-12*I308))-ABS((('Inputs'!$F$114:$F$121-12*I308))-12)+12)/2)+ABS((ABS((('Inputs'!$G$114:$G$121&gt;0)*('Inputs'!$F$114:$F$121+'Inputs'!$G$114:$G$121)+('Inputs'!$G$114:$G$121=0)*12*$C$286)-12*I308)-ABS(((('Inputs'!$G$114:$G$121&gt;0)*('Inputs'!$F$114:$F$121+'Inputs'!$G$114:$G$121)+('Inputs'!$G$114:$G$121=0)*12*$C$286)-12*I308)-12)+12)/2-(ABS(('Inputs'!$F$114:$F$121-12*I308))-ABS((('Inputs'!$F$114:$F$121-12*I308))-12)+12)/2))/2)</f>
      </c>
      <c r="L308">
        <f>IF(J308&gt;0,1,0)</f>
      </c>
      <c r="P308">
        <f>IF($C$289&lt;&gt;1,0,P307*(1+((1+$C$294)^(1/12)-1))^12-J307/12*(1+((1+$C$294)^(1/12)-1))*(((1+((1+$C$294)^(1/12)-1))^12-1)/((1+((1+$C$294)^(1/12)-1))-1)))</f>
      </c>
      <c r="Q308">
        <f>IF($C$289&lt;&gt;1,0,IFERROR((((1+($C$294+'Inputs'!$H$137/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SUMPRODUCT(('Inputs'!$C$114:$C$121=$C$282)*($C$282&lt;&gt;"")*'Inputs'!$D$114:$D$121*(1+'Inputs'!$E$114:$E$121/100)^I309*(((ABS((('Inputs'!$G$114:$G$121&gt;0)*('Inputs'!$F$114:$F$121+'Inputs'!$G$114:$G$121)+('Inputs'!$G$114:$G$121=0)*12*$C$286)-12*I309)-ABS(((('Inputs'!$G$114:$G$121&gt;0)*('Inputs'!$F$114:$F$121+'Inputs'!$G$114:$G$121)+('Inputs'!$G$114:$G$121=0)*12*$C$286)-12*I309)-12)+12)/2-(ABS(('Inputs'!$F$114:$F$121-12*I309))-ABS((('Inputs'!$F$114:$F$121-12*I309))-12)+12)/2)+ABS((ABS((('Inputs'!$G$114:$G$121&gt;0)*('Inputs'!$F$114:$F$121+'Inputs'!$G$114:$G$121)+('Inputs'!$G$114:$G$121=0)*12*$C$286)-12*I309)-ABS(((('Inputs'!$G$114:$G$121&gt;0)*('Inputs'!$F$114:$F$121+'Inputs'!$G$114:$G$121)+('Inputs'!$G$114:$G$121=0)*12*$C$286)-12*I309)-12)+12)/2-(ABS(('Inputs'!$F$114:$F$121-12*I309))-ABS((('Inputs'!$F$114:$F$121-12*I309))-12)+12)/2))/2)</f>
      </c>
      <c r="L309">
        <f>IF(J309&gt;0,1,0)</f>
      </c>
      <c r="P309">
        <f>IF($C$289&lt;&gt;1,0,P308*(1+((1+$C$294)^(1/12)-1))^12-J308/12*(1+((1+$C$294)^(1/12)-1))*(((1+((1+$C$294)^(1/12)-1))^12-1)/((1+((1+$C$294)^(1/12)-1))-1)))</f>
      </c>
      <c r="Q309">
        <f>IF($C$289&lt;&gt;1,0,IFERROR((((1+($C$294+'Inputs'!$H$137/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SUMPRODUCT(('Inputs'!$C$114:$C$121=$C$282)*($C$282&lt;&gt;"")*'Inputs'!$D$114:$D$121*(1+'Inputs'!$E$114:$E$121/100)^I310*(((ABS((('Inputs'!$G$114:$G$121&gt;0)*('Inputs'!$F$114:$F$121+'Inputs'!$G$114:$G$121)+('Inputs'!$G$114:$G$121=0)*12*$C$286)-12*I310)-ABS(((('Inputs'!$G$114:$G$121&gt;0)*('Inputs'!$F$114:$F$121+'Inputs'!$G$114:$G$121)+('Inputs'!$G$114:$G$121=0)*12*$C$286)-12*I310)-12)+12)/2-(ABS(('Inputs'!$F$114:$F$121-12*I310))-ABS((('Inputs'!$F$114:$F$121-12*I310))-12)+12)/2)+ABS((ABS((('Inputs'!$G$114:$G$121&gt;0)*('Inputs'!$F$114:$F$121+'Inputs'!$G$114:$G$121)+('Inputs'!$G$114:$G$121=0)*12*$C$286)-12*I310)-ABS(((('Inputs'!$G$114:$G$121&gt;0)*('Inputs'!$F$114:$F$121+'Inputs'!$G$114:$G$121)+('Inputs'!$G$114:$G$121=0)*12*$C$286)-12*I310)-12)+12)/2-(ABS(('Inputs'!$F$114:$F$121-12*I310))-ABS((('Inputs'!$F$114:$F$121-12*I310))-12)+12)/2))/2)</f>
      </c>
      <c r="L310">
        <f>IF(J310&gt;0,1,0)</f>
      </c>
      <c r="P310">
        <f>IF($C$289&lt;&gt;1,0,P309*(1+((1+$C$294)^(1/12)-1))^12-J309/12*(1+((1+$C$294)^(1/12)-1))*(((1+((1+$C$294)^(1/12)-1))^12-1)/((1+((1+$C$294)^(1/12)-1))-1)))</f>
      </c>
      <c r="Q310">
        <f>IF($C$289&lt;&gt;1,0,IFERROR((((1+($C$294+'Inputs'!$H$137/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SUMPRODUCT(('Inputs'!$C$114:$C$121=$C$282)*($C$282&lt;&gt;"")*'Inputs'!$D$114:$D$121*(1+'Inputs'!$E$114:$E$121/100)^I311*(((ABS((('Inputs'!$G$114:$G$121&gt;0)*('Inputs'!$F$114:$F$121+'Inputs'!$G$114:$G$121)+('Inputs'!$G$114:$G$121=0)*12*$C$286)-12*I311)-ABS(((('Inputs'!$G$114:$G$121&gt;0)*('Inputs'!$F$114:$F$121+'Inputs'!$G$114:$G$121)+('Inputs'!$G$114:$G$121=0)*12*$C$286)-12*I311)-12)+12)/2-(ABS(('Inputs'!$F$114:$F$121-12*I311))-ABS((('Inputs'!$F$114:$F$121-12*I311))-12)+12)/2)+ABS((ABS((('Inputs'!$G$114:$G$121&gt;0)*('Inputs'!$F$114:$F$121+'Inputs'!$G$114:$G$121)+('Inputs'!$G$114:$G$121=0)*12*$C$286)-12*I311)-ABS(((('Inputs'!$G$114:$G$121&gt;0)*('Inputs'!$F$114:$F$121+'Inputs'!$G$114:$G$121)+('Inputs'!$G$114:$G$121=0)*12*$C$286)-12*I311)-12)+12)/2-(ABS(('Inputs'!$F$114:$F$121-12*I311))-ABS((('Inputs'!$F$114:$F$121-12*I311))-12)+12)/2))/2)</f>
      </c>
      <c r="L311">
        <f>IF(J311&gt;0,1,0)</f>
      </c>
      <c r="P311">
        <f>IF($C$289&lt;&gt;1,0,P310*(1+((1+$C$294)^(1/12)-1))^12-J310/12*(1+((1+$C$294)^(1/12)-1))*(((1+((1+$C$294)^(1/12)-1))^12-1)/((1+((1+$C$294)^(1/12)-1))-1)))</f>
      </c>
      <c r="Q311">
        <f>IF($C$289&lt;&gt;1,0,IFERROR((((1+($C$294+'Inputs'!$H$137/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SUMPRODUCT(('Inputs'!$C$114:$C$121=$C$282)*($C$282&lt;&gt;"")*'Inputs'!$D$114:$D$121*(1+'Inputs'!$E$114:$E$121/100)^I312*(((ABS((('Inputs'!$G$114:$G$121&gt;0)*('Inputs'!$F$114:$F$121+'Inputs'!$G$114:$G$121)+('Inputs'!$G$114:$G$121=0)*12*$C$286)-12*I312)-ABS(((('Inputs'!$G$114:$G$121&gt;0)*('Inputs'!$F$114:$F$121+'Inputs'!$G$114:$G$121)+('Inputs'!$G$114:$G$121=0)*12*$C$286)-12*I312)-12)+12)/2-(ABS(('Inputs'!$F$114:$F$121-12*I312))-ABS((('Inputs'!$F$114:$F$121-12*I312))-12)+12)/2)+ABS((ABS((('Inputs'!$G$114:$G$121&gt;0)*('Inputs'!$F$114:$F$121+'Inputs'!$G$114:$G$121)+('Inputs'!$G$114:$G$121=0)*12*$C$286)-12*I312)-ABS(((('Inputs'!$G$114:$G$121&gt;0)*('Inputs'!$F$114:$F$121+'Inputs'!$G$114:$G$121)+('Inputs'!$G$114:$G$121=0)*12*$C$286)-12*I312)-12)+12)/2-(ABS(('Inputs'!$F$114:$F$121-12*I312))-ABS((('Inputs'!$F$114:$F$121-12*I312))-12)+12)/2))/2)</f>
      </c>
      <c r="L312">
        <f>IF(J312&gt;0,1,0)</f>
      </c>
      <c r="P312">
        <f>IF($C$289&lt;&gt;1,0,P311*(1+((1+$C$294)^(1/12)-1))^12-J311/12*(1+((1+$C$294)^(1/12)-1))*(((1+((1+$C$294)^(1/12)-1))^12-1)/((1+((1+$C$294)^(1/12)-1))-1)))</f>
      </c>
      <c r="Q312">
        <f>IF($C$289&lt;&gt;1,0,IFERROR((((1+($C$294+'Inputs'!$H$137/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SUMPRODUCT(('Inputs'!$C$114:$C$121=$C$282)*($C$282&lt;&gt;"")*'Inputs'!$D$114:$D$121*(1+'Inputs'!$E$114:$E$121/100)^I313*(((ABS((('Inputs'!$G$114:$G$121&gt;0)*('Inputs'!$F$114:$F$121+'Inputs'!$G$114:$G$121)+('Inputs'!$G$114:$G$121=0)*12*$C$286)-12*I313)-ABS(((('Inputs'!$G$114:$G$121&gt;0)*('Inputs'!$F$114:$F$121+'Inputs'!$G$114:$G$121)+('Inputs'!$G$114:$G$121=0)*12*$C$286)-12*I313)-12)+12)/2-(ABS(('Inputs'!$F$114:$F$121-12*I313))-ABS((('Inputs'!$F$114:$F$121-12*I313))-12)+12)/2)+ABS((ABS((('Inputs'!$G$114:$G$121&gt;0)*('Inputs'!$F$114:$F$121+'Inputs'!$G$114:$G$121)+('Inputs'!$G$114:$G$121=0)*12*$C$286)-12*I313)-ABS(((('Inputs'!$G$114:$G$121&gt;0)*('Inputs'!$F$114:$F$121+'Inputs'!$G$114:$G$121)+('Inputs'!$G$114:$G$121=0)*12*$C$286)-12*I313)-12)+12)/2-(ABS(('Inputs'!$F$114:$F$121-12*I313))-ABS((('Inputs'!$F$114:$F$121-12*I313))-12)+12)/2))/2)</f>
      </c>
      <c r="L313">
        <f>IF(J313&gt;0,1,0)</f>
      </c>
      <c r="P313">
        <f>IF($C$289&lt;&gt;1,0,P312*(1+((1+$C$294)^(1/12)-1))^12-J312/12*(1+((1+$C$294)^(1/12)-1))*(((1+((1+$C$294)^(1/12)-1))^12-1)/((1+((1+$C$294)^(1/12)-1))-1)))</f>
      </c>
      <c r="Q313">
        <f>IF($C$289&lt;&gt;1,0,IFERROR((((1+($C$294+'Inputs'!$H$137/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SUMPRODUCT(('Inputs'!$C$114:$C$121=$C$282)*($C$282&lt;&gt;"")*'Inputs'!$D$114:$D$121*(1+'Inputs'!$E$114:$E$121/100)^I314*(((ABS((('Inputs'!$G$114:$G$121&gt;0)*('Inputs'!$F$114:$F$121+'Inputs'!$G$114:$G$121)+('Inputs'!$G$114:$G$121=0)*12*$C$286)-12*I314)-ABS(((('Inputs'!$G$114:$G$121&gt;0)*('Inputs'!$F$114:$F$121+'Inputs'!$G$114:$G$121)+('Inputs'!$G$114:$G$121=0)*12*$C$286)-12*I314)-12)+12)/2-(ABS(('Inputs'!$F$114:$F$121-12*I314))-ABS((('Inputs'!$F$114:$F$121-12*I314))-12)+12)/2)+ABS((ABS((('Inputs'!$G$114:$G$121&gt;0)*('Inputs'!$F$114:$F$121+'Inputs'!$G$114:$G$121)+('Inputs'!$G$114:$G$121=0)*12*$C$286)-12*I314)-ABS(((('Inputs'!$G$114:$G$121&gt;0)*('Inputs'!$F$114:$F$121+'Inputs'!$G$114:$G$121)+('Inputs'!$G$114:$G$121=0)*12*$C$286)-12*I314)-12)+12)/2-(ABS(('Inputs'!$F$114:$F$121-12*I314))-ABS((('Inputs'!$F$114:$F$121-12*I314))-12)+12)/2))/2)</f>
      </c>
      <c r="L314">
        <f>IF(J314&gt;0,1,0)</f>
      </c>
      <c r="P314">
        <f>IF($C$289&lt;&gt;1,0,P313*(1+((1+$C$294)^(1/12)-1))^12-J313/12*(1+((1+$C$294)^(1/12)-1))*(((1+((1+$C$294)^(1/12)-1))^12-1)/((1+((1+$C$294)^(1/12)-1))-1)))</f>
      </c>
      <c r="Q314">
        <f>IF($C$289&lt;&gt;1,0,IFERROR((((1+($C$294+'Inputs'!$H$137/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SUMPRODUCT(('Inputs'!$C$114:$C$121=$C$282)*($C$282&lt;&gt;"")*'Inputs'!$D$114:$D$121*(1+'Inputs'!$E$114:$E$121/100)^I315*(((ABS((('Inputs'!$G$114:$G$121&gt;0)*('Inputs'!$F$114:$F$121+'Inputs'!$G$114:$G$121)+('Inputs'!$G$114:$G$121=0)*12*$C$286)-12*I315)-ABS(((('Inputs'!$G$114:$G$121&gt;0)*('Inputs'!$F$114:$F$121+'Inputs'!$G$114:$G$121)+('Inputs'!$G$114:$G$121=0)*12*$C$286)-12*I315)-12)+12)/2-(ABS(('Inputs'!$F$114:$F$121-12*I315))-ABS((('Inputs'!$F$114:$F$121-12*I315))-12)+12)/2)+ABS((ABS((('Inputs'!$G$114:$G$121&gt;0)*('Inputs'!$F$114:$F$121+'Inputs'!$G$114:$G$121)+('Inputs'!$G$114:$G$121=0)*12*$C$286)-12*I315)-ABS(((('Inputs'!$G$114:$G$121&gt;0)*('Inputs'!$F$114:$F$121+'Inputs'!$G$114:$G$121)+('Inputs'!$G$114:$G$121=0)*12*$C$286)-12*I315)-12)+12)/2-(ABS(('Inputs'!$F$114:$F$121-12*I315))-ABS((('Inputs'!$F$114:$F$121-12*I315))-12)+12)/2))/2)</f>
      </c>
      <c r="L315">
        <f>IF(J315&gt;0,1,0)</f>
      </c>
      <c r="P315">
        <f>IF($C$289&lt;&gt;1,0,P314*(1+((1+$C$294)^(1/12)-1))^12-J314/12*(1+((1+$C$294)^(1/12)-1))*(((1+((1+$C$294)^(1/12)-1))^12-1)/((1+((1+$C$294)^(1/12)-1))-1)))</f>
      </c>
      <c r="Q315">
        <f>IF($C$289&lt;&gt;1,0,IFERROR((((1+($C$294+'Inputs'!$H$137/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SUMPRODUCT(('Inputs'!$C$114:$C$121=$C$282)*($C$282&lt;&gt;"")*'Inputs'!$D$114:$D$121*(1+'Inputs'!$E$114:$E$121/100)^I316*(((ABS((('Inputs'!$G$114:$G$121&gt;0)*('Inputs'!$F$114:$F$121+'Inputs'!$G$114:$G$121)+('Inputs'!$G$114:$G$121=0)*12*$C$286)-12*I316)-ABS(((('Inputs'!$G$114:$G$121&gt;0)*('Inputs'!$F$114:$F$121+'Inputs'!$G$114:$G$121)+('Inputs'!$G$114:$G$121=0)*12*$C$286)-12*I316)-12)+12)/2-(ABS(('Inputs'!$F$114:$F$121-12*I316))-ABS((('Inputs'!$F$114:$F$121-12*I316))-12)+12)/2)+ABS((ABS((('Inputs'!$G$114:$G$121&gt;0)*('Inputs'!$F$114:$F$121+'Inputs'!$G$114:$G$121)+('Inputs'!$G$114:$G$121=0)*12*$C$286)-12*I316)-ABS(((('Inputs'!$G$114:$G$121&gt;0)*('Inputs'!$F$114:$F$121+'Inputs'!$G$114:$G$121)+('Inputs'!$G$114:$G$121=0)*12*$C$286)-12*I316)-12)+12)/2-(ABS(('Inputs'!$F$114:$F$121-12*I316))-ABS((('Inputs'!$F$114:$F$121-12*I316))-12)+12)/2))/2)</f>
      </c>
      <c r="L316">
        <f>IF(J316&gt;0,1,0)</f>
      </c>
      <c r="P316">
        <f>IF($C$289&lt;&gt;1,0,P315*(1+((1+$C$294)^(1/12)-1))^12-J315/12*(1+((1+$C$294)^(1/12)-1))*(((1+((1+$C$294)^(1/12)-1))^12-1)/((1+((1+$C$294)^(1/12)-1))-1)))</f>
      </c>
      <c r="Q316">
        <f>IF($C$289&lt;&gt;1,0,IFERROR((((1+($C$294+'Inputs'!$H$137/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SUMPRODUCT(('Inputs'!$C$114:$C$121=$C$282)*($C$282&lt;&gt;"")*'Inputs'!$D$114:$D$121*(1+'Inputs'!$E$114:$E$121/100)^I317*(((ABS((('Inputs'!$G$114:$G$121&gt;0)*('Inputs'!$F$114:$F$121+'Inputs'!$G$114:$G$121)+('Inputs'!$G$114:$G$121=0)*12*$C$286)-12*I317)-ABS(((('Inputs'!$G$114:$G$121&gt;0)*('Inputs'!$F$114:$F$121+'Inputs'!$G$114:$G$121)+('Inputs'!$G$114:$G$121=0)*12*$C$286)-12*I317)-12)+12)/2-(ABS(('Inputs'!$F$114:$F$121-12*I317))-ABS((('Inputs'!$F$114:$F$121-12*I317))-12)+12)/2)+ABS((ABS((('Inputs'!$G$114:$G$121&gt;0)*('Inputs'!$F$114:$F$121+'Inputs'!$G$114:$G$121)+('Inputs'!$G$114:$G$121=0)*12*$C$286)-12*I317)-ABS(((('Inputs'!$G$114:$G$121&gt;0)*('Inputs'!$F$114:$F$121+'Inputs'!$G$114:$G$121)+('Inputs'!$G$114:$G$121=0)*12*$C$286)-12*I317)-12)+12)/2-(ABS(('Inputs'!$F$114:$F$121-12*I317))-ABS((('Inputs'!$F$114:$F$121-12*I317))-12)+12)/2))/2)</f>
      </c>
      <c r="L317">
        <f>IF(J317&gt;0,1,0)</f>
      </c>
      <c r="P317">
        <f>IF($C$289&lt;&gt;1,0,P316*(1+((1+$C$294)^(1/12)-1))^12-J316/12*(1+((1+$C$294)^(1/12)-1))*(((1+((1+$C$294)^(1/12)-1))^12-1)/((1+((1+$C$294)^(1/12)-1))-1)))</f>
      </c>
      <c r="Q317">
        <f>IF($C$289&lt;&gt;1,0,IFERROR((((1+($C$294+'Inputs'!$H$137/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SUMPRODUCT(('Inputs'!$C$114:$C$121=$C$282)*($C$282&lt;&gt;"")*'Inputs'!$D$114:$D$121*(1+'Inputs'!$E$114:$E$121/100)^I318*(((ABS((('Inputs'!$G$114:$G$121&gt;0)*('Inputs'!$F$114:$F$121+'Inputs'!$G$114:$G$121)+('Inputs'!$G$114:$G$121=0)*12*$C$286)-12*I318)-ABS(((('Inputs'!$G$114:$G$121&gt;0)*('Inputs'!$F$114:$F$121+'Inputs'!$G$114:$G$121)+('Inputs'!$G$114:$G$121=0)*12*$C$286)-12*I318)-12)+12)/2-(ABS(('Inputs'!$F$114:$F$121-12*I318))-ABS((('Inputs'!$F$114:$F$121-12*I318))-12)+12)/2)+ABS((ABS((('Inputs'!$G$114:$G$121&gt;0)*('Inputs'!$F$114:$F$121+'Inputs'!$G$114:$G$121)+('Inputs'!$G$114:$G$121=0)*12*$C$286)-12*I318)-ABS(((('Inputs'!$G$114:$G$121&gt;0)*('Inputs'!$F$114:$F$121+'Inputs'!$G$114:$G$121)+('Inputs'!$G$114:$G$121=0)*12*$C$286)-12*I318)-12)+12)/2-(ABS(('Inputs'!$F$114:$F$121-12*I318))-ABS((('Inputs'!$F$114:$F$121-12*I318))-12)+12)/2))/2)</f>
      </c>
      <c r="L318">
        <f>IF(J318&gt;0,1,0)</f>
      </c>
      <c r="P318">
        <f>IF($C$289&lt;&gt;1,0,P317*(1+((1+$C$294)^(1/12)-1))^12-J317/12*(1+((1+$C$294)^(1/12)-1))*(((1+((1+$C$294)^(1/12)-1))^12-1)/((1+((1+$C$294)^(1/12)-1))-1)))</f>
      </c>
      <c r="Q318">
        <f>IF($C$289&lt;&gt;1,0,IFERROR((((1+($C$294+'Inputs'!$H$137/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SUMPRODUCT(('Inputs'!$C$114:$C$121=$C$282)*($C$282&lt;&gt;"")*'Inputs'!$D$114:$D$121*(1+'Inputs'!$E$114:$E$121/100)^I319*(((ABS((('Inputs'!$G$114:$G$121&gt;0)*('Inputs'!$F$114:$F$121+'Inputs'!$G$114:$G$121)+('Inputs'!$G$114:$G$121=0)*12*$C$286)-12*I319)-ABS(((('Inputs'!$G$114:$G$121&gt;0)*('Inputs'!$F$114:$F$121+'Inputs'!$G$114:$G$121)+('Inputs'!$G$114:$G$121=0)*12*$C$286)-12*I319)-12)+12)/2-(ABS(('Inputs'!$F$114:$F$121-12*I319))-ABS((('Inputs'!$F$114:$F$121-12*I319))-12)+12)/2)+ABS((ABS((('Inputs'!$G$114:$G$121&gt;0)*('Inputs'!$F$114:$F$121+'Inputs'!$G$114:$G$121)+('Inputs'!$G$114:$G$121=0)*12*$C$286)-12*I319)-ABS(((('Inputs'!$G$114:$G$121&gt;0)*('Inputs'!$F$114:$F$121+'Inputs'!$G$114:$G$121)+('Inputs'!$G$114:$G$121=0)*12*$C$286)-12*I319)-12)+12)/2-(ABS(('Inputs'!$F$114:$F$121-12*I319))-ABS((('Inputs'!$F$114:$F$121-12*I319))-12)+12)/2))/2)</f>
      </c>
      <c r="L319">
        <f>IF(J319&gt;0,1,0)</f>
      </c>
      <c r="P319">
        <f>IF($C$289&lt;&gt;1,0,P318*(1+((1+$C$294)^(1/12)-1))^12-J318/12*(1+((1+$C$294)^(1/12)-1))*(((1+((1+$C$294)^(1/12)-1))^12-1)/((1+((1+$C$294)^(1/12)-1))-1)))</f>
      </c>
      <c r="Q319">
        <f>IF($C$289&lt;&gt;1,0,IFERROR((((1+($C$294+'Inputs'!$H$137/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SUMPRODUCT(('Inputs'!$C$114:$C$121=$C$282)*($C$282&lt;&gt;"")*'Inputs'!$D$114:$D$121*(1+'Inputs'!$E$114:$E$121/100)^I320*(((ABS((('Inputs'!$G$114:$G$121&gt;0)*('Inputs'!$F$114:$F$121+'Inputs'!$G$114:$G$121)+('Inputs'!$G$114:$G$121=0)*12*$C$286)-12*I320)-ABS(((('Inputs'!$G$114:$G$121&gt;0)*('Inputs'!$F$114:$F$121+'Inputs'!$G$114:$G$121)+('Inputs'!$G$114:$G$121=0)*12*$C$286)-12*I320)-12)+12)/2-(ABS(('Inputs'!$F$114:$F$121-12*I320))-ABS((('Inputs'!$F$114:$F$121-12*I320))-12)+12)/2)+ABS((ABS((('Inputs'!$G$114:$G$121&gt;0)*('Inputs'!$F$114:$F$121+'Inputs'!$G$114:$G$121)+('Inputs'!$G$114:$G$121=0)*12*$C$286)-12*I320)-ABS(((('Inputs'!$G$114:$G$121&gt;0)*('Inputs'!$F$114:$F$121+'Inputs'!$G$114:$G$121)+('Inputs'!$G$114:$G$121=0)*12*$C$286)-12*I320)-12)+12)/2-(ABS(('Inputs'!$F$114:$F$121-12*I320))-ABS((('Inputs'!$F$114:$F$121-12*I320))-12)+12)/2))/2)</f>
      </c>
      <c r="L320">
        <f>IF(J320&gt;0,1,0)</f>
      </c>
      <c r="P320">
        <f>IF($C$289&lt;&gt;1,0,P319*(1+((1+$C$294)^(1/12)-1))^12-J319/12*(1+((1+$C$294)^(1/12)-1))*(((1+((1+$C$294)^(1/12)-1))^12-1)/((1+((1+$C$294)^(1/12)-1))-1)))</f>
      </c>
      <c r="Q320">
        <f>IF($C$289&lt;&gt;1,0,IFERROR((((1+($C$294+'Inputs'!$H$137/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SUMPRODUCT(('Inputs'!$C$114:$C$121=$C$282)*($C$282&lt;&gt;"")*'Inputs'!$D$114:$D$121*(1+'Inputs'!$E$114:$E$121/100)^I321*(((ABS((('Inputs'!$G$114:$G$121&gt;0)*('Inputs'!$F$114:$F$121+'Inputs'!$G$114:$G$121)+('Inputs'!$G$114:$G$121=0)*12*$C$286)-12*I321)-ABS(((('Inputs'!$G$114:$G$121&gt;0)*('Inputs'!$F$114:$F$121+'Inputs'!$G$114:$G$121)+('Inputs'!$G$114:$G$121=0)*12*$C$286)-12*I321)-12)+12)/2-(ABS(('Inputs'!$F$114:$F$121-12*I321))-ABS((('Inputs'!$F$114:$F$121-12*I321))-12)+12)/2)+ABS((ABS((('Inputs'!$G$114:$G$121&gt;0)*('Inputs'!$F$114:$F$121+'Inputs'!$G$114:$G$121)+('Inputs'!$G$114:$G$121=0)*12*$C$286)-12*I321)-ABS(((('Inputs'!$G$114:$G$121&gt;0)*('Inputs'!$F$114:$F$121+'Inputs'!$G$114:$G$121)+('Inputs'!$G$114:$G$121=0)*12*$C$286)-12*I321)-12)+12)/2-(ABS(('Inputs'!$F$114:$F$121-12*I321))-ABS((('Inputs'!$F$114:$F$121-12*I321))-12)+12)/2))/2)</f>
      </c>
      <c r="L321">
        <f>IF(J321&gt;0,1,0)</f>
      </c>
      <c r="P321">
        <f>IF($C$289&lt;&gt;1,0,P320*(1+((1+$C$294)^(1/12)-1))^12-J320/12*(1+((1+$C$294)^(1/12)-1))*(((1+((1+$C$294)^(1/12)-1))^12-1)/((1+((1+$C$294)^(1/12)-1))-1)))</f>
      </c>
      <c r="Q321">
        <f>IF($C$289&lt;&gt;1,0,IFERROR((((1+($C$294+'Inputs'!$H$137/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SUMPRODUCT(('Inputs'!$C$114:$C$121=$C$282)*($C$282&lt;&gt;"")*'Inputs'!$D$114:$D$121*(1+'Inputs'!$E$114:$E$121/100)^I322*(((ABS((('Inputs'!$G$114:$G$121&gt;0)*('Inputs'!$F$114:$F$121+'Inputs'!$G$114:$G$121)+('Inputs'!$G$114:$G$121=0)*12*$C$286)-12*I322)-ABS(((('Inputs'!$G$114:$G$121&gt;0)*('Inputs'!$F$114:$F$121+'Inputs'!$G$114:$G$121)+('Inputs'!$G$114:$G$121=0)*12*$C$286)-12*I322)-12)+12)/2-(ABS(('Inputs'!$F$114:$F$121-12*I322))-ABS((('Inputs'!$F$114:$F$121-12*I322))-12)+12)/2)+ABS((ABS((('Inputs'!$G$114:$G$121&gt;0)*('Inputs'!$F$114:$F$121+'Inputs'!$G$114:$G$121)+('Inputs'!$G$114:$G$121=0)*12*$C$286)-12*I322)-ABS(((('Inputs'!$G$114:$G$121&gt;0)*('Inputs'!$F$114:$F$121+'Inputs'!$G$114:$G$121)+('Inputs'!$G$114:$G$121=0)*12*$C$286)-12*I322)-12)+12)/2-(ABS(('Inputs'!$F$114:$F$121-12*I322))-ABS((('Inputs'!$F$114:$F$121-12*I322))-12)+12)/2))/2)</f>
      </c>
      <c r="L322">
        <f>IF(J322&gt;0,1,0)</f>
      </c>
      <c r="P322">
        <f>IF($C$289&lt;&gt;1,0,P321*(1+((1+$C$294)^(1/12)-1))^12-J321/12*(1+((1+$C$294)^(1/12)-1))*(((1+((1+$C$294)^(1/12)-1))^12-1)/((1+((1+$C$294)^(1/12)-1))-1)))</f>
      </c>
      <c r="Q322">
        <f>IF($C$289&lt;&gt;1,0,IFERROR((((1+($C$294+'Inputs'!$H$137/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SUMPRODUCT(('Inputs'!$C$114:$C$121=$C$282)*($C$282&lt;&gt;"")*'Inputs'!$D$114:$D$121*(1+'Inputs'!$E$114:$E$121/100)^I323*(((ABS((('Inputs'!$G$114:$G$121&gt;0)*('Inputs'!$F$114:$F$121+'Inputs'!$G$114:$G$121)+('Inputs'!$G$114:$G$121=0)*12*$C$286)-12*I323)-ABS(((('Inputs'!$G$114:$G$121&gt;0)*('Inputs'!$F$114:$F$121+'Inputs'!$G$114:$G$121)+('Inputs'!$G$114:$G$121=0)*12*$C$286)-12*I323)-12)+12)/2-(ABS(('Inputs'!$F$114:$F$121-12*I323))-ABS((('Inputs'!$F$114:$F$121-12*I323))-12)+12)/2)+ABS((ABS((('Inputs'!$G$114:$G$121&gt;0)*('Inputs'!$F$114:$F$121+'Inputs'!$G$114:$G$121)+('Inputs'!$G$114:$G$121=0)*12*$C$286)-12*I323)-ABS(((('Inputs'!$G$114:$G$121&gt;0)*('Inputs'!$F$114:$F$121+'Inputs'!$G$114:$G$121)+('Inputs'!$G$114:$G$121=0)*12*$C$286)-12*I323)-12)+12)/2-(ABS(('Inputs'!$F$114:$F$121-12*I323))-ABS((('Inputs'!$F$114:$F$121-12*I323))-12)+12)/2))/2)</f>
      </c>
      <c r="L323">
        <f>IF(J323&gt;0,1,0)</f>
      </c>
      <c r="P323">
        <f>IF($C$289&lt;&gt;1,0,P322*(1+((1+$C$294)^(1/12)-1))^12-J322/12*(1+((1+$C$294)^(1/12)-1))*(((1+((1+$C$294)^(1/12)-1))^12-1)/((1+((1+$C$294)^(1/12)-1))-1)))</f>
      </c>
      <c r="Q323">
        <f>IF($C$289&lt;&gt;1,0,IFERROR((((1+($C$294+'Inputs'!$H$137/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SUMPRODUCT(('Inputs'!$C$114:$C$121=$C$282)*($C$282&lt;&gt;"")*'Inputs'!$D$114:$D$121*(1+'Inputs'!$E$114:$E$121/100)^I324*(((ABS((('Inputs'!$G$114:$G$121&gt;0)*('Inputs'!$F$114:$F$121+'Inputs'!$G$114:$G$121)+('Inputs'!$G$114:$G$121=0)*12*$C$286)-12*I324)-ABS(((('Inputs'!$G$114:$G$121&gt;0)*('Inputs'!$F$114:$F$121+'Inputs'!$G$114:$G$121)+('Inputs'!$G$114:$G$121=0)*12*$C$286)-12*I324)-12)+12)/2-(ABS(('Inputs'!$F$114:$F$121-12*I324))-ABS((('Inputs'!$F$114:$F$121-12*I324))-12)+12)/2)+ABS((ABS((('Inputs'!$G$114:$G$121&gt;0)*('Inputs'!$F$114:$F$121+'Inputs'!$G$114:$G$121)+('Inputs'!$G$114:$G$121=0)*12*$C$286)-12*I324)-ABS(((('Inputs'!$G$114:$G$121&gt;0)*('Inputs'!$F$114:$F$121+'Inputs'!$G$114:$G$121)+('Inputs'!$G$114:$G$121=0)*12*$C$286)-12*I324)-12)+12)/2-(ABS(('Inputs'!$F$114:$F$121-12*I324))-ABS((('Inputs'!$F$114:$F$121-12*I324))-12)+12)/2))/2)</f>
      </c>
      <c r="L324">
        <f>IF(J324&gt;0,1,0)</f>
      </c>
      <c r="P324">
        <f>IF($C$289&lt;&gt;1,0,P323*(1+((1+$C$294)^(1/12)-1))^12-J323/12*(1+((1+$C$294)^(1/12)-1))*(((1+((1+$C$294)^(1/12)-1))^12-1)/((1+((1+$C$294)^(1/12)-1))-1)))</f>
      </c>
      <c r="Q324">
        <f>IF($C$289&lt;&gt;1,0,IFERROR((((1+($C$294+'Inputs'!$H$137/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SUMPRODUCT(('Inputs'!$C$114:$C$121=$C$282)*($C$282&lt;&gt;"")*'Inputs'!$D$114:$D$121*(1+'Inputs'!$E$114:$E$121/100)^I325*(((ABS((('Inputs'!$G$114:$G$121&gt;0)*('Inputs'!$F$114:$F$121+'Inputs'!$G$114:$G$121)+('Inputs'!$G$114:$G$121=0)*12*$C$286)-12*I325)-ABS(((('Inputs'!$G$114:$G$121&gt;0)*('Inputs'!$F$114:$F$121+'Inputs'!$G$114:$G$121)+('Inputs'!$G$114:$G$121=0)*12*$C$286)-12*I325)-12)+12)/2-(ABS(('Inputs'!$F$114:$F$121-12*I325))-ABS((('Inputs'!$F$114:$F$121-12*I325))-12)+12)/2)+ABS((ABS((('Inputs'!$G$114:$G$121&gt;0)*('Inputs'!$F$114:$F$121+'Inputs'!$G$114:$G$121)+('Inputs'!$G$114:$G$121=0)*12*$C$286)-12*I325)-ABS(((('Inputs'!$G$114:$G$121&gt;0)*('Inputs'!$F$114:$F$121+'Inputs'!$G$114:$G$121)+('Inputs'!$G$114:$G$121=0)*12*$C$286)-12*I325)-12)+12)/2-(ABS(('Inputs'!$F$114:$F$121-12*I325))-ABS((('Inputs'!$F$114:$F$121-12*I325))-12)+12)/2))/2)</f>
      </c>
      <c r="L325">
        <f>IF(J325&gt;0,1,0)</f>
      </c>
      <c r="P325">
        <f>IF($C$289&lt;&gt;1,0,P324*(1+((1+$C$294)^(1/12)-1))^12-J324/12*(1+((1+$C$294)^(1/12)-1))*(((1+((1+$C$294)^(1/12)-1))^12-1)/((1+((1+$C$294)^(1/12)-1))-1)))</f>
      </c>
      <c r="Q325">
        <f>IF($C$289&lt;&gt;1,0,IFERROR((((1+($C$294+'Inputs'!$H$137/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SUMPRODUCT(('Inputs'!$C$114:$C$121=$C$282)*($C$282&lt;&gt;"")*'Inputs'!$D$114:$D$121*(1+'Inputs'!$E$114:$E$121/100)^I326*(((ABS((('Inputs'!$G$114:$G$121&gt;0)*('Inputs'!$F$114:$F$121+'Inputs'!$G$114:$G$121)+('Inputs'!$G$114:$G$121=0)*12*$C$286)-12*I326)-ABS(((('Inputs'!$G$114:$G$121&gt;0)*('Inputs'!$F$114:$F$121+'Inputs'!$G$114:$G$121)+('Inputs'!$G$114:$G$121=0)*12*$C$286)-12*I326)-12)+12)/2-(ABS(('Inputs'!$F$114:$F$121-12*I326))-ABS((('Inputs'!$F$114:$F$121-12*I326))-12)+12)/2)+ABS((ABS((('Inputs'!$G$114:$G$121&gt;0)*('Inputs'!$F$114:$F$121+'Inputs'!$G$114:$G$121)+('Inputs'!$G$114:$G$121=0)*12*$C$286)-12*I326)-ABS(((('Inputs'!$G$114:$G$121&gt;0)*('Inputs'!$F$114:$F$121+'Inputs'!$G$114:$G$121)+('Inputs'!$G$114:$G$121=0)*12*$C$286)-12*I326)-12)+12)/2-(ABS(('Inputs'!$F$114:$F$121-12*I326))-ABS((('Inputs'!$F$114:$F$121-12*I326))-12)+12)/2))/2)</f>
      </c>
      <c r="L326">
        <f>IF(J326&gt;0,1,0)</f>
      </c>
      <c r="P326">
        <f>IF($C$289&lt;&gt;1,0,P325*(1+((1+$C$294)^(1/12)-1))^12-J325/12*(1+((1+$C$294)^(1/12)-1))*(((1+((1+$C$294)^(1/12)-1))^12-1)/((1+((1+$C$294)^(1/12)-1))-1)))</f>
      </c>
      <c r="Q326">
        <f>IF($C$289&lt;&gt;1,0,IFERROR((((1+($C$294+'Inputs'!$H$137/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SUMPRODUCT(('Inputs'!$C$114:$C$121=$C$282)*($C$282&lt;&gt;"")*'Inputs'!$D$114:$D$121*(1+'Inputs'!$E$114:$E$121/100)^I327*(((ABS((('Inputs'!$G$114:$G$121&gt;0)*('Inputs'!$F$114:$F$121+'Inputs'!$G$114:$G$121)+('Inputs'!$G$114:$G$121=0)*12*$C$286)-12*I327)-ABS(((('Inputs'!$G$114:$G$121&gt;0)*('Inputs'!$F$114:$F$121+'Inputs'!$G$114:$G$121)+('Inputs'!$G$114:$G$121=0)*12*$C$286)-12*I327)-12)+12)/2-(ABS(('Inputs'!$F$114:$F$121-12*I327))-ABS((('Inputs'!$F$114:$F$121-12*I327))-12)+12)/2)+ABS((ABS((('Inputs'!$G$114:$G$121&gt;0)*('Inputs'!$F$114:$F$121+'Inputs'!$G$114:$G$121)+('Inputs'!$G$114:$G$121=0)*12*$C$286)-12*I327)-ABS(((('Inputs'!$G$114:$G$121&gt;0)*('Inputs'!$F$114:$F$121+'Inputs'!$G$114:$G$121)+('Inputs'!$G$114:$G$121=0)*12*$C$286)-12*I327)-12)+12)/2-(ABS(('Inputs'!$F$114:$F$121-12*I327))-ABS((('Inputs'!$F$114:$F$121-12*I327))-12)+12)/2))/2)</f>
      </c>
      <c r="L327">
        <f>IF(J327&gt;0,1,0)</f>
      </c>
      <c r="P327">
        <f>IF($C$289&lt;&gt;1,0,P326*(1+((1+$C$294)^(1/12)-1))^12-J326/12*(1+((1+$C$294)^(1/12)-1))*(((1+((1+$C$294)^(1/12)-1))^12-1)/((1+((1+$C$294)^(1/12)-1))-1)))</f>
      </c>
      <c r="Q327">
        <f>IF($C$289&lt;&gt;1,0,IFERROR((((1+($C$294+'Inputs'!$H$137/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SUMPRODUCT(('Inputs'!$C$114:$C$121=$C$282)*($C$282&lt;&gt;"")*'Inputs'!$D$114:$D$121*(1+'Inputs'!$E$114:$E$121/100)^I328*(((ABS((('Inputs'!$G$114:$G$121&gt;0)*('Inputs'!$F$114:$F$121+'Inputs'!$G$114:$G$121)+('Inputs'!$G$114:$G$121=0)*12*$C$286)-12*I328)-ABS(((('Inputs'!$G$114:$G$121&gt;0)*('Inputs'!$F$114:$F$121+'Inputs'!$G$114:$G$121)+('Inputs'!$G$114:$G$121=0)*12*$C$286)-12*I328)-12)+12)/2-(ABS(('Inputs'!$F$114:$F$121-12*I328))-ABS((('Inputs'!$F$114:$F$121-12*I328))-12)+12)/2)+ABS((ABS((('Inputs'!$G$114:$G$121&gt;0)*('Inputs'!$F$114:$F$121+'Inputs'!$G$114:$G$121)+('Inputs'!$G$114:$G$121=0)*12*$C$286)-12*I328)-ABS(((('Inputs'!$G$114:$G$121&gt;0)*('Inputs'!$F$114:$F$121+'Inputs'!$G$114:$G$121)+('Inputs'!$G$114:$G$121=0)*12*$C$286)-12*I328)-12)+12)/2-(ABS(('Inputs'!$F$114:$F$121-12*I328))-ABS((('Inputs'!$F$114:$F$121-12*I328))-12)+12)/2))/2)</f>
      </c>
      <c r="L328">
        <f>IF(J328&gt;0,1,0)</f>
      </c>
      <c r="P328">
        <f>IF($C$289&lt;&gt;1,0,P327*(1+((1+$C$294)^(1/12)-1))^12-J327/12*(1+((1+$C$294)^(1/12)-1))*(((1+((1+$C$294)^(1/12)-1))^12-1)/((1+((1+$C$294)^(1/12)-1))-1)))</f>
      </c>
      <c r="Q328">
        <f>IF($C$289&lt;&gt;1,0,IFERROR((((1+($C$294+'Inputs'!$H$137/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SUMPRODUCT(('Inputs'!$C$114:$C$121=$C$282)*($C$282&lt;&gt;"")*'Inputs'!$D$114:$D$121*(1+'Inputs'!$E$114:$E$121/100)^I329*(((ABS((('Inputs'!$G$114:$G$121&gt;0)*('Inputs'!$F$114:$F$121+'Inputs'!$G$114:$G$121)+('Inputs'!$G$114:$G$121=0)*12*$C$286)-12*I329)-ABS(((('Inputs'!$G$114:$G$121&gt;0)*('Inputs'!$F$114:$F$121+'Inputs'!$G$114:$G$121)+('Inputs'!$G$114:$G$121=0)*12*$C$286)-12*I329)-12)+12)/2-(ABS(('Inputs'!$F$114:$F$121-12*I329))-ABS((('Inputs'!$F$114:$F$121-12*I329))-12)+12)/2)+ABS((ABS((('Inputs'!$G$114:$G$121&gt;0)*('Inputs'!$F$114:$F$121+'Inputs'!$G$114:$G$121)+('Inputs'!$G$114:$G$121=0)*12*$C$286)-12*I329)-ABS(((('Inputs'!$G$114:$G$121&gt;0)*('Inputs'!$F$114:$F$121+'Inputs'!$G$114:$G$121)+('Inputs'!$G$114:$G$121=0)*12*$C$286)-12*I329)-12)+12)/2-(ABS(('Inputs'!$F$114:$F$121-12*I329))-ABS((('Inputs'!$F$114:$F$121-12*I329))-12)+12)/2))/2)</f>
      </c>
      <c r="L329">
        <f>IF(J329&gt;0,1,0)</f>
      </c>
      <c r="P329">
        <f>IF($C$289&lt;&gt;1,0,P328*(1+((1+$C$294)^(1/12)-1))^12-J328/12*(1+((1+$C$294)^(1/12)-1))*(((1+((1+$C$294)^(1/12)-1))^12-1)/((1+((1+$C$294)^(1/12)-1))-1)))</f>
      </c>
      <c r="Q329">
        <f>IF($C$289&lt;&gt;1,0,IFERROR((((1+($C$294+'Inputs'!$H$137/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SUMPRODUCT(('Inputs'!$C$114:$C$121=$C$282)*($C$282&lt;&gt;"")*'Inputs'!$D$114:$D$121*(1+'Inputs'!$E$114:$E$121/100)^I330*(((ABS((('Inputs'!$G$114:$G$121&gt;0)*('Inputs'!$F$114:$F$121+'Inputs'!$G$114:$G$121)+('Inputs'!$G$114:$G$121=0)*12*$C$286)-12*I330)-ABS(((('Inputs'!$G$114:$G$121&gt;0)*('Inputs'!$F$114:$F$121+'Inputs'!$G$114:$G$121)+('Inputs'!$G$114:$G$121=0)*12*$C$286)-12*I330)-12)+12)/2-(ABS(('Inputs'!$F$114:$F$121-12*I330))-ABS((('Inputs'!$F$114:$F$121-12*I330))-12)+12)/2)+ABS((ABS((('Inputs'!$G$114:$G$121&gt;0)*('Inputs'!$F$114:$F$121+'Inputs'!$G$114:$G$121)+('Inputs'!$G$114:$G$121=0)*12*$C$286)-12*I330)-ABS(((('Inputs'!$G$114:$G$121&gt;0)*('Inputs'!$F$114:$F$121+'Inputs'!$G$114:$G$121)+('Inputs'!$G$114:$G$121=0)*12*$C$286)-12*I330)-12)+12)/2-(ABS(('Inputs'!$F$114:$F$121-12*I330))-ABS((('Inputs'!$F$114:$F$121-12*I330))-12)+12)/2))/2)</f>
      </c>
      <c r="L330">
        <f>IF(J330&gt;0,1,0)</f>
      </c>
      <c r="P330">
        <f>IF($C$289&lt;&gt;1,0,P329*(1+((1+$C$294)^(1/12)-1))^12-J329/12*(1+((1+$C$294)^(1/12)-1))*(((1+((1+$C$294)^(1/12)-1))^12-1)/((1+((1+$C$294)^(1/12)-1))-1)))</f>
      </c>
      <c r="Q330">
        <f>IF($C$289&lt;&gt;1,0,IFERROR((((1+($C$294+'Inputs'!$H$137/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SUMPRODUCT(('Inputs'!$C$114:$C$121=$C$282)*($C$282&lt;&gt;"")*'Inputs'!$D$114:$D$121*(1+'Inputs'!$E$114:$E$121/100)^I331*(((ABS((('Inputs'!$G$114:$G$121&gt;0)*('Inputs'!$F$114:$F$121+'Inputs'!$G$114:$G$121)+('Inputs'!$G$114:$G$121=0)*12*$C$286)-12*I331)-ABS(((('Inputs'!$G$114:$G$121&gt;0)*('Inputs'!$F$114:$F$121+'Inputs'!$G$114:$G$121)+('Inputs'!$G$114:$G$121=0)*12*$C$286)-12*I331)-12)+12)/2-(ABS(('Inputs'!$F$114:$F$121-12*I331))-ABS((('Inputs'!$F$114:$F$121-12*I331))-12)+12)/2)+ABS((ABS((('Inputs'!$G$114:$G$121&gt;0)*('Inputs'!$F$114:$F$121+'Inputs'!$G$114:$G$121)+('Inputs'!$G$114:$G$121=0)*12*$C$286)-12*I331)-ABS(((('Inputs'!$G$114:$G$121&gt;0)*('Inputs'!$F$114:$F$121+'Inputs'!$G$114:$G$121)+('Inputs'!$G$114:$G$121=0)*12*$C$286)-12*I331)-12)+12)/2-(ABS(('Inputs'!$F$114:$F$121-12*I331))-ABS((('Inputs'!$F$114:$F$121-12*I331))-12)+12)/2))/2)</f>
      </c>
      <c r="L331">
        <f>IF(J331&gt;0,1,0)</f>
      </c>
      <c r="P331">
        <f>IF($C$289&lt;&gt;1,0,P330*(1+((1+$C$294)^(1/12)-1))^12-J330/12*(1+((1+$C$294)^(1/12)-1))*(((1+((1+$C$294)^(1/12)-1))^12-1)/((1+((1+$C$294)^(1/12)-1))-1)))</f>
      </c>
      <c r="Q331">
        <f>IF($C$289&lt;&gt;1,0,IFERROR((((1+($C$294+'Inputs'!$H$137/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SUMPRODUCT(('Inputs'!$C$114:$C$121=$C$282)*($C$282&lt;&gt;"")*'Inputs'!$D$114:$D$121*(1+'Inputs'!$E$114:$E$121/100)^I332*(((ABS((('Inputs'!$G$114:$G$121&gt;0)*('Inputs'!$F$114:$F$121+'Inputs'!$G$114:$G$121)+('Inputs'!$G$114:$G$121=0)*12*$C$286)-12*I332)-ABS(((('Inputs'!$G$114:$G$121&gt;0)*('Inputs'!$F$114:$F$121+'Inputs'!$G$114:$G$121)+('Inputs'!$G$114:$G$121=0)*12*$C$286)-12*I332)-12)+12)/2-(ABS(('Inputs'!$F$114:$F$121-12*I332))-ABS((('Inputs'!$F$114:$F$121-12*I332))-12)+12)/2)+ABS((ABS((('Inputs'!$G$114:$G$121&gt;0)*('Inputs'!$F$114:$F$121+'Inputs'!$G$114:$G$121)+('Inputs'!$G$114:$G$121=0)*12*$C$286)-12*I332)-ABS(((('Inputs'!$G$114:$G$121&gt;0)*('Inputs'!$F$114:$F$121+'Inputs'!$G$114:$G$121)+('Inputs'!$G$114:$G$121=0)*12*$C$286)-12*I332)-12)+12)/2-(ABS(('Inputs'!$F$114:$F$121-12*I332))-ABS((('Inputs'!$F$114:$F$121-12*I332))-12)+12)/2))/2)</f>
      </c>
      <c r="L332">
        <f>IF(J332&gt;0,1,0)</f>
      </c>
      <c r="P332">
        <f>IF($C$289&lt;&gt;1,0,P331*(1+((1+$C$294)^(1/12)-1))^12-J331/12*(1+((1+$C$294)^(1/12)-1))*(((1+((1+$C$294)^(1/12)-1))^12-1)/((1+((1+$C$294)^(1/12)-1))-1)))</f>
      </c>
      <c r="Q332">
        <f>IF($C$289&lt;&gt;1,0,IFERROR((((1+($C$294+'Inputs'!$H$137/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SUMPRODUCT(('Inputs'!$C$114:$C$121=$C$282)*($C$282&lt;&gt;"")*'Inputs'!$D$114:$D$121*(1+'Inputs'!$E$114:$E$121/100)^I333*(((ABS((('Inputs'!$G$114:$G$121&gt;0)*('Inputs'!$F$114:$F$121+'Inputs'!$G$114:$G$121)+('Inputs'!$G$114:$G$121=0)*12*$C$286)-12*I333)-ABS(((('Inputs'!$G$114:$G$121&gt;0)*('Inputs'!$F$114:$F$121+'Inputs'!$G$114:$G$121)+('Inputs'!$G$114:$G$121=0)*12*$C$286)-12*I333)-12)+12)/2-(ABS(('Inputs'!$F$114:$F$121-12*I333))-ABS((('Inputs'!$F$114:$F$121-12*I333))-12)+12)/2)+ABS((ABS((('Inputs'!$G$114:$G$121&gt;0)*('Inputs'!$F$114:$F$121+'Inputs'!$G$114:$G$121)+('Inputs'!$G$114:$G$121=0)*12*$C$286)-12*I333)-ABS(((('Inputs'!$G$114:$G$121&gt;0)*('Inputs'!$F$114:$F$121+'Inputs'!$G$114:$G$121)+('Inputs'!$G$114:$G$121=0)*12*$C$286)-12*I333)-12)+12)/2-(ABS(('Inputs'!$F$114:$F$121-12*I333))-ABS((('Inputs'!$F$114:$F$121-12*I333))-12)+12)/2))/2)</f>
      </c>
      <c r="L333">
        <f>IF(J333&gt;0,1,0)</f>
      </c>
      <c r="P333">
        <f>IF($C$289&lt;&gt;1,0,P332*(1+((1+$C$294)^(1/12)-1))^12-J332/12*(1+((1+$C$294)^(1/12)-1))*(((1+((1+$C$294)^(1/12)-1))^12-1)/((1+((1+$C$294)^(1/12)-1))-1)))</f>
      </c>
      <c r="Q333">
        <f>IF($C$289&lt;&gt;1,0,IFERROR((((1+($C$294+'Inputs'!$H$137/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118"/>
  <sheetFormatPr defaultRowHeight="15" outlineLevelRow="0" outlineLevelCol="0" x14ac:dyDescent="55"/>
  <cols>
    <col min="1" max="1" width="2" customWidth="1"/>
    <col min="2" max="2" width="28" customWidth="1"/>
  </cols>
  <sheetData>
    <row r="2" spans="3:5" x14ac:dyDescent="0.25">
      <c r="C2" t="s">
        <v>331</v>
      </c>
      <c r="E2" t="s">
        <v>332</v>
      </c>
    </row>
    <row r="3" spans="2:20" x14ac:dyDescent="0.25">
      <c r="B3" t="s">
        <v>333</v>
      </c>
      <c r="C3">
        <f>0</f>
      </c>
      <c r="E3">
        <f>1</f>
      </c>
      <c r="F3">
        <f>1</f>
      </c>
      <c r="G3">
        <f>1</f>
      </c>
      <c r="H3">
        <f>1</f>
      </c>
      <c r="I3">
        <f>1</f>
      </c>
      <c r="J3">
        <f>1</f>
      </c>
      <c r="K3">
        <f>1</f>
      </c>
      <c r="L3">
        <f>1</f>
      </c>
      <c r="M3">
        <f>1</f>
      </c>
      <c r="N3">
        <f>1</f>
      </c>
      <c r="O3">
        <f>1</f>
      </c>
      <c r="P3">
        <f>1</f>
      </c>
      <c r="Q3">
        <f>1</f>
      </c>
      <c r="R3">
        <f>1</f>
      </c>
      <c r="S3">
        <f>1</f>
      </c>
      <c r="T3">
        <f>1</f>
      </c>
    </row>
    <row r="4" spans="2:20" x14ac:dyDescent="0.25">
      <c r="B4" t="s">
        <v>334</v>
      </c>
      <c r="C4">
        <f>0</f>
      </c>
      <c r="E4">
        <f>0</f>
      </c>
      <c r="F4">
        <f>E112</f>
      </c>
      <c r="G4">
        <f>F112</f>
      </c>
      <c r="H4">
        <f>G112</f>
      </c>
      <c r="I4">
        <f>H112</f>
      </c>
      <c r="J4">
        <f>I112</f>
      </c>
      <c r="K4">
        <f>J112</f>
      </c>
      <c r="L4">
        <f>K112</f>
      </c>
      <c r="M4">
        <f>L112</f>
      </c>
      <c r="N4">
        <f>M112</f>
      </c>
      <c r="O4">
        <f>N112</f>
      </c>
      <c r="P4">
        <f>O112</f>
      </c>
      <c r="Q4">
        <f>IF(ROUND(P112,2)&gt;0,MAX(0,ROUND(P112,2)-0.01),0)</f>
      </c>
      <c r="R4">
        <f>ROUND(P112,2)</f>
      </c>
      <c r="S4">
        <f>IF(ROUND(P112,2)&gt;0,ROUND(P112,2)+0.01,0)</f>
      </c>
      <c r="T4">
        <f>IF(ROUND(P112,2)=0,0,IF(R45&lt;=0,ROUND(P112,2),IF(S45&lt;=0,ROUND(P112,2)+0.01,ROUND(P112,2)+0.02)))</f>
      </c>
    </row>
    <row r="5" spans="2:20" x14ac:dyDescent="0.25">
      <c r="B5" t="s">
        <v>335</v>
      </c>
      <c r="C5">
        <f>0</f>
      </c>
      <c r="E5">
        <f>0</f>
      </c>
      <c r="F5">
        <f>E113</f>
      </c>
      <c r="G5">
        <f>F113</f>
      </c>
      <c r="H5">
        <f>G113</f>
      </c>
      <c r="I5">
        <f>H113</f>
      </c>
      <c r="J5">
        <f>I113</f>
      </c>
      <c r="K5">
        <f>J113</f>
      </c>
      <c r="L5">
        <f>K113</f>
      </c>
      <c r="M5">
        <f>L113</f>
      </c>
      <c r="N5">
        <f>M113</f>
      </c>
      <c r="O5">
        <f>N113</f>
      </c>
      <c r="P5">
        <f>O113</f>
      </c>
      <c r="Q5">
        <f>IF(ROUND(P113,2)&gt;0,MAX(0,ROUND(P113,2)-0.01),0)</f>
      </c>
      <c r="R5">
        <f>ROUND(P113,2)</f>
      </c>
      <c r="S5">
        <f>IF(ROUND(P113,2)&gt;0,ROUND(P113,2)+0.01,0)</f>
      </c>
      <c r="T5">
        <f>IF(ROUND(P113,2)=0,0,IF(R57&lt;=0,ROUND(P113,2),IF(S57&lt;=0,ROUND(P113,2)+0.01,ROUND(P113,2)+0.02)))</f>
      </c>
    </row>
    <row r="6" spans="2:20" x14ac:dyDescent="0.25">
      <c r="B6" t="s">
        <v>336</v>
      </c>
      <c r="C6">
        <f>0</f>
      </c>
      <c r="E6">
        <f>0</f>
      </c>
      <c r="F6">
        <f>E114</f>
      </c>
      <c r="G6">
        <f>F114</f>
      </c>
      <c r="H6">
        <f>G114</f>
      </c>
      <c r="I6">
        <f>H114</f>
      </c>
      <c r="J6">
        <f>I114</f>
      </c>
      <c r="K6">
        <f>J114</f>
      </c>
      <c r="L6">
        <f>K114</f>
      </c>
      <c r="M6">
        <f>L114</f>
      </c>
      <c r="N6">
        <f>M114</f>
      </c>
      <c r="O6">
        <f>N114</f>
      </c>
      <c r="P6">
        <f>O114</f>
      </c>
      <c r="Q6">
        <f>IF(ROUND(P114,2)&gt;0,MAX(0,ROUND(P114,2)-0.01),0)</f>
      </c>
      <c r="R6">
        <f>ROUND(P114,2)</f>
      </c>
      <c r="S6">
        <f>IF(ROUND(P114,2)&gt;0,ROUND(P114,2)+0.01,0)</f>
      </c>
      <c r="T6">
        <f>IF(ROUND(P114,2)=0,0,IF(R69&lt;=0,ROUND(P114,2),IF(S69&lt;=0,ROUND(P114,2)+0.01,ROUND(P114,2)+0.02)))</f>
      </c>
    </row>
    <row r="7" spans="2:20" x14ac:dyDescent="0.25">
      <c r="B7" t="s">
        <v>337</v>
      </c>
      <c r="C7">
        <f>0</f>
      </c>
      <c r="E7">
        <f>0</f>
      </c>
      <c r="F7">
        <f>E115</f>
      </c>
      <c r="G7">
        <f>F115</f>
      </c>
      <c r="H7">
        <f>G115</f>
      </c>
      <c r="I7">
        <f>H115</f>
      </c>
      <c r="J7">
        <f>I115</f>
      </c>
      <c r="K7">
        <f>J115</f>
      </c>
      <c r="L7">
        <f>K115</f>
      </c>
      <c r="M7">
        <f>L115</f>
      </c>
      <c r="N7">
        <f>M115</f>
      </c>
      <c r="O7">
        <f>N115</f>
      </c>
      <c r="P7">
        <f>O115</f>
      </c>
      <c r="Q7">
        <f>IF(ROUND(P115,2)&gt;0,MAX(0,ROUND(P115,2)-0.01),0)</f>
      </c>
      <c r="R7">
        <f>ROUND(P115,2)</f>
      </c>
      <c r="S7">
        <f>IF(ROUND(P115,2)&gt;0,ROUND(P115,2)+0.01,0)</f>
      </c>
      <c r="T7">
        <f>IF(ROUND(P115,2)=0,0,IF(R81&lt;=0,ROUND(P115,2),IF(S81&lt;=0,ROUND(P115,2)+0.01,ROUND(P115,2)+0.02)))</f>
      </c>
    </row>
    <row r="8" spans="2:20" x14ac:dyDescent="0.25">
      <c r="B8" t="s">
        <v>338</v>
      </c>
      <c r="C8">
        <f>0</f>
      </c>
      <c r="E8">
        <f>0</f>
      </c>
      <c r="F8">
        <f>E116</f>
      </c>
      <c r="G8">
        <f>F116</f>
      </c>
      <c r="H8">
        <f>G116</f>
      </c>
      <c r="I8">
        <f>H116</f>
      </c>
      <c r="J8">
        <f>I116</f>
      </c>
      <c r="K8">
        <f>J116</f>
      </c>
      <c r="L8">
        <f>K116</f>
      </c>
      <c r="M8">
        <f>L116</f>
      </c>
      <c r="N8">
        <f>M116</f>
      </c>
      <c r="O8">
        <f>N116</f>
      </c>
      <c r="P8">
        <f>O116</f>
      </c>
      <c r="Q8">
        <f>IF(ROUND(P116,2)&gt;0,MAX(0,ROUND(P116,2)-0.01),0)</f>
      </c>
      <c r="R8">
        <f>ROUND(P116,2)</f>
      </c>
      <c r="S8">
        <f>IF(ROUND(P116,2)&gt;0,ROUND(P116,2)+0.01,0)</f>
      </c>
      <c r="T8">
        <f>IF(ROUND(P116,2)=0,0,IF(R93&lt;=0,ROUND(P116,2),IF(S93&lt;=0,ROUND(P116,2)+0.01,ROUND(P116,2)+0.02)))</f>
      </c>
    </row>
    <row r="9" spans="2:20" x14ac:dyDescent="0.25">
      <c r="B9" t="s">
        <v>339</v>
      </c>
      <c r="C9">
        <f>0</f>
      </c>
      <c r="E9">
        <f>0</f>
      </c>
      <c r="F9">
        <f>E117</f>
      </c>
      <c r="G9">
        <f>F117</f>
      </c>
      <c r="H9">
        <f>G117</f>
      </c>
      <c r="I9">
        <f>H117</f>
      </c>
      <c r="J9">
        <f>I117</f>
      </c>
      <c r="K9">
        <f>J117</f>
      </c>
      <c r="L9">
        <f>K117</f>
      </c>
      <c r="M9">
        <f>L117</f>
      </c>
      <c r="N9">
        <f>M117</f>
      </c>
      <c r="O9">
        <f>N117</f>
      </c>
      <c r="P9">
        <f>O117</f>
      </c>
      <c r="Q9">
        <f>IF(ROUND(P117,2)&gt;0,MAX(0,ROUND(P117,2)-0.01),0)</f>
      </c>
      <c r="R9">
        <f>ROUND(P117,2)</f>
      </c>
      <c r="S9">
        <f>IF(ROUND(P117,2)&gt;0,ROUND(P117,2)+0.01,0)</f>
      </c>
      <c r="T9">
        <f>IF(ROUND(P117,2)=0,0,IF(R105&lt;=0,ROUND(P117,2),IF(S105&lt;=0,ROUND(P117,2)+0.01,ROUND(P117,2)+0.02)))</f>
      </c>
    </row>
    <row r="10" spans="2:20" x14ac:dyDescent="0.25">
      <c r="B10" t="s">
        <v>340</v>
      </c>
      <c r="C10">
        <f>0</f>
      </c>
      <c r="E10">
        <f>0</f>
      </c>
      <c r="F10">
        <f>E118</f>
      </c>
      <c r="G10">
        <f>F118</f>
      </c>
      <c r="H10">
        <f>G118</f>
      </c>
      <c r="I10">
        <f>H118</f>
      </c>
      <c r="J10">
        <f>I118</f>
      </c>
      <c r="K10">
        <f>J118</f>
      </c>
      <c r="L10">
        <f>K118</f>
      </c>
      <c r="M10">
        <f>L118</f>
      </c>
      <c r="N10">
        <f>M118</f>
      </c>
      <c r="O10">
        <f>N118</f>
      </c>
      <c r="P10">
        <f>O118</f>
      </c>
      <c r="Q10">
        <f>IF(ROUND(P118,2)&gt;0,MAX(0,ROUND(P118,2)-0.01),0)</f>
      </c>
      <c r="R10">
        <f>ROUND(P118,2)</f>
      </c>
      <c r="S10">
        <f>IF(ROUND(P118,2)&gt;0,ROUND(P118,2)+0.01,0)</f>
      </c>
      <c r="T10">
        <f>IF(ROUND(P118,2)=0,0,IF(R27&lt;=0,ROUND(P118,2),IF(S27&lt;=0,ROUND(P118,2)+0.01,ROUND(P118,2)+0.02)))</f>
      </c>
    </row>
    <row r="11" spans="2:20" x14ac:dyDescent="0.25">
      <c r="B11" t="s">
        <v>341</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342</v>
      </c>
      <c r="C12">
        <f>IF(C10&gt;0,ROUND(('Inputs'!$C$134/100*(1+'Inputs'!$C$135/100))*('Workings'!$C$21+C10),2)+'Workings'!$C$31,0)</f>
      </c>
      <c r="E12">
        <f>IF(E10&gt;0,ROUND(('Inputs'!$C$134/100*(1+'Inputs'!$C$135/100))*('Workings'!$C$21+E10),2)+'Workings'!$C$31,0)</f>
      </c>
      <c r="F12">
        <f>IF(F10&gt;0,ROUND(('Inputs'!$C$134/100*(1+'Inputs'!$C$135/100))*('Workings'!$C$21+F10),2)+'Workings'!$C$31,0)</f>
      </c>
      <c r="G12">
        <f>IF(G10&gt;0,ROUND(('Inputs'!$C$134/100*(1+'Inputs'!$C$135/100))*('Workings'!$C$21+G10),2)+'Workings'!$C$31,0)</f>
      </c>
      <c r="H12">
        <f>IF(H10&gt;0,ROUND(('Inputs'!$C$134/100*(1+'Inputs'!$C$135/100))*('Workings'!$C$21+H10),2)+'Workings'!$C$31,0)</f>
      </c>
      <c r="I12">
        <f>IF(I10&gt;0,ROUND(('Inputs'!$C$134/100*(1+'Inputs'!$C$135/100))*('Workings'!$C$21+I10),2)+'Workings'!$C$31,0)</f>
      </c>
      <c r="J12">
        <f>IF(J10&gt;0,ROUND(('Inputs'!$C$134/100*(1+'Inputs'!$C$135/100))*('Workings'!$C$21+J10),2)+'Workings'!$C$31,0)</f>
      </c>
      <c r="K12">
        <f>IF(K10&gt;0,ROUND(('Inputs'!$C$134/100*(1+'Inputs'!$C$135/100))*('Workings'!$C$21+K10),2)+'Workings'!$C$31,0)</f>
      </c>
      <c r="L12">
        <f>IF(L10&gt;0,ROUND(('Inputs'!$C$134/100*(1+'Inputs'!$C$135/100))*('Workings'!$C$21+L10),2)+'Workings'!$C$31,0)</f>
      </c>
      <c r="M12">
        <f>IF(M10&gt;0,ROUND(('Inputs'!$C$134/100*(1+'Inputs'!$C$135/100))*('Workings'!$C$21+M10),2)+'Workings'!$C$31,0)</f>
      </c>
      <c r="N12">
        <f>IF(N10&gt;0,ROUND(('Inputs'!$C$134/100*(1+'Inputs'!$C$135/100))*('Workings'!$C$21+N10),2)+'Workings'!$C$31,0)</f>
      </c>
      <c r="O12">
        <f>IF(O10&gt;0,ROUND(('Inputs'!$C$134/100*(1+'Inputs'!$C$135/100))*('Workings'!$C$21+O10),2)+'Workings'!$C$31,0)</f>
      </c>
      <c r="P12">
        <f>IF(P10&gt;0,ROUND(('Inputs'!$C$134/100*(1+'Inputs'!$C$135/100))*('Workings'!$C$21+P10),2)+'Workings'!$C$31,0)</f>
      </c>
      <c r="Q12">
        <f>IF(Q10&gt;0,ROUND(('Inputs'!$C$134/100*(1+'Inputs'!$C$135/100))*('Workings'!$C$21+Q10),2)+'Workings'!$C$31,0)</f>
      </c>
      <c r="R12">
        <f>IF(R10&gt;0,ROUND(('Inputs'!$C$134/100*(1+'Inputs'!$C$135/100))*('Workings'!$C$21+R10),2)+'Workings'!$C$31,0)</f>
      </c>
      <c r="S12">
        <f>IF(S10&gt;0,ROUND(('Inputs'!$C$134/100*(1+'Inputs'!$C$135/100))*('Workings'!$C$21+S10),2)+'Workings'!$C$31,0)</f>
      </c>
      <c r="T12">
        <f>IF(T10&gt;0,ROUND(('Inputs'!$C$134/100*(1+'Inputs'!$C$135/100))*('Workings'!$C$21+T10),2)+'Workings'!$C$31,0)</f>
      </c>
    </row>
    <row r="13" spans="2:20" x14ac:dyDescent="0.25">
      <c r="B13" t="s">
        <v>343</v>
      </c>
      <c r="C13">
        <f>ROUND('Workings'!$C$35+C10-C12,2)</f>
      </c>
      <c r="E13">
        <f>ROUND('Workings'!$C$35+E10-E12,2)</f>
      </c>
      <c r="F13">
        <f>ROUND('Workings'!$C$35+F10-F12,2)</f>
      </c>
      <c r="G13">
        <f>ROUND('Workings'!$C$35+G10-G12,2)</f>
      </c>
      <c r="H13">
        <f>ROUND('Workings'!$C$35+H10-H12,2)</f>
      </c>
      <c r="I13">
        <f>ROUND('Workings'!$C$35+I10-I12,2)</f>
      </c>
      <c r="J13">
        <f>ROUND('Workings'!$C$35+J10-J12,2)</f>
      </c>
      <c r="K13">
        <f>ROUND('Workings'!$C$35+K10-K12,2)</f>
      </c>
      <c r="L13">
        <f>ROUND('Workings'!$C$35+L10-L12,2)</f>
      </c>
      <c r="M13">
        <f>ROUND('Workings'!$C$35+M10-M12,2)</f>
      </c>
      <c r="N13">
        <f>ROUND('Workings'!$C$35+N10-N12,2)</f>
      </c>
      <c r="O13">
        <f>ROUND('Workings'!$C$35+O10-O12,2)</f>
      </c>
      <c r="P13">
        <f>ROUND('Workings'!$C$35+P10-P12,2)</f>
      </c>
      <c r="Q13">
        <f>ROUND('Workings'!$C$35+Q10-Q12,2)</f>
      </c>
      <c r="R13">
        <f>ROUND('Workings'!$C$35+R10-R12,2)</f>
      </c>
      <c r="S13">
        <f>ROUND('Workings'!$C$35+S10-S12,2)</f>
      </c>
      <c r="T13">
        <f>ROUND('Workings'!$C$35+T10-T12,2)</f>
      </c>
    </row>
    <row r="14" spans="2:20" x14ac:dyDescent="0.25">
      <c r="B14" t="s">
        <v>344</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345</v>
      </c>
      <c r="C15">
        <f>IF(OR(LEFT('Inputs'!$C$13,7)="Married",'Inputs'!$C$13="Life partner",'Inputs'!$C$13="Civil Union"),SUM('Inputs'!$R$22:$R$39)*C14+IF('Inputs'!$C$14="Spouse",MAX(0,C13),0),0)</f>
      </c>
      <c r="E15">
        <f>IF(OR(LEFT('Inputs'!$C$13,7)="Married",'Inputs'!$C$13="Life partner",'Inputs'!$C$13="Civil Union"),SUM('Inputs'!$R$22:$R$39)*E14+IF('Inputs'!$C$14="Spouse",MAX(0,E13),0),0)</f>
      </c>
      <c r="F15">
        <f>IF(OR(LEFT('Inputs'!$C$13,7)="Married",'Inputs'!$C$13="Life partner",'Inputs'!$C$13="Civil Union"),SUM('Inputs'!$R$22:$R$39)*F14+IF('Inputs'!$C$14="Spouse",MAX(0,F13),0),0)</f>
      </c>
      <c r="G15">
        <f>IF(OR(LEFT('Inputs'!$C$13,7)="Married",'Inputs'!$C$13="Life partner",'Inputs'!$C$13="Civil Union"),SUM('Inputs'!$R$22:$R$39)*G14+IF('Inputs'!$C$14="Spouse",MAX(0,G13),0),0)</f>
      </c>
      <c r="H15">
        <f>IF(OR(LEFT('Inputs'!$C$13,7)="Married",'Inputs'!$C$13="Life partner",'Inputs'!$C$13="Civil Union"),SUM('Inputs'!$R$22:$R$39)*H14+IF('Inputs'!$C$14="Spouse",MAX(0,H13),0),0)</f>
      </c>
      <c r="I15">
        <f>IF(OR(LEFT('Inputs'!$C$13,7)="Married",'Inputs'!$C$13="Life partner",'Inputs'!$C$13="Civil Union"),SUM('Inputs'!$R$22:$R$39)*I14+IF('Inputs'!$C$14="Spouse",MAX(0,I13),0),0)</f>
      </c>
      <c r="J15">
        <f>IF(OR(LEFT('Inputs'!$C$13,7)="Married",'Inputs'!$C$13="Life partner",'Inputs'!$C$13="Civil Union"),SUM('Inputs'!$R$22:$R$39)*J14+IF('Inputs'!$C$14="Spouse",MAX(0,J13),0),0)</f>
      </c>
      <c r="K15">
        <f>IF(OR(LEFT('Inputs'!$C$13,7)="Married",'Inputs'!$C$13="Life partner",'Inputs'!$C$13="Civil Union"),SUM('Inputs'!$R$22:$R$39)*K14+IF('Inputs'!$C$14="Spouse",MAX(0,K13),0),0)</f>
      </c>
      <c r="L15">
        <f>IF(OR(LEFT('Inputs'!$C$13,7)="Married",'Inputs'!$C$13="Life partner",'Inputs'!$C$13="Civil Union"),SUM('Inputs'!$R$22:$R$39)*L14+IF('Inputs'!$C$14="Spouse",MAX(0,L13),0),0)</f>
      </c>
      <c r="M15">
        <f>IF(OR(LEFT('Inputs'!$C$13,7)="Married",'Inputs'!$C$13="Life partner",'Inputs'!$C$13="Civil Union"),SUM('Inputs'!$R$22:$R$39)*M14+IF('Inputs'!$C$14="Spouse",MAX(0,M13),0),0)</f>
      </c>
      <c r="N15">
        <f>IF(OR(LEFT('Inputs'!$C$13,7)="Married",'Inputs'!$C$13="Life partner",'Inputs'!$C$13="Civil Union"),SUM('Inputs'!$R$22:$R$39)*N14+IF('Inputs'!$C$14="Spouse",MAX(0,N13),0),0)</f>
      </c>
      <c r="O15">
        <f>IF(OR(LEFT('Inputs'!$C$13,7)="Married",'Inputs'!$C$13="Life partner",'Inputs'!$C$13="Civil Union"),SUM('Inputs'!$R$22:$R$39)*O14+IF('Inputs'!$C$14="Spouse",MAX(0,O13),0),0)</f>
      </c>
      <c r="P15">
        <f>IF(OR(LEFT('Inputs'!$C$13,7)="Married",'Inputs'!$C$13="Life partner",'Inputs'!$C$13="Civil Union"),SUM('Inputs'!$R$22:$R$39)*P14+IF('Inputs'!$C$14="Spouse",MAX(0,P13),0),0)</f>
      </c>
      <c r="Q15">
        <f>IF(OR(LEFT('Inputs'!$C$13,7)="Married",'Inputs'!$C$13="Life partner",'Inputs'!$C$13="Civil Union"),SUM('Inputs'!$R$22:$R$39)*Q14+IF('Inputs'!$C$14="Spouse",MAX(0,Q13),0),0)</f>
      </c>
      <c r="R15">
        <f>IF(OR(LEFT('Inputs'!$C$13,7)="Married",'Inputs'!$C$13="Life partner",'Inputs'!$C$13="Civil Union"),SUM('Inputs'!$R$22:$R$39)*R14+IF('Inputs'!$C$14="Spouse",MAX(0,R13),0),0)</f>
      </c>
      <c r="S15">
        <f>IF(OR(LEFT('Inputs'!$C$13,7)="Married",'Inputs'!$C$13="Life partner",'Inputs'!$C$13="Civil Union"),SUM('Inputs'!$R$22:$R$39)*S14+IF('Inputs'!$C$14="Spouse",MAX(0,S13),0),0)</f>
      </c>
      <c r="T15">
        <f>IF(OR(LEFT('Inputs'!$C$13,7)="Married",'Inputs'!$C$13="Life partner",'Inputs'!$C$13="Civil Union"),SUM('Inputs'!$R$22:$R$39)*T14+IF('Inputs'!$C$14="Spouse",MAX(0,T13),0),0)</f>
      </c>
    </row>
    <row r="16" spans="2:20" x14ac:dyDescent="0.25">
      <c r="B16" t="s">
        <v>346</v>
      </c>
      <c r="C16">
        <f>ROUND('Workings'!$C$38+C11+C10-C12-(C15+'Workings'!$C$37),2)</f>
      </c>
      <c r="E16">
        <f>ROUND('Workings'!$C$38+E11+E10-E12-(E15+'Workings'!$C$37),2)</f>
      </c>
      <c r="F16">
        <f>ROUND('Workings'!$C$38+F11+F10-F12-(F15+'Workings'!$C$37),2)</f>
      </c>
      <c r="G16">
        <f>ROUND('Workings'!$C$38+G11+G10-G12-(G15+'Workings'!$C$37),2)</f>
      </c>
      <c r="H16">
        <f>ROUND('Workings'!$C$38+H11+H10-H12-(H15+'Workings'!$C$37),2)</f>
      </c>
      <c r="I16">
        <f>ROUND('Workings'!$C$38+I11+I10-I12-(I15+'Workings'!$C$37),2)</f>
      </c>
      <c r="J16">
        <f>ROUND('Workings'!$C$38+J11+J10-J12-(J15+'Workings'!$C$37),2)</f>
      </c>
      <c r="K16">
        <f>ROUND('Workings'!$C$38+K11+K10-K12-(K15+'Workings'!$C$37),2)</f>
      </c>
      <c r="L16">
        <f>ROUND('Workings'!$C$38+L11+L10-L12-(L15+'Workings'!$C$37),2)</f>
      </c>
      <c r="M16">
        <f>ROUND('Workings'!$C$38+M11+M10-M12-(M15+'Workings'!$C$37),2)</f>
      </c>
      <c r="N16">
        <f>ROUND('Workings'!$C$38+N11+N10-N12-(N15+'Workings'!$C$37),2)</f>
      </c>
      <c r="O16">
        <f>ROUND('Workings'!$C$38+O11+O10-O12-(O15+'Workings'!$C$37),2)</f>
      </c>
      <c r="P16">
        <f>ROUND('Workings'!$C$38+P11+P10-P12-(P15+'Workings'!$C$37),2)</f>
      </c>
      <c r="Q16">
        <f>ROUND('Workings'!$C$38+Q11+Q10-Q12-(Q15+'Workings'!$C$37),2)</f>
      </c>
      <c r="R16">
        <f>ROUND('Workings'!$C$38+R11+R10-R12-(R15+'Workings'!$C$37),2)</f>
      </c>
      <c r="S16">
        <f>ROUND('Workings'!$C$38+S11+S10-S12-(S15+'Workings'!$C$37),2)</f>
      </c>
      <c r="T16">
        <f>ROUND('Workings'!$C$38+T11+T10-T12-(T15+'Workings'!$C$37),2)</f>
      </c>
    </row>
    <row r="17" spans="2:20" x14ac:dyDescent="0.25">
      <c r="B17" t="s">
        <v>347</v>
      </c>
      <c r="C17">
        <f>ROUND(IF(MAX(0,C16-'Inputs'!$C$141)&lt;='Inputs'!$C$143,MAX(0,C16-'Inputs'!$C$141)*'Inputs'!$C$142/100,'Inputs'!$C$143*'Inputs'!$C$142/100+(MAX(0,C16-'Inputs'!$C$141)-'Inputs'!$C$143)*'Inputs'!$C$144/100),2)</f>
      </c>
      <c r="E17">
        <f>ROUND(IF(MAX(0,E16-'Inputs'!$C$141)&lt;='Inputs'!$C$143,MAX(0,E16-'Inputs'!$C$141)*'Inputs'!$C$142/100,'Inputs'!$C$143*'Inputs'!$C$142/100+(MAX(0,E16-'Inputs'!$C$141)-'Inputs'!$C$143)*'Inputs'!$C$144/100),2)</f>
      </c>
      <c r="F17">
        <f>ROUND(IF(MAX(0,F16-'Inputs'!$C$141)&lt;='Inputs'!$C$143,MAX(0,F16-'Inputs'!$C$141)*'Inputs'!$C$142/100,'Inputs'!$C$143*'Inputs'!$C$142/100+(MAX(0,F16-'Inputs'!$C$141)-'Inputs'!$C$143)*'Inputs'!$C$144/100),2)</f>
      </c>
      <c r="G17">
        <f>ROUND(IF(MAX(0,G16-'Inputs'!$C$141)&lt;='Inputs'!$C$143,MAX(0,G16-'Inputs'!$C$141)*'Inputs'!$C$142/100,'Inputs'!$C$143*'Inputs'!$C$142/100+(MAX(0,G16-'Inputs'!$C$141)-'Inputs'!$C$143)*'Inputs'!$C$144/100),2)</f>
      </c>
      <c r="H17">
        <f>ROUND(IF(MAX(0,H16-'Inputs'!$C$141)&lt;='Inputs'!$C$143,MAX(0,H16-'Inputs'!$C$141)*'Inputs'!$C$142/100,'Inputs'!$C$143*'Inputs'!$C$142/100+(MAX(0,H16-'Inputs'!$C$141)-'Inputs'!$C$143)*'Inputs'!$C$144/100),2)</f>
      </c>
      <c r="I17">
        <f>ROUND(IF(MAX(0,I16-'Inputs'!$C$141)&lt;='Inputs'!$C$143,MAX(0,I16-'Inputs'!$C$141)*'Inputs'!$C$142/100,'Inputs'!$C$143*'Inputs'!$C$142/100+(MAX(0,I16-'Inputs'!$C$141)-'Inputs'!$C$143)*'Inputs'!$C$144/100),2)</f>
      </c>
      <c r="J17">
        <f>ROUND(IF(MAX(0,J16-'Inputs'!$C$141)&lt;='Inputs'!$C$143,MAX(0,J16-'Inputs'!$C$141)*'Inputs'!$C$142/100,'Inputs'!$C$143*'Inputs'!$C$142/100+(MAX(0,J16-'Inputs'!$C$141)-'Inputs'!$C$143)*'Inputs'!$C$144/100),2)</f>
      </c>
      <c r="K17">
        <f>ROUND(IF(MAX(0,K16-'Inputs'!$C$141)&lt;='Inputs'!$C$143,MAX(0,K16-'Inputs'!$C$141)*'Inputs'!$C$142/100,'Inputs'!$C$143*'Inputs'!$C$142/100+(MAX(0,K16-'Inputs'!$C$141)-'Inputs'!$C$143)*'Inputs'!$C$144/100),2)</f>
      </c>
      <c r="L17">
        <f>ROUND(IF(MAX(0,L16-'Inputs'!$C$141)&lt;='Inputs'!$C$143,MAX(0,L16-'Inputs'!$C$141)*'Inputs'!$C$142/100,'Inputs'!$C$143*'Inputs'!$C$142/100+(MAX(0,L16-'Inputs'!$C$141)-'Inputs'!$C$143)*'Inputs'!$C$144/100),2)</f>
      </c>
      <c r="M17">
        <f>ROUND(IF(MAX(0,M16-'Inputs'!$C$141)&lt;='Inputs'!$C$143,MAX(0,M16-'Inputs'!$C$141)*'Inputs'!$C$142/100,'Inputs'!$C$143*'Inputs'!$C$142/100+(MAX(0,M16-'Inputs'!$C$141)-'Inputs'!$C$143)*'Inputs'!$C$144/100),2)</f>
      </c>
      <c r="N17">
        <f>ROUND(IF(MAX(0,N16-'Inputs'!$C$141)&lt;='Inputs'!$C$143,MAX(0,N16-'Inputs'!$C$141)*'Inputs'!$C$142/100,'Inputs'!$C$143*'Inputs'!$C$142/100+(MAX(0,N16-'Inputs'!$C$141)-'Inputs'!$C$143)*'Inputs'!$C$144/100),2)</f>
      </c>
      <c r="O17">
        <f>ROUND(IF(MAX(0,O16-'Inputs'!$C$141)&lt;='Inputs'!$C$143,MAX(0,O16-'Inputs'!$C$141)*'Inputs'!$C$142/100,'Inputs'!$C$143*'Inputs'!$C$142/100+(MAX(0,O16-'Inputs'!$C$141)-'Inputs'!$C$143)*'Inputs'!$C$144/100),2)</f>
      </c>
      <c r="P17">
        <f>ROUND(IF(MAX(0,P16-'Inputs'!$C$141)&lt;='Inputs'!$C$143,MAX(0,P16-'Inputs'!$C$141)*'Inputs'!$C$142/100,'Inputs'!$C$143*'Inputs'!$C$142/100+(MAX(0,P16-'Inputs'!$C$141)-'Inputs'!$C$143)*'Inputs'!$C$144/100),2)</f>
      </c>
      <c r="Q17">
        <f>ROUND(IF(MAX(0,Q16-'Inputs'!$C$141)&lt;='Inputs'!$C$143,MAX(0,Q16-'Inputs'!$C$141)*'Inputs'!$C$142/100,'Inputs'!$C$143*'Inputs'!$C$142/100+(MAX(0,Q16-'Inputs'!$C$141)-'Inputs'!$C$143)*'Inputs'!$C$144/100),2)</f>
      </c>
      <c r="R17">
        <f>ROUND(IF(MAX(0,R16-'Inputs'!$C$141)&lt;='Inputs'!$C$143,MAX(0,R16-'Inputs'!$C$141)*'Inputs'!$C$142/100,'Inputs'!$C$143*'Inputs'!$C$142/100+(MAX(0,R16-'Inputs'!$C$141)-'Inputs'!$C$143)*'Inputs'!$C$144/100),2)</f>
      </c>
      <c r="S17">
        <f>ROUND(IF(MAX(0,S16-'Inputs'!$C$141)&lt;='Inputs'!$C$143,MAX(0,S16-'Inputs'!$C$141)*'Inputs'!$C$142/100,'Inputs'!$C$143*'Inputs'!$C$142/100+(MAX(0,S16-'Inputs'!$C$141)-'Inputs'!$C$143)*'Inputs'!$C$144/100),2)</f>
      </c>
      <c r="T17">
        <f>ROUND(IF(MAX(0,T16-'Inputs'!$C$141)&lt;='Inputs'!$C$143,MAX(0,T16-'Inputs'!$C$141)*'Inputs'!$C$142/100,'Inputs'!$C$143*'Inputs'!$C$142/100+(MAX(0,T16-'Inputs'!$C$141)-'Inputs'!$C$143)*'Inputs'!$C$144/100),2)</f>
      </c>
    </row>
    <row r="18" spans="2:20" x14ac:dyDescent="0.25">
      <c r="B18" t="s">
        <v>348</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349</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350</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351</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352</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353</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354</v>
      </c>
      <c r="C24">
        <f>ROUND('Workings'!$C$65-'Workings'!$C$51+C23+C12,2)</f>
      </c>
      <c r="E24">
        <f>ROUND('Workings'!$C$65-'Workings'!$C$51+E23+E12,2)</f>
      </c>
      <c r="F24">
        <f>ROUND('Workings'!$C$65-'Workings'!$C$51+F23+F12,2)</f>
      </c>
      <c r="G24">
        <f>ROUND('Workings'!$C$65-'Workings'!$C$51+G23+G12,2)</f>
      </c>
      <c r="H24">
        <f>ROUND('Workings'!$C$65-'Workings'!$C$51+H23+H12,2)</f>
      </c>
      <c r="I24">
        <f>ROUND('Workings'!$C$65-'Workings'!$C$51+I23+I12,2)</f>
      </c>
      <c r="J24">
        <f>ROUND('Workings'!$C$65-'Workings'!$C$51+J23+J12,2)</f>
      </c>
      <c r="K24">
        <f>ROUND('Workings'!$C$65-'Workings'!$C$51+K23+K12,2)</f>
      </c>
      <c r="L24">
        <f>ROUND('Workings'!$C$65-'Workings'!$C$51+L23+L12,2)</f>
      </c>
      <c r="M24">
        <f>ROUND('Workings'!$C$65-'Workings'!$C$51+M23+M12,2)</f>
      </c>
      <c r="N24">
        <f>ROUND('Workings'!$C$65-'Workings'!$C$51+N23+N12,2)</f>
      </c>
      <c r="O24">
        <f>ROUND('Workings'!$C$65-'Workings'!$C$51+O23+O12,2)</f>
      </c>
      <c r="P24">
        <f>ROUND('Workings'!$C$65-'Workings'!$C$51+P23+P12,2)</f>
      </c>
      <c r="Q24">
        <f>ROUND('Workings'!$C$65-'Workings'!$C$51+Q23+Q12,2)</f>
      </c>
      <c r="R24">
        <f>ROUND('Workings'!$C$65-'Workings'!$C$51+R23+R12,2)</f>
      </c>
      <c r="S24">
        <f>ROUND('Workings'!$C$65-'Workings'!$C$51+S23+S12,2)</f>
      </c>
      <c r="T24">
        <f>ROUND('Workings'!$C$65-'Workings'!$C$51+T23+T12,2)</f>
      </c>
    </row>
    <row r="25" spans="2:20" x14ac:dyDescent="0.25">
      <c r="B25" t="s">
        <v>355</v>
      </c>
      <c r="C25">
        <f>ROUND('Workings'!$C$73+C10,2)</f>
      </c>
      <c r="E25">
        <f>ROUND('Workings'!$C$73+E10,2)</f>
      </c>
      <c r="F25">
        <f>ROUND('Workings'!$C$73+F10,2)</f>
      </c>
      <c r="G25">
        <f>ROUND('Workings'!$C$73+G10,2)</f>
      </c>
      <c r="H25">
        <f>ROUND('Workings'!$C$73+H10,2)</f>
      </c>
      <c r="I25">
        <f>ROUND('Workings'!$C$73+I10,2)</f>
      </c>
      <c r="J25">
        <f>ROUND('Workings'!$C$73+J10,2)</f>
      </c>
      <c r="K25">
        <f>ROUND('Workings'!$C$73+K10,2)</f>
      </c>
      <c r="L25">
        <f>ROUND('Workings'!$C$73+L10,2)</f>
      </c>
      <c r="M25">
        <f>ROUND('Workings'!$C$73+M10,2)</f>
      </c>
      <c r="N25">
        <f>ROUND('Workings'!$C$73+N10,2)</f>
      </c>
      <c r="O25">
        <f>ROUND('Workings'!$C$73+O10,2)</f>
      </c>
      <c r="P25">
        <f>ROUND('Workings'!$C$73+P10,2)</f>
      </c>
      <c r="Q25">
        <f>ROUND('Workings'!$C$73+Q10,2)</f>
      </c>
      <c r="R25">
        <f>ROUND('Workings'!$C$73+R10,2)</f>
      </c>
      <c r="S25">
        <f>ROUND('Workings'!$C$73+S10,2)</f>
      </c>
      <c r="T25">
        <f>ROUND('Workings'!$C$73+T10,2)</f>
      </c>
    </row>
    <row r="26" spans="2:20" x14ac:dyDescent="0.25">
      <c r="B26" t="s">
        <v>356</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357</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358</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359</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360</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361</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362</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363</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364</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365</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366</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367</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368</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369</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370</v>
      </c>
      <c r="C40">
        <f>IF('Inputs'!$B$100="",0,IF('Inputs'!$U$100=1,0,ROUND(C47+'Inputs'!$O$100*('Inputs'!$U$100*C47+'Inputs'!$U$101*C59+'Inputs'!$U$102*C71+'Inputs'!$U$103*C83+'Inputs'!$U$104*C95+'Inputs'!$U$105*C107),2)))</f>
      </c>
      <c r="E40">
        <f>IF('Inputs'!$B$100="",0,IF('Inputs'!$U$100=1,0,ROUND(E47+'Inputs'!$O$100*('Inputs'!$U$100*E47+'Inputs'!$U$101*E59+'Inputs'!$U$102*E71+'Inputs'!$U$103*E83+'Inputs'!$U$104*E95+'Inputs'!$U$105*E107),2)))</f>
      </c>
      <c r="F40">
        <f>IF('Inputs'!$B$100="",0,IF('Inputs'!$U$100=1,0,ROUND(F47+'Inputs'!$O$100*('Inputs'!$U$100*F47+'Inputs'!$U$101*F59+'Inputs'!$U$102*F71+'Inputs'!$U$103*F83+'Inputs'!$U$104*F95+'Inputs'!$U$105*F107),2)))</f>
      </c>
      <c r="G40">
        <f>IF('Inputs'!$B$100="",0,IF('Inputs'!$U$100=1,0,ROUND(G47+'Inputs'!$O$100*('Inputs'!$U$100*G47+'Inputs'!$U$101*G59+'Inputs'!$U$102*G71+'Inputs'!$U$103*G83+'Inputs'!$U$104*G95+'Inputs'!$U$105*G107),2)))</f>
      </c>
      <c r="H40">
        <f>IF('Inputs'!$B$100="",0,IF('Inputs'!$U$100=1,0,ROUND(H47+'Inputs'!$O$100*('Inputs'!$U$100*H47+'Inputs'!$U$101*H59+'Inputs'!$U$102*H71+'Inputs'!$U$103*H83+'Inputs'!$U$104*H95+'Inputs'!$U$105*H107),2)))</f>
      </c>
      <c r="I40">
        <f>IF('Inputs'!$B$100="",0,IF('Inputs'!$U$100=1,0,ROUND(I47+'Inputs'!$O$100*('Inputs'!$U$100*I47+'Inputs'!$U$101*I59+'Inputs'!$U$102*I71+'Inputs'!$U$103*I83+'Inputs'!$U$104*I95+'Inputs'!$U$105*I107),2)))</f>
      </c>
      <c r="J40">
        <f>IF('Inputs'!$B$100="",0,IF('Inputs'!$U$100=1,0,ROUND(J47+'Inputs'!$O$100*('Inputs'!$U$100*J47+'Inputs'!$U$101*J59+'Inputs'!$U$102*J71+'Inputs'!$U$103*J83+'Inputs'!$U$104*J95+'Inputs'!$U$105*J107),2)))</f>
      </c>
      <c r="K40">
        <f>IF('Inputs'!$B$100="",0,IF('Inputs'!$U$100=1,0,ROUND(K47+'Inputs'!$O$100*('Inputs'!$U$100*K47+'Inputs'!$U$101*K59+'Inputs'!$U$102*K71+'Inputs'!$U$103*K83+'Inputs'!$U$104*K95+'Inputs'!$U$105*K107),2)))</f>
      </c>
      <c r="L40">
        <f>IF('Inputs'!$B$100="",0,IF('Inputs'!$U$100=1,0,ROUND(L47+'Inputs'!$O$100*('Inputs'!$U$100*L47+'Inputs'!$U$101*L59+'Inputs'!$U$102*L71+'Inputs'!$U$103*L83+'Inputs'!$U$104*L95+'Inputs'!$U$105*L107),2)))</f>
      </c>
      <c r="M40">
        <f>IF('Inputs'!$B$100="",0,IF('Inputs'!$U$100=1,0,ROUND(M47+'Inputs'!$O$100*('Inputs'!$U$100*M47+'Inputs'!$U$101*M59+'Inputs'!$U$102*M71+'Inputs'!$U$103*M83+'Inputs'!$U$104*M95+'Inputs'!$U$105*M107),2)))</f>
      </c>
      <c r="N40">
        <f>IF('Inputs'!$B$100="",0,IF('Inputs'!$U$100=1,0,ROUND(N47+'Inputs'!$O$100*('Inputs'!$U$100*N47+'Inputs'!$U$101*N59+'Inputs'!$U$102*N71+'Inputs'!$U$103*N83+'Inputs'!$U$104*N95+'Inputs'!$U$105*N107),2)))</f>
      </c>
      <c r="O40">
        <f>IF('Inputs'!$B$100="",0,IF('Inputs'!$U$100=1,0,ROUND(O47+'Inputs'!$O$100*('Inputs'!$U$100*O47+'Inputs'!$U$101*O59+'Inputs'!$U$102*O71+'Inputs'!$U$103*O83+'Inputs'!$U$104*O95+'Inputs'!$U$105*O107),2)))</f>
      </c>
      <c r="P40">
        <f>IF('Inputs'!$B$100="",0,IF('Inputs'!$U$100=1,0,ROUND(P47+'Inputs'!$O$100*('Inputs'!$U$100*P47+'Inputs'!$U$101*P59+'Inputs'!$U$102*P71+'Inputs'!$U$103*P83+'Inputs'!$U$104*P95+'Inputs'!$U$105*P107),2)))</f>
      </c>
      <c r="Q40">
        <f>IF('Inputs'!$B$100="",0,IF('Inputs'!$U$100=1,0,ROUND(Q47+'Inputs'!$O$100*('Inputs'!$U$100*Q47+'Inputs'!$U$101*Q59+'Inputs'!$U$102*Q71+'Inputs'!$U$103*Q83+'Inputs'!$U$104*Q95+'Inputs'!$U$105*Q107),2)))</f>
      </c>
      <c r="R40">
        <f>IF('Inputs'!$B$100="",0,IF('Inputs'!$U$100=1,0,ROUND(R47+'Inputs'!$O$100*('Inputs'!$U$100*R47+'Inputs'!$U$101*R59+'Inputs'!$U$102*R71+'Inputs'!$U$103*R83+'Inputs'!$U$104*R95+'Inputs'!$U$105*R107),2)))</f>
      </c>
      <c r="S40">
        <f>IF('Inputs'!$B$100="",0,IF('Inputs'!$U$100=1,0,ROUND(S47+'Inputs'!$O$100*('Inputs'!$U$100*S47+'Inputs'!$U$101*S59+'Inputs'!$U$102*S71+'Inputs'!$U$103*S83+'Inputs'!$U$104*S95+'Inputs'!$U$105*S107),2)))</f>
      </c>
      <c r="T40">
        <f>IF('Inputs'!$B$100="",0,IF('Inputs'!$U$100=1,0,ROUND(T47+'Inputs'!$O$100*('Inputs'!$U$100*T47+'Inputs'!$U$101*T59+'Inputs'!$U$102*T71+'Inputs'!$U$103*T83+'Inputs'!$U$104*T95+'Inputs'!$U$105*T107),2)))</f>
      </c>
    </row>
    <row r="41" spans="2:20" x14ac:dyDescent="0.25">
      <c r="B41" t="s">
        <v>371</v>
      </c>
      <c r="C41">
        <f>'Needs years'!$C$5+MAX(0,C40-C48)*('Inputs'!$H$136/100*('Inputs'!$H$139/100+'Inputs'!$C$146/100*'Inputs'!$H$141/100))</f>
      </c>
      <c r="E41">
        <f>'Needs years'!$C$5+MAX(0,E40-E48)*('Inputs'!$H$136/100*('Inputs'!$H$139/100+'Inputs'!$C$146/100*'Inputs'!$H$141/100))</f>
      </c>
      <c r="F41">
        <f>'Needs years'!$C$5+MAX(0,F40-F48)*('Inputs'!$H$136/100*('Inputs'!$H$139/100+'Inputs'!$C$146/100*'Inputs'!$H$141/100))</f>
      </c>
      <c r="G41">
        <f>'Needs years'!$C$5+MAX(0,G40-G48)*('Inputs'!$H$136/100*('Inputs'!$H$139/100+'Inputs'!$C$146/100*'Inputs'!$H$141/100))</f>
      </c>
      <c r="H41">
        <f>'Needs years'!$C$5+MAX(0,H40-H48)*('Inputs'!$H$136/100*('Inputs'!$H$139/100+'Inputs'!$C$146/100*'Inputs'!$H$141/100))</f>
      </c>
      <c r="I41">
        <f>'Needs years'!$C$5+MAX(0,I40-I48)*('Inputs'!$H$136/100*('Inputs'!$H$139/100+'Inputs'!$C$146/100*'Inputs'!$H$141/100))</f>
      </c>
      <c r="J41">
        <f>'Needs years'!$C$5+MAX(0,J40-J48)*('Inputs'!$H$136/100*('Inputs'!$H$139/100+'Inputs'!$C$146/100*'Inputs'!$H$141/100))</f>
      </c>
      <c r="K41">
        <f>'Needs years'!$C$5+MAX(0,K40-K48)*('Inputs'!$H$136/100*('Inputs'!$H$139/100+'Inputs'!$C$146/100*'Inputs'!$H$141/100))</f>
      </c>
      <c r="L41">
        <f>'Needs years'!$C$5+MAX(0,L40-L48)*('Inputs'!$H$136/100*('Inputs'!$H$139/100+'Inputs'!$C$146/100*'Inputs'!$H$141/100))</f>
      </c>
      <c r="M41">
        <f>'Needs years'!$C$5+MAX(0,M40-M48)*('Inputs'!$H$136/100*('Inputs'!$H$139/100+'Inputs'!$C$146/100*'Inputs'!$H$141/100))</f>
      </c>
      <c r="N41">
        <f>'Needs years'!$C$5+MAX(0,N40-N48)*('Inputs'!$H$136/100*('Inputs'!$H$139/100+'Inputs'!$C$146/100*'Inputs'!$H$141/100))</f>
      </c>
      <c r="O41">
        <f>'Needs years'!$C$5+MAX(0,O40-O48)*('Inputs'!$H$136/100*('Inputs'!$H$139/100+'Inputs'!$C$146/100*'Inputs'!$H$141/100))</f>
      </c>
      <c r="P41">
        <f>'Needs years'!$C$5+MAX(0,P40-P48)*('Inputs'!$H$136/100*('Inputs'!$H$139/100+'Inputs'!$C$146/100*'Inputs'!$H$141/100))</f>
      </c>
      <c r="Q41">
        <f>'Needs years'!$C$5+MAX(0,Q40-Q48)*('Inputs'!$H$136/100*('Inputs'!$H$139/100+'Inputs'!$C$146/100*'Inputs'!$H$141/100))</f>
      </c>
      <c r="R41">
        <f>'Needs years'!$C$5+MAX(0,R40-R48)*('Inputs'!$H$136/100*('Inputs'!$H$139/100+'Inputs'!$C$146/100*'Inputs'!$H$141/100))</f>
      </c>
      <c r="S41">
        <f>'Needs years'!$C$5+MAX(0,S40-S48)*('Inputs'!$H$136/100*('Inputs'!$H$139/100+'Inputs'!$C$146/100*'Inputs'!$H$141/100))</f>
      </c>
      <c r="T41">
        <f>'Needs years'!$C$5+MAX(0,T40-T48)*('Inputs'!$H$136/100*('Inputs'!$H$139/100+'Inputs'!$C$146/100*'Inputs'!$H$141/100))</f>
      </c>
    </row>
    <row r="42" spans="2:20" x14ac:dyDescent="0.25">
      <c r="B42" t="s">
        <v>372</v>
      </c>
      <c r="C42">
        <f>IF(C41&lt;='Needs years'!$C$4,0,INDEX('Inputs'!$E$149:$E$155,MATCH(C41,'Inputs'!$C$149:$C$155,1)-IF(COUNTIF('Inputs'!$C$149:$C$155,C41)&gt;0,1,0))/100)</f>
      </c>
      <c r="E42">
        <f>IF(E41&lt;='Needs years'!$C$4,0,INDEX('Inputs'!$E$149:$E$155,MATCH(E41,'Inputs'!$C$149:$C$155,1)-IF(COUNTIF('Inputs'!$C$149:$C$155,E41)&gt;0,1,0))/100)</f>
      </c>
      <c r="F42">
        <f>IF(F41&lt;='Needs years'!$C$4,0,INDEX('Inputs'!$E$149:$E$155,MATCH(F41,'Inputs'!$C$149:$C$155,1)-IF(COUNTIF('Inputs'!$C$149:$C$155,F41)&gt;0,1,0))/100)</f>
      </c>
      <c r="G42">
        <f>IF(G41&lt;='Needs years'!$C$4,0,INDEX('Inputs'!$E$149:$E$155,MATCH(G41,'Inputs'!$C$149:$C$155,1)-IF(COUNTIF('Inputs'!$C$149:$C$155,G41)&gt;0,1,0))/100)</f>
      </c>
      <c r="H42">
        <f>IF(H41&lt;='Needs years'!$C$4,0,INDEX('Inputs'!$E$149:$E$155,MATCH(H41,'Inputs'!$C$149:$C$155,1)-IF(COUNTIF('Inputs'!$C$149:$C$155,H41)&gt;0,1,0))/100)</f>
      </c>
      <c r="I42">
        <f>IF(I41&lt;='Needs years'!$C$4,0,INDEX('Inputs'!$E$149:$E$155,MATCH(I41,'Inputs'!$C$149:$C$155,1)-IF(COUNTIF('Inputs'!$C$149:$C$155,I41)&gt;0,1,0))/100)</f>
      </c>
      <c r="J42">
        <f>IF(J41&lt;='Needs years'!$C$4,0,INDEX('Inputs'!$E$149:$E$155,MATCH(J41,'Inputs'!$C$149:$C$155,1)-IF(COUNTIF('Inputs'!$C$149:$C$155,J41)&gt;0,1,0))/100)</f>
      </c>
      <c r="K42">
        <f>IF(K41&lt;='Needs years'!$C$4,0,INDEX('Inputs'!$E$149:$E$155,MATCH(K41,'Inputs'!$C$149:$C$155,1)-IF(COUNTIF('Inputs'!$C$149:$C$155,K41)&gt;0,1,0))/100)</f>
      </c>
      <c r="L42">
        <f>IF(L41&lt;='Needs years'!$C$4,0,INDEX('Inputs'!$E$149:$E$155,MATCH(L41,'Inputs'!$C$149:$C$155,1)-IF(COUNTIF('Inputs'!$C$149:$C$155,L41)&gt;0,1,0))/100)</f>
      </c>
      <c r="M42">
        <f>IF(M41&lt;='Needs years'!$C$4,0,INDEX('Inputs'!$E$149:$E$155,MATCH(M41,'Inputs'!$C$149:$C$155,1)-IF(COUNTIF('Inputs'!$C$149:$C$155,M41)&gt;0,1,0))/100)</f>
      </c>
      <c r="N42">
        <f>IF(N41&lt;='Needs years'!$C$4,0,INDEX('Inputs'!$E$149:$E$155,MATCH(N41,'Inputs'!$C$149:$C$155,1)-IF(COUNTIF('Inputs'!$C$149:$C$155,N41)&gt;0,1,0))/100)</f>
      </c>
      <c r="O42">
        <f>IF(O41&lt;='Needs years'!$C$4,0,INDEX('Inputs'!$E$149:$E$155,MATCH(O41,'Inputs'!$C$149:$C$155,1)-IF(COUNTIF('Inputs'!$C$149:$C$155,O41)&gt;0,1,0))/100)</f>
      </c>
      <c r="P42">
        <f>IF(P41&lt;='Needs years'!$C$4,0,INDEX('Inputs'!$E$149:$E$155,MATCH(P41,'Inputs'!$C$149:$C$155,1)-IF(COUNTIF('Inputs'!$C$149:$C$155,P41)&gt;0,1,0))/100)</f>
      </c>
      <c r="Q42">
        <f>IF(Q41&lt;='Needs years'!$C$4,0,INDEX('Inputs'!$E$149:$E$155,MATCH(Q41,'Inputs'!$C$149:$C$155,1)-IF(COUNTIF('Inputs'!$C$149:$C$155,Q41)&gt;0,1,0))/100)</f>
      </c>
      <c r="R42">
        <f>IF(R41&lt;='Needs years'!$C$4,0,INDEX('Inputs'!$E$149:$E$155,MATCH(R41,'Inputs'!$C$149:$C$155,1)-IF(COUNTIF('Inputs'!$C$149:$C$155,R41)&gt;0,1,0))/100)</f>
      </c>
      <c r="S42">
        <f>IF(S41&lt;='Needs years'!$C$4,0,INDEX('Inputs'!$E$149:$E$155,MATCH(S41,'Inputs'!$C$149:$C$155,1)-IF(COUNTIF('Inputs'!$C$149:$C$155,S41)&gt;0,1,0))/100)</f>
      </c>
      <c r="T42">
        <f>IF(T41&lt;='Needs years'!$C$4,0,INDEX('Inputs'!$E$149:$E$155,MATCH(T41,'Inputs'!$C$149:$C$155,1)-IF(COUNTIF('Inputs'!$C$149:$C$155,T41)&gt;0,1,0))/100)</f>
      </c>
    </row>
    <row r="43" spans="2:20" x14ac:dyDescent="0.25">
      <c r="B43" t="s">
        <v>373</v>
      </c>
      <c r="C43">
        <f>('Inputs'!$H$136/100*(1-('Inputs'!$H$139/100*C42+'Inputs'!$H$140/100*'Inputs'!$H$142/100+'Inputs'!$H$141/100*'Inputs'!$C$146/100*C42))-IF('Needs years'!$C$9=1,'Inputs'!$H$137/100,0))</f>
      </c>
      <c r="E43">
        <f>('Inputs'!$H$136/100*(1-('Inputs'!$H$139/100*E42+'Inputs'!$H$140/100*'Inputs'!$H$142/100+'Inputs'!$H$141/100*'Inputs'!$C$146/100*E42))-IF('Needs years'!$C$9=1,'Inputs'!$H$137/100,0))</f>
      </c>
      <c r="F43">
        <f>('Inputs'!$H$136/100*(1-('Inputs'!$H$139/100*F42+'Inputs'!$H$140/100*'Inputs'!$H$142/100+'Inputs'!$H$141/100*'Inputs'!$C$146/100*F42))-IF('Needs years'!$C$9=1,'Inputs'!$H$137/100,0))</f>
      </c>
      <c r="G43">
        <f>('Inputs'!$H$136/100*(1-('Inputs'!$H$139/100*G42+'Inputs'!$H$140/100*'Inputs'!$H$142/100+'Inputs'!$H$141/100*'Inputs'!$C$146/100*G42))-IF('Needs years'!$C$9=1,'Inputs'!$H$137/100,0))</f>
      </c>
      <c r="H43">
        <f>('Inputs'!$H$136/100*(1-('Inputs'!$H$139/100*H42+'Inputs'!$H$140/100*'Inputs'!$H$142/100+'Inputs'!$H$141/100*'Inputs'!$C$146/100*H42))-IF('Needs years'!$C$9=1,'Inputs'!$H$137/100,0))</f>
      </c>
      <c r="I43">
        <f>('Inputs'!$H$136/100*(1-('Inputs'!$H$139/100*I42+'Inputs'!$H$140/100*'Inputs'!$H$142/100+'Inputs'!$H$141/100*'Inputs'!$C$146/100*I42))-IF('Needs years'!$C$9=1,'Inputs'!$H$137/100,0))</f>
      </c>
      <c r="J43">
        <f>('Inputs'!$H$136/100*(1-('Inputs'!$H$139/100*J42+'Inputs'!$H$140/100*'Inputs'!$H$142/100+'Inputs'!$H$141/100*'Inputs'!$C$146/100*J42))-IF('Needs years'!$C$9=1,'Inputs'!$H$137/100,0))</f>
      </c>
      <c r="K43">
        <f>('Inputs'!$H$136/100*(1-('Inputs'!$H$139/100*K42+'Inputs'!$H$140/100*'Inputs'!$H$142/100+'Inputs'!$H$141/100*'Inputs'!$C$146/100*K42))-IF('Needs years'!$C$9=1,'Inputs'!$H$137/100,0))</f>
      </c>
      <c r="L43">
        <f>('Inputs'!$H$136/100*(1-('Inputs'!$H$139/100*L42+'Inputs'!$H$140/100*'Inputs'!$H$142/100+'Inputs'!$H$141/100*'Inputs'!$C$146/100*L42))-IF('Needs years'!$C$9=1,'Inputs'!$H$137/100,0))</f>
      </c>
      <c r="M43">
        <f>('Inputs'!$H$136/100*(1-('Inputs'!$H$139/100*M42+'Inputs'!$H$140/100*'Inputs'!$H$142/100+'Inputs'!$H$141/100*'Inputs'!$C$146/100*M42))-IF('Needs years'!$C$9=1,'Inputs'!$H$137/100,0))</f>
      </c>
      <c r="N43">
        <f>('Inputs'!$H$136/100*(1-('Inputs'!$H$139/100*N42+'Inputs'!$H$140/100*'Inputs'!$H$142/100+'Inputs'!$H$141/100*'Inputs'!$C$146/100*N42))-IF('Needs years'!$C$9=1,'Inputs'!$H$137/100,0))</f>
      </c>
      <c r="O43">
        <f>('Inputs'!$H$136/100*(1-('Inputs'!$H$139/100*O42+'Inputs'!$H$140/100*'Inputs'!$H$142/100+'Inputs'!$H$141/100*'Inputs'!$C$146/100*O42))-IF('Needs years'!$C$9=1,'Inputs'!$H$137/100,0))</f>
      </c>
      <c r="P43">
        <f>('Inputs'!$H$136/100*(1-('Inputs'!$H$139/100*P42+'Inputs'!$H$140/100*'Inputs'!$H$142/100+'Inputs'!$H$141/100*'Inputs'!$C$146/100*P42))-IF('Needs years'!$C$9=1,'Inputs'!$H$137/100,0))</f>
      </c>
      <c r="Q43">
        <f>('Inputs'!$H$136/100*(1-('Inputs'!$H$139/100*Q42+'Inputs'!$H$140/100*'Inputs'!$H$142/100+'Inputs'!$H$141/100*'Inputs'!$C$146/100*Q42))-IF('Needs years'!$C$9=1,'Inputs'!$H$137/100,0))</f>
      </c>
      <c r="R43">
        <f>('Inputs'!$H$136/100*(1-('Inputs'!$H$139/100*R42+'Inputs'!$H$140/100*'Inputs'!$H$142/100+'Inputs'!$H$141/100*'Inputs'!$C$146/100*R42))-IF('Needs years'!$C$9=1,'Inputs'!$H$137/100,0))</f>
      </c>
      <c r="S43">
        <f>('Inputs'!$H$136/100*(1-('Inputs'!$H$139/100*S42+'Inputs'!$H$140/100*'Inputs'!$H$142/100+'Inputs'!$H$141/100*'Inputs'!$C$146/100*S42))-IF('Needs years'!$C$9=1,'Inputs'!$H$137/100,0))</f>
      </c>
      <c r="T43">
        <f>('Inputs'!$H$136/100*(1-('Inputs'!$H$139/100*T42+'Inputs'!$H$140/100*'Inputs'!$H$142/100+'Inputs'!$H$141/100*'Inputs'!$C$146/100*T42))-IF('Needs years'!$C$9=1,'Inputs'!$H$137/100,0))</f>
      </c>
    </row>
    <row r="44" spans="2:20" x14ac:dyDescent="0.25">
      <c r="B44" t="s">
        <v>374</v>
      </c>
      <c r="C44">
        <f>IF('Inputs'!$B$100="",0,IF('Inputs'!$U$100=1,0,ROUND(C50+'Inputs'!$O$100*('Inputs'!$U$100*C50+'Inputs'!$U$101*C62+'Inputs'!$U$102*C74+'Inputs'!$U$103*C86+'Inputs'!$U$104*C98+'Inputs'!$U$105*C110)+'Inputs'!$O$100*IF(AND('Inputs'!$C$108="The spouse, from what they receive",SUM('Inputs'!$O$100:$O$105)&gt;0,OR(LEFT('Inputs'!$C$13,7)="Married",'Inputs'!$C$13="Life partner",'Inputs'!$C$13="Civil Union")),1,0)*MAX(0,C27),2)))</f>
      </c>
      <c r="E44">
        <f>IF('Inputs'!$B$100="",0,IF('Inputs'!$U$100=1,0,ROUND(E50+'Inputs'!$O$100*('Inputs'!$U$100*E50+'Inputs'!$U$101*E62+'Inputs'!$U$102*E74+'Inputs'!$U$103*E86+'Inputs'!$U$104*E98+'Inputs'!$U$105*E110)+'Inputs'!$O$100*IF(AND('Inputs'!$C$108="The spouse, from what they receive",SUM('Inputs'!$O$100:$O$105)&gt;0,OR(LEFT('Inputs'!$C$13,7)="Married",'Inputs'!$C$13="Life partner",'Inputs'!$C$13="Civil Union")),1,0)*MAX(0,E27),2)))</f>
      </c>
      <c r="F44">
        <f>IF('Inputs'!$B$100="",0,IF('Inputs'!$U$100=1,0,ROUND(F50+'Inputs'!$O$100*('Inputs'!$U$100*F50+'Inputs'!$U$101*F62+'Inputs'!$U$102*F74+'Inputs'!$U$103*F86+'Inputs'!$U$104*F98+'Inputs'!$U$105*F110)+'Inputs'!$O$100*IF(AND('Inputs'!$C$108="The spouse, from what they receive",SUM('Inputs'!$O$100:$O$105)&gt;0,OR(LEFT('Inputs'!$C$13,7)="Married",'Inputs'!$C$13="Life partner",'Inputs'!$C$13="Civil Union")),1,0)*MAX(0,F27),2)))</f>
      </c>
      <c r="G44">
        <f>IF('Inputs'!$B$100="",0,IF('Inputs'!$U$100=1,0,ROUND(G50+'Inputs'!$O$100*('Inputs'!$U$100*G50+'Inputs'!$U$101*G62+'Inputs'!$U$102*G74+'Inputs'!$U$103*G86+'Inputs'!$U$104*G98+'Inputs'!$U$105*G110)+'Inputs'!$O$100*IF(AND('Inputs'!$C$108="The spouse, from what they receive",SUM('Inputs'!$O$100:$O$105)&gt;0,OR(LEFT('Inputs'!$C$13,7)="Married",'Inputs'!$C$13="Life partner",'Inputs'!$C$13="Civil Union")),1,0)*MAX(0,G27),2)))</f>
      </c>
      <c r="H44">
        <f>IF('Inputs'!$B$100="",0,IF('Inputs'!$U$100=1,0,ROUND(H50+'Inputs'!$O$100*('Inputs'!$U$100*H50+'Inputs'!$U$101*H62+'Inputs'!$U$102*H74+'Inputs'!$U$103*H86+'Inputs'!$U$104*H98+'Inputs'!$U$105*H110)+'Inputs'!$O$100*IF(AND('Inputs'!$C$108="The spouse, from what they receive",SUM('Inputs'!$O$100:$O$105)&gt;0,OR(LEFT('Inputs'!$C$13,7)="Married",'Inputs'!$C$13="Life partner",'Inputs'!$C$13="Civil Union")),1,0)*MAX(0,H27),2)))</f>
      </c>
      <c r="I44">
        <f>IF('Inputs'!$B$100="",0,IF('Inputs'!$U$100=1,0,ROUND(I50+'Inputs'!$O$100*('Inputs'!$U$100*I50+'Inputs'!$U$101*I62+'Inputs'!$U$102*I74+'Inputs'!$U$103*I86+'Inputs'!$U$104*I98+'Inputs'!$U$105*I110)+'Inputs'!$O$100*IF(AND('Inputs'!$C$108="The spouse, from what they receive",SUM('Inputs'!$O$100:$O$105)&gt;0,OR(LEFT('Inputs'!$C$13,7)="Married",'Inputs'!$C$13="Life partner",'Inputs'!$C$13="Civil Union")),1,0)*MAX(0,I27),2)))</f>
      </c>
      <c r="J44">
        <f>IF('Inputs'!$B$100="",0,IF('Inputs'!$U$100=1,0,ROUND(J50+'Inputs'!$O$100*('Inputs'!$U$100*J50+'Inputs'!$U$101*J62+'Inputs'!$U$102*J74+'Inputs'!$U$103*J86+'Inputs'!$U$104*J98+'Inputs'!$U$105*J110)+'Inputs'!$O$100*IF(AND('Inputs'!$C$108="The spouse, from what they receive",SUM('Inputs'!$O$100:$O$105)&gt;0,OR(LEFT('Inputs'!$C$13,7)="Married",'Inputs'!$C$13="Life partner",'Inputs'!$C$13="Civil Union")),1,0)*MAX(0,J27),2)))</f>
      </c>
      <c r="K44">
        <f>IF('Inputs'!$B$100="",0,IF('Inputs'!$U$100=1,0,ROUND(K50+'Inputs'!$O$100*('Inputs'!$U$100*K50+'Inputs'!$U$101*K62+'Inputs'!$U$102*K74+'Inputs'!$U$103*K86+'Inputs'!$U$104*K98+'Inputs'!$U$105*K110)+'Inputs'!$O$100*IF(AND('Inputs'!$C$108="The spouse, from what they receive",SUM('Inputs'!$O$100:$O$105)&gt;0,OR(LEFT('Inputs'!$C$13,7)="Married",'Inputs'!$C$13="Life partner",'Inputs'!$C$13="Civil Union")),1,0)*MAX(0,K27),2)))</f>
      </c>
      <c r="L44">
        <f>IF('Inputs'!$B$100="",0,IF('Inputs'!$U$100=1,0,ROUND(L50+'Inputs'!$O$100*('Inputs'!$U$100*L50+'Inputs'!$U$101*L62+'Inputs'!$U$102*L74+'Inputs'!$U$103*L86+'Inputs'!$U$104*L98+'Inputs'!$U$105*L110)+'Inputs'!$O$100*IF(AND('Inputs'!$C$108="The spouse, from what they receive",SUM('Inputs'!$O$100:$O$105)&gt;0,OR(LEFT('Inputs'!$C$13,7)="Married",'Inputs'!$C$13="Life partner",'Inputs'!$C$13="Civil Union")),1,0)*MAX(0,L27),2)))</f>
      </c>
      <c r="M44">
        <f>IF('Inputs'!$B$100="",0,IF('Inputs'!$U$100=1,0,ROUND(M50+'Inputs'!$O$100*('Inputs'!$U$100*M50+'Inputs'!$U$101*M62+'Inputs'!$U$102*M74+'Inputs'!$U$103*M86+'Inputs'!$U$104*M98+'Inputs'!$U$105*M110)+'Inputs'!$O$100*IF(AND('Inputs'!$C$108="The spouse, from what they receive",SUM('Inputs'!$O$100:$O$105)&gt;0,OR(LEFT('Inputs'!$C$13,7)="Married",'Inputs'!$C$13="Life partner",'Inputs'!$C$13="Civil Union")),1,0)*MAX(0,M27),2)))</f>
      </c>
      <c r="N44">
        <f>IF('Inputs'!$B$100="",0,IF('Inputs'!$U$100=1,0,ROUND(N50+'Inputs'!$O$100*('Inputs'!$U$100*N50+'Inputs'!$U$101*N62+'Inputs'!$U$102*N74+'Inputs'!$U$103*N86+'Inputs'!$U$104*N98+'Inputs'!$U$105*N110)+'Inputs'!$O$100*IF(AND('Inputs'!$C$108="The spouse, from what they receive",SUM('Inputs'!$O$100:$O$105)&gt;0,OR(LEFT('Inputs'!$C$13,7)="Married",'Inputs'!$C$13="Life partner",'Inputs'!$C$13="Civil Union")),1,0)*MAX(0,N27),2)))</f>
      </c>
      <c r="O44">
        <f>IF('Inputs'!$B$100="",0,IF('Inputs'!$U$100=1,0,ROUND(O50+'Inputs'!$O$100*('Inputs'!$U$100*O50+'Inputs'!$U$101*O62+'Inputs'!$U$102*O74+'Inputs'!$U$103*O86+'Inputs'!$U$104*O98+'Inputs'!$U$105*O110)+'Inputs'!$O$100*IF(AND('Inputs'!$C$108="The spouse, from what they receive",SUM('Inputs'!$O$100:$O$105)&gt;0,OR(LEFT('Inputs'!$C$13,7)="Married",'Inputs'!$C$13="Life partner",'Inputs'!$C$13="Civil Union")),1,0)*MAX(0,O27),2)))</f>
      </c>
      <c r="P44">
        <f>IF('Inputs'!$B$100="",0,IF('Inputs'!$U$100=1,0,ROUND(P50+'Inputs'!$O$100*('Inputs'!$U$100*P50+'Inputs'!$U$101*P62+'Inputs'!$U$102*P74+'Inputs'!$U$103*P86+'Inputs'!$U$104*P98+'Inputs'!$U$105*P110)+'Inputs'!$O$100*IF(AND('Inputs'!$C$108="The spouse, from what they receive",SUM('Inputs'!$O$100:$O$105)&gt;0,OR(LEFT('Inputs'!$C$13,7)="Married",'Inputs'!$C$13="Life partner",'Inputs'!$C$13="Civil Union")),1,0)*MAX(0,P27),2)))</f>
      </c>
      <c r="Q44">
        <f>IF('Inputs'!$B$100="",0,IF('Inputs'!$U$100=1,0,ROUND(Q50+'Inputs'!$O$100*('Inputs'!$U$100*Q50+'Inputs'!$U$101*Q62+'Inputs'!$U$102*Q74+'Inputs'!$U$103*Q86+'Inputs'!$U$104*Q98+'Inputs'!$U$105*Q110)+'Inputs'!$O$100*IF(AND('Inputs'!$C$108="The spouse, from what they receive",SUM('Inputs'!$O$100:$O$105)&gt;0,OR(LEFT('Inputs'!$C$13,7)="Married",'Inputs'!$C$13="Life partner",'Inputs'!$C$13="Civil Union")),1,0)*MAX(0,Q27),2)))</f>
      </c>
      <c r="R44">
        <f>IF('Inputs'!$B$100="",0,IF('Inputs'!$U$100=1,0,ROUND(R50+'Inputs'!$O$100*('Inputs'!$U$100*R50+'Inputs'!$U$101*R62+'Inputs'!$U$102*R74+'Inputs'!$U$103*R86+'Inputs'!$U$104*R98+'Inputs'!$U$105*R110)+'Inputs'!$O$100*IF(AND('Inputs'!$C$108="The spouse, from what they receive",SUM('Inputs'!$O$100:$O$105)&gt;0,OR(LEFT('Inputs'!$C$13,7)="Married",'Inputs'!$C$13="Life partner",'Inputs'!$C$13="Civil Union")),1,0)*MAX(0,R27),2)))</f>
      </c>
      <c r="S44">
        <f>IF('Inputs'!$B$100="",0,IF('Inputs'!$U$100=1,0,ROUND(S50+'Inputs'!$O$100*('Inputs'!$U$100*S50+'Inputs'!$U$101*S62+'Inputs'!$U$102*S74+'Inputs'!$U$103*S86+'Inputs'!$U$104*S98+'Inputs'!$U$105*S110)+'Inputs'!$O$100*IF(AND('Inputs'!$C$108="The spouse, from what they receive",SUM('Inputs'!$O$100:$O$105)&gt;0,OR(LEFT('Inputs'!$C$13,7)="Married",'Inputs'!$C$13="Life partner",'Inputs'!$C$13="Civil Union")),1,0)*MAX(0,S27),2)))</f>
      </c>
      <c r="T44">
        <f>IF('Inputs'!$B$100="",0,IF('Inputs'!$U$100=1,0,ROUND(T50+'Inputs'!$O$100*('Inputs'!$U$100*T50+'Inputs'!$U$101*T62+'Inputs'!$U$102*T74+'Inputs'!$U$103*T86+'Inputs'!$U$104*T98+'Inputs'!$U$105*T110)+'Inputs'!$O$100*IF(AND('Inputs'!$C$108="The spouse, from what they receive",SUM('Inputs'!$O$100:$O$105)&gt;0,OR(LEFT('Inputs'!$C$13,7)="Married",'Inputs'!$C$13="Life partner",'Inputs'!$C$13="Civil Union")),1,0)*MAX(0,T27),2)))</f>
      </c>
    </row>
    <row r="45" spans="2:20" x14ac:dyDescent="0.25">
      <c r="B45" t="s">
        <v>375</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376</v>
      </c>
      <c r="C46">
        <f>IF('Inputs'!$B$100="",0,'Needs years'!$C$16+IF('Inputs'!$U$100=1,('Inputs'!$O$100*C51+'Inputs'!$O$101*C63+'Inputs'!$O$102*C75+'Inputs'!$O$103*C87+'Inputs'!$O$104*C99+'Inputs'!$O$105*C111),C51)*'Needs years'!$J$4/12)</f>
      </c>
      <c r="E46">
        <f>IF('Inputs'!$B$100="",0,'Needs years'!$C$16+IF('Inputs'!$U$100=1,('Inputs'!$O$100*E51+'Inputs'!$O$101*E63+'Inputs'!$O$102*E75+'Inputs'!$O$103*E87+'Inputs'!$O$104*E99+'Inputs'!$O$105*E111),E51)*'Needs years'!$J$4/12)</f>
      </c>
      <c r="F46">
        <f>IF('Inputs'!$B$100="",0,'Needs years'!$C$16+IF('Inputs'!$U$100=1,('Inputs'!$O$100*F51+'Inputs'!$O$101*F63+'Inputs'!$O$102*F75+'Inputs'!$O$103*F87+'Inputs'!$O$104*F99+'Inputs'!$O$105*F111),F51)*'Needs years'!$J$4/12)</f>
      </c>
      <c r="G46">
        <f>IF('Inputs'!$B$100="",0,'Needs years'!$C$16+IF('Inputs'!$U$100=1,('Inputs'!$O$100*G51+'Inputs'!$O$101*G63+'Inputs'!$O$102*G75+'Inputs'!$O$103*G87+'Inputs'!$O$104*G99+'Inputs'!$O$105*G111),G51)*'Needs years'!$J$4/12)</f>
      </c>
      <c r="H46">
        <f>IF('Inputs'!$B$100="",0,'Needs years'!$C$16+IF('Inputs'!$U$100=1,('Inputs'!$O$100*H51+'Inputs'!$O$101*H63+'Inputs'!$O$102*H75+'Inputs'!$O$103*H87+'Inputs'!$O$104*H99+'Inputs'!$O$105*H111),H51)*'Needs years'!$J$4/12)</f>
      </c>
      <c r="I46">
        <f>IF('Inputs'!$B$100="",0,'Needs years'!$C$16+IF('Inputs'!$U$100=1,('Inputs'!$O$100*I51+'Inputs'!$O$101*I63+'Inputs'!$O$102*I75+'Inputs'!$O$103*I87+'Inputs'!$O$104*I99+'Inputs'!$O$105*I111),I51)*'Needs years'!$J$4/12)</f>
      </c>
      <c r="J46">
        <f>IF('Inputs'!$B$100="",0,'Needs years'!$C$16+IF('Inputs'!$U$100=1,('Inputs'!$O$100*J51+'Inputs'!$O$101*J63+'Inputs'!$O$102*J75+'Inputs'!$O$103*J87+'Inputs'!$O$104*J99+'Inputs'!$O$105*J111),J51)*'Needs years'!$J$4/12)</f>
      </c>
      <c r="K46">
        <f>IF('Inputs'!$B$100="",0,'Needs years'!$C$16+IF('Inputs'!$U$100=1,('Inputs'!$O$100*K51+'Inputs'!$O$101*K63+'Inputs'!$O$102*K75+'Inputs'!$O$103*K87+'Inputs'!$O$104*K99+'Inputs'!$O$105*K111),K51)*'Needs years'!$J$4/12)</f>
      </c>
      <c r="L46">
        <f>IF('Inputs'!$B$100="",0,'Needs years'!$C$16+IF('Inputs'!$U$100=1,('Inputs'!$O$100*L51+'Inputs'!$O$101*L63+'Inputs'!$O$102*L75+'Inputs'!$O$103*L87+'Inputs'!$O$104*L99+'Inputs'!$O$105*L111),L51)*'Needs years'!$J$4/12)</f>
      </c>
      <c r="M46">
        <f>IF('Inputs'!$B$100="",0,'Needs years'!$C$16+IF('Inputs'!$U$100=1,('Inputs'!$O$100*M51+'Inputs'!$O$101*M63+'Inputs'!$O$102*M75+'Inputs'!$O$103*M87+'Inputs'!$O$104*M99+'Inputs'!$O$105*M111),M51)*'Needs years'!$J$4/12)</f>
      </c>
      <c r="N46">
        <f>IF('Inputs'!$B$100="",0,'Needs years'!$C$16+IF('Inputs'!$U$100=1,('Inputs'!$O$100*N51+'Inputs'!$O$101*N63+'Inputs'!$O$102*N75+'Inputs'!$O$103*N87+'Inputs'!$O$104*N99+'Inputs'!$O$105*N111),N51)*'Needs years'!$J$4/12)</f>
      </c>
      <c r="O46">
        <f>IF('Inputs'!$B$100="",0,'Needs years'!$C$16+IF('Inputs'!$U$100=1,('Inputs'!$O$100*O51+'Inputs'!$O$101*O63+'Inputs'!$O$102*O75+'Inputs'!$O$103*O87+'Inputs'!$O$104*O99+'Inputs'!$O$105*O111),O51)*'Needs years'!$J$4/12)</f>
      </c>
      <c r="P46">
        <f>IF('Inputs'!$B$100="",0,'Needs years'!$C$16+IF('Inputs'!$U$100=1,('Inputs'!$O$100*P51+'Inputs'!$O$101*P63+'Inputs'!$O$102*P75+'Inputs'!$O$103*P87+'Inputs'!$O$104*P99+'Inputs'!$O$105*P111),P51)*'Needs years'!$J$4/12)</f>
      </c>
      <c r="Q46">
        <f>IF('Inputs'!$B$100="",0,'Needs years'!$C$16+IF('Inputs'!$U$100=1,('Inputs'!$O$100*Q51+'Inputs'!$O$101*Q63+'Inputs'!$O$102*Q75+'Inputs'!$O$103*Q87+'Inputs'!$O$104*Q99+'Inputs'!$O$105*Q111),Q51)*'Needs years'!$J$4/12)</f>
      </c>
      <c r="R46">
        <f>IF('Inputs'!$B$100="",0,'Needs years'!$C$16+IF('Inputs'!$U$100=1,('Inputs'!$O$100*R51+'Inputs'!$O$101*R63+'Inputs'!$O$102*R75+'Inputs'!$O$103*R87+'Inputs'!$O$104*R99+'Inputs'!$O$105*R111),R51)*'Needs years'!$J$4/12)</f>
      </c>
      <c r="S46">
        <f>IF('Inputs'!$B$100="",0,'Needs years'!$C$16+IF('Inputs'!$U$100=1,('Inputs'!$O$100*S51+'Inputs'!$O$101*S63+'Inputs'!$O$102*S75+'Inputs'!$O$103*S87+'Inputs'!$O$104*S99+'Inputs'!$O$105*S111),S51)*'Needs years'!$J$4/12)</f>
      </c>
      <c r="T46">
        <f>IF('Inputs'!$B$100="",0,'Needs years'!$C$16+IF('Inputs'!$U$100=1,('Inputs'!$O$100*T51+'Inputs'!$O$101*T63+'Inputs'!$O$102*T75+'Inputs'!$O$103*T87+'Inputs'!$O$104*T99+'Inputs'!$O$105*T111),T51)*'Needs years'!$J$4/12)</f>
      </c>
    </row>
    <row r="47" spans="2:20" x14ac:dyDescent="0.25">
      <c r="B47" t="s">
        <v>377</v>
      </c>
      <c r="C47">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7">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7">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7">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7">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7">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7">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7">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7">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7">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7">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7">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7">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7">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7">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7">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7">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8" spans="2:20" x14ac:dyDescent="0.25">
      <c r="B48" t="s">
        <v>378</v>
      </c>
      <c r="C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Union")),1,0)*MAX(0,C27))</f>
      </c>
      <c r="E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Union")),1,0)*MAX(0,E27))</f>
      </c>
      <c r="F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Union")),1,0)*MAX(0,F27))</f>
      </c>
      <c r="G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Union")),1,0)*MAX(0,G27))</f>
      </c>
      <c r="H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Union")),1,0)*MAX(0,H27))</f>
      </c>
      <c r="I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Union")),1,0)*MAX(0,I27))</f>
      </c>
      <c r="J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Union")),1,0)*MAX(0,J27))</f>
      </c>
      <c r="K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Union")),1,0)*MAX(0,K27))</f>
      </c>
      <c r="L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Union")),1,0)*MAX(0,L27))</f>
      </c>
      <c r="M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Union")),1,0)*MAX(0,M27))</f>
      </c>
      <c r="N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Union")),1,0)*MAX(0,N27))</f>
      </c>
      <c r="O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Union")),1,0)*MAX(0,O27))</f>
      </c>
      <c r="P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Union")),1,0)*MAX(0,P27))</f>
      </c>
      <c r="Q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Union")),1,0)*MAX(0,Q27))</f>
      </c>
      <c r="R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Union")),1,0)*MAX(0,R27))</f>
      </c>
      <c r="S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Union")),1,0)*MAX(0,S27))</f>
      </c>
      <c r="T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Union")),1,0)*MAX(0,T27))</f>
      </c>
    </row>
    <row r="49" spans="2:20" x14ac:dyDescent="0.25">
      <c r="B49" t="s">
        <v>379</v>
      </c>
      <c r="C49">
        <f>IF('Inputs'!$U$100=1,('Inputs'!$O$100*C43+'Inputs'!$O$101*C55+'Inputs'!$O$102*C67+'Inputs'!$O$103*C79+'Inputs'!$O$104*C91+'Inputs'!$O$105*C103),C43)</f>
      </c>
      <c r="E49">
        <f>IF('Inputs'!$U$100=1,('Inputs'!$O$100*E43+'Inputs'!$O$101*E55+'Inputs'!$O$102*E67+'Inputs'!$O$103*E79+'Inputs'!$O$104*E91+'Inputs'!$O$105*E103),E43)</f>
      </c>
      <c r="F49">
        <f>IF('Inputs'!$U$100=1,('Inputs'!$O$100*F43+'Inputs'!$O$101*F55+'Inputs'!$O$102*F67+'Inputs'!$O$103*F79+'Inputs'!$O$104*F91+'Inputs'!$O$105*F103),F43)</f>
      </c>
      <c r="G49">
        <f>IF('Inputs'!$U$100=1,('Inputs'!$O$100*G43+'Inputs'!$O$101*G55+'Inputs'!$O$102*G67+'Inputs'!$O$103*G79+'Inputs'!$O$104*G91+'Inputs'!$O$105*G103),G43)</f>
      </c>
      <c r="H49">
        <f>IF('Inputs'!$U$100=1,('Inputs'!$O$100*H43+'Inputs'!$O$101*H55+'Inputs'!$O$102*H67+'Inputs'!$O$103*H79+'Inputs'!$O$104*H91+'Inputs'!$O$105*H103),H43)</f>
      </c>
      <c r="I49">
        <f>IF('Inputs'!$U$100=1,('Inputs'!$O$100*I43+'Inputs'!$O$101*I55+'Inputs'!$O$102*I67+'Inputs'!$O$103*I79+'Inputs'!$O$104*I91+'Inputs'!$O$105*I103),I43)</f>
      </c>
      <c r="J49">
        <f>IF('Inputs'!$U$100=1,('Inputs'!$O$100*J43+'Inputs'!$O$101*J55+'Inputs'!$O$102*J67+'Inputs'!$O$103*J79+'Inputs'!$O$104*J91+'Inputs'!$O$105*J103),J43)</f>
      </c>
      <c r="K49">
        <f>IF('Inputs'!$U$100=1,('Inputs'!$O$100*K43+'Inputs'!$O$101*K55+'Inputs'!$O$102*K67+'Inputs'!$O$103*K79+'Inputs'!$O$104*K91+'Inputs'!$O$105*K103),K43)</f>
      </c>
      <c r="L49">
        <f>IF('Inputs'!$U$100=1,('Inputs'!$O$100*L43+'Inputs'!$O$101*L55+'Inputs'!$O$102*L67+'Inputs'!$O$103*L79+'Inputs'!$O$104*L91+'Inputs'!$O$105*L103),L43)</f>
      </c>
      <c r="M49">
        <f>IF('Inputs'!$U$100=1,('Inputs'!$O$100*M43+'Inputs'!$O$101*M55+'Inputs'!$O$102*M67+'Inputs'!$O$103*M79+'Inputs'!$O$104*M91+'Inputs'!$O$105*M103),M43)</f>
      </c>
      <c r="N49">
        <f>IF('Inputs'!$U$100=1,('Inputs'!$O$100*N43+'Inputs'!$O$101*N55+'Inputs'!$O$102*N67+'Inputs'!$O$103*N79+'Inputs'!$O$104*N91+'Inputs'!$O$105*N103),N43)</f>
      </c>
      <c r="O49">
        <f>IF('Inputs'!$U$100=1,('Inputs'!$O$100*O43+'Inputs'!$O$101*O55+'Inputs'!$O$102*O67+'Inputs'!$O$103*O79+'Inputs'!$O$104*O91+'Inputs'!$O$105*O103),O43)</f>
      </c>
      <c r="P49">
        <f>IF('Inputs'!$U$100=1,('Inputs'!$O$100*P43+'Inputs'!$O$101*P55+'Inputs'!$O$102*P67+'Inputs'!$O$103*P79+'Inputs'!$O$104*P91+'Inputs'!$O$105*P103),P43)</f>
      </c>
      <c r="Q49">
        <f>IF('Inputs'!$U$100=1,('Inputs'!$O$100*Q43+'Inputs'!$O$101*Q55+'Inputs'!$O$102*Q67+'Inputs'!$O$103*Q79+'Inputs'!$O$104*Q91+'Inputs'!$O$105*Q103),Q43)</f>
      </c>
      <c r="R49">
        <f>IF('Inputs'!$U$100=1,('Inputs'!$O$100*R43+'Inputs'!$O$101*R55+'Inputs'!$O$102*R67+'Inputs'!$O$103*R79+'Inputs'!$O$104*R91+'Inputs'!$O$105*R103),R43)</f>
      </c>
      <c r="S49">
        <f>IF('Inputs'!$U$100=1,('Inputs'!$O$100*S43+'Inputs'!$O$101*S55+'Inputs'!$O$102*S67+'Inputs'!$O$103*S79+'Inputs'!$O$104*S91+'Inputs'!$O$105*S103),S43)</f>
      </c>
      <c r="T49">
        <f>IF('Inputs'!$U$100=1,('Inputs'!$O$100*T43+'Inputs'!$O$101*T55+'Inputs'!$O$102*T67+'Inputs'!$O$103*T79+'Inputs'!$O$104*T91+'Inputs'!$O$105*T103),T43)</f>
      </c>
    </row>
    <row r="50" spans="2:20" x14ac:dyDescent="0.25">
      <c r="B50" t="s">
        <v>380</v>
      </c>
      <c r="C50">
        <f>IF('Inputs'!$B$100="",0,ROUND('Needs years'!$C$10+ROUND(IF(C49=0,SUM('Needs years'!$J$4:$J$53),(1-(1+C49)^-1)/(1-(1+C49)^(-1/12))/12*SUMPRODUCT('Needs years'!$J$4:$J$53,(1+C49)^(-'Needs years'!$I$4:$I$53))),2),2))</f>
      </c>
      <c r="E50">
        <f>IF('Inputs'!$B$100="",0,ROUND('Needs years'!$C$10+ROUND(IF(E49=0,SUM('Needs years'!$J$4:$J$53),(1-(1+E49)^-1)/(1-(1+E49)^(-1/12))/12*SUMPRODUCT('Needs years'!$J$4:$J$53,(1+E49)^(-'Needs years'!$I$4:$I$53))),2),2))</f>
      </c>
      <c r="F50">
        <f>IF('Inputs'!$B$100="",0,ROUND('Needs years'!$C$10+ROUND(IF(F49=0,SUM('Needs years'!$J$4:$J$53),(1-(1+F49)^-1)/(1-(1+F49)^(-1/12))/12*SUMPRODUCT('Needs years'!$J$4:$J$53,(1+F49)^(-'Needs years'!$I$4:$I$53))),2),2))</f>
      </c>
      <c r="G50">
        <f>IF('Inputs'!$B$100="",0,ROUND('Needs years'!$C$10+ROUND(IF(G49=0,SUM('Needs years'!$J$4:$J$53),(1-(1+G49)^-1)/(1-(1+G49)^(-1/12))/12*SUMPRODUCT('Needs years'!$J$4:$J$53,(1+G49)^(-'Needs years'!$I$4:$I$53))),2),2))</f>
      </c>
      <c r="H50">
        <f>IF('Inputs'!$B$100="",0,ROUND('Needs years'!$C$10+ROUND(IF(H49=0,SUM('Needs years'!$J$4:$J$53),(1-(1+H49)^-1)/(1-(1+H49)^(-1/12))/12*SUMPRODUCT('Needs years'!$J$4:$J$53,(1+H49)^(-'Needs years'!$I$4:$I$53))),2),2))</f>
      </c>
      <c r="I50">
        <f>IF('Inputs'!$B$100="",0,ROUND('Needs years'!$C$10+ROUND(IF(I49=0,SUM('Needs years'!$J$4:$J$53),(1-(1+I49)^-1)/(1-(1+I49)^(-1/12))/12*SUMPRODUCT('Needs years'!$J$4:$J$53,(1+I49)^(-'Needs years'!$I$4:$I$53))),2),2))</f>
      </c>
      <c r="J50">
        <f>IF('Inputs'!$B$100="",0,ROUND('Needs years'!$C$10+ROUND(IF(J49=0,SUM('Needs years'!$J$4:$J$53),(1-(1+J49)^-1)/(1-(1+J49)^(-1/12))/12*SUMPRODUCT('Needs years'!$J$4:$J$53,(1+J49)^(-'Needs years'!$I$4:$I$53))),2),2))</f>
      </c>
      <c r="K50">
        <f>IF('Inputs'!$B$100="",0,ROUND('Needs years'!$C$10+ROUND(IF(K49=0,SUM('Needs years'!$J$4:$J$53),(1-(1+K49)^-1)/(1-(1+K49)^(-1/12))/12*SUMPRODUCT('Needs years'!$J$4:$J$53,(1+K49)^(-'Needs years'!$I$4:$I$53))),2),2))</f>
      </c>
      <c r="L50">
        <f>IF('Inputs'!$B$100="",0,ROUND('Needs years'!$C$10+ROUND(IF(L49=0,SUM('Needs years'!$J$4:$J$53),(1-(1+L49)^-1)/(1-(1+L49)^(-1/12))/12*SUMPRODUCT('Needs years'!$J$4:$J$53,(1+L49)^(-'Needs years'!$I$4:$I$53))),2),2))</f>
      </c>
      <c r="M50">
        <f>IF('Inputs'!$B$100="",0,ROUND('Needs years'!$C$10+ROUND(IF(M49=0,SUM('Needs years'!$J$4:$J$53),(1-(1+M49)^-1)/(1-(1+M49)^(-1/12))/12*SUMPRODUCT('Needs years'!$J$4:$J$53,(1+M49)^(-'Needs years'!$I$4:$I$53))),2),2))</f>
      </c>
      <c r="N50">
        <f>IF('Inputs'!$B$100="",0,ROUND('Needs years'!$C$10+ROUND(IF(N49=0,SUM('Needs years'!$J$4:$J$53),(1-(1+N49)^-1)/(1-(1+N49)^(-1/12))/12*SUMPRODUCT('Needs years'!$J$4:$J$53,(1+N49)^(-'Needs years'!$I$4:$I$53))),2),2))</f>
      </c>
      <c r="O50">
        <f>IF('Inputs'!$B$100="",0,ROUND('Needs years'!$C$10+ROUND(IF(O49=0,SUM('Needs years'!$J$4:$J$53),(1-(1+O49)^-1)/(1-(1+O49)^(-1/12))/12*SUMPRODUCT('Needs years'!$J$4:$J$53,(1+O49)^(-'Needs years'!$I$4:$I$53))),2),2))</f>
      </c>
      <c r="P50">
        <f>IF('Inputs'!$B$100="",0,ROUND('Needs years'!$C$10+ROUND(IF(P49=0,SUM('Needs years'!$J$4:$J$53),(1-(1+P49)^-1)/(1-(1+P49)^(-1/12))/12*SUMPRODUCT('Needs years'!$J$4:$J$53,(1+P49)^(-'Needs years'!$I$4:$I$53))),2),2))</f>
      </c>
      <c r="Q50">
        <f>IF('Inputs'!$B$100="",0,ROUND('Needs years'!$C$10+ROUND(IF(Q49=0,SUM('Needs years'!$J$4:$J$53),(1-(1+Q49)^-1)/(1-(1+Q49)^(-1/12))/12*SUMPRODUCT('Needs years'!$J$4:$J$53,(1+Q49)^(-'Needs years'!$I$4:$I$53))),2),2))</f>
      </c>
      <c r="R50">
        <f>IF('Inputs'!$B$100="",0,ROUND('Needs years'!$C$10+ROUND(IF(R49=0,SUM('Needs years'!$J$4:$J$53),(1-(1+R49)^-1)/(1-(1+R49)^(-1/12))/12*SUMPRODUCT('Needs years'!$J$4:$J$53,(1+R49)^(-'Needs years'!$I$4:$I$53))),2),2))</f>
      </c>
      <c r="S50">
        <f>IF('Inputs'!$B$100="",0,ROUND('Needs years'!$C$10+ROUND(IF(S49=0,SUM('Needs years'!$J$4:$J$53),(1-(1+S49)^-1)/(1-(1+S49)^(-1/12))/12*SUMPRODUCT('Needs years'!$J$4:$J$53,(1+S49)^(-'Needs years'!$I$4:$I$53))),2),2))</f>
      </c>
      <c r="T50">
        <f>IF('Inputs'!$B$100="",0,ROUND('Needs years'!$C$10+ROUND(IF(T49=0,SUM('Needs years'!$J$4:$J$53),(1-(1+T49)^-1)/(1-(1+T49)^(-1/12))/12*SUMPRODUCT('Needs years'!$J$4:$J$53,(1+T49)^(-'Needs years'!$I$4:$I$53))),2),2))</f>
      </c>
    </row>
    <row r="51" spans="2:20" x14ac:dyDescent="0.25">
      <c r="B51" t="s">
        <v>381</v>
      </c>
      <c r="C51">
        <f>IF('Inputs'!$U$100=1,0,IF((C44-C48)&gt;0,MAX(0,C40-C48)/(C44-C48),0))</f>
      </c>
      <c r="E51">
        <f>IF('Inputs'!$U$100=1,0,IF((E44-E48)&gt;0,MAX(0,E40-E48)/(E44-E48),0))</f>
      </c>
      <c r="F51">
        <f>IF('Inputs'!$U$100=1,0,IF((F44-F48)&gt;0,MAX(0,F40-F48)/(F44-F48),0))</f>
      </c>
      <c r="G51">
        <f>IF('Inputs'!$U$100=1,0,IF((G44-G48)&gt;0,MAX(0,G40-G48)/(G44-G48),0))</f>
      </c>
      <c r="H51">
        <f>IF('Inputs'!$U$100=1,0,IF((H44-H48)&gt;0,MAX(0,H40-H48)/(H44-H48),0))</f>
      </c>
      <c r="I51">
        <f>IF('Inputs'!$U$100=1,0,IF((I44-I48)&gt;0,MAX(0,I40-I48)/(I44-I48),0))</f>
      </c>
      <c r="J51">
        <f>IF('Inputs'!$U$100=1,0,IF((J44-J48)&gt;0,MAX(0,J40-J48)/(J44-J48),0))</f>
      </c>
      <c r="K51">
        <f>IF('Inputs'!$U$100=1,0,IF((K44-K48)&gt;0,MAX(0,K40-K48)/(K44-K48),0))</f>
      </c>
      <c r="L51">
        <f>IF('Inputs'!$U$100=1,0,IF((L44-L48)&gt;0,MAX(0,L40-L48)/(L44-L48),0))</f>
      </c>
      <c r="M51">
        <f>IF('Inputs'!$U$100=1,0,IF((M44-M48)&gt;0,MAX(0,M40-M48)/(M44-M48),0))</f>
      </c>
      <c r="N51">
        <f>IF('Inputs'!$U$100=1,0,IF((N44-N48)&gt;0,MAX(0,N40-N48)/(N44-N48),0))</f>
      </c>
      <c r="O51">
        <f>IF('Inputs'!$U$100=1,0,IF((O44-O48)&gt;0,MAX(0,O40-O48)/(O44-O48),0))</f>
      </c>
      <c r="P51">
        <f>IF('Inputs'!$U$100=1,0,IF((P44-P48)&gt;0,MAX(0,P40-P48)/(P44-P48),0))</f>
      </c>
      <c r="Q51">
        <f>IF('Inputs'!$U$100=1,0,IF((Q44-Q48)&gt;0,MAX(0,Q40-Q48)/(Q44-Q48),0))</f>
      </c>
      <c r="R51">
        <f>IF('Inputs'!$U$100=1,0,IF((R44-R48)&gt;0,MAX(0,R40-R48)/(R44-R48),0))</f>
      </c>
      <c r="S51">
        <f>IF('Inputs'!$U$100=1,0,IF((S44-S48)&gt;0,MAX(0,S40-S48)/(S44-S48),0))</f>
      </c>
      <c r="T51">
        <f>IF('Inputs'!$U$100=1,0,IF((T44-T48)&gt;0,MAX(0,T40-T48)/(T44-T48),0))</f>
      </c>
    </row>
    <row r="52" spans="2:20" x14ac:dyDescent="0.25">
      <c r="B52" t="s">
        <v>382</v>
      </c>
      <c r="C52">
        <f>IF('Inputs'!$B$101="",0,IF('Inputs'!$U$101=1,0,ROUND(C59+'Inputs'!$O$101*('Inputs'!$U$100*C47+'Inputs'!$U$101*C59+'Inputs'!$U$102*C71+'Inputs'!$U$103*C83+'Inputs'!$U$104*C95+'Inputs'!$U$105*C107),2)))</f>
      </c>
      <c r="E52">
        <f>IF('Inputs'!$B$101="",0,IF('Inputs'!$U$101=1,0,ROUND(E59+'Inputs'!$O$101*('Inputs'!$U$100*E47+'Inputs'!$U$101*E59+'Inputs'!$U$102*E71+'Inputs'!$U$103*E83+'Inputs'!$U$104*E95+'Inputs'!$U$105*E107),2)))</f>
      </c>
      <c r="F52">
        <f>IF('Inputs'!$B$101="",0,IF('Inputs'!$U$101=1,0,ROUND(F59+'Inputs'!$O$101*('Inputs'!$U$100*F47+'Inputs'!$U$101*F59+'Inputs'!$U$102*F71+'Inputs'!$U$103*F83+'Inputs'!$U$104*F95+'Inputs'!$U$105*F107),2)))</f>
      </c>
      <c r="G52">
        <f>IF('Inputs'!$B$101="",0,IF('Inputs'!$U$101=1,0,ROUND(G59+'Inputs'!$O$101*('Inputs'!$U$100*G47+'Inputs'!$U$101*G59+'Inputs'!$U$102*G71+'Inputs'!$U$103*G83+'Inputs'!$U$104*G95+'Inputs'!$U$105*G107),2)))</f>
      </c>
      <c r="H52">
        <f>IF('Inputs'!$B$101="",0,IF('Inputs'!$U$101=1,0,ROUND(H59+'Inputs'!$O$101*('Inputs'!$U$100*H47+'Inputs'!$U$101*H59+'Inputs'!$U$102*H71+'Inputs'!$U$103*H83+'Inputs'!$U$104*H95+'Inputs'!$U$105*H107),2)))</f>
      </c>
      <c r="I52">
        <f>IF('Inputs'!$B$101="",0,IF('Inputs'!$U$101=1,0,ROUND(I59+'Inputs'!$O$101*('Inputs'!$U$100*I47+'Inputs'!$U$101*I59+'Inputs'!$U$102*I71+'Inputs'!$U$103*I83+'Inputs'!$U$104*I95+'Inputs'!$U$105*I107),2)))</f>
      </c>
      <c r="J52">
        <f>IF('Inputs'!$B$101="",0,IF('Inputs'!$U$101=1,0,ROUND(J59+'Inputs'!$O$101*('Inputs'!$U$100*J47+'Inputs'!$U$101*J59+'Inputs'!$U$102*J71+'Inputs'!$U$103*J83+'Inputs'!$U$104*J95+'Inputs'!$U$105*J107),2)))</f>
      </c>
      <c r="K52">
        <f>IF('Inputs'!$B$101="",0,IF('Inputs'!$U$101=1,0,ROUND(K59+'Inputs'!$O$101*('Inputs'!$U$100*K47+'Inputs'!$U$101*K59+'Inputs'!$U$102*K71+'Inputs'!$U$103*K83+'Inputs'!$U$104*K95+'Inputs'!$U$105*K107),2)))</f>
      </c>
      <c r="L52">
        <f>IF('Inputs'!$B$101="",0,IF('Inputs'!$U$101=1,0,ROUND(L59+'Inputs'!$O$101*('Inputs'!$U$100*L47+'Inputs'!$U$101*L59+'Inputs'!$U$102*L71+'Inputs'!$U$103*L83+'Inputs'!$U$104*L95+'Inputs'!$U$105*L107),2)))</f>
      </c>
      <c r="M52">
        <f>IF('Inputs'!$B$101="",0,IF('Inputs'!$U$101=1,0,ROUND(M59+'Inputs'!$O$101*('Inputs'!$U$100*M47+'Inputs'!$U$101*M59+'Inputs'!$U$102*M71+'Inputs'!$U$103*M83+'Inputs'!$U$104*M95+'Inputs'!$U$105*M107),2)))</f>
      </c>
      <c r="N52">
        <f>IF('Inputs'!$B$101="",0,IF('Inputs'!$U$101=1,0,ROUND(N59+'Inputs'!$O$101*('Inputs'!$U$100*N47+'Inputs'!$U$101*N59+'Inputs'!$U$102*N71+'Inputs'!$U$103*N83+'Inputs'!$U$104*N95+'Inputs'!$U$105*N107),2)))</f>
      </c>
      <c r="O52">
        <f>IF('Inputs'!$B$101="",0,IF('Inputs'!$U$101=1,0,ROUND(O59+'Inputs'!$O$101*('Inputs'!$U$100*O47+'Inputs'!$U$101*O59+'Inputs'!$U$102*O71+'Inputs'!$U$103*O83+'Inputs'!$U$104*O95+'Inputs'!$U$105*O107),2)))</f>
      </c>
      <c r="P52">
        <f>IF('Inputs'!$B$101="",0,IF('Inputs'!$U$101=1,0,ROUND(P59+'Inputs'!$O$101*('Inputs'!$U$100*P47+'Inputs'!$U$101*P59+'Inputs'!$U$102*P71+'Inputs'!$U$103*P83+'Inputs'!$U$104*P95+'Inputs'!$U$105*P107),2)))</f>
      </c>
      <c r="Q52">
        <f>IF('Inputs'!$B$101="",0,IF('Inputs'!$U$101=1,0,ROUND(Q59+'Inputs'!$O$101*('Inputs'!$U$100*Q47+'Inputs'!$U$101*Q59+'Inputs'!$U$102*Q71+'Inputs'!$U$103*Q83+'Inputs'!$U$104*Q95+'Inputs'!$U$105*Q107),2)))</f>
      </c>
      <c r="R52">
        <f>IF('Inputs'!$B$101="",0,IF('Inputs'!$U$101=1,0,ROUND(R59+'Inputs'!$O$101*('Inputs'!$U$100*R47+'Inputs'!$U$101*R59+'Inputs'!$U$102*R71+'Inputs'!$U$103*R83+'Inputs'!$U$104*R95+'Inputs'!$U$105*R107),2)))</f>
      </c>
      <c r="S52">
        <f>IF('Inputs'!$B$101="",0,IF('Inputs'!$U$101=1,0,ROUND(S59+'Inputs'!$O$101*('Inputs'!$U$100*S47+'Inputs'!$U$101*S59+'Inputs'!$U$102*S71+'Inputs'!$U$103*S83+'Inputs'!$U$104*S95+'Inputs'!$U$105*S107),2)))</f>
      </c>
      <c r="T52">
        <f>IF('Inputs'!$B$101="",0,IF('Inputs'!$U$101=1,0,ROUND(T59+'Inputs'!$O$101*('Inputs'!$U$100*T47+'Inputs'!$U$101*T59+'Inputs'!$U$102*T71+'Inputs'!$U$103*T83+'Inputs'!$U$104*T95+'Inputs'!$U$105*T107),2)))</f>
      </c>
    </row>
    <row r="53" spans="2:20" x14ac:dyDescent="0.25">
      <c r="B53" t="s">
        <v>383</v>
      </c>
      <c r="C53">
        <f>'Needs years'!$C$61+MAX(0,C52-C60)*('Inputs'!$H$136/100*('Inputs'!$H$139/100+'Inputs'!$C$146/100*'Inputs'!$H$141/100))</f>
      </c>
      <c r="E53">
        <f>'Needs years'!$C$61+MAX(0,E52-E60)*('Inputs'!$H$136/100*('Inputs'!$H$139/100+'Inputs'!$C$146/100*'Inputs'!$H$141/100))</f>
      </c>
      <c r="F53">
        <f>'Needs years'!$C$61+MAX(0,F52-F60)*('Inputs'!$H$136/100*('Inputs'!$H$139/100+'Inputs'!$C$146/100*'Inputs'!$H$141/100))</f>
      </c>
      <c r="G53">
        <f>'Needs years'!$C$61+MAX(0,G52-G60)*('Inputs'!$H$136/100*('Inputs'!$H$139/100+'Inputs'!$C$146/100*'Inputs'!$H$141/100))</f>
      </c>
      <c r="H53">
        <f>'Needs years'!$C$61+MAX(0,H52-H60)*('Inputs'!$H$136/100*('Inputs'!$H$139/100+'Inputs'!$C$146/100*'Inputs'!$H$141/100))</f>
      </c>
      <c r="I53">
        <f>'Needs years'!$C$61+MAX(0,I52-I60)*('Inputs'!$H$136/100*('Inputs'!$H$139/100+'Inputs'!$C$146/100*'Inputs'!$H$141/100))</f>
      </c>
      <c r="J53">
        <f>'Needs years'!$C$61+MAX(0,J52-J60)*('Inputs'!$H$136/100*('Inputs'!$H$139/100+'Inputs'!$C$146/100*'Inputs'!$H$141/100))</f>
      </c>
      <c r="K53">
        <f>'Needs years'!$C$61+MAX(0,K52-K60)*('Inputs'!$H$136/100*('Inputs'!$H$139/100+'Inputs'!$C$146/100*'Inputs'!$H$141/100))</f>
      </c>
      <c r="L53">
        <f>'Needs years'!$C$61+MAX(0,L52-L60)*('Inputs'!$H$136/100*('Inputs'!$H$139/100+'Inputs'!$C$146/100*'Inputs'!$H$141/100))</f>
      </c>
      <c r="M53">
        <f>'Needs years'!$C$61+MAX(0,M52-M60)*('Inputs'!$H$136/100*('Inputs'!$H$139/100+'Inputs'!$C$146/100*'Inputs'!$H$141/100))</f>
      </c>
      <c r="N53">
        <f>'Needs years'!$C$61+MAX(0,N52-N60)*('Inputs'!$H$136/100*('Inputs'!$H$139/100+'Inputs'!$C$146/100*'Inputs'!$H$141/100))</f>
      </c>
      <c r="O53">
        <f>'Needs years'!$C$61+MAX(0,O52-O60)*('Inputs'!$H$136/100*('Inputs'!$H$139/100+'Inputs'!$C$146/100*'Inputs'!$H$141/100))</f>
      </c>
      <c r="P53">
        <f>'Needs years'!$C$61+MAX(0,P52-P60)*('Inputs'!$H$136/100*('Inputs'!$H$139/100+'Inputs'!$C$146/100*'Inputs'!$H$141/100))</f>
      </c>
      <c r="Q53">
        <f>'Needs years'!$C$61+MAX(0,Q52-Q60)*('Inputs'!$H$136/100*('Inputs'!$H$139/100+'Inputs'!$C$146/100*'Inputs'!$H$141/100))</f>
      </c>
      <c r="R53">
        <f>'Needs years'!$C$61+MAX(0,R52-R60)*('Inputs'!$H$136/100*('Inputs'!$H$139/100+'Inputs'!$C$146/100*'Inputs'!$H$141/100))</f>
      </c>
      <c r="S53">
        <f>'Needs years'!$C$61+MAX(0,S52-S60)*('Inputs'!$H$136/100*('Inputs'!$H$139/100+'Inputs'!$C$146/100*'Inputs'!$H$141/100))</f>
      </c>
      <c r="T53">
        <f>'Needs years'!$C$61+MAX(0,T52-T60)*('Inputs'!$H$136/100*('Inputs'!$H$139/100+'Inputs'!$C$146/100*'Inputs'!$H$141/100))</f>
      </c>
    </row>
    <row r="54" spans="2:20" x14ac:dyDescent="0.25">
      <c r="B54" t="s">
        <v>384</v>
      </c>
      <c r="C54">
        <f>IF(C53&lt;='Needs years'!$C$60,0,INDEX('Inputs'!$E$149:$E$155,MATCH(C53,'Inputs'!$C$149:$C$155,1)-IF(COUNTIF('Inputs'!$C$149:$C$155,C53)&gt;0,1,0))/100)</f>
      </c>
      <c r="E54">
        <f>IF(E53&lt;='Needs years'!$C$60,0,INDEX('Inputs'!$E$149:$E$155,MATCH(E53,'Inputs'!$C$149:$C$155,1)-IF(COUNTIF('Inputs'!$C$149:$C$155,E53)&gt;0,1,0))/100)</f>
      </c>
      <c r="F54">
        <f>IF(F53&lt;='Needs years'!$C$60,0,INDEX('Inputs'!$E$149:$E$155,MATCH(F53,'Inputs'!$C$149:$C$155,1)-IF(COUNTIF('Inputs'!$C$149:$C$155,F53)&gt;0,1,0))/100)</f>
      </c>
      <c r="G54">
        <f>IF(G53&lt;='Needs years'!$C$60,0,INDEX('Inputs'!$E$149:$E$155,MATCH(G53,'Inputs'!$C$149:$C$155,1)-IF(COUNTIF('Inputs'!$C$149:$C$155,G53)&gt;0,1,0))/100)</f>
      </c>
      <c r="H54">
        <f>IF(H53&lt;='Needs years'!$C$60,0,INDEX('Inputs'!$E$149:$E$155,MATCH(H53,'Inputs'!$C$149:$C$155,1)-IF(COUNTIF('Inputs'!$C$149:$C$155,H53)&gt;0,1,0))/100)</f>
      </c>
      <c r="I54">
        <f>IF(I53&lt;='Needs years'!$C$60,0,INDEX('Inputs'!$E$149:$E$155,MATCH(I53,'Inputs'!$C$149:$C$155,1)-IF(COUNTIF('Inputs'!$C$149:$C$155,I53)&gt;0,1,0))/100)</f>
      </c>
      <c r="J54">
        <f>IF(J53&lt;='Needs years'!$C$60,0,INDEX('Inputs'!$E$149:$E$155,MATCH(J53,'Inputs'!$C$149:$C$155,1)-IF(COUNTIF('Inputs'!$C$149:$C$155,J53)&gt;0,1,0))/100)</f>
      </c>
      <c r="K54">
        <f>IF(K53&lt;='Needs years'!$C$60,0,INDEX('Inputs'!$E$149:$E$155,MATCH(K53,'Inputs'!$C$149:$C$155,1)-IF(COUNTIF('Inputs'!$C$149:$C$155,K53)&gt;0,1,0))/100)</f>
      </c>
      <c r="L54">
        <f>IF(L53&lt;='Needs years'!$C$60,0,INDEX('Inputs'!$E$149:$E$155,MATCH(L53,'Inputs'!$C$149:$C$155,1)-IF(COUNTIF('Inputs'!$C$149:$C$155,L53)&gt;0,1,0))/100)</f>
      </c>
      <c r="M54">
        <f>IF(M53&lt;='Needs years'!$C$60,0,INDEX('Inputs'!$E$149:$E$155,MATCH(M53,'Inputs'!$C$149:$C$155,1)-IF(COUNTIF('Inputs'!$C$149:$C$155,M53)&gt;0,1,0))/100)</f>
      </c>
      <c r="N54">
        <f>IF(N53&lt;='Needs years'!$C$60,0,INDEX('Inputs'!$E$149:$E$155,MATCH(N53,'Inputs'!$C$149:$C$155,1)-IF(COUNTIF('Inputs'!$C$149:$C$155,N53)&gt;0,1,0))/100)</f>
      </c>
      <c r="O54">
        <f>IF(O53&lt;='Needs years'!$C$60,0,INDEX('Inputs'!$E$149:$E$155,MATCH(O53,'Inputs'!$C$149:$C$155,1)-IF(COUNTIF('Inputs'!$C$149:$C$155,O53)&gt;0,1,0))/100)</f>
      </c>
      <c r="P54">
        <f>IF(P53&lt;='Needs years'!$C$60,0,INDEX('Inputs'!$E$149:$E$155,MATCH(P53,'Inputs'!$C$149:$C$155,1)-IF(COUNTIF('Inputs'!$C$149:$C$155,P53)&gt;0,1,0))/100)</f>
      </c>
      <c r="Q54">
        <f>IF(Q53&lt;='Needs years'!$C$60,0,INDEX('Inputs'!$E$149:$E$155,MATCH(Q53,'Inputs'!$C$149:$C$155,1)-IF(COUNTIF('Inputs'!$C$149:$C$155,Q53)&gt;0,1,0))/100)</f>
      </c>
      <c r="R54">
        <f>IF(R53&lt;='Needs years'!$C$60,0,INDEX('Inputs'!$E$149:$E$155,MATCH(R53,'Inputs'!$C$149:$C$155,1)-IF(COUNTIF('Inputs'!$C$149:$C$155,R53)&gt;0,1,0))/100)</f>
      </c>
      <c r="S54">
        <f>IF(S53&lt;='Needs years'!$C$60,0,INDEX('Inputs'!$E$149:$E$155,MATCH(S53,'Inputs'!$C$149:$C$155,1)-IF(COUNTIF('Inputs'!$C$149:$C$155,S53)&gt;0,1,0))/100)</f>
      </c>
      <c r="T54">
        <f>IF(T53&lt;='Needs years'!$C$60,0,INDEX('Inputs'!$E$149:$E$155,MATCH(T53,'Inputs'!$C$149:$C$155,1)-IF(COUNTIF('Inputs'!$C$149:$C$155,T53)&gt;0,1,0))/100)</f>
      </c>
    </row>
    <row r="55" spans="2:20" x14ac:dyDescent="0.25">
      <c r="B55" t="s">
        <v>385</v>
      </c>
      <c r="C55">
        <f>('Inputs'!$H$136/100*(1-('Inputs'!$H$139/100*C54+'Inputs'!$H$140/100*'Inputs'!$H$142/100+'Inputs'!$H$141/100*'Inputs'!$C$146/100*C54))-IF('Needs years'!$C$65=1,'Inputs'!$H$137/100,0))</f>
      </c>
      <c r="E55">
        <f>('Inputs'!$H$136/100*(1-('Inputs'!$H$139/100*E54+'Inputs'!$H$140/100*'Inputs'!$H$142/100+'Inputs'!$H$141/100*'Inputs'!$C$146/100*E54))-IF('Needs years'!$C$65=1,'Inputs'!$H$137/100,0))</f>
      </c>
      <c r="F55">
        <f>('Inputs'!$H$136/100*(1-('Inputs'!$H$139/100*F54+'Inputs'!$H$140/100*'Inputs'!$H$142/100+'Inputs'!$H$141/100*'Inputs'!$C$146/100*F54))-IF('Needs years'!$C$65=1,'Inputs'!$H$137/100,0))</f>
      </c>
      <c r="G55">
        <f>('Inputs'!$H$136/100*(1-('Inputs'!$H$139/100*G54+'Inputs'!$H$140/100*'Inputs'!$H$142/100+'Inputs'!$H$141/100*'Inputs'!$C$146/100*G54))-IF('Needs years'!$C$65=1,'Inputs'!$H$137/100,0))</f>
      </c>
      <c r="H55">
        <f>('Inputs'!$H$136/100*(1-('Inputs'!$H$139/100*H54+'Inputs'!$H$140/100*'Inputs'!$H$142/100+'Inputs'!$H$141/100*'Inputs'!$C$146/100*H54))-IF('Needs years'!$C$65=1,'Inputs'!$H$137/100,0))</f>
      </c>
      <c r="I55">
        <f>('Inputs'!$H$136/100*(1-('Inputs'!$H$139/100*I54+'Inputs'!$H$140/100*'Inputs'!$H$142/100+'Inputs'!$H$141/100*'Inputs'!$C$146/100*I54))-IF('Needs years'!$C$65=1,'Inputs'!$H$137/100,0))</f>
      </c>
      <c r="J55">
        <f>('Inputs'!$H$136/100*(1-('Inputs'!$H$139/100*J54+'Inputs'!$H$140/100*'Inputs'!$H$142/100+'Inputs'!$H$141/100*'Inputs'!$C$146/100*J54))-IF('Needs years'!$C$65=1,'Inputs'!$H$137/100,0))</f>
      </c>
      <c r="K55">
        <f>('Inputs'!$H$136/100*(1-('Inputs'!$H$139/100*K54+'Inputs'!$H$140/100*'Inputs'!$H$142/100+'Inputs'!$H$141/100*'Inputs'!$C$146/100*K54))-IF('Needs years'!$C$65=1,'Inputs'!$H$137/100,0))</f>
      </c>
      <c r="L55">
        <f>('Inputs'!$H$136/100*(1-('Inputs'!$H$139/100*L54+'Inputs'!$H$140/100*'Inputs'!$H$142/100+'Inputs'!$H$141/100*'Inputs'!$C$146/100*L54))-IF('Needs years'!$C$65=1,'Inputs'!$H$137/100,0))</f>
      </c>
      <c r="M55">
        <f>('Inputs'!$H$136/100*(1-('Inputs'!$H$139/100*M54+'Inputs'!$H$140/100*'Inputs'!$H$142/100+'Inputs'!$H$141/100*'Inputs'!$C$146/100*M54))-IF('Needs years'!$C$65=1,'Inputs'!$H$137/100,0))</f>
      </c>
      <c r="N55">
        <f>('Inputs'!$H$136/100*(1-('Inputs'!$H$139/100*N54+'Inputs'!$H$140/100*'Inputs'!$H$142/100+'Inputs'!$H$141/100*'Inputs'!$C$146/100*N54))-IF('Needs years'!$C$65=1,'Inputs'!$H$137/100,0))</f>
      </c>
      <c r="O55">
        <f>('Inputs'!$H$136/100*(1-('Inputs'!$H$139/100*O54+'Inputs'!$H$140/100*'Inputs'!$H$142/100+'Inputs'!$H$141/100*'Inputs'!$C$146/100*O54))-IF('Needs years'!$C$65=1,'Inputs'!$H$137/100,0))</f>
      </c>
      <c r="P55">
        <f>('Inputs'!$H$136/100*(1-('Inputs'!$H$139/100*P54+'Inputs'!$H$140/100*'Inputs'!$H$142/100+'Inputs'!$H$141/100*'Inputs'!$C$146/100*P54))-IF('Needs years'!$C$65=1,'Inputs'!$H$137/100,0))</f>
      </c>
      <c r="Q55">
        <f>('Inputs'!$H$136/100*(1-('Inputs'!$H$139/100*Q54+'Inputs'!$H$140/100*'Inputs'!$H$142/100+'Inputs'!$H$141/100*'Inputs'!$C$146/100*Q54))-IF('Needs years'!$C$65=1,'Inputs'!$H$137/100,0))</f>
      </c>
      <c r="R55">
        <f>('Inputs'!$H$136/100*(1-('Inputs'!$H$139/100*R54+'Inputs'!$H$140/100*'Inputs'!$H$142/100+'Inputs'!$H$141/100*'Inputs'!$C$146/100*R54))-IF('Needs years'!$C$65=1,'Inputs'!$H$137/100,0))</f>
      </c>
      <c r="S55">
        <f>('Inputs'!$H$136/100*(1-('Inputs'!$H$139/100*S54+'Inputs'!$H$140/100*'Inputs'!$H$142/100+'Inputs'!$H$141/100*'Inputs'!$C$146/100*S54))-IF('Needs years'!$C$65=1,'Inputs'!$H$137/100,0))</f>
      </c>
      <c r="T55">
        <f>('Inputs'!$H$136/100*(1-('Inputs'!$H$139/100*T54+'Inputs'!$H$140/100*'Inputs'!$H$142/100+'Inputs'!$H$141/100*'Inputs'!$C$146/100*T54))-IF('Needs years'!$C$65=1,'Inputs'!$H$137/100,0))</f>
      </c>
    </row>
    <row r="56" spans="2:20" x14ac:dyDescent="0.25">
      <c r="B56" t="s">
        <v>386</v>
      </c>
      <c r="C56">
        <f>IF('Inputs'!$B$101="",0,IF('Inputs'!$U$101=1,0,ROUND(C62+'Inputs'!$O$101*('Inputs'!$U$100*C50+'Inputs'!$U$101*C62+'Inputs'!$U$102*C74+'Inputs'!$U$103*C86+'Inputs'!$U$104*C98+'Inputs'!$U$105*C110)+'Inputs'!$O$101*IF(AND('Inputs'!$C$108="The spouse, from what they receive",SUM('Inputs'!$O$100:$O$105)&gt;0,OR(LEFT('Inputs'!$C$13,7)="Married",'Inputs'!$C$13="Life partner",'Inputs'!$C$13="Civil Union")),1,0)*MAX(0,C27),2)))</f>
      </c>
      <c r="E56">
        <f>IF('Inputs'!$B$101="",0,IF('Inputs'!$U$101=1,0,ROUND(E62+'Inputs'!$O$101*('Inputs'!$U$100*E50+'Inputs'!$U$101*E62+'Inputs'!$U$102*E74+'Inputs'!$U$103*E86+'Inputs'!$U$104*E98+'Inputs'!$U$105*E110)+'Inputs'!$O$101*IF(AND('Inputs'!$C$108="The spouse, from what they receive",SUM('Inputs'!$O$100:$O$105)&gt;0,OR(LEFT('Inputs'!$C$13,7)="Married",'Inputs'!$C$13="Life partner",'Inputs'!$C$13="Civil Union")),1,0)*MAX(0,E27),2)))</f>
      </c>
      <c r="F56">
        <f>IF('Inputs'!$B$101="",0,IF('Inputs'!$U$101=1,0,ROUND(F62+'Inputs'!$O$101*('Inputs'!$U$100*F50+'Inputs'!$U$101*F62+'Inputs'!$U$102*F74+'Inputs'!$U$103*F86+'Inputs'!$U$104*F98+'Inputs'!$U$105*F110)+'Inputs'!$O$101*IF(AND('Inputs'!$C$108="The spouse, from what they receive",SUM('Inputs'!$O$100:$O$105)&gt;0,OR(LEFT('Inputs'!$C$13,7)="Married",'Inputs'!$C$13="Life partner",'Inputs'!$C$13="Civil Union")),1,0)*MAX(0,F27),2)))</f>
      </c>
      <c r="G56">
        <f>IF('Inputs'!$B$101="",0,IF('Inputs'!$U$101=1,0,ROUND(G62+'Inputs'!$O$101*('Inputs'!$U$100*G50+'Inputs'!$U$101*G62+'Inputs'!$U$102*G74+'Inputs'!$U$103*G86+'Inputs'!$U$104*G98+'Inputs'!$U$105*G110)+'Inputs'!$O$101*IF(AND('Inputs'!$C$108="The spouse, from what they receive",SUM('Inputs'!$O$100:$O$105)&gt;0,OR(LEFT('Inputs'!$C$13,7)="Married",'Inputs'!$C$13="Life partner",'Inputs'!$C$13="Civil Union")),1,0)*MAX(0,G27),2)))</f>
      </c>
      <c r="H56">
        <f>IF('Inputs'!$B$101="",0,IF('Inputs'!$U$101=1,0,ROUND(H62+'Inputs'!$O$101*('Inputs'!$U$100*H50+'Inputs'!$U$101*H62+'Inputs'!$U$102*H74+'Inputs'!$U$103*H86+'Inputs'!$U$104*H98+'Inputs'!$U$105*H110)+'Inputs'!$O$101*IF(AND('Inputs'!$C$108="The spouse, from what they receive",SUM('Inputs'!$O$100:$O$105)&gt;0,OR(LEFT('Inputs'!$C$13,7)="Married",'Inputs'!$C$13="Life partner",'Inputs'!$C$13="Civil Union")),1,0)*MAX(0,H27),2)))</f>
      </c>
      <c r="I56">
        <f>IF('Inputs'!$B$101="",0,IF('Inputs'!$U$101=1,0,ROUND(I62+'Inputs'!$O$101*('Inputs'!$U$100*I50+'Inputs'!$U$101*I62+'Inputs'!$U$102*I74+'Inputs'!$U$103*I86+'Inputs'!$U$104*I98+'Inputs'!$U$105*I110)+'Inputs'!$O$101*IF(AND('Inputs'!$C$108="The spouse, from what they receive",SUM('Inputs'!$O$100:$O$105)&gt;0,OR(LEFT('Inputs'!$C$13,7)="Married",'Inputs'!$C$13="Life partner",'Inputs'!$C$13="Civil Union")),1,0)*MAX(0,I27),2)))</f>
      </c>
      <c r="J56">
        <f>IF('Inputs'!$B$101="",0,IF('Inputs'!$U$101=1,0,ROUND(J62+'Inputs'!$O$101*('Inputs'!$U$100*J50+'Inputs'!$U$101*J62+'Inputs'!$U$102*J74+'Inputs'!$U$103*J86+'Inputs'!$U$104*J98+'Inputs'!$U$105*J110)+'Inputs'!$O$101*IF(AND('Inputs'!$C$108="The spouse, from what they receive",SUM('Inputs'!$O$100:$O$105)&gt;0,OR(LEFT('Inputs'!$C$13,7)="Married",'Inputs'!$C$13="Life partner",'Inputs'!$C$13="Civil Union")),1,0)*MAX(0,J27),2)))</f>
      </c>
      <c r="K56">
        <f>IF('Inputs'!$B$101="",0,IF('Inputs'!$U$101=1,0,ROUND(K62+'Inputs'!$O$101*('Inputs'!$U$100*K50+'Inputs'!$U$101*K62+'Inputs'!$U$102*K74+'Inputs'!$U$103*K86+'Inputs'!$U$104*K98+'Inputs'!$U$105*K110)+'Inputs'!$O$101*IF(AND('Inputs'!$C$108="The spouse, from what they receive",SUM('Inputs'!$O$100:$O$105)&gt;0,OR(LEFT('Inputs'!$C$13,7)="Married",'Inputs'!$C$13="Life partner",'Inputs'!$C$13="Civil Union")),1,0)*MAX(0,K27),2)))</f>
      </c>
      <c r="L56">
        <f>IF('Inputs'!$B$101="",0,IF('Inputs'!$U$101=1,0,ROUND(L62+'Inputs'!$O$101*('Inputs'!$U$100*L50+'Inputs'!$U$101*L62+'Inputs'!$U$102*L74+'Inputs'!$U$103*L86+'Inputs'!$U$104*L98+'Inputs'!$U$105*L110)+'Inputs'!$O$101*IF(AND('Inputs'!$C$108="The spouse, from what they receive",SUM('Inputs'!$O$100:$O$105)&gt;0,OR(LEFT('Inputs'!$C$13,7)="Married",'Inputs'!$C$13="Life partner",'Inputs'!$C$13="Civil Union")),1,0)*MAX(0,L27),2)))</f>
      </c>
      <c r="M56">
        <f>IF('Inputs'!$B$101="",0,IF('Inputs'!$U$101=1,0,ROUND(M62+'Inputs'!$O$101*('Inputs'!$U$100*M50+'Inputs'!$U$101*M62+'Inputs'!$U$102*M74+'Inputs'!$U$103*M86+'Inputs'!$U$104*M98+'Inputs'!$U$105*M110)+'Inputs'!$O$101*IF(AND('Inputs'!$C$108="The spouse, from what they receive",SUM('Inputs'!$O$100:$O$105)&gt;0,OR(LEFT('Inputs'!$C$13,7)="Married",'Inputs'!$C$13="Life partner",'Inputs'!$C$13="Civil Union")),1,0)*MAX(0,M27),2)))</f>
      </c>
      <c r="N56">
        <f>IF('Inputs'!$B$101="",0,IF('Inputs'!$U$101=1,0,ROUND(N62+'Inputs'!$O$101*('Inputs'!$U$100*N50+'Inputs'!$U$101*N62+'Inputs'!$U$102*N74+'Inputs'!$U$103*N86+'Inputs'!$U$104*N98+'Inputs'!$U$105*N110)+'Inputs'!$O$101*IF(AND('Inputs'!$C$108="The spouse, from what they receive",SUM('Inputs'!$O$100:$O$105)&gt;0,OR(LEFT('Inputs'!$C$13,7)="Married",'Inputs'!$C$13="Life partner",'Inputs'!$C$13="Civil Union")),1,0)*MAX(0,N27),2)))</f>
      </c>
      <c r="O56">
        <f>IF('Inputs'!$B$101="",0,IF('Inputs'!$U$101=1,0,ROUND(O62+'Inputs'!$O$101*('Inputs'!$U$100*O50+'Inputs'!$U$101*O62+'Inputs'!$U$102*O74+'Inputs'!$U$103*O86+'Inputs'!$U$104*O98+'Inputs'!$U$105*O110)+'Inputs'!$O$101*IF(AND('Inputs'!$C$108="The spouse, from what they receive",SUM('Inputs'!$O$100:$O$105)&gt;0,OR(LEFT('Inputs'!$C$13,7)="Married",'Inputs'!$C$13="Life partner",'Inputs'!$C$13="Civil Union")),1,0)*MAX(0,O27),2)))</f>
      </c>
      <c r="P56">
        <f>IF('Inputs'!$B$101="",0,IF('Inputs'!$U$101=1,0,ROUND(P62+'Inputs'!$O$101*('Inputs'!$U$100*P50+'Inputs'!$U$101*P62+'Inputs'!$U$102*P74+'Inputs'!$U$103*P86+'Inputs'!$U$104*P98+'Inputs'!$U$105*P110)+'Inputs'!$O$101*IF(AND('Inputs'!$C$108="The spouse, from what they receive",SUM('Inputs'!$O$100:$O$105)&gt;0,OR(LEFT('Inputs'!$C$13,7)="Married",'Inputs'!$C$13="Life partner",'Inputs'!$C$13="Civil Union")),1,0)*MAX(0,P27),2)))</f>
      </c>
      <c r="Q56">
        <f>IF('Inputs'!$B$101="",0,IF('Inputs'!$U$101=1,0,ROUND(Q62+'Inputs'!$O$101*('Inputs'!$U$100*Q50+'Inputs'!$U$101*Q62+'Inputs'!$U$102*Q74+'Inputs'!$U$103*Q86+'Inputs'!$U$104*Q98+'Inputs'!$U$105*Q110)+'Inputs'!$O$101*IF(AND('Inputs'!$C$108="The spouse, from what they receive",SUM('Inputs'!$O$100:$O$105)&gt;0,OR(LEFT('Inputs'!$C$13,7)="Married",'Inputs'!$C$13="Life partner",'Inputs'!$C$13="Civil Union")),1,0)*MAX(0,Q27),2)))</f>
      </c>
      <c r="R56">
        <f>IF('Inputs'!$B$101="",0,IF('Inputs'!$U$101=1,0,ROUND(R62+'Inputs'!$O$101*('Inputs'!$U$100*R50+'Inputs'!$U$101*R62+'Inputs'!$U$102*R74+'Inputs'!$U$103*R86+'Inputs'!$U$104*R98+'Inputs'!$U$105*R110)+'Inputs'!$O$101*IF(AND('Inputs'!$C$108="The spouse, from what they receive",SUM('Inputs'!$O$100:$O$105)&gt;0,OR(LEFT('Inputs'!$C$13,7)="Married",'Inputs'!$C$13="Life partner",'Inputs'!$C$13="Civil Union")),1,0)*MAX(0,R27),2)))</f>
      </c>
      <c r="S56">
        <f>IF('Inputs'!$B$101="",0,IF('Inputs'!$U$101=1,0,ROUND(S62+'Inputs'!$O$101*('Inputs'!$U$100*S50+'Inputs'!$U$101*S62+'Inputs'!$U$102*S74+'Inputs'!$U$103*S86+'Inputs'!$U$104*S98+'Inputs'!$U$105*S110)+'Inputs'!$O$101*IF(AND('Inputs'!$C$108="The spouse, from what they receive",SUM('Inputs'!$O$100:$O$105)&gt;0,OR(LEFT('Inputs'!$C$13,7)="Married",'Inputs'!$C$13="Life partner",'Inputs'!$C$13="Civil Union")),1,0)*MAX(0,S27),2)))</f>
      </c>
      <c r="T56">
        <f>IF('Inputs'!$B$101="",0,IF('Inputs'!$U$101=1,0,ROUND(T62+'Inputs'!$O$101*('Inputs'!$U$100*T50+'Inputs'!$U$101*T62+'Inputs'!$U$102*T74+'Inputs'!$U$103*T86+'Inputs'!$U$104*T98+'Inputs'!$U$105*T110)+'Inputs'!$O$101*IF(AND('Inputs'!$C$108="The spouse, from what they receive",SUM('Inputs'!$O$100:$O$105)&gt;0,OR(LEFT('Inputs'!$C$13,7)="Married",'Inputs'!$C$13="Life partner",'Inputs'!$C$13="Civil Union")),1,0)*MAX(0,T27),2)))</f>
      </c>
    </row>
    <row r="57" spans="2:20" x14ac:dyDescent="0.25">
      <c r="B57" t="s">
        <v>387</v>
      </c>
      <c r="C57">
        <f>IF('Inputs'!$B$101="",0,ROUND(C56-C52,2))</f>
      </c>
      <c r="E57">
        <f>IF('Inputs'!$B$101="",0,ROUND(E56-E52,2))</f>
      </c>
      <c r="F57">
        <f>IF('Inputs'!$B$101="",0,ROUND(F56-F52,2))</f>
      </c>
      <c r="G57">
        <f>IF('Inputs'!$B$101="",0,ROUND(G56-G52,2))</f>
      </c>
      <c r="H57">
        <f>IF('Inputs'!$B$101="",0,ROUND(H56-H52,2))</f>
      </c>
      <c r="I57">
        <f>IF('Inputs'!$B$101="",0,ROUND(I56-I52,2))</f>
      </c>
      <c r="J57">
        <f>IF('Inputs'!$B$101="",0,ROUND(J56-J52,2))</f>
      </c>
      <c r="K57">
        <f>IF('Inputs'!$B$101="",0,ROUND(K56-K52,2))</f>
      </c>
      <c r="L57">
        <f>IF('Inputs'!$B$101="",0,ROUND(L56-L52,2))</f>
      </c>
      <c r="M57">
        <f>IF('Inputs'!$B$101="",0,ROUND(M56-M52,2))</f>
      </c>
      <c r="N57">
        <f>IF('Inputs'!$B$101="",0,ROUND(N56-N52,2))</f>
      </c>
      <c r="O57">
        <f>IF('Inputs'!$B$101="",0,ROUND(O56-O52,2))</f>
      </c>
      <c r="P57">
        <f>IF('Inputs'!$B$101="",0,ROUND(P56-P52,2))</f>
      </c>
      <c r="Q57">
        <f>IF('Inputs'!$B$101="",0,ROUND(Q56-Q52,2))</f>
      </c>
      <c r="R57">
        <f>IF('Inputs'!$B$101="",0,ROUND(R56-R52,2))</f>
      </c>
      <c r="S57">
        <f>IF('Inputs'!$B$101="",0,ROUND(S56-S52,2))</f>
      </c>
      <c r="T57">
        <f>IF('Inputs'!$B$101="",0,ROUND(T56-T52,2))</f>
      </c>
    </row>
    <row r="58" spans="2:20" x14ac:dyDescent="0.25">
      <c r="B58" t="s">
        <v>388</v>
      </c>
      <c r="C58">
        <f>IF('Inputs'!$B$101="",0,'Needs years'!$C$72+IF('Inputs'!$U$101=1,('Inputs'!$O$100*C51+'Inputs'!$O$101*C63+'Inputs'!$O$102*C75+'Inputs'!$O$103*C87+'Inputs'!$O$104*C99+'Inputs'!$O$105*C111),C63)*'Needs years'!$J$60/12)</f>
      </c>
      <c r="E58">
        <f>IF('Inputs'!$B$101="",0,'Needs years'!$C$72+IF('Inputs'!$U$101=1,('Inputs'!$O$100*E51+'Inputs'!$O$101*E63+'Inputs'!$O$102*E75+'Inputs'!$O$103*E87+'Inputs'!$O$104*E99+'Inputs'!$O$105*E111),E63)*'Needs years'!$J$60/12)</f>
      </c>
      <c r="F58">
        <f>IF('Inputs'!$B$101="",0,'Needs years'!$C$72+IF('Inputs'!$U$101=1,('Inputs'!$O$100*F51+'Inputs'!$O$101*F63+'Inputs'!$O$102*F75+'Inputs'!$O$103*F87+'Inputs'!$O$104*F99+'Inputs'!$O$105*F111),F63)*'Needs years'!$J$60/12)</f>
      </c>
      <c r="G58">
        <f>IF('Inputs'!$B$101="",0,'Needs years'!$C$72+IF('Inputs'!$U$101=1,('Inputs'!$O$100*G51+'Inputs'!$O$101*G63+'Inputs'!$O$102*G75+'Inputs'!$O$103*G87+'Inputs'!$O$104*G99+'Inputs'!$O$105*G111),G63)*'Needs years'!$J$60/12)</f>
      </c>
      <c r="H58">
        <f>IF('Inputs'!$B$101="",0,'Needs years'!$C$72+IF('Inputs'!$U$101=1,('Inputs'!$O$100*H51+'Inputs'!$O$101*H63+'Inputs'!$O$102*H75+'Inputs'!$O$103*H87+'Inputs'!$O$104*H99+'Inputs'!$O$105*H111),H63)*'Needs years'!$J$60/12)</f>
      </c>
      <c r="I58">
        <f>IF('Inputs'!$B$101="",0,'Needs years'!$C$72+IF('Inputs'!$U$101=1,('Inputs'!$O$100*I51+'Inputs'!$O$101*I63+'Inputs'!$O$102*I75+'Inputs'!$O$103*I87+'Inputs'!$O$104*I99+'Inputs'!$O$105*I111),I63)*'Needs years'!$J$60/12)</f>
      </c>
      <c r="J58">
        <f>IF('Inputs'!$B$101="",0,'Needs years'!$C$72+IF('Inputs'!$U$101=1,('Inputs'!$O$100*J51+'Inputs'!$O$101*J63+'Inputs'!$O$102*J75+'Inputs'!$O$103*J87+'Inputs'!$O$104*J99+'Inputs'!$O$105*J111),J63)*'Needs years'!$J$60/12)</f>
      </c>
      <c r="K58">
        <f>IF('Inputs'!$B$101="",0,'Needs years'!$C$72+IF('Inputs'!$U$101=1,('Inputs'!$O$100*K51+'Inputs'!$O$101*K63+'Inputs'!$O$102*K75+'Inputs'!$O$103*K87+'Inputs'!$O$104*K99+'Inputs'!$O$105*K111),K63)*'Needs years'!$J$60/12)</f>
      </c>
      <c r="L58">
        <f>IF('Inputs'!$B$101="",0,'Needs years'!$C$72+IF('Inputs'!$U$101=1,('Inputs'!$O$100*L51+'Inputs'!$O$101*L63+'Inputs'!$O$102*L75+'Inputs'!$O$103*L87+'Inputs'!$O$104*L99+'Inputs'!$O$105*L111),L63)*'Needs years'!$J$60/12)</f>
      </c>
      <c r="M58">
        <f>IF('Inputs'!$B$101="",0,'Needs years'!$C$72+IF('Inputs'!$U$101=1,('Inputs'!$O$100*M51+'Inputs'!$O$101*M63+'Inputs'!$O$102*M75+'Inputs'!$O$103*M87+'Inputs'!$O$104*M99+'Inputs'!$O$105*M111),M63)*'Needs years'!$J$60/12)</f>
      </c>
      <c r="N58">
        <f>IF('Inputs'!$B$101="",0,'Needs years'!$C$72+IF('Inputs'!$U$101=1,('Inputs'!$O$100*N51+'Inputs'!$O$101*N63+'Inputs'!$O$102*N75+'Inputs'!$O$103*N87+'Inputs'!$O$104*N99+'Inputs'!$O$105*N111),N63)*'Needs years'!$J$60/12)</f>
      </c>
      <c r="O58">
        <f>IF('Inputs'!$B$101="",0,'Needs years'!$C$72+IF('Inputs'!$U$101=1,('Inputs'!$O$100*O51+'Inputs'!$O$101*O63+'Inputs'!$O$102*O75+'Inputs'!$O$103*O87+'Inputs'!$O$104*O99+'Inputs'!$O$105*O111),O63)*'Needs years'!$J$60/12)</f>
      </c>
      <c r="P58">
        <f>IF('Inputs'!$B$101="",0,'Needs years'!$C$72+IF('Inputs'!$U$101=1,('Inputs'!$O$100*P51+'Inputs'!$O$101*P63+'Inputs'!$O$102*P75+'Inputs'!$O$103*P87+'Inputs'!$O$104*P99+'Inputs'!$O$105*P111),P63)*'Needs years'!$J$60/12)</f>
      </c>
      <c r="Q58">
        <f>IF('Inputs'!$B$101="",0,'Needs years'!$C$72+IF('Inputs'!$U$101=1,('Inputs'!$O$100*Q51+'Inputs'!$O$101*Q63+'Inputs'!$O$102*Q75+'Inputs'!$O$103*Q87+'Inputs'!$O$104*Q99+'Inputs'!$O$105*Q111),Q63)*'Needs years'!$J$60/12)</f>
      </c>
      <c r="R58">
        <f>IF('Inputs'!$B$101="",0,'Needs years'!$C$72+IF('Inputs'!$U$101=1,('Inputs'!$O$100*R51+'Inputs'!$O$101*R63+'Inputs'!$O$102*R75+'Inputs'!$O$103*R87+'Inputs'!$O$104*R99+'Inputs'!$O$105*R111),R63)*'Needs years'!$J$60/12)</f>
      </c>
      <c r="S58">
        <f>IF('Inputs'!$B$101="",0,'Needs years'!$C$72+IF('Inputs'!$U$101=1,('Inputs'!$O$100*S51+'Inputs'!$O$101*S63+'Inputs'!$O$102*S75+'Inputs'!$O$103*S87+'Inputs'!$O$104*S99+'Inputs'!$O$105*S111),S63)*'Needs years'!$J$60/12)</f>
      </c>
      <c r="T58">
        <f>IF('Inputs'!$B$101="",0,'Needs years'!$C$72+IF('Inputs'!$U$101=1,('Inputs'!$O$100*T51+'Inputs'!$O$101*T63+'Inputs'!$O$102*T75+'Inputs'!$O$103*T87+'Inputs'!$O$104*T99+'Inputs'!$O$105*T111),T63)*'Needs years'!$J$60/12)</f>
      </c>
    </row>
    <row r="59" spans="2:20" x14ac:dyDescent="0.25">
      <c r="B59" t="s">
        <v>389</v>
      </c>
      <c r="C59">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59">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59">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59">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59">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59">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59">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59">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59">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59">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59">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59">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59">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59">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59">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59">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59">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60" spans="2:20" x14ac:dyDescent="0.25">
      <c r="B60" t="s">
        <v>390</v>
      </c>
      <c r="C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Union")),1,0)*MAX(0,C27))</f>
      </c>
      <c r="E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Union")),1,0)*MAX(0,E27))</f>
      </c>
      <c r="F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Union")),1,0)*MAX(0,F27))</f>
      </c>
      <c r="G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Union")),1,0)*MAX(0,G27))</f>
      </c>
      <c r="H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Union")),1,0)*MAX(0,H27))</f>
      </c>
      <c r="I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Union")),1,0)*MAX(0,I27))</f>
      </c>
      <c r="J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Union")),1,0)*MAX(0,J27))</f>
      </c>
      <c r="K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Union")),1,0)*MAX(0,K27))</f>
      </c>
      <c r="L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Union")),1,0)*MAX(0,L27))</f>
      </c>
      <c r="M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Union")),1,0)*MAX(0,M27))</f>
      </c>
      <c r="N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Union")),1,0)*MAX(0,N27))</f>
      </c>
      <c r="O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Union")),1,0)*MAX(0,O27))</f>
      </c>
      <c r="P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Union")),1,0)*MAX(0,P27))</f>
      </c>
      <c r="Q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Union")),1,0)*MAX(0,Q27))</f>
      </c>
      <c r="R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Union")),1,0)*MAX(0,R27))</f>
      </c>
      <c r="S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Union")),1,0)*MAX(0,S27))</f>
      </c>
      <c r="T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Union")),1,0)*MAX(0,T27))</f>
      </c>
    </row>
    <row r="61" spans="2:20" x14ac:dyDescent="0.25">
      <c r="B61" t="s">
        <v>391</v>
      </c>
      <c r="C61">
        <f>IF('Inputs'!$U$101=1,('Inputs'!$O$100*C43+'Inputs'!$O$101*C55+'Inputs'!$O$102*C67+'Inputs'!$O$103*C79+'Inputs'!$O$104*C91+'Inputs'!$O$105*C103),C55)</f>
      </c>
      <c r="E61">
        <f>IF('Inputs'!$U$101=1,('Inputs'!$O$100*E43+'Inputs'!$O$101*E55+'Inputs'!$O$102*E67+'Inputs'!$O$103*E79+'Inputs'!$O$104*E91+'Inputs'!$O$105*E103),E55)</f>
      </c>
      <c r="F61">
        <f>IF('Inputs'!$U$101=1,('Inputs'!$O$100*F43+'Inputs'!$O$101*F55+'Inputs'!$O$102*F67+'Inputs'!$O$103*F79+'Inputs'!$O$104*F91+'Inputs'!$O$105*F103),F55)</f>
      </c>
      <c r="G61">
        <f>IF('Inputs'!$U$101=1,('Inputs'!$O$100*G43+'Inputs'!$O$101*G55+'Inputs'!$O$102*G67+'Inputs'!$O$103*G79+'Inputs'!$O$104*G91+'Inputs'!$O$105*G103),G55)</f>
      </c>
      <c r="H61">
        <f>IF('Inputs'!$U$101=1,('Inputs'!$O$100*H43+'Inputs'!$O$101*H55+'Inputs'!$O$102*H67+'Inputs'!$O$103*H79+'Inputs'!$O$104*H91+'Inputs'!$O$105*H103),H55)</f>
      </c>
      <c r="I61">
        <f>IF('Inputs'!$U$101=1,('Inputs'!$O$100*I43+'Inputs'!$O$101*I55+'Inputs'!$O$102*I67+'Inputs'!$O$103*I79+'Inputs'!$O$104*I91+'Inputs'!$O$105*I103),I55)</f>
      </c>
      <c r="J61">
        <f>IF('Inputs'!$U$101=1,('Inputs'!$O$100*J43+'Inputs'!$O$101*J55+'Inputs'!$O$102*J67+'Inputs'!$O$103*J79+'Inputs'!$O$104*J91+'Inputs'!$O$105*J103),J55)</f>
      </c>
      <c r="K61">
        <f>IF('Inputs'!$U$101=1,('Inputs'!$O$100*K43+'Inputs'!$O$101*K55+'Inputs'!$O$102*K67+'Inputs'!$O$103*K79+'Inputs'!$O$104*K91+'Inputs'!$O$105*K103),K55)</f>
      </c>
      <c r="L61">
        <f>IF('Inputs'!$U$101=1,('Inputs'!$O$100*L43+'Inputs'!$O$101*L55+'Inputs'!$O$102*L67+'Inputs'!$O$103*L79+'Inputs'!$O$104*L91+'Inputs'!$O$105*L103),L55)</f>
      </c>
      <c r="M61">
        <f>IF('Inputs'!$U$101=1,('Inputs'!$O$100*M43+'Inputs'!$O$101*M55+'Inputs'!$O$102*M67+'Inputs'!$O$103*M79+'Inputs'!$O$104*M91+'Inputs'!$O$105*M103),M55)</f>
      </c>
      <c r="N61">
        <f>IF('Inputs'!$U$101=1,('Inputs'!$O$100*N43+'Inputs'!$O$101*N55+'Inputs'!$O$102*N67+'Inputs'!$O$103*N79+'Inputs'!$O$104*N91+'Inputs'!$O$105*N103),N55)</f>
      </c>
      <c r="O61">
        <f>IF('Inputs'!$U$101=1,('Inputs'!$O$100*O43+'Inputs'!$O$101*O55+'Inputs'!$O$102*O67+'Inputs'!$O$103*O79+'Inputs'!$O$104*O91+'Inputs'!$O$105*O103),O55)</f>
      </c>
      <c r="P61">
        <f>IF('Inputs'!$U$101=1,('Inputs'!$O$100*P43+'Inputs'!$O$101*P55+'Inputs'!$O$102*P67+'Inputs'!$O$103*P79+'Inputs'!$O$104*P91+'Inputs'!$O$105*P103),P55)</f>
      </c>
      <c r="Q61">
        <f>IF('Inputs'!$U$101=1,('Inputs'!$O$100*Q43+'Inputs'!$O$101*Q55+'Inputs'!$O$102*Q67+'Inputs'!$O$103*Q79+'Inputs'!$O$104*Q91+'Inputs'!$O$105*Q103),Q55)</f>
      </c>
      <c r="R61">
        <f>IF('Inputs'!$U$101=1,('Inputs'!$O$100*R43+'Inputs'!$O$101*R55+'Inputs'!$O$102*R67+'Inputs'!$O$103*R79+'Inputs'!$O$104*R91+'Inputs'!$O$105*R103),R55)</f>
      </c>
      <c r="S61">
        <f>IF('Inputs'!$U$101=1,('Inputs'!$O$100*S43+'Inputs'!$O$101*S55+'Inputs'!$O$102*S67+'Inputs'!$O$103*S79+'Inputs'!$O$104*S91+'Inputs'!$O$105*S103),S55)</f>
      </c>
      <c r="T61">
        <f>IF('Inputs'!$U$101=1,('Inputs'!$O$100*T43+'Inputs'!$O$101*T55+'Inputs'!$O$102*T67+'Inputs'!$O$103*T79+'Inputs'!$O$104*T91+'Inputs'!$O$105*T103),T55)</f>
      </c>
    </row>
    <row r="62" spans="2:20" x14ac:dyDescent="0.25">
      <c r="B62" t="s">
        <v>392</v>
      </c>
      <c r="C62">
        <f>IF('Inputs'!$B$101="",0,ROUND('Needs years'!$C$66+ROUND(IF(C61=0,SUM('Needs years'!$J$60:$J$109),(1-(1+C61)^-1)/(1-(1+C61)^(-1/12))/12*SUMPRODUCT('Needs years'!$J$60:$J$109,(1+C61)^(-'Needs years'!$I$60:$I$109))),2),2))</f>
      </c>
      <c r="E62">
        <f>IF('Inputs'!$B$101="",0,ROUND('Needs years'!$C$66+ROUND(IF(E61=0,SUM('Needs years'!$J$60:$J$109),(1-(1+E61)^-1)/(1-(1+E61)^(-1/12))/12*SUMPRODUCT('Needs years'!$J$60:$J$109,(1+E61)^(-'Needs years'!$I$60:$I$109))),2),2))</f>
      </c>
      <c r="F62">
        <f>IF('Inputs'!$B$101="",0,ROUND('Needs years'!$C$66+ROUND(IF(F61=0,SUM('Needs years'!$J$60:$J$109),(1-(1+F61)^-1)/(1-(1+F61)^(-1/12))/12*SUMPRODUCT('Needs years'!$J$60:$J$109,(1+F61)^(-'Needs years'!$I$60:$I$109))),2),2))</f>
      </c>
      <c r="G62">
        <f>IF('Inputs'!$B$101="",0,ROUND('Needs years'!$C$66+ROUND(IF(G61=0,SUM('Needs years'!$J$60:$J$109),(1-(1+G61)^-1)/(1-(1+G61)^(-1/12))/12*SUMPRODUCT('Needs years'!$J$60:$J$109,(1+G61)^(-'Needs years'!$I$60:$I$109))),2),2))</f>
      </c>
      <c r="H62">
        <f>IF('Inputs'!$B$101="",0,ROUND('Needs years'!$C$66+ROUND(IF(H61=0,SUM('Needs years'!$J$60:$J$109),(1-(1+H61)^-1)/(1-(1+H61)^(-1/12))/12*SUMPRODUCT('Needs years'!$J$60:$J$109,(1+H61)^(-'Needs years'!$I$60:$I$109))),2),2))</f>
      </c>
      <c r="I62">
        <f>IF('Inputs'!$B$101="",0,ROUND('Needs years'!$C$66+ROUND(IF(I61=0,SUM('Needs years'!$J$60:$J$109),(1-(1+I61)^-1)/(1-(1+I61)^(-1/12))/12*SUMPRODUCT('Needs years'!$J$60:$J$109,(1+I61)^(-'Needs years'!$I$60:$I$109))),2),2))</f>
      </c>
      <c r="J62">
        <f>IF('Inputs'!$B$101="",0,ROUND('Needs years'!$C$66+ROUND(IF(J61=0,SUM('Needs years'!$J$60:$J$109),(1-(1+J61)^-1)/(1-(1+J61)^(-1/12))/12*SUMPRODUCT('Needs years'!$J$60:$J$109,(1+J61)^(-'Needs years'!$I$60:$I$109))),2),2))</f>
      </c>
      <c r="K62">
        <f>IF('Inputs'!$B$101="",0,ROUND('Needs years'!$C$66+ROUND(IF(K61=0,SUM('Needs years'!$J$60:$J$109),(1-(1+K61)^-1)/(1-(1+K61)^(-1/12))/12*SUMPRODUCT('Needs years'!$J$60:$J$109,(1+K61)^(-'Needs years'!$I$60:$I$109))),2),2))</f>
      </c>
      <c r="L62">
        <f>IF('Inputs'!$B$101="",0,ROUND('Needs years'!$C$66+ROUND(IF(L61=0,SUM('Needs years'!$J$60:$J$109),(1-(1+L61)^-1)/(1-(1+L61)^(-1/12))/12*SUMPRODUCT('Needs years'!$J$60:$J$109,(1+L61)^(-'Needs years'!$I$60:$I$109))),2),2))</f>
      </c>
      <c r="M62">
        <f>IF('Inputs'!$B$101="",0,ROUND('Needs years'!$C$66+ROUND(IF(M61=0,SUM('Needs years'!$J$60:$J$109),(1-(1+M61)^-1)/(1-(1+M61)^(-1/12))/12*SUMPRODUCT('Needs years'!$J$60:$J$109,(1+M61)^(-'Needs years'!$I$60:$I$109))),2),2))</f>
      </c>
      <c r="N62">
        <f>IF('Inputs'!$B$101="",0,ROUND('Needs years'!$C$66+ROUND(IF(N61=0,SUM('Needs years'!$J$60:$J$109),(1-(1+N61)^-1)/(1-(1+N61)^(-1/12))/12*SUMPRODUCT('Needs years'!$J$60:$J$109,(1+N61)^(-'Needs years'!$I$60:$I$109))),2),2))</f>
      </c>
      <c r="O62">
        <f>IF('Inputs'!$B$101="",0,ROUND('Needs years'!$C$66+ROUND(IF(O61=0,SUM('Needs years'!$J$60:$J$109),(1-(1+O61)^-1)/(1-(1+O61)^(-1/12))/12*SUMPRODUCT('Needs years'!$J$60:$J$109,(1+O61)^(-'Needs years'!$I$60:$I$109))),2),2))</f>
      </c>
      <c r="P62">
        <f>IF('Inputs'!$B$101="",0,ROUND('Needs years'!$C$66+ROUND(IF(P61=0,SUM('Needs years'!$J$60:$J$109),(1-(1+P61)^-1)/(1-(1+P61)^(-1/12))/12*SUMPRODUCT('Needs years'!$J$60:$J$109,(1+P61)^(-'Needs years'!$I$60:$I$109))),2),2))</f>
      </c>
      <c r="Q62">
        <f>IF('Inputs'!$B$101="",0,ROUND('Needs years'!$C$66+ROUND(IF(Q61=0,SUM('Needs years'!$J$60:$J$109),(1-(1+Q61)^-1)/(1-(1+Q61)^(-1/12))/12*SUMPRODUCT('Needs years'!$J$60:$J$109,(1+Q61)^(-'Needs years'!$I$60:$I$109))),2),2))</f>
      </c>
      <c r="R62">
        <f>IF('Inputs'!$B$101="",0,ROUND('Needs years'!$C$66+ROUND(IF(R61=0,SUM('Needs years'!$J$60:$J$109),(1-(1+R61)^-1)/(1-(1+R61)^(-1/12))/12*SUMPRODUCT('Needs years'!$J$60:$J$109,(1+R61)^(-'Needs years'!$I$60:$I$109))),2),2))</f>
      </c>
      <c r="S62">
        <f>IF('Inputs'!$B$101="",0,ROUND('Needs years'!$C$66+ROUND(IF(S61=0,SUM('Needs years'!$J$60:$J$109),(1-(1+S61)^-1)/(1-(1+S61)^(-1/12))/12*SUMPRODUCT('Needs years'!$J$60:$J$109,(1+S61)^(-'Needs years'!$I$60:$I$109))),2),2))</f>
      </c>
      <c r="T62">
        <f>IF('Inputs'!$B$101="",0,ROUND('Needs years'!$C$66+ROUND(IF(T61=0,SUM('Needs years'!$J$60:$J$109),(1-(1+T61)^-1)/(1-(1+T61)^(-1/12))/12*SUMPRODUCT('Needs years'!$J$60:$J$109,(1+T61)^(-'Needs years'!$I$60:$I$109))),2),2))</f>
      </c>
    </row>
    <row r="63" spans="2:20" x14ac:dyDescent="0.25">
      <c r="B63" t="s">
        <v>393</v>
      </c>
      <c r="C63">
        <f>IF('Inputs'!$U$101=1,0,IF((C56-C60)&gt;0,MAX(0,C52-C60)/(C56-C60),0))</f>
      </c>
      <c r="E63">
        <f>IF('Inputs'!$U$101=1,0,IF((E56-E60)&gt;0,MAX(0,E52-E60)/(E56-E60),0))</f>
      </c>
      <c r="F63">
        <f>IF('Inputs'!$U$101=1,0,IF((F56-F60)&gt;0,MAX(0,F52-F60)/(F56-F60),0))</f>
      </c>
      <c r="G63">
        <f>IF('Inputs'!$U$101=1,0,IF((G56-G60)&gt;0,MAX(0,G52-G60)/(G56-G60),0))</f>
      </c>
      <c r="H63">
        <f>IF('Inputs'!$U$101=1,0,IF((H56-H60)&gt;0,MAX(0,H52-H60)/(H56-H60),0))</f>
      </c>
      <c r="I63">
        <f>IF('Inputs'!$U$101=1,0,IF((I56-I60)&gt;0,MAX(0,I52-I60)/(I56-I60),0))</f>
      </c>
      <c r="J63">
        <f>IF('Inputs'!$U$101=1,0,IF((J56-J60)&gt;0,MAX(0,J52-J60)/(J56-J60),0))</f>
      </c>
      <c r="K63">
        <f>IF('Inputs'!$U$101=1,0,IF((K56-K60)&gt;0,MAX(0,K52-K60)/(K56-K60),0))</f>
      </c>
      <c r="L63">
        <f>IF('Inputs'!$U$101=1,0,IF((L56-L60)&gt;0,MAX(0,L52-L60)/(L56-L60),0))</f>
      </c>
      <c r="M63">
        <f>IF('Inputs'!$U$101=1,0,IF((M56-M60)&gt;0,MAX(0,M52-M60)/(M56-M60),0))</f>
      </c>
      <c r="N63">
        <f>IF('Inputs'!$U$101=1,0,IF((N56-N60)&gt;0,MAX(0,N52-N60)/(N56-N60),0))</f>
      </c>
      <c r="O63">
        <f>IF('Inputs'!$U$101=1,0,IF((O56-O60)&gt;0,MAX(0,O52-O60)/(O56-O60),0))</f>
      </c>
      <c r="P63">
        <f>IF('Inputs'!$U$101=1,0,IF((P56-P60)&gt;0,MAX(0,P52-P60)/(P56-P60),0))</f>
      </c>
      <c r="Q63">
        <f>IF('Inputs'!$U$101=1,0,IF((Q56-Q60)&gt;0,MAX(0,Q52-Q60)/(Q56-Q60),0))</f>
      </c>
      <c r="R63">
        <f>IF('Inputs'!$U$101=1,0,IF((R56-R60)&gt;0,MAX(0,R52-R60)/(R56-R60),0))</f>
      </c>
      <c r="S63">
        <f>IF('Inputs'!$U$101=1,0,IF((S56-S60)&gt;0,MAX(0,S52-S60)/(S56-S60),0))</f>
      </c>
      <c r="T63">
        <f>IF('Inputs'!$U$101=1,0,IF((T56-T60)&gt;0,MAX(0,T52-T60)/(T56-T60),0))</f>
      </c>
    </row>
    <row r="64" spans="2:20" x14ac:dyDescent="0.25">
      <c r="B64" t="s">
        <v>394</v>
      </c>
      <c r="C64">
        <f>IF('Inputs'!$B$102="",0,IF('Inputs'!$U$102=1,0,ROUND(C71+'Inputs'!$O$102*('Inputs'!$U$100*C47+'Inputs'!$U$101*C59+'Inputs'!$U$102*C71+'Inputs'!$U$103*C83+'Inputs'!$U$104*C95+'Inputs'!$U$105*C107),2)))</f>
      </c>
      <c r="E64">
        <f>IF('Inputs'!$B$102="",0,IF('Inputs'!$U$102=1,0,ROUND(E71+'Inputs'!$O$102*('Inputs'!$U$100*E47+'Inputs'!$U$101*E59+'Inputs'!$U$102*E71+'Inputs'!$U$103*E83+'Inputs'!$U$104*E95+'Inputs'!$U$105*E107),2)))</f>
      </c>
      <c r="F64">
        <f>IF('Inputs'!$B$102="",0,IF('Inputs'!$U$102=1,0,ROUND(F71+'Inputs'!$O$102*('Inputs'!$U$100*F47+'Inputs'!$U$101*F59+'Inputs'!$U$102*F71+'Inputs'!$U$103*F83+'Inputs'!$U$104*F95+'Inputs'!$U$105*F107),2)))</f>
      </c>
      <c r="G64">
        <f>IF('Inputs'!$B$102="",0,IF('Inputs'!$U$102=1,0,ROUND(G71+'Inputs'!$O$102*('Inputs'!$U$100*G47+'Inputs'!$U$101*G59+'Inputs'!$U$102*G71+'Inputs'!$U$103*G83+'Inputs'!$U$104*G95+'Inputs'!$U$105*G107),2)))</f>
      </c>
      <c r="H64">
        <f>IF('Inputs'!$B$102="",0,IF('Inputs'!$U$102=1,0,ROUND(H71+'Inputs'!$O$102*('Inputs'!$U$100*H47+'Inputs'!$U$101*H59+'Inputs'!$U$102*H71+'Inputs'!$U$103*H83+'Inputs'!$U$104*H95+'Inputs'!$U$105*H107),2)))</f>
      </c>
      <c r="I64">
        <f>IF('Inputs'!$B$102="",0,IF('Inputs'!$U$102=1,0,ROUND(I71+'Inputs'!$O$102*('Inputs'!$U$100*I47+'Inputs'!$U$101*I59+'Inputs'!$U$102*I71+'Inputs'!$U$103*I83+'Inputs'!$U$104*I95+'Inputs'!$U$105*I107),2)))</f>
      </c>
      <c r="J64">
        <f>IF('Inputs'!$B$102="",0,IF('Inputs'!$U$102=1,0,ROUND(J71+'Inputs'!$O$102*('Inputs'!$U$100*J47+'Inputs'!$U$101*J59+'Inputs'!$U$102*J71+'Inputs'!$U$103*J83+'Inputs'!$U$104*J95+'Inputs'!$U$105*J107),2)))</f>
      </c>
      <c r="K64">
        <f>IF('Inputs'!$B$102="",0,IF('Inputs'!$U$102=1,0,ROUND(K71+'Inputs'!$O$102*('Inputs'!$U$100*K47+'Inputs'!$U$101*K59+'Inputs'!$U$102*K71+'Inputs'!$U$103*K83+'Inputs'!$U$104*K95+'Inputs'!$U$105*K107),2)))</f>
      </c>
      <c r="L64">
        <f>IF('Inputs'!$B$102="",0,IF('Inputs'!$U$102=1,0,ROUND(L71+'Inputs'!$O$102*('Inputs'!$U$100*L47+'Inputs'!$U$101*L59+'Inputs'!$U$102*L71+'Inputs'!$U$103*L83+'Inputs'!$U$104*L95+'Inputs'!$U$105*L107),2)))</f>
      </c>
      <c r="M64">
        <f>IF('Inputs'!$B$102="",0,IF('Inputs'!$U$102=1,0,ROUND(M71+'Inputs'!$O$102*('Inputs'!$U$100*M47+'Inputs'!$U$101*M59+'Inputs'!$U$102*M71+'Inputs'!$U$103*M83+'Inputs'!$U$104*M95+'Inputs'!$U$105*M107),2)))</f>
      </c>
      <c r="N64">
        <f>IF('Inputs'!$B$102="",0,IF('Inputs'!$U$102=1,0,ROUND(N71+'Inputs'!$O$102*('Inputs'!$U$100*N47+'Inputs'!$U$101*N59+'Inputs'!$U$102*N71+'Inputs'!$U$103*N83+'Inputs'!$U$104*N95+'Inputs'!$U$105*N107),2)))</f>
      </c>
      <c r="O64">
        <f>IF('Inputs'!$B$102="",0,IF('Inputs'!$U$102=1,0,ROUND(O71+'Inputs'!$O$102*('Inputs'!$U$100*O47+'Inputs'!$U$101*O59+'Inputs'!$U$102*O71+'Inputs'!$U$103*O83+'Inputs'!$U$104*O95+'Inputs'!$U$105*O107),2)))</f>
      </c>
      <c r="P64">
        <f>IF('Inputs'!$B$102="",0,IF('Inputs'!$U$102=1,0,ROUND(P71+'Inputs'!$O$102*('Inputs'!$U$100*P47+'Inputs'!$U$101*P59+'Inputs'!$U$102*P71+'Inputs'!$U$103*P83+'Inputs'!$U$104*P95+'Inputs'!$U$105*P107),2)))</f>
      </c>
      <c r="Q64">
        <f>IF('Inputs'!$B$102="",0,IF('Inputs'!$U$102=1,0,ROUND(Q71+'Inputs'!$O$102*('Inputs'!$U$100*Q47+'Inputs'!$U$101*Q59+'Inputs'!$U$102*Q71+'Inputs'!$U$103*Q83+'Inputs'!$U$104*Q95+'Inputs'!$U$105*Q107),2)))</f>
      </c>
      <c r="R64">
        <f>IF('Inputs'!$B$102="",0,IF('Inputs'!$U$102=1,0,ROUND(R71+'Inputs'!$O$102*('Inputs'!$U$100*R47+'Inputs'!$U$101*R59+'Inputs'!$U$102*R71+'Inputs'!$U$103*R83+'Inputs'!$U$104*R95+'Inputs'!$U$105*R107),2)))</f>
      </c>
      <c r="S64">
        <f>IF('Inputs'!$B$102="",0,IF('Inputs'!$U$102=1,0,ROUND(S71+'Inputs'!$O$102*('Inputs'!$U$100*S47+'Inputs'!$U$101*S59+'Inputs'!$U$102*S71+'Inputs'!$U$103*S83+'Inputs'!$U$104*S95+'Inputs'!$U$105*S107),2)))</f>
      </c>
      <c r="T64">
        <f>IF('Inputs'!$B$102="",0,IF('Inputs'!$U$102=1,0,ROUND(T71+'Inputs'!$O$102*('Inputs'!$U$100*T47+'Inputs'!$U$101*T59+'Inputs'!$U$102*T71+'Inputs'!$U$103*T83+'Inputs'!$U$104*T95+'Inputs'!$U$105*T107),2)))</f>
      </c>
    </row>
    <row r="65" spans="2:20" x14ac:dyDescent="0.25">
      <c r="B65" t="s">
        <v>395</v>
      </c>
      <c r="C65">
        <f>'Needs years'!$C$117+MAX(0,C64-C72)*('Inputs'!$H$136/100*('Inputs'!$H$139/100+'Inputs'!$C$146/100*'Inputs'!$H$141/100))</f>
      </c>
      <c r="E65">
        <f>'Needs years'!$C$117+MAX(0,E64-E72)*('Inputs'!$H$136/100*('Inputs'!$H$139/100+'Inputs'!$C$146/100*'Inputs'!$H$141/100))</f>
      </c>
      <c r="F65">
        <f>'Needs years'!$C$117+MAX(0,F64-F72)*('Inputs'!$H$136/100*('Inputs'!$H$139/100+'Inputs'!$C$146/100*'Inputs'!$H$141/100))</f>
      </c>
      <c r="G65">
        <f>'Needs years'!$C$117+MAX(0,G64-G72)*('Inputs'!$H$136/100*('Inputs'!$H$139/100+'Inputs'!$C$146/100*'Inputs'!$H$141/100))</f>
      </c>
      <c r="H65">
        <f>'Needs years'!$C$117+MAX(0,H64-H72)*('Inputs'!$H$136/100*('Inputs'!$H$139/100+'Inputs'!$C$146/100*'Inputs'!$H$141/100))</f>
      </c>
      <c r="I65">
        <f>'Needs years'!$C$117+MAX(0,I64-I72)*('Inputs'!$H$136/100*('Inputs'!$H$139/100+'Inputs'!$C$146/100*'Inputs'!$H$141/100))</f>
      </c>
      <c r="J65">
        <f>'Needs years'!$C$117+MAX(0,J64-J72)*('Inputs'!$H$136/100*('Inputs'!$H$139/100+'Inputs'!$C$146/100*'Inputs'!$H$141/100))</f>
      </c>
      <c r="K65">
        <f>'Needs years'!$C$117+MAX(0,K64-K72)*('Inputs'!$H$136/100*('Inputs'!$H$139/100+'Inputs'!$C$146/100*'Inputs'!$H$141/100))</f>
      </c>
      <c r="L65">
        <f>'Needs years'!$C$117+MAX(0,L64-L72)*('Inputs'!$H$136/100*('Inputs'!$H$139/100+'Inputs'!$C$146/100*'Inputs'!$H$141/100))</f>
      </c>
      <c r="M65">
        <f>'Needs years'!$C$117+MAX(0,M64-M72)*('Inputs'!$H$136/100*('Inputs'!$H$139/100+'Inputs'!$C$146/100*'Inputs'!$H$141/100))</f>
      </c>
      <c r="N65">
        <f>'Needs years'!$C$117+MAX(0,N64-N72)*('Inputs'!$H$136/100*('Inputs'!$H$139/100+'Inputs'!$C$146/100*'Inputs'!$H$141/100))</f>
      </c>
      <c r="O65">
        <f>'Needs years'!$C$117+MAX(0,O64-O72)*('Inputs'!$H$136/100*('Inputs'!$H$139/100+'Inputs'!$C$146/100*'Inputs'!$H$141/100))</f>
      </c>
      <c r="P65">
        <f>'Needs years'!$C$117+MAX(0,P64-P72)*('Inputs'!$H$136/100*('Inputs'!$H$139/100+'Inputs'!$C$146/100*'Inputs'!$H$141/100))</f>
      </c>
      <c r="Q65">
        <f>'Needs years'!$C$117+MAX(0,Q64-Q72)*('Inputs'!$H$136/100*('Inputs'!$H$139/100+'Inputs'!$C$146/100*'Inputs'!$H$141/100))</f>
      </c>
      <c r="R65">
        <f>'Needs years'!$C$117+MAX(0,R64-R72)*('Inputs'!$H$136/100*('Inputs'!$H$139/100+'Inputs'!$C$146/100*'Inputs'!$H$141/100))</f>
      </c>
      <c r="S65">
        <f>'Needs years'!$C$117+MAX(0,S64-S72)*('Inputs'!$H$136/100*('Inputs'!$H$139/100+'Inputs'!$C$146/100*'Inputs'!$H$141/100))</f>
      </c>
      <c r="T65">
        <f>'Needs years'!$C$117+MAX(0,T64-T72)*('Inputs'!$H$136/100*('Inputs'!$H$139/100+'Inputs'!$C$146/100*'Inputs'!$H$141/100))</f>
      </c>
    </row>
    <row r="66" spans="2:20" x14ac:dyDescent="0.25">
      <c r="B66" t="s">
        <v>396</v>
      </c>
      <c r="C66">
        <f>IF(C65&lt;='Needs years'!$C$116,0,INDEX('Inputs'!$E$149:$E$155,MATCH(C65,'Inputs'!$C$149:$C$155,1)-IF(COUNTIF('Inputs'!$C$149:$C$155,C65)&gt;0,1,0))/100)</f>
      </c>
      <c r="E66">
        <f>IF(E65&lt;='Needs years'!$C$116,0,INDEX('Inputs'!$E$149:$E$155,MATCH(E65,'Inputs'!$C$149:$C$155,1)-IF(COUNTIF('Inputs'!$C$149:$C$155,E65)&gt;0,1,0))/100)</f>
      </c>
      <c r="F66">
        <f>IF(F65&lt;='Needs years'!$C$116,0,INDEX('Inputs'!$E$149:$E$155,MATCH(F65,'Inputs'!$C$149:$C$155,1)-IF(COUNTIF('Inputs'!$C$149:$C$155,F65)&gt;0,1,0))/100)</f>
      </c>
      <c r="G66">
        <f>IF(G65&lt;='Needs years'!$C$116,0,INDEX('Inputs'!$E$149:$E$155,MATCH(G65,'Inputs'!$C$149:$C$155,1)-IF(COUNTIF('Inputs'!$C$149:$C$155,G65)&gt;0,1,0))/100)</f>
      </c>
      <c r="H66">
        <f>IF(H65&lt;='Needs years'!$C$116,0,INDEX('Inputs'!$E$149:$E$155,MATCH(H65,'Inputs'!$C$149:$C$155,1)-IF(COUNTIF('Inputs'!$C$149:$C$155,H65)&gt;0,1,0))/100)</f>
      </c>
      <c r="I66">
        <f>IF(I65&lt;='Needs years'!$C$116,0,INDEX('Inputs'!$E$149:$E$155,MATCH(I65,'Inputs'!$C$149:$C$155,1)-IF(COUNTIF('Inputs'!$C$149:$C$155,I65)&gt;0,1,0))/100)</f>
      </c>
      <c r="J66">
        <f>IF(J65&lt;='Needs years'!$C$116,0,INDEX('Inputs'!$E$149:$E$155,MATCH(J65,'Inputs'!$C$149:$C$155,1)-IF(COUNTIF('Inputs'!$C$149:$C$155,J65)&gt;0,1,0))/100)</f>
      </c>
      <c r="K66">
        <f>IF(K65&lt;='Needs years'!$C$116,0,INDEX('Inputs'!$E$149:$E$155,MATCH(K65,'Inputs'!$C$149:$C$155,1)-IF(COUNTIF('Inputs'!$C$149:$C$155,K65)&gt;0,1,0))/100)</f>
      </c>
      <c r="L66">
        <f>IF(L65&lt;='Needs years'!$C$116,0,INDEX('Inputs'!$E$149:$E$155,MATCH(L65,'Inputs'!$C$149:$C$155,1)-IF(COUNTIF('Inputs'!$C$149:$C$155,L65)&gt;0,1,0))/100)</f>
      </c>
      <c r="M66">
        <f>IF(M65&lt;='Needs years'!$C$116,0,INDEX('Inputs'!$E$149:$E$155,MATCH(M65,'Inputs'!$C$149:$C$155,1)-IF(COUNTIF('Inputs'!$C$149:$C$155,M65)&gt;0,1,0))/100)</f>
      </c>
      <c r="N66">
        <f>IF(N65&lt;='Needs years'!$C$116,0,INDEX('Inputs'!$E$149:$E$155,MATCH(N65,'Inputs'!$C$149:$C$155,1)-IF(COUNTIF('Inputs'!$C$149:$C$155,N65)&gt;0,1,0))/100)</f>
      </c>
      <c r="O66">
        <f>IF(O65&lt;='Needs years'!$C$116,0,INDEX('Inputs'!$E$149:$E$155,MATCH(O65,'Inputs'!$C$149:$C$155,1)-IF(COUNTIF('Inputs'!$C$149:$C$155,O65)&gt;0,1,0))/100)</f>
      </c>
      <c r="P66">
        <f>IF(P65&lt;='Needs years'!$C$116,0,INDEX('Inputs'!$E$149:$E$155,MATCH(P65,'Inputs'!$C$149:$C$155,1)-IF(COUNTIF('Inputs'!$C$149:$C$155,P65)&gt;0,1,0))/100)</f>
      </c>
      <c r="Q66">
        <f>IF(Q65&lt;='Needs years'!$C$116,0,INDEX('Inputs'!$E$149:$E$155,MATCH(Q65,'Inputs'!$C$149:$C$155,1)-IF(COUNTIF('Inputs'!$C$149:$C$155,Q65)&gt;0,1,0))/100)</f>
      </c>
      <c r="R66">
        <f>IF(R65&lt;='Needs years'!$C$116,0,INDEX('Inputs'!$E$149:$E$155,MATCH(R65,'Inputs'!$C$149:$C$155,1)-IF(COUNTIF('Inputs'!$C$149:$C$155,R65)&gt;0,1,0))/100)</f>
      </c>
      <c r="S66">
        <f>IF(S65&lt;='Needs years'!$C$116,0,INDEX('Inputs'!$E$149:$E$155,MATCH(S65,'Inputs'!$C$149:$C$155,1)-IF(COUNTIF('Inputs'!$C$149:$C$155,S65)&gt;0,1,0))/100)</f>
      </c>
      <c r="T66">
        <f>IF(T65&lt;='Needs years'!$C$116,0,INDEX('Inputs'!$E$149:$E$155,MATCH(T65,'Inputs'!$C$149:$C$155,1)-IF(COUNTIF('Inputs'!$C$149:$C$155,T65)&gt;0,1,0))/100)</f>
      </c>
    </row>
    <row r="67" spans="2:20" x14ac:dyDescent="0.25">
      <c r="B67" t="s">
        <v>397</v>
      </c>
      <c r="C67">
        <f>('Inputs'!$H$136/100*(1-('Inputs'!$H$139/100*C66+'Inputs'!$H$140/100*'Inputs'!$H$142/100+'Inputs'!$H$141/100*'Inputs'!$C$146/100*C66))-IF('Needs years'!$C$121=1,'Inputs'!$H$137/100,0))</f>
      </c>
      <c r="E67">
        <f>('Inputs'!$H$136/100*(1-('Inputs'!$H$139/100*E66+'Inputs'!$H$140/100*'Inputs'!$H$142/100+'Inputs'!$H$141/100*'Inputs'!$C$146/100*E66))-IF('Needs years'!$C$121=1,'Inputs'!$H$137/100,0))</f>
      </c>
      <c r="F67">
        <f>('Inputs'!$H$136/100*(1-('Inputs'!$H$139/100*F66+'Inputs'!$H$140/100*'Inputs'!$H$142/100+'Inputs'!$H$141/100*'Inputs'!$C$146/100*F66))-IF('Needs years'!$C$121=1,'Inputs'!$H$137/100,0))</f>
      </c>
      <c r="G67">
        <f>('Inputs'!$H$136/100*(1-('Inputs'!$H$139/100*G66+'Inputs'!$H$140/100*'Inputs'!$H$142/100+'Inputs'!$H$141/100*'Inputs'!$C$146/100*G66))-IF('Needs years'!$C$121=1,'Inputs'!$H$137/100,0))</f>
      </c>
      <c r="H67">
        <f>('Inputs'!$H$136/100*(1-('Inputs'!$H$139/100*H66+'Inputs'!$H$140/100*'Inputs'!$H$142/100+'Inputs'!$H$141/100*'Inputs'!$C$146/100*H66))-IF('Needs years'!$C$121=1,'Inputs'!$H$137/100,0))</f>
      </c>
      <c r="I67">
        <f>('Inputs'!$H$136/100*(1-('Inputs'!$H$139/100*I66+'Inputs'!$H$140/100*'Inputs'!$H$142/100+'Inputs'!$H$141/100*'Inputs'!$C$146/100*I66))-IF('Needs years'!$C$121=1,'Inputs'!$H$137/100,0))</f>
      </c>
      <c r="J67">
        <f>('Inputs'!$H$136/100*(1-('Inputs'!$H$139/100*J66+'Inputs'!$H$140/100*'Inputs'!$H$142/100+'Inputs'!$H$141/100*'Inputs'!$C$146/100*J66))-IF('Needs years'!$C$121=1,'Inputs'!$H$137/100,0))</f>
      </c>
      <c r="K67">
        <f>('Inputs'!$H$136/100*(1-('Inputs'!$H$139/100*K66+'Inputs'!$H$140/100*'Inputs'!$H$142/100+'Inputs'!$H$141/100*'Inputs'!$C$146/100*K66))-IF('Needs years'!$C$121=1,'Inputs'!$H$137/100,0))</f>
      </c>
      <c r="L67">
        <f>('Inputs'!$H$136/100*(1-('Inputs'!$H$139/100*L66+'Inputs'!$H$140/100*'Inputs'!$H$142/100+'Inputs'!$H$141/100*'Inputs'!$C$146/100*L66))-IF('Needs years'!$C$121=1,'Inputs'!$H$137/100,0))</f>
      </c>
      <c r="M67">
        <f>('Inputs'!$H$136/100*(1-('Inputs'!$H$139/100*M66+'Inputs'!$H$140/100*'Inputs'!$H$142/100+'Inputs'!$H$141/100*'Inputs'!$C$146/100*M66))-IF('Needs years'!$C$121=1,'Inputs'!$H$137/100,0))</f>
      </c>
      <c r="N67">
        <f>('Inputs'!$H$136/100*(1-('Inputs'!$H$139/100*N66+'Inputs'!$H$140/100*'Inputs'!$H$142/100+'Inputs'!$H$141/100*'Inputs'!$C$146/100*N66))-IF('Needs years'!$C$121=1,'Inputs'!$H$137/100,0))</f>
      </c>
      <c r="O67">
        <f>('Inputs'!$H$136/100*(1-('Inputs'!$H$139/100*O66+'Inputs'!$H$140/100*'Inputs'!$H$142/100+'Inputs'!$H$141/100*'Inputs'!$C$146/100*O66))-IF('Needs years'!$C$121=1,'Inputs'!$H$137/100,0))</f>
      </c>
      <c r="P67">
        <f>('Inputs'!$H$136/100*(1-('Inputs'!$H$139/100*P66+'Inputs'!$H$140/100*'Inputs'!$H$142/100+'Inputs'!$H$141/100*'Inputs'!$C$146/100*P66))-IF('Needs years'!$C$121=1,'Inputs'!$H$137/100,0))</f>
      </c>
      <c r="Q67">
        <f>('Inputs'!$H$136/100*(1-('Inputs'!$H$139/100*Q66+'Inputs'!$H$140/100*'Inputs'!$H$142/100+'Inputs'!$H$141/100*'Inputs'!$C$146/100*Q66))-IF('Needs years'!$C$121=1,'Inputs'!$H$137/100,0))</f>
      </c>
      <c r="R67">
        <f>('Inputs'!$H$136/100*(1-('Inputs'!$H$139/100*R66+'Inputs'!$H$140/100*'Inputs'!$H$142/100+'Inputs'!$H$141/100*'Inputs'!$C$146/100*R66))-IF('Needs years'!$C$121=1,'Inputs'!$H$137/100,0))</f>
      </c>
      <c r="S67">
        <f>('Inputs'!$H$136/100*(1-('Inputs'!$H$139/100*S66+'Inputs'!$H$140/100*'Inputs'!$H$142/100+'Inputs'!$H$141/100*'Inputs'!$C$146/100*S66))-IF('Needs years'!$C$121=1,'Inputs'!$H$137/100,0))</f>
      </c>
      <c r="T67">
        <f>('Inputs'!$H$136/100*(1-('Inputs'!$H$139/100*T66+'Inputs'!$H$140/100*'Inputs'!$H$142/100+'Inputs'!$H$141/100*'Inputs'!$C$146/100*T66))-IF('Needs years'!$C$121=1,'Inputs'!$H$137/100,0))</f>
      </c>
    </row>
    <row r="68" spans="2:20" x14ac:dyDescent="0.25">
      <c r="B68" t="s">
        <v>398</v>
      </c>
      <c r="C68">
        <f>IF('Inputs'!$B$102="",0,IF('Inputs'!$U$102=1,0,ROUND(C74+'Inputs'!$O$102*('Inputs'!$U$100*C50+'Inputs'!$U$101*C62+'Inputs'!$U$102*C74+'Inputs'!$U$103*C86+'Inputs'!$U$104*C98+'Inputs'!$U$105*C110)+'Inputs'!$O$102*IF(AND('Inputs'!$C$108="The spouse, from what they receive",SUM('Inputs'!$O$100:$O$105)&gt;0,OR(LEFT('Inputs'!$C$13,7)="Married",'Inputs'!$C$13="Life partner",'Inputs'!$C$13="Civil Union")),1,0)*MAX(0,C27),2)))</f>
      </c>
      <c r="E68">
        <f>IF('Inputs'!$B$102="",0,IF('Inputs'!$U$102=1,0,ROUND(E74+'Inputs'!$O$102*('Inputs'!$U$100*E50+'Inputs'!$U$101*E62+'Inputs'!$U$102*E74+'Inputs'!$U$103*E86+'Inputs'!$U$104*E98+'Inputs'!$U$105*E110)+'Inputs'!$O$102*IF(AND('Inputs'!$C$108="The spouse, from what they receive",SUM('Inputs'!$O$100:$O$105)&gt;0,OR(LEFT('Inputs'!$C$13,7)="Married",'Inputs'!$C$13="Life partner",'Inputs'!$C$13="Civil Union")),1,0)*MAX(0,E27),2)))</f>
      </c>
      <c r="F68">
        <f>IF('Inputs'!$B$102="",0,IF('Inputs'!$U$102=1,0,ROUND(F74+'Inputs'!$O$102*('Inputs'!$U$100*F50+'Inputs'!$U$101*F62+'Inputs'!$U$102*F74+'Inputs'!$U$103*F86+'Inputs'!$U$104*F98+'Inputs'!$U$105*F110)+'Inputs'!$O$102*IF(AND('Inputs'!$C$108="The spouse, from what they receive",SUM('Inputs'!$O$100:$O$105)&gt;0,OR(LEFT('Inputs'!$C$13,7)="Married",'Inputs'!$C$13="Life partner",'Inputs'!$C$13="Civil Union")),1,0)*MAX(0,F27),2)))</f>
      </c>
      <c r="G68">
        <f>IF('Inputs'!$B$102="",0,IF('Inputs'!$U$102=1,0,ROUND(G74+'Inputs'!$O$102*('Inputs'!$U$100*G50+'Inputs'!$U$101*G62+'Inputs'!$U$102*G74+'Inputs'!$U$103*G86+'Inputs'!$U$104*G98+'Inputs'!$U$105*G110)+'Inputs'!$O$102*IF(AND('Inputs'!$C$108="The spouse, from what they receive",SUM('Inputs'!$O$100:$O$105)&gt;0,OR(LEFT('Inputs'!$C$13,7)="Married",'Inputs'!$C$13="Life partner",'Inputs'!$C$13="Civil Union")),1,0)*MAX(0,G27),2)))</f>
      </c>
      <c r="H68">
        <f>IF('Inputs'!$B$102="",0,IF('Inputs'!$U$102=1,0,ROUND(H74+'Inputs'!$O$102*('Inputs'!$U$100*H50+'Inputs'!$U$101*H62+'Inputs'!$U$102*H74+'Inputs'!$U$103*H86+'Inputs'!$U$104*H98+'Inputs'!$U$105*H110)+'Inputs'!$O$102*IF(AND('Inputs'!$C$108="The spouse, from what they receive",SUM('Inputs'!$O$100:$O$105)&gt;0,OR(LEFT('Inputs'!$C$13,7)="Married",'Inputs'!$C$13="Life partner",'Inputs'!$C$13="Civil Union")),1,0)*MAX(0,H27),2)))</f>
      </c>
      <c r="I68">
        <f>IF('Inputs'!$B$102="",0,IF('Inputs'!$U$102=1,0,ROUND(I74+'Inputs'!$O$102*('Inputs'!$U$100*I50+'Inputs'!$U$101*I62+'Inputs'!$U$102*I74+'Inputs'!$U$103*I86+'Inputs'!$U$104*I98+'Inputs'!$U$105*I110)+'Inputs'!$O$102*IF(AND('Inputs'!$C$108="The spouse, from what they receive",SUM('Inputs'!$O$100:$O$105)&gt;0,OR(LEFT('Inputs'!$C$13,7)="Married",'Inputs'!$C$13="Life partner",'Inputs'!$C$13="Civil Union")),1,0)*MAX(0,I27),2)))</f>
      </c>
      <c r="J68">
        <f>IF('Inputs'!$B$102="",0,IF('Inputs'!$U$102=1,0,ROUND(J74+'Inputs'!$O$102*('Inputs'!$U$100*J50+'Inputs'!$U$101*J62+'Inputs'!$U$102*J74+'Inputs'!$U$103*J86+'Inputs'!$U$104*J98+'Inputs'!$U$105*J110)+'Inputs'!$O$102*IF(AND('Inputs'!$C$108="The spouse, from what they receive",SUM('Inputs'!$O$100:$O$105)&gt;0,OR(LEFT('Inputs'!$C$13,7)="Married",'Inputs'!$C$13="Life partner",'Inputs'!$C$13="Civil Union")),1,0)*MAX(0,J27),2)))</f>
      </c>
      <c r="K68">
        <f>IF('Inputs'!$B$102="",0,IF('Inputs'!$U$102=1,0,ROUND(K74+'Inputs'!$O$102*('Inputs'!$U$100*K50+'Inputs'!$U$101*K62+'Inputs'!$U$102*K74+'Inputs'!$U$103*K86+'Inputs'!$U$104*K98+'Inputs'!$U$105*K110)+'Inputs'!$O$102*IF(AND('Inputs'!$C$108="The spouse, from what they receive",SUM('Inputs'!$O$100:$O$105)&gt;0,OR(LEFT('Inputs'!$C$13,7)="Married",'Inputs'!$C$13="Life partner",'Inputs'!$C$13="Civil Union")),1,0)*MAX(0,K27),2)))</f>
      </c>
      <c r="L68">
        <f>IF('Inputs'!$B$102="",0,IF('Inputs'!$U$102=1,0,ROUND(L74+'Inputs'!$O$102*('Inputs'!$U$100*L50+'Inputs'!$U$101*L62+'Inputs'!$U$102*L74+'Inputs'!$U$103*L86+'Inputs'!$U$104*L98+'Inputs'!$U$105*L110)+'Inputs'!$O$102*IF(AND('Inputs'!$C$108="The spouse, from what they receive",SUM('Inputs'!$O$100:$O$105)&gt;0,OR(LEFT('Inputs'!$C$13,7)="Married",'Inputs'!$C$13="Life partner",'Inputs'!$C$13="Civil Union")),1,0)*MAX(0,L27),2)))</f>
      </c>
      <c r="M68">
        <f>IF('Inputs'!$B$102="",0,IF('Inputs'!$U$102=1,0,ROUND(M74+'Inputs'!$O$102*('Inputs'!$U$100*M50+'Inputs'!$U$101*M62+'Inputs'!$U$102*M74+'Inputs'!$U$103*M86+'Inputs'!$U$104*M98+'Inputs'!$U$105*M110)+'Inputs'!$O$102*IF(AND('Inputs'!$C$108="The spouse, from what they receive",SUM('Inputs'!$O$100:$O$105)&gt;0,OR(LEFT('Inputs'!$C$13,7)="Married",'Inputs'!$C$13="Life partner",'Inputs'!$C$13="Civil Union")),1,0)*MAX(0,M27),2)))</f>
      </c>
      <c r="N68">
        <f>IF('Inputs'!$B$102="",0,IF('Inputs'!$U$102=1,0,ROUND(N74+'Inputs'!$O$102*('Inputs'!$U$100*N50+'Inputs'!$U$101*N62+'Inputs'!$U$102*N74+'Inputs'!$U$103*N86+'Inputs'!$U$104*N98+'Inputs'!$U$105*N110)+'Inputs'!$O$102*IF(AND('Inputs'!$C$108="The spouse, from what they receive",SUM('Inputs'!$O$100:$O$105)&gt;0,OR(LEFT('Inputs'!$C$13,7)="Married",'Inputs'!$C$13="Life partner",'Inputs'!$C$13="Civil Union")),1,0)*MAX(0,N27),2)))</f>
      </c>
      <c r="O68">
        <f>IF('Inputs'!$B$102="",0,IF('Inputs'!$U$102=1,0,ROUND(O74+'Inputs'!$O$102*('Inputs'!$U$100*O50+'Inputs'!$U$101*O62+'Inputs'!$U$102*O74+'Inputs'!$U$103*O86+'Inputs'!$U$104*O98+'Inputs'!$U$105*O110)+'Inputs'!$O$102*IF(AND('Inputs'!$C$108="The spouse, from what they receive",SUM('Inputs'!$O$100:$O$105)&gt;0,OR(LEFT('Inputs'!$C$13,7)="Married",'Inputs'!$C$13="Life partner",'Inputs'!$C$13="Civil Union")),1,0)*MAX(0,O27),2)))</f>
      </c>
      <c r="P68">
        <f>IF('Inputs'!$B$102="",0,IF('Inputs'!$U$102=1,0,ROUND(P74+'Inputs'!$O$102*('Inputs'!$U$100*P50+'Inputs'!$U$101*P62+'Inputs'!$U$102*P74+'Inputs'!$U$103*P86+'Inputs'!$U$104*P98+'Inputs'!$U$105*P110)+'Inputs'!$O$102*IF(AND('Inputs'!$C$108="The spouse, from what they receive",SUM('Inputs'!$O$100:$O$105)&gt;0,OR(LEFT('Inputs'!$C$13,7)="Married",'Inputs'!$C$13="Life partner",'Inputs'!$C$13="Civil Union")),1,0)*MAX(0,P27),2)))</f>
      </c>
      <c r="Q68">
        <f>IF('Inputs'!$B$102="",0,IF('Inputs'!$U$102=1,0,ROUND(Q74+'Inputs'!$O$102*('Inputs'!$U$100*Q50+'Inputs'!$U$101*Q62+'Inputs'!$U$102*Q74+'Inputs'!$U$103*Q86+'Inputs'!$U$104*Q98+'Inputs'!$U$105*Q110)+'Inputs'!$O$102*IF(AND('Inputs'!$C$108="The spouse, from what they receive",SUM('Inputs'!$O$100:$O$105)&gt;0,OR(LEFT('Inputs'!$C$13,7)="Married",'Inputs'!$C$13="Life partner",'Inputs'!$C$13="Civil Union")),1,0)*MAX(0,Q27),2)))</f>
      </c>
      <c r="R68">
        <f>IF('Inputs'!$B$102="",0,IF('Inputs'!$U$102=1,0,ROUND(R74+'Inputs'!$O$102*('Inputs'!$U$100*R50+'Inputs'!$U$101*R62+'Inputs'!$U$102*R74+'Inputs'!$U$103*R86+'Inputs'!$U$104*R98+'Inputs'!$U$105*R110)+'Inputs'!$O$102*IF(AND('Inputs'!$C$108="The spouse, from what they receive",SUM('Inputs'!$O$100:$O$105)&gt;0,OR(LEFT('Inputs'!$C$13,7)="Married",'Inputs'!$C$13="Life partner",'Inputs'!$C$13="Civil Union")),1,0)*MAX(0,R27),2)))</f>
      </c>
      <c r="S68">
        <f>IF('Inputs'!$B$102="",0,IF('Inputs'!$U$102=1,0,ROUND(S74+'Inputs'!$O$102*('Inputs'!$U$100*S50+'Inputs'!$U$101*S62+'Inputs'!$U$102*S74+'Inputs'!$U$103*S86+'Inputs'!$U$104*S98+'Inputs'!$U$105*S110)+'Inputs'!$O$102*IF(AND('Inputs'!$C$108="The spouse, from what they receive",SUM('Inputs'!$O$100:$O$105)&gt;0,OR(LEFT('Inputs'!$C$13,7)="Married",'Inputs'!$C$13="Life partner",'Inputs'!$C$13="Civil Union")),1,0)*MAX(0,S27),2)))</f>
      </c>
      <c r="T68">
        <f>IF('Inputs'!$B$102="",0,IF('Inputs'!$U$102=1,0,ROUND(T74+'Inputs'!$O$102*('Inputs'!$U$100*T50+'Inputs'!$U$101*T62+'Inputs'!$U$102*T74+'Inputs'!$U$103*T86+'Inputs'!$U$104*T98+'Inputs'!$U$105*T110)+'Inputs'!$O$102*IF(AND('Inputs'!$C$108="The spouse, from what they receive",SUM('Inputs'!$O$100:$O$105)&gt;0,OR(LEFT('Inputs'!$C$13,7)="Married",'Inputs'!$C$13="Life partner",'Inputs'!$C$13="Civil Union")),1,0)*MAX(0,T27),2)))</f>
      </c>
    </row>
    <row r="69" spans="2:20" x14ac:dyDescent="0.25">
      <c r="B69" t="s">
        <v>399</v>
      </c>
      <c r="C69">
        <f>IF('Inputs'!$B$102="",0,ROUND(C68-C64,2))</f>
      </c>
      <c r="E69">
        <f>IF('Inputs'!$B$102="",0,ROUND(E68-E64,2))</f>
      </c>
      <c r="F69">
        <f>IF('Inputs'!$B$102="",0,ROUND(F68-F64,2))</f>
      </c>
      <c r="G69">
        <f>IF('Inputs'!$B$102="",0,ROUND(G68-G64,2))</f>
      </c>
      <c r="H69">
        <f>IF('Inputs'!$B$102="",0,ROUND(H68-H64,2))</f>
      </c>
      <c r="I69">
        <f>IF('Inputs'!$B$102="",0,ROUND(I68-I64,2))</f>
      </c>
      <c r="J69">
        <f>IF('Inputs'!$B$102="",0,ROUND(J68-J64,2))</f>
      </c>
      <c r="K69">
        <f>IF('Inputs'!$B$102="",0,ROUND(K68-K64,2))</f>
      </c>
      <c r="L69">
        <f>IF('Inputs'!$B$102="",0,ROUND(L68-L64,2))</f>
      </c>
      <c r="M69">
        <f>IF('Inputs'!$B$102="",0,ROUND(M68-M64,2))</f>
      </c>
      <c r="N69">
        <f>IF('Inputs'!$B$102="",0,ROUND(N68-N64,2))</f>
      </c>
      <c r="O69">
        <f>IF('Inputs'!$B$102="",0,ROUND(O68-O64,2))</f>
      </c>
      <c r="P69">
        <f>IF('Inputs'!$B$102="",0,ROUND(P68-P64,2))</f>
      </c>
      <c r="Q69">
        <f>IF('Inputs'!$B$102="",0,ROUND(Q68-Q64,2))</f>
      </c>
      <c r="R69">
        <f>IF('Inputs'!$B$102="",0,ROUND(R68-R64,2))</f>
      </c>
      <c r="S69">
        <f>IF('Inputs'!$B$102="",0,ROUND(S68-S64,2))</f>
      </c>
      <c r="T69">
        <f>IF('Inputs'!$B$102="",0,ROUND(T68-T64,2))</f>
      </c>
    </row>
    <row r="70" spans="2:20" x14ac:dyDescent="0.25">
      <c r="B70" t="s">
        <v>400</v>
      </c>
      <c r="C70">
        <f>IF('Inputs'!$B$102="",0,'Needs years'!$C$128+IF('Inputs'!$U$102=1,('Inputs'!$O$100*C51+'Inputs'!$O$101*C63+'Inputs'!$O$102*C75+'Inputs'!$O$103*C87+'Inputs'!$O$104*C99+'Inputs'!$O$105*C111),C75)*'Needs years'!$J$116/12)</f>
      </c>
      <c r="E70">
        <f>IF('Inputs'!$B$102="",0,'Needs years'!$C$128+IF('Inputs'!$U$102=1,('Inputs'!$O$100*E51+'Inputs'!$O$101*E63+'Inputs'!$O$102*E75+'Inputs'!$O$103*E87+'Inputs'!$O$104*E99+'Inputs'!$O$105*E111),E75)*'Needs years'!$J$116/12)</f>
      </c>
      <c r="F70">
        <f>IF('Inputs'!$B$102="",0,'Needs years'!$C$128+IF('Inputs'!$U$102=1,('Inputs'!$O$100*F51+'Inputs'!$O$101*F63+'Inputs'!$O$102*F75+'Inputs'!$O$103*F87+'Inputs'!$O$104*F99+'Inputs'!$O$105*F111),F75)*'Needs years'!$J$116/12)</f>
      </c>
      <c r="G70">
        <f>IF('Inputs'!$B$102="",0,'Needs years'!$C$128+IF('Inputs'!$U$102=1,('Inputs'!$O$100*G51+'Inputs'!$O$101*G63+'Inputs'!$O$102*G75+'Inputs'!$O$103*G87+'Inputs'!$O$104*G99+'Inputs'!$O$105*G111),G75)*'Needs years'!$J$116/12)</f>
      </c>
      <c r="H70">
        <f>IF('Inputs'!$B$102="",0,'Needs years'!$C$128+IF('Inputs'!$U$102=1,('Inputs'!$O$100*H51+'Inputs'!$O$101*H63+'Inputs'!$O$102*H75+'Inputs'!$O$103*H87+'Inputs'!$O$104*H99+'Inputs'!$O$105*H111),H75)*'Needs years'!$J$116/12)</f>
      </c>
      <c r="I70">
        <f>IF('Inputs'!$B$102="",0,'Needs years'!$C$128+IF('Inputs'!$U$102=1,('Inputs'!$O$100*I51+'Inputs'!$O$101*I63+'Inputs'!$O$102*I75+'Inputs'!$O$103*I87+'Inputs'!$O$104*I99+'Inputs'!$O$105*I111),I75)*'Needs years'!$J$116/12)</f>
      </c>
      <c r="J70">
        <f>IF('Inputs'!$B$102="",0,'Needs years'!$C$128+IF('Inputs'!$U$102=1,('Inputs'!$O$100*J51+'Inputs'!$O$101*J63+'Inputs'!$O$102*J75+'Inputs'!$O$103*J87+'Inputs'!$O$104*J99+'Inputs'!$O$105*J111),J75)*'Needs years'!$J$116/12)</f>
      </c>
      <c r="K70">
        <f>IF('Inputs'!$B$102="",0,'Needs years'!$C$128+IF('Inputs'!$U$102=1,('Inputs'!$O$100*K51+'Inputs'!$O$101*K63+'Inputs'!$O$102*K75+'Inputs'!$O$103*K87+'Inputs'!$O$104*K99+'Inputs'!$O$105*K111),K75)*'Needs years'!$J$116/12)</f>
      </c>
      <c r="L70">
        <f>IF('Inputs'!$B$102="",0,'Needs years'!$C$128+IF('Inputs'!$U$102=1,('Inputs'!$O$100*L51+'Inputs'!$O$101*L63+'Inputs'!$O$102*L75+'Inputs'!$O$103*L87+'Inputs'!$O$104*L99+'Inputs'!$O$105*L111),L75)*'Needs years'!$J$116/12)</f>
      </c>
      <c r="M70">
        <f>IF('Inputs'!$B$102="",0,'Needs years'!$C$128+IF('Inputs'!$U$102=1,('Inputs'!$O$100*M51+'Inputs'!$O$101*M63+'Inputs'!$O$102*M75+'Inputs'!$O$103*M87+'Inputs'!$O$104*M99+'Inputs'!$O$105*M111),M75)*'Needs years'!$J$116/12)</f>
      </c>
      <c r="N70">
        <f>IF('Inputs'!$B$102="",0,'Needs years'!$C$128+IF('Inputs'!$U$102=1,('Inputs'!$O$100*N51+'Inputs'!$O$101*N63+'Inputs'!$O$102*N75+'Inputs'!$O$103*N87+'Inputs'!$O$104*N99+'Inputs'!$O$105*N111),N75)*'Needs years'!$J$116/12)</f>
      </c>
      <c r="O70">
        <f>IF('Inputs'!$B$102="",0,'Needs years'!$C$128+IF('Inputs'!$U$102=1,('Inputs'!$O$100*O51+'Inputs'!$O$101*O63+'Inputs'!$O$102*O75+'Inputs'!$O$103*O87+'Inputs'!$O$104*O99+'Inputs'!$O$105*O111),O75)*'Needs years'!$J$116/12)</f>
      </c>
      <c r="P70">
        <f>IF('Inputs'!$B$102="",0,'Needs years'!$C$128+IF('Inputs'!$U$102=1,('Inputs'!$O$100*P51+'Inputs'!$O$101*P63+'Inputs'!$O$102*P75+'Inputs'!$O$103*P87+'Inputs'!$O$104*P99+'Inputs'!$O$105*P111),P75)*'Needs years'!$J$116/12)</f>
      </c>
      <c r="Q70">
        <f>IF('Inputs'!$B$102="",0,'Needs years'!$C$128+IF('Inputs'!$U$102=1,('Inputs'!$O$100*Q51+'Inputs'!$O$101*Q63+'Inputs'!$O$102*Q75+'Inputs'!$O$103*Q87+'Inputs'!$O$104*Q99+'Inputs'!$O$105*Q111),Q75)*'Needs years'!$J$116/12)</f>
      </c>
      <c r="R70">
        <f>IF('Inputs'!$B$102="",0,'Needs years'!$C$128+IF('Inputs'!$U$102=1,('Inputs'!$O$100*R51+'Inputs'!$O$101*R63+'Inputs'!$O$102*R75+'Inputs'!$O$103*R87+'Inputs'!$O$104*R99+'Inputs'!$O$105*R111),R75)*'Needs years'!$J$116/12)</f>
      </c>
      <c r="S70">
        <f>IF('Inputs'!$B$102="",0,'Needs years'!$C$128+IF('Inputs'!$U$102=1,('Inputs'!$O$100*S51+'Inputs'!$O$101*S63+'Inputs'!$O$102*S75+'Inputs'!$O$103*S87+'Inputs'!$O$104*S99+'Inputs'!$O$105*S111),S75)*'Needs years'!$J$116/12)</f>
      </c>
      <c r="T70">
        <f>IF('Inputs'!$B$102="",0,'Needs years'!$C$128+IF('Inputs'!$U$102=1,('Inputs'!$O$100*T51+'Inputs'!$O$101*T63+'Inputs'!$O$102*T75+'Inputs'!$O$103*T87+'Inputs'!$O$104*T99+'Inputs'!$O$105*T111),T75)*'Needs years'!$J$116/12)</f>
      </c>
    </row>
    <row r="71" spans="2:20" x14ac:dyDescent="0.25">
      <c r="B71" t="s">
        <v>401</v>
      </c>
      <c r="C71">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71">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71">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71">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71">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71">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71">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71">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71">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71">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71">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71">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71">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71">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71">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71">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71">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72" spans="2:20" x14ac:dyDescent="0.25">
      <c r="B72" t="s">
        <v>402</v>
      </c>
      <c r="C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Union")),1,0)*MAX(0,C27))</f>
      </c>
      <c r="E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Union")),1,0)*MAX(0,E27))</f>
      </c>
      <c r="F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Union")),1,0)*MAX(0,F27))</f>
      </c>
      <c r="G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Union")),1,0)*MAX(0,G27))</f>
      </c>
      <c r="H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Union")),1,0)*MAX(0,H27))</f>
      </c>
      <c r="I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Union")),1,0)*MAX(0,I27))</f>
      </c>
      <c r="J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Union")),1,0)*MAX(0,J27))</f>
      </c>
      <c r="K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Union")),1,0)*MAX(0,K27))</f>
      </c>
      <c r="L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Union")),1,0)*MAX(0,L27))</f>
      </c>
      <c r="M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Union")),1,0)*MAX(0,M27))</f>
      </c>
      <c r="N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Union")),1,0)*MAX(0,N27))</f>
      </c>
      <c r="O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Union")),1,0)*MAX(0,O27))</f>
      </c>
      <c r="P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Union")),1,0)*MAX(0,P27))</f>
      </c>
      <c r="Q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Union")),1,0)*MAX(0,Q27))</f>
      </c>
      <c r="R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Union")),1,0)*MAX(0,R27))</f>
      </c>
      <c r="S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Union")),1,0)*MAX(0,S27))</f>
      </c>
      <c r="T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Union")),1,0)*MAX(0,T27))</f>
      </c>
    </row>
    <row r="73" spans="2:20" x14ac:dyDescent="0.25">
      <c r="B73" t="s">
        <v>403</v>
      </c>
      <c r="C73">
        <f>IF('Inputs'!$U$102=1,('Inputs'!$O$100*C43+'Inputs'!$O$101*C55+'Inputs'!$O$102*C67+'Inputs'!$O$103*C79+'Inputs'!$O$104*C91+'Inputs'!$O$105*C103),C67)</f>
      </c>
      <c r="E73">
        <f>IF('Inputs'!$U$102=1,('Inputs'!$O$100*E43+'Inputs'!$O$101*E55+'Inputs'!$O$102*E67+'Inputs'!$O$103*E79+'Inputs'!$O$104*E91+'Inputs'!$O$105*E103),E67)</f>
      </c>
      <c r="F73">
        <f>IF('Inputs'!$U$102=1,('Inputs'!$O$100*F43+'Inputs'!$O$101*F55+'Inputs'!$O$102*F67+'Inputs'!$O$103*F79+'Inputs'!$O$104*F91+'Inputs'!$O$105*F103),F67)</f>
      </c>
      <c r="G73">
        <f>IF('Inputs'!$U$102=1,('Inputs'!$O$100*G43+'Inputs'!$O$101*G55+'Inputs'!$O$102*G67+'Inputs'!$O$103*G79+'Inputs'!$O$104*G91+'Inputs'!$O$105*G103),G67)</f>
      </c>
      <c r="H73">
        <f>IF('Inputs'!$U$102=1,('Inputs'!$O$100*H43+'Inputs'!$O$101*H55+'Inputs'!$O$102*H67+'Inputs'!$O$103*H79+'Inputs'!$O$104*H91+'Inputs'!$O$105*H103),H67)</f>
      </c>
      <c r="I73">
        <f>IF('Inputs'!$U$102=1,('Inputs'!$O$100*I43+'Inputs'!$O$101*I55+'Inputs'!$O$102*I67+'Inputs'!$O$103*I79+'Inputs'!$O$104*I91+'Inputs'!$O$105*I103),I67)</f>
      </c>
      <c r="J73">
        <f>IF('Inputs'!$U$102=1,('Inputs'!$O$100*J43+'Inputs'!$O$101*J55+'Inputs'!$O$102*J67+'Inputs'!$O$103*J79+'Inputs'!$O$104*J91+'Inputs'!$O$105*J103),J67)</f>
      </c>
      <c r="K73">
        <f>IF('Inputs'!$U$102=1,('Inputs'!$O$100*K43+'Inputs'!$O$101*K55+'Inputs'!$O$102*K67+'Inputs'!$O$103*K79+'Inputs'!$O$104*K91+'Inputs'!$O$105*K103),K67)</f>
      </c>
      <c r="L73">
        <f>IF('Inputs'!$U$102=1,('Inputs'!$O$100*L43+'Inputs'!$O$101*L55+'Inputs'!$O$102*L67+'Inputs'!$O$103*L79+'Inputs'!$O$104*L91+'Inputs'!$O$105*L103),L67)</f>
      </c>
      <c r="M73">
        <f>IF('Inputs'!$U$102=1,('Inputs'!$O$100*M43+'Inputs'!$O$101*M55+'Inputs'!$O$102*M67+'Inputs'!$O$103*M79+'Inputs'!$O$104*M91+'Inputs'!$O$105*M103),M67)</f>
      </c>
      <c r="N73">
        <f>IF('Inputs'!$U$102=1,('Inputs'!$O$100*N43+'Inputs'!$O$101*N55+'Inputs'!$O$102*N67+'Inputs'!$O$103*N79+'Inputs'!$O$104*N91+'Inputs'!$O$105*N103),N67)</f>
      </c>
      <c r="O73">
        <f>IF('Inputs'!$U$102=1,('Inputs'!$O$100*O43+'Inputs'!$O$101*O55+'Inputs'!$O$102*O67+'Inputs'!$O$103*O79+'Inputs'!$O$104*O91+'Inputs'!$O$105*O103),O67)</f>
      </c>
      <c r="P73">
        <f>IF('Inputs'!$U$102=1,('Inputs'!$O$100*P43+'Inputs'!$O$101*P55+'Inputs'!$O$102*P67+'Inputs'!$O$103*P79+'Inputs'!$O$104*P91+'Inputs'!$O$105*P103),P67)</f>
      </c>
      <c r="Q73">
        <f>IF('Inputs'!$U$102=1,('Inputs'!$O$100*Q43+'Inputs'!$O$101*Q55+'Inputs'!$O$102*Q67+'Inputs'!$O$103*Q79+'Inputs'!$O$104*Q91+'Inputs'!$O$105*Q103),Q67)</f>
      </c>
      <c r="R73">
        <f>IF('Inputs'!$U$102=1,('Inputs'!$O$100*R43+'Inputs'!$O$101*R55+'Inputs'!$O$102*R67+'Inputs'!$O$103*R79+'Inputs'!$O$104*R91+'Inputs'!$O$105*R103),R67)</f>
      </c>
      <c r="S73">
        <f>IF('Inputs'!$U$102=1,('Inputs'!$O$100*S43+'Inputs'!$O$101*S55+'Inputs'!$O$102*S67+'Inputs'!$O$103*S79+'Inputs'!$O$104*S91+'Inputs'!$O$105*S103),S67)</f>
      </c>
      <c r="T73">
        <f>IF('Inputs'!$U$102=1,('Inputs'!$O$100*T43+'Inputs'!$O$101*T55+'Inputs'!$O$102*T67+'Inputs'!$O$103*T79+'Inputs'!$O$104*T91+'Inputs'!$O$105*T103),T67)</f>
      </c>
    </row>
    <row r="74" spans="2:20" x14ac:dyDescent="0.25">
      <c r="B74" t="s">
        <v>404</v>
      </c>
      <c r="C74">
        <f>IF('Inputs'!$B$102="",0,ROUND('Needs years'!$C$122+ROUND(IF(C73=0,SUM('Needs years'!$J$116:$J$165),(1-(1+C73)^-1)/(1-(1+C73)^(-1/12))/12*SUMPRODUCT('Needs years'!$J$116:$J$165,(1+C73)^(-'Needs years'!$I$116:$I$165))),2),2))</f>
      </c>
      <c r="E74">
        <f>IF('Inputs'!$B$102="",0,ROUND('Needs years'!$C$122+ROUND(IF(E73=0,SUM('Needs years'!$J$116:$J$165),(1-(1+E73)^-1)/(1-(1+E73)^(-1/12))/12*SUMPRODUCT('Needs years'!$J$116:$J$165,(1+E73)^(-'Needs years'!$I$116:$I$165))),2),2))</f>
      </c>
      <c r="F74">
        <f>IF('Inputs'!$B$102="",0,ROUND('Needs years'!$C$122+ROUND(IF(F73=0,SUM('Needs years'!$J$116:$J$165),(1-(1+F73)^-1)/(1-(1+F73)^(-1/12))/12*SUMPRODUCT('Needs years'!$J$116:$J$165,(1+F73)^(-'Needs years'!$I$116:$I$165))),2),2))</f>
      </c>
      <c r="G74">
        <f>IF('Inputs'!$B$102="",0,ROUND('Needs years'!$C$122+ROUND(IF(G73=0,SUM('Needs years'!$J$116:$J$165),(1-(1+G73)^-1)/(1-(1+G73)^(-1/12))/12*SUMPRODUCT('Needs years'!$J$116:$J$165,(1+G73)^(-'Needs years'!$I$116:$I$165))),2),2))</f>
      </c>
      <c r="H74">
        <f>IF('Inputs'!$B$102="",0,ROUND('Needs years'!$C$122+ROUND(IF(H73=0,SUM('Needs years'!$J$116:$J$165),(1-(1+H73)^-1)/(1-(1+H73)^(-1/12))/12*SUMPRODUCT('Needs years'!$J$116:$J$165,(1+H73)^(-'Needs years'!$I$116:$I$165))),2),2))</f>
      </c>
      <c r="I74">
        <f>IF('Inputs'!$B$102="",0,ROUND('Needs years'!$C$122+ROUND(IF(I73=0,SUM('Needs years'!$J$116:$J$165),(1-(1+I73)^-1)/(1-(1+I73)^(-1/12))/12*SUMPRODUCT('Needs years'!$J$116:$J$165,(1+I73)^(-'Needs years'!$I$116:$I$165))),2),2))</f>
      </c>
      <c r="J74">
        <f>IF('Inputs'!$B$102="",0,ROUND('Needs years'!$C$122+ROUND(IF(J73=0,SUM('Needs years'!$J$116:$J$165),(1-(1+J73)^-1)/(1-(1+J73)^(-1/12))/12*SUMPRODUCT('Needs years'!$J$116:$J$165,(1+J73)^(-'Needs years'!$I$116:$I$165))),2),2))</f>
      </c>
      <c r="K74">
        <f>IF('Inputs'!$B$102="",0,ROUND('Needs years'!$C$122+ROUND(IF(K73=0,SUM('Needs years'!$J$116:$J$165),(1-(1+K73)^-1)/(1-(1+K73)^(-1/12))/12*SUMPRODUCT('Needs years'!$J$116:$J$165,(1+K73)^(-'Needs years'!$I$116:$I$165))),2),2))</f>
      </c>
      <c r="L74">
        <f>IF('Inputs'!$B$102="",0,ROUND('Needs years'!$C$122+ROUND(IF(L73=0,SUM('Needs years'!$J$116:$J$165),(1-(1+L73)^-1)/(1-(1+L73)^(-1/12))/12*SUMPRODUCT('Needs years'!$J$116:$J$165,(1+L73)^(-'Needs years'!$I$116:$I$165))),2),2))</f>
      </c>
      <c r="M74">
        <f>IF('Inputs'!$B$102="",0,ROUND('Needs years'!$C$122+ROUND(IF(M73=0,SUM('Needs years'!$J$116:$J$165),(1-(1+M73)^-1)/(1-(1+M73)^(-1/12))/12*SUMPRODUCT('Needs years'!$J$116:$J$165,(1+M73)^(-'Needs years'!$I$116:$I$165))),2),2))</f>
      </c>
      <c r="N74">
        <f>IF('Inputs'!$B$102="",0,ROUND('Needs years'!$C$122+ROUND(IF(N73=0,SUM('Needs years'!$J$116:$J$165),(1-(1+N73)^-1)/(1-(1+N73)^(-1/12))/12*SUMPRODUCT('Needs years'!$J$116:$J$165,(1+N73)^(-'Needs years'!$I$116:$I$165))),2),2))</f>
      </c>
      <c r="O74">
        <f>IF('Inputs'!$B$102="",0,ROUND('Needs years'!$C$122+ROUND(IF(O73=0,SUM('Needs years'!$J$116:$J$165),(1-(1+O73)^-1)/(1-(1+O73)^(-1/12))/12*SUMPRODUCT('Needs years'!$J$116:$J$165,(1+O73)^(-'Needs years'!$I$116:$I$165))),2),2))</f>
      </c>
      <c r="P74">
        <f>IF('Inputs'!$B$102="",0,ROUND('Needs years'!$C$122+ROUND(IF(P73=0,SUM('Needs years'!$J$116:$J$165),(1-(1+P73)^-1)/(1-(1+P73)^(-1/12))/12*SUMPRODUCT('Needs years'!$J$116:$J$165,(1+P73)^(-'Needs years'!$I$116:$I$165))),2),2))</f>
      </c>
      <c r="Q74">
        <f>IF('Inputs'!$B$102="",0,ROUND('Needs years'!$C$122+ROUND(IF(Q73=0,SUM('Needs years'!$J$116:$J$165),(1-(1+Q73)^-1)/(1-(1+Q73)^(-1/12))/12*SUMPRODUCT('Needs years'!$J$116:$J$165,(1+Q73)^(-'Needs years'!$I$116:$I$165))),2),2))</f>
      </c>
      <c r="R74">
        <f>IF('Inputs'!$B$102="",0,ROUND('Needs years'!$C$122+ROUND(IF(R73=0,SUM('Needs years'!$J$116:$J$165),(1-(1+R73)^-1)/(1-(1+R73)^(-1/12))/12*SUMPRODUCT('Needs years'!$J$116:$J$165,(1+R73)^(-'Needs years'!$I$116:$I$165))),2),2))</f>
      </c>
      <c r="S74">
        <f>IF('Inputs'!$B$102="",0,ROUND('Needs years'!$C$122+ROUND(IF(S73=0,SUM('Needs years'!$J$116:$J$165),(1-(1+S73)^-1)/(1-(1+S73)^(-1/12))/12*SUMPRODUCT('Needs years'!$J$116:$J$165,(1+S73)^(-'Needs years'!$I$116:$I$165))),2),2))</f>
      </c>
      <c r="T74">
        <f>IF('Inputs'!$B$102="",0,ROUND('Needs years'!$C$122+ROUND(IF(T73=0,SUM('Needs years'!$J$116:$J$165),(1-(1+T73)^-1)/(1-(1+T73)^(-1/12))/12*SUMPRODUCT('Needs years'!$J$116:$J$165,(1+T73)^(-'Needs years'!$I$116:$I$165))),2),2))</f>
      </c>
    </row>
    <row r="75" spans="2:20" x14ac:dyDescent="0.25">
      <c r="B75" t="s">
        <v>405</v>
      </c>
      <c r="C75">
        <f>IF('Inputs'!$U$102=1,0,IF((C68-C72)&gt;0,MAX(0,C64-C72)/(C68-C72),0))</f>
      </c>
      <c r="E75">
        <f>IF('Inputs'!$U$102=1,0,IF((E68-E72)&gt;0,MAX(0,E64-E72)/(E68-E72),0))</f>
      </c>
      <c r="F75">
        <f>IF('Inputs'!$U$102=1,0,IF((F68-F72)&gt;0,MAX(0,F64-F72)/(F68-F72),0))</f>
      </c>
      <c r="G75">
        <f>IF('Inputs'!$U$102=1,0,IF((G68-G72)&gt;0,MAX(0,G64-G72)/(G68-G72),0))</f>
      </c>
      <c r="H75">
        <f>IF('Inputs'!$U$102=1,0,IF((H68-H72)&gt;0,MAX(0,H64-H72)/(H68-H72),0))</f>
      </c>
      <c r="I75">
        <f>IF('Inputs'!$U$102=1,0,IF((I68-I72)&gt;0,MAX(0,I64-I72)/(I68-I72),0))</f>
      </c>
      <c r="J75">
        <f>IF('Inputs'!$U$102=1,0,IF((J68-J72)&gt;0,MAX(0,J64-J72)/(J68-J72),0))</f>
      </c>
      <c r="K75">
        <f>IF('Inputs'!$U$102=1,0,IF((K68-K72)&gt;0,MAX(0,K64-K72)/(K68-K72),0))</f>
      </c>
      <c r="L75">
        <f>IF('Inputs'!$U$102=1,0,IF((L68-L72)&gt;0,MAX(0,L64-L72)/(L68-L72),0))</f>
      </c>
      <c r="M75">
        <f>IF('Inputs'!$U$102=1,0,IF((M68-M72)&gt;0,MAX(0,M64-M72)/(M68-M72),0))</f>
      </c>
      <c r="N75">
        <f>IF('Inputs'!$U$102=1,0,IF((N68-N72)&gt;0,MAX(0,N64-N72)/(N68-N72),0))</f>
      </c>
      <c r="O75">
        <f>IF('Inputs'!$U$102=1,0,IF((O68-O72)&gt;0,MAX(0,O64-O72)/(O68-O72),0))</f>
      </c>
      <c r="P75">
        <f>IF('Inputs'!$U$102=1,0,IF((P68-P72)&gt;0,MAX(0,P64-P72)/(P68-P72),0))</f>
      </c>
      <c r="Q75">
        <f>IF('Inputs'!$U$102=1,0,IF((Q68-Q72)&gt;0,MAX(0,Q64-Q72)/(Q68-Q72),0))</f>
      </c>
      <c r="R75">
        <f>IF('Inputs'!$U$102=1,0,IF((R68-R72)&gt;0,MAX(0,R64-R72)/(R68-R72),0))</f>
      </c>
      <c r="S75">
        <f>IF('Inputs'!$U$102=1,0,IF((S68-S72)&gt;0,MAX(0,S64-S72)/(S68-S72),0))</f>
      </c>
      <c r="T75">
        <f>IF('Inputs'!$U$102=1,0,IF((T68-T72)&gt;0,MAX(0,T64-T72)/(T68-T72),0))</f>
      </c>
    </row>
    <row r="76" spans="2:20" x14ac:dyDescent="0.25">
      <c r="B76" t="s">
        <v>406</v>
      </c>
      <c r="C76">
        <f>IF('Inputs'!$B$103="",0,IF('Inputs'!$U$103=1,0,ROUND(C83+'Inputs'!$O$103*('Inputs'!$U$100*C47+'Inputs'!$U$101*C59+'Inputs'!$U$102*C71+'Inputs'!$U$103*C83+'Inputs'!$U$104*C95+'Inputs'!$U$105*C107),2)))</f>
      </c>
      <c r="E76">
        <f>IF('Inputs'!$B$103="",0,IF('Inputs'!$U$103=1,0,ROUND(E83+'Inputs'!$O$103*('Inputs'!$U$100*E47+'Inputs'!$U$101*E59+'Inputs'!$U$102*E71+'Inputs'!$U$103*E83+'Inputs'!$U$104*E95+'Inputs'!$U$105*E107),2)))</f>
      </c>
      <c r="F76">
        <f>IF('Inputs'!$B$103="",0,IF('Inputs'!$U$103=1,0,ROUND(F83+'Inputs'!$O$103*('Inputs'!$U$100*F47+'Inputs'!$U$101*F59+'Inputs'!$U$102*F71+'Inputs'!$U$103*F83+'Inputs'!$U$104*F95+'Inputs'!$U$105*F107),2)))</f>
      </c>
      <c r="G76">
        <f>IF('Inputs'!$B$103="",0,IF('Inputs'!$U$103=1,0,ROUND(G83+'Inputs'!$O$103*('Inputs'!$U$100*G47+'Inputs'!$U$101*G59+'Inputs'!$U$102*G71+'Inputs'!$U$103*G83+'Inputs'!$U$104*G95+'Inputs'!$U$105*G107),2)))</f>
      </c>
      <c r="H76">
        <f>IF('Inputs'!$B$103="",0,IF('Inputs'!$U$103=1,0,ROUND(H83+'Inputs'!$O$103*('Inputs'!$U$100*H47+'Inputs'!$U$101*H59+'Inputs'!$U$102*H71+'Inputs'!$U$103*H83+'Inputs'!$U$104*H95+'Inputs'!$U$105*H107),2)))</f>
      </c>
      <c r="I76">
        <f>IF('Inputs'!$B$103="",0,IF('Inputs'!$U$103=1,0,ROUND(I83+'Inputs'!$O$103*('Inputs'!$U$100*I47+'Inputs'!$U$101*I59+'Inputs'!$U$102*I71+'Inputs'!$U$103*I83+'Inputs'!$U$104*I95+'Inputs'!$U$105*I107),2)))</f>
      </c>
      <c r="J76">
        <f>IF('Inputs'!$B$103="",0,IF('Inputs'!$U$103=1,0,ROUND(J83+'Inputs'!$O$103*('Inputs'!$U$100*J47+'Inputs'!$U$101*J59+'Inputs'!$U$102*J71+'Inputs'!$U$103*J83+'Inputs'!$U$104*J95+'Inputs'!$U$105*J107),2)))</f>
      </c>
      <c r="K76">
        <f>IF('Inputs'!$B$103="",0,IF('Inputs'!$U$103=1,0,ROUND(K83+'Inputs'!$O$103*('Inputs'!$U$100*K47+'Inputs'!$U$101*K59+'Inputs'!$U$102*K71+'Inputs'!$U$103*K83+'Inputs'!$U$104*K95+'Inputs'!$U$105*K107),2)))</f>
      </c>
      <c r="L76">
        <f>IF('Inputs'!$B$103="",0,IF('Inputs'!$U$103=1,0,ROUND(L83+'Inputs'!$O$103*('Inputs'!$U$100*L47+'Inputs'!$U$101*L59+'Inputs'!$U$102*L71+'Inputs'!$U$103*L83+'Inputs'!$U$104*L95+'Inputs'!$U$105*L107),2)))</f>
      </c>
      <c r="M76">
        <f>IF('Inputs'!$B$103="",0,IF('Inputs'!$U$103=1,0,ROUND(M83+'Inputs'!$O$103*('Inputs'!$U$100*M47+'Inputs'!$U$101*M59+'Inputs'!$U$102*M71+'Inputs'!$U$103*M83+'Inputs'!$U$104*M95+'Inputs'!$U$105*M107),2)))</f>
      </c>
      <c r="N76">
        <f>IF('Inputs'!$B$103="",0,IF('Inputs'!$U$103=1,0,ROUND(N83+'Inputs'!$O$103*('Inputs'!$U$100*N47+'Inputs'!$U$101*N59+'Inputs'!$U$102*N71+'Inputs'!$U$103*N83+'Inputs'!$U$104*N95+'Inputs'!$U$105*N107),2)))</f>
      </c>
      <c r="O76">
        <f>IF('Inputs'!$B$103="",0,IF('Inputs'!$U$103=1,0,ROUND(O83+'Inputs'!$O$103*('Inputs'!$U$100*O47+'Inputs'!$U$101*O59+'Inputs'!$U$102*O71+'Inputs'!$U$103*O83+'Inputs'!$U$104*O95+'Inputs'!$U$105*O107),2)))</f>
      </c>
      <c r="P76">
        <f>IF('Inputs'!$B$103="",0,IF('Inputs'!$U$103=1,0,ROUND(P83+'Inputs'!$O$103*('Inputs'!$U$100*P47+'Inputs'!$U$101*P59+'Inputs'!$U$102*P71+'Inputs'!$U$103*P83+'Inputs'!$U$104*P95+'Inputs'!$U$105*P107),2)))</f>
      </c>
      <c r="Q76">
        <f>IF('Inputs'!$B$103="",0,IF('Inputs'!$U$103=1,0,ROUND(Q83+'Inputs'!$O$103*('Inputs'!$U$100*Q47+'Inputs'!$U$101*Q59+'Inputs'!$U$102*Q71+'Inputs'!$U$103*Q83+'Inputs'!$U$104*Q95+'Inputs'!$U$105*Q107),2)))</f>
      </c>
      <c r="R76">
        <f>IF('Inputs'!$B$103="",0,IF('Inputs'!$U$103=1,0,ROUND(R83+'Inputs'!$O$103*('Inputs'!$U$100*R47+'Inputs'!$U$101*R59+'Inputs'!$U$102*R71+'Inputs'!$U$103*R83+'Inputs'!$U$104*R95+'Inputs'!$U$105*R107),2)))</f>
      </c>
      <c r="S76">
        <f>IF('Inputs'!$B$103="",0,IF('Inputs'!$U$103=1,0,ROUND(S83+'Inputs'!$O$103*('Inputs'!$U$100*S47+'Inputs'!$U$101*S59+'Inputs'!$U$102*S71+'Inputs'!$U$103*S83+'Inputs'!$U$104*S95+'Inputs'!$U$105*S107),2)))</f>
      </c>
      <c r="T76">
        <f>IF('Inputs'!$B$103="",0,IF('Inputs'!$U$103=1,0,ROUND(T83+'Inputs'!$O$103*('Inputs'!$U$100*T47+'Inputs'!$U$101*T59+'Inputs'!$U$102*T71+'Inputs'!$U$103*T83+'Inputs'!$U$104*T95+'Inputs'!$U$105*T107),2)))</f>
      </c>
    </row>
    <row r="77" spans="2:20" x14ac:dyDescent="0.25">
      <c r="B77" t="s">
        <v>407</v>
      </c>
      <c r="C77">
        <f>'Needs years'!$C$173+MAX(0,C76-C84)*('Inputs'!$H$136/100*('Inputs'!$H$139/100+'Inputs'!$C$146/100*'Inputs'!$H$141/100))</f>
      </c>
      <c r="E77">
        <f>'Needs years'!$C$173+MAX(0,E76-E84)*('Inputs'!$H$136/100*('Inputs'!$H$139/100+'Inputs'!$C$146/100*'Inputs'!$H$141/100))</f>
      </c>
      <c r="F77">
        <f>'Needs years'!$C$173+MAX(0,F76-F84)*('Inputs'!$H$136/100*('Inputs'!$H$139/100+'Inputs'!$C$146/100*'Inputs'!$H$141/100))</f>
      </c>
      <c r="G77">
        <f>'Needs years'!$C$173+MAX(0,G76-G84)*('Inputs'!$H$136/100*('Inputs'!$H$139/100+'Inputs'!$C$146/100*'Inputs'!$H$141/100))</f>
      </c>
      <c r="H77">
        <f>'Needs years'!$C$173+MAX(0,H76-H84)*('Inputs'!$H$136/100*('Inputs'!$H$139/100+'Inputs'!$C$146/100*'Inputs'!$H$141/100))</f>
      </c>
      <c r="I77">
        <f>'Needs years'!$C$173+MAX(0,I76-I84)*('Inputs'!$H$136/100*('Inputs'!$H$139/100+'Inputs'!$C$146/100*'Inputs'!$H$141/100))</f>
      </c>
      <c r="J77">
        <f>'Needs years'!$C$173+MAX(0,J76-J84)*('Inputs'!$H$136/100*('Inputs'!$H$139/100+'Inputs'!$C$146/100*'Inputs'!$H$141/100))</f>
      </c>
      <c r="K77">
        <f>'Needs years'!$C$173+MAX(0,K76-K84)*('Inputs'!$H$136/100*('Inputs'!$H$139/100+'Inputs'!$C$146/100*'Inputs'!$H$141/100))</f>
      </c>
      <c r="L77">
        <f>'Needs years'!$C$173+MAX(0,L76-L84)*('Inputs'!$H$136/100*('Inputs'!$H$139/100+'Inputs'!$C$146/100*'Inputs'!$H$141/100))</f>
      </c>
      <c r="M77">
        <f>'Needs years'!$C$173+MAX(0,M76-M84)*('Inputs'!$H$136/100*('Inputs'!$H$139/100+'Inputs'!$C$146/100*'Inputs'!$H$141/100))</f>
      </c>
      <c r="N77">
        <f>'Needs years'!$C$173+MAX(0,N76-N84)*('Inputs'!$H$136/100*('Inputs'!$H$139/100+'Inputs'!$C$146/100*'Inputs'!$H$141/100))</f>
      </c>
      <c r="O77">
        <f>'Needs years'!$C$173+MAX(0,O76-O84)*('Inputs'!$H$136/100*('Inputs'!$H$139/100+'Inputs'!$C$146/100*'Inputs'!$H$141/100))</f>
      </c>
      <c r="P77">
        <f>'Needs years'!$C$173+MAX(0,P76-P84)*('Inputs'!$H$136/100*('Inputs'!$H$139/100+'Inputs'!$C$146/100*'Inputs'!$H$141/100))</f>
      </c>
      <c r="Q77">
        <f>'Needs years'!$C$173+MAX(0,Q76-Q84)*('Inputs'!$H$136/100*('Inputs'!$H$139/100+'Inputs'!$C$146/100*'Inputs'!$H$141/100))</f>
      </c>
      <c r="R77">
        <f>'Needs years'!$C$173+MAX(0,R76-R84)*('Inputs'!$H$136/100*('Inputs'!$H$139/100+'Inputs'!$C$146/100*'Inputs'!$H$141/100))</f>
      </c>
      <c r="S77">
        <f>'Needs years'!$C$173+MAX(0,S76-S84)*('Inputs'!$H$136/100*('Inputs'!$H$139/100+'Inputs'!$C$146/100*'Inputs'!$H$141/100))</f>
      </c>
      <c r="T77">
        <f>'Needs years'!$C$173+MAX(0,T76-T84)*('Inputs'!$H$136/100*('Inputs'!$H$139/100+'Inputs'!$C$146/100*'Inputs'!$H$141/100))</f>
      </c>
    </row>
    <row r="78" spans="2:20" x14ac:dyDescent="0.25">
      <c r="B78" t="s">
        <v>408</v>
      </c>
      <c r="C78">
        <f>IF(C77&lt;='Needs years'!$C$172,0,INDEX('Inputs'!$E$149:$E$155,MATCH(C77,'Inputs'!$C$149:$C$155,1)-IF(COUNTIF('Inputs'!$C$149:$C$155,C77)&gt;0,1,0))/100)</f>
      </c>
      <c r="E78">
        <f>IF(E77&lt;='Needs years'!$C$172,0,INDEX('Inputs'!$E$149:$E$155,MATCH(E77,'Inputs'!$C$149:$C$155,1)-IF(COUNTIF('Inputs'!$C$149:$C$155,E77)&gt;0,1,0))/100)</f>
      </c>
      <c r="F78">
        <f>IF(F77&lt;='Needs years'!$C$172,0,INDEX('Inputs'!$E$149:$E$155,MATCH(F77,'Inputs'!$C$149:$C$155,1)-IF(COUNTIF('Inputs'!$C$149:$C$155,F77)&gt;0,1,0))/100)</f>
      </c>
      <c r="G78">
        <f>IF(G77&lt;='Needs years'!$C$172,0,INDEX('Inputs'!$E$149:$E$155,MATCH(G77,'Inputs'!$C$149:$C$155,1)-IF(COUNTIF('Inputs'!$C$149:$C$155,G77)&gt;0,1,0))/100)</f>
      </c>
      <c r="H78">
        <f>IF(H77&lt;='Needs years'!$C$172,0,INDEX('Inputs'!$E$149:$E$155,MATCH(H77,'Inputs'!$C$149:$C$155,1)-IF(COUNTIF('Inputs'!$C$149:$C$155,H77)&gt;0,1,0))/100)</f>
      </c>
      <c r="I78">
        <f>IF(I77&lt;='Needs years'!$C$172,0,INDEX('Inputs'!$E$149:$E$155,MATCH(I77,'Inputs'!$C$149:$C$155,1)-IF(COUNTIF('Inputs'!$C$149:$C$155,I77)&gt;0,1,0))/100)</f>
      </c>
      <c r="J78">
        <f>IF(J77&lt;='Needs years'!$C$172,0,INDEX('Inputs'!$E$149:$E$155,MATCH(J77,'Inputs'!$C$149:$C$155,1)-IF(COUNTIF('Inputs'!$C$149:$C$155,J77)&gt;0,1,0))/100)</f>
      </c>
      <c r="K78">
        <f>IF(K77&lt;='Needs years'!$C$172,0,INDEX('Inputs'!$E$149:$E$155,MATCH(K77,'Inputs'!$C$149:$C$155,1)-IF(COUNTIF('Inputs'!$C$149:$C$155,K77)&gt;0,1,0))/100)</f>
      </c>
      <c r="L78">
        <f>IF(L77&lt;='Needs years'!$C$172,0,INDEX('Inputs'!$E$149:$E$155,MATCH(L77,'Inputs'!$C$149:$C$155,1)-IF(COUNTIF('Inputs'!$C$149:$C$155,L77)&gt;0,1,0))/100)</f>
      </c>
      <c r="M78">
        <f>IF(M77&lt;='Needs years'!$C$172,0,INDEX('Inputs'!$E$149:$E$155,MATCH(M77,'Inputs'!$C$149:$C$155,1)-IF(COUNTIF('Inputs'!$C$149:$C$155,M77)&gt;0,1,0))/100)</f>
      </c>
      <c r="N78">
        <f>IF(N77&lt;='Needs years'!$C$172,0,INDEX('Inputs'!$E$149:$E$155,MATCH(N77,'Inputs'!$C$149:$C$155,1)-IF(COUNTIF('Inputs'!$C$149:$C$155,N77)&gt;0,1,0))/100)</f>
      </c>
      <c r="O78">
        <f>IF(O77&lt;='Needs years'!$C$172,0,INDEX('Inputs'!$E$149:$E$155,MATCH(O77,'Inputs'!$C$149:$C$155,1)-IF(COUNTIF('Inputs'!$C$149:$C$155,O77)&gt;0,1,0))/100)</f>
      </c>
      <c r="P78">
        <f>IF(P77&lt;='Needs years'!$C$172,0,INDEX('Inputs'!$E$149:$E$155,MATCH(P77,'Inputs'!$C$149:$C$155,1)-IF(COUNTIF('Inputs'!$C$149:$C$155,P77)&gt;0,1,0))/100)</f>
      </c>
      <c r="Q78">
        <f>IF(Q77&lt;='Needs years'!$C$172,0,INDEX('Inputs'!$E$149:$E$155,MATCH(Q77,'Inputs'!$C$149:$C$155,1)-IF(COUNTIF('Inputs'!$C$149:$C$155,Q77)&gt;0,1,0))/100)</f>
      </c>
      <c r="R78">
        <f>IF(R77&lt;='Needs years'!$C$172,0,INDEX('Inputs'!$E$149:$E$155,MATCH(R77,'Inputs'!$C$149:$C$155,1)-IF(COUNTIF('Inputs'!$C$149:$C$155,R77)&gt;0,1,0))/100)</f>
      </c>
      <c r="S78">
        <f>IF(S77&lt;='Needs years'!$C$172,0,INDEX('Inputs'!$E$149:$E$155,MATCH(S77,'Inputs'!$C$149:$C$155,1)-IF(COUNTIF('Inputs'!$C$149:$C$155,S77)&gt;0,1,0))/100)</f>
      </c>
      <c r="T78">
        <f>IF(T77&lt;='Needs years'!$C$172,0,INDEX('Inputs'!$E$149:$E$155,MATCH(T77,'Inputs'!$C$149:$C$155,1)-IF(COUNTIF('Inputs'!$C$149:$C$155,T77)&gt;0,1,0))/100)</f>
      </c>
    </row>
    <row r="79" spans="2:20" x14ac:dyDescent="0.25">
      <c r="B79" t="s">
        <v>409</v>
      </c>
      <c r="C79">
        <f>('Inputs'!$H$136/100*(1-('Inputs'!$H$139/100*C78+'Inputs'!$H$140/100*'Inputs'!$H$142/100+'Inputs'!$H$141/100*'Inputs'!$C$146/100*C78))-IF('Needs years'!$C$177=1,'Inputs'!$H$137/100,0))</f>
      </c>
      <c r="E79">
        <f>('Inputs'!$H$136/100*(1-('Inputs'!$H$139/100*E78+'Inputs'!$H$140/100*'Inputs'!$H$142/100+'Inputs'!$H$141/100*'Inputs'!$C$146/100*E78))-IF('Needs years'!$C$177=1,'Inputs'!$H$137/100,0))</f>
      </c>
      <c r="F79">
        <f>('Inputs'!$H$136/100*(1-('Inputs'!$H$139/100*F78+'Inputs'!$H$140/100*'Inputs'!$H$142/100+'Inputs'!$H$141/100*'Inputs'!$C$146/100*F78))-IF('Needs years'!$C$177=1,'Inputs'!$H$137/100,0))</f>
      </c>
      <c r="G79">
        <f>('Inputs'!$H$136/100*(1-('Inputs'!$H$139/100*G78+'Inputs'!$H$140/100*'Inputs'!$H$142/100+'Inputs'!$H$141/100*'Inputs'!$C$146/100*G78))-IF('Needs years'!$C$177=1,'Inputs'!$H$137/100,0))</f>
      </c>
      <c r="H79">
        <f>('Inputs'!$H$136/100*(1-('Inputs'!$H$139/100*H78+'Inputs'!$H$140/100*'Inputs'!$H$142/100+'Inputs'!$H$141/100*'Inputs'!$C$146/100*H78))-IF('Needs years'!$C$177=1,'Inputs'!$H$137/100,0))</f>
      </c>
      <c r="I79">
        <f>('Inputs'!$H$136/100*(1-('Inputs'!$H$139/100*I78+'Inputs'!$H$140/100*'Inputs'!$H$142/100+'Inputs'!$H$141/100*'Inputs'!$C$146/100*I78))-IF('Needs years'!$C$177=1,'Inputs'!$H$137/100,0))</f>
      </c>
      <c r="J79">
        <f>('Inputs'!$H$136/100*(1-('Inputs'!$H$139/100*J78+'Inputs'!$H$140/100*'Inputs'!$H$142/100+'Inputs'!$H$141/100*'Inputs'!$C$146/100*J78))-IF('Needs years'!$C$177=1,'Inputs'!$H$137/100,0))</f>
      </c>
      <c r="K79">
        <f>('Inputs'!$H$136/100*(1-('Inputs'!$H$139/100*K78+'Inputs'!$H$140/100*'Inputs'!$H$142/100+'Inputs'!$H$141/100*'Inputs'!$C$146/100*K78))-IF('Needs years'!$C$177=1,'Inputs'!$H$137/100,0))</f>
      </c>
      <c r="L79">
        <f>('Inputs'!$H$136/100*(1-('Inputs'!$H$139/100*L78+'Inputs'!$H$140/100*'Inputs'!$H$142/100+'Inputs'!$H$141/100*'Inputs'!$C$146/100*L78))-IF('Needs years'!$C$177=1,'Inputs'!$H$137/100,0))</f>
      </c>
      <c r="M79">
        <f>('Inputs'!$H$136/100*(1-('Inputs'!$H$139/100*M78+'Inputs'!$H$140/100*'Inputs'!$H$142/100+'Inputs'!$H$141/100*'Inputs'!$C$146/100*M78))-IF('Needs years'!$C$177=1,'Inputs'!$H$137/100,0))</f>
      </c>
      <c r="N79">
        <f>('Inputs'!$H$136/100*(1-('Inputs'!$H$139/100*N78+'Inputs'!$H$140/100*'Inputs'!$H$142/100+'Inputs'!$H$141/100*'Inputs'!$C$146/100*N78))-IF('Needs years'!$C$177=1,'Inputs'!$H$137/100,0))</f>
      </c>
      <c r="O79">
        <f>('Inputs'!$H$136/100*(1-('Inputs'!$H$139/100*O78+'Inputs'!$H$140/100*'Inputs'!$H$142/100+'Inputs'!$H$141/100*'Inputs'!$C$146/100*O78))-IF('Needs years'!$C$177=1,'Inputs'!$H$137/100,0))</f>
      </c>
      <c r="P79">
        <f>('Inputs'!$H$136/100*(1-('Inputs'!$H$139/100*P78+'Inputs'!$H$140/100*'Inputs'!$H$142/100+'Inputs'!$H$141/100*'Inputs'!$C$146/100*P78))-IF('Needs years'!$C$177=1,'Inputs'!$H$137/100,0))</f>
      </c>
      <c r="Q79">
        <f>('Inputs'!$H$136/100*(1-('Inputs'!$H$139/100*Q78+'Inputs'!$H$140/100*'Inputs'!$H$142/100+'Inputs'!$H$141/100*'Inputs'!$C$146/100*Q78))-IF('Needs years'!$C$177=1,'Inputs'!$H$137/100,0))</f>
      </c>
      <c r="R79">
        <f>('Inputs'!$H$136/100*(1-('Inputs'!$H$139/100*R78+'Inputs'!$H$140/100*'Inputs'!$H$142/100+'Inputs'!$H$141/100*'Inputs'!$C$146/100*R78))-IF('Needs years'!$C$177=1,'Inputs'!$H$137/100,0))</f>
      </c>
      <c r="S79">
        <f>('Inputs'!$H$136/100*(1-('Inputs'!$H$139/100*S78+'Inputs'!$H$140/100*'Inputs'!$H$142/100+'Inputs'!$H$141/100*'Inputs'!$C$146/100*S78))-IF('Needs years'!$C$177=1,'Inputs'!$H$137/100,0))</f>
      </c>
      <c r="T79">
        <f>('Inputs'!$H$136/100*(1-('Inputs'!$H$139/100*T78+'Inputs'!$H$140/100*'Inputs'!$H$142/100+'Inputs'!$H$141/100*'Inputs'!$C$146/100*T78))-IF('Needs years'!$C$177=1,'Inputs'!$H$137/100,0))</f>
      </c>
    </row>
    <row r="80" spans="2:20" x14ac:dyDescent="0.25">
      <c r="B80" t="s">
        <v>410</v>
      </c>
      <c r="C80">
        <f>IF('Inputs'!$B$103="",0,IF('Inputs'!$U$103=1,0,ROUND(C86+'Inputs'!$O$103*('Inputs'!$U$100*C50+'Inputs'!$U$101*C62+'Inputs'!$U$102*C74+'Inputs'!$U$103*C86+'Inputs'!$U$104*C98+'Inputs'!$U$105*C110)+'Inputs'!$O$103*IF(AND('Inputs'!$C$108="The spouse, from what they receive",SUM('Inputs'!$O$100:$O$105)&gt;0,OR(LEFT('Inputs'!$C$13,7)="Married",'Inputs'!$C$13="Life partner",'Inputs'!$C$13="Civil Union")),1,0)*MAX(0,C27),2)))</f>
      </c>
      <c r="E80">
        <f>IF('Inputs'!$B$103="",0,IF('Inputs'!$U$103=1,0,ROUND(E86+'Inputs'!$O$103*('Inputs'!$U$100*E50+'Inputs'!$U$101*E62+'Inputs'!$U$102*E74+'Inputs'!$U$103*E86+'Inputs'!$U$104*E98+'Inputs'!$U$105*E110)+'Inputs'!$O$103*IF(AND('Inputs'!$C$108="The spouse, from what they receive",SUM('Inputs'!$O$100:$O$105)&gt;0,OR(LEFT('Inputs'!$C$13,7)="Married",'Inputs'!$C$13="Life partner",'Inputs'!$C$13="Civil Union")),1,0)*MAX(0,E27),2)))</f>
      </c>
      <c r="F80">
        <f>IF('Inputs'!$B$103="",0,IF('Inputs'!$U$103=1,0,ROUND(F86+'Inputs'!$O$103*('Inputs'!$U$100*F50+'Inputs'!$U$101*F62+'Inputs'!$U$102*F74+'Inputs'!$U$103*F86+'Inputs'!$U$104*F98+'Inputs'!$U$105*F110)+'Inputs'!$O$103*IF(AND('Inputs'!$C$108="The spouse, from what they receive",SUM('Inputs'!$O$100:$O$105)&gt;0,OR(LEFT('Inputs'!$C$13,7)="Married",'Inputs'!$C$13="Life partner",'Inputs'!$C$13="Civil Union")),1,0)*MAX(0,F27),2)))</f>
      </c>
      <c r="G80">
        <f>IF('Inputs'!$B$103="",0,IF('Inputs'!$U$103=1,0,ROUND(G86+'Inputs'!$O$103*('Inputs'!$U$100*G50+'Inputs'!$U$101*G62+'Inputs'!$U$102*G74+'Inputs'!$U$103*G86+'Inputs'!$U$104*G98+'Inputs'!$U$105*G110)+'Inputs'!$O$103*IF(AND('Inputs'!$C$108="The spouse, from what they receive",SUM('Inputs'!$O$100:$O$105)&gt;0,OR(LEFT('Inputs'!$C$13,7)="Married",'Inputs'!$C$13="Life partner",'Inputs'!$C$13="Civil Union")),1,0)*MAX(0,G27),2)))</f>
      </c>
      <c r="H80">
        <f>IF('Inputs'!$B$103="",0,IF('Inputs'!$U$103=1,0,ROUND(H86+'Inputs'!$O$103*('Inputs'!$U$100*H50+'Inputs'!$U$101*H62+'Inputs'!$U$102*H74+'Inputs'!$U$103*H86+'Inputs'!$U$104*H98+'Inputs'!$U$105*H110)+'Inputs'!$O$103*IF(AND('Inputs'!$C$108="The spouse, from what they receive",SUM('Inputs'!$O$100:$O$105)&gt;0,OR(LEFT('Inputs'!$C$13,7)="Married",'Inputs'!$C$13="Life partner",'Inputs'!$C$13="Civil Union")),1,0)*MAX(0,H27),2)))</f>
      </c>
      <c r="I80">
        <f>IF('Inputs'!$B$103="",0,IF('Inputs'!$U$103=1,0,ROUND(I86+'Inputs'!$O$103*('Inputs'!$U$100*I50+'Inputs'!$U$101*I62+'Inputs'!$U$102*I74+'Inputs'!$U$103*I86+'Inputs'!$U$104*I98+'Inputs'!$U$105*I110)+'Inputs'!$O$103*IF(AND('Inputs'!$C$108="The spouse, from what they receive",SUM('Inputs'!$O$100:$O$105)&gt;0,OR(LEFT('Inputs'!$C$13,7)="Married",'Inputs'!$C$13="Life partner",'Inputs'!$C$13="Civil Union")),1,0)*MAX(0,I27),2)))</f>
      </c>
      <c r="J80">
        <f>IF('Inputs'!$B$103="",0,IF('Inputs'!$U$103=1,0,ROUND(J86+'Inputs'!$O$103*('Inputs'!$U$100*J50+'Inputs'!$U$101*J62+'Inputs'!$U$102*J74+'Inputs'!$U$103*J86+'Inputs'!$U$104*J98+'Inputs'!$U$105*J110)+'Inputs'!$O$103*IF(AND('Inputs'!$C$108="The spouse, from what they receive",SUM('Inputs'!$O$100:$O$105)&gt;0,OR(LEFT('Inputs'!$C$13,7)="Married",'Inputs'!$C$13="Life partner",'Inputs'!$C$13="Civil Union")),1,0)*MAX(0,J27),2)))</f>
      </c>
      <c r="K80">
        <f>IF('Inputs'!$B$103="",0,IF('Inputs'!$U$103=1,0,ROUND(K86+'Inputs'!$O$103*('Inputs'!$U$100*K50+'Inputs'!$U$101*K62+'Inputs'!$U$102*K74+'Inputs'!$U$103*K86+'Inputs'!$U$104*K98+'Inputs'!$U$105*K110)+'Inputs'!$O$103*IF(AND('Inputs'!$C$108="The spouse, from what they receive",SUM('Inputs'!$O$100:$O$105)&gt;0,OR(LEFT('Inputs'!$C$13,7)="Married",'Inputs'!$C$13="Life partner",'Inputs'!$C$13="Civil Union")),1,0)*MAX(0,K27),2)))</f>
      </c>
      <c r="L80">
        <f>IF('Inputs'!$B$103="",0,IF('Inputs'!$U$103=1,0,ROUND(L86+'Inputs'!$O$103*('Inputs'!$U$100*L50+'Inputs'!$U$101*L62+'Inputs'!$U$102*L74+'Inputs'!$U$103*L86+'Inputs'!$U$104*L98+'Inputs'!$U$105*L110)+'Inputs'!$O$103*IF(AND('Inputs'!$C$108="The spouse, from what they receive",SUM('Inputs'!$O$100:$O$105)&gt;0,OR(LEFT('Inputs'!$C$13,7)="Married",'Inputs'!$C$13="Life partner",'Inputs'!$C$13="Civil Union")),1,0)*MAX(0,L27),2)))</f>
      </c>
      <c r="M80">
        <f>IF('Inputs'!$B$103="",0,IF('Inputs'!$U$103=1,0,ROUND(M86+'Inputs'!$O$103*('Inputs'!$U$100*M50+'Inputs'!$U$101*M62+'Inputs'!$U$102*M74+'Inputs'!$U$103*M86+'Inputs'!$U$104*M98+'Inputs'!$U$105*M110)+'Inputs'!$O$103*IF(AND('Inputs'!$C$108="The spouse, from what they receive",SUM('Inputs'!$O$100:$O$105)&gt;0,OR(LEFT('Inputs'!$C$13,7)="Married",'Inputs'!$C$13="Life partner",'Inputs'!$C$13="Civil Union")),1,0)*MAX(0,M27),2)))</f>
      </c>
      <c r="N80">
        <f>IF('Inputs'!$B$103="",0,IF('Inputs'!$U$103=1,0,ROUND(N86+'Inputs'!$O$103*('Inputs'!$U$100*N50+'Inputs'!$U$101*N62+'Inputs'!$U$102*N74+'Inputs'!$U$103*N86+'Inputs'!$U$104*N98+'Inputs'!$U$105*N110)+'Inputs'!$O$103*IF(AND('Inputs'!$C$108="The spouse, from what they receive",SUM('Inputs'!$O$100:$O$105)&gt;0,OR(LEFT('Inputs'!$C$13,7)="Married",'Inputs'!$C$13="Life partner",'Inputs'!$C$13="Civil Union")),1,0)*MAX(0,N27),2)))</f>
      </c>
      <c r="O80">
        <f>IF('Inputs'!$B$103="",0,IF('Inputs'!$U$103=1,0,ROUND(O86+'Inputs'!$O$103*('Inputs'!$U$100*O50+'Inputs'!$U$101*O62+'Inputs'!$U$102*O74+'Inputs'!$U$103*O86+'Inputs'!$U$104*O98+'Inputs'!$U$105*O110)+'Inputs'!$O$103*IF(AND('Inputs'!$C$108="The spouse, from what they receive",SUM('Inputs'!$O$100:$O$105)&gt;0,OR(LEFT('Inputs'!$C$13,7)="Married",'Inputs'!$C$13="Life partner",'Inputs'!$C$13="Civil Union")),1,0)*MAX(0,O27),2)))</f>
      </c>
      <c r="P80">
        <f>IF('Inputs'!$B$103="",0,IF('Inputs'!$U$103=1,0,ROUND(P86+'Inputs'!$O$103*('Inputs'!$U$100*P50+'Inputs'!$U$101*P62+'Inputs'!$U$102*P74+'Inputs'!$U$103*P86+'Inputs'!$U$104*P98+'Inputs'!$U$105*P110)+'Inputs'!$O$103*IF(AND('Inputs'!$C$108="The spouse, from what they receive",SUM('Inputs'!$O$100:$O$105)&gt;0,OR(LEFT('Inputs'!$C$13,7)="Married",'Inputs'!$C$13="Life partner",'Inputs'!$C$13="Civil Union")),1,0)*MAX(0,P27),2)))</f>
      </c>
      <c r="Q80">
        <f>IF('Inputs'!$B$103="",0,IF('Inputs'!$U$103=1,0,ROUND(Q86+'Inputs'!$O$103*('Inputs'!$U$100*Q50+'Inputs'!$U$101*Q62+'Inputs'!$U$102*Q74+'Inputs'!$U$103*Q86+'Inputs'!$U$104*Q98+'Inputs'!$U$105*Q110)+'Inputs'!$O$103*IF(AND('Inputs'!$C$108="The spouse, from what they receive",SUM('Inputs'!$O$100:$O$105)&gt;0,OR(LEFT('Inputs'!$C$13,7)="Married",'Inputs'!$C$13="Life partner",'Inputs'!$C$13="Civil Union")),1,0)*MAX(0,Q27),2)))</f>
      </c>
      <c r="R80">
        <f>IF('Inputs'!$B$103="",0,IF('Inputs'!$U$103=1,0,ROUND(R86+'Inputs'!$O$103*('Inputs'!$U$100*R50+'Inputs'!$U$101*R62+'Inputs'!$U$102*R74+'Inputs'!$U$103*R86+'Inputs'!$U$104*R98+'Inputs'!$U$105*R110)+'Inputs'!$O$103*IF(AND('Inputs'!$C$108="The spouse, from what they receive",SUM('Inputs'!$O$100:$O$105)&gt;0,OR(LEFT('Inputs'!$C$13,7)="Married",'Inputs'!$C$13="Life partner",'Inputs'!$C$13="Civil Union")),1,0)*MAX(0,R27),2)))</f>
      </c>
      <c r="S80">
        <f>IF('Inputs'!$B$103="",0,IF('Inputs'!$U$103=1,0,ROUND(S86+'Inputs'!$O$103*('Inputs'!$U$100*S50+'Inputs'!$U$101*S62+'Inputs'!$U$102*S74+'Inputs'!$U$103*S86+'Inputs'!$U$104*S98+'Inputs'!$U$105*S110)+'Inputs'!$O$103*IF(AND('Inputs'!$C$108="The spouse, from what they receive",SUM('Inputs'!$O$100:$O$105)&gt;0,OR(LEFT('Inputs'!$C$13,7)="Married",'Inputs'!$C$13="Life partner",'Inputs'!$C$13="Civil Union")),1,0)*MAX(0,S27),2)))</f>
      </c>
      <c r="T80">
        <f>IF('Inputs'!$B$103="",0,IF('Inputs'!$U$103=1,0,ROUND(T86+'Inputs'!$O$103*('Inputs'!$U$100*T50+'Inputs'!$U$101*T62+'Inputs'!$U$102*T74+'Inputs'!$U$103*T86+'Inputs'!$U$104*T98+'Inputs'!$U$105*T110)+'Inputs'!$O$103*IF(AND('Inputs'!$C$108="The spouse, from what they receive",SUM('Inputs'!$O$100:$O$105)&gt;0,OR(LEFT('Inputs'!$C$13,7)="Married",'Inputs'!$C$13="Life partner",'Inputs'!$C$13="Civil Union")),1,0)*MAX(0,T27),2)))</f>
      </c>
    </row>
    <row r="81" spans="2:20" x14ac:dyDescent="0.25">
      <c r="B81" t="s">
        <v>411</v>
      </c>
      <c r="C81">
        <f>IF('Inputs'!$B$103="",0,ROUND(C80-C76,2))</f>
      </c>
      <c r="E81">
        <f>IF('Inputs'!$B$103="",0,ROUND(E80-E76,2))</f>
      </c>
      <c r="F81">
        <f>IF('Inputs'!$B$103="",0,ROUND(F80-F76,2))</f>
      </c>
      <c r="G81">
        <f>IF('Inputs'!$B$103="",0,ROUND(G80-G76,2))</f>
      </c>
      <c r="H81">
        <f>IF('Inputs'!$B$103="",0,ROUND(H80-H76,2))</f>
      </c>
      <c r="I81">
        <f>IF('Inputs'!$B$103="",0,ROUND(I80-I76,2))</f>
      </c>
      <c r="J81">
        <f>IF('Inputs'!$B$103="",0,ROUND(J80-J76,2))</f>
      </c>
      <c r="K81">
        <f>IF('Inputs'!$B$103="",0,ROUND(K80-K76,2))</f>
      </c>
      <c r="L81">
        <f>IF('Inputs'!$B$103="",0,ROUND(L80-L76,2))</f>
      </c>
      <c r="M81">
        <f>IF('Inputs'!$B$103="",0,ROUND(M80-M76,2))</f>
      </c>
      <c r="N81">
        <f>IF('Inputs'!$B$103="",0,ROUND(N80-N76,2))</f>
      </c>
      <c r="O81">
        <f>IF('Inputs'!$B$103="",0,ROUND(O80-O76,2))</f>
      </c>
      <c r="P81">
        <f>IF('Inputs'!$B$103="",0,ROUND(P80-P76,2))</f>
      </c>
      <c r="Q81">
        <f>IF('Inputs'!$B$103="",0,ROUND(Q80-Q76,2))</f>
      </c>
      <c r="R81">
        <f>IF('Inputs'!$B$103="",0,ROUND(R80-R76,2))</f>
      </c>
      <c r="S81">
        <f>IF('Inputs'!$B$103="",0,ROUND(S80-S76,2))</f>
      </c>
      <c r="T81">
        <f>IF('Inputs'!$B$103="",0,ROUND(T80-T76,2))</f>
      </c>
    </row>
    <row r="82" spans="2:20" x14ac:dyDescent="0.25">
      <c r="B82" t="s">
        <v>412</v>
      </c>
      <c r="C82">
        <f>IF('Inputs'!$B$103="",0,'Needs years'!$C$184+IF('Inputs'!$U$103=1,('Inputs'!$O$100*C51+'Inputs'!$O$101*C63+'Inputs'!$O$102*C75+'Inputs'!$O$103*C87+'Inputs'!$O$104*C99+'Inputs'!$O$105*C111),C87)*'Needs years'!$J$172/12)</f>
      </c>
      <c r="E82">
        <f>IF('Inputs'!$B$103="",0,'Needs years'!$C$184+IF('Inputs'!$U$103=1,('Inputs'!$O$100*E51+'Inputs'!$O$101*E63+'Inputs'!$O$102*E75+'Inputs'!$O$103*E87+'Inputs'!$O$104*E99+'Inputs'!$O$105*E111),E87)*'Needs years'!$J$172/12)</f>
      </c>
      <c r="F82">
        <f>IF('Inputs'!$B$103="",0,'Needs years'!$C$184+IF('Inputs'!$U$103=1,('Inputs'!$O$100*F51+'Inputs'!$O$101*F63+'Inputs'!$O$102*F75+'Inputs'!$O$103*F87+'Inputs'!$O$104*F99+'Inputs'!$O$105*F111),F87)*'Needs years'!$J$172/12)</f>
      </c>
      <c r="G82">
        <f>IF('Inputs'!$B$103="",0,'Needs years'!$C$184+IF('Inputs'!$U$103=1,('Inputs'!$O$100*G51+'Inputs'!$O$101*G63+'Inputs'!$O$102*G75+'Inputs'!$O$103*G87+'Inputs'!$O$104*G99+'Inputs'!$O$105*G111),G87)*'Needs years'!$J$172/12)</f>
      </c>
      <c r="H82">
        <f>IF('Inputs'!$B$103="",0,'Needs years'!$C$184+IF('Inputs'!$U$103=1,('Inputs'!$O$100*H51+'Inputs'!$O$101*H63+'Inputs'!$O$102*H75+'Inputs'!$O$103*H87+'Inputs'!$O$104*H99+'Inputs'!$O$105*H111),H87)*'Needs years'!$J$172/12)</f>
      </c>
      <c r="I82">
        <f>IF('Inputs'!$B$103="",0,'Needs years'!$C$184+IF('Inputs'!$U$103=1,('Inputs'!$O$100*I51+'Inputs'!$O$101*I63+'Inputs'!$O$102*I75+'Inputs'!$O$103*I87+'Inputs'!$O$104*I99+'Inputs'!$O$105*I111),I87)*'Needs years'!$J$172/12)</f>
      </c>
      <c r="J82">
        <f>IF('Inputs'!$B$103="",0,'Needs years'!$C$184+IF('Inputs'!$U$103=1,('Inputs'!$O$100*J51+'Inputs'!$O$101*J63+'Inputs'!$O$102*J75+'Inputs'!$O$103*J87+'Inputs'!$O$104*J99+'Inputs'!$O$105*J111),J87)*'Needs years'!$J$172/12)</f>
      </c>
      <c r="K82">
        <f>IF('Inputs'!$B$103="",0,'Needs years'!$C$184+IF('Inputs'!$U$103=1,('Inputs'!$O$100*K51+'Inputs'!$O$101*K63+'Inputs'!$O$102*K75+'Inputs'!$O$103*K87+'Inputs'!$O$104*K99+'Inputs'!$O$105*K111),K87)*'Needs years'!$J$172/12)</f>
      </c>
      <c r="L82">
        <f>IF('Inputs'!$B$103="",0,'Needs years'!$C$184+IF('Inputs'!$U$103=1,('Inputs'!$O$100*L51+'Inputs'!$O$101*L63+'Inputs'!$O$102*L75+'Inputs'!$O$103*L87+'Inputs'!$O$104*L99+'Inputs'!$O$105*L111),L87)*'Needs years'!$J$172/12)</f>
      </c>
      <c r="M82">
        <f>IF('Inputs'!$B$103="",0,'Needs years'!$C$184+IF('Inputs'!$U$103=1,('Inputs'!$O$100*M51+'Inputs'!$O$101*M63+'Inputs'!$O$102*M75+'Inputs'!$O$103*M87+'Inputs'!$O$104*M99+'Inputs'!$O$105*M111),M87)*'Needs years'!$J$172/12)</f>
      </c>
      <c r="N82">
        <f>IF('Inputs'!$B$103="",0,'Needs years'!$C$184+IF('Inputs'!$U$103=1,('Inputs'!$O$100*N51+'Inputs'!$O$101*N63+'Inputs'!$O$102*N75+'Inputs'!$O$103*N87+'Inputs'!$O$104*N99+'Inputs'!$O$105*N111),N87)*'Needs years'!$J$172/12)</f>
      </c>
      <c r="O82">
        <f>IF('Inputs'!$B$103="",0,'Needs years'!$C$184+IF('Inputs'!$U$103=1,('Inputs'!$O$100*O51+'Inputs'!$O$101*O63+'Inputs'!$O$102*O75+'Inputs'!$O$103*O87+'Inputs'!$O$104*O99+'Inputs'!$O$105*O111),O87)*'Needs years'!$J$172/12)</f>
      </c>
      <c r="P82">
        <f>IF('Inputs'!$B$103="",0,'Needs years'!$C$184+IF('Inputs'!$U$103=1,('Inputs'!$O$100*P51+'Inputs'!$O$101*P63+'Inputs'!$O$102*P75+'Inputs'!$O$103*P87+'Inputs'!$O$104*P99+'Inputs'!$O$105*P111),P87)*'Needs years'!$J$172/12)</f>
      </c>
      <c r="Q82">
        <f>IF('Inputs'!$B$103="",0,'Needs years'!$C$184+IF('Inputs'!$U$103=1,('Inputs'!$O$100*Q51+'Inputs'!$O$101*Q63+'Inputs'!$O$102*Q75+'Inputs'!$O$103*Q87+'Inputs'!$O$104*Q99+'Inputs'!$O$105*Q111),Q87)*'Needs years'!$J$172/12)</f>
      </c>
      <c r="R82">
        <f>IF('Inputs'!$B$103="",0,'Needs years'!$C$184+IF('Inputs'!$U$103=1,('Inputs'!$O$100*R51+'Inputs'!$O$101*R63+'Inputs'!$O$102*R75+'Inputs'!$O$103*R87+'Inputs'!$O$104*R99+'Inputs'!$O$105*R111),R87)*'Needs years'!$J$172/12)</f>
      </c>
      <c r="S82">
        <f>IF('Inputs'!$B$103="",0,'Needs years'!$C$184+IF('Inputs'!$U$103=1,('Inputs'!$O$100*S51+'Inputs'!$O$101*S63+'Inputs'!$O$102*S75+'Inputs'!$O$103*S87+'Inputs'!$O$104*S99+'Inputs'!$O$105*S111),S87)*'Needs years'!$J$172/12)</f>
      </c>
      <c r="T82">
        <f>IF('Inputs'!$B$103="",0,'Needs years'!$C$184+IF('Inputs'!$U$103=1,('Inputs'!$O$100*T51+'Inputs'!$O$101*T63+'Inputs'!$O$102*T75+'Inputs'!$O$103*T87+'Inputs'!$O$104*T99+'Inputs'!$O$105*T111),T87)*'Needs years'!$J$172/12)</f>
      </c>
    </row>
    <row r="83" spans="2:20" x14ac:dyDescent="0.25">
      <c r="B83" t="s">
        <v>413</v>
      </c>
      <c r="C83">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83">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83">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83">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83">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83">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83">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83">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83">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83">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83">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83">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83">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83">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83">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83">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83">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84" spans="2:20" x14ac:dyDescent="0.25">
      <c r="B84" t="s">
        <v>414</v>
      </c>
      <c r="C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Union")),1,0)*MAX(0,C27))</f>
      </c>
      <c r="E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Union")),1,0)*MAX(0,E27))</f>
      </c>
      <c r="F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Union")),1,0)*MAX(0,F27))</f>
      </c>
      <c r="G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Union")),1,0)*MAX(0,G27))</f>
      </c>
      <c r="H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Union")),1,0)*MAX(0,H27))</f>
      </c>
      <c r="I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Union")),1,0)*MAX(0,I27))</f>
      </c>
      <c r="J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Union")),1,0)*MAX(0,J27))</f>
      </c>
      <c r="K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Union")),1,0)*MAX(0,K27))</f>
      </c>
      <c r="L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Union")),1,0)*MAX(0,L27))</f>
      </c>
      <c r="M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Union")),1,0)*MAX(0,M27))</f>
      </c>
      <c r="N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Union")),1,0)*MAX(0,N27))</f>
      </c>
      <c r="O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Union")),1,0)*MAX(0,O27))</f>
      </c>
      <c r="P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Union")),1,0)*MAX(0,P27))</f>
      </c>
      <c r="Q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Union")),1,0)*MAX(0,Q27))</f>
      </c>
      <c r="R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Union")),1,0)*MAX(0,R27))</f>
      </c>
      <c r="S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Union")),1,0)*MAX(0,S27))</f>
      </c>
      <c r="T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Union")),1,0)*MAX(0,T27))</f>
      </c>
    </row>
    <row r="85" spans="2:20" x14ac:dyDescent="0.25">
      <c r="B85" t="s">
        <v>415</v>
      </c>
      <c r="C85">
        <f>IF('Inputs'!$U$103=1,('Inputs'!$O$100*C43+'Inputs'!$O$101*C55+'Inputs'!$O$102*C67+'Inputs'!$O$103*C79+'Inputs'!$O$104*C91+'Inputs'!$O$105*C103),C79)</f>
      </c>
      <c r="E85">
        <f>IF('Inputs'!$U$103=1,('Inputs'!$O$100*E43+'Inputs'!$O$101*E55+'Inputs'!$O$102*E67+'Inputs'!$O$103*E79+'Inputs'!$O$104*E91+'Inputs'!$O$105*E103),E79)</f>
      </c>
      <c r="F85">
        <f>IF('Inputs'!$U$103=1,('Inputs'!$O$100*F43+'Inputs'!$O$101*F55+'Inputs'!$O$102*F67+'Inputs'!$O$103*F79+'Inputs'!$O$104*F91+'Inputs'!$O$105*F103),F79)</f>
      </c>
      <c r="G85">
        <f>IF('Inputs'!$U$103=1,('Inputs'!$O$100*G43+'Inputs'!$O$101*G55+'Inputs'!$O$102*G67+'Inputs'!$O$103*G79+'Inputs'!$O$104*G91+'Inputs'!$O$105*G103),G79)</f>
      </c>
      <c r="H85">
        <f>IF('Inputs'!$U$103=1,('Inputs'!$O$100*H43+'Inputs'!$O$101*H55+'Inputs'!$O$102*H67+'Inputs'!$O$103*H79+'Inputs'!$O$104*H91+'Inputs'!$O$105*H103),H79)</f>
      </c>
      <c r="I85">
        <f>IF('Inputs'!$U$103=1,('Inputs'!$O$100*I43+'Inputs'!$O$101*I55+'Inputs'!$O$102*I67+'Inputs'!$O$103*I79+'Inputs'!$O$104*I91+'Inputs'!$O$105*I103),I79)</f>
      </c>
      <c r="J85">
        <f>IF('Inputs'!$U$103=1,('Inputs'!$O$100*J43+'Inputs'!$O$101*J55+'Inputs'!$O$102*J67+'Inputs'!$O$103*J79+'Inputs'!$O$104*J91+'Inputs'!$O$105*J103),J79)</f>
      </c>
      <c r="K85">
        <f>IF('Inputs'!$U$103=1,('Inputs'!$O$100*K43+'Inputs'!$O$101*K55+'Inputs'!$O$102*K67+'Inputs'!$O$103*K79+'Inputs'!$O$104*K91+'Inputs'!$O$105*K103),K79)</f>
      </c>
      <c r="L85">
        <f>IF('Inputs'!$U$103=1,('Inputs'!$O$100*L43+'Inputs'!$O$101*L55+'Inputs'!$O$102*L67+'Inputs'!$O$103*L79+'Inputs'!$O$104*L91+'Inputs'!$O$105*L103),L79)</f>
      </c>
      <c r="M85">
        <f>IF('Inputs'!$U$103=1,('Inputs'!$O$100*M43+'Inputs'!$O$101*M55+'Inputs'!$O$102*M67+'Inputs'!$O$103*M79+'Inputs'!$O$104*M91+'Inputs'!$O$105*M103),M79)</f>
      </c>
      <c r="N85">
        <f>IF('Inputs'!$U$103=1,('Inputs'!$O$100*N43+'Inputs'!$O$101*N55+'Inputs'!$O$102*N67+'Inputs'!$O$103*N79+'Inputs'!$O$104*N91+'Inputs'!$O$105*N103),N79)</f>
      </c>
      <c r="O85">
        <f>IF('Inputs'!$U$103=1,('Inputs'!$O$100*O43+'Inputs'!$O$101*O55+'Inputs'!$O$102*O67+'Inputs'!$O$103*O79+'Inputs'!$O$104*O91+'Inputs'!$O$105*O103),O79)</f>
      </c>
      <c r="P85">
        <f>IF('Inputs'!$U$103=1,('Inputs'!$O$100*P43+'Inputs'!$O$101*P55+'Inputs'!$O$102*P67+'Inputs'!$O$103*P79+'Inputs'!$O$104*P91+'Inputs'!$O$105*P103),P79)</f>
      </c>
      <c r="Q85">
        <f>IF('Inputs'!$U$103=1,('Inputs'!$O$100*Q43+'Inputs'!$O$101*Q55+'Inputs'!$O$102*Q67+'Inputs'!$O$103*Q79+'Inputs'!$O$104*Q91+'Inputs'!$O$105*Q103),Q79)</f>
      </c>
      <c r="R85">
        <f>IF('Inputs'!$U$103=1,('Inputs'!$O$100*R43+'Inputs'!$O$101*R55+'Inputs'!$O$102*R67+'Inputs'!$O$103*R79+'Inputs'!$O$104*R91+'Inputs'!$O$105*R103),R79)</f>
      </c>
      <c r="S85">
        <f>IF('Inputs'!$U$103=1,('Inputs'!$O$100*S43+'Inputs'!$O$101*S55+'Inputs'!$O$102*S67+'Inputs'!$O$103*S79+'Inputs'!$O$104*S91+'Inputs'!$O$105*S103),S79)</f>
      </c>
      <c r="T85">
        <f>IF('Inputs'!$U$103=1,('Inputs'!$O$100*T43+'Inputs'!$O$101*T55+'Inputs'!$O$102*T67+'Inputs'!$O$103*T79+'Inputs'!$O$104*T91+'Inputs'!$O$105*T103),T79)</f>
      </c>
    </row>
    <row r="86" spans="2:20" x14ac:dyDescent="0.25">
      <c r="B86" t="s">
        <v>416</v>
      </c>
      <c r="C86">
        <f>IF('Inputs'!$B$103="",0,ROUND('Needs years'!$C$178+ROUND(IF(C85=0,SUM('Needs years'!$J$172:$J$221),(1-(1+C85)^-1)/(1-(1+C85)^(-1/12))/12*SUMPRODUCT('Needs years'!$J$172:$J$221,(1+C85)^(-'Needs years'!$I$172:$I$221))),2),2))</f>
      </c>
      <c r="E86">
        <f>IF('Inputs'!$B$103="",0,ROUND('Needs years'!$C$178+ROUND(IF(E85=0,SUM('Needs years'!$J$172:$J$221),(1-(1+E85)^-1)/(1-(1+E85)^(-1/12))/12*SUMPRODUCT('Needs years'!$J$172:$J$221,(1+E85)^(-'Needs years'!$I$172:$I$221))),2),2))</f>
      </c>
      <c r="F86">
        <f>IF('Inputs'!$B$103="",0,ROUND('Needs years'!$C$178+ROUND(IF(F85=0,SUM('Needs years'!$J$172:$J$221),(1-(1+F85)^-1)/(1-(1+F85)^(-1/12))/12*SUMPRODUCT('Needs years'!$J$172:$J$221,(1+F85)^(-'Needs years'!$I$172:$I$221))),2),2))</f>
      </c>
      <c r="G86">
        <f>IF('Inputs'!$B$103="",0,ROUND('Needs years'!$C$178+ROUND(IF(G85=0,SUM('Needs years'!$J$172:$J$221),(1-(1+G85)^-1)/(1-(1+G85)^(-1/12))/12*SUMPRODUCT('Needs years'!$J$172:$J$221,(1+G85)^(-'Needs years'!$I$172:$I$221))),2),2))</f>
      </c>
      <c r="H86">
        <f>IF('Inputs'!$B$103="",0,ROUND('Needs years'!$C$178+ROUND(IF(H85=0,SUM('Needs years'!$J$172:$J$221),(1-(1+H85)^-1)/(1-(1+H85)^(-1/12))/12*SUMPRODUCT('Needs years'!$J$172:$J$221,(1+H85)^(-'Needs years'!$I$172:$I$221))),2),2))</f>
      </c>
      <c r="I86">
        <f>IF('Inputs'!$B$103="",0,ROUND('Needs years'!$C$178+ROUND(IF(I85=0,SUM('Needs years'!$J$172:$J$221),(1-(1+I85)^-1)/(1-(1+I85)^(-1/12))/12*SUMPRODUCT('Needs years'!$J$172:$J$221,(1+I85)^(-'Needs years'!$I$172:$I$221))),2),2))</f>
      </c>
      <c r="J86">
        <f>IF('Inputs'!$B$103="",0,ROUND('Needs years'!$C$178+ROUND(IF(J85=0,SUM('Needs years'!$J$172:$J$221),(1-(1+J85)^-1)/(1-(1+J85)^(-1/12))/12*SUMPRODUCT('Needs years'!$J$172:$J$221,(1+J85)^(-'Needs years'!$I$172:$I$221))),2),2))</f>
      </c>
      <c r="K86">
        <f>IF('Inputs'!$B$103="",0,ROUND('Needs years'!$C$178+ROUND(IF(K85=0,SUM('Needs years'!$J$172:$J$221),(1-(1+K85)^-1)/(1-(1+K85)^(-1/12))/12*SUMPRODUCT('Needs years'!$J$172:$J$221,(1+K85)^(-'Needs years'!$I$172:$I$221))),2),2))</f>
      </c>
      <c r="L86">
        <f>IF('Inputs'!$B$103="",0,ROUND('Needs years'!$C$178+ROUND(IF(L85=0,SUM('Needs years'!$J$172:$J$221),(1-(1+L85)^-1)/(1-(1+L85)^(-1/12))/12*SUMPRODUCT('Needs years'!$J$172:$J$221,(1+L85)^(-'Needs years'!$I$172:$I$221))),2),2))</f>
      </c>
      <c r="M86">
        <f>IF('Inputs'!$B$103="",0,ROUND('Needs years'!$C$178+ROUND(IF(M85=0,SUM('Needs years'!$J$172:$J$221),(1-(1+M85)^-1)/(1-(1+M85)^(-1/12))/12*SUMPRODUCT('Needs years'!$J$172:$J$221,(1+M85)^(-'Needs years'!$I$172:$I$221))),2),2))</f>
      </c>
      <c r="N86">
        <f>IF('Inputs'!$B$103="",0,ROUND('Needs years'!$C$178+ROUND(IF(N85=0,SUM('Needs years'!$J$172:$J$221),(1-(1+N85)^-1)/(1-(1+N85)^(-1/12))/12*SUMPRODUCT('Needs years'!$J$172:$J$221,(1+N85)^(-'Needs years'!$I$172:$I$221))),2),2))</f>
      </c>
      <c r="O86">
        <f>IF('Inputs'!$B$103="",0,ROUND('Needs years'!$C$178+ROUND(IF(O85=0,SUM('Needs years'!$J$172:$J$221),(1-(1+O85)^-1)/(1-(1+O85)^(-1/12))/12*SUMPRODUCT('Needs years'!$J$172:$J$221,(1+O85)^(-'Needs years'!$I$172:$I$221))),2),2))</f>
      </c>
      <c r="P86">
        <f>IF('Inputs'!$B$103="",0,ROUND('Needs years'!$C$178+ROUND(IF(P85=0,SUM('Needs years'!$J$172:$J$221),(1-(1+P85)^-1)/(1-(1+P85)^(-1/12))/12*SUMPRODUCT('Needs years'!$J$172:$J$221,(1+P85)^(-'Needs years'!$I$172:$I$221))),2),2))</f>
      </c>
      <c r="Q86">
        <f>IF('Inputs'!$B$103="",0,ROUND('Needs years'!$C$178+ROUND(IF(Q85=0,SUM('Needs years'!$J$172:$J$221),(1-(1+Q85)^-1)/(1-(1+Q85)^(-1/12))/12*SUMPRODUCT('Needs years'!$J$172:$J$221,(1+Q85)^(-'Needs years'!$I$172:$I$221))),2),2))</f>
      </c>
      <c r="R86">
        <f>IF('Inputs'!$B$103="",0,ROUND('Needs years'!$C$178+ROUND(IF(R85=0,SUM('Needs years'!$J$172:$J$221),(1-(1+R85)^-1)/(1-(1+R85)^(-1/12))/12*SUMPRODUCT('Needs years'!$J$172:$J$221,(1+R85)^(-'Needs years'!$I$172:$I$221))),2),2))</f>
      </c>
      <c r="S86">
        <f>IF('Inputs'!$B$103="",0,ROUND('Needs years'!$C$178+ROUND(IF(S85=0,SUM('Needs years'!$J$172:$J$221),(1-(1+S85)^-1)/(1-(1+S85)^(-1/12))/12*SUMPRODUCT('Needs years'!$J$172:$J$221,(1+S85)^(-'Needs years'!$I$172:$I$221))),2),2))</f>
      </c>
      <c r="T86">
        <f>IF('Inputs'!$B$103="",0,ROUND('Needs years'!$C$178+ROUND(IF(T85=0,SUM('Needs years'!$J$172:$J$221),(1-(1+T85)^-1)/(1-(1+T85)^(-1/12))/12*SUMPRODUCT('Needs years'!$J$172:$J$221,(1+T85)^(-'Needs years'!$I$172:$I$221))),2),2))</f>
      </c>
    </row>
    <row r="87" spans="2:20" x14ac:dyDescent="0.25">
      <c r="B87" t="s">
        <v>417</v>
      </c>
      <c r="C87">
        <f>IF('Inputs'!$U$103=1,0,IF((C80-C84)&gt;0,MAX(0,C76-C84)/(C80-C84),0))</f>
      </c>
      <c r="E87">
        <f>IF('Inputs'!$U$103=1,0,IF((E80-E84)&gt;0,MAX(0,E76-E84)/(E80-E84),0))</f>
      </c>
      <c r="F87">
        <f>IF('Inputs'!$U$103=1,0,IF((F80-F84)&gt;0,MAX(0,F76-F84)/(F80-F84),0))</f>
      </c>
      <c r="G87">
        <f>IF('Inputs'!$U$103=1,0,IF((G80-G84)&gt;0,MAX(0,G76-G84)/(G80-G84),0))</f>
      </c>
      <c r="H87">
        <f>IF('Inputs'!$U$103=1,0,IF((H80-H84)&gt;0,MAX(0,H76-H84)/(H80-H84),0))</f>
      </c>
      <c r="I87">
        <f>IF('Inputs'!$U$103=1,0,IF((I80-I84)&gt;0,MAX(0,I76-I84)/(I80-I84),0))</f>
      </c>
      <c r="J87">
        <f>IF('Inputs'!$U$103=1,0,IF((J80-J84)&gt;0,MAX(0,J76-J84)/(J80-J84),0))</f>
      </c>
      <c r="K87">
        <f>IF('Inputs'!$U$103=1,0,IF((K80-K84)&gt;0,MAX(0,K76-K84)/(K80-K84),0))</f>
      </c>
      <c r="L87">
        <f>IF('Inputs'!$U$103=1,0,IF((L80-L84)&gt;0,MAX(0,L76-L84)/(L80-L84),0))</f>
      </c>
      <c r="M87">
        <f>IF('Inputs'!$U$103=1,0,IF((M80-M84)&gt;0,MAX(0,M76-M84)/(M80-M84),0))</f>
      </c>
      <c r="N87">
        <f>IF('Inputs'!$U$103=1,0,IF((N80-N84)&gt;0,MAX(0,N76-N84)/(N80-N84),0))</f>
      </c>
      <c r="O87">
        <f>IF('Inputs'!$U$103=1,0,IF((O80-O84)&gt;0,MAX(0,O76-O84)/(O80-O84),0))</f>
      </c>
      <c r="P87">
        <f>IF('Inputs'!$U$103=1,0,IF((P80-P84)&gt;0,MAX(0,P76-P84)/(P80-P84),0))</f>
      </c>
      <c r="Q87">
        <f>IF('Inputs'!$U$103=1,0,IF((Q80-Q84)&gt;0,MAX(0,Q76-Q84)/(Q80-Q84),0))</f>
      </c>
      <c r="R87">
        <f>IF('Inputs'!$U$103=1,0,IF((R80-R84)&gt;0,MAX(0,R76-R84)/(R80-R84),0))</f>
      </c>
      <c r="S87">
        <f>IF('Inputs'!$U$103=1,0,IF((S80-S84)&gt;0,MAX(0,S76-S84)/(S80-S84),0))</f>
      </c>
      <c r="T87">
        <f>IF('Inputs'!$U$103=1,0,IF((T80-T84)&gt;0,MAX(0,T76-T84)/(T80-T84),0))</f>
      </c>
    </row>
    <row r="88" spans="2:20" x14ac:dyDescent="0.25">
      <c r="B88" t="s">
        <v>418</v>
      </c>
      <c r="C88">
        <f>IF('Inputs'!$B$104="",0,IF('Inputs'!$U$104=1,0,ROUND(C95+'Inputs'!$O$104*('Inputs'!$U$100*C47+'Inputs'!$U$101*C59+'Inputs'!$U$102*C71+'Inputs'!$U$103*C83+'Inputs'!$U$104*C95+'Inputs'!$U$105*C107),2)))</f>
      </c>
      <c r="E88">
        <f>IF('Inputs'!$B$104="",0,IF('Inputs'!$U$104=1,0,ROUND(E95+'Inputs'!$O$104*('Inputs'!$U$100*E47+'Inputs'!$U$101*E59+'Inputs'!$U$102*E71+'Inputs'!$U$103*E83+'Inputs'!$U$104*E95+'Inputs'!$U$105*E107),2)))</f>
      </c>
      <c r="F88">
        <f>IF('Inputs'!$B$104="",0,IF('Inputs'!$U$104=1,0,ROUND(F95+'Inputs'!$O$104*('Inputs'!$U$100*F47+'Inputs'!$U$101*F59+'Inputs'!$U$102*F71+'Inputs'!$U$103*F83+'Inputs'!$U$104*F95+'Inputs'!$U$105*F107),2)))</f>
      </c>
      <c r="G88">
        <f>IF('Inputs'!$B$104="",0,IF('Inputs'!$U$104=1,0,ROUND(G95+'Inputs'!$O$104*('Inputs'!$U$100*G47+'Inputs'!$U$101*G59+'Inputs'!$U$102*G71+'Inputs'!$U$103*G83+'Inputs'!$U$104*G95+'Inputs'!$U$105*G107),2)))</f>
      </c>
      <c r="H88">
        <f>IF('Inputs'!$B$104="",0,IF('Inputs'!$U$104=1,0,ROUND(H95+'Inputs'!$O$104*('Inputs'!$U$100*H47+'Inputs'!$U$101*H59+'Inputs'!$U$102*H71+'Inputs'!$U$103*H83+'Inputs'!$U$104*H95+'Inputs'!$U$105*H107),2)))</f>
      </c>
      <c r="I88">
        <f>IF('Inputs'!$B$104="",0,IF('Inputs'!$U$104=1,0,ROUND(I95+'Inputs'!$O$104*('Inputs'!$U$100*I47+'Inputs'!$U$101*I59+'Inputs'!$U$102*I71+'Inputs'!$U$103*I83+'Inputs'!$U$104*I95+'Inputs'!$U$105*I107),2)))</f>
      </c>
      <c r="J88">
        <f>IF('Inputs'!$B$104="",0,IF('Inputs'!$U$104=1,0,ROUND(J95+'Inputs'!$O$104*('Inputs'!$U$100*J47+'Inputs'!$U$101*J59+'Inputs'!$U$102*J71+'Inputs'!$U$103*J83+'Inputs'!$U$104*J95+'Inputs'!$U$105*J107),2)))</f>
      </c>
      <c r="K88">
        <f>IF('Inputs'!$B$104="",0,IF('Inputs'!$U$104=1,0,ROUND(K95+'Inputs'!$O$104*('Inputs'!$U$100*K47+'Inputs'!$U$101*K59+'Inputs'!$U$102*K71+'Inputs'!$U$103*K83+'Inputs'!$U$104*K95+'Inputs'!$U$105*K107),2)))</f>
      </c>
      <c r="L88">
        <f>IF('Inputs'!$B$104="",0,IF('Inputs'!$U$104=1,0,ROUND(L95+'Inputs'!$O$104*('Inputs'!$U$100*L47+'Inputs'!$U$101*L59+'Inputs'!$U$102*L71+'Inputs'!$U$103*L83+'Inputs'!$U$104*L95+'Inputs'!$U$105*L107),2)))</f>
      </c>
      <c r="M88">
        <f>IF('Inputs'!$B$104="",0,IF('Inputs'!$U$104=1,0,ROUND(M95+'Inputs'!$O$104*('Inputs'!$U$100*M47+'Inputs'!$U$101*M59+'Inputs'!$U$102*M71+'Inputs'!$U$103*M83+'Inputs'!$U$104*M95+'Inputs'!$U$105*M107),2)))</f>
      </c>
      <c r="N88">
        <f>IF('Inputs'!$B$104="",0,IF('Inputs'!$U$104=1,0,ROUND(N95+'Inputs'!$O$104*('Inputs'!$U$100*N47+'Inputs'!$U$101*N59+'Inputs'!$U$102*N71+'Inputs'!$U$103*N83+'Inputs'!$U$104*N95+'Inputs'!$U$105*N107),2)))</f>
      </c>
      <c r="O88">
        <f>IF('Inputs'!$B$104="",0,IF('Inputs'!$U$104=1,0,ROUND(O95+'Inputs'!$O$104*('Inputs'!$U$100*O47+'Inputs'!$U$101*O59+'Inputs'!$U$102*O71+'Inputs'!$U$103*O83+'Inputs'!$U$104*O95+'Inputs'!$U$105*O107),2)))</f>
      </c>
      <c r="P88">
        <f>IF('Inputs'!$B$104="",0,IF('Inputs'!$U$104=1,0,ROUND(P95+'Inputs'!$O$104*('Inputs'!$U$100*P47+'Inputs'!$U$101*P59+'Inputs'!$U$102*P71+'Inputs'!$U$103*P83+'Inputs'!$U$104*P95+'Inputs'!$U$105*P107),2)))</f>
      </c>
      <c r="Q88">
        <f>IF('Inputs'!$B$104="",0,IF('Inputs'!$U$104=1,0,ROUND(Q95+'Inputs'!$O$104*('Inputs'!$U$100*Q47+'Inputs'!$U$101*Q59+'Inputs'!$U$102*Q71+'Inputs'!$U$103*Q83+'Inputs'!$U$104*Q95+'Inputs'!$U$105*Q107),2)))</f>
      </c>
      <c r="R88">
        <f>IF('Inputs'!$B$104="",0,IF('Inputs'!$U$104=1,0,ROUND(R95+'Inputs'!$O$104*('Inputs'!$U$100*R47+'Inputs'!$U$101*R59+'Inputs'!$U$102*R71+'Inputs'!$U$103*R83+'Inputs'!$U$104*R95+'Inputs'!$U$105*R107),2)))</f>
      </c>
      <c r="S88">
        <f>IF('Inputs'!$B$104="",0,IF('Inputs'!$U$104=1,0,ROUND(S95+'Inputs'!$O$104*('Inputs'!$U$100*S47+'Inputs'!$U$101*S59+'Inputs'!$U$102*S71+'Inputs'!$U$103*S83+'Inputs'!$U$104*S95+'Inputs'!$U$105*S107),2)))</f>
      </c>
      <c r="T88">
        <f>IF('Inputs'!$B$104="",0,IF('Inputs'!$U$104=1,0,ROUND(T95+'Inputs'!$O$104*('Inputs'!$U$100*T47+'Inputs'!$U$101*T59+'Inputs'!$U$102*T71+'Inputs'!$U$103*T83+'Inputs'!$U$104*T95+'Inputs'!$U$105*T107),2)))</f>
      </c>
    </row>
    <row r="89" spans="2:20" x14ac:dyDescent="0.25">
      <c r="B89" t="s">
        <v>419</v>
      </c>
      <c r="C89">
        <f>'Needs years'!$C$229+MAX(0,C88-C96)*('Inputs'!$H$136/100*('Inputs'!$H$139/100+'Inputs'!$C$146/100*'Inputs'!$H$141/100))</f>
      </c>
      <c r="E89">
        <f>'Needs years'!$C$229+MAX(0,E88-E96)*('Inputs'!$H$136/100*('Inputs'!$H$139/100+'Inputs'!$C$146/100*'Inputs'!$H$141/100))</f>
      </c>
      <c r="F89">
        <f>'Needs years'!$C$229+MAX(0,F88-F96)*('Inputs'!$H$136/100*('Inputs'!$H$139/100+'Inputs'!$C$146/100*'Inputs'!$H$141/100))</f>
      </c>
      <c r="G89">
        <f>'Needs years'!$C$229+MAX(0,G88-G96)*('Inputs'!$H$136/100*('Inputs'!$H$139/100+'Inputs'!$C$146/100*'Inputs'!$H$141/100))</f>
      </c>
      <c r="H89">
        <f>'Needs years'!$C$229+MAX(0,H88-H96)*('Inputs'!$H$136/100*('Inputs'!$H$139/100+'Inputs'!$C$146/100*'Inputs'!$H$141/100))</f>
      </c>
      <c r="I89">
        <f>'Needs years'!$C$229+MAX(0,I88-I96)*('Inputs'!$H$136/100*('Inputs'!$H$139/100+'Inputs'!$C$146/100*'Inputs'!$H$141/100))</f>
      </c>
      <c r="J89">
        <f>'Needs years'!$C$229+MAX(0,J88-J96)*('Inputs'!$H$136/100*('Inputs'!$H$139/100+'Inputs'!$C$146/100*'Inputs'!$H$141/100))</f>
      </c>
      <c r="K89">
        <f>'Needs years'!$C$229+MAX(0,K88-K96)*('Inputs'!$H$136/100*('Inputs'!$H$139/100+'Inputs'!$C$146/100*'Inputs'!$H$141/100))</f>
      </c>
      <c r="L89">
        <f>'Needs years'!$C$229+MAX(0,L88-L96)*('Inputs'!$H$136/100*('Inputs'!$H$139/100+'Inputs'!$C$146/100*'Inputs'!$H$141/100))</f>
      </c>
      <c r="M89">
        <f>'Needs years'!$C$229+MAX(0,M88-M96)*('Inputs'!$H$136/100*('Inputs'!$H$139/100+'Inputs'!$C$146/100*'Inputs'!$H$141/100))</f>
      </c>
      <c r="N89">
        <f>'Needs years'!$C$229+MAX(0,N88-N96)*('Inputs'!$H$136/100*('Inputs'!$H$139/100+'Inputs'!$C$146/100*'Inputs'!$H$141/100))</f>
      </c>
      <c r="O89">
        <f>'Needs years'!$C$229+MAX(0,O88-O96)*('Inputs'!$H$136/100*('Inputs'!$H$139/100+'Inputs'!$C$146/100*'Inputs'!$H$141/100))</f>
      </c>
      <c r="P89">
        <f>'Needs years'!$C$229+MAX(0,P88-P96)*('Inputs'!$H$136/100*('Inputs'!$H$139/100+'Inputs'!$C$146/100*'Inputs'!$H$141/100))</f>
      </c>
      <c r="Q89">
        <f>'Needs years'!$C$229+MAX(0,Q88-Q96)*('Inputs'!$H$136/100*('Inputs'!$H$139/100+'Inputs'!$C$146/100*'Inputs'!$H$141/100))</f>
      </c>
      <c r="R89">
        <f>'Needs years'!$C$229+MAX(0,R88-R96)*('Inputs'!$H$136/100*('Inputs'!$H$139/100+'Inputs'!$C$146/100*'Inputs'!$H$141/100))</f>
      </c>
      <c r="S89">
        <f>'Needs years'!$C$229+MAX(0,S88-S96)*('Inputs'!$H$136/100*('Inputs'!$H$139/100+'Inputs'!$C$146/100*'Inputs'!$H$141/100))</f>
      </c>
      <c r="T89">
        <f>'Needs years'!$C$229+MAX(0,T88-T96)*('Inputs'!$H$136/100*('Inputs'!$H$139/100+'Inputs'!$C$146/100*'Inputs'!$H$141/100))</f>
      </c>
    </row>
    <row r="90" spans="2:20" x14ac:dyDescent="0.25">
      <c r="B90" t="s">
        <v>420</v>
      </c>
      <c r="C90">
        <f>IF(C89&lt;='Needs years'!$C$228,0,INDEX('Inputs'!$E$149:$E$155,MATCH(C89,'Inputs'!$C$149:$C$155,1)-IF(COUNTIF('Inputs'!$C$149:$C$155,C89)&gt;0,1,0))/100)</f>
      </c>
      <c r="E90">
        <f>IF(E89&lt;='Needs years'!$C$228,0,INDEX('Inputs'!$E$149:$E$155,MATCH(E89,'Inputs'!$C$149:$C$155,1)-IF(COUNTIF('Inputs'!$C$149:$C$155,E89)&gt;0,1,0))/100)</f>
      </c>
      <c r="F90">
        <f>IF(F89&lt;='Needs years'!$C$228,0,INDEX('Inputs'!$E$149:$E$155,MATCH(F89,'Inputs'!$C$149:$C$155,1)-IF(COUNTIF('Inputs'!$C$149:$C$155,F89)&gt;0,1,0))/100)</f>
      </c>
      <c r="G90">
        <f>IF(G89&lt;='Needs years'!$C$228,0,INDEX('Inputs'!$E$149:$E$155,MATCH(G89,'Inputs'!$C$149:$C$155,1)-IF(COUNTIF('Inputs'!$C$149:$C$155,G89)&gt;0,1,0))/100)</f>
      </c>
      <c r="H90">
        <f>IF(H89&lt;='Needs years'!$C$228,0,INDEX('Inputs'!$E$149:$E$155,MATCH(H89,'Inputs'!$C$149:$C$155,1)-IF(COUNTIF('Inputs'!$C$149:$C$155,H89)&gt;0,1,0))/100)</f>
      </c>
      <c r="I90">
        <f>IF(I89&lt;='Needs years'!$C$228,0,INDEX('Inputs'!$E$149:$E$155,MATCH(I89,'Inputs'!$C$149:$C$155,1)-IF(COUNTIF('Inputs'!$C$149:$C$155,I89)&gt;0,1,0))/100)</f>
      </c>
      <c r="J90">
        <f>IF(J89&lt;='Needs years'!$C$228,0,INDEX('Inputs'!$E$149:$E$155,MATCH(J89,'Inputs'!$C$149:$C$155,1)-IF(COUNTIF('Inputs'!$C$149:$C$155,J89)&gt;0,1,0))/100)</f>
      </c>
      <c r="K90">
        <f>IF(K89&lt;='Needs years'!$C$228,0,INDEX('Inputs'!$E$149:$E$155,MATCH(K89,'Inputs'!$C$149:$C$155,1)-IF(COUNTIF('Inputs'!$C$149:$C$155,K89)&gt;0,1,0))/100)</f>
      </c>
      <c r="L90">
        <f>IF(L89&lt;='Needs years'!$C$228,0,INDEX('Inputs'!$E$149:$E$155,MATCH(L89,'Inputs'!$C$149:$C$155,1)-IF(COUNTIF('Inputs'!$C$149:$C$155,L89)&gt;0,1,0))/100)</f>
      </c>
      <c r="M90">
        <f>IF(M89&lt;='Needs years'!$C$228,0,INDEX('Inputs'!$E$149:$E$155,MATCH(M89,'Inputs'!$C$149:$C$155,1)-IF(COUNTIF('Inputs'!$C$149:$C$155,M89)&gt;0,1,0))/100)</f>
      </c>
      <c r="N90">
        <f>IF(N89&lt;='Needs years'!$C$228,0,INDEX('Inputs'!$E$149:$E$155,MATCH(N89,'Inputs'!$C$149:$C$155,1)-IF(COUNTIF('Inputs'!$C$149:$C$155,N89)&gt;0,1,0))/100)</f>
      </c>
      <c r="O90">
        <f>IF(O89&lt;='Needs years'!$C$228,0,INDEX('Inputs'!$E$149:$E$155,MATCH(O89,'Inputs'!$C$149:$C$155,1)-IF(COUNTIF('Inputs'!$C$149:$C$155,O89)&gt;0,1,0))/100)</f>
      </c>
      <c r="P90">
        <f>IF(P89&lt;='Needs years'!$C$228,0,INDEX('Inputs'!$E$149:$E$155,MATCH(P89,'Inputs'!$C$149:$C$155,1)-IF(COUNTIF('Inputs'!$C$149:$C$155,P89)&gt;0,1,0))/100)</f>
      </c>
      <c r="Q90">
        <f>IF(Q89&lt;='Needs years'!$C$228,0,INDEX('Inputs'!$E$149:$E$155,MATCH(Q89,'Inputs'!$C$149:$C$155,1)-IF(COUNTIF('Inputs'!$C$149:$C$155,Q89)&gt;0,1,0))/100)</f>
      </c>
      <c r="R90">
        <f>IF(R89&lt;='Needs years'!$C$228,0,INDEX('Inputs'!$E$149:$E$155,MATCH(R89,'Inputs'!$C$149:$C$155,1)-IF(COUNTIF('Inputs'!$C$149:$C$155,R89)&gt;0,1,0))/100)</f>
      </c>
      <c r="S90">
        <f>IF(S89&lt;='Needs years'!$C$228,0,INDEX('Inputs'!$E$149:$E$155,MATCH(S89,'Inputs'!$C$149:$C$155,1)-IF(COUNTIF('Inputs'!$C$149:$C$155,S89)&gt;0,1,0))/100)</f>
      </c>
      <c r="T90">
        <f>IF(T89&lt;='Needs years'!$C$228,0,INDEX('Inputs'!$E$149:$E$155,MATCH(T89,'Inputs'!$C$149:$C$155,1)-IF(COUNTIF('Inputs'!$C$149:$C$155,T89)&gt;0,1,0))/100)</f>
      </c>
    </row>
    <row r="91" spans="2:20" x14ac:dyDescent="0.25">
      <c r="B91" t="s">
        <v>421</v>
      </c>
      <c r="C91">
        <f>('Inputs'!$H$136/100*(1-('Inputs'!$H$139/100*C90+'Inputs'!$H$140/100*'Inputs'!$H$142/100+'Inputs'!$H$141/100*'Inputs'!$C$146/100*C90))-IF('Needs years'!$C$233=1,'Inputs'!$H$137/100,0))</f>
      </c>
      <c r="E91">
        <f>('Inputs'!$H$136/100*(1-('Inputs'!$H$139/100*E90+'Inputs'!$H$140/100*'Inputs'!$H$142/100+'Inputs'!$H$141/100*'Inputs'!$C$146/100*E90))-IF('Needs years'!$C$233=1,'Inputs'!$H$137/100,0))</f>
      </c>
      <c r="F91">
        <f>('Inputs'!$H$136/100*(1-('Inputs'!$H$139/100*F90+'Inputs'!$H$140/100*'Inputs'!$H$142/100+'Inputs'!$H$141/100*'Inputs'!$C$146/100*F90))-IF('Needs years'!$C$233=1,'Inputs'!$H$137/100,0))</f>
      </c>
      <c r="G91">
        <f>('Inputs'!$H$136/100*(1-('Inputs'!$H$139/100*G90+'Inputs'!$H$140/100*'Inputs'!$H$142/100+'Inputs'!$H$141/100*'Inputs'!$C$146/100*G90))-IF('Needs years'!$C$233=1,'Inputs'!$H$137/100,0))</f>
      </c>
      <c r="H91">
        <f>('Inputs'!$H$136/100*(1-('Inputs'!$H$139/100*H90+'Inputs'!$H$140/100*'Inputs'!$H$142/100+'Inputs'!$H$141/100*'Inputs'!$C$146/100*H90))-IF('Needs years'!$C$233=1,'Inputs'!$H$137/100,0))</f>
      </c>
      <c r="I91">
        <f>('Inputs'!$H$136/100*(1-('Inputs'!$H$139/100*I90+'Inputs'!$H$140/100*'Inputs'!$H$142/100+'Inputs'!$H$141/100*'Inputs'!$C$146/100*I90))-IF('Needs years'!$C$233=1,'Inputs'!$H$137/100,0))</f>
      </c>
      <c r="J91">
        <f>('Inputs'!$H$136/100*(1-('Inputs'!$H$139/100*J90+'Inputs'!$H$140/100*'Inputs'!$H$142/100+'Inputs'!$H$141/100*'Inputs'!$C$146/100*J90))-IF('Needs years'!$C$233=1,'Inputs'!$H$137/100,0))</f>
      </c>
      <c r="K91">
        <f>('Inputs'!$H$136/100*(1-('Inputs'!$H$139/100*K90+'Inputs'!$H$140/100*'Inputs'!$H$142/100+'Inputs'!$H$141/100*'Inputs'!$C$146/100*K90))-IF('Needs years'!$C$233=1,'Inputs'!$H$137/100,0))</f>
      </c>
      <c r="L91">
        <f>('Inputs'!$H$136/100*(1-('Inputs'!$H$139/100*L90+'Inputs'!$H$140/100*'Inputs'!$H$142/100+'Inputs'!$H$141/100*'Inputs'!$C$146/100*L90))-IF('Needs years'!$C$233=1,'Inputs'!$H$137/100,0))</f>
      </c>
      <c r="M91">
        <f>('Inputs'!$H$136/100*(1-('Inputs'!$H$139/100*M90+'Inputs'!$H$140/100*'Inputs'!$H$142/100+'Inputs'!$H$141/100*'Inputs'!$C$146/100*M90))-IF('Needs years'!$C$233=1,'Inputs'!$H$137/100,0))</f>
      </c>
      <c r="N91">
        <f>('Inputs'!$H$136/100*(1-('Inputs'!$H$139/100*N90+'Inputs'!$H$140/100*'Inputs'!$H$142/100+'Inputs'!$H$141/100*'Inputs'!$C$146/100*N90))-IF('Needs years'!$C$233=1,'Inputs'!$H$137/100,0))</f>
      </c>
      <c r="O91">
        <f>('Inputs'!$H$136/100*(1-('Inputs'!$H$139/100*O90+'Inputs'!$H$140/100*'Inputs'!$H$142/100+'Inputs'!$H$141/100*'Inputs'!$C$146/100*O90))-IF('Needs years'!$C$233=1,'Inputs'!$H$137/100,0))</f>
      </c>
      <c r="P91">
        <f>('Inputs'!$H$136/100*(1-('Inputs'!$H$139/100*P90+'Inputs'!$H$140/100*'Inputs'!$H$142/100+'Inputs'!$H$141/100*'Inputs'!$C$146/100*P90))-IF('Needs years'!$C$233=1,'Inputs'!$H$137/100,0))</f>
      </c>
      <c r="Q91">
        <f>('Inputs'!$H$136/100*(1-('Inputs'!$H$139/100*Q90+'Inputs'!$H$140/100*'Inputs'!$H$142/100+'Inputs'!$H$141/100*'Inputs'!$C$146/100*Q90))-IF('Needs years'!$C$233=1,'Inputs'!$H$137/100,0))</f>
      </c>
      <c r="R91">
        <f>('Inputs'!$H$136/100*(1-('Inputs'!$H$139/100*R90+'Inputs'!$H$140/100*'Inputs'!$H$142/100+'Inputs'!$H$141/100*'Inputs'!$C$146/100*R90))-IF('Needs years'!$C$233=1,'Inputs'!$H$137/100,0))</f>
      </c>
      <c r="S91">
        <f>('Inputs'!$H$136/100*(1-('Inputs'!$H$139/100*S90+'Inputs'!$H$140/100*'Inputs'!$H$142/100+'Inputs'!$H$141/100*'Inputs'!$C$146/100*S90))-IF('Needs years'!$C$233=1,'Inputs'!$H$137/100,0))</f>
      </c>
      <c r="T91">
        <f>('Inputs'!$H$136/100*(1-('Inputs'!$H$139/100*T90+'Inputs'!$H$140/100*'Inputs'!$H$142/100+'Inputs'!$H$141/100*'Inputs'!$C$146/100*T90))-IF('Needs years'!$C$233=1,'Inputs'!$H$137/100,0))</f>
      </c>
    </row>
    <row r="92" spans="2:20" x14ac:dyDescent="0.25">
      <c r="B92" t="s">
        <v>422</v>
      </c>
      <c r="C92">
        <f>IF('Inputs'!$B$104="",0,IF('Inputs'!$U$104=1,0,ROUND(C98+'Inputs'!$O$104*('Inputs'!$U$100*C50+'Inputs'!$U$101*C62+'Inputs'!$U$102*C74+'Inputs'!$U$103*C86+'Inputs'!$U$104*C98+'Inputs'!$U$105*C110)+'Inputs'!$O$104*IF(AND('Inputs'!$C$108="The spouse, from what they receive",SUM('Inputs'!$O$100:$O$105)&gt;0,OR(LEFT('Inputs'!$C$13,7)="Married",'Inputs'!$C$13="Life partner",'Inputs'!$C$13="Civil Union")),1,0)*MAX(0,C27),2)))</f>
      </c>
      <c r="E92">
        <f>IF('Inputs'!$B$104="",0,IF('Inputs'!$U$104=1,0,ROUND(E98+'Inputs'!$O$104*('Inputs'!$U$100*E50+'Inputs'!$U$101*E62+'Inputs'!$U$102*E74+'Inputs'!$U$103*E86+'Inputs'!$U$104*E98+'Inputs'!$U$105*E110)+'Inputs'!$O$104*IF(AND('Inputs'!$C$108="The spouse, from what they receive",SUM('Inputs'!$O$100:$O$105)&gt;0,OR(LEFT('Inputs'!$C$13,7)="Married",'Inputs'!$C$13="Life partner",'Inputs'!$C$13="Civil Union")),1,0)*MAX(0,E27),2)))</f>
      </c>
      <c r="F92">
        <f>IF('Inputs'!$B$104="",0,IF('Inputs'!$U$104=1,0,ROUND(F98+'Inputs'!$O$104*('Inputs'!$U$100*F50+'Inputs'!$U$101*F62+'Inputs'!$U$102*F74+'Inputs'!$U$103*F86+'Inputs'!$U$104*F98+'Inputs'!$U$105*F110)+'Inputs'!$O$104*IF(AND('Inputs'!$C$108="The spouse, from what they receive",SUM('Inputs'!$O$100:$O$105)&gt;0,OR(LEFT('Inputs'!$C$13,7)="Married",'Inputs'!$C$13="Life partner",'Inputs'!$C$13="Civil Union")),1,0)*MAX(0,F27),2)))</f>
      </c>
      <c r="G92">
        <f>IF('Inputs'!$B$104="",0,IF('Inputs'!$U$104=1,0,ROUND(G98+'Inputs'!$O$104*('Inputs'!$U$100*G50+'Inputs'!$U$101*G62+'Inputs'!$U$102*G74+'Inputs'!$U$103*G86+'Inputs'!$U$104*G98+'Inputs'!$U$105*G110)+'Inputs'!$O$104*IF(AND('Inputs'!$C$108="The spouse, from what they receive",SUM('Inputs'!$O$100:$O$105)&gt;0,OR(LEFT('Inputs'!$C$13,7)="Married",'Inputs'!$C$13="Life partner",'Inputs'!$C$13="Civil Union")),1,0)*MAX(0,G27),2)))</f>
      </c>
      <c r="H92">
        <f>IF('Inputs'!$B$104="",0,IF('Inputs'!$U$104=1,0,ROUND(H98+'Inputs'!$O$104*('Inputs'!$U$100*H50+'Inputs'!$U$101*H62+'Inputs'!$U$102*H74+'Inputs'!$U$103*H86+'Inputs'!$U$104*H98+'Inputs'!$U$105*H110)+'Inputs'!$O$104*IF(AND('Inputs'!$C$108="The spouse, from what they receive",SUM('Inputs'!$O$100:$O$105)&gt;0,OR(LEFT('Inputs'!$C$13,7)="Married",'Inputs'!$C$13="Life partner",'Inputs'!$C$13="Civil Union")),1,0)*MAX(0,H27),2)))</f>
      </c>
      <c r="I92">
        <f>IF('Inputs'!$B$104="",0,IF('Inputs'!$U$104=1,0,ROUND(I98+'Inputs'!$O$104*('Inputs'!$U$100*I50+'Inputs'!$U$101*I62+'Inputs'!$U$102*I74+'Inputs'!$U$103*I86+'Inputs'!$U$104*I98+'Inputs'!$U$105*I110)+'Inputs'!$O$104*IF(AND('Inputs'!$C$108="The spouse, from what they receive",SUM('Inputs'!$O$100:$O$105)&gt;0,OR(LEFT('Inputs'!$C$13,7)="Married",'Inputs'!$C$13="Life partner",'Inputs'!$C$13="Civil Union")),1,0)*MAX(0,I27),2)))</f>
      </c>
      <c r="J92">
        <f>IF('Inputs'!$B$104="",0,IF('Inputs'!$U$104=1,0,ROUND(J98+'Inputs'!$O$104*('Inputs'!$U$100*J50+'Inputs'!$U$101*J62+'Inputs'!$U$102*J74+'Inputs'!$U$103*J86+'Inputs'!$U$104*J98+'Inputs'!$U$105*J110)+'Inputs'!$O$104*IF(AND('Inputs'!$C$108="The spouse, from what they receive",SUM('Inputs'!$O$100:$O$105)&gt;0,OR(LEFT('Inputs'!$C$13,7)="Married",'Inputs'!$C$13="Life partner",'Inputs'!$C$13="Civil Union")),1,0)*MAX(0,J27),2)))</f>
      </c>
      <c r="K92">
        <f>IF('Inputs'!$B$104="",0,IF('Inputs'!$U$104=1,0,ROUND(K98+'Inputs'!$O$104*('Inputs'!$U$100*K50+'Inputs'!$U$101*K62+'Inputs'!$U$102*K74+'Inputs'!$U$103*K86+'Inputs'!$U$104*K98+'Inputs'!$U$105*K110)+'Inputs'!$O$104*IF(AND('Inputs'!$C$108="The spouse, from what they receive",SUM('Inputs'!$O$100:$O$105)&gt;0,OR(LEFT('Inputs'!$C$13,7)="Married",'Inputs'!$C$13="Life partner",'Inputs'!$C$13="Civil Union")),1,0)*MAX(0,K27),2)))</f>
      </c>
      <c r="L92">
        <f>IF('Inputs'!$B$104="",0,IF('Inputs'!$U$104=1,0,ROUND(L98+'Inputs'!$O$104*('Inputs'!$U$100*L50+'Inputs'!$U$101*L62+'Inputs'!$U$102*L74+'Inputs'!$U$103*L86+'Inputs'!$U$104*L98+'Inputs'!$U$105*L110)+'Inputs'!$O$104*IF(AND('Inputs'!$C$108="The spouse, from what they receive",SUM('Inputs'!$O$100:$O$105)&gt;0,OR(LEFT('Inputs'!$C$13,7)="Married",'Inputs'!$C$13="Life partner",'Inputs'!$C$13="Civil Union")),1,0)*MAX(0,L27),2)))</f>
      </c>
      <c r="M92">
        <f>IF('Inputs'!$B$104="",0,IF('Inputs'!$U$104=1,0,ROUND(M98+'Inputs'!$O$104*('Inputs'!$U$100*M50+'Inputs'!$U$101*M62+'Inputs'!$U$102*M74+'Inputs'!$U$103*M86+'Inputs'!$U$104*M98+'Inputs'!$U$105*M110)+'Inputs'!$O$104*IF(AND('Inputs'!$C$108="The spouse, from what they receive",SUM('Inputs'!$O$100:$O$105)&gt;0,OR(LEFT('Inputs'!$C$13,7)="Married",'Inputs'!$C$13="Life partner",'Inputs'!$C$13="Civil Union")),1,0)*MAX(0,M27),2)))</f>
      </c>
      <c r="N92">
        <f>IF('Inputs'!$B$104="",0,IF('Inputs'!$U$104=1,0,ROUND(N98+'Inputs'!$O$104*('Inputs'!$U$100*N50+'Inputs'!$U$101*N62+'Inputs'!$U$102*N74+'Inputs'!$U$103*N86+'Inputs'!$U$104*N98+'Inputs'!$U$105*N110)+'Inputs'!$O$104*IF(AND('Inputs'!$C$108="The spouse, from what they receive",SUM('Inputs'!$O$100:$O$105)&gt;0,OR(LEFT('Inputs'!$C$13,7)="Married",'Inputs'!$C$13="Life partner",'Inputs'!$C$13="Civil Union")),1,0)*MAX(0,N27),2)))</f>
      </c>
      <c r="O92">
        <f>IF('Inputs'!$B$104="",0,IF('Inputs'!$U$104=1,0,ROUND(O98+'Inputs'!$O$104*('Inputs'!$U$100*O50+'Inputs'!$U$101*O62+'Inputs'!$U$102*O74+'Inputs'!$U$103*O86+'Inputs'!$U$104*O98+'Inputs'!$U$105*O110)+'Inputs'!$O$104*IF(AND('Inputs'!$C$108="The spouse, from what they receive",SUM('Inputs'!$O$100:$O$105)&gt;0,OR(LEFT('Inputs'!$C$13,7)="Married",'Inputs'!$C$13="Life partner",'Inputs'!$C$13="Civil Union")),1,0)*MAX(0,O27),2)))</f>
      </c>
      <c r="P92">
        <f>IF('Inputs'!$B$104="",0,IF('Inputs'!$U$104=1,0,ROUND(P98+'Inputs'!$O$104*('Inputs'!$U$100*P50+'Inputs'!$U$101*P62+'Inputs'!$U$102*P74+'Inputs'!$U$103*P86+'Inputs'!$U$104*P98+'Inputs'!$U$105*P110)+'Inputs'!$O$104*IF(AND('Inputs'!$C$108="The spouse, from what they receive",SUM('Inputs'!$O$100:$O$105)&gt;0,OR(LEFT('Inputs'!$C$13,7)="Married",'Inputs'!$C$13="Life partner",'Inputs'!$C$13="Civil Union")),1,0)*MAX(0,P27),2)))</f>
      </c>
      <c r="Q92">
        <f>IF('Inputs'!$B$104="",0,IF('Inputs'!$U$104=1,0,ROUND(Q98+'Inputs'!$O$104*('Inputs'!$U$100*Q50+'Inputs'!$U$101*Q62+'Inputs'!$U$102*Q74+'Inputs'!$U$103*Q86+'Inputs'!$U$104*Q98+'Inputs'!$U$105*Q110)+'Inputs'!$O$104*IF(AND('Inputs'!$C$108="The spouse, from what they receive",SUM('Inputs'!$O$100:$O$105)&gt;0,OR(LEFT('Inputs'!$C$13,7)="Married",'Inputs'!$C$13="Life partner",'Inputs'!$C$13="Civil Union")),1,0)*MAX(0,Q27),2)))</f>
      </c>
      <c r="R92">
        <f>IF('Inputs'!$B$104="",0,IF('Inputs'!$U$104=1,0,ROUND(R98+'Inputs'!$O$104*('Inputs'!$U$100*R50+'Inputs'!$U$101*R62+'Inputs'!$U$102*R74+'Inputs'!$U$103*R86+'Inputs'!$U$104*R98+'Inputs'!$U$105*R110)+'Inputs'!$O$104*IF(AND('Inputs'!$C$108="The spouse, from what they receive",SUM('Inputs'!$O$100:$O$105)&gt;0,OR(LEFT('Inputs'!$C$13,7)="Married",'Inputs'!$C$13="Life partner",'Inputs'!$C$13="Civil Union")),1,0)*MAX(0,R27),2)))</f>
      </c>
      <c r="S92">
        <f>IF('Inputs'!$B$104="",0,IF('Inputs'!$U$104=1,0,ROUND(S98+'Inputs'!$O$104*('Inputs'!$U$100*S50+'Inputs'!$U$101*S62+'Inputs'!$U$102*S74+'Inputs'!$U$103*S86+'Inputs'!$U$104*S98+'Inputs'!$U$105*S110)+'Inputs'!$O$104*IF(AND('Inputs'!$C$108="The spouse, from what they receive",SUM('Inputs'!$O$100:$O$105)&gt;0,OR(LEFT('Inputs'!$C$13,7)="Married",'Inputs'!$C$13="Life partner",'Inputs'!$C$13="Civil Union")),1,0)*MAX(0,S27),2)))</f>
      </c>
      <c r="T92">
        <f>IF('Inputs'!$B$104="",0,IF('Inputs'!$U$104=1,0,ROUND(T98+'Inputs'!$O$104*('Inputs'!$U$100*T50+'Inputs'!$U$101*T62+'Inputs'!$U$102*T74+'Inputs'!$U$103*T86+'Inputs'!$U$104*T98+'Inputs'!$U$105*T110)+'Inputs'!$O$104*IF(AND('Inputs'!$C$108="The spouse, from what they receive",SUM('Inputs'!$O$100:$O$105)&gt;0,OR(LEFT('Inputs'!$C$13,7)="Married",'Inputs'!$C$13="Life partner",'Inputs'!$C$13="Civil Union")),1,0)*MAX(0,T27),2)))</f>
      </c>
    </row>
    <row r="93" spans="2:20" x14ac:dyDescent="0.25">
      <c r="B93" t="s">
        <v>423</v>
      </c>
      <c r="C93">
        <f>IF('Inputs'!$B$104="",0,ROUND(C92-C88,2))</f>
      </c>
      <c r="E93">
        <f>IF('Inputs'!$B$104="",0,ROUND(E92-E88,2))</f>
      </c>
      <c r="F93">
        <f>IF('Inputs'!$B$104="",0,ROUND(F92-F88,2))</f>
      </c>
      <c r="G93">
        <f>IF('Inputs'!$B$104="",0,ROUND(G92-G88,2))</f>
      </c>
      <c r="H93">
        <f>IF('Inputs'!$B$104="",0,ROUND(H92-H88,2))</f>
      </c>
      <c r="I93">
        <f>IF('Inputs'!$B$104="",0,ROUND(I92-I88,2))</f>
      </c>
      <c r="J93">
        <f>IF('Inputs'!$B$104="",0,ROUND(J92-J88,2))</f>
      </c>
      <c r="K93">
        <f>IF('Inputs'!$B$104="",0,ROUND(K92-K88,2))</f>
      </c>
      <c r="L93">
        <f>IF('Inputs'!$B$104="",0,ROUND(L92-L88,2))</f>
      </c>
      <c r="M93">
        <f>IF('Inputs'!$B$104="",0,ROUND(M92-M88,2))</f>
      </c>
      <c r="N93">
        <f>IF('Inputs'!$B$104="",0,ROUND(N92-N88,2))</f>
      </c>
      <c r="O93">
        <f>IF('Inputs'!$B$104="",0,ROUND(O92-O88,2))</f>
      </c>
      <c r="P93">
        <f>IF('Inputs'!$B$104="",0,ROUND(P92-P88,2))</f>
      </c>
      <c r="Q93">
        <f>IF('Inputs'!$B$104="",0,ROUND(Q92-Q88,2))</f>
      </c>
      <c r="R93">
        <f>IF('Inputs'!$B$104="",0,ROUND(R92-R88,2))</f>
      </c>
      <c r="S93">
        <f>IF('Inputs'!$B$104="",0,ROUND(S92-S88,2))</f>
      </c>
      <c r="T93">
        <f>IF('Inputs'!$B$104="",0,ROUND(T92-T88,2))</f>
      </c>
    </row>
    <row r="94" spans="2:20" x14ac:dyDescent="0.25">
      <c r="B94" t="s">
        <v>424</v>
      </c>
      <c r="C94">
        <f>IF('Inputs'!$B$104="",0,'Needs years'!$C$240+IF('Inputs'!$U$104=1,('Inputs'!$O$100*C51+'Inputs'!$O$101*C63+'Inputs'!$O$102*C75+'Inputs'!$O$103*C87+'Inputs'!$O$104*C99+'Inputs'!$O$105*C111),C99)*'Needs years'!$J$228/12)</f>
      </c>
      <c r="E94">
        <f>IF('Inputs'!$B$104="",0,'Needs years'!$C$240+IF('Inputs'!$U$104=1,('Inputs'!$O$100*E51+'Inputs'!$O$101*E63+'Inputs'!$O$102*E75+'Inputs'!$O$103*E87+'Inputs'!$O$104*E99+'Inputs'!$O$105*E111),E99)*'Needs years'!$J$228/12)</f>
      </c>
      <c r="F94">
        <f>IF('Inputs'!$B$104="",0,'Needs years'!$C$240+IF('Inputs'!$U$104=1,('Inputs'!$O$100*F51+'Inputs'!$O$101*F63+'Inputs'!$O$102*F75+'Inputs'!$O$103*F87+'Inputs'!$O$104*F99+'Inputs'!$O$105*F111),F99)*'Needs years'!$J$228/12)</f>
      </c>
      <c r="G94">
        <f>IF('Inputs'!$B$104="",0,'Needs years'!$C$240+IF('Inputs'!$U$104=1,('Inputs'!$O$100*G51+'Inputs'!$O$101*G63+'Inputs'!$O$102*G75+'Inputs'!$O$103*G87+'Inputs'!$O$104*G99+'Inputs'!$O$105*G111),G99)*'Needs years'!$J$228/12)</f>
      </c>
      <c r="H94">
        <f>IF('Inputs'!$B$104="",0,'Needs years'!$C$240+IF('Inputs'!$U$104=1,('Inputs'!$O$100*H51+'Inputs'!$O$101*H63+'Inputs'!$O$102*H75+'Inputs'!$O$103*H87+'Inputs'!$O$104*H99+'Inputs'!$O$105*H111),H99)*'Needs years'!$J$228/12)</f>
      </c>
      <c r="I94">
        <f>IF('Inputs'!$B$104="",0,'Needs years'!$C$240+IF('Inputs'!$U$104=1,('Inputs'!$O$100*I51+'Inputs'!$O$101*I63+'Inputs'!$O$102*I75+'Inputs'!$O$103*I87+'Inputs'!$O$104*I99+'Inputs'!$O$105*I111),I99)*'Needs years'!$J$228/12)</f>
      </c>
      <c r="J94">
        <f>IF('Inputs'!$B$104="",0,'Needs years'!$C$240+IF('Inputs'!$U$104=1,('Inputs'!$O$100*J51+'Inputs'!$O$101*J63+'Inputs'!$O$102*J75+'Inputs'!$O$103*J87+'Inputs'!$O$104*J99+'Inputs'!$O$105*J111),J99)*'Needs years'!$J$228/12)</f>
      </c>
      <c r="K94">
        <f>IF('Inputs'!$B$104="",0,'Needs years'!$C$240+IF('Inputs'!$U$104=1,('Inputs'!$O$100*K51+'Inputs'!$O$101*K63+'Inputs'!$O$102*K75+'Inputs'!$O$103*K87+'Inputs'!$O$104*K99+'Inputs'!$O$105*K111),K99)*'Needs years'!$J$228/12)</f>
      </c>
      <c r="L94">
        <f>IF('Inputs'!$B$104="",0,'Needs years'!$C$240+IF('Inputs'!$U$104=1,('Inputs'!$O$100*L51+'Inputs'!$O$101*L63+'Inputs'!$O$102*L75+'Inputs'!$O$103*L87+'Inputs'!$O$104*L99+'Inputs'!$O$105*L111),L99)*'Needs years'!$J$228/12)</f>
      </c>
      <c r="M94">
        <f>IF('Inputs'!$B$104="",0,'Needs years'!$C$240+IF('Inputs'!$U$104=1,('Inputs'!$O$100*M51+'Inputs'!$O$101*M63+'Inputs'!$O$102*M75+'Inputs'!$O$103*M87+'Inputs'!$O$104*M99+'Inputs'!$O$105*M111),M99)*'Needs years'!$J$228/12)</f>
      </c>
      <c r="N94">
        <f>IF('Inputs'!$B$104="",0,'Needs years'!$C$240+IF('Inputs'!$U$104=1,('Inputs'!$O$100*N51+'Inputs'!$O$101*N63+'Inputs'!$O$102*N75+'Inputs'!$O$103*N87+'Inputs'!$O$104*N99+'Inputs'!$O$105*N111),N99)*'Needs years'!$J$228/12)</f>
      </c>
      <c r="O94">
        <f>IF('Inputs'!$B$104="",0,'Needs years'!$C$240+IF('Inputs'!$U$104=1,('Inputs'!$O$100*O51+'Inputs'!$O$101*O63+'Inputs'!$O$102*O75+'Inputs'!$O$103*O87+'Inputs'!$O$104*O99+'Inputs'!$O$105*O111),O99)*'Needs years'!$J$228/12)</f>
      </c>
      <c r="P94">
        <f>IF('Inputs'!$B$104="",0,'Needs years'!$C$240+IF('Inputs'!$U$104=1,('Inputs'!$O$100*P51+'Inputs'!$O$101*P63+'Inputs'!$O$102*P75+'Inputs'!$O$103*P87+'Inputs'!$O$104*P99+'Inputs'!$O$105*P111),P99)*'Needs years'!$J$228/12)</f>
      </c>
      <c r="Q94">
        <f>IF('Inputs'!$B$104="",0,'Needs years'!$C$240+IF('Inputs'!$U$104=1,('Inputs'!$O$100*Q51+'Inputs'!$O$101*Q63+'Inputs'!$O$102*Q75+'Inputs'!$O$103*Q87+'Inputs'!$O$104*Q99+'Inputs'!$O$105*Q111),Q99)*'Needs years'!$J$228/12)</f>
      </c>
      <c r="R94">
        <f>IF('Inputs'!$B$104="",0,'Needs years'!$C$240+IF('Inputs'!$U$104=1,('Inputs'!$O$100*R51+'Inputs'!$O$101*R63+'Inputs'!$O$102*R75+'Inputs'!$O$103*R87+'Inputs'!$O$104*R99+'Inputs'!$O$105*R111),R99)*'Needs years'!$J$228/12)</f>
      </c>
      <c r="S94">
        <f>IF('Inputs'!$B$104="",0,'Needs years'!$C$240+IF('Inputs'!$U$104=1,('Inputs'!$O$100*S51+'Inputs'!$O$101*S63+'Inputs'!$O$102*S75+'Inputs'!$O$103*S87+'Inputs'!$O$104*S99+'Inputs'!$O$105*S111),S99)*'Needs years'!$J$228/12)</f>
      </c>
      <c r="T94">
        <f>IF('Inputs'!$B$104="",0,'Needs years'!$C$240+IF('Inputs'!$U$104=1,('Inputs'!$O$100*T51+'Inputs'!$O$101*T63+'Inputs'!$O$102*T75+'Inputs'!$O$103*T87+'Inputs'!$O$104*T99+'Inputs'!$O$105*T111),T99)*'Needs years'!$J$228/12)</f>
      </c>
    </row>
    <row r="95" spans="2:20" x14ac:dyDescent="0.25">
      <c r="B95" t="s">
        <v>425</v>
      </c>
      <c r="C95">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95">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95">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95">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95">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95">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95">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95">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95">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95">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95">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95">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95">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95">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95">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95">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95">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96" spans="2:20" x14ac:dyDescent="0.25">
      <c r="B96" t="s">
        <v>426</v>
      </c>
      <c r="C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Union")),1,0)*MAX(0,C27))</f>
      </c>
      <c r="E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Union")),1,0)*MAX(0,E27))</f>
      </c>
      <c r="F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Union")),1,0)*MAX(0,F27))</f>
      </c>
      <c r="G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Union")),1,0)*MAX(0,G27))</f>
      </c>
      <c r="H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Union")),1,0)*MAX(0,H27))</f>
      </c>
      <c r="I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Union")),1,0)*MAX(0,I27))</f>
      </c>
      <c r="J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Union")),1,0)*MAX(0,J27))</f>
      </c>
      <c r="K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Union")),1,0)*MAX(0,K27))</f>
      </c>
      <c r="L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Union")),1,0)*MAX(0,L27))</f>
      </c>
      <c r="M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Union")),1,0)*MAX(0,M27))</f>
      </c>
      <c r="N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Union")),1,0)*MAX(0,N27))</f>
      </c>
      <c r="O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Union")),1,0)*MAX(0,O27))</f>
      </c>
      <c r="P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Union")),1,0)*MAX(0,P27))</f>
      </c>
      <c r="Q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Union")),1,0)*MAX(0,Q27))</f>
      </c>
      <c r="R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Union")),1,0)*MAX(0,R27))</f>
      </c>
      <c r="S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Union")),1,0)*MAX(0,S27))</f>
      </c>
      <c r="T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Union")),1,0)*MAX(0,T27))</f>
      </c>
    </row>
    <row r="97" spans="2:20" x14ac:dyDescent="0.25">
      <c r="B97" t="s">
        <v>427</v>
      </c>
      <c r="C97">
        <f>IF('Inputs'!$U$104=1,('Inputs'!$O$100*C43+'Inputs'!$O$101*C55+'Inputs'!$O$102*C67+'Inputs'!$O$103*C79+'Inputs'!$O$104*C91+'Inputs'!$O$105*C103),C91)</f>
      </c>
      <c r="E97">
        <f>IF('Inputs'!$U$104=1,('Inputs'!$O$100*E43+'Inputs'!$O$101*E55+'Inputs'!$O$102*E67+'Inputs'!$O$103*E79+'Inputs'!$O$104*E91+'Inputs'!$O$105*E103),E91)</f>
      </c>
      <c r="F97">
        <f>IF('Inputs'!$U$104=1,('Inputs'!$O$100*F43+'Inputs'!$O$101*F55+'Inputs'!$O$102*F67+'Inputs'!$O$103*F79+'Inputs'!$O$104*F91+'Inputs'!$O$105*F103),F91)</f>
      </c>
      <c r="G97">
        <f>IF('Inputs'!$U$104=1,('Inputs'!$O$100*G43+'Inputs'!$O$101*G55+'Inputs'!$O$102*G67+'Inputs'!$O$103*G79+'Inputs'!$O$104*G91+'Inputs'!$O$105*G103),G91)</f>
      </c>
      <c r="H97">
        <f>IF('Inputs'!$U$104=1,('Inputs'!$O$100*H43+'Inputs'!$O$101*H55+'Inputs'!$O$102*H67+'Inputs'!$O$103*H79+'Inputs'!$O$104*H91+'Inputs'!$O$105*H103),H91)</f>
      </c>
      <c r="I97">
        <f>IF('Inputs'!$U$104=1,('Inputs'!$O$100*I43+'Inputs'!$O$101*I55+'Inputs'!$O$102*I67+'Inputs'!$O$103*I79+'Inputs'!$O$104*I91+'Inputs'!$O$105*I103),I91)</f>
      </c>
      <c r="J97">
        <f>IF('Inputs'!$U$104=1,('Inputs'!$O$100*J43+'Inputs'!$O$101*J55+'Inputs'!$O$102*J67+'Inputs'!$O$103*J79+'Inputs'!$O$104*J91+'Inputs'!$O$105*J103),J91)</f>
      </c>
      <c r="K97">
        <f>IF('Inputs'!$U$104=1,('Inputs'!$O$100*K43+'Inputs'!$O$101*K55+'Inputs'!$O$102*K67+'Inputs'!$O$103*K79+'Inputs'!$O$104*K91+'Inputs'!$O$105*K103),K91)</f>
      </c>
      <c r="L97">
        <f>IF('Inputs'!$U$104=1,('Inputs'!$O$100*L43+'Inputs'!$O$101*L55+'Inputs'!$O$102*L67+'Inputs'!$O$103*L79+'Inputs'!$O$104*L91+'Inputs'!$O$105*L103),L91)</f>
      </c>
      <c r="M97">
        <f>IF('Inputs'!$U$104=1,('Inputs'!$O$100*M43+'Inputs'!$O$101*M55+'Inputs'!$O$102*M67+'Inputs'!$O$103*M79+'Inputs'!$O$104*M91+'Inputs'!$O$105*M103),M91)</f>
      </c>
      <c r="N97">
        <f>IF('Inputs'!$U$104=1,('Inputs'!$O$100*N43+'Inputs'!$O$101*N55+'Inputs'!$O$102*N67+'Inputs'!$O$103*N79+'Inputs'!$O$104*N91+'Inputs'!$O$105*N103),N91)</f>
      </c>
      <c r="O97">
        <f>IF('Inputs'!$U$104=1,('Inputs'!$O$100*O43+'Inputs'!$O$101*O55+'Inputs'!$O$102*O67+'Inputs'!$O$103*O79+'Inputs'!$O$104*O91+'Inputs'!$O$105*O103),O91)</f>
      </c>
      <c r="P97">
        <f>IF('Inputs'!$U$104=1,('Inputs'!$O$100*P43+'Inputs'!$O$101*P55+'Inputs'!$O$102*P67+'Inputs'!$O$103*P79+'Inputs'!$O$104*P91+'Inputs'!$O$105*P103),P91)</f>
      </c>
      <c r="Q97">
        <f>IF('Inputs'!$U$104=1,('Inputs'!$O$100*Q43+'Inputs'!$O$101*Q55+'Inputs'!$O$102*Q67+'Inputs'!$O$103*Q79+'Inputs'!$O$104*Q91+'Inputs'!$O$105*Q103),Q91)</f>
      </c>
      <c r="R97">
        <f>IF('Inputs'!$U$104=1,('Inputs'!$O$100*R43+'Inputs'!$O$101*R55+'Inputs'!$O$102*R67+'Inputs'!$O$103*R79+'Inputs'!$O$104*R91+'Inputs'!$O$105*R103),R91)</f>
      </c>
      <c r="S97">
        <f>IF('Inputs'!$U$104=1,('Inputs'!$O$100*S43+'Inputs'!$O$101*S55+'Inputs'!$O$102*S67+'Inputs'!$O$103*S79+'Inputs'!$O$104*S91+'Inputs'!$O$105*S103),S91)</f>
      </c>
      <c r="T97">
        <f>IF('Inputs'!$U$104=1,('Inputs'!$O$100*T43+'Inputs'!$O$101*T55+'Inputs'!$O$102*T67+'Inputs'!$O$103*T79+'Inputs'!$O$104*T91+'Inputs'!$O$105*T103),T91)</f>
      </c>
    </row>
    <row r="98" spans="2:20" x14ac:dyDescent="0.25">
      <c r="B98" t="s">
        <v>428</v>
      </c>
      <c r="C98">
        <f>IF('Inputs'!$B$104="",0,ROUND('Needs years'!$C$234+ROUND(IF(C97=0,SUM('Needs years'!$J$228:$J$277),(1-(1+C97)^-1)/(1-(1+C97)^(-1/12))/12*SUMPRODUCT('Needs years'!$J$228:$J$277,(1+C97)^(-'Needs years'!$I$228:$I$277))),2),2))</f>
      </c>
      <c r="E98">
        <f>IF('Inputs'!$B$104="",0,ROUND('Needs years'!$C$234+ROUND(IF(E97=0,SUM('Needs years'!$J$228:$J$277),(1-(1+E97)^-1)/(1-(1+E97)^(-1/12))/12*SUMPRODUCT('Needs years'!$J$228:$J$277,(1+E97)^(-'Needs years'!$I$228:$I$277))),2),2))</f>
      </c>
      <c r="F98">
        <f>IF('Inputs'!$B$104="",0,ROUND('Needs years'!$C$234+ROUND(IF(F97=0,SUM('Needs years'!$J$228:$J$277),(1-(1+F97)^-1)/(1-(1+F97)^(-1/12))/12*SUMPRODUCT('Needs years'!$J$228:$J$277,(1+F97)^(-'Needs years'!$I$228:$I$277))),2),2))</f>
      </c>
      <c r="G98">
        <f>IF('Inputs'!$B$104="",0,ROUND('Needs years'!$C$234+ROUND(IF(G97=0,SUM('Needs years'!$J$228:$J$277),(1-(1+G97)^-1)/(1-(1+G97)^(-1/12))/12*SUMPRODUCT('Needs years'!$J$228:$J$277,(1+G97)^(-'Needs years'!$I$228:$I$277))),2),2))</f>
      </c>
      <c r="H98">
        <f>IF('Inputs'!$B$104="",0,ROUND('Needs years'!$C$234+ROUND(IF(H97=0,SUM('Needs years'!$J$228:$J$277),(1-(1+H97)^-1)/(1-(1+H97)^(-1/12))/12*SUMPRODUCT('Needs years'!$J$228:$J$277,(1+H97)^(-'Needs years'!$I$228:$I$277))),2),2))</f>
      </c>
      <c r="I98">
        <f>IF('Inputs'!$B$104="",0,ROUND('Needs years'!$C$234+ROUND(IF(I97=0,SUM('Needs years'!$J$228:$J$277),(1-(1+I97)^-1)/(1-(1+I97)^(-1/12))/12*SUMPRODUCT('Needs years'!$J$228:$J$277,(1+I97)^(-'Needs years'!$I$228:$I$277))),2),2))</f>
      </c>
      <c r="J98">
        <f>IF('Inputs'!$B$104="",0,ROUND('Needs years'!$C$234+ROUND(IF(J97=0,SUM('Needs years'!$J$228:$J$277),(1-(1+J97)^-1)/(1-(1+J97)^(-1/12))/12*SUMPRODUCT('Needs years'!$J$228:$J$277,(1+J97)^(-'Needs years'!$I$228:$I$277))),2),2))</f>
      </c>
      <c r="K98">
        <f>IF('Inputs'!$B$104="",0,ROUND('Needs years'!$C$234+ROUND(IF(K97=0,SUM('Needs years'!$J$228:$J$277),(1-(1+K97)^-1)/(1-(1+K97)^(-1/12))/12*SUMPRODUCT('Needs years'!$J$228:$J$277,(1+K97)^(-'Needs years'!$I$228:$I$277))),2),2))</f>
      </c>
      <c r="L98">
        <f>IF('Inputs'!$B$104="",0,ROUND('Needs years'!$C$234+ROUND(IF(L97=0,SUM('Needs years'!$J$228:$J$277),(1-(1+L97)^-1)/(1-(1+L97)^(-1/12))/12*SUMPRODUCT('Needs years'!$J$228:$J$277,(1+L97)^(-'Needs years'!$I$228:$I$277))),2),2))</f>
      </c>
      <c r="M98">
        <f>IF('Inputs'!$B$104="",0,ROUND('Needs years'!$C$234+ROUND(IF(M97=0,SUM('Needs years'!$J$228:$J$277),(1-(1+M97)^-1)/(1-(1+M97)^(-1/12))/12*SUMPRODUCT('Needs years'!$J$228:$J$277,(1+M97)^(-'Needs years'!$I$228:$I$277))),2),2))</f>
      </c>
      <c r="N98">
        <f>IF('Inputs'!$B$104="",0,ROUND('Needs years'!$C$234+ROUND(IF(N97=0,SUM('Needs years'!$J$228:$J$277),(1-(1+N97)^-1)/(1-(1+N97)^(-1/12))/12*SUMPRODUCT('Needs years'!$J$228:$J$277,(1+N97)^(-'Needs years'!$I$228:$I$277))),2),2))</f>
      </c>
      <c r="O98">
        <f>IF('Inputs'!$B$104="",0,ROUND('Needs years'!$C$234+ROUND(IF(O97=0,SUM('Needs years'!$J$228:$J$277),(1-(1+O97)^-1)/(1-(1+O97)^(-1/12))/12*SUMPRODUCT('Needs years'!$J$228:$J$277,(1+O97)^(-'Needs years'!$I$228:$I$277))),2),2))</f>
      </c>
      <c r="P98">
        <f>IF('Inputs'!$B$104="",0,ROUND('Needs years'!$C$234+ROUND(IF(P97=0,SUM('Needs years'!$J$228:$J$277),(1-(1+P97)^-1)/(1-(1+P97)^(-1/12))/12*SUMPRODUCT('Needs years'!$J$228:$J$277,(1+P97)^(-'Needs years'!$I$228:$I$277))),2),2))</f>
      </c>
      <c r="Q98">
        <f>IF('Inputs'!$B$104="",0,ROUND('Needs years'!$C$234+ROUND(IF(Q97=0,SUM('Needs years'!$J$228:$J$277),(1-(1+Q97)^-1)/(1-(1+Q97)^(-1/12))/12*SUMPRODUCT('Needs years'!$J$228:$J$277,(1+Q97)^(-'Needs years'!$I$228:$I$277))),2),2))</f>
      </c>
      <c r="R98">
        <f>IF('Inputs'!$B$104="",0,ROUND('Needs years'!$C$234+ROUND(IF(R97=0,SUM('Needs years'!$J$228:$J$277),(1-(1+R97)^-1)/(1-(1+R97)^(-1/12))/12*SUMPRODUCT('Needs years'!$J$228:$J$277,(1+R97)^(-'Needs years'!$I$228:$I$277))),2),2))</f>
      </c>
      <c r="S98">
        <f>IF('Inputs'!$B$104="",0,ROUND('Needs years'!$C$234+ROUND(IF(S97=0,SUM('Needs years'!$J$228:$J$277),(1-(1+S97)^-1)/(1-(1+S97)^(-1/12))/12*SUMPRODUCT('Needs years'!$J$228:$J$277,(1+S97)^(-'Needs years'!$I$228:$I$277))),2),2))</f>
      </c>
      <c r="T98">
        <f>IF('Inputs'!$B$104="",0,ROUND('Needs years'!$C$234+ROUND(IF(T97=0,SUM('Needs years'!$J$228:$J$277),(1-(1+T97)^-1)/(1-(1+T97)^(-1/12))/12*SUMPRODUCT('Needs years'!$J$228:$J$277,(1+T97)^(-'Needs years'!$I$228:$I$277))),2),2))</f>
      </c>
    </row>
    <row r="99" spans="2:20" x14ac:dyDescent="0.25">
      <c r="B99" t="s">
        <v>429</v>
      </c>
      <c r="C99">
        <f>IF('Inputs'!$U$104=1,0,IF((C92-C96)&gt;0,MAX(0,C88-C96)/(C92-C96),0))</f>
      </c>
      <c r="E99">
        <f>IF('Inputs'!$U$104=1,0,IF((E92-E96)&gt;0,MAX(0,E88-E96)/(E92-E96),0))</f>
      </c>
      <c r="F99">
        <f>IF('Inputs'!$U$104=1,0,IF((F92-F96)&gt;0,MAX(0,F88-F96)/(F92-F96),0))</f>
      </c>
      <c r="G99">
        <f>IF('Inputs'!$U$104=1,0,IF((G92-G96)&gt;0,MAX(0,G88-G96)/(G92-G96),0))</f>
      </c>
      <c r="H99">
        <f>IF('Inputs'!$U$104=1,0,IF((H92-H96)&gt;0,MAX(0,H88-H96)/(H92-H96),0))</f>
      </c>
      <c r="I99">
        <f>IF('Inputs'!$U$104=1,0,IF((I92-I96)&gt;0,MAX(0,I88-I96)/(I92-I96),0))</f>
      </c>
      <c r="J99">
        <f>IF('Inputs'!$U$104=1,0,IF((J92-J96)&gt;0,MAX(0,J88-J96)/(J92-J96),0))</f>
      </c>
      <c r="K99">
        <f>IF('Inputs'!$U$104=1,0,IF((K92-K96)&gt;0,MAX(0,K88-K96)/(K92-K96),0))</f>
      </c>
      <c r="L99">
        <f>IF('Inputs'!$U$104=1,0,IF((L92-L96)&gt;0,MAX(0,L88-L96)/(L92-L96),0))</f>
      </c>
      <c r="M99">
        <f>IF('Inputs'!$U$104=1,0,IF((M92-M96)&gt;0,MAX(0,M88-M96)/(M92-M96),0))</f>
      </c>
      <c r="N99">
        <f>IF('Inputs'!$U$104=1,0,IF((N92-N96)&gt;0,MAX(0,N88-N96)/(N92-N96),0))</f>
      </c>
      <c r="O99">
        <f>IF('Inputs'!$U$104=1,0,IF((O92-O96)&gt;0,MAX(0,O88-O96)/(O92-O96),0))</f>
      </c>
      <c r="P99">
        <f>IF('Inputs'!$U$104=1,0,IF((P92-P96)&gt;0,MAX(0,P88-P96)/(P92-P96),0))</f>
      </c>
      <c r="Q99">
        <f>IF('Inputs'!$U$104=1,0,IF((Q92-Q96)&gt;0,MAX(0,Q88-Q96)/(Q92-Q96),0))</f>
      </c>
      <c r="R99">
        <f>IF('Inputs'!$U$104=1,0,IF((R92-R96)&gt;0,MAX(0,R88-R96)/(R92-R96),0))</f>
      </c>
      <c r="S99">
        <f>IF('Inputs'!$U$104=1,0,IF((S92-S96)&gt;0,MAX(0,S88-S96)/(S92-S96),0))</f>
      </c>
      <c r="T99">
        <f>IF('Inputs'!$U$104=1,0,IF((T92-T96)&gt;0,MAX(0,T88-T96)/(T92-T96),0))</f>
      </c>
    </row>
    <row r="100" spans="2:20" x14ac:dyDescent="0.25">
      <c r="B100" t="s">
        <v>430</v>
      </c>
      <c r="C100">
        <f>IF('Inputs'!$B$105="",0,IF('Inputs'!$U$105=1,0,ROUND(C107+'Inputs'!$O$105*('Inputs'!$U$100*C47+'Inputs'!$U$101*C59+'Inputs'!$U$102*C71+'Inputs'!$U$103*C83+'Inputs'!$U$104*C95+'Inputs'!$U$105*C107),2)))</f>
      </c>
      <c r="E100">
        <f>IF('Inputs'!$B$105="",0,IF('Inputs'!$U$105=1,0,ROUND(E107+'Inputs'!$O$105*('Inputs'!$U$100*E47+'Inputs'!$U$101*E59+'Inputs'!$U$102*E71+'Inputs'!$U$103*E83+'Inputs'!$U$104*E95+'Inputs'!$U$105*E107),2)))</f>
      </c>
      <c r="F100">
        <f>IF('Inputs'!$B$105="",0,IF('Inputs'!$U$105=1,0,ROUND(F107+'Inputs'!$O$105*('Inputs'!$U$100*F47+'Inputs'!$U$101*F59+'Inputs'!$U$102*F71+'Inputs'!$U$103*F83+'Inputs'!$U$104*F95+'Inputs'!$U$105*F107),2)))</f>
      </c>
      <c r="G100">
        <f>IF('Inputs'!$B$105="",0,IF('Inputs'!$U$105=1,0,ROUND(G107+'Inputs'!$O$105*('Inputs'!$U$100*G47+'Inputs'!$U$101*G59+'Inputs'!$U$102*G71+'Inputs'!$U$103*G83+'Inputs'!$U$104*G95+'Inputs'!$U$105*G107),2)))</f>
      </c>
      <c r="H100">
        <f>IF('Inputs'!$B$105="",0,IF('Inputs'!$U$105=1,0,ROUND(H107+'Inputs'!$O$105*('Inputs'!$U$100*H47+'Inputs'!$U$101*H59+'Inputs'!$U$102*H71+'Inputs'!$U$103*H83+'Inputs'!$U$104*H95+'Inputs'!$U$105*H107),2)))</f>
      </c>
      <c r="I100">
        <f>IF('Inputs'!$B$105="",0,IF('Inputs'!$U$105=1,0,ROUND(I107+'Inputs'!$O$105*('Inputs'!$U$100*I47+'Inputs'!$U$101*I59+'Inputs'!$U$102*I71+'Inputs'!$U$103*I83+'Inputs'!$U$104*I95+'Inputs'!$U$105*I107),2)))</f>
      </c>
      <c r="J100">
        <f>IF('Inputs'!$B$105="",0,IF('Inputs'!$U$105=1,0,ROUND(J107+'Inputs'!$O$105*('Inputs'!$U$100*J47+'Inputs'!$U$101*J59+'Inputs'!$U$102*J71+'Inputs'!$U$103*J83+'Inputs'!$U$104*J95+'Inputs'!$U$105*J107),2)))</f>
      </c>
      <c r="K100">
        <f>IF('Inputs'!$B$105="",0,IF('Inputs'!$U$105=1,0,ROUND(K107+'Inputs'!$O$105*('Inputs'!$U$100*K47+'Inputs'!$U$101*K59+'Inputs'!$U$102*K71+'Inputs'!$U$103*K83+'Inputs'!$U$104*K95+'Inputs'!$U$105*K107),2)))</f>
      </c>
      <c r="L100">
        <f>IF('Inputs'!$B$105="",0,IF('Inputs'!$U$105=1,0,ROUND(L107+'Inputs'!$O$105*('Inputs'!$U$100*L47+'Inputs'!$U$101*L59+'Inputs'!$U$102*L71+'Inputs'!$U$103*L83+'Inputs'!$U$104*L95+'Inputs'!$U$105*L107),2)))</f>
      </c>
      <c r="M100">
        <f>IF('Inputs'!$B$105="",0,IF('Inputs'!$U$105=1,0,ROUND(M107+'Inputs'!$O$105*('Inputs'!$U$100*M47+'Inputs'!$U$101*M59+'Inputs'!$U$102*M71+'Inputs'!$U$103*M83+'Inputs'!$U$104*M95+'Inputs'!$U$105*M107),2)))</f>
      </c>
      <c r="N100">
        <f>IF('Inputs'!$B$105="",0,IF('Inputs'!$U$105=1,0,ROUND(N107+'Inputs'!$O$105*('Inputs'!$U$100*N47+'Inputs'!$U$101*N59+'Inputs'!$U$102*N71+'Inputs'!$U$103*N83+'Inputs'!$U$104*N95+'Inputs'!$U$105*N107),2)))</f>
      </c>
      <c r="O100">
        <f>IF('Inputs'!$B$105="",0,IF('Inputs'!$U$105=1,0,ROUND(O107+'Inputs'!$O$105*('Inputs'!$U$100*O47+'Inputs'!$U$101*O59+'Inputs'!$U$102*O71+'Inputs'!$U$103*O83+'Inputs'!$U$104*O95+'Inputs'!$U$105*O107),2)))</f>
      </c>
      <c r="P100">
        <f>IF('Inputs'!$B$105="",0,IF('Inputs'!$U$105=1,0,ROUND(P107+'Inputs'!$O$105*('Inputs'!$U$100*P47+'Inputs'!$U$101*P59+'Inputs'!$U$102*P71+'Inputs'!$U$103*P83+'Inputs'!$U$104*P95+'Inputs'!$U$105*P107),2)))</f>
      </c>
      <c r="Q100">
        <f>IF('Inputs'!$B$105="",0,IF('Inputs'!$U$105=1,0,ROUND(Q107+'Inputs'!$O$105*('Inputs'!$U$100*Q47+'Inputs'!$U$101*Q59+'Inputs'!$U$102*Q71+'Inputs'!$U$103*Q83+'Inputs'!$U$104*Q95+'Inputs'!$U$105*Q107),2)))</f>
      </c>
      <c r="R100">
        <f>IF('Inputs'!$B$105="",0,IF('Inputs'!$U$105=1,0,ROUND(R107+'Inputs'!$O$105*('Inputs'!$U$100*R47+'Inputs'!$U$101*R59+'Inputs'!$U$102*R71+'Inputs'!$U$103*R83+'Inputs'!$U$104*R95+'Inputs'!$U$105*R107),2)))</f>
      </c>
      <c r="S100">
        <f>IF('Inputs'!$B$105="",0,IF('Inputs'!$U$105=1,0,ROUND(S107+'Inputs'!$O$105*('Inputs'!$U$100*S47+'Inputs'!$U$101*S59+'Inputs'!$U$102*S71+'Inputs'!$U$103*S83+'Inputs'!$U$104*S95+'Inputs'!$U$105*S107),2)))</f>
      </c>
      <c r="T100">
        <f>IF('Inputs'!$B$105="",0,IF('Inputs'!$U$105=1,0,ROUND(T107+'Inputs'!$O$105*('Inputs'!$U$100*T47+'Inputs'!$U$101*T59+'Inputs'!$U$102*T71+'Inputs'!$U$103*T83+'Inputs'!$U$104*T95+'Inputs'!$U$105*T107),2)))</f>
      </c>
    </row>
    <row r="101" spans="2:20" x14ac:dyDescent="0.25">
      <c r="B101" t="s">
        <v>431</v>
      </c>
      <c r="C101">
        <f>'Needs years'!$C$285+MAX(0,C100-C108)*('Inputs'!$H$136/100*('Inputs'!$H$139/100+'Inputs'!$C$146/100*'Inputs'!$H$141/100))</f>
      </c>
      <c r="E101">
        <f>'Needs years'!$C$285+MAX(0,E100-E108)*('Inputs'!$H$136/100*('Inputs'!$H$139/100+'Inputs'!$C$146/100*'Inputs'!$H$141/100))</f>
      </c>
      <c r="F101">
        <f>'Needs years'!$C$285+MAX(0,F100-F108)*('Inputs'!$H$136/100*('Inputs'!$H$139/100+'Inputs'!$C$146/100*'Inputs'!$H$141/100))</f>
      </c>
      <c r="G101">
        <f>'Needs years'!$C$285+MAX(0,G100-G108)*('Inputs'!$H$136/100*('Inputs'!$H$139/100+'Inputs'!$C$146/100*'Inputs'!$H$141/100))</f>
      </c>
      <c r="H101">
        <f>'Needs years'!$C$285+MAX(0,H100-H108)*('Inputs'!$H$136/100*('Inputs'!$H$139/100+'Inputs'!$C$146/100*'Inputs'!$H$141/100))</f>
      </c>
      <c r="I101">
        <f>'Needs years'!$C$285+MAX(0,I100-I108)*('Inputs'!$H$136/100*('Inputs'!$H$139/100+'Inputs'!$C$146/100*'Inputs'!$H$141/100))</f>
      </c>
      <c r="J101">
        <f>'Needs years'!$C$285+MAX(0,J100-J108)*('Inputs'!$H$136/100*('Inputs'!$H$139/100+'Inputs'!$C$146/100*'Inputs'!$H$141/100))</f>
      </c>
      <c r="K101">
        <f>'Needs years'!$C$285+MAX(0,K100-K108)*('Inputs'!$H$136/100*('Inputs'!$H$139/100+'Inputs'!$C$146/100*'Inputs'!$H$141/100))</f>
      </c>
      <c r="L101">
        <f>'Needs years'!$C$285+MAX(0,L100-L108)*('Inputs'!$H$136/100*('Inputs'!$H$139/100+'Inputs'!$C$146/100*'Inputs'!$H$141/100))</f>
      </c>
      <c r="M101">
        <f>'Needs years'!$C$285+MAX(0,M100-M108)*('Inputs'!$H$136/100*('Inputs'!$H$139/100+'Inputs'!$C$146/100*'Inputs'!$H$141/100))</f>
      </c>
      <c r="N101">
        <f>'Needs years'!$C$285+MAX(0,N100-N108)*('Inputs'!$H$136/100*('Inputs'!$H$139/100+'Inputs'!$C$146/100*'Inputs'!$H$141/100))</f>
      </c>
      <c r="O101">
        <f>'Needs years'!$C$285+MAX(0,O100-O108)*('Inputs'!$H$136/100*('Inputs'!$H$139/100+'Inputs'!$C$146/100*'Inputs'!$H$141/100))</f>
      </c>
      <c r="P101">
        <f>'Needs years'!$C$285+MAX(0,P100-P108)*('Inputs'!$H$136/100*('Inputs'!$H$139/100+'Inputs'!$C$146/100*'Inputs'!$H$141/100))</f>
      </c>
      <c r="Q101">
        <f>'Needs years'!$C$285+MAX(0,Q100-Q108)*('Inputs'!$H$136/100*('Inputs'!$H$139/100+'Inputs'!$C$146/100*'Inputs'!$H$141/100))</f>
      </c>
      <c r="R101">
        <f>'Needs years'!$C$285+MAX(0,R100-R108)*('Inputs'!$H$136/100*('Inputs'!$H$139/100+'Inputs'!$C$146/100*'Inputs'!$H$141/100))</f>
      </c>
      <c r="S101">
        <f>'Needs years'!$C$285+MAX(0,S100-S108)*('Inputs'!$H$136/100*('Inputs'!$H$139/100+'Inputs'!$C$146/100*'Inputs'!$H$141/100))</f>
      </c>
      <c r="T101">
        <f>'Needs years'!$C$285+MAX(0,T100-T108)*('Inputs'!$H$136/100*('Inputs'!$H$139/100+'Inputs'!$C$146/100*'Inputs'!$H$141/100))</f>
      </c>
    </row>
    <row r="102" spans="2:20" x14ac:dyDescent="0.25">
      <c r="B102" t="s">
        <v>432</v>
      </c>
      <c r="C102">
        <f>IF(C101&lt;='Needs years'!$C$284,0,INDEX('Inputs'!$E$149:$E$155,MATCH(C101,'Inputs'!$C$149:$C$155,1)-IF(COUNTIF('Inputs'!$C$149:$C$155,C101)&gt;0,1,0))/100)</f>
      </c>
      <c r="E102">
        <f>IF(E101&lt;='Needs years'!$C$284,0,INDEX('Inputs'!$E$149:$E$155,MATCH(E101,'Inputs'!$C$149:$C$155,1)-IF(COUNTIF('Inputs'!$C$149:$C$155,E101)&gt;0,1,0))/100)</f>
      </c>
      <c r="F102">
        <f>IF(F101&lt;='Needs years'!$C$284,0,INDEX('Inputs'!$E$149:$E$155,MATCH(F101,'Inputs'!$C$149:$C$155,1)-IF(COUNTIF('Inputs'!$C$149:$C$155,F101)&gt;0,1,0))/100)</f>
      </c>
      <c r="G102">
        <f>IF(G101&lt;='Needs years'!$C$284,0,INDEX('Inputs'!$E$149:$E$155,MATCH(G101,'Inputs'!$C$149:$C$155,1)-IF(COUNTIF('Inputs'!$C$149:$C$155,G101)&gt;0,1,0))/100)</f>
      </c>
      <c r="H102">
        <f>IF(H101&lt;='Needs years'!$C$284,0,INDEX('Inputs'!$E$149:$E$155,MATCH(H101,'Inputs'!$C$149:$C$155,1)-IF(COUNTIF('Inputs'!$C$149:$C$155,H101)&gt;0,1,0))/100)</f>
      </c>
      <c r="I102">
        <f>IF(I101&lt;='Needs years'!$C$284,0,INDEX('Inputs'!$E$149:$E$155,MATCH(I101,'Inputs'!$C$149:$C$155,1)-IF(COUNTIF('Inputs'!$C$149:$C$155,I101)&gt;0,1,0))/100)</f>
      </c>
      <c r="J102">
        <f>IF(J101&lt;='Needs years'!$C$284,0,INDEX('Inputs'!$E$149:$E$155,MATCH(J101,'Inputs'!$C$149:$C$155,1)-IF(COUNTIF('Inputs'!$C$149:$C$155,J101)&gt;0,1,0))/100)</f>
      </c>
      <c r="K102">
        <f>IF(K101&lt;='Needs years'!$C$284,0,INDEX('Inputs'!$E$149:$E$155,MATCH(K101,'Inputs'!$C$149:$C$155,1)-IF(COUNTIF('Inputs'!$C$149:$C$155,K101)&gt;0,1,0))/100)</f>
      </c>
      <c r="L102">
        <f>IF(L101&lt;='Needs years'!$C$284,0,INDEX('Inputs'!$E$149:$E$155,MATCH(L101,'Inputs'!$C$149:$C$155,1)-IF(COUNTIF('Inputs'!$C$149:$C$155,L101)&gt;0,1,0))/100)</f>
      </c>
      <c r="M102">
        <f>IF(M101&lt;='Needs years'!$C$284,0,INDEX('Inputs'!$E$149:$E$155,MATCH(M101,'Inputs'!$C$149:$C$155,1)-IF(COUNTIF('Inputs'!$C$149:$C$155,M101)&gt;0,1,0))/100)</f>
      </c>
      <c r="N102">
        <f>IF(N101&lt;='Needs years'!$C$284,0,INDEX('Inputs'!$E$149:$E$155,MATCH(N101,'Inputs'!$C$149:$C$155,1)-IF(COUNTIF('Inputs'!$C$149:$C$155,N101)&gt;0,1,0))/100)</f>
      </c>
      <c r="O102">
        <f>IF(O101&lt;='Needs years'!$C$284,0,INDEX('Inputs'!$E$149:$E$155,MATCH(O101,'Inputs'!$C$149:$C$155,1)-IF(COUNTIF('Inputs'!$C$149:$C$155,O101)&gt;0,1,0))/100)</f>
      </c>
      <c r="P102">
        <f>IF(P101&lt;='Needs years'!$C$284,0,INDEX('Inputs'!$E$149:$E$155,MATCH(P101,'Inputs'!$C$149:$C$155,1)-IF(COUNTIF('Inputs'!$C$149:$C$155,P101)&gt;0,1,0))/100)</f>
      </c>
      <c r="Q102">
        <f>IF(Q101&lt;='Needs years'!$C$284,0,INDEX('Inputs'!$E$149:$E$155,MATCH(Q101,'Inputs'!$C$149:$C$155,1)-IF(COUNTIF('Inputs'!$C$149:$C$155,Q101)&gt;0,1,0))/100)</f>
      </c>
      <c r="R102">
        <f>IF(R101&lt;='Needs years'!$C$284,0,INDEX('Inputs'!$E$149:$E$155,MATCH(R101,'Inputs'!$C$149:$C$155,1)-IF(COUNTIF('Inputs'!$C$149:$C$155,R101)&gt;0,1,0))/100)</f>
      </c>
      <c r="S102">
        <f>IF(S101&lt;='Needs years'!$C$284,0,INDEX('Inputs'!$E$149:$E$155,MATCH(S101,'Inputs'!$C$149:$C$155,1)-IF(COUNTIF('Inputs'!$C$149:$C$155,S101)&gt;0,1,0))/100)</f>
      </c>
      <c r="T102">
        <f>IF(T101&lt;='Needs years'!$C$284,0,INDEX('Inputs'!$E$149:$E$155,MATCH(T101,'Inputs'!$C$149:$C$155,1)-IF(COUNTIF('Inputs'!$C$149:$C$155,T101)&gt;0,1,0))/100)</f>
      </c>
    </row>
    <row r="103" spans="2:20" x14ac:dyDescent="0.25">
      <c r="B103" t="s">
        <v>433</v>
      </c>
      <c r="C103">
        <f>('Inputs'!$H$136/100*(1-('Inputs'!$H$139/100*C102+'Inputs'!$H$140/100*'Inputs'!$H$142/100+'Inputs'!$H$141/100*'Inputs'!$C$146/100*C102))-IF('Needs years'!$C$289=1,'Inputs'!$H$137/100,0))</f>
      </c>
      <c r="E103">
        <f>('Inputs'!$H$136/100*(1-('Inputs'!$H$139/100*E102+'Inputs'!$H$140/100*'Inputs'!$H$142/100+'Inputs'!$H$141/100*'Inputs'!$C$146/100*E102))-IF('Needs years'!$C$289=1,'Inputs'!$H$137/100,0))</f>
      </c>
      <c r="F103">
        <f>('Inputs'!$H$136/100*(1-('Inputs'!$H$139/100*F102+'Inputs'!$H$140/100*'Inputs'!$H$142/100+'Inputs'!$H$141/100*'Inputs'!$C$146/100*F102))-IF('Needs years'!$C$289=1,'Inputs'!$H$137/100,0))</f>
      </c>
      <c r="G103">
        <f>('Inputs'!$H$136/100*(1-('Inputs'!$H$139/100*G102+'Inputs'!$H$140/100*'Inputs'!$H$142/100+'Inputs'!$H$141/100*'Inputs'!$C$146/100*G102))-IF('Needs years'!$C$289=1,'Inputs'!$H$137/100,0))</f>
      </c>
      <c r="H103">
        <f>('Inputs'!$H$136/100*(1-('Inputs'!$H$139/100*H102+'Inputs'!$H$140/100*'Inputs'!$H$142/100+'Inputs'!$H$141/100*'Inputs'!$C$146/100*H102))-IF('Needs years'!$C$289=1,'Inputs'!$H$137/100,0))</f>
      </c>
      <c r="I103">
        <f>('Inputs'!$H$136/100*(1-('Inputs'!$H$139/100*I102+'Inputs'!$H$140/100*'Inputs'!$H$142/100+'Inputs'!$H$141/100*'Inputs'!$C$146/100*I102))-IF('Needs years'!$C$289=1,'Inputs'!$H$137/100,0))</f>
      </c>
      <c r="J103">
        <f>('Inputs'!$H$136/100*(1-('Inputs'!$H$139/100*J102+'Inputs'!$H$140/100*'Inputs'!$H$142/100+'Inputs'!$H$141/100*'Inputs'!$C$146/100*J102))-IF('Needs years'!$C$289=1,'Inputs'!$H$137/100,0))</f>
      </c>
      <c r="K103">
        <f>('Inputs'!$H$136/100*(1-('Inputs'!$H$139/100*K102+'Inputs'!$H$140/100*'Inputs'!$H$142/100+'Inputs'!$H$141/100*'Inputs'!$C$146/100*K102))-IF('Needs years'!$C$289=1,'Inputs'!$H$137/100,0))</f>
      </c>
      <c r="L103">
        <f>('Inputs'!$H$136/100*(1-('Inputs'!$H$139/100*L102+'Inputs'!$H$140/100*'Inputs'!$H$142/100+'Inputs'!$H$141/100*'Inputs'!$C$146/100*L102))-IF('Needs years'!$C$289=1,'Inputs'!$H$137/100,0))</f>
      </c>
      <c r="M103">
        <f>('Inputs'!$H$136/100*(1-('Inputs'!$H$139/100*M102+'Inputs'!$H$140/100*'Inputs'!$H$142/100+'Inputs'!$H$141/100*'Inputs'!$C$146/100*M102))-IF('Needs years'!$C$289=1,'Inputs'!$H$137/100,0))</f>
      </c>
      <c r="N103">
        <f>('Inputs'!$H$136/100*(1-('Inputs'!$H$139/100*N102+'Inputs'!$H$140/100*'Inputs'!$H$142/100+'Inputs'!$H$141/100*'Inputs'!$C$146/100*N102))-IF('Needs years'!$C$289=1,'Inputs'!$H$137/100,0))</f>
      </c>
      <c r="O103">
        <f>('Inputs'!$H$136/100*(1-('Inputs'!$H$139/100*O102+'Inputs'!$H$140/100*'Inputs'!$H$142/100+'Inputs'!$H$141/100*'Inputs'!$C$146/100*O102))-IF('Needs years'!$C$289=1,'Inputs'!$H$137/100,0))</f>
      </c>
      <c r="P103">
        <f>('Inputs'!$H$136/100*(1-('Inputs'!$H$139/100*P102+'Inputs'!$H$140/100*'Inputs'!$H$142/100+'Inputs'!$H$141/100*'Inputs'!$C$146/100*P102))-IF('Needs years'!$C$289=1,'Inputs'!$H$137/100,0))</f>
      </c>
      <c r="Q103">
        <f>('Inputs'!$H$136/100*(1-('Inputs'!$H$139/100*Q102+'Inputs'!$H$140/100*'Inputs'!$H$142/100+'Inputs'!$H$141/100*'Inputs'!$C$146/100*Q102))-IF('Needs years'!$C$289=1,'Inputs'!$H$137/100,0))</f>
      </c>
      <c r="R103">
        <f>('Inputs'!$H$136/100*(1-('Inputs'!$H$139/100*R102+'Inputs'!$H$140/100*'Inputs'!$H$142/100+'Inputs'!$H$141/100*'Inputs'!$C$146/100*R102))-IF('Needs years'!$C$289=1,'Inputs'!$H$137/100,0))</f>
      </c>
      <c r="S103">
        <f>('Inputs'!$H$136/100*(1-('Inputs'!$H$139/100*S102+'Inputs'!$H$140/100*'Inputs'!$H$142/100+'Inputs'!$H$141/100*'Inputs'!$C$146/100*S102))-IF('Needs years'!$C$289=1,'Inputs'!$H$137/100,0))</f>
      </c>
      <c r="T103">
        <f>('Inputs'!$H$136/100*(1-('Inputs'!$H$139/100*T102+'Inputs'!$H$140/100*'Inputs'!$H$142/100+'Inputs'!$H$141/100*'Inputs'!$C$146/100*T102))-IF('Needs years'!$C$289=1,'Inputs'!$H$137/100,0))</f>
      </c>
    </row>
    <row r="104" spans="2:20" x14ac:dyDescent="0.25">
      <c r="B104" t="s">
        <v>434</v>
      </c>
      <c r="C104">
        <f>IF('Inputs'!$B$105="",0,IF('Inputs'!$U$105=1,0,ROUND(C110+'Inputs'!$O$105*('Inputs'!$U$100*C50+'Inputs'!$U$101*C62+'Inputs'!$U$102*C74+'Inputs'!$U$103*C86+'Inputs'!$U$104*C98+'Inputs'!$U$105*C110)+'Inputs'!$O$105*IF(AND('Inputs'!$C$108="The spouse, from what they receive",SUM('Inputs'!$O$100:$O$105)&gt;0,OR(LEFT('Inputs'!$C$13,7)="Married",'Inputs'!$C$13="Life partner",'Inputs'!$C$13="Civil Union")),1,0)*MAX(0,C27),2)))</f>
      </c>
      <c r="E104">
        <f>IF('Inputs'!$B$105="",0,IF('Inputs'!$U$105=1,0,ROUND(E110+'Inputs'!$O$105*('Inputs'!$U$100*E50+'Inputs'!$U$101*E62+'Inputs'!$U$102*E74+'Inputs'!$U$103*E86+'Inputs'!$U$104*E98+'Inputs'!$U$105*E110)+'Inputs'!$O$105*IF(AND('Inputs'!$C$108="The spouse, from what they receive",SUM('Inputs'!$O$100:$O$105)&gt;0,OR(LEFT('Inputs'!$C$13,7)="Married",'Inputs'!$C$13="Life partner",'Inputs'!$C$13="Civil Union")),1,0)*MAX(0,E27),2)))</f>
      </c>
      <c r="F104">
        <f>IF('Inputs'!$B$105="",0,IF('Inputs'!$U$105=1,0,ROUND(F110+'Inputs'!$O$105*('Inputs'!$U$100*F50+'Inputs'!$U$101*F62+'Inputs'!$U$102*F74+'Inputs'!$U$103*F86+'Inputs'!$U$104*F98+'Inputs'!$U$105*F110)+'Inputs'!$O$105*IF(AND('Inputs'!$C$108="The spouse, from what they receive",SUM('Inputs'!$O$100:$O$105)&gt;0,OR(LEFT('Inputs'!$C$13,7)="Married",'Inputs'!$C$13="Life partner",'Inputs'!$C$13="Civil Union")),1,0)*MAX(0,F27),2)))</f>
      </c>
      <c r="G104">
        <f>IF('Inputs'!$B$105="",0,IF('Inputs'!$U$105=1,0,ROUND(G110+'Inputs'!$O$105*('Inputs'!$U$100*G50+'Inputs'!$U$101*G62+'Inputs'!$U$102*G74+'Inputs'!$U$103*G86+'Inputs'!$U$104*G98+'Inputs'!$U$105*G110)+'Inputs'!$O$105*IF(AND('Inputs'!$C$108="The spouse, from what they receive",SUM('Inputs'!$O$100:$O$105)&gt;0,OR(LEFT('Inputs'!$C$13,7)="Married",'Inputs'!$C$13="Life partner",'Inputs'!$C$13="Civil Union")),1,0)*MAX(0,G27),2)))</f>
      </c>
      <c r="H104">
        <f>IF('Inputs'!$B$105="",0,IF('Inputs'!$U$105=1,0,ROUND(H110+'Inputs'!$O$105*('Inputs'!$U$100*H50+'Inputs'!$U$101*H62+'Inputs'!$U$102*H74+'Inputs'!$U$103*H86+'Inputs'!$U$104*H98+'Inputs'!$U$105*H110)+'Inputs'!$O$105*IF(AND('Inputs'!$C$108="The spouse, from what they receive",SUM('Inputs'!$O$100:$O$105)&gt;0,OR(LEFT('Inputs'!$C$13,7)="Married",'Inputs'!$C$13="Life partner",'Inputs'!$C$13="Civil Union")),1,0)*MAX(0,H27),2)))</f>
      </c>
      <c r="I104">
        <f>IF('Inputs'!$B$105="",0,IF('Inputs'!$U$105=1,0,ROUND(I110+'Inputs'!$O$105*('Inputs'!$U$100*I50+'Inputs'!$U$101*I62+'Inputs'!$U$102*I74+'Inputs'!$U$103*I86+'Inputs'!$U$104*I98+'Inputs'!$U$105*I110)+'Inputs'!$O$105*IF(AND('Inputs'!$C$108="The spouse, from what they receive",SUM('Inputs'!$O$100:$O$105)&gt;0,OR(LEFT('Inputs'!$C$13,7)="Married",'Inputs'!$C$13="Life partner",'Inputs'!$C$13="Civil Union")),1,0)*MAX(0,I27),2)))</f>
      </c>
      <c r="J104">
        <f>IF('Inputs'!$B$105="",0,IF('Inputs'!$U$105=1,0,ROUND(J110+'Inputs'!$O$105*('Inputs'!$U$100*J50+'Inputs'!$U$101*J62+'Inputs'!$U$102*J74+'Inputs'!$U$103*J86+'Inputs'!$U$104*J98+'Inputs'!$U$105*J110)+'Inputs'!$O$105*IF(AND('Inputs'!$C$108="The spouse, from what they receive",SUM('Inputs'!$O$100:$O$105)&gt;0,OR(LEFT('Inputs'!$C$13,7)="Married",'Inputs'!$C$13="Life partner",'Inputs'!$C$13="Civil Union")),1,0)*MAX(0,J27),2)))</f>
      </c>
      <c r="K104">
        <f>IF('Inputs'!$B$105="",0,IF('Inputs'!$U$105=1,0,ROUND(K110+'Inputs'!$O$105*('Inputs'!$U$100*K50+'Inputs'!$U$101*K62+'Inputs'!$U$102*K74+'Inputs'!$U$103*K86+'Inputs'!$U$104*K98+'Inputs'!$U$105*K110)+'Inputs'!$O$105*IF(AND('Inputs'!$C$108="The spouse, from what they receive",SUM('Inputs'!$O$100:$O$105)&gt;0,OR(LEFT('Inputs'!$C$13,7)="Married",'Inputs'!$C$13="Life partner",'Inputs'!$C$13="Civil Union")),1,0)*MAX(0,K27),2)))</f>
      </c>
      <c r="L104">
        <f>IF('Inputs'!$B$105="",0,IF('Inputs'!$U$105=1,0,ROUND(L110+'Inputs'!$O$105*('Inputs'!$U$100*L50+'Inputs'!$U$101*L62+'Inputs'!$U$102*L74+'Inputs'!$U$103*L86+'Inputs'!$U$104*L98+'Inputs'!$U$105*L110)+'Inputs'!$O$105*IF(AND('Inputs'!$C$108="The spouse, from what they receive",SUM('Inputs'!$O$100:$O$105)&gt;0,OR(LEFT('Inputs'!$C$13,7)="Married",'Inputs'!$C$13="Life partner",'Inputs'!$C$13="Civil Union")),1,0)*MAX(0,L27),2)))</f>
      </c>
      <c r="M104">
        <f>IF('Inputs'!$B$105="",0,IF('Inputs'!$U$105=1,0,ROUND(M110+'Inputs'!$O$105*('Inputs'!$U$100*M50+'Inputs'!$U$101*M62+'Inputs'!$U$102*M74+'Inputs'!$U$103*M86+'Inputs'!$U$104*M98+'Inputs'!$U$105*M110)+'Inputs'!$O$105*IF(AND('Inputs'!$C$108="The spouse, from what they receive",SUM('Inputs'!$O$100:$O$105)&gt;0,OR(LEFT('Inputs'!$C$13,7)="Married",'Inputs'!$C$13="Life partner",'Inputs'!$C$13="Civil Union")),1,0)*MAX(0,M27),2)))</f>
      </c>
      <c r="N104">
        <f>IF('Inputs'!$B$105="",0,IF('Inputs'!$U$105=1,0,ROUND(N110+'Inputs'!$O$105*('Inputs'!$U$100*N50+'Inputs'!$U$101*N62+'Inputs'!$U$102*N74+'Inputs'!$U$103*N86+'Inputs'!$U$104*N98+'Inputs'!$U$105*N110)+'Inputs'!$O$105*IF(AND('Inputs'!$C$108="The spouse, from what they receive",SUM('Inputs'!$O$100:$O$105)&gt;0,OR(LEFT('Inputs'!$C$13,7)="Married",'Inputs'!$C$13="Life partner",'Inputs'!$C$13="Civil Union")),1,0)*MAX(0,N27),2)))</f>
      </c>
      <c r="O104">
        <f>IF('Inputs'!$B$105="",0,IF('Inputs'!$U$105=1,0,ROUND(O110+'Inputs'!$O$105*('Inputs'!$U$100*O50+'Inputs'!$U$101*O62+'Inputs'!$U$102*O74+'Inputs'!$U$103*O86+'Inputs'!$U$104*O98+'Inputs'!$U$105*O110)+'Inputs'!$O$105*IF(AND('Inputs'!$C$108="The spouse, from what they receive",SUM('Inputs'!$O$100:$O$105)&gt;0,OR(LEFT('Inputs'!$C$13,7)="Married",'Inputs'!$C$13="Life partner",'Inputs'!$C$13="Civil Union")),1,0)*MAX(0,O27),2)))</f>
      </c>
      <c r="P104">
        <f>IF('Inputs'!$B$105="",0,IF('Inputs'!$U$105=1,0,ROUND(P110+'Inputs'!$O$105*('Inputs'!$U$100*P50+'Inputs'!$U$101*P62+'Inputs'!$U$102*P74+'Inputs'!$U$103*P86+'Inputs'!$U$104*P98+'Inputs'!$U$105*P110)+'Inputs'!$O$105*IF(AND('Inputs'!$C$108="The spouse, from what they receive",SUM('Inputs'!$O$100:$O$105)&gt;0,OR(LEFT('Inputs'!$C$13,7)="Married",'Inputs'!$C$13="Life partner",'Inputs'!$C$13="Civil Union")),1,0)*MAX(0,P27),2)))</f>
      </c>
      <c r="Q104">
        <f>IF('Inputs'!$B$105="",0,IF('Inputs'!$U$105=1,0,ROUND(Q110+'Inputs'!$O$105*('Inputs'!$U$100*Q50+'Inputs'!$U$101*Q62+'Inputs'!$U$102*Q74+'Inputs'!$U$103*Q86+'Inputs'!$U$104*Q98+'Inputs'!$U$105*Q110)+'Inputs'!$O$105*IF(AND('Inputs'!$C$108="The spouse, from what they receive",SUM('Inputs'!$O$100:$O$105)&gt;0,OR(LEFT('Inputs'!$C$13,7)="Married",'Inputs'!$C$13="Life partner",'Inputs'!$C$13="Civil Union")),1,0)*MAX(0,Q27),2)))</f>
      </c>
      <c r="R104">
        <f>IF('Inputs'!$B$105="",0,IF('Inputs'!$U$105=1,0,ROUND(R110+'Inputs'!$O$105*('Inputs'!$U$100*R50+'Inputs'!$U$101*R62+'Inputs'!$U$102*R74+'Inputs'!$U$103*R86+'Inputs'!$U$104*R98+'Inputs'!$U$105*R110)+'Inputs'!$O$105*IF(AND('Inputs'!$C$108="The spouse, from what they receive",SUM('Inputs'!$O$100:$O$105)&gt;0,OR(LEFT('Inputs'!$C$13,7)="Married",'Inputs'!$C$13="Life partner",'Inputs'!$C$13="Civil Union")),1,0)*MAX(0,R27),2)))</f>
      </c>
      <c r="S104">
        <f>IF('Inputs'!$B$105="",0,IF('Inputs'!$U$105=1,0,ROUND(S110+'Inputs'!$O$105*('Inputs'!$U$100*S50+'Inputs'!$U$101*S62+'Inputs'!$U$102*S74+'Inputs'!$U$103*S86+'Inputs'!$U$104*S98+'Inputs'!$U$105*S110)+'Inputs'!$O$105*IF(AND('Inputs'!$C$108="The spouse, from what they receive",SUM('Inputs'!$O$100:$O$105)&gt;0,OR(LEFT('Inputs'!$C$13,7)="Married",'Inputs'!$C$13="Life partner",'Inputs'!$C$13="Civil Union")),1,0)*MAX(0,S27),2)))</f>
      </c>
      <c r="T104">
        <f>IF('Inputs'!$B$105="",0,IF('Inputs'!$U$105=1,0,ROUND(T110+'Inputs'!$O$105*('Inputs'!$U$100*T50+'Inputs'!$U$101*T62+'Inputs'!$U$102*T74+'Inputs'!$U$103*T86+'Inputs'!$U$104*T98+'Inputs'!$U$105*T110)+'Inputs'!$O$105*IF(AND('Inputs'!$C$108="The spouse, from what they receive",SUM('Inputs'!$O$100:$O$105)&gt;0,OR(LEFT('Inputs'!$C$13,7)="Married",'Inputs'!$C$13="Life partner",'Inputs'!$C$13="Civil Union")),1,0)*MAX(0,T27),2)))</f>
      </c>
    </row>
    <row r="105" spans="2:20" x14ac:dyDescent="0.25">
      <c r="B105" t="s">
        <v>435</v>
      </c>
      <c r="C105">
        <f>IF('Inputs'!$B$105="",0,ROUND(C104-C100,2))</f>
      </c>
      <c r="E105">
        <f>IF('Inputs'!$B$105="",0,ROUND(E104-E100,2))</f>
      </c>
      <c r="F105">
        <f>IF('Inputs'!$B$105="",0,ROUND(F104-F100,2))</f>
      </c>
      <c r="G105">
        <f>IF('Inputs'!$B$105="",0,ROUND(G104-G100,2))</f>
      </c>
      <c r="H105">
        <f>IF('Inputs'!$B$105="",0,ROUND(H104-H100,2))</f>
      </c>
      <c r="I105">
        <f>IF('Inputs'!$B$105="",0,ROUND(I104-I100,2))</f>
      </c>
      <c r="J105">
        <f>IF('Inputs'!$B$105="",0,ROUND(J104-J100,2))</f>
      </c>
      <c r="K105">
        <f>IF('Inputs'!$B$105="",0,ROUND(K104-K100,2))</f>
      </c>
      <c r="L105">
        <f>IF('Inputs'!$B$105="",0,ROUND(L104-L100,2))</f>
      </c>
      <c r="M105">
        <f>IF('Inputs'!$B$105="",0,ROUND(M104-M100,2))</f>
      </c>
      <c r="N105">
        <f>IF('Inputs'!$B$105="",0,ROUND(N104-N100,2))</f>
      </c>
      <c r="O105">
        <f>IF('Inputs'!$B$105="",0,ROUND(O104-O100,2))</f>
      </c>
      <c r="P105">
        <f>IF('Inputs'!$B$105="",0,ROUND(P104-P100,2))</f>
      </c>
      <c r="Q105">
        <f>IF('Inputs'!$B$105="",0,ROUND(Q104-Q100,2))</f>
      </c>
      <c r="R105">
        <f>IF('Inputs'!$B$105="",0,ROUND(R104-R100,2))</f>
      </c>
      <c r="S105">
        <f>IF('Inputs'!$B$105="",0,ROUND(S104-S100,2))</f>
      </c>
      <c r="T105">
        <f>IF('Inputs'!$B$105="",0,ROUND(T104-T100,2))</f>
      </c>
    </row>
    <row r="106" spans="2:20" x14ac:dyDescent="0.25">
      <c r="B106" t="s">
        <v>436</v>
      </c>
      <c r="C106">
        <f>IF('Inputs'!$B$105="",0,'Needs years'!$C$296+IF('Inputs'!$U$105=1,('Inputs'!$O$100*C51+'Inputs'!$O$101*C63+'Inputs'!$O$102*C75+'Inputs'!$O$103*C87+'Inputs'!$O$104*C99+'Inputs'!$O$105*C111),C111)*'Needs years'!$J$284/12)</f>
      </c>
      <c r="E106">
        <f>IF('Inputs'!$B$105="",0,'Needs years'!$C$296+IF('Inputs'!$U$105=1,('Inputs'!$O$100*E51+'Inputs'!$O$101*E63+'Inputs'!$O$102*E75+'Inputs'!$O$103*E87+'Inputs'!$O$104*E99+'Inputs'!$O$105*E111),E111)*'Needs years'!$J$284/12)</f>
      </c>
      <c r="F106">
        <f>IF('Inputs'!$B$105="",0,'Needs years'!$C$296+IF('Inputs'!$U$105=1,('Inputs'!$O$100*F51+'Inputs'!$O$101*F63+'Inputs'!$O$102*F75+'Inputs'!$O$103*F87+'Inputs'!$O$104*F99+'Inputs'!$O$105*F111),F111)*'Needs years'!$J$284/12)</f>
      </c>
      <c r="G106">
        <f>IF('Inputs'!$B$105="",0,'Needs years'!$C$296+IF('Inputs'!$U$105=1,('Inputs'!$O$100*G51+'Inputs'!$O$101*G63+'Inputs'!$O$102*G75+'Inputs'!$O$103*G87+'Inputs'!$O$104*G99+'Inputs'!$O$105*G111),G111)*'Needs years'!$J$284/12)</f>
      </c>
      <c r="H106">
        <f>IF('Inputs'!$B$105="",0,'Needs years'!$C$296+IF('Inputs'!$U$105=1,('Inputs'!$O$100*H51+'Inputs'!$O$101*H63+'Inputs'!$O$102*H75+'Inputs'!$O$103*H87+'Inputs'!$O$104*H99+'Inputs'!$O$105*H111),H111)*'Needs years'!$J$284/12)</f>
      </c>
      <c r="I106">
        <f>IF('Inputs'!$B$105="",0,'Needs years'!$C$296+IF('Inputs'!$U$105=1,('Inputs'!$O$100*I51+'Inputs'!$O$101*I63+'Inputs'!$O$102*I75+'Inputs'!$O$103*I87+'Inputs'!$O$104*I99+'Inputs'!$O$105*I111),I111)*'Needs years'!$J$284/12)</f>
      </c>
      <c r="J106">
        <f>IF('Inputs'!$B$105="",0,'Needs years'!$C$296+IF('Inputs'!$U$105=1,('Inputs'!$O$100*J51+'Inputs'!$O$101*J63+'Inputs'!$O$102*J75+'Inputs'!$O$103*J87+'Inputs'!$O$104*J99+'Inputs'!$O$105*J111),J111)*'Needs years'!$J$284/12)</f>
      </c>
      <c r="K106">
        <f>IF('Inputs'!$B$105="",0,'Needs years'!$C$296+IF('Inputs'!$U$105=1,('Inputs'!$O$100*K51+'Inputs'!$O$101*K63+'Inputs'!$O$102*K75+'Inputs'!$O$103*K87+'Inputs'!$O$104*K99+'Inputs'!$O$105*K111),K111)*'Needs years'!$J$284/12)</f>
      </c>
      <c r="L106">
        <f>IF('Inputs'!$B$105="",0,'Needs years'!$C$296+IF('Inputs'!$U$105=1,('Inputs'!$O$100*L51+'Inputs'!$O$101*L63+'Inputs'!$O$102*L75+'Inputs'!$O$103*L87+'Inputs'!$O$104*L99+'Inputs'!$O$105*L111),L111)*'Needs years'!$J$284/12)</f>
      </c>
      <c r="M106">
        <f>IF('Inputs'!$B$105="",0,'Needs years'!$C$296+IF('Inputs'!$U$105=1,('Inputs'!$O$100*M51+'Inputs'!$O$101*M63+'Inputs'!$O$102*M75+'Inputs'!$O$103*M87+'Inputs'!$O$104*M99+'Inputs'!$O$105*M111),M111)*'Needs years'!$J$284/12)</f>
      </c>
      <c r="N106">
        <f>IF('Inputs'!$B$105="",0,'Needs years'!$C$296+IF('Inputs'!$U$105=1,('Inputs'!$O$100*N51+'Inputs'!$O$101*N63+'Inputs'!$O$102*N75+'Inputs'!$O$103*N87+'Inputs'!$O$104*N99+'Inputs'!$O$105*N111),N111)*'Needs years'!$J$284/12)</f>
      </c>
      <c r="O106">
        <f>IF('Inputs'!$B$105="",0,'Needs years'!$C$296+IF('Inputs'!$U$105=1,('Inputs'!$O$100*O51+'Inputs'!$O$101*O63+'Inputs'!$O$102*O75+'Inputs'!$O$103*O87+'Inputs'!$O$104*O99+'Inputs'!$O$105*O111),O111)*'Needs years'!$J$284/12)</f>
      </c>
      <c r="P106">
        <f>IF('Inputs'!$B$105="",0,'Needs years'!$C$296+IF('Inputs'!$U$105=1,('Inputs'!$O$100*P51+'Inputs'!$O$101*P63+'Inputs'!$O$102*P75+'Inputs'!$O$103*P87+'Inputs'!$O$104*P99+'Inputs'!$O$105*P111),P111)*'Needs years'!$J$284/12)</f>
      </c>
      <c r="Q106">
        <f>IF('Inputs'!$B$105="",0,'Needs years'!$C$296+IF('Inputs'!$U$105=1,('Inputs'!$O$100*Q51+'Inputs'!$O$101*Q63+'Inputs'!$O$102*Q75+'Inputs'!$O$103*Q87+'Inputs'!$O$104*Q99+'Inputs'!$O$105*Q111),Q111)*'Needs years'!$J$284/12)</f>
      </c>
      <c r="R106">
        <f>IF('Inputs'!$B$105="",0,'Needs years'!$C$296+IF('Inputs'!$U$105=1,('Inputs'!$O$100*R51+'Inputs'!$O$101*R63+'Inputs'!$O$102*R75+'Inputs'!$O$103*R87+'Inputs'!$O$104*R99+'Inputs'!$O$105*R111),R111)*'Needs years'!$J$284/12)</f>
      </c>
      <c r="S106">
        <f>IF('Inputs'!$B$105="",0,'Needs years'!$C$296+IF('Inputs'!$U$105=1,('Inputs'!$O$100*S51+'Inputs'!$O$101*S63+'Inputs'!$O$102*S75+'Inputs'!$O$103*S87+'Inputs'!$O$104*S99+'Inputs'!$O$105*S111),S111)*'Needs years'!$J$284/12)</f>
      </c>
      <c r="T106">
        <f>IF('Inputs'!$B$105="",0,'Needs years'!$C$296+IF('Inputs'!$U$105=1,('Inputs'!$O$100*T51+'Inputs'!$O$101*T63+'Inputs'!$O$102*T75+'Inputs'!$O$103*T87+'Inputs'!$O$104*T99+'Inputs'!$O$105*T111),T111)*'Needs years'!$J$284/12)</f>
      </c>
    </row>
    <row r="107" spans="2:20" x14ac:dyDescent="0.25">
      <c r="B107" t="s">
        <v>437</v>
      </c>
      <c r="C107">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107">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107">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107">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107">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107">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107">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107">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107">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107">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107">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107">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107">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107">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107">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107">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107">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108" spans="2:20" x14ac:dyDescent="0.25">
      <c r="B108" t="s">
        <v>438</v>
      </c>
      <c r="C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Union")),1,0)*MAX(0,C27))</f>
      </c>
      <c r="E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Union")),1,0)*MAX(0,E27))</f>
      </c>
      <c r="F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Union")),1,0)*MAX(0,F27))</f>
      </c>
      <c r="G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Union")),1,0)*MAX(0,G27))</f>
      </c>
      <c r="H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Union")),1,0)*MAX(0,H27))</f>
      </c>
      <c r="I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Union")),1,0)*MAX(0,I27))</f>
      </c>
      <c r="J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Union")),1,0)*MAX(0,J27))</f>
      </c>
      <c r="K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Union")),1,0)*MAX(0,K27))</f>
      </c>
      <c r="L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Union")),1,0)*MAX(0,L27))</f>
      </c>
      <c r="M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Union")),1,0)*MAX(0,M27))</f>
      </c>
      <c r="N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Union")),1,0)*MAX(0,N27))</f>
      </c>
      <c r="O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Union")),1,0)*MAX(0,O27))</f>
      </c>
      <c r="P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Union")),1,0)*MAX(0,P27))</f>
      </c>
      <c r="Q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Union")),1,0)*MAX(0,Q27))</f>
      </c>
      <c r="R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Union")),1,0)*MAX(0,R27))</f>
      </c>
      <c r="S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Union")),1,0)*MAX(0,S27))</f>
      </c>
      <c r="T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Union")),1,0)*MAX(0,T27))</f>
      </c>
    </row>
    <row r="109" spans="2:20" x14ac:dyDescent="0.25">
      <c r="B109" t="s">
        <v>439</v>
      </c>
      <c r="C109">
        <f>IF('Inputs'!$U$105=1,('Inputs'!$O$100*C43+'Inputs'!$O$101*C55+'Inputs'!$O$102*C67+'Inputs'!$O$103*C79+'Inputs'!$O$104*C91+'Inputs'!$O$105*C103),C103)</f>
      </c>
      <c r="E109">
        <f>IF('Inputs'!$U$105=1,('Inputs'!$O$100*E43+'Inputs'!$O$101*E55+'Inputs'!$O$102*E67+'Inputs'!$O$103*E79+'Inputs'!$O$104*E91+'Inputs'!$O$105*E103),E103)</f>
      </c>
      <c r="F109">
        <f>IF('Inputs'!$U$105=1,('Inputs'!$O$100*F43+'Inputs'!$O$101*F55+'Inputs'!$O$102*F67+'Inputs'!$O$103*F79+'Inputs'!$O$104*F91+'Inputs'!$O$105*F103),F103)</f>
      </c>
      <c r="G109">
        <f>IF('Inputs'!$U$105=1,('Inputs'!$O$100*G43+'Inputs'!$O$101*G55+'Inputs'!$O$102*G67+'Inputs'!$O$103*G79+'Inputs'!$O$104*G91+'Inputs'!$O$105*G103),G103)</f>
      </c>
      <c r="H109">
        <f>IF('Inputs'!$U$105=1,('Inputs'!$O$100*H43+'Inputs'!$O$101*H55+'Inputs'!$O$102*H67+'Inputs'!$O$103*H79+'Inputs'!$O$104*H91+'Inputs'!$O$105*H103),H103)</f>
      </c>
      <c r="I109">
        <f>IF('Inputs'!$U$105=1,('Inputs'!$O$100*I43+'Inputs'!$O$101*I55+'Inputs'!$O$102*I67+'Inputs'!$O$103*I79+'Inputs'!$O$104*I91+'Inputs'!$O$105*I103),I103)</f>
      </c>
      <c r="J109">
        <f>IF('Inputs'!$U$105=1,('Inputs'!$O$100*J43+'Inputs'!$O$101*J55+'Inputs'!$O$102*J67+'Inputs'!$O$103*J79+'Inputs'!$O$104*J91+'Inputs'!$O$105*J103),J103)</f>
      </c>
      <c r="K109">
        <f>IF('Inputs'!$U$105=1,('Inputs'!$O$100*K43+'Inputs'!$O$101*K55+'Inputs'!$O$102*K67+'Inputs'!$O$103*K79+'Inputs'!$O$104*K91+'Inputs'!$O$105*K103),K103)</f>
      </c>
      <c r="L109">
        <f>IF('Inputs'!$U$105=1,('Inputs'!$O$100*L43+'Inputs'!$O$101*L55+'Inputs'!$O$102*L67+'Inputs'!$O$103*L79+'Inputs'!$O$104*L91+'Inputs'!$O$105*L103),L103)</f>
      </c>
      <c r="M109">
        <f>IF('Inputs'!$U$105=1,('Inputs'!$O$100*M43+'Inputs'!$O$101*M55+'Inputs'!$O$102*M67+'Inputs'!$O$103*M79+'Inputs'!$O$104*M91+'Inputs'!$O$105*M103),M103)</f>
      </c>
      <c r="N109">
        <f>IF('Inputs'!$U$105=1,('Inputs'!$O$100*N43+'Inputs'!$O$101*N55+'Inputs'!$O$102*N67+'Inputs'!$O$103*N79+'Inputs'!$O$104*N91+'Inputs'!$O$105*N103),N103)</f>
      </c>
      <c r="O109">
        <f>IF('Inputs'!$U$105=1,('Inputs'!$O$100*O43+'Inputs'!$O$101*O55+'Inputs'!$O$102*O67+'Inputs'!$O$103*O79+'Inputs'!$O$104*O91+'Inputs'!$O$105*O103),O103)</f>
      </c>
      <c r="P109">
        <f>IF('Inputs'!$U$105=1,('Inputs'!$O$100*P43+'Inputs'!$O$101*P55+'Inputs'!$O$102*P67+'Inputs'!$O$103*P79+'Inputs'!$O$104*P91+'Inputs'!$O$105*P103),P103)</f>
      </c>
      <c r="Q109">
        <f>IF('Inputs'!$U$105=1,('Inputs'!$O$100*Q43+'Inputs'!$O$101*Q55+'Inputs'!$O$102*Q67+'Inputs'!$O$103*Q79+'Inputs'!$O$104*Q91+'Inputs'!$O$105*Q103),Q103)</f>
      </c>
      <c r="R109">
        <f>IF('Inputs'!$U$105=1,('Inputs'!$O$100*R43+'Inputs'!$O$101*R55+'Inputs'!$O$102*R67+'Inputs'!$O$103*R79+'Inputs'!$O$104*R91+'Inputs'!$O$105*R103),R103)</f>
      </c>
      <c r="S109">
        <f>IF('Inputs'!$U$105=1,('Inputs'!$O$100*S43+'Inputs'!$O$101*S55+'Inputs'!$O$102*S67+'Inputs'!$O$103*S79+'Inputs'!$O$104*S91+'Inputs'!$O$105*S103),S103)</f>
      </c>
      <c r="T109">
        <f>IF('Inputs'!$U$105=1,('Inputs'!$O$100*T43+'Inputs'!$O$101*T55+'Inputs'!$O$102*T67+'Inputs'!$O$103*T79+'Inputs'!$O$104*T91+'Inputs'!$O$105*T103),T103)</f>
      </c>
    </row>
    <row r="110" spans="2:20" x14ac:dyDescent="0.25">
      <c r="B110" t="s">
        <v>440</v>
      </c>
      <c r="C110">
        <f>IF('Inputs'!$B$105="",0,ROUND('Needs years'!$C$290+ROUND(IF(C109=0,SUM('Needs years'!$J$284:$J$333),(1-(1+C109)^-1)/(1-(1+C109)^(-1/12))/12*SUMPRODUCT('Needs years'!$J$284:$J$333,(1+C109)^(-'Needs years'!$I$284:$I$333))),2),2))</f>
      </c>
      <c r="E110">
        <f>IF('Inputs'!$B$105="",0,ROUND('Needs years'!$C$290+ROUND(IF(E109=0,SUM('Needs years'!$J$284:$J$333),(1-(1+E109)^-1)/(1-(1+E109)^(-1/12))/12*SUMPRODUCT('Needs years'!$J$284:$J$333,(1+E109)^(-'Needs years'!$I$284:$I$333))),2),2))</f>
      </c>
      <c r="F110">
        <f>IF('Inputs'!$B$105="",0,ROUND('Needs years'!$C$290+ROUND(IF(F109=0,SUM('Needs years'!$J$284:$J$333),(1-(1+F109)^-1)/(1-(1+F109)^(-1/12))/12*SUMPRODUCT('Needs years'!$J$284:$J$333,(1+F109)^(-'Needs years'!$I$284:$I$333))),2),2))</f>
      </c>
      <c r="G110">
        <f>IF('Inputs'!$B$105="",0,ROUND('Needs years'!$C$290+ROUND(IF(G109=0,SUM('Needs years'!$J$284:$J$333),(1-(1+G109)^-1)/(1-(1+G109)^(-1/12))/12*SUMPRODUCT('Needs years'!$J$284:$J$333,(1+G109)^(-'Needs years'!$I$284:$I$333))),2),2))</f>
      </c>
      <c r="H110">
        <f>IF('Inputs'!$B$105="",0,ROUND('Needs years'!$C$290+ROUND(IF(H109=0,SUM('Needs years'!$J$284:$J$333),(1-(1+H109)^-1)/(1-(1+H109)^(-1/12))/12*SUMPRODUCT('Needs years'!$J$284:$J$333,(1+H109)^(-'Needs years'!$I$284:$I$333))),2),2))</f>
      </c>
      <c r="I110">
        <f>IF('Inputs'!$B$105="",0,ROUND('Needs years'!$C$290+ROUND(IF(I109=0,SUM('Needs years'!$J$284:$J$333),(1-(1+I109)^-1)/(1-(1+I109)^(-1/12))/12*SUMPRODUCT('Needs years'!$J$284:$J$333,(1+I109)^(-'Needs years'!$I$284:$I$333))),2),2))</f>
      </c>
      <c r="J110">
        <f>IF('Inputs'!$B$105="",0,ROUND('Needs years'!$C$290+ROUND(IF(J109=0,SUM('Needs years'!$J$284:$J$333),(1-(1+J109)^-1)/(1-(1+J109)^(-1/12))/12*SUMPRODUCT('Needs years'!$J$284:$J$333,(1+J109)^(-'Needs years'!$I$284:$I$333))),2),2))</f>
      </c>
      <c r="K110">
        <f>IF('Inputs'!$B$105="",0,ROUND('Needs years'!$C$290+ROUND(IF(K109=0,SUM('Needs years'!$J$284:$J$333),(1-(1+K109)^-1)/(1-(1+K109)^(-1/12))/12*SUMPRODUCT('Needs years'!$J$284:$J$333,(1+K109)^(-'Needs years'!$I$284:$I$333))),2),2))</f>
      </c>
      <c r="L110">
        <f>IF('Inputs'!$B$105="",0,ROUND('Needs years'!$C$290+ROUND(IF(L109=0,SUM('Needs years'!$J$284:$J$333),(1-(1+L109)^-1)/(1-(1+L109)^(-1/12))/12*SUMPRODUCT('Needs years'!$J$284:$J$333,(1+L109)^(-'Needs years'!$I$284:$I$333))),2),2))</f>
      </c>
      <c r="M110">
        <f>IF('Inputs'!$B$105="",0,ROUND('Needs years'!$C$290+ROUND(IF(M109=0,SUM('Needs years'!$J$284:$J$333),(1-(1+M109)^-1)/(1-(1+M109)^(-1/12))/12*SUMPRODUCT('Needs years'!$J$284:$J$333,(1+M109)^(-'Needs years'!$I$284:$I$333))),2),2))</f>
      </c>
      <c r="N110">
        <f>IF('Inputs'!$B$105="",0,ROUND('Needs years'!$C$290+ROUND(IF(N109=0,SUM('Needs years'!$J$284:$J$333),(1-(1+N109)^-1)/(1-(1+N109)^(-1/12))/12*SUMPRODUCT('Needs years'!$J$284:$J$333,(1+N109)^(-'Needs years'!$I$284:$I$333))),2),2))</f>
      </c>
      <c r="O110">
        <f>IF('Inputs'!$B$105="",0,ROUND('Needs years'!$C$290+ROUND(IF(O109=0,SUM('Needs years'!$J$284:$J$333),(1-(1+O109)^-1)/(1-(1+O109)^(-1/12))/12*SUMPRODUCT('Needs years'!$J$284:$J$333,(1+O109)^(-'Needs years'!$I$284:$I$333))),2),2))</f>
      </c>
      <c r="P110">
        <f>IF('Inputs'!$B$105="",0,ROUND('Needs years'!$C$290+ROUND(IF(P109=0,SUM('Needs years'!$J$284:$J$333),(1-(1+P109)^-1)/(1-(1+P109)^(-1/12))/12*SUMPRODUCT('Needs years'!$J$284:$J$333,(1+P109)^(-'Needs years'!$I$284:$I$333))),2),2))</f>
      </c>
      <c r="Q110">
        <f>IF('Inputs'!$B$105="",0,ROUND('Needs years'!$C$290+ROUND(IF(Q109=0,SUM('Needs years'!$J$284:$J$333),(1-(1+Q109)^-1)/(1-(1+Q109)^(-1/12))/12*SUMPRODUCT('Needs years'!$J$284:$J$333,(1+Q109)^(-'Needs years'!$I$284:$I$333))),2),2))</f>
      </c>
      <c r="R110">
        <f>IF('Inputs'!$B$105="",0,ROUND('Needs years'!$C$290+ROUND(IF(R109=0,SUM('Needs years'!$J$284:$J$333),(1-(1+R109)^-1)/(1-(1+R109)^(-1/12))/12*SUMPRODUCT('Needs years'!$J$284:$J$333,(1+R109)^(-'Needs years'!$I$284:$I$333))),2),2))</f>
      </c>
      <c r="S110">
        <f>IF('Inputs'!$B$105="",0,ROUND('Needs years'!$C$290+ROUND(IF(S109=0,SUM('Needs years'!$J$284:$J$333),(1-(1+S109)^-1)/(1-(1+S109)^(-1/12))/12*SUMPRODUCT('Needs years'!$J$284:$J$333,(1+S109)^(-'Needs years'!$I$284:$I$333))),2),2))</f>
      </c>
      <c r="T110">
        <f>IF('Inputs'!$B$105="",0,ROUND('Needs years'!$C$290+ROUND(IF(T109=0,SUM('Needs years'!$J$284:$J$333),(1-(1+T109)^-1)/(1-(1+T109)^(-1/12))/12*SUMPRODUCT('Needs years'!$J$284:$J$333,(1+T109)^(-'Needs years'!$I$284:$I$333))),2),2))</f>
      </c>
    </row>
    <row r="111" spans="2:20" x14ac:dyDescent="0.25">
      <c r="B111" t="s">
        <v>441</v>
      </c>
      <c r="C111">
        <f>IF('Inputs'!$U$105=1,0,IF((C104-C108)&gt;0,MAX(0,C100-C108)/(C104-C108),0))</f>
      </c>
      <c r="E111">
        <f>IF('Inputs'!$U$105=1,0,IF((E104-E108)&gt;0,MAX(0,E100-E108)/(E104-E108),0))</f>
      </c>
      <c r="F111">
        <f>IF('Inputs'!$U$105=1,0,IF((F104-F108)&gt;0,MAX(0,F100-F108)/(F104-F108),0))</f>
      </c>
      <c r="G111">
        <f>IF('Inputs'!$U$105=1,0,IF((G104-G108)&gt;0,MAX(0,G100-G108)/(G104-G108),0))</f>
      </c>
      <c r="H111">
        <f>IF('Inputs'!$U$105=1,0,IF((H104-H108)&gt;0,MAX(0,H100-H108)/(H104-H108),0))</f>
      </c>
      <c r="I111">
        <f>IF('Inputs'!$U$105=1,0,IF((I104-I108)&gt;0,MAX(0,I100-I108)/(I104-I108),0))</f>
      </c>
      <c r="J111">
        <f>IF('Inputs'!$U$105=1,0,IF((J104-J108)&gt;0,MAX(0,J100-J108)/(J104-J108),0))</f>
      </c>
      <c r="K111">
        <f>IF('Inputs'!$U$105=1,0,IF((K104-K108)&gt;0,MAX(0,K100-K108)/(K104-K108),0))</f>
      </c>
      <c r="L111">
        <f>IF('Inputs'!$U$105=1,0,IF((L104-L108)&gt;0,MAX(0,L100-L108)/(L104-L108),0))</f>
      </c>
      <c r="M111">
        <f>IF('Inputs'!$U$105=1,0,IF((M104-M108)&gt;0,MAX(0,M100-M108)/(M104-M108),0))</f>
      </c>
      <c r="N111">
        <f>IF('Inputs'!$U$105=1,0,IF((N104-N108)&gt;0,MAX(0,N100-N108)/(N104-N108),0))</f>
      </c>
      <c r="O111">
        <f>IF('Inputs'!$U$105=1,0,IF((O104-O108)&gt;0,MAX(0,O100-O108)/(O104-O108),0))</f>
      </c>
      <c r="P111">
        <f>IF('Inputs'!$U$105=1,0,IF((P104-P108)&gt;0,MAX(0,P100-P108)/(P104-P108),0))</f>
      </c>
      <c r="Q111">
        <f>IF('Inputs'!$U$105=1,0,IF((Q104-Q108)&gt;0,MAX(0,Q100-Q108)/(Q104-Q108),0))</f>
      </c>
      <c r="R111">
        <f>IF('Inputs'!$U$105=1,0,IF((R104-R108)&gt;0,MAX(0,R100-R108)/(R104-R108),0))</f>
      </c>
      <c r="S111">
        <f>IF('Inputs'!$U$105=1,0,IF((S104-S108)&gt;0,MAX(0,S100-S108)/(S104-S108),0))</f>
      </c>
      <c r="T111">
        <f>IF('Inputs'!$U$105=1,0,IF((T104-T108)&gt;0,MAX(0,T100-T108)/(T104-T108),0))</f>
      </c>
    </row>
    <row r="112" spans="2:20" x14ac:dyDescent="0.25">
      <c r="B112" t="s">
        <v>442</v>
      </c>
      <c r="C112">
        <f>IF(C3=1,IF(AND(C4=0,C45&lt;=0),0,MAX(0,C4+C45/(1-(1-'Inputs'!$T$100)*C18))),0)</f>
      </c>
      <c r="E112">
        <f>IF(E3=1,IF(AND(E4=0,E45&lt;=0),0,MAX(0,E4+E45/(1-(1-'Inputs'!$T$100)*E18))),0)</f>
      </c>
      <c r="F112">
        <f>IF(F3=1,IF(AND(F4=0,F45&lt;=0),0,MAX(0,F4+F45/(1-(1-'Inputs'!$T$100)*F18))),0)</f>
      </c>
      <c r="G112">
        <f>IF(G3=1,IF(AND(G4=0,G45&lt;=0),0,MAX(0,G4+G45/(1-(1-'Inputs'!$T$100)*G18))),0)</f>
      </c>
      <c r="H112">
        <f>IF(H3=1,IF(AND(H4=0,H45&lt;=0),0,MAX(0,H4+H45/(1-(1-'Inputs'!$T$100)*H18))),0)</f>
      </c>
      <c r="I112">
        <f>IF(I3=1,IF(AND(I4=0,I45&lt;=0),0,MAX(0,I4+I45/(1-(1-'Inputs'!$T$100)*I18))),0)</f>
      </c>
      <c r="J112">
        <f>IF(J3=1,IF(AND(J4=0,J45&lt;=0),0,MAX(0,J4+J45/(1-(1-'Inputs'!$T$100)*J18))),0)</f>
      </c>
      <c r="K112">
        <f>IF(K3=1,IF(AND(K4=0,K45&lt;=0),0,MAX(0,K4+K45/(1-(1-'Inputs'!$T$100)*K18))),0)</f>
      </c>
      <c r="L112">
        <f>IF(L3=1,IF(AND(L4=0,L45&lt;=0),0,MAX(0,L4+L45/(1-(1-'Inputs'!$T$100)*L18))),0)</f>
      </c>
      <c r="M112">
        <f>IF(M3=1,IF(AND(M4=0,M45&lt;=0),0,MAX(0,M4+M45/(1-(1-'Inputs'!$T$100)*M18))),0)</f>
      </c>
      <c r="N112">
        <f>IF(N3=1,IF(AND(N4=0,N45&lt;=0),0,MAX(0,N4+N45/(1-(1-'Inputs'!$T$100)*N18))),0)</f>
      </c>
      <c r="O112">
        <f>IF(O3=1,IF(AND(O4=0,O45&lt;=0),0,MAX(0,O4+O45/(1-(1-'Inputs'!$T$100)*O18))),0)</f>
      </c>
      <c r="P112">
        <f>IF(P3=1,IF(AND(P4=0,P45&lt;=0),0,MAX(0,P4+P45/(1-(1-'Inputs'!$T$100)*P18))),0)</f>
      </c>
      <c r="Q112">
        <f>IF(Q3=1,IF(AND(Q4=0,Q45&lt;=0),0,MAX(0,Q4+Q45/(1-(1-'Inputs'!$T$100)*Q18))),0)</f>
      </c>
      <c r="R112">
        <f>IF(R3=1,IF(AND(R4=0,R45&lt;=0),0,MAX(0,R4+R45/(1-(1-'Inputs'!$T$100)*R18))),0)</f>
      </c>
      <c r="S112">
        <f>IF(S3=1,IF(AND(S4=0,S45&lt;=0),0,MAX(0,S4+S45/(1-(1-'Inputs'!$T$100)*S18))),0)</f>
      </c>
      <c r="T112">
        <f>IF(T3=1,IF(AND(T4=0,T45&lt;=0),0,MAX(0,T4+T45/(1-(1-'Inputs'!$T$100)*T18))),0)</f>
      </c>
    </row>
    <row r="113" spans="2:20" x14ac:dyDescent="0.25">
      <c r="B113" t="s">
        <v>443</v>
      </c>
      <c r="C113">
        <f>IF(C3=1,IF(AND(C5=0,C57&lt;=0),0,MAX(0,C5+C57/(1-(1-'Inputs'!$T$101)*C18))),0)</f>
      </c>
      <c r="E113">
        <f>IF(E3=1,IF(AND(E5=0,E57&lt;=0),0,MAX(0,E5+E57/(1-(1-'Inputs'!$T$101)*E18))),0)</f>
      </c>
      <c r="F113">
        <f>IF(F3=1,IF(AND(F5=0,F57&lt;=0),0,MAX(0,F5+F57/(1-(1-'Inputs'!$T$101)*F18))),0)</f>
      </c>
      <c r="G113">
        <f>IF(G3=1,IF(AND(G5=0,G57&lt;=0),0,MAX(0,G5+G57/(1-(1-'Inputs'!$T$101)*G18))),0)</f>
      </c>
      <c r="H113">
        <f>IF(H3=1,IF(AND(H5=0,H57&lt;=0),0,MAX(0,H5+H57/(1-(1-'Inputs'!$T$101)*H18))),0)</f>
      </c>
      <c r="I113">
        <f>IF(I3=1,IF(AND(I5=0,I57&lt;=0),0,MAX(0,I5+I57/(1-(1-'Inputs'!$T$101)*I18))),0)</f>
      </c>
      <c r="J113">
        <f>IF(J3=1,IF(AND(J5=0,J57&lt;=0),0,MAX(0,J5+J57/(1-(1-'Inputs'!$T$101)*J18))),0)</f>
      </c>
      <c r="K113">
        <f>IF(K3=1,IF(AND(K5=0,K57&lt;=0),0,MAX(0,K5+K57/(1-(1-'Inputs'!$T$101)*K18))),0)</f>
      </c>
      <c r="L113">
        <f>IF(L3=1,IF(AND(L5=0,L57&lt;=0),0,MAX(0,L5+L57/(1-(1-'Inputs'!$T$101)*L18))),0)</f>
      </c>
      <c r="M113">
        <f>IF(M3=1,IF(AND(M5=0,M57&lt;=0),0,MAX(0,M5+M57/(1-(1-'Inputs'!$T$101)*M18))),0)</f>
      </c>
      <c r="N113">
        <f>IF(N3=1,IF(AND(N5=0,N57&lt;=0),0,MAX(0,N5+N57/(1-(1-'Inputs'!$T$101)*N18))),0)</f>
      </c>
      <c r="O113">
        <f>IF(O3=1,IF(AND(O5=0,O57&lt;=0),0,MAX(0,O5+O57/(1-(1-'Inputs'!$T$101)*O18))),0)</f>
      </c>
      <c r="P113">
        <f>IF(P3=1,IF(AND(P5=0,P57&lt;=0),0,MAX(0,P5+P57/(1-(1-'Inputs'!$T$101)*P18))),0)</f>
      </c>
      <c r="Q113">
        <f>IF(Q3=1,IF(AND(Q5=0,Q57&lt;=0),0,MAX(0,Q5+Q57/(1-(1-'Inputs'!$T$101)*Q18))),0)</f>
      </c>
      <c r="R113">
        <f>IF(R3=1,IF(AND(R5=0,R57&lt;=0),0,MAX(0,R5+R57/(1-(1-'Inputs'!$T$101)*R18))),0)</f>
      </c>
      <c r="S113">
        <f>IF(S3=1,IF(AND(S5=0,S57&lt;=0),0,MAX(0,S5+S57/(1-(1-'Inputs'!$T$101)*S18))),0)</f>
      </c>
      <c r="T113">
        <f>IF(T3=1,IF(AND(T5=0,T57&lt;=0),0,MAX(0,T5+T57/(1-(1-'Inputs'!$T$101)*T18))),0)</f>
      </c>
    </row>
    <row r="114" spans="2:20" x14ac:dyDescent="0.25">
      <c r="B114" t="s">
        <v>444</v>
      </c>
      <c r="C114">
        <f>IF(C3=1,IF(AND(C6=0,C69&lt;=0),0,MAX(0,C6+C69/(1-(1-'Inputs'!$T$102)*C18))),0)</f>
      </c>
      <c r="E114">
        <f>IF(E3=1,IF(AND(E6=0,E69&lt;=0),0,MAX(0,E6+E69/(1-(1-'Inputs'!$T$102)*E18))),0)</f>
      </c>
      <c r="F114">
        <f>IF(F3=1,IF(AND(F6=0,F69&lt;=0),0,MAX(0,F6+F69/(1-(1-'Inputs'!$T$102)*F18))),0)</f>
      </c>
      <c r="G114">
        <f>IF(G3=1,IF(AND(G6=0,G69&lt;=0),0,MAX(0,G6+G69/(1-(1-'Inputs'!$T$102)*G18))),0)</f>
      </c>
      <c r="H114">
        <f>IF(H3=1,IF(AND(H6=0,H69&lt;=0),0,MAX(0,H6+H69/(1-(1-'Inputs'!$T$102)*H18))),0)</f>
      </c>
      <c r="I114">
        <f>IF(I3=1,IF(AND(I6=0,I69&lt;=0),0,MAX(0,I6+I69/(1-(1-'Inputs'!$T$102)*I18))),0)</f>
      </c>
      <c r="J114">
        <f>IF(J3=1,IF(AND(J6=0,J69&lt;=0),0,MAX(0,J6+J69/(1-(1-'Inputs'!$T$102)*J18))),0)</f>
      </c>
      <c r="K114">
        <f>IF(K3=1,IF(AND(K6=0,K69&lt;=0),0,MAX(0,K6+K69/(1-(1-'Inputs'!$T$102)*K18))),0)</f>
      </c>
      <c r="L114">
        <f>IF(L3=1,IF(AND(L6=0,L69&lt;=0),0,MAX(0,L6+L69/(1-(1-'Inputs'!$T$102)*L18))),0)</f>
      </c>
      <c r="M114">
        <f>IF(M3=1,IF(AND(M6=0,M69&lt;=0),0,MAX(0,M6+M69/(1-(1-'Inputs'!$T$102)*M18))),0)</f>
      </c>
      <c r="N114">
        <f>IF(N3=1,IF(AND(N6=0,N69&lt;=0),0,MAX(0,N6+N69/(1-(1-'Inputs'!$T$102)*N18))),0)</f>
      </c>
      <c r="O114">
        <f>IF(O3=1,IF(AND(O6=0,O69&lt;=0),0,MAX(0,O6+O69/(1-(1-'Inputs'!$T$102)*O18))),0)</f>
      </c>
      <c r="P114">
        <f>IF(P3=1,IF(AND(P6=0,P69&lt;=0),0,MAX(0,P6+P69/(1-(1-'Inputs'!$T$102)*P18))),0)</f>
      </c>
      <c r="Q114">
        <f>IF(Q3=1,IF(AND(Q6=0,Q69&lt;=0),0,MAX(0,Q6+Q69/(1-(1-'Inputs'!$T$102)*Q18))),0)</f>
      </c>
      <c r="R114">
        <f>IF(R3=1,IF(AND(R6=0,R69&lt;=0),0,MAX(0,R6+R69/(1-(1-'Inputs'!$T$102)*R18))),0)</f>
      </c>
      <c r="S114">
        <f>IF(S3=1,IF(AND(S6=0,S69&lt;=0),0,MAX(0,S6+S69/(1-(1-'Inputs'!$T$102)*S18))),0)</f>
      </c>
      <c r="T114">
        <f>IF(T3=1,IF(AND(T6=0,T69&lt;=0),0,MAX(0,T6+T69/(1-(1-'Inputs'!$T$102)*T18))),0)</f>
      </c>
    </row>
    <row r="115" spans="2:20" x14ac:dyDescent="0.25">
      <c r="B115" t="s">
        <v>445</v>
      </c>
      <c r="C115">
        <f>IF(C3=1,IF(AND(C7=0,C81&lt;=0),0,MAX(0,C7+C81/(1-(1-'Inputs'!$T$103)*C18))),0)</f>
      </c>
      <c r="E115">
        <f>IF(E3=1,IF(AND(E7=0,E81&lt;=0),0,MAX(0,E7+E81/(1-(1-'Inputs'!$T$103)*E18))),0)</f>
      </c>
      <c r="F115">
        <f>IF(F3=1,IF(AND(F7=0,F81&lt;=0),0,MAX(0,F7+F81/(1-(1-'Inputs'!$T$103)*F18))),0)</f>
      </c>
      <c r="G115">
        <f>IF(G3=1,IF(AND(G7=0,G81&lt;=0),0,MAX(0,G7+G81/(1-(1-'Inputs'!$T$103)*G18))),0)</f>
      </c>
      <c r="H115">
        <f>IF(H3=1,IF(AND(H7=0,H81&lt;=0),0,MAX(0,H7+H81/(1-(1-'Inputs'!$T$103)*H18))),0)</f>
      </c>
      <c r="I115">
        <f>IF(I3=1,IF(AND(I7=0,I81&lt;=0),0,MAX(0,I7+I81/(1-(1-'Inputs'!$T$103)*I18))),0)</f>
      </c>
      <c r="J115">
        <f>IF(J3=1,IF(AND(J7=0,J81&lt;=0),0,MAX(0,J7+J81/(1-(1-'Inputs'!$T$103)*J18))),0)</f>
      </c>
      <c r="K115">
        <f>IF(K3=1,IF(AND(K7=0,K81&lt;=0),0,MAX(0,K7+K81/(1-(1-'Inputs'!$T$103)*K18))),0)</f>
      </c>
      <c r="L115">
        <f>IF(L3=1,IF(AND(L7=0,L81&lt;=0),0,MAX(0,L7+L81/(1-(1-'Inputs'!$T$103)*L18))),0)</f>
      </c>
      <c r="M115">
        <f>IF(M3=1,IF(AND(M7=0,M81&lt;=0),0,MAX(0,M7+M81/(1-(1-'Inputs'!$T$103)*M18))),0)</f>
      </c>
      <c r="N115">
        <f>IF(N3=1,IF(AND(N7=0,N81&lt;=0),0,MAX(0,N7+N81/(1-(1-'Inputs'!$T$103)*N18))),0)</f>
      </c>
      <c r="O115">
        <f>IF(O3=1,IF(AND(O7=0,O81&lt;=0),0,MAX(0,O7+O81/(1-(1-'Inputs'!$T$103)*O18))),0)</f>
      </c>
      <c r="P115">
        <f>IF(P3=1,IF(AND(P7=0,P81&lt;=0),0,MAX(0,P7+P81/(1-(1-'Inputs'!$T$103)*P18))),0)</f>
      </c>
      <c r="Q115">
        <f>IF(Q3=1,IF(AND(Q7=0,Q81&lt;=0),0,MAX(0,Q7+Q81/(1-(1-'Inputs'!$T$103)*Q18))),0)</f>
      </c>
      <c r="R115">
        <f>IF(R3=1,IF(AND(R7=0,R81&lt;=0),0,MAX(0,R7+R81/(1-(1-'Inputs'!$T$103)*R18))),0)</f>
      </c>
      <c r="S115">
        <f>IF(S3=1,IF(AND(S7=0,S81&lt;=0),0,MAX(0,S7+S81/(1-(1-'Inputs'!$T$103)*S18))),0)</f>
      </c>
      <c r="T115">
        <f>IF(T3=1,IF(AND(T7=0,T81&lt;=0),0,MAX(0,T7+T81/(1-(1-'Inputs'!$T$103)*T18))),0)</f>
      </c>
    </row>
    <row r="116" spans="2:20" x14ac:dyDescent="0.25">
      <c r="B116" t="s">
        <v>446</v>
      </c>
      <c r="C116">
        <f>IF(C3=1,IF(AND(C8=0,C93&lt;=0),0,MAX(0,C8+C93/(1-(1-'Inputs'!$T$104)*C18))),0)</f>
      </c>
      <c r="E116">
        <f>IF(E3=1,IF(AND(E8=0,E93&lt;=0),0,MAX(0,E8+E93/(1-(1-'Inputs'!$T$104)*E18))),0)</f>
      </c>
      <c r="F116">
        <f>IF(F3=1,IF(AND(F8=0,F93&lt;=0),0,MAX(0,F8+F93/(1-(1-'Inputs'!$T$104)*F18))),0)</f>
      </c>
      <c r="G116">
        <f>IF(G3=1,IF(AND(G8=0,G93&lt;=0),0,MAX(0,G8+G93/(1-(1-'Inputs'!$T$104)*G18))),0)</f>
      </c>
      <c r="H116">
        <f>IF(H3=1,IF(AND(H8=0,H93&lt;=0),0,MAX(0,H8+H93/(1-(1-'Inputs'!$T$104)*H18))),0)</f>
      </c>
      <c r="I116">
        <f>IF(I3=1,IF(AND(I8=0,I93&lt;=0),0,MAX(0,I8+I93/(1-(1-'Inputs'!$T$104)*I18))),0)</f>
      </c>
      <c r="J116">
        <f>IF(J3=1,IF(AND(J8=0,J93&lt;=0),0,MAX(0,J8+J93/(1-(1-'Inputs'!$T$104)*J18))),0)</f>
      </c>
      <c r="K116">
        <f>IF(K3=1,IF(AND(K8=0,K93&lt;=0),0,MAX(0,K8+K93/(1-(1-'Inputs'!$T$104)*K18))),0)</f>
      </c>
      <c r="L116">
        <f>IF(L3=1,IF(AND(L8=0,L93&lt;=0),0,MAX(0,L8+L93/(1-(1-'Inputs'!$T$104)*L18))),0)</f>
      </c>
      <c r="M116">
        <f>IF(M3=1,IF(AND(M8=0,M93&lt;=0),0,MAX(0,M8+M93/(1-(1-'Inputs'!$T$104)*M18))),0)</f>
      </c>
      <c r="N116">
        <f>IF(N3=1,IF(AND(N8=0,N93&lt;=0),0,MAX(0,N8+N93/(1-(1-'Inputs'!$T$104)*N18))),0)</f>
      </c>
      <c r="O116">
        <f>IF(O3=1,IF(AND(O8=0,O93&lt;=0),0,MAX(0,O8+O93/(1-(1-'Inputs'!$T$104)*O18))),0)</f>
      </c>
      <c r="P116">
        <f>IF(P3=1,IF(AND(P8=0,P93&lt;=0),0,MAX(0,P8+P93/(1-(1-'Inputs'!$T$104)*P18))),0)</f>
      </c>
      <c r="Q116">
        <f>IF(Q3=1,IF(AND(Q8=0,Q93&lt;=0),0,MAX(0,Q8+Q93/(1-(1-'Inputs'!$T$104)*Q18))),0)</f>
      </c>
      <c r="R116">
        <f>IF(R3=1,IF(AND(R8=0,R93&lt;=0),0,MAX(0,R8+R93/(1-(1-'Inputs'!$T$104)*R18))),0)</f>
      </c>
      <c r="S116">
        <f>IF(S3=1,IF(AND(S8=0,S93&lt;=0),0,MAX(0,S8+S93/(1-(1-'Inputs'!$T$104)*S18))),0)</f>
      </c>
      <c r="T116">
        <f>IF(T3=1,IF(AND(T8=0,T93&lt;=0),0,MAX(0,T8+T93/(1-(1-'Inputs'!$T$104)*T18))),0)</f>
      </c>
    </row>
    <row r="117" spans="2:20" x14ac:dyDescent="0.25">
      <c r="B117" t="s">
        <v>447</v>
      </c>
      <c r="C117">
        <f>IF(C3=1,IF(AND(C9=0,C105&lt;=0),0,MAX(0,C9+C105/(1-(1-'Inputs'!$T$105)*C18))),0)</f>
      </c>
      <c r="E117">
        <f>IF(E3=1,IF(AND(E9=0,E105&lt;=0),0,MAX(0,E9+E105/(1-(1-'Inputs'!$T$105)*E18))),0)</f>
      </c>
      <c r="F117">
        <f>IF(F3=1,IF(AND(F9=0,F105&lt;=0),0,MAX(0,F9+F105/(1-(1-'Inputs'!$T$105)*F18))),0)</f>
      </c>
      <c r="G117">
        <f>IF(G3=1,IF(AND(G9=0,G105&lt;=0),0,MAX(0,G9+G105/(1-(1-'Inputs'!$T$105)*G18))),0)</f>
      </c>
      <c r="H117">
        <f>IF(H3=1,IF(AND(H9=0,H105&lt;=0),0,MAX(0,H9+H105/(1-(1-'Inputs'!$T$105)*H18))),0)</f>
      </c>
      <c r="I117">
        <f>IF(I3=1,IF(AND(I9=0,I105&lt;=0),0,MAX(0,I9+I105/(1-(1-'Inputs'!$T$105)*I18))),0)</f>
      </c>
      <c r="J117">
        <f>IF(J3=1,IF(AND(J9=0,J105&lt;=0),0,MAX(0,J9+J105/(1-(1-'Inputs'!$T$105)*J18))),0)</f>
      </c>
      <c r="K117">
        <f>IF(K3=1,IF(AND(K9=0,K105&lt;=0),0,MAX(0,K9+K105/(1-(1-'Inputs'!$T$105)*K18))),0)</f>
      </c>
      <c r="L117">
        <f>IF(L3=1,IF(AND(L9=0,L105&lt;=0),0,MAX(0,L9+L105/(1-(1-'Inputs'!$T$105)*L18))),0)</f>
      </c>
      <c r="M117">
        <f>IF(M3=1,IF(AND(M9=0,M105&lt;=0),0,MAX(0,M9+M105/(1-(1-'Inputs'!$T$105)*M18))),0)</f>
      </c>
      <c r="N117">
        <f>IF(N3=1,IF(AND(N9=0,N105&lt;=0),0,MAX(0,N9+N105/(1-(1-'Inputs'!$T$105)*N18))),0)</f>
      </c>
      <c r="O117">
        <f>IF(O3=1,IF(AND(O9=0,O105&lt;=0),0,MAX(0,O9+O105/(1-(1-'Inputs'!$T$105)*O18))),0)</f>
      </c>
      <c r="P117">
        <f>IF(P3=1,IF(AND(P9=0,P105&lt;=0),0,MAX(0,P9+P105/(1-(1-'Inputs'!$T$105)*P18))),0)</f>
      </c>
      <c r="Q117">
        <f>IF(Q3=1,IF(AND(Q9=0,Q105&lt;=0),0,MAX(0,Q9+Q105/(1-(1-'Inputs'!$T$105)*Q18))),0)</f>
      </c>
      <c r="R117">
        <f>IF(R3=1,IF(AND(R9=0,R105&lt;=0),0,MAX(0,R9+R105/(1-(1-'Inputs'!$T$105)*R18))),0)</f>
      </c>
      <c r="S117">
        <f>IF(S3=1,IF(AND(S9=0,S105&lt;=0),0,MAX(0,S9+S105/(1-(1-'Inputs'!$T$105)*S18))),0)</f>
      </c>
      <c r="T117">
        <f>IF(T3=1,IF(AND(T9=0,T105&lt;=0),0,MAX(0,T9+T105/(1-(1-'Inputs'!$T$105)*T18))),0)</f>
      </c>
    </row>
    <row r="118" spans="2:20" x14ac:dyDescent="0.25">
      <c r="B118" t="s">
        <v>448</v>
      </c>
      <c r="C118">
        <f>IF(IF(AND('Inputs'!$C$108="The spouse, from what they receive",SUM('Inputs'!$O$100:$O$105)&gt;0,OR(LEFT('Inputs'!$C$13,7)="Married",'Inputs'!$C$13="Life partner",'Inputs'!$C$13="Civil Union")),1,0)=1,0,IF(C3=1,IF(AND(C10=0,C27&lt;=0),0,MAX(0,C10+C27/((1-('Inputs'!$C$134/100*(1+'Inputs'!$C$135/100)))*(1-IF('Inputs'!$C$14="Spouse",0,C18))))),0))</f>
      </c>
      <c r="E118">
        <f>IF(IF(AND('Inputs'!$C$108="The spouse, from what they receive",SUM('Inputs'!$O$100:$O$105)&gt;0,OR(LEFT('Inputs'!$C$13,7)="Married",'Inputs'!$C$13="Life partner",'Inputs'!$C$13="Civil Union")),1,0)=1,0,IF(E3=1,IF(AND(E10=0,E27&lt;=0),0,MAX(0,E10+E27/((1-('Inputs'!$C$134/100*(1+'Inputs'!$C$135/100)))*(1-IF('Inputs'!$C$14="Spouse",0,E18))))),0))</f>
      </c>
      <c r="F118">
        <f>IF(IF(AND('Inputs'!$C$108="The spouse, from what they receive",SUM('Inputs'!$O$100:$O$105)&gt;0,OR(LEFT('Inputs'!$C$13,7)="Married",'Inputs'!$C$13="Life partner",'Inputs'!$C$13="Civil Union")),1,0)=1,0,IF(F3=1,IF(AND(F10=0,F27&lt;=0),0,MAX(0,F10+F27/((1-('Inputs'!$C$134/100*(1+'Inputs'!$C$135/100)))*(1-IF('Inputs'!$C$14="Spouse",0,F18))))),0))</f>
      </c>
      <c r="G118">
        <f>IF(IF(AND('Inputs'!$C$108="The spouse, from what they receive",SUM('Inputs'!$O$100:$O$105)&gt;0,OR(LEFT('Inputs'!$C$13,7)="Married",'Inputs'!$C$13="Life partner",'Inputs'!$C$13="Civil Union")),1,0)=1,0,IF(G3=1,IF(AND(G10=0,G27&lt;=0),0,MAX(0,G10+G27/((1-('Inputs'!$C$134/100*(1+'Inputs'!$C$135/100)))*(1-IF('Inputs'!$C$14="Spouse",0,G18))))),0))</f>
      </c>
      <c r="H118">
        <f>IF(IF(AND('Inputs'!$C$108="The spouse, from what they receive",SUM('Inputs'!$O$100:$O$105)&gt;0,OR(LEFT('Inputs'!$C$13,7)="Married",'Inputs'!$C$13="Life partner",'Inputs'!$C$13="Civil Union")),1,0)=1,0,IF(H3=1,IF(AND(H10=0,H27&lt;=0),0,MAX(0,H10+H27/((1-('Inputs'!$C$134/100*(1+'Inputs'!$C$135/100)))*(1-IF('Inputs'!$C$14="Spouse",0,H18))))),0))</f>
      </c>
      <c r="I118">
        <f>IF(IF(AND('Inputs'!$C$108="The spouse, from what they receive",SUM('Inputs'!$O$100:$O$105)&gt;0,OR(LEFT('Inputs'!$C$13,7)="Married",'Inputs'!$C$13="Life partner",'Inputs'!$C$13="Civil Union")),1,0)=1,0,IF(I3=1,IF(AND(I10=0,I27&lt;=0),0,MAX(0,I10+I27/((1-('Inputs'!$C$134/100*(1+'Inputs'!$C$135/100)))*(1-IF('Inputs'!$C$14="Spouse",0,I18))))),0))</f>
      </c>
      <c r="J118">
        <f>IF(IF(AND('Inputs'!$C$108="The spouse, from what they receive",SUM('Inputs'!$O$100:$O$105)&gt;0,OR(LEFT('Inputs'!$C$13,7)="Married",'Inputs'!$C$13="Life partner",'Inputs'!$C$13="Civil Union")),1,0)=1,0,IF(J3=1,IF(AND(J10=0,J27&lt;=0),0,MAX(0,J10+J27/((1-('Inputs'!$C$134/100*(1+'Inputs'!$C$135/100)))*(1-IF('Inputs'!$C$14="Spouse",0,J18))))),0))</f>
      </c>
      <c r="K118">
        <f>IF(IF(AND('Inputs'!$C$108="The spouse, from what they receive",SUM('Inputs'!$O$100:$O$105)&gt;0,OR(LEFT('Inputs'!$C$13,7)="Married",'Inputs'!$C$13="Life partner",'Inputs'!$C$13="Civil Union")),1,0)=1,0,IF(K3=1,IF(AND(K10=0,K27&lt;=0),0,MAX(0,K10+K27/((1-('Inputs'!$C$134/100*(1+'Inputs'!$C$135/100)))*(1-IF('Inputs'!$C$14="Spouse",0,K18))))),0))</f>
      </c>
      <c r="L118">
        <f>IF(IF(AND('Inputs'!$C$108="The spouse, from what they receive",SUM('Inputs'!$O$100:$O$105)&gt;0,OR(LEFT('Inputs'!$C$13,7)="Married",'Inputs'!$C$13="Life partner",'Inputs'!$C$13="Civil Union")),1,0)=1,0,IF(L3=1,IF(AND(L10=0,L27&lt;=0),0,MAX(0,L10+L27/((1-('Inputs'!$C$134/100*(1+'Inputs'!$C$135/100)))*(1-IF('Inputs'!$C$14="Spouse",0,L18))))),0))</f>
      </c>
      <c r="M118">
        <f>IF(IF(AND('Inputs'!$C$108="The spouse, from what they receive",SUM('Inputs'!$O$100:$O$105)&gt;0,OR(LEFT('Inputs'!$C$13,7)="Married",'Inputs'!$C$13="Life partner",'Inputs'!$C$13="Civil Union")),1,0)=1,0,IF(M3=1,IF(AND(M10=0,M27&lt;=0),0,MAX(0,M10+M27/((1-('Inputs'!$C$134/100*(1+'Inputs'!$C$135/100)))*(1-IF('Inputs'!$C$14="Spouse",0,M18))))),0))</f>
      </c>
      <c r="N118">
        <f>IF(IF(AND('Inputs'!$C$108="The spouse, from what they receive",SUM('Inputs'!$O$100:$O$105)&gt;0,OR(LEFT('Inputs'!$C$13,7)="Married",'Inputs'!$C$13="Life partner",'Inputs'!$C$13="Civil Union")),1,0)=1,0,IF(N3=1,IF(AND(N10=0,N27&lt;=0),0,MAX(0,N10+N27/((1-('Inputs'!$C$134/100*(1+'Inputs'!$C$135/100)))*(1-IF('Inputs'!$C$14="Spouse",0,N18))))),0))</f>
      </c>
      <c r="O118">
        <f>IF(IF(AND('Inputs'!$C$108="The spouse, from what they receive",SUM('Inputs'!$O$100:$O$105)&gt;0,OR(LEFT('Inputs'!$C$13,7)="Married",'Inputs'!$C$13="Life partner",'Inputs'!$C$13="Civil Union")),1,0)=1,0,IF(O3=1,IF(AND(O10=0,O27&lt;=0),0,MAX(0,O10+O27/((1-('Inputs'!$C$134/100*(1+'Inputs'!$C$135/100)))*(1-IF('Inputs'!$C$14="Spouse",0,O18))))),0))</f>
      </c>
      <c r="P118">
        <f>IF(IF(AND('Inputs'!$C$108="The spouse, from what they receive",SUM('Inputs'!$O$100:$O$105)&gt;0,OR(LEFT('Inputs'!$C$13,7)="Married",'Inputs'!$C$13="Life partner",'Inputs'!$C$13="Civil Union")),1,0)=1,0,IF(P3=1,IF(AND(P10=0,P27&lt;=0),0,MAX(0,P10+P27/((1-('Inputs'!$C$134/100*(1+'Inputs'!$C$135/100)))*(1-IF('Inputs'!$C$14="Spouse",0,P18))))),0))</f>
      </c>
      <c r="Q118">
        <f>IF(IF(AND('Inputs'!$C$108="The spouse, from what they receive",SUM('Inputs'!$O$100:$O$105)&gt;0,OR(LEFT('Inputs'!$C$13,7)="Married",'Inputs'!$C$13="Life partner",'Inputs'!$C$13="Civil Union")),1,0)=1,0,IF(Q3=1,IF(AND(Q10=0,Q27&lt;=0),0,MAX(0,Q10+Q27/((1-('Inputs'!$C$134/100*(1+'Inputs'!$C$135/100)))*(1-IF('Inputs'!$C$14="Spouse",0,Q18))))),0))</f>
      </c>
      <c r="R118">
        <f>IF(IF(AND('Inputs'!$C$108="The spouse, from what they receive",SUM('Inputs'!$O$100:$O$105)&gt;0,OR(LEFT('Inputs'!$C$13,7)="Married",'Inputs'!$C$13="Life partner",'Inputs'!$C$13="Civil Union")),1,0)=1,0,IF(R3=1,IF(AND(R10=0,R27&lt;=0),0,MAX(0,R10+R27/((1-('Inputs'!$C$134/100*(1+'Inputs'!$C$135/100)))*(1-IF('Inputs'!$C$14="Spouse",0,R18))))),0))</f>
      </c>
      <c r="S118">
        <f>IF(IF(AND('Inputs'!$C$108="The spouse, from what they receive",SUM('Inputs'!$O$100:$O$105)&gt;0,OR(LEFT('Inputs'!$C$13,7)="Married",'Inputs'!$C$13="Life partner",'Inputs'!$C$13="Civil Union")),1,0)=1,0,IF(S3=1,IF(AND(S10=0,S27&lt;=0),0,MAX(0,S10+S27/((1-('Inputs'!$C$134/100*(1+'Inputs'!$C$135/100)))*(1-IF('Inputs'!$C$14="Spouse",0,S18))))),0))</f>
      </c>
      <c r="T118">
        <f>IF(IF(AND('Inputs'!$C$108="The spouse, from what they receive",SUM('Inputs'!$O$100:$O$105)&gt;0,OR(LEFT('Inputs'!$C$13,7)="Married",'Inputs'!$C$13="Life partner",'Inputs'!$C$13="Civil Union")),1,0)=1,0,IF(T3=1,IF(AND(T10=0,T27&lt;=0),0,MAX(0,T10+T27/((1-('Inputs'!$C$134/100*(1+'Inputs'!$C$135/100)))*(1-IF('Inputs'!$C$14="Spouse",0,T18))))),0))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5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53</v>
      </c>
      <c r="C1" s="1"/>
      <c r="D1" s="1"/>
      <c r="E1" s="1"/>
      <c r="F1" s="1"/>
      <c r="G1" s="1"/>
      <c r="H1" s="1"/>
      <c r="I1" s="1"/>
    </row>
    <row r="2" ht="15" customHeight="1" spans="2:9" x14ac:dyDescent="0.25">
      <c r="B2" s="2" t="s">
        <v>54</v>
      </c>
      <c r="C2" s="2"/>
      <c r="D2" s="2"/>
      <c r="E2" s="2"/>
      <c r="F2" s="2"/>
      <c r="G2" s="2"/>
      <c r="H2" s="2"/>
      <c r="I2" s="2"/>
    </row>
    <row r="4" ht="20" customHeight="1" spans="2:2" x14ac:dyDescent="0.25">
      <c r="B4" s="3" t="s">
        <v>293</v>
      </c>
    </row>
    <row r="5" spans="2:2" x14ac:dyDescent="0.25">
      <c r="B5" s="4" t="s">
        <v>294</v>
      </c>
    </row>
    <row r="6" ht="18" customHeight="1" spans="2:9" x14ac:dyDescent="0.25">
      <c r="B6" s="5" t="s">
        <v>295</v>
      </c>
      <c r="C6" s="6"/>
      <c r="D6" s="6"/>
      <c r="E6" s="6"/>
      <c r="F6" s="6"/>
      <c r="G6" s="6"/>
      <c r="H6" s="6"/>
      <c r="I6" s="6"/>
    </row>
    <row r="7" ht="20" customHeight="1" spans="2:8" x14ac:dyDescent="0.25">
      <c r="B7" s="12" t="s">
        <v>188</v>
      </c>
      <c r="C7" s="13">
        <f>IF('Inputs'!$B$100="","",'Inputs'!$B$100)</f>
      </c>
      <c r="D7" s="13">
        <f>IF('Inputs'!$B$101="","",'Inputs'!$B$101)</f>
      </c>
      <c r="E7" s="13">
        <f>IF('Inputs'!$B$102="","",'Inputs'!$B$102)</f>
      </c>
      <c r="F7" s="13">
        <f>IF('Inputs'!$B$103="","",'Inputs'!$B$103)</f>
      </c>
      <c r="G7" s="13">
        <f>IF('Inputs'!$B$104="","",'Inputs'!$B$104)</f>
      </c>
      <c r="H7" s="13">
        <f>IF('Inputs'!$B$105="","",'Inputs'!$B$105)</f>
      </c>
    </row>
    <row r="8" spans="2:8" x14ac:dyDescent="0.25">
      <c r="B8" s="7" t="s">
        <v>296</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126</v>
      </c>
      <c r="C9" s="47">
        <f>IF('Inputs'!$B$100="","",IF('Needs years'!$C$6=0,"",'Needs years'!$C$6))</f>
      </c>
      <c r="D9" s="47">
        <f>IF('Inputs'!$B$101="","",IF('Needs years'!$C$62=0,"",'Needs years'!$C$62))</f>
      </c>
      <c r="E9" s="47">
        <f>IF('Inputs'!$B$102="","",IF('Needs years'!$C$118=0,"",'Needs years'!$C$118))</f>
      </c>
      <c r="F9" s="47">
        <f>IF('Inputs'!$B$103="","",IF('Needs years'!$C$174=0,"",'Needs years'!$C$174))</f>
      </c>
      <c r="G9" s="47">
        <f>IF('Inputs'!$B$104="","",IF('Needs years'!$C$230=0,"",'Needs years'!$C$230))</f>
      </c>
      <c r="H9" s="47">
        <f>IF('Inputs'!$B$105="","",IF('Needs years'!$C$286=0,"",'Needs years'!$C$286))</f>
      </c>
    </row>
    <row r="10" spans="2:8" x14ac:dyDescent="0.25">
      <c r="B10" s="7" t="s">
        <v>297</v>
      </c>
      <c r="C10" s="48">
        <f>IF('Inputs'!$B$100="","",IF('Needs years'!$C$6=0,"",'Needs years'!$C$8))</f>
      </c>
      <c r="D10" s="48">
        <f>IF('Inputs'!$B$101="","",IF('Needs years'!$C$62=0,"",'Needs years'!$C$64))</f>
      </c>
      <c r="E10" s="48">
        <f>IF('Inputs'!$B$102="","",IF('Needs years'!$C$118=0,"",'Needs years'!$C$120))</f>
      </c>
      <c r="F10" s="48">
        <f>IF('Inputs'!$B$103="","",IF('Needs years'!$C$174=0,"",'Needs years'!$C$176))</f>
      </c>
      <c r="G10" s="48">
        <f>IF('Inputs'!$B$104="","",IF('Needs years'!$C$230=0,"",'Needs years'!$C$232))</f>
      </c>
      <c r="H10" s="48">
        <f>IF('Inputs'!$B$105="","",IF('Needs years'!$C$286=0,"",'Needs years'!$C$288))</f>
      </c>
    </row>
    <row r="11" spans="2:8" x14ac:dyDescent="0.25">
      <c r="B11" s="7" t="s">
        <v>298</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299</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300</v>
      </c>
      <c r="C13" s="19">
        <f>IF('Inputs'!$B$100="","",'Needs years'!$C$22)</f>
      </c>
      <c r="D13" s="19">
        <f>IF('Inputs'!$B$101="","",'Needs years'!$C$78)</f>
      </c>
      <c r="E13" s="19">
        <f>IF('Inputs'!$B$102="","",'Needs years'!$C$134)</f>
      </c>
      <c r="F13" s="19">
        <f>IF('Inputs'!$B$103="","",'Needs years'!$C$190)</f>
      </c>
      <c r="G13" s="19">
        <f>IF('Inputs'!$B$104="","",'Needs years'!$C$246)</f>
      </c>
      <c r="H13" s="19">
        <f>IF('Inputs'!$B$105="","",'Needs years'!$C$302)</f>
      </c>
    </row>
    <row r="14" spans="2:8" x14ac:dyDescent="0.25">
      <c r="B14" s="7" t="s">
        <v>301</v>
      </c>
      <c r="C14" s="19">
        <f>IF('Inputs'!$B$100="","",SUMPRODUCT(('Inputs'!$G$76:$G$81='Inputs'!$B$100)*'Inputs'!$P$76:$P$81))</f>
      </c>
      <c r="D14" s="19">
        <f>IF('Inputs'!$B$101="","",SUMPRODUCT(('Inputs'!$G$76:$G$81='Inputs'!$B$101)*'Inputs'!$P$76:$P$81))</f>
      </c>
      <c r="E14" s="19">
        <f>IF('Inputs'!$B$102="","",SUMPRODUCT(('Inputs'!$G$76:$G$81='Inputs'!$B$102)*'Inputs'!$P$76:$P$81))</f>
      </c>
      <c r="F14" s="19">
        <f>IF('Inputs'!$B$103="","",SUMPRODUCT(('Inputs'!$G$76:$G$81='Inputs'!$B$103)*'Inputs'!$P$76:$P$81))</f>
      </c>
      <c r="G14" s="19">
        <f>IF('Inputs'!$B$104="","",SUMPRODUCT(('Inputs'!$G$76:$G$81='Inputs'!$B$104)*'Inputs'!$P$76:$P$81))</f>
      </c>
      <c r="H14" s="19">
        <f>IF('Inputs'!$B$105="","",SUMPRODUCT(('Inputs'!$G$76:$G$81='Inputs'!$B$105)*'Inputs'!$P$76:$P$81))</f>
      </c>
    </row>
    <row r="15" spans="2:8" x14ac:dyDescent="0.25">
      <c r="B15" s="7" t="s">
        <v>302</v>
      </c>
      <c r="C15" s="19">
        <f>IF('Inputs'!$B$100="","",IF('Inputs'!$U$100=1,"Yes",""))</f>
      </c>
      <c r="D15" s="19">
        <f>IF('Inputs'!$B$101="","",IF('Inputs'!$U$101=1,"Yes",""))</f>
      </c>
      <c r="E15" s="19">
        <f>IF('Inputs'!$B$102="","",IF('Inputs'!$U$102=1,"Yes",""))</f>
      </c>
      <c r="F15" s="19">
        <f>IF('Inputs'!$B$103="","",IF('Inputs'!$U$103=1,"Yes",""))</f>
      </c>
      <c r="G15" s="19">
        <f>IF('Inputs'!$B$104="","",IF('Inputs'!$U$104=1,"Yes",""))</f>
      </c>
      <c r="H15" s="19">
        <f>IF('Inputs'!$B$105="","",IF('Inputs'!$U$105=1,"Yes",""))</f>
      </c>
    </row>
    <row r="16" spans="2:8" x14ac:dyDescent="0.25">
      <c r="B16" s="7" t="s">
        <v>303</v>
      </c>
      <c r="C16" s="19">
        <f>IF('Inputs'!$B$100="","",'Needs calc'!$C$47)</f>
      </c>
      <c r="D16" s="19">
        <f>IF('Inputs'!$B$101="","",'Needs calc'!$C$59)</f>
      </c>
      <c r="E16" s="19">
        <f>IF('Inputs'!$B$102="","",'Needs calc'!$C$71)</f>
      </c>
      <c r="F16" s="19">
        <f>IF('Inputs'!$B$103="","",'Needs calc'!$C$83)</f>
      </c>
      <c r="G16" s="19">
        <f>IF('Inputs'!$B$104="","",'Needs calc'!$C$95)</f>
      </c>
      <c r="H16" s="19">
        <f>IF('Inputs'!$B$105="","",'Needs calc'!$C$107)</f>
      </c>
    </row>
    <row r="17" spans="2:8" x14ac:dyDescent="0.25">
      <c r="B17" s="30" t="s">
        <v>304</v>
      </c>
      <c r="C17" s="44">
        <f>IF('Inputs'!$B$100="","",'Needs calc'!$C$40)</f>
      </c>
      <c r="D17" s="44">
        <f>IF('Inputs'!$B$101="","",'Needs calc'!$C$52)</f>
      </c>
      <c r="E17" s="44">
        <f>IF('Inputs'!$B$102="","",'Needs calc'!$C$64)</f>
      </c>
      <c r="F17" s="44">
        <f>IF('Inputs'!$B$103="","",'Needs calc'!$C$76)</f>
      </c>
      <c r="G17" s="44">
        <f>IF('Inputs'!$B$104="","",'Needs calc'!$C$88)</f>
      </c>
      <c r="H17" s="44">
        <f>IF('Inputs'!$B$105="","",'Needs calc'!$C$100)</f>
      </c>
    </row>
    <row r="18" spans="2:8" x14ac:dyDescent="0.25">
      <c r="B18" s="7" t="s">
        <v>305</v>
      </c>
      <c r="C18" s="49">
        <f>IF('Inputs'!$B$100="","",'Needs calc'!$C$42)</f>
      </c>
      <c r="D18" s="49">
        <f>IF('Inputs'!$B$101="","",'Needs calc'!$C$54)</f>
      </c>
      <c r="E18" s="49">
        <f>IF('Inputs'!$B$102="","",'Needs calc'!$C$66)</f>
      </c>
      <c r="F18" s="49">
        <f>IF('Inputs'!$B$103="","",'Needs calc'!$C$78)</f>
      </c>
      <c r="G18" s="49">
        <f>IF('Inputs'!$B$104="","",'Needs calc'!$C$90)</f>
      </c>
      <c r="H18" s="49">
        <f>IF('Inputs'!$B$105="","",'Needs calc'!$C$102)</f>
      </c>
    </row>
    <row r="19" spans="2:8" x14ac:dyDescent="0.25">
      <c r="B19" s="7" t="s">
        <v>306</v>
      </c>
      <c r="C19" s="48">
        <f>IF('Inputs'!$B$100="","",'Needs calc'!$C$43)</f>
      </c>
      <c r="D19" s="48">
        <f>IF('Inputs'!$B$101="","",'Needs calc'!$C$55)</f>
      </c>
      <c r="E19" s="48">
        <f>IF('Inputs'!$B$102="","",'Needs calc'!$C$67)</f>
      </c>
      <c r="F19" s="48">
        <f>IF('Inputs'!$B$103="","",'Needs calc'!$C$79)</f>
      </c>
      <c r="G19" s="48">
        <f>IF('Inputs'!$B$104="","",'Needs calc'!$C$91)</f>
      </c>
      <c r="H19" s="48">
        <f>IF('Inputs'!$B$105="","",'Needs calc'!$C$103)</f>
      </c>
    </row>
    <row r="20" spans="2:8" x14ac:dyDescent="0.25">
      <c r="B20" s="7" t="s">
        <v>307</v>
      </c>
      <c r="C20" s="19">
        <f>IF('Inputs'!$B$100="","",'Needs calc'!$C$50)</f>
      </c>
      <c r="D20" s="19">
        <f>IF('Inputs'!$B$101="","",'Needs calc'!$C$62)</f>
      </c>
      <c r="E20" s="19">
        <f>IF('Inputs'!$B$102="","",'Needs calc'!$C$74)</f>
      </c>
      <c r="F20" s="19">
        <f>IF('Inputs'!$B$103="","",'Needs calc'!$C$86)</f>
      </c>
      <c r="G20" s="19">
        <f>IF('Inputs'!$B$104="","",'Needs calc'!$C$98)</f>
      </c>
      <c r="H20" s="19">
        <f>IF('Inputs'!$B$105="","",'Needs calc'!$C$110)</f>
      </c>
    </row>
    <row r="21" spans="2:8" x14ac:dyDescent="0.25">
      <c r="B21" s="30" t="s">
        <v>308</v>
      </c>
      <c r="C21" s="44">
        <f>IF('Inputs'!$B$100="","",'Needs calc'!$C$44)</f>
      </c>
      <c r="D21" s="44">
        <f>IF('Inputs'!$B$101="","",'Needs calc'!$C$56)</f>
      </c>
      <c r="E21" s="44">
        <f>IF('Inputs'!$B$102="","",'Needs calc'!$C$68)</f>
      </c>
      <c r="F21" s="44">
        <f>IF('Inputs'!$B$103="","",'Needs calc'!$C$80)</f>
      </c>
      <c r="G21" s="44">
        <f>IF('Inputs'!$B$104="","",'Needs calc'!$C$92)</f>
      </c>
      <c r="H21" s="44">
        <f>IF('Inputs'!$B$105="","",'Needs calc'!$C$104)</f>
      </c>
    </row>
    <row r="22" spans="2:8" x14ac:dyDescent="0.25">
      <c r="B22" s="30" t="s">
        <v>309</v>
      </c>
      <c r="C22" s="44">
        <f>IF('Inputs'!$B$100="","",'Needs calc'!$C$45)</f>
      </c>
      <c r="D22" s="44">
        <f>IF('Inputs'!$B$101="","",'Needs calc'!$C$57)</f>
      </c>
      <c r="E22" s="44">
        <f>IF('Inputs'!$B$102="","",'Needs calc'!$C$69)</f>
      </c>
      <c r="F22" s="44">
        <f>IF('Inputs'!$B$103="","",'Needs calc'!$C$81)</f>
      </c>
      <c r="G22" s="44">
        <f>IF('Inputs'!$B$104="","",'Needs calc'!$C$93)</f>
      </c>
      <c r="H22" s="44">
        <f>IF('Inputs'!$B$105="","",'Needs calc'!$C$105)</f>
      </c>
    </row>
    <row r="23" spans="2:8" x14ac:dyDescent="0.25">
      <c r="B23" s="7" t="s">
        <v>310</v>
      </c>
      <c r="C23" s="19">
        <f>IF('Inputs'!$B$100="","",'Needs calc'!$C$46)</f>
      </c>
      <c r="D23" s="19">
        <f>IF('Inputs'!$B$101="","",'Needs calc'!$C$58)</f>
      </c>
      <c r="E23" s="19">
        <f>IF('Inputs'!$B$102="","",'Needs calc'!$C$70)</f>
      </c>
      <c r="F23" s="19">
        <f>IF('Inputs'!$B$103="","",'Needs calc'!$C$82)</f>
      </c>
      <c r="G23" s="19">
        <f>IF('Inputs'!$B$104="","",'Needs calc'!$C$94)</f>
      </c>
      <c r="H23" s="19">
        <f>IF('Inputs'!$B$105="","",'Needs calc'!$C$106)</f>
      </c>
    </row>
    <row r="25" ht="18" customHeight="1" spans="2:9" x14ac:dyDescent="0.25">
      <c r="B25" s="5" t="s">
        <v>311</v>
      </c>
      <c r="C25" s="6"/>
      <c r="D25" s="6"/>
      <c r="E25" s="6"/>
      <c r="F25" s="6"/>
      <c r="G25" s="6"/>
      <c r="H25" s="6"/>
      <c r="I25" s="6"/>
    </row>
    <row r="26" ht="20" customHeight="1" spans="2:8" x14ac:dyDescent="0.25">
      <c r="B26" s="12" t="s">
        <v>188</v>
      </c>
      <c r="C26" s="13">
        <f>IF('Inputs'!$B$100="","",'Inputs'!$B$100)</f>
      </c>
      <c r="D26" s="13">
        <f>IF('Inputs'!$B$101="","",'Inputs'!$B$101)</f>
      </c>
      <c r="E26" s="13">
        <f>IF('Inputs'!$B$102="","",'Inputs'!$B$102)</f>
      </c>
      <c r="F26" s="13">
        <f>IF('Inputs'!$B$103="","",'Inputs'!$B$103)</f>
      </c>
      <c r="G26" s="13">
        <f>IF('Inputs'!$B$104="","",'Inputs'!$B$104)</f>
      </c>
      <c r="H26" s="13">
        <f>IF('Inputs'!$B$105="","",'Inputs'!$B$105)</f>
      </c>
    </row>
    <row r="27" spans="2:8" x14ac:dyDescent="0.25">
      <c r="B27" s="30" t="s">
        <v>312</v>
      </c>
      <c r="C27" s="44">
        <f>IF('Inputs'!$B$100="","",'Needs calc'!$T$4)</f>
      </c>
      <c r="D27" s="44">
        <f>IF('Inputs'!$B$101="","",'Needs calc'!$T$5)</f>
      </c>
      <c r="E27" s="44">
        <f>IF('Inputs'!$B$102="","",'Needs calc'!$T$6)</f>
      </c>
      <c r="F27" s="44">
        <f>IF('Inputs'!$B$103="","",'Needs calc'!$T$7)</f>
      </c>
      <c r="G27" s="44">
        <f>IF('Inputs'!$B$104="","",'Needs calc'!$T$8)</f>
      </c>
      <c r="H27" s="44">
        <f>IF('Inputs'!$B$105="","",'Needs calc'!$T$9)</f>
      </c>
    </row>
    <row r="28" spans="2:8" x14ac:dyDescent="0.25">
      <c r="B28" s="7" t="s">
        <v>313</v>
      </c>
      <c r="C28" s="19">
        <f>IF('Inputs'!$B$100="","",IF('Needs calc'!$T$4=0,"",IF('Inputs'!$T$100=1,"spouse, no duty",IF('Inputs'!$Q$100=1,"the trust","them"))))</f>
      </c>
      <c r="D28" s="19">
        <f>IF('Inputs'!$B$101="","",IF('Needs calc'!$T$5=0,"",IF('Inputs'!$T$101=1,"spouse, no duty",IF('Inputs'!$Q$101=1,"the trust","them"))))</f>
      </c>
      <c r="E28" s="19">
        <f>IF('Inputs'!$B$102="","",IF('Needs calc'!$T$6=0,"",IF('Inputs'!$T$102=1,"spouse, no duty",IF('Inputs'!$Q$102=1,"the trust","them"))))</f>
      </c>
      <c r="F28" s="19">
        <f>IF('Inputs'!$B$103="","",IF('Needs calc'!$T$7=0,"",IF('Inputs'!$T$103=1,"spouse, no duty",IF('Inputs'!$Q$103=1,"the trust","them"))))</f>
      </c>
      <c r="G28" s="19">
        <f>IF('Inputs'!$B$104="","",IF('Needs calc'!$T$8=0,"",IF('Inputs'!$T$104=1,"spouse, no duty",IF('Inputs'!$Q$104=1,"the trust","them"))))</f>
      </c>
      <c r="H28" s="19">
        <f>IF('Inputs'!$B$105="","",IF('Needs calc'!$T$9=0,"",IF('Inputs'!$T$105=1,"spouse, no duty",IF('Inputs'!$Q$105=1,"the trust","them"))))</f>
      </c>
    </row>
    <row r="29" spans="2:8" x14ac:dyDescent="0.25">
      <c r="B29" s="7" t="s">
        <v>314</v>
      </c>
      <c r="C29" s="19">
        <f>IF('Inputs'!$B$100="","",'Needs calc'!$T$40)</f>
      </c>
      <c r="D29" s="19">
        <f>IF('Inputs'!$B$101="","",'Needs calc'!$T$52)</f>
      </c>
      <c r="E29" s="19">
        <f>IF('Inputs'!$B$102="","",'Needs calc'!$T$64)</f>
      </c>
      <c r="F29" s="19">
        <f>IF('Inputs'!$B$103="","",'Needs calc'!$T$76)</f>
      </c>
      <c r="G29" s="19">
        <f>IF('Inputs'!$B$104="","",'Needs calc'!$T$88)</f>
      </c>
      <c r="H29" s="19">
        <f>IF('Inputs'!$B$105="","",'Needs calc'!$T$100)</f>
      </c>
    </row>
    <row r="30" spans="2:8" x14ac:dyDescent="0.25">
      <c r="B30" s="7" t="s">
        <v>315</v>
      </c>
      <c r="C30" s="49">
        <f>IF('Inputs'!$B$100="","",'Needs calc'!$T$42)</f>
      </c>
      <c r="D30" s="49">
        <f>IF('Inputs'!$B$101="","",'Needs calc'!$T$54)</f>
      </c>
      <c r="E30" s="49">
        <f>IF('Inputs'!$B$102="","",'Needs calc'!$T$66)</f>
      </c>
      <c r="F30" s="49">
        <f>IF('Inputs'!$B$103="","",'Needs calc'!$T$78)</f>
      </c>
      <c r="G30" s="49">
        <f>IF('Inputs'!$B$104="","",'Needs calc'!$T$90)</f>
      </c>
      <c r="H30" s="49">
        <f>IF('Inputs'!$B$105="","",'Needs calc'!$T$102)</f>
      </c>
    </row>
    <row r="31" spans="2:8" x14ac:dyDescent="0.25">
      <c r="B31" s="7" t="s">
        <v>316</v>
      </c>
      <c r="C31" s="19">
        <f>IF('Inputs'!$B$100="","",'Needs calc'!$T$44)</f>
      </c>
      <c r="D31" s="19">
        <f>IF('Inputs'!$B$101="","",'Needs calc'!$T$56)</f>
      </c>
      <c r="E31" s="19">
        <f>IF('Inputs'!$B$102="","",'Needs calc'!$T$68)</f>
      </c>
      <c r="F31" s="19">
        <f>IF('Inputs'!$B$103="","",'Needs calc'!$T$80)</f>
      </c>
      <c r="G31" s="19">
        <f>IF('Inputs'!$B$104="","",'Needs calc'!$T$92)</f>
      </c>
      <c r="H31" s="19">
        <f>IF('Inputs'!$B$105="","",'Needs calc'!$T$104)</f>
      </c>
    </row>
    <row r="32" spans="2:8" x14ac:dyDescent="0.25">
      <c r="B32" s="7" t="s">
        <v>317</v>
      </c>
      <c r="C32" s="19">
        <f>IF('Inputs'!$B$100="","",'Needs calc'!$T$45)</f>
      </c>
      <c r="D32" s="19">
        <f>IF('Inputs'!$B$101="","",'Needs calc'!$T$57)</f>
      </c>
      <c r="E32" s="19">
        <f>IF('Inputs'!$B$102="","",'Needs calc'!$T$69)</f>
      </c>
      <c r="F32" s="19">
        <f>IF('Inputs'!$B$103="","",'Needs calc'!$T$81)</f>
      </c>
      <c r="G32" s="19">
        <f>IF('Inputs'!$B$104="","",'Needs calc'!$T$93)</f>
      </c>
      <c r="H32" s="19">
        <f>IF('Inputs'!$B$105="","",'Needs calc'!$T$105)</f>
      </c>
    </row>
    <row r="34" spans="2:3" x14ac:dyDescent="0.25">
      <c r="B34" s="7" t="s">
        <v>318</v>
      </c>
      <c r="C34" s="19">
        <f>'Workings'!$C$74</f>
      </c>
    </row>
    <row r="35" spans="2:3" x14ac:dyDescent="0.25">
      <c r="B35" s="7" t="s">
        <v>319</v>
      </c>
      <c r="C35" s="19">
        <f>IF(AND('Inputs'!$C$108="The spouse, from what they receive",SUM('Inputs'!$O$100:$O$105)&gt;0,OR(LEFT('Inputs'!$C$13,7)="Married",'Inputs'!$C$13="Life partner",'Inputs'!$C$13="Civil Union")),1,0)*MAX(0,'Needs calc'!$C$27)</f>
      </c>
    </row>
    <row r="36" ht="27" customHeight="1" spans="2:3" x14ac:dyDescent="0.25">
      <c r="B36" s="7" t="s">
        <v>320</v>
      </c>
      <c r="C36" s="19">
        <f>'Needs calc'!$T$10</f>
      </c>
    </row>
    <row r="37" spans="2:3" x14ac:dyDescent="0.25">
      <c r="B37" s="7" t="s">
        <v>321</v>
      </c>
      <c r="C37" s="19">
        <f>'Needs calc'!$T$27</f>
      </c>
    </row>
    <row r="38" ht="27" customHeight="1" spans="2:3" x14ac:dyDescent="0.25">
      <c r="B38" s="7" t="s">
        <v>322</v>
      </c>
      <c r="C38" s="19">
        <f>IF(AND(OR(LEFT('Inputs'!$C$13,7)="Married",'Inputs'!$C$13="Life partner",'Inputs'!$C$13="Civil Union"),'Workings'!$C$74&gt;0),'Workings'!$C$74,0)</f>
      </c>
    </row>
    <row r="39" spans="2:3" x14ac:dyDescent="0.25">
      <c r="B39" s="7" t="s">
        <v>323</v>
      </c>
      <c r="C39" s="19">
        <f>'Needs calc'!$T$17</f>
      </c>
    </row>
    <row r="40" spans="2:3" x14ac:dyDescent="0.25">
      <c r="B40" s="7" t="s">
        <v>324</v>
      </c>
      <c r="C40" s="46">
        <f>'Needs calc'!$T$18</f>
      </c>
    </row>
    <row r="41" spans="2:3" x14ac:dyDescent="0.25">
      <c r="B41" s="7" t="s">
        <v>325</v>
      </c>
      <c r="C41" s="19">
        <f>'Needs calc'!$T$26</f>
      </c>
    </row>
    <row r="42" spans="2:3" x14ac:dyDescent="0.25">
      <c r="B42" s="30" t="s">
        <v>326</v>
      </c>
      <c r="C42" s="44">
        <f>('Needs calc'!$T$10+('Needs calc'!$T$4+'Needs calc'!$T$5+'Needs calc'!$T$6+'Needs calc'!$T$7+'Needs calc'!$T$8+'Needs calc'!$T$9))</f>
      </c>
    </row>
    <row r="44" ht="18" customHeight="1" spans="2:9" x14ac:dyDescent="0.25">
      <c r="B44" s="5" t="s">
        <v>327</v>
      </c>
      <c r="C44" s="6"/>
      <c r="D44" s="6"/>
      <c r="E44" s="6"/>
      <c r="F44" s="6"/>
      <c r="G44" s="6"/>
      <c r="H44" s="6"/>
      <c r="I44" s="6"/>
    </row>
    <row r="45" ht="20" customHeight="1" spans="2:8" x14ac:dyDescent="0.25">
      <c r="B45" s="12" t="s">
        <v>188</v>
      </c>
      <c r="C45" s="13">
        <f>IF('Inputs'!$B$100="","",'Inputs'!$B$100)</f>
      </c>
      <c r="D45" s="13">
        <f>IF('Inputs'!$B$101="","",'Inputs'!$B$101)</f>
      </c>
      <c r="E45" s="13">
        <f>IF('Inputs'!$B$102="","",'Inputs'!$B$102)</f>
      </c>
      <c r="F45" s="13">
        <f>IF('Inputs'!$B$103="","",'Inputs'!$B$103)</f>
      </c>
      <c r="G45" s="13">
        <f>IF('Inputs'!$B$104="","",'Inputs'!$B$104)</f>
      </c>
      <c r="H45" s="13">
        <f>IF('Inputs'!$B$105="","",'Inputs'!$B$105)</f>
      </c>
    </row>
    <row r="46" spans="2:8" x14ac:dyDescent="0.25">
      <c r="B46" s="7" t="s">
        <v>328</v>
      </c>
      <c r="C46" s="19">
        <f>IF('Inputs'!$B$100="","",'Needs years'!$C$11)</f>
      </c>
      <c r="D46" s="19">
        <f>IF('Inputs'!$B$101="","",'Needs years'!$C$67)</f>
      </c>
      <c r="E46" s="19">
        <f>IF('Inputs'!$B$102="","",'Needs years'!$C$123)</f>
      </c>
      <c r="F46" s="19">
        <f>IF('Inputs'!$B$103="","",'Needs years'!$C$179)</f>
      </c>
      <c r="G46" s="19">
        <f>IF('Inputs'!$B$104="","",'Needs years'!$C$235)</f>
      </c>
      <c r="H46" s="19">
        <f>IF('Inputs'!$B$105="","",'Needs years'!$C$291)</f>
      </c>
    </row>
    <row r="47" spans="2:8" x14ac:dyDescent="0.25">
      <c r="B47" s="7" t="s">
        <v>329</v>
      </c>
      <c r="C47" s="19">
        <f>IF('Inputs'!$B$100="","",'Needs years'!$C$12)</f>
      </c>
      <c r="D47" s="19">
        <f>IF('Inputs'!$B$101="","",'Needs years'!$C$68)</f>
      </c>
      <c r="E47" s="19">
        <f>IF('Inputs'!$B$102="","",'Needs years'!$C$124)</f>
      </c>
      <c r="F47" s="19">
        <f>IF('Inputs'!$B$103="","",'Needs years'!$C$180)</f>
      </c>
      <c r="G47" s="19">
        <f>IF('Inputs'!$B$104="","",'Needs years'!$C$236)</f>
      </c>
      <c r="H47" s="19">
        <f>IF('Inputs'!$B$105="","",'Needs years'!$C$292)</f>
      </c>
    </row>
    <row r="48" spans="2:8" x14ac:dyDescent="0.25">
      <c r="B48" s="7" t="s">
        <v>330</v>
      </c>
      <c r="C48" s="19">
        <f>IF('Inputs'!$B$100="","",'Needs years'!$C$13)</f>
      </c>
      <c r="D48" s="19">
        <f>IF('Inputs'!$B$101="","",'Needs years'!$C$69)</f>
      </c>
      <c r="E48" s="19">
        <f>IF('Inputs'!$B$102="","",'Needs years'!$C$125)</f>
      </c>
      <c r="F48" s="19">
        <f>IF('Inputs'!$B$103="","",'Needs years'!$C$181)</f>
      </c>
      <c r="G48" s="19">
        <f>IF('Inputs'!$B$104="","",'Needs years'!$C$237)</f>
      </c>
      <c r="H48" s="19">
        <f>IF('Inputs'!$B$105="","",'Needs years'!$C$293)</f>
      </c>
    </row>
    <row r="50" ht="96" customHeight="1" spans="2:9" x14ac:dyDescent="0.25">
      <c r="B50" s="36">
        <f>"Basis: monthly needs are net, paid monthly in advance from the date of death and rising at each anniversary. Capital for a person earns "&amp;FIXED('Inputs'!$H$136,1)&amp;"% a year before tax as a unit trust, taxed in their hands at their marginal rate m (their own income plus the taxable part of what the capital earns): E(m) = "&amp;FIXED('Inputs'!$H$139,2)&amp;"% x m + "&amp;FIXED('Inputs'!$H$140,2)&amp;"% x "&amp;FIXED('Inputs'!$H$142,0)&amp;"% + "&amp;FIXED('Inputs'!$H$141,2)&amp;"% x "&amp;FIXED('Inputs'!$C$146,0)&amp;"% x m, less trustee fees of "&amp;FIXED('Inputs'!$H$137,1)&amp;"%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"&amp;FIXED('Inputs'!$H$136,1)&amp;"% a year, and that person pays the duty on it unless it goes to the spouse (s.4(q)). Income the person will receive anyway (section 6b: a pension that starts later, their own earnings until they stop, a rental) is set against their need in each year it pays, in today's money rising from today; it is not a policy, so it carries no estate duty and no executor's fee, and it is not cash for the executor.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50" s="36"/>
      <c r="D50" s="36"/>
      <c r="E50" s="36"/>
      <c r="F50" s="36"/>
      <c r="G50" s="36"/>
      <c r="H50" s="36"/>
      <c r="I50" s="36"/>
    </row>
  </sheetData>
  <sheetProtection sheet="1" formatRows="0"/>
  <mergeCells count="3">
    <mergeCell ref="B1:I1"/>
    <mergeCell ref="B2:I2"/>
    <mergeCell ref="B50:I50"/>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53</v>
      </c>
      <c r="C1" s="1"/>
      <c r="D1" s="1"/>
      <c r="E1" s="1"/>
      <c r="F1" s="1"/>
    </row>
    <row r="2" ht="15" customHeight="1" spans="2:6" x14ac:dyDescent="0.25">
      <c r="B2" s="2" t="s">
        <v>54</v>
      </c>
      <c r="C2" s="2"/>
      <c r="D2" s="2"/>
      <c r="E2" s="2"/>
      <c r="F2" s="2"/>
    </row>
    <row r="3" spans="2:6" x14ac:dyDescent="0.25">
      <c r="B3" s="24">
        <f>IF(OR(COUNTIF('Inputs'!$B$173:$B$186,"✗ Full FNA*")&gt;0,LEFT('Inputs'!$B$162,1)="✗"),"NOT FOR THE CLIENT: this case needs the full FNA (see Checks on Inputs)","")</f>
      </c>
      <c r="C3" s="24"/>
      <c r="D3" s="24"/>
      <c r="E3" s="24"/>
      <c r="F3" s="24"/>
    </row>
    <row r="4" ht="20" customHeight="1" spans="2:2" x14ac:dyDescent="0.25">
      <c r="B4" s="3" t="s">
        <v>202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calc'!$C$57&gt;0)+('Needs calc'!$C$69&gt;0)+('Needs calc'!$C$81&gt;0)+('Needs calc'!$C$93&gt;0)+('Needs calc'!$C$105&gt;0))=0,"everyone who depends on you would have what you want for them.",'Needs years'!$C$19&amp;'Needs years'!$C$75&amp;'Needs years'!$C$131&amp;'Needs years'!$C$187&amp;'Needs years'!$C$243&amp;'Needs years'!$C$299&amp;IF((('Needs calc'!$C$45&gt;0)+('Needs calc'!$C$57&gt;0)+('Needs calc'!$C$69&gt;0)+('Needs calc'!$C$81&gt;0)+('Needs calc'!$C$93&gt;0)+('Needs calc'!$C$105&gt;0))&lt;COUNTIF('Inputs'!$B$100:$B$105,"?*")-SUM('Inputs'!$U$100:$U$105),"Everyone else is provided for.",""))))</f>
      </c>
      <c r="C7" s="25"/>
      <c r="D7" s="25"/>
      <c r="E7" s="25"/>
      <c r="F7" s="25"/>
    </row>
    <row r="8" ht="30" customHeight="1" spans="2:6" x14ac:dyDescent="0.25">
      <c r="B8" s="25">
        <f>IF('Workings'!$C$74&gt;0,"Your estate itself would be short of cash by about R "&amp;FIXED(ROUND('Workings'!$C$74,-3),0)&amp;" to pay its debts and costs"&amp;IF(IF(AND('Inputs'!$C$108="The spouse, from what they receive",SUM('Inputs'!$O$100:$O$105)&gt;0,OR(LEFT('Inputs'!$C$13,7)="Married",'Inputs'!$C$13="Life partner",'Inputs'!$C$13="Civil Union")),1,0)=1,". "&amp;'Needs years'!$F$1&amp;" pays it from what they receive, and it is in the table below.","."),IF('Workings'!$C$75&gt;0,"Your estate itself has enough cash to pay its debts and costs, with about R "&amp;FIXED(ROUND('Workings'!$C$75,-3),0)&amp;" left over for your heirs.","Your estate itself has enough cash to pay its debts and costs once your executor sells about R "&amp;FIXED(ROUND('Workings'!$C$67,-3),0)&amp;" of your investments; the rest passes as it is."))</f>
      </c>
      <c r="C8" s="25"/>
      <c r="D8" s="25"/>
      <c r="E8" s="25"/>
      <c r="F8" s="25"/>
    </row>
    <row r="10" spans="2:6" x14ac:dyDescent="0.25">
      <c r="B10" s="26">
        <f>IF(('Needs calc'!$T$10+('Needs calc'!$T$4+'Needs calc'!$T$5+'Needs calc'!$T$6+'Needs calc'!$T$7+'Needs calc'!$T$8+'Needs calc'!$T$9))&gt;0,"NEW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below")),"on the needs you gave us, as your policies and will instructions stand today")</f>
      </c>
      <c r="C12" s="28"/>
      <c r="D12" s="28"/>
      <c r="E12" s="28"/>
      <c r="F12" s="28"/>
    </row>
    <row r="14" ht="18" customHeight="1" spans="2:6" x14ac:dyDescent="0.25">
      <c r="B14" s="12" t="s">
        <v>203</v>
      </c>
      <c r="C14" s="12"/>
      <c r="D14" s="12"/>
      <c r="E14" s="12"/>
      <c r="F14" s="13" t="s">
        <v>204</v>
      </c>
    </row>
    <row r="15" ht="27" customHeight="1" spans="2:6" x14ac:dyDescent="0.25">
      <c r="B15" s="37">
        <f>IF(COUNTIF('Inputs'!$B$100:$B$105,"?*")=0,"No one who depends on you is recorded","Income for "&amp;('Inputs'!$X$100&amp;'Inputs'!$X$101&amp;'Inputs'!$X$102&amp;'Inputs'!$X$103&amp;'Inputs'!$X$104&amp;'Inputs'!$X$105)&amp;IF(COUNTIF('Inputs'!$B$100:$B$105,"?*")&gt;1," (each for their own years)","")&amp;IF(('Needs years'!$C$10+'Needs years'!$C$66+'Needs years'!$C$122+'Needs years'!$C$178+'Needs years'!$C$234+'Needs years'!$C$290)&gt;0,", and the once-off needs","")&amp;IF((SUM('Inputs'!$U$76:$U$81)+SUM('Inputs'!$M$114:$M$121))&gt;0,", after the income already coming in",""))</f>
      </c>
      <c r="C15" s="37"/>
      <c r="D15" s="37"/>
      <c r="E15" s="37"/>
      <c r="F15" s="15">
        <f>IF(COUNTIF('Inputs'!$B$100:$B$105,"?*")=0,0,(('Needs calc'!$C$44+'Needs calc'!$C$56+'Needs calc'!$C$68+'Needs calc'!$C$80+'Needs calc'!$C$92+'Needs calc'!$C$104)-(IF(AND('Inputs'!$C$108="The spouse, from what they receive",SUM('Inputs'!$O$100:$O$105)&gt;0,OR(LEFT('Inputs'!$C$13,7)="Married",'Inputs'!$C$13="Life partner",'Inputs'!$C$13="Civil Union")),1,0)*MAX(0,'Needs calc'!$C$27))))</f>
      </c>
    </row>
    <row r="16" ht="27" customHeight="1" spans="2:6" x14ac:dyDescent="0.25">
      <c r="B16" s="37">
        <f>IF(('Workings'!$C$74)&gt;0,"Cash your executor needs: debts and costs of R "&amp;FIXED(ROUND('Workings'!$C$65,-3),0)&amp;", less R "&amp;FIXED(ROUND('Workings'!$C$73,-3),0)&amp;" cash in your estate","Cash your executor needs: none, your estate has enough cash")</f>
      </c>
      <c r="C16" s="37"/>
      <c r="D16" s="37"/>
      <c r="E16" s="37"/>
      <c r="F16" s="15">
        <f>('Workings'!$C$74)</f>
      </c>
    </row>
    <row r="17" spans="2:6" x14ac:dyDescent="0.25">
      <c r="B17" s="30" t="s">
        <v>205</v>
      </c>
      <c r="C17" s="30"/>
      <c r="D17" s="30"/>
      <c r="E17" s="30"/>
      <c r="F17" s="31">
        <f>((('Needs calc'!$C$44+'Needs calc'!$C$56+'Needs calc'!$C$68+'Needs calc'!$C$80+'Needs calc'!$C$92+'Needs calc'!$C$104)-(IF(AND('Inputs'!$C$108="The spouse, from what they receive",SUM('Inputs'!$O$100:$O$105)&gt;0,OR(LEFT('Inputs'!$C$13,7)="Married",'Inputs'!$C$13="Life partner",'Inputs'!$C$13="Civil Union")),1,0)*MAX(0,'Needs calc'!$C$27)))+('Workings'!$C$74))</f>
      </c>
    </row>
    <row r="18" ht="18" customHeight="1" spans="2:6" x14ac:dyDescent="0.25">
      <c r="B18" s="12" t="s">
        <v>206</v>
      </c>
      <c r="C18" s="12"/>
      <c r="D18" s="12"/>
      <c r="E18" s="12"/>
      <c r="F18" s="13" t="s">
        <v>188</v>
      </c>
    </row>
    <row r="19" spans="2:6" x14ac:dyDescent="0.25">
      <c r="B19" s="37" t="s">
        <v>207</v>
      </c>
      <c r="C19" s="37"/>
      <c r="D19" s="37"/>
      <c r="E19" s="37"/>
      <c r="F19" s="15">
        <f>IF(COUNTIF('Inputs'!$B$100:$B$105,"?*")=0,0,(SUMPRODUCT((COUNTIF('Inputs'!$B$100:$B$105,'Inputs'!$F$59:$F$70)&gt;0)*('Inputs'!$F$59:$F$70&lt;&gt;"")*('Inputs'!$C$59:$C$70&lt;&gt;"Estate")*('Inputs'!$C$59:$C$70&lt;&gt;""),('Inputs'!$D$59:$D$70-'Inputs'!$R$59:$R$70*ROUND('Needs calc'!$C$18*'Inputs'!$D$59:$D$70,2)))+IF('Needs calc'!$C$30&gt;0,SUMPRODUCT('Inputs'!$Q$59:$Q$70,('Inputs'!$D$59:$D$70-'Inputs'!$R$59:$R$70*ROUND('Needs calc'!$C$18*'Inputs'!$D$59:$D$70,2))),0)))</f>
      </c>
    </row>
    <row r="20" spans="2:6" x14ac:dyDescent="0.25">
      <c r="B20" s="37" t="s">
        <v>208</v>
      </c>
      <c r="C20" s="37"/>
      <c r="D20" s="37"/>
      <c r="E20" s="37"/>
      <c r="F20" s="15">
        <f>IF(COUNTIF('Inputs'!$B$100:$B$105,"?*")=0,0,(SUMPRODUCT((COUNTIF('Inputs'!$B$100:$B$105,'Inputs'!$F$87:$F$94)&gt;0)*('Inputs'!$F$87:$F$94&lt;&gt;"")*'Inputs'!$J$87:$J$94)+IF('Needs calc'!$C$30&gt;0,SUMPRODUCT(('Inputs'!$F$87:$F$94="The children's trust")*'Inputs'!$J$87:$J$94),0)))</f>
      </c>
    </row>
    <row r="21" spans="2:6" x14ac:dyDescent="0.25">
      <c r="B21" s="37" t="s">
        <v>209</v>
      </c>
      <c r="C21" s="37"/>
      <c r="D21" s="37"/>
      <c r="E21" s="37"/>
      <c r="F21" s="15">
        <f>IF(COUNTIF('Inputs'!$B$100:$B$105,"?*")=0,0,(('Needs calc'!$C$47+'Needs calc'!$C$59+'Needs calc'!$C$71+'Needs calc'!$C$83+'Needs calc'!$C$95+'Needs calc'!$C$107)-(SUMPRODUCT((COUNTIF('Inputs'!$B$100:$B$105,'Inputs'!$F$59:$F$70)&gt;0)*('Inputs'!$F$59:$F$70&lt;&gt;"")*('Inputs'!$C$59:$C$70&lt;&gt;"Estate")*('Inputs'!$C$59:$C$70&lt;&gt;""),('Inputs'!$D$59:$D$70-'Inputs'!$R$59:$R$70*ROUND('Needs calc'!$C$18*'Inputs'!$D$59:$D$70,2)))+IF('Needs calc'!$C$30&gt;0,SUMPRODUCT('Inputs'!$Q$59:$Q$70,('Inputs'!$D$59:$D$70-'Inputs'!$R$59:$R$70*ROUND('Needs calc'!$C$18*'Inputs'!$D$59:$D$70,2))),0))-(SUMPRODUCT((COUNTIF('Inputs'!$B$100:$B$105,'Inputs'!$F$87:$F$94)&gt;0)*('Inputs'!$F$87:$F$94&lt;&gt;"")*'Inputs'!$J$87:$J$94)+IF('Needs calc'!$C$30&gt;0,SUMPRODUCT(('Inputs'!$F$87:$F$94="The children's trust")*'Inputs'!$J$87:$J$94),0))))</f>
      </c>
    </row>
    <row r="22" spans="2:6" x14ac:dyDescent="0.25">
      <c r="B22" s="30" t="s">
        <v>210</v>
      </c>
      <c r="C22" s="30"/>
      <c r="D22" s="30"/>
      <c r="E22" s="30"/>
      <c r="F22" s="31">
        <f>IF(COUNTIF('Inputs'!$B$100:$B$105,"?*")=0,0,('Needs calc'!$C$47+'Needs calc'!$C$59+'Needs calc'!$C$71+'Needs calc'!$C$83+'Needs calc'!$C$95+'Needs calc'!$C$107))</f>
      </c>
    </row>
    <row r="23" spans="2:6" x14ac:dyDescent="0.25">
      <c r="B23" s="30">
        <f>IF(((('Needs calc'!$C$44+'Needs calc'!$C$56+'Needs calc'!$C$68+'Needs calc'!$C$80+'Needs calc'!$C$92+'Needs calc'!$C$104)-(IF(AND('Inputs'!$C$108="The spouse, from what they receive",SUM('Inputs'!$O$100:$O$105)&gt;0,OR(LEFT('Inputs'!$C$13,7)="Married",'Inputs'!$C$13="Life partner",'Inputs'!$C$13="Civil Union")),1,0)*MAX(0,'Needs calc'!$C$27)))+('Workings'!$C$74))&gt;('Needs calc'!$C$47+'Needs calc'!$C$59+'Needs calc'!$C$71+'Needs calc'!$C$83+'Needs calc'!$C$95+'Needs calc'!$C$107),"Shortfall","More than needed")</f>
      </c>
      <c r="C23" s="30"/>
      <c r="D23" s="30"/>
      <c r="E23" s="30"/>
      <c r="F23" s="31">
        <f>ABS(((('Needs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f>
      </c>
    </row>
    <row r="24" ht="27" customHeight="1" spans="2:6" x14ac:dyDescent="0.25">
      <c r="B24" s="38">
        <f>IF(('Needs calc'!$T$10+('Needs calc'!$T$4+'Needs calc'!$T$5+'Needs calc'!$T$6+'Needs calc'!$T$7+'Needs calc'!$T$8+'Needs calc'!$T$9))&gt;0,"New life cover needed: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below")),"New life cover needed: none")</f>
      </c>
      <c r="C24" s="38"/>
      <c r="D24" s="38"/>
      <c r="E24" s="38"/>
      <c r="F24" s="39">
        <f>('Needs calc'!$T$10+('Needs calc'!$T$4+'Needs calc'!$T$5+'Needs calc'!$T$6+'Needs calc'!$T$7+'Needs calc'!$T$8+'Needs calc'!$T$9))</f>
      </c>
    </row>
    <row r="25" ht="15" customHeight="1" spans="2:6" x14ac:dyDescent="0.25">
      <c r="B25" s="40">
        <f>IF(ABS(MAX(0,((('Needs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calc'!$C$107))-('Needs calc'!$T$10+('Needs calc'!$T$4+'Needs calc'!$T$5+'Needs calc'!$T$6+'Needs calc'!$T$7+'Needs calc'!$T$8+'Needs calc'!$T$9)))&lt;1000,"",TRIM("The new cover is not exactly the shortfall: "&amp;IF('Needs calc'!$T$10&gt;0,"cover paid into your estate is charged executor's fees; ","")&amp;IF((MAX(0,'Needs calc'!$C$45)+MAX(0,'Needs calc'!$C$57)+MAX(0,'Needs calc'!$C$69)+MAX(0,'Needs calc'!$C$81)+MAX(0,'Needs calc'!$C$93)+MAX(0,'Needs calc'!$C$105)+IF(IF(AND('Inputs'!$C$108="The spouse, from what they receive",SUM('Inputs'!$O$100:$O$105)&gt;0,OR(LEFT('Inputs'!$C$13,7)="Married",'Inputs'!$C$13="Life partner",'Inputs'!$C$13="Civil Union")),1,0)=1,0,('Workings'!$C$74)))&gt;MAX(0,((('Needs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calc'!$C$107))+1000,"what one person has over cannot pay for someone else's need; ","")&amp;"the new money also changes the tax on what it earns"&amp;IF('Needs calc'!$T$17&gt;'Needs calc'!$C$17+0.005,", and it brings estate duty","")&amp;"."))</f>
      </c>
      <c r="C25" s="40"/>
      <c r="D25" s="40"/>
      <c r="E25" s="40"/>
      <c r="F25" s="40"/>
    </row>
    <row r="27" ht="20" customHeight="1" spans="2:6" x14ac:dyDescent="0.25">
      <c r="B27" s="12" t="s">
        <v>211</v>
      </c>
      <c r="C27" s="13">
        <f>IF('Inputs'!$B$100="","",'Inputs'!$B$100)</f>
      </c>
      <c r="D27" s="13">
        <f>IF('Inputs'!$B$101="","",'Inputs'!$B$101)</f>
      </c>
      <c r="E27" s="13">
        <f>IF('Inputs'!$B$102="","",'Inputs'!$B$102)</f>
      </c>
      <c r="F27" s="13">
        <f>IF('Inputs'!$B$103="","",'Inputs'!$B$103)</f>
      </c>
    </row>
    <row r="28" spans="2:6" x14ac:dyDescent="0.25">
      <c r="B28" s="7" t="s">
        <v>212</v>
      </c>
      <c r="C28" s="15">
        <f>IF('Inputs'!$B$100="","",N('Inputs'!$E$100))</f>
      </c>
      <c r="D28" s="15">
        <f>IF('Inputs'!$B$101="","",N('Inputs'!$E$101))</f>
      </c>
      <c r="E28" s="15">
        <f>IF('Inputs'!$B$102="","",N('Inputs'!$E$102))</f>
      </c>
      <c r="F28" s="15">
        <f>IF('Inputs'!$B$103="","",N('Inputs'!$E$103))</f>
      </c>
    </row>
    <row r="29" spans="2:6" x14ac:dyDescent="0.25">
      <c r="B29" s="7" t="s">
        <v>213</v>
      </c>
      <c r="C29" s="34">
        <f>IF('Inputs'!$B$100="","",IF('Needs years'!$C$6=0,"",'Needs years'!$C$6&amp;" years, rising "&amp;IF(ROUND(ROUND('Needs years'!$C$8*100,2),0)=ROUND('Needs years'!$C$8*100,2),FIXED(ROUND('Needs years'!$C$8*100,2),0),IF(ROUND(ROUND('Needs years'!$C$8*100,2),1)=ROUND('Needs years'!$C$8*100,2),FIXED(ROUND('Needs years'!$C$8*100,2),1),FIXED(ROUND('Needs years'!$C$8*100,2),2)))&amp;"%"))</f>
      </c>
      <c r="D29" s="34">
        <f>IF('Inputs'!$B$101="","",IF('Needs years'!$C$62=0,"",'Needs years'!$C$62&amp;" years, rising "&amp;IF(ROUND(ROUND('Needs years'!$C$64*100,2),0)=ROUND('Needs years'!$C$64*100,2),FIXED(ROUND('Needs years'!$C$64*100,2),0),IF(ROUND(ROUND('Needs years'!$C$64*100,2),1)=ROUND('Needs years'!$C$64*100,2),FIXED(ROUND('Needs years'!$C$64*100,2),1),FIXED(ROUND('Needs years'!$C$64*100,2),2)))&amp;"%"))</f>
      </c>
      <c r="E29" s="34">
        <f>IF('Inputs'!$B$102="","",IF('Needs years'!$C$118=0,"",'Needs years'!$C$118&amp;" years, rising "&amp;IF(ROUND(ROUND('Needs years'!$C$120*100,2),0)=ROUND('Needs years'!$C$120*100,2),FIXED(ROUND('Needs years'!$C$120*100,2),0),IF(ROUND(ROUND('Needs years'!$C$120*100,2),1)=ROUND('Needs years'!$C$120*100,2),FIXED(ROUND('Needs years'!$C$120*100,2),1),FIXED(ROUND('Needs years'!$C$120*100,2),2)))&amp;"%"))</f>
      </c>
      <c r="F29" s="34">
        <f>IF('Inputs'!$B$103="","",IF('Needs years'!$C$174=0,"",'Needs years'!$C$174&amp;" years, rising "&amp;IF(ROUND(ROUND('Needs years'!$C$176*100,2),0)=ROUND('Needs years'!$C$176*100,2),FIXED(ROUND('Needs years'!$C$176*100,2),0),IF(ROUND(ROUND('Needs years'!$C$176*100,2),1)=ROUND('Needs years'!$C$176*100,2),FIXED(ROUND('Needs years'!$C$176*100,2),1),FIXED(ROUND('Needs years'!$C$176*100,2),2)))&amp;"%"))</f>
      </c>
    </row>
    <row r="30" spans="2:6" x14ac:dyDescent="0.25">
      <c r="B30" s="7" t="s">
        <v>214</v>
      </c>
      <c r="C30" s="15">
        <f>IF('Inputs'!$B$100="","",'Needs years'!$C$10)</f>
      </c>
      <c r="D30" s="15">
        <f>IF('Inputs'!$B$101="","",'Needs years'!$C$66)</f>
      </c>
      <c r="E30" s="15">
        <f>IF('Inputs'!$B$102="","",'Needs years'!$C$122)</f>
      </c>
      <c r="F30" s="15">
        <f>IF('Inputs'!$B$103="","",'Needs years'!$C$178)</f>
      </c>
    </row>
    <row r="31" spans="2:6" x14ac:dyDescent="0.25">
      <c r="B31" s="30" t="s">
        <v>215</v>
      </c>
      <c r="C31" s="31">
        <f>IF('Inputs'!$B$100="","",'Needs calc'!$C$50)</f>
      </c>
      <c r="D31" s="31">
        <f>IF('Inputs'!$B$101="","",'Needs calc'!$C$62)</f>
      </c>
      <c r="E31" s="31">
        <f>IF('Inputs'!$B$102="","",'Needs calc'!$C$74)</f>
      </c>
      <c r="F31" s="31">
        <f>IF('Inputs'!$B$103="","",'Needs calc'!$C$86)</f>
      </c>
    </row>
    <row r="32" spans="2:6" x14ac:dyDescent="0.25">
      <c r="B32" s="30" t="s">
        <v>216</v>
      </c>
      <c r="C32" s="31">
        <f>IF('Inputs'!$B$100="","",IF('Inputs'!$U$100=1,"with "&amp;'Needs years'!$C$1,IF('Needs calc'!$T$4&gt;0,'Needs calc'!$T$4,"None needed")))</f>
      </c>
      <c r="D32" s="31">
        <f>IF('Inputs'!$B$101="","",IF('Inputs'!$U$101=1,"with "&amp;'Needs years'!$C$1,IF('Needs calc'!$T$5&gt;0,'Needs calc'!$T$5,"None needed")))</f>
      </c>
      <c r="E32" s="31">
        <f>IF('Inputs'!$B$102="","",IF('Inputs'!$U$102=1,"with "&amp;'Needs years'!$C$1,IF('Needs calc'!$T$6&gt;0,'Needs calc'!$T$6,"None needed")))</f>
      </c>
      <c r="F32" s="31">
        <f>IF('Inputs'!$B$103="","",IF('Inputs'!$U$103=1,"with "&amp;'Needs years'!$C$1,IF('Needs calc'!$T$7&gt;0,'Needs calc'!$T$7,"None needed")))</f>
      </c>
    </row>
    <row r="33" ht="15" customHeight="1" spans="2:6" x14ac:dyDescent="0.25">
      <c r="B33" s="41">
        <f>IF((SUM('Inputs'!$U$76:$U$81)+SUM('Inputs'!$M$114:$M$121))=0,"","Income already coming in, which the figures above have taken off")</f>
      </c>
      <c r="C33" s="41"/>
      <c r="D33" s="41"/>
      <c r="E33" s="41"/>
      <c r="F33" s="41"/>
    </row>
    <row r="34" ht="13" customHeight="1" spans="2:6" x14ac:dyDescent="0.25">
      <c r="B34" s="42">
        <f>IF(IFERROR(INDEX('Inputs'!$W$76:$W$81,MATCH(1,'Inputs'!$V$76:$V$81,0)),IFERROR(INDEX('Inputs'!$P$114:$P$121,MATCH(1,'Inputs'!$N$114:$N$121,0)),""))="","","   •   "&amp;IFERROR(INDEX('Inputs'!$W$76:$W$81,MATCH(1,'Inputs'!$V$76:$V$81,0)),IFERROR(INDEX('Inputs'!$P$114:$P$121,MATCH(1,'Inputs'!$N$114:$N$121,0)),""))&amp;IF(AND(1=5,(SUM('Inputs'!$U$76:$U$81)+SUM('Inputs'!$M$114:$M$121))&gt;5),"   (and "&amp;FIXED((SUM('Inputs'!$U$76:$U$81)+SUM('Inputs'!$M$114:$M$121))-5,0)&amp;" more on the workings page)",""))</f>
      </c>
      <c r="C34" s="42"/>
      <c r="D34" s="42"/>
      <c r="E34" s="42"/>
      <c r="F34" s="42"/>
    </row>
    <row r="35" ht="13" customHeight="1" spans="2:6" x14ac:dyDescent="0.25">
      <c r="B35" s="42">
        <f>IF(IFERROR(INDEX('Inputs'!$W$76:$W$81,MATCH(2,'Inputs'!$V$76:$V$81,0)),IFERROR(INDEX('Inputs'!$P$114:$P$121,MATCH(2,'Inputs'!$N$114:$N$121,0)),""))="","","   •   "&amp;IFERROR(INDEX('Inputs'!$W$76:$W$81,MATCH(2,'Inputs'!$V$76:$V$81,0)),IFERROR(INDEX('Inputs'!$P$114:$P$121,MATCH(2,'Inputs'!$N$114:$N$121,0)),""))&amp;IF(AND(2=5,(SUM('Inputs'!$U$76:$U$81)+SUM('Inputs'!$M$114:$M$121))&gt;5),"   (and "&amp;FIXED((SUM('Inputs'!$U$76:$U$81)+SUM('Inputs'!$M$114:$M$121))-5,0)&amp;" more on the workings page)",""))</f>
      </c>
      <c r="C35" s="42"/>
      <c r="D35" s="42"/>
      <c r="E35" s="42"/>
      <c r="F35" s="42"/>
    </row>
    <row r="36" ht="13" customHeight="1" spans="2:6" x14ac:dyDescent="0.25">
      <c r="B36" s="42">
        <f>IF(IFERROR(INDEX('Inputs'!$W$76:$W$81,MATCH(3,'Inputs'!$V$76:$V$81,0)),IFERROR(INDEX('Inputs'!$P$114:$P$121,MATCH(3,'Inputs'!$N$114:$N$121,0)),""))="","","   •   "&amp;IFERROR(INDEX('Inputs'!$W$76:$W$81,MATCH(3,'Inputs'!$V$76:$V$81,0)),IFERROR(INDEX('Inputs'!$P$114:$P$121,MATCH(3,'Inputs'!$N$114:$N$121,0)),""))&amp;IF(AND(3=5,(SUM('Inputs'!$U$76:$U$81)+SUM('Inputs'!$M$114:$M$121))&gt;5),"   (and "&amp;FIXED((SUM('Inputs'!$U$76:$U$81)+SUM('Inputs'!$M$114:$M$121))-5,0)&amp;" more on the workings page)",""))</f>
      </c>
      <c r="C36" s="42"/>
      <c r="D36" s="42"/>
      <c r="E36" s="42"/>
      <c r="F36" s="42"/>
    </row>
    <row r="37" ht="13" customHeight="1" spans="2:6" x14ac:dyDescent="0.25">
      <c r="B37" s="42">
        <f>IF(IFERROR(INDEX('Inputs'!$W$76:$W$81,MATCH(4,'Inputs'!$V$76:$V$81,0)),IFERROR(INDEX('Inputs'!$P$114:$P$121,MATCH(4,'Inputs'!$N$114:$N$121,0)),""))="","","   •   "&amp;IFERROR(INDEX('Inputs'!$W$76:$W$81,MATCH(4,'Inputs'!$V$76:$V$81,0)),IFERROR(INDEX('Inputs'!$P$114:$P$121,MATCH(4,'Inputs'!$N$114:$N$121,0)),""))&amp;IF(AND(4=5,(SUM('Inputs'!$U$76:$U$81)+SUM('Inputs'!$M$114:$M$121))&gt;5),"   (and "&amp;FIXED((SUM('Inputs'!$U$76:$U$81)+SUM('Inputs'!$M$114:$M$121))-5,0)&amp;" more on the workings page)",""))</f>
      </c>
      <c r="C37" s="42"/>
      <c r="D37" s="42"/>
      <c r="E37" s="42"/>
      <c r="F37" s="42"/>
    </row>
    <row r="38" ht="13" customHeight="1" spans="2:6" x14ac:dyDescent="0.25">
      <c r="B38" s="42">
        <f>IF(IFERROR(INDEX('Inputs'!$W$76:$W$81,MATCH(5,'Inputs'!$V$76:$V$81,0)),IFERROR(INDEX('Inputs'!$P$114:$P$121,MATCH(5,'Inputs'!$N$114:$N$121,0)),""))="","","   •   "&amp;IFERROR(INDEX('Inputs'!$W$76:$W$81,MATCH(5,'Inputs'!$V$76:$V$81,0)),IFERROR(INDEX('Inputs'!$P$114:$P$121,MATCH(5,'Inputs'!$N$114:$N$121,0)),""))&amp;IF(AND(5=5,(SUM('Inputs'!$U$76:$U$81)+SUM('Inputs'!$M$114:$M$121))&gt;5),"   (and "&amp;FIXED((SUM('Inputs'!$U$76:$U$81)+SUM('Inputs'!$M$114:$M$121))-5,0)&amp;" more on the workings page)",""))</f>
      </c>
      <c r="C38" s="42"/>
      <c r="D38" s="42"/>
      <c r="E38" s="42"/>
      <c r="F38" s="42"/>
    </row>
    <row r="40" ht="40" customHeight="1" spans="2:6" x14ac:dyDescent="0.25">
      <c r="B40" s="42">
        <f>TRIM(IF(COUNTIF('Inputs'!$B$100:$B$105,"?*")&gt;4,"The others who depend on you are on the workings page. ","")&amp;IF(SUM('Inputs'!$U$100:$U$105)&gt;0,"The children's needs are added to "&amp;'Needs years'!$C$1&amp;"'s, who provides for them.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above.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them","")&amp;".","")&amp;IF(SUMPRODUCT(('Inputs'!$D$114:$D$121&gt;0)*1)&gt;0," Income they will still receive is set against their need in each year it pays. It is not a policy, so it carries no estate duty.",""))</f>
      </c>
      <c r="C40" s="42"/>
      <c r="D40" s="42"/>
      <c r="E40" s="42"/>
      <c r="F40" s="42"/>
    </row>
    <row r="42" ht="15" customHeight="1" spans="2:6" x14ac:dyDescent="0.25">
      <c r="B42" s="42">
        <f>IF(SUMPRODUCT(('Inputs'!$H$100:$H$105="Yes")*('Inputs'!$B$100:$B$105&lt;&gt;""))&gt;0,"Money held in the children's trust is charged trustee fees of "&amp;IF(ROUND('Inputs'!$H$137,0)='Inputs'!$H$137,FIXED('Inputs'!$H$137,0),IF(ROUND('Inputs'!$H$137,1)='Inputs'!$H$137,FIXED('Inputs'!$H$137,1),FIXED('Inputs'!$H$137,2)))&amp;"%"&amp;" a year; the capital needed above includes them.","")</f>
      </c>
      <c r="C42" s="42"/>
      <c r="D42" s="42"/>
      <c r="E42" s="42"/>
      <c r="F42" s="42"/>
    </row>
    <row r="44" ht="18" customHeight="1" spans="2:6" x14ac:dyDescent="0.25">
      <c r="B44" s="5" t="s">
        <v>201</v>
      </c>
      <c r="C44" s="6"/>
      <c r="D44" s="6"/>
      <c r="E44" s="6"/>
      <c r="F44" s="6"/>
    </row>
    <row r="45" ht="27" customHeight="1" spans="2:6" x14ac:dyDescent="0.25">
      <c r="B45" s="35">
        <f>"1.  "&amp;IF(('Needs calc'!$T$10+('Needs calc'!$T$4+'Needs calc'!$T$5+'Needs calc'!$T$6+'Needs calc'!$T$7+'Needs calc'!$T$8+'Needs calc'!$T$9))&gt;0,"New life cover of R "&amp;FIXED(ROUND(('Needs calc'!$T$10+('Needs calc'!$T$4+'Needs calc'!$T$5+'Needs calc'!$T$6+'Needs calc'!$T$7+'Needs calc'!$T$8+'Needs calc'!$T$9)),-3),0)&amp;":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below"))&amp;".","Keep your nominations and will instructions as they are: they provide for everyone today.")</f>
      </c>
      <c r="C45" s="35"/>
      <c r="D45" s="35"/>
      <c r="E45" s="35"/>
      <c r="F45" s="35"/>
    </row>
    <row r="46" ht="27" customHeight="1" spans="2:6" x14ac:dyDescent="0.25">
      <c r="B46" s="35" t="s">
        <v>217</v>
      </c>
      <c r="C46" s="35"/>
      <c r="D46" s="35"/>
      <c r="E46" s="35"/>
      <c r="F46" s="35"/>
    </row>
    <row r="47" ht="27" customHeight="1" spans="2:6" x14ac:dyDescent="0.25">
      <c r="B47" s="35">
        <f>"3.  "&amp;IF(SUMPRODUCT(('Inputs'!$H$100:$H$105="Yes")*('Inputs'!$B$100:$B$105&lt;&gt;""))&gt;0,"Make sure your will sets up the trust that receives the children's money, and names the trustees.","Sign a will that says who inherits, so the law does not decide it for you.")</f>
      </c>
      <c r="C47" s="35"/>
      <c r="D47" s="35"/>
      <c r="E47" s="35"/>
      <c r="F47" s="35"/>
    </row>
    <row r="49" ht="44" customHeight="1" spans="2:6" x14ac:dyDescent="0.25">
      <c r="B49" s="36">
        <f>"Basis: indicative, on the needs you gave us and your policies and will instructions as they stand. Capital for a person is invested at "&amp;FIXED('Inputs'!$H$136,0)&amp;"% a year before tax as a unit trust, less their tax"&amp;IF(SUMPRODUCT(('Inputs'!$H$100:$H$105="Yes")*('Inputs'!$B$100:$B$105&lt;&gt;""))&gt;0," and trustee fees of "&amp;IF(ROUND('Inputs'!$H$137,0)='Inputs'!$H$137,FIXED('Inputs'!$H$137,0),IF(ROUND('Inputs'!$H$137,1)='Inputs'!$H$137,FIXED('Inputs'!$H$137,1),FIXED('Inputs'!$H$137,2)))&amp;"%"&amp;" a year while it is in the trust","")&amp;". Once-off needs are in today's money. Retirement money is paid out in cash, after the lump sum tax on death benefits. Each need rises as you asked. Not legal or tax advice."</f>
      </c>
      <c r="C49" s="36"/>
      <c r="D49" s="36"/>
      <c r="E49" s="36"/>
      <c r="F49" s="36"/>
    </row>
  </sheetData>
  <sheetProtection sheet="1" formatRows="0"/>
  <mergeCells count="32">
    <mergeCell ref="B1:F1"/>
    <mergeCell ref="B2:F2"/>
    <mergeCell ref="B3:F3"/>
    <mergeCell ref="B7:F7"/>
    <mergeCell ref="B8:F8"/>
    <mergeCell ref="B10:F10"/>
    <mergeCell ref="B11:F11"/>
    <mergeCell ref="B12:F12"/>
    <mergeCell ref="B14:E14"/>
    <mergeCell ref="B15:E15"/>
    <mergeCell ref="B16:E16"/>
    <mergeCell ref="B17:E17"/>
    <mergeCell ref="B18:E18"/>
    <mergeCell ref="B19:E19"/>
    <mergeCell ref="B20:E20"/>
    <mergeCell ref="B21:E21"/>
    <mergeCell ref="B22:E22"/>
    <mergeCell ref="B23:E23"/>
    <mergeCell ref="B24:E24"/>
    <mergeCell ref="B25:F25"/>
    <mergeCell ref="B33:F33"/>
    <mergeCell ref="B34:F34"/>
    <mergeCell ref="B35:F35"/>
    <mergeCell ref="B36:F36"/>
    <mergeCell ref="B37:F37"/>
    <mergeCell ref="B38:F38"/>
    <mergeCell ref="B40:F40"/>
    <mergeCell ref="B42:F42"/>
    <mergeCell ref="B45:F45"/>
    <mergeCell ref="B46:F46"/>
    <mergeCell ref="B47:F47"/>
    <mergeCell ref="B49:F49"/>
  </mergeCells>
  <conditionalFormatting sqref="B10:F12">
    <cfRule type="expression" dxfId="26" priority="1">
      <formula>('Needs calc'!$T$10+('Needs calc'!$T$4+'Needs calc'!$T$5+'Needs calc'!$T$6+'Needs calc'!$T$7+'Needs calc'!$T$8+'Needs calc'!$T$9))=0</formula>
    </cfRule>
  </conditionalFormatting>
  <conditionalFormatting sqref="B23:F23">
    <cfRule type="expression" dxfId="27" priority="2">
      <formula>((('Needs calc'!$C$44+'Needs calc'!$C$56+'Needs calc'!$C$68+'Needs calc'!$C$80+'Needs calc'!$C$92+'Needs calc'!$C$104)-(IF(AND('Inputs'!$C$108="The spouse, from what they receive",SUM('Inputs'!$O$100:$O$105)&gt;0,OR(LEFT('Inputs'!$C$13,7)="Married",'Inputs'!$C$13="Life partner",'Inputs'!$C$13="Civil Union")),1,0)*MAX(0,'Needs calc'!$C$27)))+('Workings'!$C$74))&gt;('Needs calc'!$C$47+'Needs calc'!$C$59+'Needs calc'!$C$71+'Needs calc'!$C$83+'Needs calc'!$C$95+'Needs calc'!$C$107)</formula>
    </cfRule>
  </conditionalFormatting>
  <conditionalFormatting sqref="C28:F32">
    <cfRule type="expression" dxfId="28" priority="3">
      <formula>C$27=""</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Lists</vt:lpstr>
      <vt:lpstr>Inputs</vt:lpstr>
      <vt:lpstr>Summary</vt:lpstr>
      <vt:lpstr>Life cover need</vt:lpstr>
      <vt:lpstr>Figures for quoting</vt:lpstr>
      <vt:lpstr>Workings</vt:lpstr>
      <vt:lpstr>Needs workings</vt:lpstr>
      <vt:lpstr>Needs calc</vt:lpstr>
      <vt:lpstr>Needs years</vt:lpstr>
      <vt:lpstr>Sale calc</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2026-10-29T07:18:26Z</dcterms:created>
  <dcterms:modified xsi:type="dcterms:W3CDTF">2026-10-29T07:18:26Z</dcterms:modified>
</cp:coreProperties>
</file>