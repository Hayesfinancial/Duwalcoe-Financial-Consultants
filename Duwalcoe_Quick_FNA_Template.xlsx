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Inputs!$B$98:$J$98</definedName>
    <definedName name="QF_T_deps">Inputs!$B$100:$J$105</definedName>
    <definedName name="QF_L_whom">Inputs!$Z$99:$Z$105</definedName>
    <definedName name="QF_L_dep">Inputs!$Z$100:$Z$105</definedName>
    <definedName name="QF_KidsShare">Inputs!$C$106</definedName>
    <definedName name="QF_SpouseCover">Inputs!$C$107</definedName>
    <definedName name="QF_QuoteNo">Inputs!$C$111</definedName>
    <definedName name="QF_CLFee">Inputs!$C$112</definedName>
    <definedName name="QF_CLConv">Inputs!$C$113</definedName>
    <definedName name="QF_CLPays">Inputs!$C$114</definedName>
    <definedName name="QF_CLLimit">Inputs!$C$115</definedName>
    <definedName name="QF_CLPrem">Inputs!$C$116</definedName>
    <definedName name="QF_A_ExecFee">Inputs!$C$120</definedName>
    <definedName name="QF_A_VAT">Inputs!$C$121</definedName>
    <definedName name="QF_A_Master">Inputs!$C$122</definedName>
    <definedName name="QF_A_Funeral">Inputs!$C$123</definedName>
    <definedName name="QF_A_Sundries">Inputs!$C$124</definedName>
    <definedName name="QF_A_PropCost">Inputs!$C$125</definedName>
    <definedName name="QF_A_Agent">Inputs!$C$126</definedName>
    <definedName name="QF_A_Abatement">Inputs!$C$127</definedName>
    <definedName name="QF_A_DutyRate">Inputs!$C$128</definedName>
    <definedName name="QF_A_DutyBand">Inputs!$C$129</definedName>
    <definedName name="QF_A_DutyHigh">Inputs!$C$130</definedName>
    <definedName name="QF_A_CGTExcl">Inputs!$C$131</definedName>
    <definedName name="QF_A_Inclusion">Inputs!$H$120</definedName>
    <definedName name="QF_A_PRExcl">Inputs!$H$121</definedName>
    <definedName name="QF_A_Gross">Inputs!$H$122</definedName>
    <definedName name="QF_A_TrustFee">Inputs!$H$123</definedName>
    <definedName name="QF_A_Threshold">Inputs!$H$124</definedName>
    <definedName name="QF_A_Interest">Inputs!$H$125</definedName>
    <definedName name="QF_A_Dividends">Inputs!$H$126</definedName>
    <definedName name="QF_A_Growth">Inputs!$H$127</definedName>
    <definedName name="QF_A_DivTax">Inputs!$H$128</definedName>
    <definedName name="QF_A_CPI">Inputs!$H$129</definedName>
    <definedName name="QF_A_Thr65">Inputs!$H$130</definedName>
    <definedName name="QF_A_Thr75">Inputs!$H$131</definedName>
    <definedName name="QF_A_TaxTable">Inputs!$C$134:$E$140</definedName>
    <definedName name="QF_A_LumpTable">Inputs!$G$134:$I$137</definedName>
    <definedName name="QF_K_checks">Inputs!$B$153</definedName>
    <definedName name="QF_T_checks">Inputs!$B$154:$B$167</definedName>
    <definedName name="QF_W_cost">Workings!$C$59</definedName>
    <definedName name="_xlnm.Print_Area" localSheetId="1">'Inputs'!$A1:$J167</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need'!$A1:$F48</definedName>
    <definedName name="_xlnm.Print_Titles" localSheetId="3">'Life cover need'!$1:$2</definedName>
    <definedName name="_xlnm.Print_Area" localSheetId="4">'Figures for quoting'!$A1:$D36</definedName>
    <definedName name="_xlnm.Print_Titles" localSheetId="4">'Figures for quoting'!$1:$2</definedName>
    <definedName name="_xlnm.Print_Area" localSheetId="5">'Workings'!$A1:$D71</definedName>
    <definedName name="_xlnm.Print_Titles" localSheetId="5">'Workings'!$1:$2</definedName>
    <definedName name="_xlnm.Print_Area" localSheetId="6">'Needs workings'!$A1:$I45</definedName>
    <definedName name="_xlnm.Print_Titles" localSheetId="6">'Needs workings'!$1:$2</definedName>
  </definedNames>
  <calcPr calcId="171027" fullCalcOnLoad="1"/>
</workbook>
</file>

<file path=xl/sharedStrings.xml><?xml version="1.0" encoding="utf-8"?>
<sst xmlns="http://schemas.openxmlformats.org/spreadsheetml/2006/main" count="623" uniqueCount="422">
  <si>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</si>
  <si>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</si>
  <si>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</si>
  <si>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</si>
  <si>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</si>
  <si>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</si>
  <si>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</si>
  <si>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</si>
  <si>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</si>
  <si>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</si>
  <si>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</si>
  <si>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</si>
  <si>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</si>
  <si>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</si>
  <si>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</si>
  <si>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</si>
  <si>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</si>
  <si>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</si>
  <si>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</si>
  <si>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</si>
  <si>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</si>
  <si>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</si>
  <si>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</si>
  <si>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</si>
  <si>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</si>
  <si>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</si>
  <si>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</si>
  <si>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2.3</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</si>
  <si>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</si>
  <si>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</si>
  <si>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</si>
  <si>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</si>
  <si>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</si>
  <si>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</si>
  <si>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</si>
  <si>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</si>
  <si>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</si>
  <si>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</si>
  <si>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</si>
  <si>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</si>
  <si>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</si>
  <si>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</si>
  <si>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</si>
  <si>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</si>
  <si>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</si>
  <si>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</si>
  <si>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</si>
  <si>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</si>
  <si>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</si>
  <si>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</si>
  <si>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</si>
  <si>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</si>
  <si>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</si>
  <si>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</si>
  <si>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</si>
  <si>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</si>
  <si>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</si>
  <si>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</si>
  <si>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</si>
  <si>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</si>
  <si>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</si>
  <si>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</si>
  <si>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</si>
  <si>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</si>
  <si>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</si>
  <si>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</si>
  <si>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</si>
  <si>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</si>
  <si>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</si>
  <si>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</si>
  <si>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</si>
  <si>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</si>
  <si>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</si>
  <si>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</si>
  <si>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</si>
  <si>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</si>
  <si>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</si>
  <si>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</si>
  <si>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</si>
  <si>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</si>
  <si>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</si>
  <si>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</si>
  <si>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</si>
  <si>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</si>
  <si>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</si>
  <si>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</si>
  <si>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</si>
  <si>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</si>
  <si>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</si>
  <si>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</si>
  <si>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</si>
  <si>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</si>
  <si>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</si>
  <si>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</si>
  <si>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</si>
  <si>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</si>
  <si>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</si>
  <si>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</si>
  <si>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</si>
  <si>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</si>
  <si>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</si>
  <si>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</si>
  <si>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</si>
  <si>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</si>
  <si>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</si>
  <si>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</si>
  <si>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</si>
  <si>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</si>
  <si>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</si>
  <si>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</si>
  <si>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</si>
  <si>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</si>
  <si>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</si>
  <si>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</si>
  <si>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</si>
  <si>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</si>
  <si>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</si>
  <si>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</si>
  <si>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</si>
  <si>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</si>
  <si>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</si>
  <si>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</si>
  <si>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</si>
  <si>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</si>
  <si>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</si>
  <si>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</si>
  <si>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</si>
  <si>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</si>
  <si>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</si>
  <si>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</si>
  <si>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</si>
  <si>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</si>
  <si>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</si>
  <si>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</si>
  <si>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</si>
  <si>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</si>
  <si>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</si>
  <si>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</si>
  <si>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</si>
  <si>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</si>
  <si>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</si>
  <si>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</si>
  <si>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</si>
  <si>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</si>
  <si>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</si>
  <si>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</si>
  <si>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</si>
  <si>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</si>
  <si>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</si>
  <si>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</si>
  <si>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</si>
  <si>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</si>
  <si>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</si>
  <si>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</si>
  <si>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</si>
  <si>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</si>
  <si>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</si>
  <si>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</si>
  <si>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</si>
  <si>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</si>
  <si>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</si>
  <si>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</si>
  <si>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</si>
  <si>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</si>
  <si>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</si>
  <si>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</si>
  <si>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</si>
  <si>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</si>
  <si>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</si>
  <si>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</si>
  <si>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</si>
  <si>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</si>
  <si>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</si>
  <si>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</si>
  <si>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</si>
  <si>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</si>
  <si>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</si>
  <si>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</si>
  <si>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</si>
  <si>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</si>
  <si>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</si>
  <si>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</si>
  <si>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</si>
  <si>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</si>
  <si>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</si>
  <si>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</si>
  <si>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</si>
  <si>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</si>
  <si>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</si>
  <si>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</si>
  <si>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</si>
  <si>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</si>
  <si>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</si>
  <si>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</si>
  <si>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</si>
  <si>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</si>
  <si>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</si>
  <si>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From a death income benefit, a month</t>
  </si>
  <si>
    <t>Estate duty they pay on that income</t>
  </si>
  <si>
    <t>Capital needed today</t>
  </si>
  <si>
    <t>Capital already reaching them</t>
  </si>
  <si>
    <t>Monthly income they would have</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</si>
  <si>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</si>
  <si>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</si>
  <si>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</si>
  <si>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</si>
  <si>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</si>
  <si>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</si>
  <si>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</si>
  <si>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</si>
  <si>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</si>
  <si>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</si>
  <si>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</si>
  <si>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</si>
  <si>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</si>
  <si>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</si>
  <si>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</si>
  <si>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</si>
  <si>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</si>
  <si>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</si>
  <si>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or spouse (counted for estate duty)</t>
  </si>
  <si>
    <t>Death income benefits, at their value (counted for estate duty)</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</si>
  <si>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</si>
  <si>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</si>
  <si>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</si>
  <si>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</si>
  <si>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</si>
  <si>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</si>
  <si>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</si>
  <si>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</si>
  <si>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</si>
  <si>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</si>
  <si>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</si>
  <si>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</si>
  <si>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</si>
  <si>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</si>
  <si>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</si>
  <si>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</si>
  <si>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</si>
  <si>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</si>
  <si>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</si>
  <si>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</si>
  <si>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</si>
  <si>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</si>
  <si>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</si>
  <si>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</si>
  <si>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</si>
  <si>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</si>
  <si>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</si>
  <si>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</si>
  <si>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</si>
  <si>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</si>
  <si>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or spouse, counted for estate duty</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</si>
  <si>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</si>
  <si>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</si>
  <si>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</si>
  <si>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</si>
  <si>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</si>
  <si>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</si>
  <si>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</si>
  <si>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</si>
  <si>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</si>
  <si>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</si>
  <si>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everything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</si>
  <si>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</si>
  <si>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</si>
  <si>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</si>
  <si>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</si>
  <si>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</si>
  <si>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</si>
  <si>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</si>
  <si>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</si>
  <si>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</si>
  <si>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</si>
  <si>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</si>
  <si>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</si>
  <si>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</si>
  <si>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</si>
  <si>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</si>
  <si>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</si>
  <si>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</si>
  <si>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</si>
  <si>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</si>
  <si>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Death income paid to them, first month (set against the need while it pays)</t>
  </si>
  <si>
    <t>Estate duty they pay on that death income (taken off their capital)</t>
  </si>
  <si>
    <t>Capital reaching them (residue, policies, retirement money, the trust)</t>
  </si>
  <si>
    <t>Their marginal tax rate on what it earns</t>
  </si>
  <si>
    <t>What it earns after tax and trustee fees</t>
  </si>
  <si>
    <t>Capital needed (once-off plus the monthly need)</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</si>
  <si>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</si>
  <si>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</si>
  <si>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</si>
  <si>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</si>
  <si>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</si>
  <si>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</si>
  <si>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</si>
  <si>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</si>
  <si>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</si>
  <si>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</si>
  <si>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</si>
  <si>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</si>
  <si>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</si>
  <si>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</si>
  <si>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</si>
  <si>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</si>
  <si>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</si>
  <si>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</si>
  <si>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</si>
  <si>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</si>
  <si>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</si>
  <si>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</si>
  <si>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</si>
  <si>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</si>
  <si>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</si>
  <si>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</si>
  <si>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</si>
  <si>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</si>
  <si>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</si>
  <si>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</si>
  <si>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</si>
  <si>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</si>
  <si>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</si>
  <si>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</si>
  <si>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</si>
  <si>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</si>
  <si>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</si>
  <si>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</si>
  <si>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</si>
  <si>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</si>
  <si>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</si>
  <si>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</si>
  <si>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</si>
  <si>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</si>
  <si>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</si>
  <si>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</si>
  <si>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</si>
  <si>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</si>
  <si>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</si>
  <si>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</si>
  <si>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</si>
  <si>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</si>
  <si>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</si>
  <si>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</si>
  <si>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</si>
  <si>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</si>
  <si>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</si>
  <si>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</si>
  <si>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</si>
  <si>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</si>
  <si>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</si>
  <si>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</si>
  <si>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</si>
  <si>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</si>
  <si>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</si>
  <si>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</si>
  <si>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</si>
  <si>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2: cap</t>
  </si>
  <si>
    <t>dependant 2: ti</t>
  </si>
  <si>
    <t>dependant 2: m</t>
  </si>
  <si>
    <t>dependant 2: r</t>
  </si>
  <si>
    <t>dependant 2: need</t>
  </si>
  <si>
    <t>dependant 2: gap</t>
  </si>
  <si>
    <t>dependant 2: inc</t>
  </si>
  <si>
    <t>dependant 3: cap</t>
  </si>
  <si>
    <t>dependant 3: ti</t>
  </si>
  <si>
    <t>dependant 3: m</t>
  </si>
  <si>
    <t>dependant 3: r</t>
  </si>
  <si>
    <t>dependant 3: need</t>
  </si>
  <si>
    <t>dependant 3: gap</t>
  </si>
  <si>
    <t>dependant 3: inc</t>
  </si>
  <si>
    <t>dependant 4: cap</t>
  </si>
  <si>
    <t>dependant 4: ti</t>
  </si>
  <si>
    <t>dependant 4: m</t>
  </si>
  <si>
    <t>dependant 4: r</t>
  </si>
  <si>
    <t>dependant 4: need</t>
  </si>
  <si>
    <t>dependant 4: gap</t>
  </si>
  <si>
    <t>dependant 4: inc</t>
  </si>
  <si>
    <t>dependant 5: cap</t>
  </si>
  <si>
    <t>dependant 5: ti</t>
  </si>
  <si>
    <t>dependant 5: m</t>
  </si>
  <si>
    <t>dependant 5: r</t>
  </si>
  <si>
    <t>dependant 5: need</t>
  </si>
  <si>
    <t>dependant 5: gap</t>
  </si>
  <si>
    <t>dependant 5: inc</t>
  </si>
  <si>
    <t>dependant 6: cap</t>
  </si>
  <si>
    <t>dependant 6: ti</t>
  </si>
  <si>
    <t>dependant 6: m</t>
  </si>
  <si>
    <t>dependant 6: r</t>
  </si>
  <si>
    <t>dependant 6: need</t>
  </si>
  <si>
    <t>dependant 6: gap</t>
  </si>
  <si>
    <t>dependant 6: inc</t>
  </si>
  <si>
    <t>next extra 1</t>
  </si>
  <si>
    <t>next extra 2</t>
  </si>
  <si>
    <t>next extra 3</t>
  </si>
  <si>
    <t>next extra 4</t>
  </si>
  <si>
    <t>next extra 5</t>
  </si>
  <si>
    <t>next extra 6</t>
  </si>
  <si>
    <t>next extra for the estate</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</si>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</sst>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8">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1" fillId="4" borderId="2" xfId="0"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7">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6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s>
  <sheetData>
    <row r="1" ht="21.75" customHeight="1" spans="2:10" x14ac:dyDescent="0.25">
      <c r="B1" s="1" t="s">
        <v>49</v>
      </c>
      <c r="C1" s="1"/>
      <c r="D1" s="1"/>
      <c r="E1" s="1"/>
      <c r="F1" s="1"/>
      <c r="G1" s="1"/>
      <c r="H1" s="1"/>
      <c r="I1" s="1"/>
      <c r="J1" s="1"/>
    </row>
    <row r="2" ht="15" customHeight="1" spans="2:10" x14ac:dyDescent="0.25">
      <c r="B2" s="2" t="s">
        <v>50</v>
      </c>
      <c r="C2" s="2"/>
      <c r="D2" s="2"/>
      <c r="E2" s="2"/>
      <c r="F2" s="2"/>
      <c r="G2" s="2"/>
      <c r="H2" s="2"/>
      <c r="I2" s="2"/>
      <c r="J2" s="2"/>
    </row>
    <row r="4" ht="20" customHeight="1" spans="2:2" x14ac:dyDescent="0.25">
      <c r="B4" s="3" t="s">
        <v>51</v>
      </c>
    </row>
    <row r="5" spans="2:2" x14ac:dyDescent="0.25">
      <c r="B5" s="4" t="s">
        <v>52</v>
      </c>
    </row>
    <row r="7" ht="18" customHeight="1" spans="2:10" x14ac:dyDescent="0.25">
      <c r="B7" s="5" t="s">
        <v>53</v>
      </c>
      <c r="C7" s="6"/>
      <c r="D7" s="6"/>
      <c r="E7" s="6"/>
      <c r="F7" s="6"/>
      <c r="G7" s="6"/>
      <c r="H7" s="6"/>
      <c r="I7" s="6"/>
      <c r="J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0" x14ac:dyDescent="0.25">
      <c r="B19" s="5" t="s">
        <v>64</v>
      </c>
      <c r="C19" s="6"/>
      <c r="D19" s="6"/>
      <c r="E19" s="6"/>
      <c r="F19" s="6"/>
      <c r="G19" s="6"/>
      <c r="H19" s="6"/>
      <c r="I19" s="6"/>
      <c r="J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IF(AND(L22=1,F22="Yes",M22&gt;0),MIN(M22,'Inputs'!$H$121),0)</f>
      </c>
      <c r="O22">
        <f>IF(OR(C22="Cash and deposits",H22="Yes"),N(D22),0)</f>
      </c>
      <c r="P22">
        <f>IF(C22="Property",ROUND('Inputs'!$C$125/100*N(D22),2),0)</f>
      </c>
      <c r="Q22">
        <f>IF(AND(C22="Property",H22="Yes"),ROUND('Inputs'!$C$126/100*(1+'Inputs'!$C$121/100)*N(D22),2),0)</f>
      </c>
      <c r="R22">
        <f>IF(G22="Spouse",N(D22),0)</f>
      </c>
      <c r="S22">
        <f>IF(G22="Named heir",N(D22),0)</f>
      </c>
      <c r="T22">
        <f>IF(AND(L22=1,N(D22)&gt;0,E22=""),1,0)</f>
      </c>
      <c r="U22">
        <f>ROUND('Workings'!$C$40*S22,2)</f>
      </c>
      <c r="V22">
        <f>ROUND('Workings'!$D$40*S22,2)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IF(AND(L23=1,F23="Yes",M23&gt;0),MIN(M23,'Inputs'!$H$121),0)</f>
      </c>
      <c r="O23">
        <f>IF(OR(C23="Cash and deposits",H23="Yes"),N(D23),0)</f>
      </c>
      <c r="P23">
        <f>IF(C23="Property",ROUND('Inputs'!$C$125/100*N(D23),2),0)</f>
      </c>
      <c r="Q23">
        <f>IF(AND(C23="Property",H23="Yes"),ROUND('Inputs'!$C$126/100*(1+'Inputs'!$C$121/100)*N(D23),2),0)</f>
      </c>
      <c r="R23">
        <f>IF(G23="Spouse",N(D23),0)</f>
      </c>
      <c r="S23">
        <f>IF(G23="Named heir",N(D23),0)</f>
      </c>
      <c r="T23">
        <f>IF(AND(L23=1,N(D23)&gt;0,E23=""),1,0)</f>
      </c>
      <c r="U23">
        <f>ROUND('Workings'!$C$40*S23,2)</f>
      </c>
      <c r="V23">
        <f>ROUND('Workings'!$D$40*S23,2)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IF(AND(L24=1,F24="Yes",M24&gt;0),MIN(M24,'Inputs'!$H$121),0)</f>
      </c>
      <c r="O24">
        <f>IF(OR(C24="Cash and deposits",H24="Yes"),N(D24),0)</f>
      </c>
      <c r="P24">
        <f>IF(C24="Property",ROUND('Inputs'!$C$125/100*N(D24),2),0)</f>
      </c>
      <c r="Q24">
        <f>IF(AND(C24="Property",H24="Yes"),ROUND('Inputs'!$C$126/100*(1+'Inputs'!$C$121/100)*N(D24),2),0)</f>
      </c>
      <c r="R24">
        <f>IF(G24="Spouse",N(D24),0)</f>
      </c>
      <c r="S24">
        <f>IF(G24="Named heir",N(D24),0)</f>
      </c>
      <c r="T24">
        <f>IF(AND(L24=1,N(D24)&gt;0,E24=""),1,0)</f>
      </c>
      <c r="U24">
        <f>ROUND('Workings'!$C$40*S24,2)</f>
      </c>
      <c r="V24">
        <f>ROUND('Workings'!$D$40*S24,2)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IF(AND(L25=1,F25="Yes",M25&gt;0),MIN(M25,'Inputs'!$H$121),0)</f>
      </c>
      <c r="O25">
        <f>IF(OR(C25="Cash and deposits",H25="Yes"),N(D25),0)</f>
      </c>
      <c r="P25">
        <f>IF(C25="Property",ROUND('Inputs'!$C$125/100*N(D25),2),0)</f>
      </c>
      <c r="Q25">
        <f>IF(AND(C25="Property",H25="Yes"),ROUND('Inputs'!$C$126/100*(1+'Inputs'!$C$121/100)*N(D25),2),0)</f>
      </c>
      <c r="R25">
        <f>IF(G25="Spouse",N(D25),0)</f>
      </c>
      <c r="S25">
        <f>IF(G25="Named heir",N(D25),0)</f>
      </c>
      <c r="T25">
        <f>IF(AND(L25=1,N(D25)&gt;0,E25=""),1,0)</f>
      </c>
      <c r="U25">
        <f>ROUND('Workings'!$C$40*S25,2)</f>
      </c>
      <c r="V25">
        <f>ROUND('Workings'!$D$40*S25,2)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IF(AND(L26=1,F26="Yes",M26&gt;0),MIN(M26,'Inputs'!$H$121),0)</f>
      </c>
      <c r="O26">
        <f>IF(OR(C26="Cash and deposits",H26="Yes"),N(D26),0)</f>
      </c>
      <c r="P26">
        <f>IF(C26="Property",ROUND('Inputs'!$C$125/100*N(D26),2),0)</f>
      </c>
      <c r="Q26">
        <f>IF(AND(C26="Property",H26="Yes"),ROUND('Inputs'!$C$126/100*(1+'Inputs'!$C$121/100)*N(D26),2),0)</f>
      </c>
      <c r="R26">
        <f>IF(G26="Spouse",N(D26),0)</f>
      </c>
      <c r="S26">
        <f>IF(G26="Named heir",N(D26),0)</f>
      </c>
      <c r="T26">
        <f>IF(AND(L26=1,N(D26)&gt;0,E26=""),1,0)</f>
      </c>
      <c r="U26">
        <f>ROUND('Workings'!$C$40*S26,2)</f>
      </c>
      <c r="V26">
        <f>ROUND('Workings'!$D$40*S26,2)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IF(AND(L27=1,F27="Yes",M27&gt;0),MIN(M27,'Inputs'!$H$121),0)</f>
      </c>
      <c r="O27">
        <f>IF(OR(C27="Cash and deposits",H27="Yes"),N(D27),0)</f>
      </c>
      <c r="P27">
        <f>IF(C27="Property",ROUND('Inputs'!$C$125/100*N(D27),2),0)</f>
      </c>
      <c r="Q27">
        <f>IF(AND(C27="Property",H27="Yes"),ROUND('Inputs'!$C$126/100*(1+'Inputs'!$C$121/100)*N(D27),2),0)</f>
      </c>
      <c r="R27">
        <f>IF(G27="Spouse",N(D27),0)</f>
      </c>
      <c r="S27">
        <f>IF(G27="Named heir",N(D27),0)</f>
      </c>
      <c r="T27">
        <f>IF(AND(L27=1,N(D27)&gt;0,E27=""),1,0)</f>
      </c>
      <c r="U27">
        <f>ROUND('Workings'!$C$40*S27,2)</f>
      </c>
      <c r="V27">
        <f>ROUND('Workings'!$D$40*S27,2)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IF(AND(L28=1,F28="Yes",M28&gt;0),MIN(M28,'Inputs'!$H$121),0)</f>
      </c>
      <c r="O28">
        <f>IF(OR(C28="Cash and deposits",H28="Yes"),N(D28),0)</f>
      </c>
      <c r="P28">
        <f>IF(C28="Property",ROUND('Inputs'!$C$125/100*N(D28),2),0)</f>
      </c>
      <c r="Q28">
        <f>IF(AND(C28="Property",H28="Yes"),ROUND('Inputs'!$C$126/100*(1+'Inputs'!$C$121/100)*N(D28),2),0)</f>
      </c>
      <c r="R28">
        <f>IF(G28="Spouse",N(D28),0)</f>
      </c>
      <c r="S28">
        <f>IF(G28="Named heir",N(D28),0)</f>
      </c>
      <c r="T28">
        <f>IF(AND(L28=1,N(D28)&gt;0,E28=""),1,0)</f>
      </c>
      <c r="U28">
        <f>ROUND('Workings'!$C$40*S28,2)</f>
      </c>
      <c r="V28">
        <f>ROUND('Workings'!$D$40*S28,2)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IF(AND(L29=1,F29="Yes",M29&gt;0),MIN(M29,'Inputs'!$H$121),0)</f>
      </c>
      <c r="O29">
        <f>IF(OR(C29="Cash and deposits",H29="Yes"),N(D29),0)</f>
      </c>
      <c r="P29">
        <f>IF(C29="Property",ROUND('Inputs'!$C$125/100*N(D29),2),0)</f>
      </c>
      <c r="Q29">
        <f>IF(AND(C29="Property",H29="Yes"),ROUND('Inputs'!$C$126/100*(1+'Inputs'!$C$121/100)*N(D29),2),0)</f>
      </c>
      <c r="R29">
        <f>IF(G29="Spouse",N(D29),0)</f>
      </c>
      <c r="S29">
        <f>IF(G29="Named heir",N(D29),0)</f>
      </c>
      <c r="T29">
        <f>IF(AND(L29=1,N(D29)&gt;0,E29=""),1,0)</f>
      </c>
      <c r="U29">
        <f>ROUND('Workings'!$C$40*S29,2)</f>
      </c>
      <c r="V29">
        <f>ROUND('Workings'!$D$40*S29,2)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IF(AND(L30=1,F30="Yes",M30&gt;0),MIN(M30,'Inputs'!$H$121),0)</f>
      </c>
      <c r="O30">
        <f>IF(OR(C30="Cash and deposits",H30="Yes"),N(D30),0)</f>
      </c>
      <c r="P30">
        <f>IF(C30="Property",ROUND('Inputs'!$C$125/100*N(D30),2),0)</f>
      </c>
      <c r="Q30">
        <f>IF(AND(C30="Property",H30="Yes"),ROUND('Inputs'!$C$126/100*(1+'Inputs'!$C$121/100)*N(D30),2),0)</f>
      </c>
      <c r="R30">
        <f>IF(G30="Spouse",N(D30),0)</f>
      </c>
      <c r="S30">
        <f>IF(G30="Named heir",N(D30),0)</f>
      </c>
      <c r="T30">
        <f>IF(AND(L30=1,N(D30)&gt;0,E30=""),1,0)</f>
      </c>
      <c r="U30">
        <f>ROUND('Workings'!$C$40*S30,2)</f>
      </c>
      <c r="V30">
        <f>ROUND('Workings'!$D$40*S30,2)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IF(AND(L31=1,F31="Yes",M31&gt;0),MIN(M31,'Inputs'!$H$121),0)</f>
      </c>
      <c r="O31">
        <f>IF(OR(C31="Cash and deposits",H31="Yes"),N(D31),0)</f>
      </c>
      <c r="P31">
        <f>IF(C31="Property",ROUND('Inputs'!$C$125/100*N(D31),2),0)</f>
      </c>
      <c r="Q31">
        <f>IF(AND(C31="Property",H31="Yes"),ROUND('Inputs'!$C$126/100*(1+'Inputs'!$C$121/100)*N(D31),2),0)</f>
      </c>
      <c r="R31">
        <f>IF(G31="Spouse",N(D31),0)</f>
      </c>
      <c r="S31">
        <f>IF(G31="Named heir",N(D31),0)</f>
      </c>
      <c r="T31">
        <f>IF(AND(L31=1,N(D31)&gt;0,E31=""),1,0)</f>
      </c>
      <c r="U31">
        <f>ROUND('Workings'!$C$40*S31,2)</f>
      </c>
      <c r="V31">
        <f>ROUND('Workings'!$D$40*S31,2)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IF(AND(L32=1,F32="Yes",M32&gt;0),MIN(M32,'Inputs'!$H$121),0)</f>
      </c>
      <c r="O32">
        <f>IF(OR(C32="Cash and deposits",H32="Yes"),N(D32),0)</f>
      </c>
      <c r="P32">
        <f>IF(C32="Property",ROUND('Inputs'!$C$125/100*N(D32),2),0)</f>
      </c>
      <c r="Q32">
        <f>IF(AND(C32="Property",H32="Yes"),ROUND('Inputs'!$C$126/100*(1+'Inputs'!$C$121/100)*N(D32),2),0)</f>
      </c>
      <c r="R32">
        <f>IF(G32="Spouse",N(D32),0)</f>
      </c>
      <c r="S32">
        <f>IF(G32="Named heir",N(D32),0)</f>
      </c>
      <c r="T32">
        <f>IF(AND(L32=1,N(D32)&gt;0,E32=""),1,0)</f>
      </c>
      <c r="U32">
        <f>ROUND('Workings'!$C$40*S32,2)</f>
      </c>
      <c r="V32">
        <f>ROUND('Workings'!$D$40*S32,2)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IF(AND(L33=1,F33="Yes",M33&gt;0),MIN(M33,'Inputs'!$H$121),0)</f>
      </c>
      <c r="O33">
        <f>IF(OR(C33="Cash and deposits",H33="Yes"),N(D33),0)</f>
      </c>
      <c r="P33">
        <f>IF(C33="Property",ROUND('Inputs'!$C$125/100*N(D33),2),0)</f>
      </c>
      <c r="Q33">
        <f>IF(AND(C33="Property",H33="Yes"),ROUND('Inputs'!$C$126/100*(1+'Inputs'!$C$121/100)*N(D33),2),0)</f>
      </c>
      <c r="R33">
        <f>IF(G33="Spouse",N(D33),0)</f>
      </c>
      <c r="S33">
        <f>IF(G33="Named heir",N(D33),0)</f>
      </c>
      <c r="T33">
        <f>IF(AND(L33=1,N(D33)&gt;0,E33=""),1,0)</f>
      </c>
      <c r="U33">
        <f>ROUND('Workings'!$C$40*S33,2)</f>
      </c>
      <c r="V33">
        <f>ROUND('Workings'!$D$40*S33,2)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IF(AND(L34=1,F34="Yes",M34&gt;0),MIN(M34,'Inputs'!$H$121),0)</f>
      </c>
      <c r="O34">
        <f>IF(OR(C34="Cash and deposits",H34="Yes"),N(D34),0)</f>
      </c>
      <c r="P34">
        <f>IF(C34="Property",ROUND('Inputs'!$C$125/100*N(D34),2),0)</f>
      </c>
      <c r="Q34">
        <f>IF(AND(C34="Property",H34="Yes"),ROUND('Inputs'!$C$126/100*(1+'Inputs'!$C$121/100)*N(D34),2),0)</f>
      </c>
      <c r="R34">
        <f>IF(G34="Spouse",N(D34),0)</f>
      </c>
      <c r="S34">
        <f>IF(G34="Named heir",N(D34),0)</f>
      </c>
      <c r="T34">
        <f>IF(AND(L34=1,N(D34)&gt;0,E34=""),1,0)</f>
      </c>
      <c r="U34">
        <f>ROUND('Workings'!$C$40*S34,2)</f>
      </c>
      <c r="V34">
        <f>ROUND('Workings'!$D$40*S34,2)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IF(AND(L35=1,F35="Yes",M35&gt;0),MIN(M35,'Inputs'!$H$121),0)</f>
      </c>
      <c r="O35">
        <f>IF(OR(C35="Cash and deposits",H35="Yes"),N(D35),0)</f>
      </c>
      <c r="P35">
        <f>IF(C35="Property",ROUND('Inputs'!$C$125/100*N(D35),2),0)</f>
      </c>
      <c r="Q35">
        <f>IF(AND(C35="Property",H35="Yes"),ROUND('Inputs'!$C$126/100*(1+'Inputs'!$C$121/100)*N(D35),2),0)</f>
      </c>
      <c r="R35">
        <f>IF(G35="Spouse",N(D35),0)</f>
      </c>
      <c r="S35">
        <f>IF(G35="Named heir",N(D35),0)</f>
      </c>
      <c r="T35">
        <f>IF(AND(L35=1,N(D35)&gt;0,E35=""),1,0)</f>
      </c>
      <c r="U35">
        <f>ROUND('Workings'!$C$40*S35,2)</f>
      </c>
      <c r="V35">
        <f>ROUND('Workings'!$D$40*S35,2)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IF(AND(L36=1,F36="Yes",M36&gt;0),MIN(M36,'Inputs'!$H$121),0)</f>
      </c>
      <c r="O36">
        <f>IF(OR(C36="Cash and deposits",H36="Yes"),N(D36),0)</f>
      </c>
      <c r="P36">
        <f>IF(C36="Property",ROUND('Inputs'!$C$125/100*N(D36),2),0)</f>
      </c>
      <c r="Q36">
        <f>IF(AND(C36="Property",H36="Yes"),ROUND('Inputs'!$C$126/100*(1+'Inputs'!$C$121/100)*N(D36),2),0)</f>
      </c>
      <c r="R36">
        <f>IF(G36="Spouse",N(D36),0)</f>
      </c>
      <c r="S36">
        <f>IF(G36="Named heir",N(D36),0)</f>
      </c>
      <c r="T36">
        <f>IF(AND(L36=1,N(D36)&gt;0,E36=""),1,0)</f>
      </c>
      <c r="U36">
        <f>ROUND('Workings'!$C$40*S36,2)</f>
      </c>
      <c r="V36">
        <f>ROUND('Workings'!$D$40*S36,2)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IF(AND(L37=1,F37="Yes",M37&gt;0),MIN(M37,'Inputs'!$H$121),0)</f>
      </c>
      <c r="O37">
        <f>IF(OR(C37="Cash and deposits",H37="Yes"),N(D37),0)</f>
      </c>
      <c r="P37">
        <f>IF(C37="Property",ROUND('Inputs'!$C$125/100*N(D37),2),0)</f>
      </c>
      <c r="Q37">
        <f>IF(AND(C37="Property",H37="Yes"),ROUND('Inputs'!$C$126/100*(1+'Inputs'!$C$121/100)*N(D37),2),0)</f>
      </c>
      <c r="R37">
        <f>IF(G37="Spouse",N(D37),0)</f>
      </c>
      <c r="S37">
        <f>IF(G37="Named heir",N(D37),0)</f>
      </c>
      <c r="T37">
        <f>IF(AND(L37=1,N(D37)&gt;0,E37=""),1,0)</f>
      </c>
      <c r="U37">
        <f>ROUND('Workings'!$C$40*S37,2)</f>
      </c>
      <c r="V37">
        <f>ROUND('Workings'!$D$40*S37,2)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IF(AND(L38=1,F38="Yes",M38&gt;0),MIN(M38,'Inputs'!$H$121),0)</f>
      </c>
      <c r="O38">
        <f>IF(OR(C38="Cash and deposits",H38="Yes"),N(D38),0)</f>
      </c>
      <c r="P38">
        <f>IF(C38="Property",ROUND('Inputs'!$C$125/100*N(D38),2),0)</f>
      </c>
      <c r="Q38">
        <f>IF(AND(C38="Property",H38="Yes"),ROUND('Inputs'!$C$126/100*(1+'Inputs'!$C$121/100)*N(D38),2),0)</f>
      </c>
      <c r="R38">
        <f>IF(G38="Spouse",N(D38),0)</f>
      </c>
      <c r="S38">
        <f>IF(G38="Named heir",N(D38),0)</f>
      </c>
      <c r="T38">
        <f>IF(AND(L38=1,N(D38)&gt;0,E38=""),1,0)</f>
      </c>
      <c r="U38">
        <f>ROUND('Workings'!$C$40*S38,2)</f>
      </c>
      <c r="V38">
        <f>ROUND('Workings'!$D$40*S38,2)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IF(AND(L39=1,F39="Yes",M39&gt;0),MIN(M39,'Inputs'!$H$121),0)</f>
      </c>
      <c r="O39">
        <f>IF(OR(C39="Cash and deposits",H39="Yes"),N(D39),0)</f>
      </c>
      <c r="P39">
        <f>IF(C39="Property",ROUND('Inputs'!$C$125/100*N(D39),2),0)</f>
      </c>
      <c r="Q39">
        <f>IF(AND(C39="Property",H39="Yes"),ROUND('Inputs'!$C$126/100*(1+'Inputs'!$C$121/100)*N(D39),2),0)</f>
      </c>
      <c r="R39">
        <f>IF(G39="Spouse",N(D39),0)</f>
      </c>
      <c r="S39">
        <f>IF(G39="Named heir",N(D39),0)</f>
      </c>
      <c r="T39">
        <f>IF(AND(L39=1,N(D39)&gt;0,E39=""),1,0)</f>
      </c>
      <c r="U39">
        <f>ROUND('Workings'!$C$40*S39,2)</f>
      </c>
      <c r="V39">
        <f>ROUND('Workings'!$D$40*S39,2)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0" x14ac:dyDescent="0.25">
      <c r="B40" s="16" t="s">
        <v>80</v>
      </c>
      <c r="C40" s="16"/>
      <c r="D40" s="16"/>
      <c r="E40" s="16"/>
      <c r="F40" s="16"/>
      <c r="G40" s="16"/>
      <c r="H40" s="16"/>
      <c r="I40" s="16"/>
      <c r="J40" s="16"/>
    </row>
    <row r="42" ht="18" customHeight="1" spans="2:10" x14ac:dyDescent="0.25">
      <c r="B42" s="5" t="s">
        <v>81</v>
      </c>
      <c r="C42" s="6"/>
      <c r="D42" s="6"/>
      <c r="E42" s="6"/>
      <c r="F42" s="6"/>
      <c r="G42" s="6"/>
      <c r="H42" s="6"/>
      <c r="I42" s="6"/>
      <c r="J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0" x14ac:dyDescent="0.25">
      <c r="B56" s="5" t="s">
        <v>85</v>
      </c>
      <c r="C56" s="6"/>
      <c r="D56" s="6"/>
      <c r="E56" s="6"/>
      <c r="F56" s="6"/>
      <c r="G56" s="6"/>
      <c r="H56" s="6"/>
      <c r="I56" s="6"/>
      <c r="J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ROUND('Workings'!$C$40*L59,2)</f>
      </c>
      <c r="N59">
        <f>ROUND('Workings'!$D$40*L59,2)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ROUND('Workings'!$C$40*L60,2)</f>
      </c>
      <c r="N60">
        <f>ROUND('Workings'!$D$40*L60,2)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ROUND('Workings'!$C$40*L61,2)</f>
      </c>
      <c r="N61">
        <f>ROUND('Workings'!$D$40*L61,2)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ROUND('Workings'!$C$40*L62,2)</f>
      </c>
      <c r="N62">
        <f>ROUND('Workings'!$D$40*L62,2)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ROUND('Workings'!$C$40*L63,2)</f>
      </c>
      <c r="N63">
        <f>ROUND('Workings'!$D$40*L63,2)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ROUND('Workings'!$C$40*L64,2)</f>
      </c>
      <c r="N64">
        <f>ROUND('Workings'!$D$40*L64,2)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ROUND('Workings'!$C$40*L65,2)</f>
      </c>
      <c r="N65">
        <f>ROUND('Workings'!$D$40*L65,2)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ROUND('Workings'!$C$40*L66,2)</f>
      </c>
      <c r="N66">
        <f>ROUND('Workings'!$D$40*L66,2)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ROUND('Workings'!$C$40*L67,2)</f>
      </c>
      <c r="N67">
        <f>ROUND('Workings'!$D$40*L67,2)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ROUND('Workings'!$C$40*L68,2)</f>
      </c>
      <c r="N68">
        <f>ROUND('Workings'!$D$40*L68,2)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ROUND('Workings'!$C$40*L69,2)</f>
      </c>
      <c r="N69">
        <f>ROUND('Workings'!$D$40*L69,2)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ROUND('Workings'!$C$40*L70,2)</f>
      </c>
      <c r="N70">
        <f>ROUND('Workings'!$D$40*L70,2)</f>
      </c>
      <c r="O70">
        <f>IF(L70&gt;0,COUNTIF(S$22:S$39,"&gt;0")+COUNTIF(L$59:L70,"&gt;0"),0)</f>
      </c>
      <c r="P70">
        <v>12</v>
      </c>
      <c r="Q70">
        <f>IF(AND(F70="The children's trust",C70&lt;&gt;"Estate",C70&lt;&gt;""),1,0)</f>
      </c>
      <c r="R70">
        <f>IF(L70&gt;0,1,0)</f>
      </c>
    </row>
    <row r="71" ht="39" customHeight="1" spans="2:10" x14ac:dyDescent="0.25">
      <c r="B71" s="16" t="s">
        <v>93</v>
      </c>
      <c r="C71" s="16"/>
      <c r="D71" s="16"/>
      <c r="E71" s="16"/>
      <c r="F71" s="16"/>
      <c r="G71" s="16"/>
      <c r="H71" s="16"/>
      <c r="I71" s="16"/>
      <c r="J71" s="16"/>
    </row>
    <row r="73" ht="18" customHeight="1" spans="2:10" x14ac:dyDescent="0.25">
      <c r="B73" s="5" t="s">
        <v>94</v>
      </c>
      <c r="C73" s="6"/>
      <c r="D73" s="6"/>
      <c r="E73" s="6"/>
      <c r="F73" s="6"/>
      <c r="G73" s="6"/>
      <c r="H73" s="6"/>
      <c r="I73" s="6"/>
      <c r="J73" s="6"/>
    </row>
    <row r="74" hidden="1" spans="2:9" x14ac:dyDescent="0.25">
      <c r="B74" t="s">
        <v>65</v>
      </c>
      <c r="C74" t="s">
        <v>2</v>
      </c>
      <c r="D74" t="s">
        <v>95</v>
      </c>
      <c r="E74" t="s">
        <v>96</v>
      </c>
      <c r="F74" t="s">
        <v>97</v>
      </c>
      <c r="G74" t="s">
        <v>87</v>
      </c>
      <c r="H74" t="s">
        <v>66</v>
      </c>
      <c r="I74" t="s">
        <v>70</v>
      </c>
    </row>
    <row r="75" ht="42" customHeight="1" spans="2:10" x14ac:dyDescent="0.25">
      <c r="B75" s="12" t="s">
        <v>98</v>
      </c>
      <c r="C75" s="12" t="s">
        <v>89</v>
      </c>
      <c r="D75" s="13" t="s">
        <v>99</v>
      </c>
      <c r="E75" s="13" t="s">
        <v>100</v>
      </c>
      <c r="F75" s="13" t="s">
        <v>101</v>
      </c>
      <c r="G75" s="12" t="s">
        <v>102</v>
      </c>
      <c r="H75" s="13" t="s">
        <v>103</v>
      </c>
      <c r="I75" s="12" t="s">
        <v>78</v>
      </c>
      <c r="J75" s="13" t="s">
        <v>104</v>
      </c>
    </row>
    <row r="76" ht="27" customHeight="1" spans="2:20" x14ac:dyDescent="0.25">
      <c r="B76" s="8"/>
      <c r="C76" s="10"/>
      <c r="D76" s="11"/>
      <c r="E76" s="17"/>
      <c r="F76" s="18"/>
      <c r="G76" s="8"/>
      <c r="H76" s="11"/>
      <c r="I76" s="14"/>
      <c r="J76" s="19">
        <f>IF(N(D76)&gt;0,M76,"")</f>
      </c>
      <c r="L76">
        <f>IF(OR(N(D76)&lt;=0,N(F76)&lt;=0),0,ROUND(N(D76)*(IF(('Inputs'!$H$122/100)=0,12,(1-(1+('Inputs'!$H$122/100))^(-(12)/12))/(1-(1+('Inputs'!$H$122/100))^(-1/12)))*IF(ABS(((1+N(E76)/100)/(1+('Inputs'!$H$122/100)))-1)&lt;1E-12,INT(N(F76)/12),(1-((1+N(E76)/100)/(1+('Inputs'!$H$122/100)))^INT(N(F76)/12))/(1-((1+N(E76)/100)/(1+('Inputs'!$H$122/100)))))+((1+N(E76)/100)/(1+('Inputs'!$H$122/100)))^INT(N(F76)/12)*IF(('Inputs'!$H$122/100)=0,(N(F76)-12*INT(N(F76)/12)),(1-(1+('Inputs'!$H$122/100))^(-((N(F76)-12*INT(N(F76)/12)))/12))/(1-(1+('Inputs'!$H$122/100))^(-1/12)))),2))</f>
      </c>
      <c r="M76">
        <f>IF(N(D76)&lt;=0,0,IF(ISNUMBER(H76),H76,L76))</f>
      </c>
      <c r="N76">
        <f>IF(M76=0,0,IF(OR(C76="Spouse",AND(G76&lt;&gt;"",COUNTIFS($B$100:$B$105,G76,$C$100:$C$105,"Spouse")&gt;0)),1,0))</f>
      </c>
      <c r="O76">
        <f>IF(N76=1,0,M76)</f>
      </c>
      <c r="P76">
        <f>ROUND('Workings'!$C$40*O76,2)</f>
      </c>
      <c r="Q76">
        <f>ROUND('Workings'!$D$40*O76,2)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$122/100)=0,12,(1-(1+('Inputs'!$H$122/100))^(-(12)/12))/(1-(1+('Inputs'!$H$122/100))^(-1/12)))*IF(ABS(((1+N(E77)/100)/(1+('Inputs'!$H$122/100)))-1)&lt;1E-12,INT(N(F77)/12),(1-((1+N(E77)/100)/(1+('Inputs'!$H$122/100)))^INT(N(F77)/12))/(1-((1+N(E77)/100)/(1+('Inputs'!$H$122/100)))))+((1+N(E77)/100)/(1+('Inputs'!$H$122/100)))^INT(N(F77)/12)*IF(('Inputs'!$H$122/100)=0,(N(F77)-12*INT(N(F77)/12)),(1-(1+('Inputs'!$H$122/100))^(-((N(F77)-12*INT(N(F77)/12)))/12))/(1-(1+('Inputs'!$H$122/100))^(-1/12)))),2))</f>
      </c>
      <c r="M77">
        <f>IF(N(D77)&lt;=0,0,IF(ISNUMBER(H77),H77,L77))</f>
      </c>
      <c r="N77">
        <f>IF(M77=0,0,IF(OR(C77="Spouse",AND(G77&lt;&gt;"",COUNTIFS($B$100:$B$105,G77,$C$100:$C$105,"Spouse")&gt;0)),1,0))</f>
      </c>
      <c r="O77">
        <f>IF(N77=1,0,M77)</f>
      </c>
      <c r="P77">
        <f>ROUND('Workings'!$C$40*O77,2)</f>
      </c>
      <c r="Q77">
        <f>ROUND('Workings'!$D$40*O77,2)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$122/100)=0,12,(1-(1+('Inputs'!$H$122/100))^(-(12)/12))/(1-(1+('Inputs'!$H$122/100))^(-1/12)))*IF(ABS(((1+N(E78)/100)/(1+('Inputs'!$H$122/100)))-1)&lt;1E-12,INT(N(F78)/12),(1-((1+N(E78)/100)/(1+('Inputs'!$H$122/100)))^INT(N(F78)/12))/(1-((1+N(E78)/100)/(1+('Inputs'!$H$122/100)))))+((1+N(E78)/100)/(1+('Inputs'!$H$122/100)))^INT(N(F78)/12)*IF(('Inputs'!$H$122/100)=0,(N(F78)-12*INT(N(F78)/12)),(1-(1+('Inputs'!$H$122/100))^(-((N(F78)-12*INT(N(F78)/12)))/12))/(1-(1+('Inputs'!$H$122/100))^(-1/12)))),2))</f>
      </c>
      <c r="M78">
        <f>IF(N(D78)&lt;=0,0,IF(ISNUMBER(H78),H78,L78))</f>
      </c>
      <c r="N78">
        <f>IF(M78=0,0,IF(OR(C78="Spouse",AND(G78&lt;&gt;"",COUNTIFS($B$100:$B$105,G78,$C$100:$C$105,"Spouse")&gt;0)),1,0))</f>
      </c>
      <c r="O78">
        <f>IF(N78=1,0,M78)</f>
      </c>
      <c r="P78">
        <f>ROUND('Workings'!$C$40*O78,2)</f>
      </c>
      <c r="Q78">
        <f>ROUND('Workings'!$D$40*O78,2)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$122/100)=0,12,(1-(1+('Inputs'!$H$122/100))^(-(12)/12))/(1-(1+('Inputs'!$H$122/100))^(-1/12)))*IF(ABS(((1+N(E79)/100)/(1+('Inputs'!$H$122/100)))-1)&lt;1E-12,INT(N(F79)/12),(1-((1+N(E79)/100)/(1+('Inputs'!$H$122/100)))^INT(N(F79)/12))/(1-((1+N(E79)/100)/(1+('Inputs'!$H$122/100)))))+((1+N(E79)/100)/(1+('Inputs'!$H$122/100)))^INT(N(F79)/12)*IF(('Inputs'!$H$122/100)=0,(N(F79)-12*INT(N(F79)/12)),(1-(1+('Inputs'!$H$122/100))^(-((N(F79)-12*INT(N(F79)/12)))/12))/(1-(1+('Inputs'!$H$122/100))^(-1/12)))),2))</f>
      </c>
      <c r="M79">
        <f>IF(N(D79)&lt;=0,0,IF(ISNUMBER(H79),H79,L79))</f>
      </c>
      <c r="N79">
        <f>IF(M79=0,0,IF(OR(C79="Spouse",AND(G79&lt;&gt;"",COUNTIFS($B$100:$B$105,G79,$C$100:$C$105,"Spouse")&gt;0)),1,0))</f>
      </c>
      <c r="O79">
        <f>IF(N79=1,0,M79)</f>
      </c>
      <c r="P79">
        <f>ROUND('Workings'!$C$40*O79,2)</f>
      </c>
      <c r="Q79">
        <f>ROUND('Workings'!$D$40*O79,2)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$122/100)=0,12,(1-(1+('Inputs'!$H$122/100))^(-(12)/12))/(1-(1+('Inputs'!$H$122/100))^(-1/12)))*IF(ABS(((1+N(E80)/100)/(1+('Inputs'!$H$122/100)))-1)&lt;1E-12,INT(N(F80)/12),(1-((1+N(E80)/100)/(1+('Inputs'!$H$122/100)))^INT(N(F80)/12))/(1-((1+N(E80)/100)/(1+('Inputs'!$H$122/100)))))+((1+N(E80)/100)/(1+('Inputs'!$H$122/100)))^INT(N(F80)/12)*IF(('Inputs'!$H$122/100)=0,(N(F80)-12*INT(N(F80)/12)),(1-(1+('Inputs'!$H$122/100))^(-((N(F80)-12*INT(N(F80)/12)))/12))/(1-(1+('Inputs'!$H$122/100))^(-1/12)))),2))</f>
      </c>
      <c r="M80">
        <f>IF(N(D80)&lt;=0,0,IF(ISNUMBER(H80),H80,L80))</f>
      </c>
      <c r="N80">
        <f>IF(M80=0,0,IF(OR(C80="Spouse",AND(G80&lt;&gt;"",COUNTIFS($B$100:$B$105,G80,$C$100:$C$105,"Spouse")&gt;0)),1,0))</f>
      </c>
      <c r="O80">
        <f>IF(N80=1,0,M80)</f>
      </c>
      <c r="P80">
        <f>ROUND('Workings'!$C$40*O80,2)</f>
      </c>
      <c r="Q80">
        <f>ROUND('Workings'!$D$40*O80,2)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$122/100)=0,12,(1-(1+('Inputs'!$H$122/100))^(-(12)/12))/(1-(1+('Inputs'!$H$122/100))^(-1/12)))*IF(ABS(((1+N(E81)/100)/(1+('Inputs'!$H$122/100)))-1)&lt;1E-12,INT(N(F81)/12),(1-((1+N(E81)/100)/(1+('Inputs'!$H$122/100)))^INT(N(F81)/12))/(1-((1+N(E81)/100)/(1+('Inputs'!$H$122/100)))))+((1+N(E81)/100)/(1+('Inputs'!$H$122/100)))^INT(N(F81)/12)*IF(('Inputs'!$H$122/100)=0,(N(F81)-12*INT(N(F81)/12)),(1-(1+('Inputs'!$H$122/100))^(-((N(F81)-12*INT(N(F81)/12)))/12))/(1-(1+('Inputs'!$H$122/100))^(-1/12)))),2))</f>
      </c>
      <c r="M81">
        <f>IF(N(D81)&lt;=0,0,IF(ISNUMBER(H81),H81,L81))</f>
      </c>
      <c r="N81">
        <f>IF(M81=0,0,IF(OR(C81="Spouse",AND(G81&lt;&gt;"",COUNTIFS($B$100:$B$105,G81,$C$100:$C$105,"Spouse")&gt;0)),1,0))</f>
      </c>
      <c r="O81">
        <f>IF(N81=1,0,M81)</f>
      </c>
      <c r="P81">
        <f>ROUND('Workings'!$C$40*O81,2)</f>
      </c>
      <c r="Q81">
        <f>ROUND('Workings'!$D$40*O81,2)</f>
      </c>
      <c r="R81">
        <f>IF(O81&gt;0,COUNTIF(S$22:S$39,"&gt;0")+COUNTIF(L$59:L$70,"&gt;0")+COUNTIF(O$76:O81,"&gt;0"),0)</f>
      </c>
      <c r="S81">
        <f>IF(N81=1,M81,0)</f>
      </c>
      <c r="T81">
        <f>IF(AND(B81="",N(D81)=0),0,IF(OR(C81="",N(D81)&lt;=0,N(F81)&lt;=0,N(F81)&lt;&gt;INT(N(F81)),AND(C81="Estate",G81=""),AND(G81&lt;&gt;"",COUNTIF($B$100:$B$105,G81)=0)),1,0))</f>
      </c>
    </row>
    <row r="82" ht="39" customHeight="1" spans="2:10"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"&amp;FIXED('Inputs'!$H$122,1)&amp;"%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row>
    <row r="84" ht="18" customHeight="1" spans="2:10" x14ac:dyDescent="0.25">
      <c r="B84" s="5" t="s">
        <v>105</v>
      </c>
      <c r="C84" s="6"/>
      <c r="D84" s="6"/>
      <c r="E84" s="6"/>
      <c r="F84" s="6"/>
      <c r="G84" s="6"/>
      <c r="H84" s="6"/>
      <c r="I84" s="6"/>
      <c r="J84" s="6"/>
    </row>
    <row r="85" hidden="1" spans="2:9" x14ac:dyDescent="0.25">
      <c r="B85" t="s">
        <v>65</v>
      </c>
      <c r="D85" t="s">
        <v>66</v>
      </c>
      <c r="F85" t="s">
        <v>106</v>
      </c>
      <c r="I85" t="s">
        <v>70</v>
      </c>
    </row>
    <row r="86" ht="30" customHeight="1" spans="2:10" x14ac:dyDescent="0.25">
      <c r="B86" s="12" t="s">
        <v>107</v>
      </c>
      <c r="D86" s="13" t="s">
        <v>73</v>
      </c>
      <c r="F86" s="12" t="s">
        <v>108</v>
      </c>
      <c r="G86" s="12"/>
      <c r="H86" s="12"/>
      <c r="I86" s="12" t="s">
        <v>78</v>
      </c>
      <c r="J86" s="13" t="s">
        <v>109</v>
      </c>
    </row>
    <row r="87" spans="2:10" x14ac:dyDescent="0.25">
      <c r="B87" s="8"/>
      <c r="D87" s="11"/>
      <c r="F87" s="14"/>
      <c r="G87" s="14"/>
      <c r="H87" s="14"/>
      <c r="I87" s="14"/>
      <c r="J87" s="20">
        <f>IF(N(D87)&gt;0,N(D87)-ROUND((INDEX('Inputs'!$H$134:$H$137,MATCH(SUM('Inputs'!$D$87:$D$94),'Inputs'!$G$134:$G$137,1))+INDEX('Inputs'!$I$134:$I$137,MATCH(SUM('Inputs'!$D$87:$D$94),'Inputs'!$G$134:$G$137,1))/100*((SUM('Inputs'!$D$87:$D$94))-INDEX('Inputs'!$G$134:$G$137,MATCH(SUM('Inputs'!$D$87:$D$94),'Inputs'!$G$134:$G$137,1))))*N(D87)/SUM('Inputs'!$D$87:$D$94),2),0)</f>
      </c>
    </row>
    <row r="88" spans="2:10" x14ac:dyDescent="0.25">
      <c r="B88" s="8"/>
      <c r="D88" s="11"/>
      <c r="F88" s="14"/>
      <c r="G88" s="14"/>
      <c r="H88" s="14"/>
      <c r="I88" s="14"/>
      <c r="J88" s="20">
        <f>IF(N(D88)&gt;0,N(D88)-ROUND((INDEX('Inputs'!$H$134:$H$137,MATCH(SUM('Inputs'!$D$87:$D$94),'Inputs'!$G$134:$G$137,1))+INDEX('Inputs'!$I$134:$I$137,MATCH(SUM('Inputs'!$D$87:$D$94),'Inputs'!$G$134:$G$137,1))/100*((SUM('Inputs'!$D$87:$D$94))-INDEX('Inputs'!$G$134:$G$137,MATCH(SUM('Inputs'!$D$87:$D$94),'Inputs'!$G$134:$G$137,1))))*N(D88)/SUM('Inputs'!$D$87:$D$94),2),0)</f>
      </c>
    </row>
    <row r="89" spans="2:10" x14ac:dyDescent="0.25">
      <c r="B89" s="8"/>
      <c r="D89" s="11"/>
      <c r="F89" s="14"/>
      <c r="G89" s="14"/>
      <c r="H89" s="14"/>
      <c r="I89" s="14"/>
      <c r="J89" s="20">
        <f>IF(N(D89)&gt;0,N(D89)-ROUND((INDEX('Inputs'!$H$134:$H$137,MATCH(SUM('Inputs'!$D$87:$D$94),'Inputs'!$G$134:$G$137,1))+INDEX('Inputs'!$I$134:$I$137,MATCH(SUM('Inputs'!$D$87:$D$94),'Inputs'!$G$134:$G$137,1))/100*((SUM('Inputs'!$D$87:$D$94))-INDEX('Inputs'!$G$134:$G$137,MATCH(SUM('Inputs'!$D$87:$D$94),'Inputs'!$G$134:$G$137,1))))*N(D89)/SUM('Inputs'!$D$87:$D$94),2),0)</f>
      </c>
    </row>
    <row r="90" spans="2:10" x14ac:dyDescent="0.25">
      <c r="B90" s="8"/>
      <c r="D90" s="11"/>
      <c r="F90" s="14"/>
      <c r="G90" s="14"/>
      <c r="H90" s="14"/>
      <c r="I90" s="14"/>
      <c r="J90" s="20">
        <f>IF(N(D90)&gt;0,N(D90)-ROUND((INDEX('Inputs'!$H$134:$H$137,MATCH(SUM('Inputs'!$D$87:$D$94),'Inputs'!$G$134:$G$137,1))+INDEX('Inputs'!$I$134:$I$137,MATCH(SUM('Inputs'!$D$87:$D$94),'Inputs'!$G$134:$G$137,1))/100*((SUM('Inputs'!$D$87:$D$94))-INDEX('Inputs'!$G$134:$G$137,MATCH(SUM('Inputs'!$D$87:$D$94),'Inputs'!$G$134:$G$137,1))))*N(D90)/SUM('Inputs'!$D$87:$D$94),2),0)</f>
      </c>
    </row>
    <row r="91" spans="2:10" x14ac:dyDescent="0.25">
      <c r="B91" s="8"/>
      <c r="D91" s="11"/>
      <c r="F91" s="14"/>
      <c r="G91" s="14"/>
      <c r="H91" s="14"/>
      <c r="I91" s="14"/>
      <c r="J91" s="20">
        <f>IF(N(D91)&gt;0,N(D91)-ROUND((INDEX('Inputs'!$H$134:$H$137,MATCH(SUM('Inputs'!$D$87:$D$94),'Inputs'!$G$134:$G$137,1))+INDEX('Inputs'!$I$134:$I$137,MATCH(SUM('Inputs'!$D$87:$D$94),'Inputs'!$G$134:$G$137,1))/100*((SUM('Inputs'!$D$87:$D$94))-INDEX('Inputs'!$G$134:$G$137,MATCH(SUM('Inputs'!$D$87:$D$94),'Inputs'!$G$134:$G$137,1))))*N(D91)/SUM('Inputs'!$D$87:$D$94),2),0)</f>
      </c>
    </row>
    <row r="92" spans="2:10" x14ac:dyDescent="0.25">
      <c r="B92" s="8"/>
      <c r="D92" s="11"/>
      <c r="F92" s="14"/>
      <c r="G92" s="14"/>
      <c r="H92" s="14"/>
      <c r="I92" s="14"/>
      <c r="J92" s="20">
        <f>IF(N(D92)&gt;0,N(D92)-ROUND((INDEX('Inputs'!$H$134:$H$137,MATCH(SUM('Inputs'!$D$87:$D$94),'Inputs'!$G$134:$G$137,1))+INDEX('Inputs'!$I$134:$I$137,MATCH(SUM('Inputs'!$D$87:$D$94),'Inputs'!$G$134:$G$137,1))/100*((SUM('Inputs'!$D$87:$D$94))-INDEX('Inputs'!$G$134:$G$137,MATCH(SUM('Inputs'!$D$87:$D$94),'Inputs'!$G$134:$G$137,1))))*N(D92)/SUM('Inputs'!$D$87:$D$94),2),0)</f>
      </c>
    </row>
    <row r="93" spans="2:10" x14ac:dyDescent="0.25">
      <c r="B93" s="8"/>
      <c r="D93" s="11"/>
      <c r="F93" s="14"/>
      <c r="G93" s="14"/>
      <c r="H93" s="14"/>
      <c r="I93" s="14"/>
      <c r="J93" s="20">
        <f>IF(N(D93)&gt;0,N(D93)-ROUND((INDEX('Inputs'!$H$134:$H$137,MATCH(SUM('Inputs'!$D$87:$D$94),'Inputs'!$G$134:$G$137,1))+INDEX('Inputs'!$I$134:$I$137,MATCH(SUM('Inputs'!$D$87:$D$94),'Inputs'!$G$134:$G$137,1))/100*((SUM('Inputs'!$D$87:$D$94))-INDEX('Inputs'!$G$134:$G$137,MATCH(SUM('Inputs'!$D$87:$D$94),'Inputs'!$G$134:$G$137,1))))*N(D93)/SUM('Inputs'!$D$87:$D$94),2),0)</f>
      </c>
    </row>
    <row r="94" spans="2:10" x14ac:dyDescent="0.25">
      <c r="B94" s="8"/>
      <c r="D94" s="11"/>
      <c r="F94" s="14"/>
      <c r="G94" s="14"/>
      <c r="H94" s="14"/>
      <c r="I94" s="14"/>
      <c r="J94" s="20">
        <f>IF(N(D94)&gt;0,N(D94)-ROUND((INDEX('Inputs'!$H$134:$H$137,MATCH(SUM('Inputs'!$D$87:$D$94),'Inputs'!$G$134:$G$137,1))+INDEX('Inputs'!$I$134:$I$137,MATCH(SUM('Inputs'!$D$87:$D$94),'Inputs'!$G$134:$G$137,1))/100*((SUM('Inputs'!$D$87:$D$94))-INDEX('Inputs'!$G$134:$G$137,MATCH(SUM('Inputs'!$D$87:$D$94),'Inputs'!$G$134:$G$137,1))))*N(D94)/SUM('Inputs'!$D$87:$D$94),2),0)</f>
      </c>
    </row>
    <row r="95" ht="39" customHeight="1" spans="2:10" x14ac:dyDescent="0.25">
      <c r="B95" s="16" t="s">
        <v>110</v>
      </c>
      <c r="C95" s="16"/>
      <c r="D95" s="16"/>
      <c r="E95" s="16"/>
      <c r="F95" s="16"/>
      <c r="G95" s="16"/>
      <c r="H95" s="16"/>
      <c r="I95" s="16"/>
      <c r="J95" s="16"/>
    </row>
    <row r="97" ht="18" customHeight="1" spans="2:10" x14ac:dyDescent="0.25">
      <c r="B97" s="5" t="s">
        <v>111</v>
      </c>
      <c r="C97" s="6"/>
      <c r="D97" s="6"/>
      <c r="E97" s="6"/>
      <c r="F97" s="6"/>
      <c r="G97" s="6"/>
      <c r="H97" s="6"/>
      <c r="I97" s="6"/>
      <c r="J97" s="6"/>
    </row>
    <row r="98" hidden="1" spans="2:10" x14ac:dyDescent="0.25">
      <c r="B98" t="s">
        <v>65</v>
      </c>
      <c r="C98" t="s">
        <v>5</v>
      </c>
      <c r="D98" t="s">
        <v>112</v>
      </c>
      <c r="E98" t="s">
        <v>113</v>
      </c>
      <c r="F98" t="s">
        <v>114</v>
      </c>
      <c r="G98" t="s">
        <v>96</v>
      </c>
      <c r="H98" t="s">
        <v>115</v>
      </c>
      <c r="I98" t="s">
        <v>116</v>
      </c>
      <c r="J98" t="s">
        <v>117</v>
      </c>
    </row>
    <row r="99" ht="42" customHeight="1" spans="2:26" x14ac:dyDescent="0.25">
      <c r="B99" s="12" t="s">
        <v>118</v>
      </c>
      <c r="C99" s="12" t="s">
        <v>119</v>
      </c>
      <c r="D99" s="13" t="s">
        <v>120</v>
      </c>
      <c r="E99" s="13" t="s">
        <v>121</v>
      </c>
      <c r="F99" s="13" t="s">
        <v>122</v>
      </c>
      <c r="G99" s="13" t="s">
        <v>123</v>
      </c>
      <c r="H99" s="12" t="s">
        <v>124</v>
      </c>
      <c r="I99" s="13" t="s">
        <v>125</v>
      </c>
      <c r="J99" s="13" t="s">
        <v>126</v>
      </c>
      <c r="Z99" t="s">
        <v>127</v>
      </c>
    </row>
    <row r="100" ht="15" customHeight="1" spans="2:26" x14ac:dyDescent="0.25">
      <c r="B100" s="8"/>
      <c r="C100" s="10"/>
      <c r="D100" s="18"/>
      <c r="E100" s="11"/>
      <c r="F100" s="18"/>
      <c r="G100" s="17"/>
      <c r="H100" s="10"/>
      <c r="I100" s="11"/>
      <c r="J100" s="11"/>
      <c r="L100">
        <f>IF(AND(B100&lt;&gt;"",C100="Child"),1,0)</f>
      </c>
      <c r="M100">
        <f>IF(L100=1,SUM(L$100:L100),0)</f>
      </c>
      <c r="N100">
        <f>IF(AND(L100=1,M100=SUM(L$100:L$105)),1,0)</f>
      </c>
      <c r="O100">
        <f>IF(AND(B100&lt;&gt;"",C100="Spouse",COUNTIF(C$100:C100,"Spouse")=1),1,0)</f>
      </c>
      <c r="P100">
        <f>IF(B100="",0,IF(OR(C100="",AND(N(E100)&lt;=0,N(J100)&lt;=0),AND(N(E100)&gt;0,N(F100)&lt;=0)),1,0))</f>
      </c>
      <c r="Q100">
        <f>IF(AND(L100=1,H100="Yes"),1,0)</f>
      </c>
      <c r="R100">
        <f>IF(Q100=1,SUM(Q$100:Q100),0)</f>
      </c>
      <c r="S100">
        <f>IF(AND(Q100=1,R100=SUM(Q$100:Q$105)),1,0)</f>
      </c>
      <c r="T100">
        <f>IF(AND(B100&lt;&gt;"",C100="Spouse",'Inputs'!$C$107="The spouse"),1,0)</f>
      </c>
      <c r="Z100">
        <f>IF(B100="","",B100)</f>
      </c>
    </row>
    <row r="101" ht="15" customHeight="1" spans="2:26" x14ac:dyDescent="0.25">
      <c r="B101" s="8"/>
      <c r="C101" s="10"/>
      <c r="D101" s="18"/>
      <c r="E101" s="11"/>
      <c r="F101" s="18"/>
      <c r="G101" s="17"/>
      <c r="H101" s="10"/>
      <c r="I101" s="11"/>
      <c r="J101" s="11"/>
      <c r="L101">
        <f>IF(AND(B101&lt;&gt;"",C101="Child"),1,0)</f>
      </c>
      <c r="M101">
        <f>IF(L101=1,SUM(L$100:L101),0)</f>
      </c>
      <c r="N101">
        <f>IF(AND(L101=1,M101=SUM(L$100:L$105)),1,0)</f>
      </c>
      <c r="O101">
        <f>IF(AND(B101&lt;&gt;"",C101="Spouse",COUNTIF(C$100:C101,"Spouse")=1),1,0)</f>
      </c>
      <c r="P101">
        <f>IF(B101="",0,IF(OR(C101="",AND(N(E101)&lt;=0,N(J101)&lt;=0),AND(N(E101)&gt;0,N(F101)&lt;=0)),1,0))</f>
      </c>
      <c r="Q101">
        <f>IF(AND(L101=1,H101="Yes"),1,0)</f>
      </c>
      <c r="R101">
        <f>IF(Q101=1,SUM(Q$100:Q101),0)</f>
      </c>
      <c r="S101">
        <f>IF(AND(Q101=1,R101=SUM(Q$100:Q$105)),1,0)</f>
      </c>
      <c r="T101">
        <f>IF(AND(B101&lt;&gt;"",C101="Spouse",'Inputs'!$C$107="The spouse"),1,0)</f>
      </c>
      <c r="Z101">
        <f>IF(B101="","",B101)</f>
      </c>
    </row>
    <row r="102" ht="15" customHeight="1" spans="2:26" x14ac:dyDescent="0.25">
      <c r="B102" s="8"/>
      <c r="C102" s="10"/>
      <c r="D102" s="18"/>
      <c r="E102" s="11"/>
      <c r="F102" s="18"/>
      <c r="G102" s="17"/>
      <c r="H102" s="10"/>
      <c r="I102" s="11"/>
      <c r="J102" s="11"/>
      <c r="L102">
        <f>IF(AND(B102&lt;&gt;"",C102="Child"),1,0)</f>
      </c>
      <c r="M102">
        <f>IF(L102=1,SUM(L$100:L102),0)</f>
      </c>
      <c r="N102">
        <f>IF(AND(L102=1,M102=SUM(L$100:L$105)),1,0)</f>
      </c>
      <c r="O102">
        <f>IF(AND(B102&lt;&gt;"",C102="Spouse",COUNTIF(C$100:C102,"Spouse")=1),1,0)</f>
      </c>
      <c r="P102">
        <f>IF(B102="",0,IF(OR(C102="",AND(N(E102)&lt;=0,N(J102)&lt;=0),AND(N(E102)&gt;0,N(F102)&lt;=0)),1,0))</f>
      </c>
      <c r="Q102">
        <f>IF(AND(L102=1,H102="Yes"),1,0)</f>
      </c>
      <c r="R102">
        <f>IF(Q102=1,SUM(Q$100:Q102),0)</f>
      </c>
      <c r="S102">
        <f>IF(AND(Q102=1,R102=SUM(Q$100:Q$105)),1,0)</f>
      </c>
      <c r="T102">
        <f>IF(AND(B102&lt;&gt;"",C102="Spouse",'Inputs'!$C$107="The spouse"),1,0)</f>
      </c>
      <c r="Z102">
        <f>IF(B102="","",B102)</f>
      </c>
    </row>
    <row r="103" ht="15" customHeight="1" spans="2:26" x14ac:dyDescent="0.25">
      <c r="B103" s="8"/>
      <c r="C103" s="10"/>
      <c r="D103" s="18"/>
      <c r="E103" s="11"/>
      <c r="F103" s="18"/>
      <c r="G103" s="17"/>
      <c r="H103" s="10"/>
      <c r="I103" s="11"/>
      <c r="J103" s="11"/>
      <c r="L103">
        <f>IF(AND(B103&lt;&gt;"",C103="Child"),1,0)</f>
      </c>
      <c r="M103">
        <f>IF(L103=1,SUM(L$100:L103),0)</f>
      </c>
      <c r="N103">
        <f>IF(AND(L103=1,M103=SUM(L$100:L$105)),1,0)</f>
      </c>
      <c r="O103">
        <f>IF(AND(B103&lt;&gt;"",C103="Spouse",COUNTIF(C$100:C103,"Spouse")=1),1,0)</f>
      </c>
      <c r="P103">
        <f>IF(B103="",0,IF(OR(C103="",AND(N(E103)&lt;=0,N(J103)&lt;=0),AND(N(E103)&gt;0,N(F103)&lt;=0)),1,0))</f>
      </c>
      <c r="Q103">
        <f>IF(AND(L103=1,H103="Yes"),1,0)</f>
      </c>
      <c r="R103">
        <f>IF(Q103=1,SUM(Q$100:Q103),0)</f>
      </c>
      <c r="S103">
        <f>IF(AND(Q103=1,R103=SUM(Q$100:Q$105)),1,0)</f>
      </c>
      <c r="T103">
        <f>IF(AND(B103&lt;&gt;"",C103="Spouse",'Inputs'!$C$107="The spouse"),1,0)</f>
      </c>
      <c r="Z103">
        <f>IF(B103="","",B103)</f>
      </c>
    </row>
    <row r="104" ht="15" customHeight="1" spans="2:26" x14ac:dyDescent="0.25">
      <c r="B104" s="8"/>
      <c r="C104" s="10"/>
      <c r="D104" s="18"/>
      <c r="E104" s="11"/>
      <c r="F104" s="18"/>
      <c r="G104" s="17"/>
      <c r="H104" s="10"/>
      <c r="I104" s="11"/>
      <c r="J104" s="11"/>
      <c r="L104">
        <f>IF(AND(B104&lt;&gt;"",C104="Child"),1,0)</f>
      </c>
      <c r="M104">
        <f>IF(L104=1,SUM(L$100:L104),0)</f>
      </c>
      <c r="N104">
        <f>IF(AND(L104=1,M104=SUM(L$100:L$105)),1,0)</f>
      </c>
      <c r="O104">
        <f>IF(AND(B104&lt;&gt;"",C104="Spouse",COUNTIF(C$100:C104,"Spouse")=1),1,0)</f>
      </c>
      <c r="P104">
        <f>IF(B104="",0,IF(OR(C104="",AND(N(E104)&lt;=0,N(J104)&lt;=0),AND(N(E104)&gt;0,N(F104)&lt;=0)),1,0))</f>
      </c>
      <c r="Q104">
        <f>IF(AND(L104=1,H104="Yes"),1,0)</f>
      </c>
      <c r="R104">
        <f>IF(Q104=1,SUM(Q$100:Q104),0)</f>
      </c>
      <c r="S104">
        <f>IF(AND(Q104=1,R104=SUM(Q$100:Q$105)),1,0)</f>
      </c>
      <c r="T104">
        <f>IF(AND(B104&lt;&gt;"",C104="Spouse",'Inputs'!$C$107="The spouse"),1,0)</f>
      </c>
      <c r="Z104">
        <f>IF(B104="","",B104)</f>
      </c>
    </row>
    <row r="105" ht="15" customHeight="1" spans="2:26" x14ac:dyDescent="0.25">
      <c r="B105" s="8"/>
      <c r="C105" s="10"/>
      <c r="D105" s="18"/>
      <c r="E105" s="11"/>
      <c r="F105" s="18"/>
      <c r="G105" s="17"/>
      <c r="H105" s="10"/>
      <c r="I105" s="11"/>
      <c r="J105" s="11"/>
      <c r="L105">
        <f>IF(AND(B105&lt;&gt;"",C105="Child"),1,0)</f>
      </c>
      <c r="M105">
        <f>IF(L105=1,SUM(L$100:L105),0)</f>
      </c>
      <c r="N105">
        <f>IF(AND(L105=1,M105=SUM(L$100:L$105)),1,0)</f>
      </c>
      <c r="O105">
        <f>IF(AND(B105&lt;&gt;"",C105="Spouse",COUNTIF(C$100:C105,"Spouse")=1),1,0)</f>
      </c>
      <c r="P105">
        <f>IF(B105="",0,IF(OR(C105="",AND(N(E105)&lt;=0,N(J105)&lt;=0),AND(N(E105)&gt;0,N(F105)&lt;=0)),1,0))</f>
      </c>
      <c r="Q105">
        <f>IF(AND(L105=1,H105="Yes"),1,0)</f>
      </c>
      <c r="R105">
        <f>IF(Q105=1,SUM(Q$100:Q105),0)</f>
      </c>
      <c r="S105">
        <f>IF(AND(Q105=1,R105=SUM(Q$100:Q$105)),1,0)</f>
      </c>
      <c r="T105">
        <f>IF(AND(B105&lt;&gt;"",C105="Spouse",'Inputs'!$C$107="The spouse"),1,0)</f>
      </c>
      <c r="Z105">
        <f>IF(B105="","",B105)</f>
      </c>
    </row>
    <row r="106" ht="27" customHeight="1" spans="2:5" x14ac:dyDescent="0.25">
      <c r="B106" s="7" t="s">
        <v>128</v>
      </c>
      <c r="C106" s="10" t="s">
        <v>16</v>
      </c>
      <c r="D106" s="10"/>
      <c r="E106" s="10"/>
    </row>
    <row r="107" ht="27" customHeight="1" spans="2:5" x14ac:dyDescent="0.25">
      <c r="B107" s="7" t="s">
        <v>129</v>
      </c>
      <c r="C107" s="10" t="s">
        <v>17</v>
      </c>
      <c r="D107" s="10"/>
      <c r="E107" s="10"/>
    </row>
    <row r="108" ht="39" customHeight="1" spans="2:10" x14ac:dyDescent="0.25">
      <c r="B108" s="16" t="s">
        <v>130</v>
      </c>
      <c r="C108" s="16"/>
      <c r="D108" s="16"/>
      <c r="E108" s="16"/>
      <c r="F108" s="16"/>
      <c r="G108" s="16"/>
      <c r="H108" s="16"/>
      <c r="I108" s="16"/>
      <c r="J108" s="16"/>
    </row>
    <row r="110" ht="18" customHeight="1" spans="2:10" x14ac:dyDescent="0.25">
      <c r="B110" s="5" t="s">
        <v>131</v>
      </c>
      <c r="C110" s="6"/>
      <c r="D110" s="6"/>
      <c r="E110" s="6"/>
      <c r="F110" s="6"/>
      <c r="G110" s="6"/>
      <c r="H110" s="6"/>
      <c r="I110" s="6"/>
      <c r="J110" s="6"/>
    </row>
    <row r="111" spans="2:3" x14ac:dyDescent="0.25">
      <c r="B111" s="7" t="s">
        <v>132</v>
      </c>
      <c r="C111" s="8"/>
    </row>
    <row r="112" spans="2:3" x14ac:dyDescent="0.25">
      <c r="B112" s="7" t="s">
        <v>133</v>
      </c>
      <c r="C112" s="17"/>
    </row>
    <row r="113" spans="2:3" x14ac:dyDescent="0.25">
      <c r="B113" s="7" t="s">
        <v>134</v>
      </c>
      <c r="C113" s="11"/>
    </row>
    <row r="114" spans="2:3" x14ac:dyDescent="0.25">
      <c r="B114" s="7" t="s">
        <v>135</v>
      </c>
      <c r="C114" s="17"/>
    </row>
    <row r="115" spans="2:3" x14ac:dyDescent="0.25">
      <c r="B115" s="7" t="s">
        <v>136</v>
      </c>
      <c r="C115" s="11"/>
    </row>
    <row r="116" spans="2:3" x14ac:dyDescent="0.25">
      <c r="B116" s="7" t="s">
        <v>137</v>
      </c>
      <c r="C116" s="11"/>
    </row>
    <row r="117" ht="26" customHeight="1" spans="2:10" x14ac:dyDescent="0.25">
      <c r="B117" s="16" t="s">
        <v>138</v>
      </c>
      <c r="C117" s="16"/>
      <c r="D117" s="16"/>
      <c r="E117" s="16"/>
      <c r="F117" s="16"/>
      <c r="G117" s="16"/>
      <c r="H117" s="16"/>
      <c r="I117" s="16"/>
      <c r="J117" s="16"/>
    </row>
    <row r="119" ht="18" customHeight="1" spans="2:10" x14ac:dyDescent="0.25">
      <c r="B119" s="5" t="s">
        <v>139</v>
      </c>
      <c r="C119" s="6"/>
      <c r="D119" s="6"/>
      <c r="E119" s="6"/>
      <c r="F119" s="6"/>
      <c r="G119" s="6"/>
      <c r="H119" s="6"/>
      <c r="I119" s="6"/>
      <c r="J119" s="6"/>
    </row>
    <row r="120" spans="2:8" x14ac:dyDescent="0.25">
      <c r="B120" s="7" t="s">
        <v>140</v>
      </c>
      <c r="C120" s="17">
        <v>3.5</v>
      </c>
      <c r="E120" s="7" t="s">
        <v>141</v>
      </c>
      <c r="F120" s="7"/>
      <c r="G120" s="7"/>
      <c r="H120" s="17">
        <v>40</v>
      </c>
    </row>
    <row r="121" spans="2:8" x14ac:dyDescent="0.25">
      <c r="B121" s="7" t="s">
        <v>142</v>
      </c>
      <c r="C121" s="17">
        <v>15</v>
      </c>
      <c r="E121" s="7" t="s">
        <v>143</v>
      </c>
      <c r="F121" s="7"/>
      <c r="G121" s="7"/>
      <c r="H121" s="11">
        <v>3000000</v>
      </c>
    </row>
    <row r="122" spans="2:8" x14ac:dyDescent="0.25">
      <c r="B122" s="7" t="s">
        <v>144</v>
      </c>
      <c r="C122" s="11">
        <v>7000</v>
      </c>
      <c r="E122" s="7" t="s">
        <v>145</v>
      </c>
      <c r="F122" s="7"/>
      <c r="G122" s="7"/>
      <c r="H122" s="17">
        <v>7</v>
      </c>
    </row>
    <row r="123" spans="2:8" x14ac:dyDescent="0.25">
      <c r="B123" s="7" t="s">
        <v>146</v>
      </c>
      <c r="C123" s="11">
        <v>50000</v>
      </c>
      <c r="E123" s="7" t="s">
        <v>147</v>
      </c>
      <c r="F123" s="7"/>
      <c r="G123" s="7"/>
      <c r="H123" s="17">
        <v>2</v>
      </c>
    </row>
    <row r="124" spans="2:8" x14ac:dyDescent="0.25">
      <c r="B124" s="7" t="s">
        <v>148</v>
      </c>
      <c r="C124" s="11">
        <v>8000</v>
      </c>
      <c r="E124" s="7" t="s">
        <v>149</v>
      </c>
      <c r="F124" s="7"/>
      <c r="G124" s="7"/>
      <c r="H124" s="11">
        <v>99000</v>
      </c>
    </row>
    <row r="125" spans="2:8" x14ac:dyDescent="0.25">
      <c r="B125" s="7" t="s">
        <v>150</v>
      </c>
      <c r="C125" s="17">
        <v>1</v>
      </c>
      <c r="E125" s="7" t="s">
        <v>151</v>
      </c>
      <c r="F125" s="7"/>
      <c r="G125" s="7"/>
      <c r="H125" s="17">
        <v>52.5</v>
      </c>
    </row>
    <row r="126" spans="2:8" x14ac:dyDescent="0.25">
      <c r="B126" s="7" t="s">
        <v>152</v>
      </c>
      <c r="C126" s="17">
        <v>7.5</v>
      </c>
      <c r="E126" s="7" t="s">
        <v>153</v>
      </c>
      <c r="F126" s="7"/>
      <c r="G126" s="7"/>
      <c r="H126" s="17">
        <v>11.25</v>
      </c>
    </row>
    <row r="127" spans="2:8" x14ac:dyDescent="0.25">
      <c r="B127" s="7" t="s">
        <v>154</v>
      </c>
      <c r="C127" s="11">
        <v>3500000</v>
      </c>
      <c r="E127" s="7" t="s">
        <v>155</v>
      </c>
      <c r="F127" s="7"/>
      <c r="G127" s="7"/>
      <c r="H127" s="17">
        <v>36.25</v>
      </c>
    </row>
    <row r="128" spans="2:8" x14ac:dyDescent="0.25">
      <c r="B128" s="7" t="s">
        <v>156</v>
      </c>
      <c r="C128" s="17">
        <v>20</v>
      </c>
      <c r="E128" s="7" t="s">
        <v>157</v>
      </c>
      <c r="F128" s="7"/>
      <c r="G128" s="7"/>
      <c r="H128" s="17">
        <v>20</v>
      </c>
    </row>
    <row r="129" spans="2:8" x14ac:dyDescent="0.25">
      <c r="B129" s="7" t="s">
        <v>158</v>
      </c>
      <c r="C129" s="11">
        <v>30000000</v>
      </c>
      <c r="E129" s="7" t="s">
        <v>159</v>
      </c>
      <c r="F129" s="7"/>
      <c r="G129" s="7"/>
      <c r="H129" s="17">
        <v>4</v>
      </c>
    </row>
    <row r="130" spans="2:8" x14ac:dyDescent="0.25">
      <c r="B130" s="7" t="s">
        <v>160</v>
      </c>
      <c r="C130" s="17">
        <v>25</v>
      </c>
      <c r="E130" s="7" t="s">
        <v>161</v>
      </c>
      <c r="F130" s="7"/>
      <c r="G130" s="7"/>
      <c r="H130" s="11">
        <v>153250</v>
      </c>
    </row>
    <row r="131" spans="2:8" x14ac:dyDescent="0.25">
      <c r="B131" s="7" t="s">
        <v>162</v>
      </c>
      <c r="C131" s="11">
        <v>440000</v>
      </c>
      <c r="E131" s="7" t="s">
        <v>163</v>
      </c>
      <c r="F131" s="7"/>
      <c r="G131" s="7"/>
      <c r="H131" s="11">
        <v>171300</v>
      </c>
    </row>
    <row r="133" ht="30" customHeight="1" spans="2:7" x14ac:dyDescent="0.25">
      <c r="B133" s="21" t="s">
        <v>164</v>
      </c>
      <c r="C133" s="13" t="s">
        <v>165</v>
      </c>
      <c r="D133" s="13" t="s">
        <v>166</v>
      </c>
      <c r="E133" s="13" t="s">
        <v>167</v>
      </c>
      <c r="G133" s="21" t="s">
        <v>168</v>
      </c>
    </row>
    <row r="134" spans="3:9" x14ac:dyDescent="0.25">
      <c r="C134" s="11">
        <v>0</v>
      </c>
      <c r="D134" s="11">
        <v>0</v>
      </c>
      <c r="E134" s="17">
        <v>18</v>
      </c>
      <c r="G134" s="11">
        <v>0</v>
      </c>
      <c r="H134" s="11">
        <v>0</v>
      </c>
      <c r="I134" s="17">
        <v>0</v>
      </c>
    </row>
    <row r="135" spans="3:9" x14ac:dyDescent="0.25">
      <c r="C135" s="11">
        <v>245100</v>
      </c>
      <c r="D135" s="11">
        <v>44118</v>
      </c>
      <c r="E135" s="17">
        <v>26</v>
      </c>
      <c r="G135" s="11">
        <v>550000</v>
      </c>
      <c r="H135" s="11">
        <v>0</v>
      </c>
      <c r="I135" s="17">
        <v>18</v>
      </c>
    </row>
    <row r="136" spans="3:9" x14ac:dyDescent="0.25">
      <c r="C136" s="11">
        <v>383100</v>
      </c>
      <c r="D136" s="11">
        <v>79998</v>
      </c>
      <c r="E136" s="17">
        <v>31</v>
      </c>
      <c r="G136" s="11">
        <v>770000</v>
      </c>
      <c r="H136" s="11">
        <v>39600</v>
      </c>
      <c r="I136" s="17">
        <v>27</v>
      </c>
    </row>
    <row r="137" spans="3:9" x14ac:dyDescent="0.25">
      <c r="C137" s="11">
        <v>530200</v>
      </c>
      <c r="D137" s="11">
        <v>125599</v>
      </c>
      <c r="E137" s="17">
        <v>36</v>
      </c>
      <c r="G137" s="11">
        <v>1155000</v>
      </c>
      <c r="H137" s="11">
        <v>143550</v>
      </c>
      <c r="I137" s="17">
        <v>36</v>
      </c>
    </row>
    <row r="138" spans="3:5" x14ac:dyDescent="0.25">
      <c r="C138" s="11">
        <v>695800</v>
      </c>
      <c r="D138" s="11">
        <v>185215</v>
      </c>
      <c r="E138" s="17">
        <v>39</v>
      </c>
    </row>
    <row r="139" spans="3:5" x14ac:dyDescent="0.25">
      <c r="C139" s="11">
        <v>887000</v>
      </c>
      <c r="D139" s="11">
        <v>259783</v>
      </c>
      <c r="E139" s="17">
        <v>41</v>
      </c>
    </row>
    <row r="140" spans="3:5" x14ac:dyDescent="0.25">
      <c r="C140" s="11">
        <v>1878600</v>
      </c>
      <c r="D140" s="11">
        <v>666339</v>
      </c>
      <c r="E140" s="17">
        <v>45</v>
      </c>
    </row>
    <row r="141" ht="15" customHeight="1" spans="2:10" x14ac:dyDescent="0.25">
      <c r="B141" s="16" t="s">
        <v>169</v>
      </c>
      <c r="C141" s="16"/>
      <c r="D141" s="16"/>
      <c r="E141" s="16"/>
      <c r="F141" s="16"/>
      <c r="G141" s="16"/>
      <c r="H141" s="16"/>
      <c r="I141" s="16"/>
      <c r="J141" s="16"/>
    </row>
    <row r="143" ht="18" customHeight="1" spans="2:10" x14ac:dyDescent="0.25">
      <c r="B143" s="5" t="s">
        <v>170</v>
      </c>
      <c r="C143" s="6"/>
      <c r="D143" s="6"/>
      <c r="E143" s="6"/>
      <c r="F143" s="6"/>
      <c r="G143" s="6"/>
      <c r="H143" s="6"/>
      <c r="I143" s="6"/>
      <c r="J143" s="6"/>
    </row>
    <row r="144" ht="15" customHeight="1" spans="2:10" x14ac:dyDescent="0.25">
      <c r="B144" s="22">
        <f>IF(SUM(T22:T39)=0,"✓ Every asset taxed on death has a base cost.","✗ "&amp;SUM(T22:T39)&amp;IF(SUM(T22:T39)=1," asset has"," assets have")&amp;" no base cost. Capital gains tax is worked out on the full value (the worst case) until you add it.")</f>
      </c>
      <c r="C144" s="22"/>
      <c r="D144" s="22"/>
      <c r="E144" s="22"/>
      <c r="F144" s="22"/>
      <c r="G144" s="22"/>
      <c r="H144" s="22"/>
      <c r="I144" s="22"/>
      <c r="J144" s="22"/>
    </row>
    <row r="145" ht="15" customHeight="1" spans="2:10" x14ac:dyDescent="0.25">
      <c r="B145" s="22">
        <f>IF(SUM(W22:W39)=0,"✓ Every asset has a kind and says who it passes to.","✗ "&amp;SUM(W22:W39)&amp;IF(SUM(W22:W39)=1," asset is"," assets are")&amp;" missing its kind or who it passes to.")</f>
      </c>
      <c r="C145" s="22"/>
      <c r="D145" s="22"/>
      <c r="E145" s="22"/>
      <c r="F145" s="22"/>
      <c r="G145" s="22"/>
      <c r="H145" s="22"/>
      <c r="I145" s="22"/>
      <c r="J145" s="22"/>
    </row>
    <row r="146" ht="15" customHeight="1" spans="2:10" x14ac:dyDescent="0.25">
      <c r="B146" s="22">
        <f>IF(AND('Inputs'!$C$14="Spouse",LEFT('Inputs'!$C$13,7)&lt;&gt;"Married",'Inputs'!$C$13&lt;&gt;"Life partner",'Inputs'!$C$13&lt;&gt;"Civil Union"),"✗ The residue goes to a spouse, but the marital status is "&amp;'Inputs'!$C$13&amp;".","✓ Who inherits matches the marital status.")</f>
      </c>
      <c r="C146" s="22"/>
      <c r="D146" s="22"/>
      <c r="E146" s="22"/>
      <c r="F146" s="22"/>
      <c r="G146" s="22"/>
      <c r="H146" s="22"/>
      <c r="I146" s="22"/>
      <c r="J146" s="22"/>
    </row>
    <row r="147" ht="15" customHeight="1" spans="2:10" x14ac:dyDescent="0.25">
      <c r="B147"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47" s="22"/>
      <c r="D147" s="22"/>
      <c r="E147" s="22"/>
      <c r="F147" s="22"/>
      <c r="G147" s="22"/>
      <c r="H147" s="22"/>
      <c r="I147" s="22"/>
      <c r="J147" s="22"/>
    </row>
    <row r="148" ht="15" customHeight="1" spans="2:10" x14ac:dyDescent="0.25">
      <c r="B148" s="22">
        <f>IF((COUNTIF(S22:S39,"&gt;0")+COUNTIF(L59:L70,"&gt;0")+COUNTIF(O76:O81,"&gt;0"))&gt;6,"● "&amp;(COUNTIF(S22:S39,"&gt;0")+COUNTIF(L59:L70,"&gt;0")+COUNTIF(O76:O81,"&gt;0"))&amp;" named people pay estate duty: Workings lists the first 6; the total includes them all.","✓ Every named person who pays estate duty is listed on Workings.")</f>
      </c>
      <c r="C148" s="22"/>
      <c r="D148" s="22"/>
      <c r="E148" s="22"/>
      <c r="F148" s="22"/>
      <c r="G148" s="22"/>
      <c r="H148" s="22"/>
      <c r="I148" s="22"/>
      <c r="J148" s="22"/>
    </row>
    <row r="149" ht="15" customHeight="1" spans="2:10" x14ac:dyDescent="0.25">
      <c r="B149"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49" s="22"/>
      <c r="D149" s="22"/>
      <c r="E149" s="22"/>
      <c r="F149" s="22"/>
      <c r="G149" s="22"/>
      <c r="H149" s="22"/>
      <c r="I149" s="22"/>
      <c r="J149" s="22"/>
    </row>
    <row r="150" ht="15" customHeight="1" spans="2:10" x14ac:dyDescent="0.25">
      <c r="B150" s="22">
        <f>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0,"✓ Everything in sections 1 to 6 matches the CRM.","● "&amp;((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amp;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1," cell differs"," cells differ")&amp;" from the CRM (orange): update the CRM if they are facts, not a what-if.")</f>
      </c>
      <c r="C150" s="22"/>
      <c r="D150" s="22"/>
      <c r="E150" s="22"/>
      <c r="F150" s="22"/>
      <c r="G150" s="22"/>
      <c r="H150" s="22"/>
      <c r="I150" s="22"/>
      <c r="J150" s="22"/>
    </row>
    <row r="151" ht="15" customHeight="1" spans="2:10" x14ac:dyDescent="0.25">
      <c r="B151"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1" s="22"/>
      <c r="D151" s="22"/>
      <c r="E151" s="22"/>
      <c r="F151" s="22"/>
      <c r="G151" s="22"/>
      <c r="H151" s="22"/>
      <c r="I151" s="22"/>
      <c r="J151" s="22"/>
    </row>
    <row r="152" ht="15" customHeight="1" spans="2:10" x14ac:dyDescent="0.25">
      <c r="B152"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2" s="22"/>
      <c r="D152" s="22"/>
      <c r="E152" s="22"/>
      <c r="F152" s="22"/>
      <c r="G152" s="22"/>
      <c r="H152" s="22"/>
      <c r="I152" s="22"/>
      <c r="J152" s="22"/>
    </row>
    <row r="153" hidden="1" spans="2:2" x14ac:dyDescent="0.25">
      <c r="B153" t="s">
        <v>171</v>
      </c>
    </row>
    <row r="154" ht="15" customHeight="1" spans="2:10" x14ac:dyDescent="0.25">
      <c r="B154" s="23"/>
      <c r="C154" s="23"/>
      <c r="D154" s="23"/>
      <c r="E154" s="23"/>
      <c r="F154" s="23"/>
      <c r="G154" s="23"/>
      <c r="H154" s="23"/>
      <c r="I154" s="23"/>
      <c r="J154" s="23"/>
    </row>
    <row r="155" ht="15" customHeight="1" spans="2:10" x14ac:dyDescent="0.25">
      <c r="B155" s="23"/>
      <c r="C155" s="23"/>
      <c r="D155" s="23"/>
      <c r="E155" s="23"/>
      <c r="F155" s="23"/>
      <c r="G155" s="23"/>
      <c r="H155" s="23"/>
      <c r="I155" s="23"/>
      <c r="J155" s="23"/>
    </row>
    <row r="156" ht="15" customHeight="1" spans="2:10" x14ac:dyDescent="0.25">
      <c r="B156" s="23"/>
      <c r="C156" s="23"/>
      <c r="D156" s="23"/>
      <c r="E156" s="23"/>
      <c r="F156" s="23"/>
      <c r="G156" s="23"/>
      <c r="H156" s="23"/>
      <c r="I156" s="23"/>
      <c r="J156" s="23"/>
    </row>
    <row r="157" ht="15" customHeight="1" spans="2:10" x14ac:dyDescent="0.25">
      <c r="B157" s="23"/>
      <c r="C157" s="23"/>
      <c r="D157" s="23"/>
      <c r="E157" s="23"/>
      <c r="F157" s="23"/>
      <c r="G157" s="23"/>
      <c r="H157" s="23"/>
      <c r="I157" s="23"/>
      <c r="J157" s="23"/>
    </row>
    <row r="158" ht="15" customHeight="1" spans="2:10" x14ac:dyDescent="0.25">
      <c r="B158" s="23"/>
      <c r="C158" s="23"/>
      <c r="D158" s="23"/>
      <c r="E158" s="23"/>
      <c r="F158" s="23"/>
      <c r="G158" s="23"/>
      <c r="H158" s="23"/>
      <c r="I158" s="23"/>
      <c r="J158" s="23"/>
    </row>
    <row r="159" ht="15" customHeight="1" spans="2:10" x14ac:dyDescent="0.25">
      <c r="B159" s="23"/>
      <c r="C159" s="23"/>
      <c r="D159" s="23"/>
      <c r="E159" s="23"/>
      <c r="F159" s="23"/>
      <c r="G159" s="23"/>
      <c r="H159" s="23"/>
      <c r="I159" s="23"/>
      <c r="J159" s="23"/>
    </row>
    <row r="160" ht="15" customHeight="1" spans="2:10" x14ac:dyDescent="0.25">
      <c r="B160" s="23"/>
      <c r="C160" s="23"/>
      <c r="D160" s="23"/>
      <c r="E160" s="23"/>
      <c r="F160" s="23"/>
      <c r="G160" s="23"/>
      <c r="H160" s="23"/>
      <c r="I160" s="23"/>
      <c r="J160" s="23"/>
    </row>
    <row r="161" ht="15" customHeight="1" spans="2:10" x14ac:dyDescent="0.25">
      <c r="B161" s="23"/>
      <c r="C161" s="23"/>
      <c r="D161" s="23"/>
      <c r="E161" s="23"/>
      <c r="F161" s="23"/>
      <c r="G161" s="23"/>
      <c r="H161" s="23"/>
      <c r="I161" s="23"/>
      <c r="J161" s="23"/>
    </row>
    <row r="162" ht="15" customHeight="1" spans="2:10" x14ac:dyDescent="0.25">
      <c r="B162" s="23"/>
      <c r="C162" s="23"/>
      <c r="D162" s="23"/>
      <c r="E162" s="23"/>
      <c r="F162" s="23"/>
      <c r="G162" s="23"/>
      <c r="H162" s="23"/>
      <c r="I162" s="23"/>
      <c r="J162" s="23"/>
    </row>
    <row r="163" ht="15" customHeight="1" spans="2:10" x14ac:dyDescent="0.25">
      <c r="B163" s="23"/>
      <c r="C163" s="23"/>
      <c r="D163" s="23"/>
      <c r="E163" s="23"/>
      <c r="F163" s="23"/>
      <c r="G163" s="23"/>
      <c r="H163" s="23"/>
      <c r="I163" s="23"/>
      <c r="J163" s="23"/>
    </row>
    <row r="164" ht="15" customHeight="1" spans="2:10" x14ac:dyDescent="0.25">
      <c r="B164" s="23"/>
      <c r="C164" s="23"/>
      <c r="D164" s="23"/>
      <c r="E164" s="23"/>
      <c r="F164" s="23"/>
      <c r="G164" s="23"/>
      <c r="H164" s="23"/>
      <c r="I164" s="23"/>
      <c r="J164" s="23"/>
    </row>
    <row r="165" ht="15" customHeight="1" spans="2:10" x14ac:dyDescent="0.25">
      <c r="B165" s="23"/>
      <c r="C165" s="23"/>
      <c r="D165" s="23"/>
      <c r="E165" s="23"/>
      <c r="F165" s="23"/>
      <c r="G165" s="23"/>
      <c r="H165" s="23"/>
      <c r="I165" s="23"/>
      <c r="J165" s="23"/>
    </row>
    <row r="166" ht="15" customHeight="1" spans="2:10" x14ac:dyDescent="0.25">
      <c r="B166" s="23"/>
      <c r="C166" s="23"/>
      <c r="D166" s="23"/>
      <c r="E166" s="23"/>
      <c r="F166" s="23"/>
      <c r="G166" s="23"/>
      <c r="H166" s="23"/>
      <c r="I166" s="23"/>
      <c r="J166" s="23"/>
    </row>
    <row r="167" ht="15" customHeight="1" spans="2:10" x14ac:dyDescent="0.25">
      <c r="B167" s="23"/>
      <c r="C167" s="23"/>
      <c r="D167" s="23"/>
      <c r="E167" s="23"/>
      <c r="F167" s="23"/>
      <c r="G167" s="23"/>
      <c r="H167" s="23"/>
      <c r="I167" s="23"/>
      <c r="J167" s="23"/>
    </row>
  </sheetData>
  <sheetProtection sheet="1" formatRows="0"/>
  <mergeCells count="78">
    <mergeCell ref="B1:J1"/>
    <mergeCell ref="B2:J2"/>
    <mergeCell ref="C8:E8"/>
    <mergeCell ref="C9:E9"/>
    <mergeCell ref="C10:E10"/>
    <mergeCell ref="C11:E11"/>
    <mergeCell ref="C12:E12"/>
    <mergeCell ref="C13:E13"/>
    <mergeCell ref="C14:E14"/>
    <mergeCell ref="C15:I15"/>
    <mergeCell ref="C16:E16"/>
    <mergeCell ref="C17:I17"/>
    <mergeCell ref="B40:J40"/>
    <mergeCell ref="F58:H58"/>
    <mergeCell ref="F59:H59"/>
    <mergeCell ref="F60:H60"/>
    <mergeCell ref="F61:H61"/>
    <mergeCell ref="F62:H62"/>
    <mergeCell ref="F63:H63"/>
    <mergeCell ref="F64:H64"/>
    <mergeCell ref="F65:H65"/>
    <mergeCell ref="F66:H66"/>
    <mergeCell ref="F67:H67"/>
    <mergeCell ref="F68:H68"/>
    <mergeCell ref="F69:H69"/>
    <mergeCell ref="F70:H70"/>
    <mergeCell ref="B71:J71"/>
    <mergeCell ref="B82:J82"/>
    <mergeCell ref="F86:H86"/>
    <mergeCell ref="F87:H87"/>
    <mergeCell ref="F88:H88"/>
    <mergeCell ref="F89:H89"/>
    <mergeCell ref="F90:H90"/>
    <mergeCell ref="F91:H91"/>
    <mergeCell ref="F92:H92"/>
    <mergeCell ref="F93:H93"/>
    <mergeCell ref="F94:H94"/>
    <mergeCell ref="B95:J95"/>
    <mergeCell ref="C106:E106"/>
    <mergeCell ref="C107:E107"/>
    <mergeCell ref="B108:J108"/>
    <mergeCell ref="B117:J117"/>
    <mergeCell ref="E120:G120"/>
    <mergeCell ref="E121:G121"/>
    <mergeCell ref="E122:G122"/>
    <mergeCell ref="E123:G123"/>
    <mergeCell ref="E124:G124"/>
    <mergeCell ref="E125:G125"/>
    <mergeCell ref="E126:G126"/>
    <mergeCell ref="E127:G127"/>
    <mergeCell ref="E128:G128"/>
    <mergeCell ref="E129:G129"/>
    <mergeCell ref="E130:G130"/>
    <mergeCell ref="E131:G131"/>
    <mergeCell ref="B141:J141"/>
    <mergeCell ref="B144:J144"/>
    <mergeCell ref="B145:J145"/>
    <mergeCell ref="B146:J146"/>
    <mergeCell ref="B147:J147"/>
    <mergeCell ref="B148:J148"/>
    <mergeCell ref="B149:J149"/>
    <mergeCell ref="B150:J150"/>
    <mergeCell ref="B151:J151"/>
    <mergeCell ref="B152:J152"/>
    <mergeCell ref="B154:J154"/>
    <mergeCell ref="B155:J155"/>
    <mergeCell ref="B156:J156"/>
    <mergeCell ref="B157:J157"/>
    <mergeCell ref="B158:J158"/>
    <mergeCell ref="B159:J159"/>
    <mergeCell ref="B160:J160"/>
    <mergeCell ref="B161:J161"/>
    <mergeCell ref="B162:J162"/>
    <mergeCell ref="B163:J163"/>
    <mergeCell ref="B164:J164"/>
    <mergeCell ref="B165:J165"/>
    <mergeCell ref="B166:J166"/>
    <mergeCell ref="B167:J167"/>
  </mergeCells>
  <conditionalFormatting sqref="B144:J167">
    <cfRule type="expression" dxfId="0" priority="1">
      <formula>LEFT($B144,1)="✗"</formula>
    </cfRule>
    <cfRule type="expression" dxfId="1" priority="2">
      <formula>LEFT($B144,1)="✓"</formula>
    </cfRule>
    <cfRule type="expression" dxfId="2" priority="3">
      <formula>LEFT($B144,1)="●"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1">
    <cfRule type="expression" dxfId="17" priority="18">
      <formula>B76&lt;&gt;AA76</formula>
    </cfRule>
  </conditionalFormatting>
  <conditionalFormatting sqref="B87:I94">
    <cfRule type="expression" dxfId="18" priority="19">
      <formula>B87&lt;&gt;AA87</formula>
    </cfRule>
  </conditionalFormatting>
  <conditionalFormatting sqref="B100:J105">
    <cfRule type="expression" dxfId="19" priority="20">
      <formula>B100&lt;&gt;AA100</formula>
    </cfRule>
  </conditionalFormatting>
  <dataValidations count="53">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date" allowBlank="1" showErrorMessage="1" errorStyle="stop" errorTitle="Date" error="Please type a date like 2026-10-13." sqref="C11:C12">
      <formula1>32874</formula1>
      <formula2>73415</formula2>
    </dataValidation>
    <dataValidation type="decimal" allowBlank="1" showErrorMessage="1" errorStyle="stop" errorTitle="Percentage" error="Please type the percentage as a plain number, e.g. 2.92 for 2.92%. Do not add the % sign." sqref="C112">
      <formula1>0</formula1>
      <formula2>100</formula2>
    </dataValidation>
    <dataValidation type="decimal" operator="greaterThanOrEqual" allowBlank="1" showErrorMessage="1" errorStyle="stop" errorTitle="Amount" error="Please type the amount in rand as a number, without R or spaces, e.g. 1250000." sqref="C113">
      <formula1>0</formula1>
    </dataValidation>
    <dataValidation type="decimal" allowBlank="1" showErrorMessage="1" errorStyle="stop" errorTitle="Percentage" error="Please type the percentage as a plain number, e.g. 2.92 for 2.92%. Do not add the % sign." sqref="C114">
      <formula1>0</formula1>
      <formula2>100</formula2>
    </dataValidation>
    <dataValidation type="decimal" operator="greaterThanOrEqual" allowBlank="1" showErrorMessage="1" errorStyle="stop" errorTitle="Amount" error="Please type the amount in rand as a number, without R or spaces, e.g. 1250000." sqref="C115:C116">
      <formula1>0</formula1>
    </dataValidation>
    <dataValidation type="decimal" allowBlank="1" showErrorMessage="1" errorStyle="stop" errorTitle="Percentage" error="Please type the percentage as a plain number, e.g. 2.92 for 2.92%. Do not add the % sign." sqref="C120:C121">
      <formula1>0</formula1>
      <formula2>100</formula2>
    </dataValidation>
    <dataValidation type="decimal" operator="greaterThanOrEqual" allowBlank="1" showErrorMessage="1" errorStyle="stop" errorTitle="Amount" error="Please type the amount in rand as a number, without R or spaces, e.g. 1250000." sqref="C122:C124">
      <formula1>0</formula1>
    </dataValidation>
    <dataValidation type="decimal" allowBlank="1" showErrorMessage="1" errorStyle="stop" errorTitle="Percentage" error="Please type the percentage as a plain number, e.g. 2.92 for 2.92%. Do not add the % sign." sqref="C125: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
      <formula1>0</formula1>
    </dataValidation>
    <dataValidation type="list" allowBlank="1" showErrorMessage="1" errorStyle="stop" errorTitle="Please choose from the list" error="Please choose one of the options in the list." sqref="C13">
      <formula1>'Lists'!$I$2:$I$12</formula1>
    </dataValidation>
    <dataValidation type="decimal" allowBlank="1" showErrorMessage="1" errorStyle="stop" errorTitle="Percentage" error="Please type the percentage as a plain number, e.g. 2.92 for 2.92%. Do not add the % sign." sqref="C130">
      <formula1>0</formula1>
      <formula2>100</formula2>
    </dataValidation>
    <dataValidation type="decimal" operator="greaterThanOrEqual" allowBlank="1" showErrorMessage="1" errorStyle="stop" errorTitle="Amount" error="Please type the amount in rand as a number, without R or spaces, e.g. 1250000." sqref="C131">
      <formula1>0</formula1>
    </dataValidation>
    <dataValidation type="decimal" operator="greaterThanOrEqual" allowBlank="1" showErrorMessage="1" errorStyle="stop" errorTitle="Amount" error="Please type the amount in rand as a number, without R or spaces, e.g. 1250000." sqref="C134:D140">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4:E140">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4:H137">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allowBlank="1" showErrorMessage="1" errorStyle="stop" errorTitle="Percentage" error="Please type the percentage as a plain number, e.g. 2.92 for 2.92%. Do not add the % sign." sqref="H120">
      <formula1>0</formula1>
      <formula2>100</formula2>
    </dataValidation>
    <dataValidation type="decimal" operator="greaterThanOrEqual" allowBlank="1" showErrorMessage="1" errorStyle="stop" errorTitle="Amount" error="Please type the amount in rand as a number, without R or spaces, e.g. 1250000." sqref="H121">
      <formula1>0</formula1>
    </dataValidation>
    <dataValidation type="decimal" allowBlank="1" showErrorMessage="1" errorStyle="stop" errorTitle="Percentage" error="Please type the percentage as a plain number, e.g. 2.92 for 2.92%. Do not add the % sign." sqref="H122:H123">
      <formula1>0</formula1>
      <formula2>100</formula2>
    </dataValidation>
    <dataValidation type="decimal" operator="greaterThanOrEqual" allowBlank="1" showErrorMessage="1" errorStyle="stop" errorTitle="Amount" error="Please type the amount in rand as a number, without R or spaces, e.g. 1250000." sqref="H124">
      <formula1>0</formula1>
    </dataValidation>
    <dataValidation type="decimal" allowBlank="1" showErrorMessage="1" errorStyle="stop" errorTitle="Percentage" error="Please type the percentage as a plain number, e.g. 2.92 for 2.92%. Do not add the % sign." sqref="H125:H129">
      <formula1>0</formula1>
      <formula2>100</formula2>
    </dataValidation>
    <dataValidation type="decimal" operator="greaterThanOrEqual" allowBlank="1" showErrorMessage="1" errorStyle="stop" errorTitle="Amount" error="Please type the amount in rand as a number, without R or spaces, e.g. 1250000." sqref="H130:H131">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4:I137">
      <formula1>0</formula1>
      <formula2>100</formula2>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4">
        <f>IF(OR(COUNTIF('Inputs'!$B$154:$B$167,"✗ Full FNA*")&gt;0,LEFT('Inputs'!$B$147,1)="✗"),"NOT FOR THE CLIENT: this case needs the full FNA (see Checks on Inputs)","")</f>
      </c>
      <c r="C3" s="24"/>
      <c r="D3" s="24"/>
    </row>
    <row r="4" ht="20" customHeight="1" spans="2:2" x14ac:dyDescent="0.25">
      <c r="B4" s="3" t="s">
        <v>172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"&amp;FIXED(('Workings'!$C$59)/1000000,2)&amp;" million"&amp;IF('Workings'!$C$62&gt;0,", and your debts of R "&amp;FIXED(('Workings'!$C$62)/1000000,2)&amp;" million have to be paid too","")&amp;". Your executor would have R "&amp;FIXED(('Workings'!$C$66)/1000000,2)&amp;" million in cash, so "&amp;IF('Workings'!$C$67&gt;0,"would be short by about R "&amp;FIXED(('Workings'!$C$67)/1000000,2)&amp;" million.","would have enough, with about R "&amp;FIXED(ROUND('Workings'!$C$68,-3),0)&amp;" left over.")</f>
      </c>
      <c r="C7" s="25"/>
      <c r="D7" s="25"/>
    </row>
    <row r="8" ht="44" customHeight="1" spans="2:4" x14ac:dyDescent="0.25">
      <c r="B8" s="25">
        <f>IF(AND(ISNUMBER('Inputs'!$C$112),'Inputs'!$C$112&gt;0),"With a Capital Legacy will and the Legacy Protection Plan, the plan pays about R "&amp;FIXED(ROUND(-'Workings'!$D$60,-3),0)&amp;" of the executor's and conveyancing fees, "&amp;IF('Workings'!$D$67=0,IF('Workings'!$C$67&gt;0,"the shortfall disappears","your executor still has enough"),"the shortfall falls to about R "&amp;FIXED(ROUND('Workings'!$D$67,-3),0))&amp;", and your heirs receive about R "&amp;FIXED(('Workings'!$D$69-'Workings'!$C$69)/1000000,2)&amp;" million more.","")</f>
      </c>
      <c r="C8" s="25"/>
      <c r="D8" s="25"/>
    </row>
    <row r="10" spans="2:4" x14ac:dyDescent="0.25">
      <c r="B10" s="26">
        <f>IF('Workings'!$C$67&gt;0,"YOUR EXECUTOR'S CASH SHORTFALL TODAY","CASH LEFT OVER FOR YOUR EXECUTOR TODAY")</f>
      </c>
      <c r="C10" s="26"/>
      <c r="D10" s="26"/>
    </row>
    <row r="11" ht="28" customHeight="1" spans="2:4" x14ac:dyDescent="0.25">
      <c r="B11" s="27">
        <f>"R "&amp;FIXED(ROUND(IF('Workings'!$C$67&gt;0,'Workings'!$C$67,'Workings'!$C$68),-3),0)</f>
      </c>
      <c r="C11" s="27"/>
      <c r="D11" s="27"/>
    </row>
    <row r="12" spans="2:4" x14ac:dyDescent="0.25">
      <c r="B12" s="28">
        <f>IF('Workings'!$C$67&gt;0,"the cash that has to be found before your estate can be wound up","what is left once the costs are paid")</f>
      </c>
      <c r="C12" s="28"/>
      <c r="D12" s="28"/>
    </row>
    <row r="14" ht="42" customHeight="1" spans="2:4" x14ac:dyDescent="0.25">
      <c r="B14" s="12" t="s">
        <v>173</v>
      </c>
      <c r="C14" s="13" t="s">
        <v>174</v>
      </c>
      <c r="D14" s="13">
        <f>IF(AND(ISNUMBER('Inputs'!$C$112),'Inputs'!$C$112&gt;0),"With a Capital Legacy will and the Legacy Protection Plan","Capital Legacy column: enter the quote on Inputs")</f>
      </c>
    </row>
    <row r="15" spans="2:4" x14ac:dyDescent="0.25">
      <c r="B15" s="7" t="s">
        <v>175</v>
      </c>
      <c r="C15" s="15">
        <f>'Workings'!$C$58</f>
      </c>
      <c r="D15" s="15">
        <f>IF(AND(ISNUMBER('Inputs'!$C$112),'Inputs'!$C$112&gt;0),'Workings'!$D$58,"")</f>
      </c>
    </row>
    <row r="16" spans="2:4" x14ac:dyDescent="0.25">
      <c r="B16" s="7" t="s">
        <v>176</v>
      </c>
      <c r="C16" s="15">
        <f>'Workings'!$C$57</f>
      </c>
      <c r="D16" s="15">
        <f>IF(AND(ISNUMBER('Inputs'!$C$112),'Inputs'!$C$112&gt;0),'Workings'!$D$57,"")</f>
      </c>
    </row>
    <row r="17" ht="27" customHeight="1" spans="2:4" x14ac:dyDescent="0.25">
      <c r="B17" s="29">
        <f>"Executor's fees"&amp;CHAR(10)&amp;IF(ROUND('Inputs'!$C$120,0)='Inputs'!$C$120,FIXED('Inputs'!$C$120,0),IF(ROUND('Inputs'!$C$120,1)='Inputs'!$C$120,FIXED('Inputs'!$C$120,1),FIXED('Inputs'!$C$120,2)))&amp;"%"&amp;"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17" s="15">
        <f>'Workings'!$C$54</f>
      </c>
      <c r="D17" s="15">
        <f>IF(AND(ISNUMBER('Inputs'!$C$112),'Inputs'!$C$112&gt;0),'Workings'!$D$54,"")</f>
      </c>
    </row>
    <row r="18" ht="27" customHeight="1" spans="2:4" x14ac:dyDescent="0.25">
      <c r="B18" s="29">
        <f>"Property transfer and conveyancing"&amp;CHAR(10)&amp;IF(ROUND('Inputs'!$C$125,0)='Inputs'!$C$125,FIXED('Inputs'!$C$125,0),IF(ROUND('Inputs'!$C$125,1)='Inputs'!$C$125,FIXED('Inputs'!$C$125,1),FIXED('Inputs'!$C$125,2)))&amp;"%"&amp;" of value"&amp;IF(AND(ISNUMBER('Inputs'!$C$112),'Inputs'!$C$112&gt;0)," / Capital Legacy's estimate","")</f>
      </c>
      <c r="C18" s="15">
        <f>'Workings'!$C$55</f>
      </c>
      <c r="D18" s="15">
        <f>IF(AND(ISNUMBER('Inputs'!$C$112),'Inputs'!$C$112&gt;0),'Workings'!$D$55,"")</f>
      </c>
    </row>
    <row r="19" spans="2:4" x14ac:dyDescent="0.25">
      <c r="B19" s="7" t="s">
        <v>177</v>
      </c>
      <c r="C19" s="15">
        <f>'Workings'!$C$56</f>
      </c>
      <c r="D19" s="15">
        <f>IF(AND(ISNUMBER('Inputs'!$C$112),'Inputs'!$C$112&gt;0),'Workings'!$D$56,"")</f>
      </c>
    </row>
    <row r="20" spans="2:4" x14ac:dyDescent="0.25">
      <c r="B20" s="7" t="s">
        <v>178</v>
      </c>
      <c r="C20" s="15">
        <f>'Workings'!$C$53</f>
      </c>
      <c r="D20" s="15">
        <f>IF(AND(ISNUMBER('Inputs'!$C$112),'Inputs'!$C$112&gt;0),'Workings'!$D$53,"")</f>
      </c>
    </row>
    <row r="21" spans="2:4" x14ac:dyDescent="0.25">
      <c r="B21" s="30" t="s">
        <v>179</v>
      </c>
      <c r="C21" s="31">
        <f>'Workings'!$C$59</f>
      </c>
      <c r="D21" s="31">
        <f>IF(AND(ISNUMBER('Inputs'!$C$112),'Inputs'!$C$112&gt;0),'Workings'!$D$59,"")</f>
      </c>
    </row>
    <row r="22" spans="2:4" x14ac:dyDescent="0.25">
      <c r="B22" s="7" t="s">
        <v>180</v>
      </c>
      <c r="C22" s="15">
        <f>-'Workings'!$C$60</f>
      </c>
      <c r="D22" s="15">
        <f>IF(AND(ISNUMBER('Inputs'!$C$112),'Inputs'!$C$112&gt;0),-'Workings'!$D$60,"")</f>
      </c>
    </row>
    <row r="23" spans="2:4" x14ac:dyDescent="0.25">
      <c r="B23" s="30" t="s">
        <v>181</v>
      </c>
      <c r="C23" s="31">
        <f>'Workings'!$C$61</f>
      </c>
      <c r="D23" s="31">
        <f>IF(AND(ISNUMBER('Inputs'!$C$112),'Inputs'!$C$112&gt;0),'Workings'!$D$61,"")</f>
      </c>
    </row>
    <row r="24" spans="2:4" x14ac:dyDescent="0.25">
      <c r="B24" s="7" t="s">
        <v>182</v>
      </c>
      <c r="C24" s="15">
        <f>'Workings'!$C$62</f>
      </c>
      <c r="D24" s="15">
        <f>IF(AND(ISNUMBER('Inputs'!$C$112),'Inputs'!$C$112&gt;0),'Workings'!$D$62,"")</f>
      </c>
    </row>
    <row r="25" ht="27" customHeight="1" spans="2:4" x14ac:dyDescent="0.25">
      <c r="B25" s="29">
        <f>"Cash your executor has"&amp;CHAR(10)&amp;"bank accounts, deposits and investments cashed in"</f>
      </c>
      <c r="C25" s="15">
        <f>'Workings'!$C$66</f>
      </c>
      <c r="D25" s="15">
        <f>IF(AND(ISNUMBER('Inputs'!$C$112),'Inputs'!$C$112&gt;0),'Workings'!$D$66,"")</f>
      </c>
    </row>
    <row r="26" ht="27" customHeight="1" spans="2:4" x14ac:dyDescent="0.25">
      <c r="B26" s="21" t="s">
        <v>183</v>
      </c>
      <c r="C26" s="32">
        <f>IF('Workings'!$C$67&gt;0,"Short R "&amp;FIXED(ROUND('Workings'!$C$67,-3),0),"Covered: R "&amp;FIXED(ROUND('Workings'!$C$68,-3),0)&amp;" left over")</f>
      </c>
      <c r="D26" s="32">
        <f>IF(AND(ISNUMBER('Inputs'!$C$112),'Inputs'!$C$112&gt;0),IF('Workings'!$D$67&gt;0,"Short R "&amp;FIXED(ROUND('Workings'!$D$67,-3),0),"Covered: R "&amp;FIXED(ROUND('Workings'!$D$68,-3),0)&amp;" left over"),"")</f>
      </c>
    </row>
    <row r="27" ht="27" customHeight="1" spans="2:4" x14ac:dyDescent="0.25">
      <c r="B27" s="29">
        <f>IF(OR(SUM('Inputs'!$R$22:$R$39)&gt;0,'Inputs'!$C$14="Spouse"),"Left for your spouse and heirs","Left for your heirs")&amp;IF('Workings'!$C$67&gt;0,CHAR(10)&amp;"if they pay any shortfall in","")</f>
      </c>
      <c r="C27" s="15">
        <f>'Workings'!$C$69</f>
      </c>
      <c r="D27" s="33">
        <f>IF(AND(ISNUMBER('Inputs'!$C$112),'Inputs'!$C$112&gt;0),'Workings'!$D$69,"")</f>
      </c>
    </row>
    <row r="28" spans="2:4" x14ac:dyDescent="0.25">
      <c r="B28" s="7" t="s">
        <v>184</v>
      </c>
      <c r="C28" s="34" t="s">
        <v>185</v>
      </c>
      <c r="D28" s="34">
        <f>IF(AND(ISNUMBER('Inputs'!$C$112),'Inputs'!$C$112&gt;0),IF(ISNUMBER('Inputs'!$C$116),"From R "&amp;FIXED('Inputs'!$C$116,2)&amp;" a month","Premium: enter it on Inputs"),"")</f>
      </c>
    </row>
    <row r="29" ht="27" customHeight="1" spans="2:4" x14ac:dyDescent="0.25">
      <c r="B29" s="16">
        <f>IF('Workings'!$C$48&lt;0,"The people you leave policies or bequests to directly pay R "&amp;FIXED(-'Workings'!$C$48,0)&amp;" of the estate duty themselves; your executor recovers it from them and it is not in the cost above. If it cannot be recovered, your estate pays it.","")</f>
      </c>
      <c r="C29" s="16"/>
      <c r="D29" s="16"/>
    </row>
    <row r="31" ht="18" customHeight="1" spans="2:4" x14ac:dyDescent="0.25">
      <c r="B31" s="5" t="s">
        <v>186</v>
      </c>
      <c r="C31" s="6"/>
      <c r="D31" s="6"/>
    </row>
    <row r="32" ht="27" customHeight="1" spans="2:4" x14ac:dyDescent="0.25">
      <c r="B32" s="35">
        <f>"1.  Sign a new will that says what you want"&amp;IF(AND(ISNUMBER('Inputs'!$C$112),'Inputs'!$C$112&gt;0),", with Capital Legacy as your executor","")&amp;". Until you do, your current will, or the law if you have none, decides who inherits."</f>
      </c>
      <c r="C32" s="35"/>
      <c r="D32" s="35"/>
    </row>
    <row r="33" ht="27" customHeight="1" spans="2:4" x14ac:dyDescent="0.25">
      <c r="B33" s="35">
        <f>"2.  "&amp;IF('Workings'!$C$67&gt;0,"Decide how your executor will find the cash: life cover paid to your estate (see the life cover need page), "&amp;IF(AND(ISNUMBER('Inputs'!$C$112),'Inputs'!$C$112&gt;0),"the Legacy Protection Plan, ","")&amp;"a property sold, or your heirs paying it in.","Keep enough cash for your executor: today there is enough, with about R "&amp;FIXED(ROUND('Workings'!$C$68,-3),0)&amp;" to spare.")</f>
      </c>
      <c r="C33" s="35"/>
      <c r="D33" s="35"/>
    </row>
    <row r="34" ht="27" customHeight="1" spans="2:4" x14ac:dyDescent="0.25">
      <c r="B34" s="35">
        <f>"3.  Remember that your savings are your executor's cash. Every R 1 spent from them "&amp;IF('Workings'!$C$67&gt;0,"adds about "&amp;ROUND(100*(1-'Inputs'!$C$120/100*(1+'Inputs'!$C$121/100))*IF('Workings'!$C$38&gt;0,1-'Inputs'!$C$128/100,1),0)&amp;" cents to the shortfall.","takes about "&amp;ROUND(100*(1-'Inputs'!$C$120/100*(1+'Inputs'!$C$121/100))*IF('Workings'!$C$38&gt;0,1-'Inputs'!$C$128/100,1),0)&amp;" cents off what your executor has spare.")</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page."&amp;IF(AND(ISNUMBER('Inputs'!$C$112),'Inputs'!$C$112&gt;0)," Capital Legacy quote "&amp;'Inputs'!$C$111&amp;";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0" priority="1">
      <formula>'Workings'!$C$67=0</formula>
    </cfRule>
  </conditionalFormatting>
  <conditionalFormatting sqref="C26:D26">
    <cfRule type="expression" dxfId="21" priority="2">
      <formula>LEFT(C26,5)="Short"</formula>
    </cfRule>
    <cfRule type="expression" dxfId="22"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209</v>
      </c>
    </row>
    <row r="5" spans="2:2" x14ac:dyDescent="0.25">
      <c r="B5" s="4" t="s">
        <v>210</v>
      </c>
    </row>
    <row r="7" ht="30" customHeight="1" spans="2:4" x14ac:dyDescent="0.25">
      <c r="B7" s="12" t="s">
        <v>173</v>
      </c>
      <c r="C7" s="13">
        <f>"If "&amp;'Inputs'!$C$9&amp;" dies"</f>
      </c>
      <c r="D7" s="13">
        <f>IF(AND(ISNUMBER('Inputs'!$C$112),'Inputs'!$C$112&gt;0),"With the Legacy plan","")</f>
      </c>
    </row>
    <row r="8" spans="2:4" x14ac:dyDescent="0.25">
      <c r="B8" s="42" t="s">
        <v>211</v>
      </c>
      <c r="C8" s="42"/>
      <c r="D8" s="42"/>
    </row>
    <row r="9" spans="2:4" x14ac:dyDescent="0.25">
      <c r="B9" s="7" t="s">
        <v>212</v>
      </c>
      <c r="C9" s="15">
        <f>SUMIFS('Inputs'!$D$22:$D$39,'Inputs'!$C$22:$C$39,"Property")</f>
      </c>
      <c r="D9" s="15">
        <f>IF(AND(ISNUMBER('Inputs'!$C$112),'Inputs'!$C$112&gt;0),SUMIFS('Inputs'!$D$22:$D$39,'Inputs'!$C$22:$C$39,"Property"),"")</f>
      </c>
    </row>
    <row r="10" spans="2:4" x14ac:dyDescent="0.25">
      <c r="B10" s="7" t="s">
        <v>213</v>
      </c>
      <c r="C10" s="15">
        <f>SUMIFS('Inputs'!$D$22:$D$39,'Inputs'!$C$22:$C$39,"Vehicle or contents")</f>
      </c>
      <c r="D10" s="15">
        <f>IF(AND(ISNUMBER('Inputs'!$C$112),'Inputs'!$C$112&gt;0),SUMIFS('Inputs'!$D$22:$D$39,'Inputs'!$C$22:$C$39,"Vehicle or contents"),"")</f>
      </c>
    </row>
    <row r="11" spans="2:4" x14ac:dyDescent="0.25">
      <c r="B11" s="7" t="s">
        <v>214</v>
      </c>
      <c r="C11" s="15">
        <f>SUMIFS('Inputs'!$D$22:$D$39,'Inputs'!$C$22:$C$39,"Cash and deposits")</f>
      </c>
      <c r="D11" s="15">
        <f>IF(AND(ISNUMBER('Inputs'!$C$112),'Inputs'!$C$112&gt;0),SUMIFS('Inputs'!$D$22:$D$39,'Inputs'!$C$22:$C$39,"Cash and deposits"),"")</f>
      </c>
    </row>
    <row r="12" spans="2:4" x14ac:dyDescent="0.25">
      <c r="B12" s="7" t="s">
        <v>215</v>
      </c>
      <c r="C12" s="15">
        <f>SUMIFS('Inputs'!$D$22:$D$39,'Inputs'!$C$22:$C$39,"Shares and unit trusts")</f>
      </c>
      <c r="D12" s="15">
        <f>IF(AND(ISNUMBER('Inputs'!$C$112),'Inputs'!$C$112&gt;0),SUMIFS('Inputs'!$D$22:$D$39,'Inputs'!$C$22:$C$39,"Shares and unit trusts"),"")</f>
      </c>
    </row>
    <row r="13" spans="2:4" x14ac:dyDescent="0.25">
      <c r="B13" s="7" t="s">
        <v>216</v>
      </c>
      <c r="C13" s="15">
        <f>SUMIFS('Inputs'!$D$22:$D$39,'Inputs'!$C$22:$C$39,"Other investment")+SUMIFS('Inputs'!$D$22:$D$39,'Inputs'!$C$22:$C$39,"Tax-free investment")+SUMIFS('Inputs'!$D$22:$D$39,'Inputs'!$C$22:$C$39,"Loan account")+SUMIFS('Inputs'!$D$22:$D$39,'Inputs'!$C$22:$C$39,"Business interest")</f>
      </c>
      <c r="D13" s="15">
        <f>IF(AND(ISNUMBER('Inputs'!$C$112),'Inputs'!$C$112&gt;0),SUMIFS('Inputs'!$D$22:$D$39,'Inputs'!$C$22:$C$39,"Other investment")+SUMIFS('Inputs'!$D$22:$D$39,'Inputs'!$C$22:$C$39,"Tax-free investment")+SUMIFS('Inputs'!$D$22:$D$39,'Inputs'!$C$22:$C$39,"Loan account")+SUMIFS('Inputs'!$D$22:$D$39,'Inputs'!$C$22:$C$39,"Business interest"),"")</f>
      </c>
    </row>
    <row r="14" spans="2:4" x14ac:dyDescent="0.25">
      <c r="B14" s="7" t="s">
        <v>217</v>
      </c>
      <c r="C14" s="15">
        <f>'Workings'!$C$20</f>
      </c>
      <c r="D14" s="15">
        <f>IF(AND(ISNUMBER('Inputs'!$C$112),'Inputs'!$C$112&gt;0),'Workings'!$C$20,"")</f>
      </c>
    </row>
    <row r="15" spans="2:4" x14ac:dyDescent="0.25">
      <c r="B15" s="30" t="s">
        <v>218</v>
      </c>
      <c r="C15" s="31">
        <f>SUM(C9:C14)</f>
      </c>
      <c r="D15" s="31">
        <f>IF(AND(ISNUMBER('Inputs'!$C$112),'Inputs'!$C$112&gt;0),SUM(C9:C14),"")</f>
      </c>
    </row>
    <row r="16" spans="2:4" x14ac:dyDescent="0.25">
      <c r="B16" s="42" t="s">
        <v>219</v>
      </c>
      <c r="C16" s="42"/>
      <c r="D16" s="42"/>
    </row>
    <row r="17" spans="2:4" x14ac:dyDescent="0.25">
      <c r="B17" s="7" t="s">
        <v>220</v>
      </c>
      <c r="C17" s="15">
        <f>'Workings'!$C$22</f>
      </c>
      <c r="D17" s="15">
        <f>IF(AND(ISNUMBER('Inputs'!$C$112),'Inputs'!$C$112&gt;0),'Workings'!$C$22,"")</f>
      </c>
    </row>
    <row r="18" spans="2:4" x14ac:dyDescent="0.25">
      <c r="B18" s="7" t="s">
        <v>221</v>
      </c>
      <c r="C18" s="15">
        <f>'Workings'!$C$23</f>
      </c>
      <c r="D18" s="15">
        <f>IF(AND(ISNUMBER('Inputs'!$C$112),'Inputs'!$C$112&gt;0),'Workings'!$C$23,"")</f>
      </c>
    </row>
    <row r="19" spans="2:4" x14ac:dyDescent="0.25">
      <c r="B19" s="7" t="s">
        <v>222</v>
      </c>
      <c r="C19" s="15">
        <f>SUMIFS('Inputs'!$D$59:$D$70,'Inputs'!$E$59:$E$70,"No")</f>
      </c>
      <c r="D19" s="15">
        <f>IF(AND(ISNUMBER('Inputs'!$C$112),'Inputs'!$C$112&gt;0),SUMIFS('Inputs'!$D$59:$D$70,'Inputs'!$E$59:$E$70,"No"),"")</f>
      </c>
    </row>
    <row r="20" spans="2:4" x14ac:dyDescent="0.25">
      <c r="B20" s="7" t="s">
        <v>223</v>
      </c>
      <c r="C20" s="15">
        <f>SUM('Inputs'!$D$87:$D$94)</f>
      </c>
      <c r="D20" s="15">
        <f>IF(AND(ISNUMBER('Inputs'!$C$112),'Inputs'!$C$112&gt;0),SUM('Inputs'!$D$87:$D$94),"")</f>
      </c>
    </row>
    <row r="21" spans="2:4" x14ac:dyDescent="0.25">
      <c r="B21" s="42" t="s">
        <v>224</v>
      </c>
      <c r="C21" s="42"/>
      <c r="D21" s="42"/>
    </row>
    <row r="22" spans="2:4" x14ac:dyDescent="0.25">
      <c r="B22" s="7" t="s">
        <v>225</v>
      </c>
      <c r="C22" s="15">
        <f>C15+SUM(C17:C20)</f>
      </c>
      <c r="D22" s="15">
        <f>IF(AND(ISNUMBER('Inputs'!$C$112),'Inputs'!$C$112&gt;0),C15+SUM(C17:C20),"")</f>
      </c>
    </row>
    <row r="23" spans="2:4" x14ac:dyDescent="0.25">
      <c r="B23" s="7" t="s">
        <v>226</v>
      </c>
      <c r="C23" s="15">
        <f>'Workings'!$C$24</f>
      </c>
      <c r="D23" s="15">
        <f>IF(AND(ISNUMBER('Inputs'!$C$112),'Inputs'!$C$112&gt;0),'Workings'!$C$24,"")</f>
      </c>
    </row>
    <row r="24" spans="2:4" x14ac:dyDescent="0.25">
      <c r="B24" s="7" t="s">
        <v>227</v>
      </c>
      <c r="C24" s="15">
        <f>'Workings'!$C$62</f>
      </c>
      <c r="D24" s="15">
        <f>IF(AND(ISNUMBER('Inputs'!$C$112),'Inputs'!$C$112&gt;0),'Workings'!$C$62,"")</f>
      </c>
    </row>
    <row r="25" spans="2:4" x14ac:dyDescent="0.25">
      <c r="B25" s="42" t="s">
        <v>228</v>
      </c>
      <c r="C25" s="42"/>
      <c r="D25" s="42"/>
    </row>
    <row r="26" spans="2:4" x14ac:dyDescent="0.25">
      <c r="B26" s="7" t="s">
        <v>229</v>
      </c>
      <c r="C26" s="15">
        <f>'Workings'!$C$54</f>
      </c>
      <c r="D26" s="15">
        <f>IF(AND(ISNUMBER('Inputs'!$C$112),'Inputs'!$C$112&gt;0),'Workings'!$D$54,"")</f>
      </c>
    </row>
    <row r="27" spans="2:4" x14ac:dyDescent="0.25">
      <c r="B27" s="7" t="s">
        <v>230</v>
      </c>
      <c r="C27" s="15">
        <f>'Workings'!$C$53</f>
      </c>
      <c r="D27" s="15">
        <f>IF(AND(ISNUMBER('Inputs'!$C$112),'Inputs'!$C$112&gt;0),'Workings'!$D$53,"")</f>
      </c>
    </row>
    <row r="28" spans="2:4" x14ac:dyDescent="0.25">
      <c r="B28" s="7" t="s">
        <v>231</v>
      </c>
      <c r="C28" s="15">
        <f>'Workings'!$C$55</f>
      </c>
      <c r="D28" s="15">
        <f>IF(AND(ISNUMBER('Inputs'!$C$112),'Inputs'!$C$112&gt;0),'Workings'!$D$55,"")</f>
      </c>
    </row>
    <row r="29" spans="2:4" x14ac:dyDescent="0.25">
      <c r="B29" s="7" t="s">
        <v>232</v>
      </c>
      <c r="C29" s="15">
        <f>'Workings'!$C$56</f>
      </c>
      <c r="D29" s="15">
        <f>IF(AND(ISNUMBER('Inputs'!$C$112),'Inputs'!$C$112&gt;0),'Workings'!$D$56,"")</f>
      </c>
    </row>
    <row r="30" spans="2:4" x14ac:dyDescent="0.25">
      <c r="B30" s="7" t="s">
        <v>176</v>
      </c>
      <c r="C30" s="15">
        <f>'Workings'!$C$57</f>
      </c>
      <c r="D30" s="15">
        <f>IF(AND(ISNUMBER('Inputs'!$C$112),'Inputs'!$C$112&gt;0),'Workings'!$D$57,"")</f>
      </c>
    </row>
    <row r="31" spans="2:4" x14ac:dyDescent="0.25">
      <c r="B31" s="7" t="s">
        <v>233</v>
      </c>
      <c r="C31" s="15">
        <f>'Workings'!$C$58</f>
      </c>
      <c r="D31" s="15">
        <f>IF(AND(ISNUMBER('Inputs'!$C$112),'Inputs'!$C$112&gt;0),'Workings'!$D$58,"")</f>
      </c>
    </row>
    <row r="32" spans="2:4" x14ac:dyDescent="0.25">
      <c r="B32" s="30" t="s">
        <v>234</v>
      </c>
      <c r="C32" s="31">
        <f>'Workings'!$C$59</f>
      </c>
      <c r="D32" s="31">
        <f>IF(AND(ISNUMBER('Inputs'!$C$112),'Inputs'!$C$112&gt;0),'Workings'!$D$59,"")</f>
      </c>
    </row>
    <row r="33" spans="2:4" x14ac:dyDescent="0.25">
      <c r="B33" s="7" t="s">
        <v>180</v>
      </c>
      <c r="C33" s="15">
        <f>-'Workings'!$C$60</f>
      </c>
      <c r="D33" s="15">
        <f>IF(AND(ISNUMBER('Inputs'!$C$112),'Inputs'!$C$112&gt;0),-'Workings'!$D$60,"")</f>
      </c>
    </row>
    <row r="34" spans="2:4" x14ac:dyDescent="0.25">
      <c r="B34" s="7" t="s">
        <v>235</v>
      </c>
      <c r="C34" s="15">
        <f>'Workings'!$C$62</f>
      </c>
      <c r="D34" s="15">
        <f>IF(AND(ISNUMBER('Inputs'!$C$112),'Inputs'!$C$112&gt;0),'Workings'!$D$62,"")</f>
      </c>
    </row>
    <row r="36" ht="15" customHeight="1" spans="2:4" x14ac:dyDescent="0.25">
      <c r="B36" s="36" t="s">
        <v>236</v>
      </c>
      <c r="C36" s="36"/>
      <c r="D36" s="36"/>
    </row>
  </sheetData>
  <sheetProtection sheet="1" formatRows="0"/>
  <mergeCells count="7">
    <mergeCell ref="B1:D1"/>
    <mergeCell ref="B2:D2"/>
    <mergeCell ref="B8:D8"/>
    <mergeCell ref="B16:D16"/>
    <mergeCell ref="B21:D21"/>
    <mergeCell ref="B25:D25"/>
    <mergeCell ref="B36:D36"/>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237</v>
      </c>
    </row>
    <row r="5" spans="2:2" x14ac:dyDescent="0.25">
      <c r="B5" s="4" t="s">
        <v>238</v>
      </c>
    </row>
    <row r="7" ht="20" customHeight="1" spans="2:4" x14ac:dyDescent="0.25">
      <c r="B7" s="12" t="s">
        <v>239</v>
      </c>
      <c r="C7" s="13" t="s">
        <v>174</v>
      </c>
      <c r="D7" s="13" t="s">
        <v>240</v>
      </c>
    </row>
    <row r="8" spans="2:4" x14ac:dyDescent="0.25">
      <c r="B8" s="7">
        <f>"Taxable income for the year"&amp;IF('Inputs'!$C$17&lt;&gt;"",": "&amp;'Inputs'!$C$17,"")</f>
      </c>
      <c r="C8" s="19">
        <f>N('Inputs'!$C$16)</f>
      </c>
      <c r="D8" s="19">
        <f>N('Inputs'!$C$16)</f>
      </c>
    </row>
    <row r="9" ht="27" customHeight="1" spans="2:4" x14ac:dyDescent="0.25">
      <c r="B9" s="7" t="s">
        <v>241</v>
      </c>
      <c r="C9" s="19">
        <f>SUM('Inputs'!$M$22:$M$39)</f>
      </c>
      <c r="D9" s="19">
        <f>SUM('Inputs'!$M$22:$M$39)</f>
      </c>
    </row>
    <row r="10" spans="2:4" x14ac:dyDescent="0.25">
      <c r="B10" s="7" t="s">
        <v>242</v>
      </c>
      <c r="C10" s="19">
        <f>-SUM('Inputs'!$N$22:$N$39)</f>
      </c>
      <c r="D10" s="19">
        <f>-SUM('Inputs'!$N$22:$N$39)</f>
      </c>
    </row>
    <row r="11" spans="2:4" x14ac:dyDescent="0.25">
      <c r="B11" s="7" t="s">
        <v>243</v>
      </c>
      <c r="C11" s="19">
        <f>-MIN('Inputs'!$C$131,MAX(0,C9+C10))</f>
      </c>
      <c r="D11" s="19">
        <f>-MIN('Inputs'!$C$131,MAX(0,D9+D10))</f>
      </c>
    </row>
    <row r="12" spans="2:4" x14ac:dyDescent="0.25">
      <c r="B12" s="30" t="s">
        <v>244</v>
      </c>
      <c r="C12" s="43">
        <f>MAX(0,C9+C10+C11)</f>
      </c>
      <c r="D12" s="43">
        <f>MAX(0,D9+D10+D11)</f>
      </c>
    </row>
    <row r="13" ht="27" customHeight="1" spans="2:4" x14ac:dyDescent="0.25">
      <c r="B13" s="7">
        <f>"Added to taxable income: "&amp;FIXED('Inputs'!$H$120,0)&amp;"% of the net gain (the inclusion rate, not a tax rate)"</f>
      </c>
      <c r="C13" s="19">
        <f>C12*'Inputs'!$H$120/100</f>
      </c>
      <c r="D13" s="19">
        <f>D12*'Inputs'!$H$120/100</f>
      </c>
    </row>
    <row r="14" spans="2:4" x14ac:dyDescent="0.25">
      <c r="B14" s="7" t="s">
        <v>245</v>
      </c>
      <c r="C14" s="19">
        <f>(INDEX('Inputs'!$D$134:$D$140,MATCH(C8+C13,'Inputs'!$C$134:$C$140,1))+INDEX('Inputs'!$E$134:$E$140,MATCH(C8+C13,'Inputs'!$C$134:$C$140,1))/100*((C8+C13)-INDEX('Inputs'!$C$134:$C$140,MATCH(C8+C13,'Inputs'!$C$134:$C$140,1))))</f>
      </c>
      <c r="D14" s="19">
        <f>(INDEX('Inputs'!$D$134:$D$140,MATCH(D8+D13,'Inputs'!$C$134:$C$140,1))+INDEX('Inputs'!$E$134:$E$140,MATCH(D8+D13,'Inputs'!$C$134:$C$140,1))/100*((D8+D13)-INDEX('Inputs'!$C$134:$C$140,MATCH(D8+D13,'Inputs'!$C$134:$C$140,1))))</f>
      </c>
    </row>
    <row r="15" spans="2:4" x14ac:dyDescent="0.25">
      <c r="B15" s="7" t="s">
        <v>246</v>
      </c>
      <c r="C15" s="19">
        <f>-(INDEX('Inputs'!$D$134:$D$140,MATCH(C8,'Inputs'!$C$134:$C$140,1))+INDEX('Inputs'!$E$134:$E$140,MATCH(C8,'Inputs'!$C$134:$C$140,1))/100*((C8)-INDEX('Inputs'!$C$134:$C$140,MATCH(C8,'Inputs'!$C$134:$C$140,1))))</f>
      </c>
      <c r="D15" s="19">
        <f>-(INDEX('Inputs'!$D$134:$D$140,MATCH(D8,'Inputs'!$C$134:$C$140,1))+INDEX('Inputs'!$E$134:$E$140,MATCH(D8,'Inputs'!$C$134:$C$140,1))/100*((D8)-INDEX('Inputs'!$C$134:$C$140,MATCH(D8,'Inputs'!$C$134:$C$140,1))))</f>
      </c>
    </row>
    <row r="16" spans="2:4" x14ac:dyDescent="0.25">
      <c r="B16" s="30" t="s">
        <v>247</v>
      </c>
      <c r="C16" s="43">
        <f>IF(C12&gt;0,ROUND(C14+C15,2),0)</f>
      </c>
      <c r="D16" s="43">
        <f>IF(D12&gt;0,ROUND(D14+D15,2),0)</f>
      </c>
    </row>
    <row r="18" ht="20" customHeight="1" spans="2:4" x14ac:dyDescent="0.25">
      <c r="B18" s="12" t="s">
        <v>248</v>
      </c>
      <c r="C18" s="13" t="s">
        <v>174</v>
      </c>
      <c r="D18" s="13" t="s">
        <v>240</v>
      </c>
    </row>
    <row r="19" spans="2:4" x14ac:dyDescent="0.25">
      <c r="B19" s="7" t="s">
        <v>249</v>
      </c>
      <c r="C19" s="19">
        <f>ROUND(SUM('Inputs'!$D$22:$D$39),2)</f>
      </c>
      <c r="D19" s="19">
        <f>ROUND(SUM('Inputs'!$D$22:$D$39),2)</f>
      </c>
    </row>
    <row r="20" spans="2:4" x14ac:dyDescent="0.25">
      <c r="B20" s="7" t="s">
        <v>250</v>
      </c>
      <c r="C20" s="19">
        <f>SUMIFS('Inputs'!$D$59:$D$70,'Inputs'!$C$59:$C$70,"Estate")</f>
      </c>
      <c r="D20" s="19">
        <f>SUMIFS('Inputs'!$D$59:$D$70,'Inputs'!$C$59:$C$70,"Estate")</f>
      </c>
    </row>
    <row r="21" spans="2:4" x14ac:dyDescent="0.25">
      <c r="B21" s="30" t="s">
        <v>251</v>
      </c>
      <c r="C21" s="43">
        <f>C19+C20</f>
      </c>
      <c r="D21" s="43">
        <f>D19+D20</f>
      </c>
    </row>
    <row r="22" spans="2:4" x14ac:dyDescent="0.25">
      <c r="B22" s="7" t="s">
        <v>252</v>
      </c>
      <c r="C22" s="19">
        <f>SUMIFS('Inputs'!$D$59:$D$70,'Inputs'!$C$59:$C$70,"&lt;&gt;Estate",'Inputs'!$E$59:$E$70,"&lt;&gt;No")</f>
      </c>
      <c r="D22" s="19">
        <f>SUMIFS('Inputs'!$D$59:$D$70,'Inputs'!$C$59:$C$70,"&lt;&gt;Estate",'Inputs'!$E$59:$E$70,"&lt;&gt;No")</f>
      </c>
    </row>
    <row r="23" ht="27" customHeight="1" spans="2:4" x14ac:dyDescent="0.25">
      <c r="B23" s="7">
        <f>"Death income benefits, counted for estate duty (the insurer's value, or worked out at "&amp;FIXED('Inputs'!$H$122,1)&amp;"% a year)"</f>
      </c>
      <c r="C23" s="19">
        <f>SUM('Inputs'!$M$76:$M$81)</f>
      </c>
      <c r="D23" s="19">
        <f>SUM('Inputs'!$M$76:$M$81)</f>
      </c>
    </row>
    <row r="24" spans="2:4" x14ac:dyDescent="0.25">
      <c r="B24" s="30" t="s">
        <v>253</v>
      </c>
      <c r="C24" s="43">
        <f>C21+C22+C23</f>
      </c>
      <c r="D24" s="43">
        <f>D21+D22+D23</f>
      </c>
    </row>
    <row r="25" spans="2:4" x14ac:dyDescent="0.25">
      <c r="B25" s="7" t="s">
        <v>254</v>
      </c>
      <c r="C25" s="19">
        <f>-SUM('Inputs'!$D$45:$D$54)</f>
      </c>
      <c r="D25" s="19">
        <f>-SUM('Inputs'!$D$45:$D$54)</f>
      </c>
    </row>
    <row r="26" spans="2:4" x14ac:dyDescent="0.25">
      <c r="B26" s="7" t="s">
        <v>255</v>
      </c>
      <c r="C26" s="19">
        <f>-'Inputs'!$C$123</f>
      </c>
      <c r="D26" s="19">
        <f>-'Inputs'!$C$123</f>
      </c>
    </row>
    <row r="27" spans="2:4" x14ac:dyDescent="0.25">
      <c r="B27" s="7" t="s">
        <v>256</v>
      </c>
      <c r="C27" s="19">
        <f>-'Inputs'!$C$122</f>
      </c>
      <c r="D27" s="19">
        <f>-'Inputs'!$C$122</f>
      </c>
    </row>
    <row r="28" spans="2:4" x14ac:dyDescent="0.25">
      <c r="B28" s="7" t="s">
        <v>257</v>
      </c>
      <c r="C28" s="19">
        <f>-'Inputs'!$C$124</f>
      </c>
      <c r="D28" s="19">
        <f>-'Inputs'!$C$124</f>
      </c>
    </row>
    <row r="29" spans="2:4" x14ac:dyDescent="0.25">
      <c r="B29" s="7">
        <f>"Less executor's fees: "&amp;IF(ROUND('Inputs'!$C$120,0)='Inputs'!$C$120,FIXED('Inputs'!$C$120,0),IF(ROUND('Inputs'!$C$120,1)='Inputs'!$C$120,FIXED('Inputs'!$C$120,1),FIXED('Inputs'!$C$120,2)))&amp;"%"&amp;"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29" s="19">
        <f>-ROUND('Inputs'!$C$120/100*(1+'Inputs'!$C$121/100)*C21,2)</f>
      </c>
      <c r="D29" s="19">
        <f>-ROUND(IF(AND(ISNUMBER('Inputs'!$C$112),'Inputs'!$C$112&gt;0),'Inputs'!$C$112,'Inputs'!$C$120)/100*(1+'Inputs'!$C$121/100)*D21,2)</f>
      </c>
    </row>
    <row r="30" spans="2:4" x14ac:dyDescent="0.25">
      <c r="B30" s="7" t="s">
        <v>258</v>
      </c>
      <c r="C30" s="19">
        <f>-SUM('Inputs'!$P$22:$P$39)</f>
      </c>
      <c r="D30" s="19">
        <f>-IF(AND(AND(ISNUMBER('Inputs'!$C$112),'Inputs'!$C$112&gt;0),ISNUMBER('Inputs'!$C$113)),'Inputs'!$C$113,SUM('Inputs'!$P$22:$P$39))</f>
      </c>
    </row>
    <row r="31" spans="2:4" x14ac:dyDescent="0.25">
      <c r="B31" s="7" t="s">
        <v>259</v>
      </c>
      <c r="C31" s="19">
        <f>-SUM('Inputs'!$Q$22:$Q$39)</f>
      </c>
      <c r="D31" s="19">
        <f>-SUM('Inputs'!$Q$22:$Q$39)</f>
      </c>
    </row>
    <row r="32" spans="2:4" x14ac:dyDescent="0.25">
      <c r="B32" s="7" t="s">
        <v>260</v>
      </c>
      <c r="C32" s="19">
        <f>-C16</f>
      </c>
      <c r="D32" s="19">
        <f>-D16</f>
      </c>
    </row>
    <row r="33" spans="2:4" x14ac:dyDescent="0.25">
      <c r="B33" s="7" t="s">
        <v>261</v>
      </c>
      <c r="C33" s="19">
        <f>ROUND(C21+C25-(-C26-C27-C28-C29-C30-C31-C32)-SUM('Inputs'!$R$22:$R$39)-SUM('Inputs'!$S$22:$S$39),2)</f>
      </c>
      <c r="D33" s="19">
        <f>ROUND(D21+D25-(-D26-D27-D28-D29-D30-D31-D32)-SUM('Inputs'!$R$22:$R$39)-SUM('Inputs'!$S$22:$S$39),2)</f>
      </c>
    </row>
    <row r="34" spans="2:4" x14ac:dyDescent="0.25">
      <c r="B34" s="7" t="s">
        <v>262</v>
      </c>
      <c r="C34" s="44">
        <f>IF(C33&lt;0,IF(SUM('Inputs'!$R$22:$R$39)+SUM('Inputs'!$S$22:$S$39)&gt;0,MAX(0,1+C33/(SUM('Inputs'!$R$22:$R$39)+SUM('Inputs'!$S$22:$S$39))),1),1)</f>
      </c>
      <c r="D34" s="44">
        <f>IF(D33&lt;0,IF(SUM('Inputs'!$R$22:$R$39)+SUM('Inputs'!$S$22:$S$39)&gt;0,MAX(0,1+D33/(SUM('Inputs'!$R$22:$R$39)+SUM('Inputs'!$S$22:$S$39))),1),1)</f>
      </c>
    </row>
    <row r="35" spans="2:4" x14ac:dyDescent="0.25">
      <c r="B35" s="7" t="s">
        <v>263</v>
      </c>
      <c r="C35" s="19">
        <f>-IF(OR(LEFT('Inputs'!$C$13,7)="Married",'Inputs'!$C$13="Life partner",'Inputs'!$C$13="Civil Union"),SUM('Inputs'!$R$22:$R$39)*C34+SUMIFS('Inputs'!$D$59:$D$70,'Inputs'!$C$59:$C$70,"Spouse",'Inputs'!$E$59:$E$70,"&lt;&gt;No")+SUM('Inputs'!$S$76:$S$81)+IF('Inputs'!$C$14="Spouse",MAX(0,C33),0),0)</f>
      </c>
      <c r="D35" s="19">
        <f>-IF(OR(LEFT('Inputs'!$C$13,7)="Married",'Inputs'!$C$13="Life partner",'Inputs'!$C$13="Civil Union"),SUM('Inputs'!$R$22:$R$39)*D34+SUMIFS('Inputs'!$D$59:$D$70,'Inputs'!$C$59:$C$70,"Spouse",'Inputs'!$E$59:$E$70,"&lt;&gt;No")+SUM('Inputs'!$S$76:$S$81)+IF('Inputs'!$C$14="Spouse",MAX(0,D33),0),0)</f>
      </c>
    </row>
    <row r="36" spans="2:4" x14ac:dyDescent="0.25">
      <c r="B36" s="30" t="s">
        <v>264</v>
      </c>
      <c r="C36" s="43">
        <f>ROUND(C24+C25+C26+C27+C28+C29+C30+C31+C32+C35,2)</f>
      </c>
      <c r="D36" s="43">
        <f>ROUND(D24+D25+D26+D27+D28+D29+D30+D31+D32+D35,2)</f>
      </c>
    </row>
    <row r="37" spans="2:4" x14ac:dyDescent="0.25">
      <c r="B37" s="7" t="s">
        <v>265</v>
      </c>
      <c r="C37" s="19">
        <f>-'Inputs'!$C$127</f>
      </c>
      <c r="D37" s="19">
        <f>-'Inputs'!$C$127</f>
      </c>
    </row>
    <row r="38" spans="2:4" x14ac:dyDescent="0.25">
      <c r="B38" s="7" t="s">
        <v>266</v>
      </c>
      <c r="C38" s="19">
        <f>MAX(0,C36+C37)</f>
      </c>
      <c r="D38" s="19">
        <f>MAX(0,D36+D37)</f>
      </c>
    </row>
    <row r="39" spans="2:4" x14ac:dyDescent="0.25">
      <c r="B39" s="30" t="s">
        <v>175</v>
      </c>
      <c r="C39" s="43">
        <f>ROUND(IF(C38&lt;='Inputs'!$C$129,C38*'Inputs'!$C$128/100,'Inputs'!$C$129*'Inputs'!$C$128/100+(C38-'Inputs'!$C$129)*'Inputs'!$C$130/100),2)</f>
      </c>
      <c r="D39" s="43">
        <f>ROUND(IF(D38&lt;='Inputs'!$C$129,D38*'Inputs'!$C$128/100,'Inputs'!$C$129*'Inputs'!$C$128/100+(D38-'Inputs'!$C$129)*'Inputs'!$C$130/100),2)</f>
      </c>
    </row>
    <row r="40" spans="2:4" x14ac:dyDescent="0.25">
      <c r="B40" s="7" t="s">
        <v>267</v>
      </c>
      <c r="C40" s="45">
        <f>IF(C36&gt;0,C39/C36,0)</f>
      </c>
      <c r="D40" s="45">
        <f>IF(D36&gt;0,D39/D36,0)</f>
      </c>
    </row>
    <row r="41" ht="27" customHeight="1" spans="2:2" x14ac:dyDescent="0.25">
      <c r="B41" s="7" t="s">
        <v>268</v>
      </c>
    </row>
    <row r="42" ht="15" customHeight="1" spans="2:4" x14ac:dyDescent="0.25">
      <c r="B42"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2" s="19">
        <f>IFERROR(INDEX('Inputs'!$U$22:$U$39,MATCH(1,'Inputs'!$X$22:$X$39,0)),IFERROR(INDEX('Inputs'!$M$59:$M$70,MATCH(1,'Inputs'!$O$59:$O$70,0)),IFERROR(INDEX('Inputs'!$P$76:$P$81,MATCH(1,'Inputs'!$R$76:$R$81,0)),"")))</f>
      </c>
      <c r="D42" s="19">
        <f>IFERROR(INDEX('Inputs'!$V$22:$V$39,MATCH(1,'Inputs'!$X$22:$X$39,0)),IFERROR(INDEX('Inputs'!$N$59:$N$70,MATCH(1,'Inputs'!$O$59:$O$70,0)),IFERROR(INDEX('Inputs'!$Q$76:$Q$81,MATCH(1,'Inputs'!$R$76:$R$81,0)),"")))</f>
      </c>
    </row>
    <row r="43" ht="15" customHeight="1" spans="2:4" x14ac:dyDescent="0.25">
      <c r="B43"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3" s="19">
        <f>IFERROR(INDEX('Inputs'!$U$22:$U$39,MATCH(2,'Inputs'!$X$22:$X$39,0)),IFERROR(INDEX('Inputs'!$M$59:$M$70,MATCH(2,'Inputs'!$O$59:$O$70,0)),IFERROR(INDEX('Inputs'!$P$76:$P$81,MATCH(2,'Inputs'!$R$76:$R$81,0)),"")))</f>
      </c>
      <c r="D43" s="19">
        <f>IFERROR(INDEX('Inputs'!$V$22:$V$39,MATCH(2,'Inputs'!$X$22:$X$39,0)),IFERROR(INDEX('Inputs'!$N$59:$N$70,MATCH(2,'Inputs'!$O$59:$O$70,0)),IFERROR(INDEX('Inputs'!$Q$76:$Q$81,MATCH(2,'Inputs'!$R$76:$R$81,0)),"")))</f>
      </c>
    </row>
    <row r="44" ht="15" customHeight="1" spans="2:4" x14ac:dyDescent="0.25">
      <c r="B44"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4" s="19">
        <f>IFERROR(INDEX('Inputs'!$U$22:$U$39,MATCH(3,'Inputs'!$X$22:$X$39,0)),IFERROR(INDEX('Inputs'!$M$59:$M$70,MATCH(3,'Inputs'!$O$59:$O$70,0)),IFERROR(INDEX('Inputs'!$P$76:$P$81,MATCH(3,'Inputs'!$R$76:$R$81,0)),"")))</f>
      </c>
      <c r="D44" s="19">
        <f>IFERROR(INDEX('Inputs'!$V$22:$V$39,MATCH(3,'Inputs'!$X$22:$X$39,0)),IFERROR(INDEX('Inputs'!$N$59:$N$70,MATCH(3,'Inputs'!$O$59:$O$70,0)),IFERROR(INDEX('Inputs'!$Q$76:$Q$81,MATCH(3,'Inputs'!$R$76:$R$81,0)),"")))</f>
      </c>
    </row>
    <row r="45" ht="15" customHeight="1" spans="2:4" x14ac:dyDescent="0.25">
      <c r="B45"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5" s="19">
        <f>IFERROR(INDEX('Inputs'!$U$22:$U$39,MATCH(4,'Inputs'!$X$22:$X$39,0)),IFERROR(INDEX('Inputs'!$M$59:$M$70,MATCH(4,'Inputs'!$O$59:$O$70,0)),IFERROR(INDEX('Inputs'!$P$76:$P$81,MATCH(4,'Inputs'!$R$76:$R$81,0)),"")))</f>
      </c>
      <c r="D45" s="19">
        <f>IFERROR(INDEX('Inputs'!$V$22:$V$39,MATCH(4,'Inputs'!$X$22:$X$39,0)),IFERROR(INDEX('Inputs'!$N$59:$N$70,MATCH(4,'Inputs'!$O$59:$O$70,0)),IFERROR(INDEX('Inputs'!$Q$76:$Q$81,MATCH(4,'Inputs'!$R$76:$R$81,0)),"")))</f>
      </c>
    </row>
    <row r="46" ht="15" customHeight="1" spans="2:4" x14ac:dyDescent="0.25">
      <c r="B46"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6" s="19">
        <f>IFERROR(INDEX('Inputs'!$U$22:$U$39,MATCH(5,'Inputs'!$X$22:$X$39,0)),IFERROR(INDEX('Inputs'!$M$59:$M$70,MATCH(5,'Inputs'!$O$59:$O$70,0)),IFERROR(INDEX('Inputs'!$P$76:$P$81,MATCH(5,'Inputs'!$R$76:$R$81,0)),"")))</f>
      </c>
      <c r="D46" s="19">
        <f>IFERROR(INDEX('Inputs'!$V$22:$V$39,MATCH(5,'Inputs'!$X$22:$X$39,0)),IFERROR(INDEX('Inputs'!$N$59:$N$70,MATCH(5,'Inputs'!$O$59:$O$70,0)),IFERROR(INDEX('Inputs'!$Q$76:$Q$81,MATCH(5,'Inputs'!$R$76:$R$81,0)),"")))</f>
      </c>
    </row>
    <row r="47" ht="15" customHeight="1" spans="2:4" x14ac:dyDescent="0.25">
      <c r="B47"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7" s="19">
        <f>IFERROR(INDEX('Inputs'!$U$22:$U$39,MATCH(6,'Inputs'!$X$22:$X$39,0)),IFERROR(INDEX('Inputs'!$M$59:$M$70,MATCH(6,'Inputs'!$O$59:$O$70,0)),IFERROR(INDEX('Inputs'!$P$76:$P$81,MATCH(6,'Inputs'!$R$76:$R$81,0)),"")))</f>
      </c>
      <c r="D47" s="19">
        <f>IFERROR(INDEX('Inputs'!$V$22:$V$39,MATCH(6,'Inputs'!$X$22:$X$39,0)),IFERROR(INDEX('Inputs'!$N$59:$N$70,MATCH(6,'Inputs'!$O$59:$O$70,0)),IFERROR(INDEX('Inputs'!$Q$76:$Q$81,MATCH(6,'Inputs'!$R$76:$R$81,0)),"")))</f>
      </c>
    </row>
    <row r="48" ht="27" customHeight="1" spans="2:4" x14ac:dyDescent="0.25">
      <c r="B48" s="7" t="s">
        <v>269</v>
      </c>
      <c r="C48" s="19">
        <f>-(SUM('Inputs'!$M$59:$M$70)+SUM('Inputs'!$U$22:$U$39)+SUM('Inputs'!$P$76:$P$81))</f>
      </c>
      <c r="D48" s="19">
        <f>-(SUM('Inputs'!$N$59:$N$70)+SUM('Inputs'!$V$22:$V$39)+SUM('Inputs'!$Q$76:$Q$81))</f>
      </c>
    </row>
    <row r="49" spans="2:4" x14ac:dyDescent="0.25">
      <c r="B49" s="30" t="s">
        <v>233</v>
      </c>
      <c r="C49" s="43">
        <f>C39+C48</f>
      </c>
      <c r="D49" s="43">
        <f>D39+D48</f>
      </c>
    </row>
    <row r="50" spans="2:2" x14ac:dyDescent="0.25">
      <c r="B50" s="7" t="s">
        <v>270</v>
      </c>
    </row>
    <row r="52" ht="20" customHeight="1" spans="2:4" x14ac:dyDescent="0.25">
      <c r="B52" s="12" t="s">
        <v>271</v>
      </c>
      <c r="C52" s="13" t="s">
        <v>174</v>
      </c>
      <c r="D52" s="13" t="s">
        <v>240</v>
      </c>
    </row>
    <row r="53" spans="2:4" x14ac:dyDescent="0.25">
      <c r="B53" s="7" t="s">
        <v>178</v>
      </c>
      <c r="C53" s="19">
        <f>-(C26+C27+C28)</f>
      </c>
      <c r="D53" s="19">
        <f>-(D26+D27+D28)</f>
      </c>
    </row>
    <row r="54" spans="2:4" x14ac:dyDescent="0.25">
      <c r="B54" s="7" t="s">
        <v>229</v>
      </c>
      <c r="C54" s="19">
        <f>-C29</f>
      </c>
      <c r="D54" s="19">
        <f>-D29</f>
      </c>
    </row>
    <row r="55" spans="2:4" x14ac:dyDescent="0.25">
      <c r="B55" s="7" t="s">
        <v>272</v>
      </c>
      <c r="C55" s="19">
        <f>-C30</f>
      </c>
      <c r="D55" s="19">
        <f>-D30</f>
      </c>
    </row>
    <row r="56" spans="2:4" x14ac:dyDescent="0.25">
      <c r="B56" s="7" t="s">
        <v>177</v>
      </c>
      <c r="C56" s="19">
        <f>-C31</f>
      </c>
      <c r="D56" s="19">
        <f>-D31</f>
      </c>
    </row>
    <row r="57" spans="2:4" x14ac:dyDescent="0.25">
      <c r="B57" s="7" t="s">
        <v>247</v>
      </c>
      <c r="C57" s="19">
        <f>C16</f>
      </c>
      <c r="D57" s="19">
        <f>D16</f>
      </c>
    </row>
    <row r="58" spans="2:4" x14ac:dyDescent="0.25">
      <c r="B58" s="7" t="s">
        <v>233</v>
      </c>
      <c r="C58" s="19">
        <f>C49</f>
      </c>
      <c r="D58" s="19">
        <f>D49</f>
      </c>
    </row>
    <row r="59" spans="2:4" x14ac:dyDescent="0.25">
      <c r="B59" s="30" t="s">
        <v>234</v>
      </c>
      <c r="C59" s="43">
        <f>ROUND(SUM(C53:C58),2)</f>
      </c>
      <c r="D59" s="43">
        <f>ROUND(SUM(D53:D58),2)</f>
      </c>
    </row>
    <row r="60" ht="27" customHeight="1" spans="2:4" x14ac:dyDescent="0.25">
      <c r="B60" s="7">
        <f>"Less paid by the Legacy plan: "&amp;IF(AND(ISNUMBER('Inputs'!$C$112),'Inputs'!$C$112&gt;0),FIXED(N('Inputs'!$C$114),0)&amp;"% of the executor's fee and conveyancing, up to R "&amp;FIXED(N('Inputs'!$C$115),2),"no quote entered")</f>
      </c>
      <c r="C60" s="19">
        <f>0</f>
      </c>
      <c r="D60" s="19">
        <f>IF(AND(ISNUMBER('Inputs'!$C$112),'Inputs'!$C$112&gt;0),-ROUND(MIN(N('Inputs'!$C$114)/100*(D54+D55),N('Inputs'!$C$115)),2),0)</f>
      </c>
    </row>
    <row r="61" spans="2:4" x14ac:dyDescent="0.25">
      <c r="B61" s="30" t="s">
        <v>273</v>
      </c>
      <c r="C61" s="43">
        <f>ROUND(C59+C60,2)</f>
      </c>
      <c r="D61" s="43">
        <f>ROUND(D59+D60,2)</f>
      </c>
    </row>
    <row r="62" spans="2:4" x14ac:dyDescent="0.25">
      <c r="B62" s="7" t="s">
        <v>182</v>
      </c>
      <c r="C62" s="19">
        <f>-C25</f>
      </c>
      <c r="D62" s="19">
        <f>-D25</f>
      </c>
    </row>
    <row r="63" spans="2:4" x14ac:dyDescent="0.25">
      <c r="B63" s="30" t="s">
        <v>189</v>
      </c>
      <c r="C63" s="43">
        <f>ROUND(C61+C62,2)</f>
      </c>
      <c r="D63" s="43">
        <f>ROUND(D61+D62,2)</f>
      </c>
    </row>
    <row r="64" spans="2:4" x14ac:dyDescent="0.25">
      <c r="B64" s="7" t="s">
        <v>274</v>
      </c>
      <c r="C64" s="19">
        <f>ROUND(SUM('Inputs'!$O$22:$O$39),2)</f>
      </c>
      <c r="D64" s="19">
        <f>ROUND(SUM('Inputs'!$O$22:$O$39),2)</f>
      </c>
    </row>
    <row r="65" spans="2:4" x14ac:dyDescent="0.25">
      <c r="B65" s="7" t="s">
        <v>250</v>
      </c>
      <c r="C65" s="19">
        <f>C20</f>
      </c>
      <c r="D65" s="19">
        <f>D20</f>
      </c>
    </row>
    <row r="66" spans="2:4" x14ac:dyDescent="0.25">
      <c r="B66" s="30" t="s">
        <v>190</v>
      </c>
      <c r="C66" s="43">
        <f>C64+C65</f>
      </c>
      <c r="D66" s="43">
        <f>D64+D65</f>
      </c>
    </row>
    <row r="67" spans="2:4" x14ac:dyDescent="0.25">
      <c r="B67" s="30" t="s">
        <v>275</v>
      </c>
      <c r="C67" s="43">
        <f>ROUND(MAX(0,C63-C66),2)</f>
      </c>
      <c r="D67" s="43">
        <f>ROUND(MAX(0,D63-D66),2)</f>
      </c>
    </row>
    <row r="68" spans="2:4" x14ac:dyDescent="0.25">
      <c r="B68" s="7" t="s">
        <v>276</v>
      </c>
      <c r="C68" s="19">
        <f>ROUND(MAX(0,C66-C63),2)</f>
      </c>
      <c r="D68" s="19">
        <f>ROUND(MAX(0,D66-D63),2)</f>
      </c>
    </row>
    <row r="69" ht="27" customHeight="1" spans="2:4" x14ac:dyDescent="0.25">
      <c r="B69" s="30" t="s">
        <v>277</v>
      </c>
      <c r="C69" s="43">
        <f>ROUND(C21-C63,2)</f>
      </c>
      <c r="D69" s="43">
        <f>ROUND(D21-D63,2)</f>
      </c>
    </row>
    <row r="71" ht="52" customHeight="1" spans="2:4" x14ac:dyDescent="0.25">
      <c r="B71" s="36">
        <f>"Our standard assumptions: executor "&amp;IF(ROUND('Inputs'!$C$120,0)='Inputs'!$C$120,FIXED('Inputs'!$C$120,0),IF(ROUND('Inputs'!$C$120,1)='Inputs'!$C$120,FIXED('Inputs'!$C$120,1),FIXED('Inputs'!$C$120,2)))&amp;"%"&amp;" plus VAT unless Capital Legacy acts; Master's fees R "&amp;FIXED('Inputs'!$C$122,0)&amp;"; funeral R "&amp;FIXED('Inputs'!$C$123,0)&amp;"; sundries R "&amp;FIXED('Inputs'!$C$124,0)&amp;"; property transfer costs "&amp;IF(ROUND('Inputs'!$C$125,0)='Inputs'!$C$125,FIXED('Inputs'!$C$125,0),IF(ROUND('Inputs'!$C$125,1)='Inputs'!$C$125,FIXED('Inputs'!$C$125,1),FIXED('Inputs'!$C$125,2)))&amp;"%"&amp;" of value; agent's commission "&amp;IF(ROUND('Inputs'!$C$126,0)='Inputs'!$C$126,FIXED('Inputs'!$C$126,0),IF(ROUND('Inputs'!$C$126,1)='Inputs'!$C$126,FIXED('Inputs'!$C$126,1),FIXED('Inputs'!$C$126,2)))&amp;"%"&amp;" plus VAT on a property sold; estate duty "&amp;IF(ROUND('Inputs'!$C$128,0)='Inputs'!$C$128,FIXED('Inputs'!$C$128,0),IF(ROUND('Inputs'!$C$128,1)='Inputs'!$C$128,FIXED('Inputs'!$C$128,1),FIXED('Inputs'!$C$128,2)))&amp;"%"&amp;" above R "&amp;FIXED('Inputs'!$C$127,0)&amp;"; 2027 tax tables. Capital gains tax on death (s.9HA): everything treated as sold at its value; assets left to a spouse roll over (no tax now). The Capital Legacy fees stay deductible for estate duty, although the plan pays them."</f>
      </c>
      <c r="C71" s="36"/>
      <c r="D71" s="36"/>
    </row>
  </sheetData>
  <sheetProtection sheet="1" formatRows="0"/>
  <mergeCells count="3">
    <mergeCell ref="B1:D1"/>
    <mergeCell ref="B2:D2"/>
    <mergeCell ref="B71:D71"/>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Q333"/>
  <sheetFormatPr defaultRowHeight="15" outlineLevelRow="0" outlineLevelCol="0" x14ac:dyDescent="55"/>
  <cols>
    <col min="1" max="1" width="2" customWidth="1"/>
    <col min="2" max="2" width="34" customWidth="1"/>
    <col min="3" max="3" width="16" customWidth="1"/>
  </cols>
  <sheetData>
    <row r="2" spans="2:3" x14ac:dyDescent="0.25">
      <c r="B2" t="s">
        <v>118</v>
      </c>
      <c r="C2">
        <f>IF('Inputs'!$B$100="","",'Inputs'!$B$100)</f>
      </c>
    </row>
    <row r="3" spans="2:17" x14ac:dyDescent="0.25">
      <c r="B3" t="s">
        <v>120</v>
      </c>
      <c r="C3">
        <f>N('Inputs'!$D$100)</f>
      </c>
      <c r="I3" t="s">
        <v>398</v>
      </c>
      <c r="J3" t="s">
        <v>399</v>
      </c>
      <c r="K3" t="s">
        <v>400</v>
      </c>
      <c r="L3" t="s">
        <v>401</v>
      </c>
      <c r="P3" t="s">
        <v>402</v>
      </c>
      <c r="Q3" t="s">
        <v>403</v>
      </c>
    </row>
    <row r="4" spans="2:17" x14ac:dyDescent="0.25">
      <c r="B4" t="s">
        <v>404</v>
      </c>
      <c r="C4">
        <f>IF($C$3&gt;=75,'Inputs'!$H$131,IF($C$3&gt;=65,'Inputs'!$H$130,'Inputs'!$H$124))</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$123/100))^(1/12)-1)-((1+$C$14)^(1/12)-1))*(P4*(((1+((1+$C$14)^(1/12)-1))^12-1)/((1+((1+$C$14)^(1/12)-1))-1))-J4/12/((1+((1+$C$14)^(1/12)-1))-1)*((1+((1+$C$14)^(1/12)-1))*(((1+((1+$C$14)^(1/12)-1))^12-1)/((1+((1+$C$14)^(1/12)-1))-1))-12)),0))</f>
      </c>
    </row>
    <row r="5" spans="2:17" x14ac:dyDescent="0.25">
      <c r="B5" t="s">
        <v>405</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$123/100))^(1/12)-1)-((1+$C$14)^(1/12)-1))*(P5*(((1+((1+$C$14)^(1/12)-1))^12-1)/((1+((1+$C$14)^(1/12)-1))-1))-J5/12/((1+((1+$C$14)^(1/12)-1))-1)*((1+((1+$C$14)^(1/12)-1))*(((1+((1+$C$14)^(1/12)-1))^12-1)/((1+((1+$C$14)^(1/12)-1))-1))-12)),0))</f>
      </c>
    </row>
    <row r="6" spans="2:17" x14ac:dyDescent="0.25">
      <c r="B6" t="s">
        <v>406</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$123/100))^(1/12)-1)-((1+$C$14)^(1/12)-1))*(P6*(((1+((1+$C$14)^(1/12)-1))^12-1)/((1+((1+$C$14)^(1/12)-1))-1))-J6/12/((1+((1+$C$14)^(1/12)-1))-1)*((1+((1+$C$14)^(1/12)-1))*(((1+((1+$C$14)^(1/12)-1))^12-1)/((1+((1+$C$14)^(1/12)-1))-1))-12)),0))</f>
      </c>
    </row>
    <row r="7" spans="2:17" x14ac:dyDescent="0.25">
      <c r="B7" t="s">
        <v>407</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$123/100))^(1/12)-1)-((1+$C$14)^(1/12)-1))*(P7*(((1+((1+$C$14)^(1/12)-1))^12-1)/((1+((1+$C$14)^(1/12)-1))-1))-J7/12/((1+((1+$C$14)^(1/12)-1))-1)*((1+((1+$C$14)^(1/12)-1))*(((1+((1+$C$14)^(1/12)-1))^12-1)/((1+((1+$C$14)^(1/12)-1))-1))-12)),0))</f>
      </c>
    </row>
    <row r="8" spans="2:17" x14ac:dyDescent="0.25">
      <c r="B8" t="s">
        <v>408</v>
      </c>
      <c r="C8">
        <f>IF('Inputs'!$G$100="",'Inputs'!$H$129/100,'Inputs'!$G$100/100)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$123/100))^(1/12)-1)-((1+$C$14)^(1/12)-1))*(P8*(((1+((1+$C$14)^(1/12)-1))^12-1)/((1+((1+$C$14)^(1/12)-1))-1))-J8/12/((1+((1+$C$14)^(1/12)-1))-1)*((1+((1+$C$14)^(1/12)-1))*(((1+((1+$C$14)^(1/12)-1))^12-1)/((1+((1+$C$14)^(1/12)-1))-1))-12)),0))</f>
      </c>
    </row>
    <row r="9" spans="2:17" x14ac:dyDescent="0.25">
      <c r="B9" t="s">
        <v>409</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$123/100))^(1/12)-1)-((1+$C$14)^(1/12)-1))*(P9*(((1+((1+$C$14)^(1/12)-1))^12-1)/((1+((1+$C$14)^(1/12)-1))-1))-J9/12/((1+((1+$C$14)^(1/12)-1))-1)*((1+((1+$C$14)^(1/12)-1))*(((1+((1+$C$14)^(1/12)-1))^12-1)/((1+((1+$C$14)^(1/12)-1))-1))-12)),0))</f>
      </c>
    </row>
    <row r="10" spans="2:17" x14ac:dyDescent="0.25">
      <c r="B10" t="s">
        <v>410</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$123/100))^(1/12)-1)-((1+$C$14)^(1/12)-1))*(P10*(((1+((1+$C$14)^(1/12)-1))^12-1)/((1+((1+$C$14)^(1/12)-1))-1))-J10/12/((1+((1+$C$14)^(1/12)-1))-1)*((1+((1+$C$14)^(1/12)-1))*(((1+((1+$C$14)^(1/12)-1))^12-1)/((1+((1+$C$14)^(1/12)-1))-1))-12)),0))</f>
      </c>
    </row>
    <row r="11" spans="2:17" x14ac:dyDescent="0.25">
      <c r="B11" t="s">
        <v>411</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$123/100))^(1/12)-1)-((1+$C$14)^(1/12)-1))*(P11*(((1+((1+$C$14)^(1/12)-1))^12-1)/((1+((1+$C$14)^(1/12)-1))-1))-J11/12/((1+((1+$C$14)^(1/12)-1))-1)*((1+((1+$C$14)^(1/12)-1))*(((1+((1+$C$14)^(1/12)-1))^12-1)/((1+((1+$C$14)^(1/12)-1))-1))-12)),0))</f>
      </c>
    </row>
    <row r="12" spans="2:17" x14ac:dyDescent="0.25">
      <c r="B12" t="s">
        <v>412</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$123/100))^(1/12)-1)-((1+$C$14)^(1/12)-1))*(P12*(((1+((1+$C$14)^(1/12)-1))^12-1)/((1+((1+$C$14)^(1/12)-1))-1))-J12/12/((1+((1+$C$14)^(1/12)-1))-1)*((1+((1+$C$14)^(1/12)-1))*(((1+((1+$C$14)^(1/12)-1))^12-1)/((1+((1+$C$14)^(1/12)-1))-1))-12)),0))</f>
      </c>
    </row>
    <row r="13" spans="2:17" x14ac:dyDescent="0.25">
      <c r="B13" t="s">
        <v>413</v>
      </c>
      <c r="C13">
        <f>IF($C$9&lt;&gt;1,0,ROUND(IF($C$14=0,SUM($J$4:$J$53),(1-(1+$C$14)^-1)/(1-(1+$C$14)^(-1/12))/12*SUMPRODUCT($J$4:$J$53,(1+$C$14)^(-$I$4:$I$53)))-IF(($C$14+'Inputs'!$H$123/100)=0,SUM($J$4:$J$53),(1-(1+($C$14+'Inputs'!$H$123/100))^-1)/(1-(1+($C$14+'Inputs'!$H$123/100))^(-1/12))/12*SUMPRODUCT($J$4:$J$53,(1+($C$14+'Inputs'!$H$123/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$123/100))^(1/12)-1)-((1+$C$14)^(1/12)-1))*(P13*(((1+((1+$C$14)^(1/12)-1))^12-1)/((1+((1+$C$14)^(1/12)-1))-1))-J13/12/((1+((1+$C$14)^(1/12)-1))-1)*((1+((1+$C$14)^(1/12)-1))*(((1+((1+$C$14)^(1/12)-1))^12-1)/((1+((1+$C$14)^(1/12)-1))-1))-12)),0))</f>
      </c>
    </row>
    <row r="14" spans="2:17" x14ac:dyDescent="0.25">
      <c r="B14" t="s">
        <v>414</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$123/100))^(1/12)-1)-((1+$C$14)^(1/12)-1))*(P14*(((1+((1+$C$14)^(1/12)-1))^12-1)/((1+((1+$C$14)^(1/12)-1))-1))-J14/12/((1+((1+$C$14)^(1/12)-1))-1)*((1+((1+$C$14)^(1/12)-1))*(((1+((1+$C$14)^(1/12)-1))^12-1)/((1+((1+$C$14)^(1/12)-1))-1))-12)),0))</f>
      </c>
    </row>
    <row r="15" spans="2:17" x14ac:dyDescent="0.25">
      <c r="B15" t="s">
        <v>415</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$123/100))^(1/12)-1)-((1+$C$14)^(1/12)-1))*(P15*(((1+((1+$C$14)^(1/12)-1))^12-1)/((1+((1+$C$14)^(1/12)-1))-1))-J15/12/((1+((1+$C$14)^(1/12)-1))-1)*((1+((1+$C$14)^(1/12)-1))*(((1+((1+$C$14)^(1/12)-1))^12-1)/((1+((1+$C$14)^(1/12)-1))-1))-12)),0))</f>
      </c>
    </row>
    <row r="16" spans="2:17" x14ac:dyDescent="0.25">
      <c r="B16" t="s">
        <v>416</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$123/100))^(1/12)-1)-((1+$C$14)^(1/12)-1))*(P16*(((1+((1+$C$14)^(1/12)-1))^12-1)/((1+((1+$C$14)^(1/12)-1))-1))-J16/12/((1+((1+$C$14)^(1/12)-1))-1)*((1+((1+$C$14)^(1/12)-1))*(((1+((1+$C$14)^(1/12)-1))^12-1)/((1+((1+$C$14)^(1/12)-1))-1))-12)),0))</f>
      </c>
    </row>
    <row r="17" spans="2:17" x14ac:dyDescent="0.25">
      <c r="B17" t="s">
        <v>417</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$123/100))^(1/12)-1)-((1+$C$14)^(1/12)-1))*(P17*(((1+((1+$C$14)^(1/12)-1))^12-1)/((1+((1+$C$14)^(1/12)-1))-1))-J17/12/((1+((1+$C$14)^(1/12)-1))-1)*((1+((1+$C$14)^(1/12)-1))*(((1+((1+$C$14)^(1/12)-1))^12-1)/((1+((1+$C$14)^(1/12)-1))-1))-12)),0))</f>
      </c>
    </row>
    <row r="18" spans="2:17" x14ac:dyDescent="0.25">
      <c r="B18" t="s">
        <v>418</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$123/100))^(1/12)-1)-((1+$C$14)^(1/12)-1))*(P18*(((1+((1+$C$14)^(1/12)-1))^12-1)/((1+((1+$C$14)^(1/12)-1))-1))-J18/12/((1+((1+$C$14)^(1/12)-1))-1)*((1+((1+$C$14)^(1/12)-1))*(((1+((1+$C$14)^(1/12)-1))^12-1)/((1+((1+$C$14)^(1/12)-1))-1))-12)),0))</f>
      </c>
    </row>
    <row r="19" spans="2:17" x14ac:dyDescent="0.25">
      <c r="B19" t="s">
        <v>419</v>
      </c>
      <c r="C19">
        <f>IF('Needs calc'!$C$45&gt;0,IF(N('Inputs'!$E$100)&gt;0,IF('Needs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$123/100))^(1/12)-1)-((1+$C$14)^(1/12)-1))*(P19*(((1+((1+$C$14)^(1/12)-1))^12-1)/((1+((1+$C$14)^(1/12)-1))-1))-J19/12/((1+((1+$C$14)^(1/12)-1))-1)*((1+((1+$C$14)^(1/12)-1))*(((1+((1+$C$14)^(1/12)-1))^12-1)/((1+((1+$C$14)^(1/12)-1))-1))-12)),0))</f>
      </c>
    </row>
    <row r="20" spans="2:17" x14ac:dyDescent="0.25">
      <c r="B20" t="s">
        <v>420</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$123/100))^(1/12)-1)-((1+$C$14)^(1/12)-1))*(P20*(((1+((1+$C$14)^(1/12)-1))^12-1)/((1+((1+$C$14)^(1/12)-1))-1))-J20/12/((1+((1+$C$14)^(1/12)-1))-1)*((1+((1+$C$14)^(1/12)-1))*(((1+((1+$C$14)^(1/12)-1))^12-1)/((1+((1+$C$14)^(1/12)-1))-1))-12)),0))</f>
      </c>
    </row>
    <row r="21" spans="2:17" x14ac:dyDescent="0.25">
      <c r="B21" t="s">
        <v>421</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$123/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$123/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$123/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$123/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$123/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$123/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$123/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$123/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$123/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$123/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$123/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$123/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$123/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$123/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$123/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$123/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$123/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$123/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$123/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$123/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$123/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$123/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$123/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$123/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$123/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$123/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$123/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$123/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$123/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$123/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$123/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$123/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$123/100))^(1/12)-1)-((1+$C$14)^(1/12)-1))*(P53*(((1+((1+$C$14)^(1/12)-1))^12-1)/((1+((1+$C$14)^(1/12)-1))-1))-J53/12/((1+((1+$C$14)^(1/12)-1))-1)*((1+((1+$C$14)^(1/12)-1))*(((1+((1+$C$14)^(1/12)-1))^12-1)/((1+((1+$C$14)^(1/12)-1))-1))-12)),0))</f>
      </c>
    </row>
    <row r="58" spans="2:3" x14ac:dyDescent="0.25">
      <c r="B58" t="s">
        <v>118</v>
      </c>
      <c r="C58">
        <f>IF('Inputs'!$B$101="","",'Inputs'!$B$101)</f>
      </c>
    </row>
    <row r="59" spans="2:17" x14ac:dyDescent="0.25">
      <c r="B59" t="s">
        <v>120</v>
      </c>
      <c r="C59">
        <f>N('Inputs'!$D$101)</f>
      </c>
      <c r="I59" t="s">
        <v>398</v>
      </c>
      <c r="J59" t="s">
        <v>399</v>
      </c>
      <c r="K59" t="s">
        <v>400</v>
      </c>
      <c r="L59" t="s">
        <v>401</v>
      </c>
      <c r="P59" t="s">
        <v>402</v>
      </c>
      <c r="Q59" t="s">
        <v>403</v>
      </c>
    </row>
    <row r="60" spans="2:17" x14ac:dyDescent="0.25">
      <c r="B60" t="s">
        <v>404</v>
      </c>
      <c r="C60">
        <f>IF($C$59&gt;=75,'Inputs'!$H$131,IF($C$59&gt;=65,'Inputs'!$H$130,'Inputs'!$H$124))</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$123/100))^(1/12)-1)-((1+$C$70)^(1/12)-1))*(P60*(((1+((1+$C$70)^(1/12)-1))^12-1)/((1+((1+$C$70)^(1/12)-1))-1))-J60/12/((1+((1+$C$70)^(1/12)-1))-1)*((1+((1+$C$70)^(1/12)-1))*(((1+((1+$C$70)^(1/12)-1))^12-1)/((1+((1+$C$70)^(1/12)-1))-1))-12)),0))</f>
      </c>
    </row>
    <row r="61" spans="2:17" x14ac:dyDescent="0.25">
      <c r="B61" t="s">
        <v>405</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$123/100))^(1/12)-1)-((1+$C$70)^(1/12)-1))*(P61*(((1+((1+$C$70)^(1/12)-1))^12-1)/((1+((1+$C$70)^(1/12)-1))-1))-J61/12/((1+((1+$C$70)^(1/12)-1))-1)*((1+((1+$C$70)^(1/12)-1))*(((1+((1+$C$70)^(1/12)-1))^12-1)/((1+((1+$C$70)^(1/12)-1))-1))-12)),0))</f>
      </c>
    </row>
    <row r="62" spans="2:17" x14ac:dyDescent="0.25">
      <c r="B62" t="s">
        <v>406</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$123/100))^(1/12)-1)-((1+$C$70)^(1/12)-1))*(P62*(((1+((1+$C$70)^(1/12)-1))^12-1)/((1+((1+$C$70)^(1/12)-1))-1))-J62/12/((1+((1+$C$70)^(1/12)-1))-1)*((1+((1+$C$70)^(1/12)-1))*(((1+((1+$C$70)^(1/12)-1))^12-1)/((1+((1+$C$70)^(1/12)-1))-1))-12)),0))</f>
      </c>
    </row>
    <row r="63" spans="2:17" x14ac:dyDescent="0.25">
      <c r="B63" t="s">
        <v>407</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$123/100))^(1/12)-1)-((1+$C$70)^(1/12)-1))*(P63*(((1+((1+$C$70)^(1/12)-1))^12-1)/((1+((1+$C$70)^(1/12)-1))-1))-J63/12/((1+((1+$C$70)^(1/12)-1))-1)*((1+((1+$C$70)^(1/12)-1))*(((1+((1+$C$70)^(1/12)-1))^12-1)/((1+((1+$C$70)^(1/12)-1))-1))-12)),0))</f>
      </c>
    </row>
    <row r="64" spans="2:17" x14ac:dyDescent="0.25">
      <c r="B64" t="s">
        <v>408</v>
      </c>
      <c r="C64">
        <f>IF('Inputs'!$G$101="",'Inputs'!$H$129/100,'Inputs'!$G$101/100)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$123/100))^(1/12)-1)-((1+$C$70)^(1/12)-1))*(P64*(((1+((1+$C$70)^(1/12)-1))^12-1)/((1+((1+$C$70)^(1/12)-1))-1))-J64/12/((1+((1+$C$70)^(1/12)-1))-1)*((1+((1+$C$70)^(1/12)-1))*(((1+((1+$C$70)^(1/12)-1))^12-1)/((1+((1+$C$70)^(1/12)-1))-1))-12)),0))</f>
      </c>
    </row>
    <row r="65" spans="2:17" x14ac:dyDescent="0.25">
      <c r="B65" t="s">
        <v>409</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$123/100))^(1/12)-1)-((1+$C$70)^(1/12)-1))*(P65*(((1+((1+$C$70)^(1/12)-1))^12-1)/((1+((1+$C$70)^(1/12)-1))-1))-J65/12/((1+((1+$C$70)^(1/12)-1))-1)*((1+((1+$C$70)^(1/12)-1))*(((1+((1+$C$70)^(1/12)-1))^12-1)/((1+((1+$C$70)^(1/12)-1))-1))-12)),0))</f>
      </c>
    </row>
    <row r="66" spans="2:17" x14ac:dyDescent="0.25">
      <c r="B66" t="s">
        <v>410</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$123/100))^(1/12)-1)-((1+$C$70)^(1/12)-1))*(P66*(((1+((1+$C$70)^(1/12)-1))^12-1)/((1+((1+$C$70)^(1/12)-1))-1))-J66/12/((1+((1+$C$70)^(1/12)-1))-1)*((1+((1+$C$70)^(1/12)-1))*(((1+((1+$C$70)^(1/12)-1))^12-1)/((1+((1+$C$70)^(1/12)-1))-1))-12)),0))</f>
      </c>
    </row>
    <row r="67" spans="2:17" x14ac:dyDescent="0.25">
      <c r="B67" t="s">
        <v>411</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$123/100))^(1/12)-1)-((1+$C$70)^(1/12)-1))*(P67*(((1+((1+$C$70)^(1/12)-1))^12-1)/((1+((1+$C$70)^(1/12)-1))-1))-J67/12/((1+((1+$C$70)^(1/12)-1))-1)*((1+((1+$C$70)^(1/12)-1))*(((1+((1+$C$70)^(1/12)-1))^12-1)/((1+((1+$C$70)^(1/12)-1))-1))-12)),0))</f>
      </c>
    </row>
    <row r="68" spans="2:17" x14ac:dyDescent="0.25">
      <c r="B68" t="s">
        <v>412</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$123/100))^(1/12)-1)-((1+$C$70)^(1/12)-1))*(P68*(((1+((1+$C$70)^(1/12)-1))^12-1)/((1+((1+$C$70)^(1/12)-1))-1))-J68/12/((1+((1+$C$70)^(1/12)-1))-1)*((1+((1+$C$70)^(1/12)-1))*(((1+((1+$C$70)^(1/12)-1))^12-1)/((1+((1+$C$70)^(1/12)-1))-1))-12)),0))</f>
      </c>
    </row>
    <row r="69" spans="2:17" x14ac:dyDescent="0.25">
      <c r="B69" t="s">
        <v>413</v>
      </c>
      <c r="C69">
        <f>IF($C$65&lt;&gt;1,0,ROUND(IF($C$70=0,SUM($J$60:$J$109),(1-(1+$C$70)^-1)/(1-(1+$C$70)^(-1/12))/12*SUMPRODUCT($J$60:$J$109,(1+$C$70)^(-$I$60:$I$109)))-IF(($C$70+'Inputs'!$H$123/100)=0,SUM($J$60:$J$109),(1-(1+($C$70+'Inputs'!$H$123/100))^-1)/(1-(1+($C$70+'Inputs'!$H$123/100))^(-1/12))/12*SUMPRODUCT($J$60:$J$109,(1+($C$70+'Inputs'!$H$123/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$123/100))^(1/12)-1)-((1+$C$70)^(1/12)-1))*(P69*(((1+((1+$C$70)^(1/12)-1))^12-1)/((1+((1+$C$70)^(1/12)-1))-1))-J69/12/((1+((1+$C$70)^(1/12)-1))-1)*((1+((1+$C$70)^(1/12)-1))*(((1+((1+$C$70)^(1/12)-1))^12-1)/((1+((1+$C$70)^(1/12)-1))-1))-12)),0))</f>
      </c>
    </row>
    <row r="70" spans="2:17" x14ac:dyDescent="0.25">
      <c r="B70" t="s">
        <v>414</v>
      </c>
      <c r="C70">
        <f>IF($C$65=1,'Needs calc'!$C$50,0)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$123/100))^(1/12)-1)-((1+$C$70)^(1/12)-1))*(P70*(((1+((1+$C$70)^(1/12)-1))^12-1)/((1+((1+$C$70)^(1/12)-1))-1))-J70/12/((1+((1+$C$70)^(1/12)-1))-1)*((1+((1+$C$70)^(1/12)-1))*(((1+((1+$C$70)^(1/12)-1))^12-1)/((1+((1+$C$70)^(1/12)-1))-1))-12)),0))</f>
      </c>
    </row>
    <row r="71" spans="2:17" x14ac:dyDescent="0.25">
      <c r="B71" t="s">
        <v>415</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$123/100))^(1/12)-1)-((1+$C$70)^(1/12)-1))*(P71*(((1+((1+$C$70)^(1/12)-1))^12-1)/((1+((1+$C$70)^(1/12)-1))-1))-J71/12/((1+((1+$C$70)^(1/12)-1))-1)*((1+((1+$C$70)^(1/12)-1))*(((1+((1+$C$70)^(1/12)-1))^12-1)/((1+((1+$C$70)^(1/12)-1))-1))-12)),0))</f>
      </c>
    </row>
    <row r="72" spans="2:17" x14ac:dyDescent="0.25">
      <c r="B72" t="s">
        <v>416</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$123/100))^(1/12)-1)-((1+$C$70)^(1/12)-1))*(P72*(((1+((1+$C$70)^(1/12)-1))^12-1)/((1+((1+$C$70)^(1/12)-1))-1))-J72/12/((1+((1+$C$70)^(1/12)-1))-1)*((1+((1+$C$70)^(1/12)-1))*(((1+((1+$C$70)^(1/12)-1))^12-1)/((1+((1+$C$70)^(1/12)-1))-1))-12)),0))</f>
      </c>
    </row>
    <row r="73" spans="2:17" x14ac:dyDescent="0.25">
      <c r="B73" t="s">
        <v>417</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$123/100))^(1/12)-1)-((1+$C$70)^(1/12)-1))*(P73*(((1+((1+$C$70)^(1/12)-1))^12-1)/((1+((1+$C$70)^(1/12)-1))-1))-J73/12/((1+((1+$C$70)^(1/12)-1))-1)*((1+((1+$C$70)^(1/12)-1))*(((1+((1+$C$70)^(1/12)-1))^12-1)/((1+((1+$C$70)^(1/12)-1))-1))-12)),0))</f>
      </c>
    </row>
    <row r="74" spans="2:17" x14ac:dyDescent="0.25">
      <c r="B74" t="s">
        <v>418</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$123/100))^(1/12)-1)-((1+$C$70)^(1/12)-1))*(P74*(((1+((1+$C$70)^(1/12)-1))^12-1)/((1+((1+$C$70)^(1/12)-1))-1))-J74/12/((1+((1+$C$70)^(1/12)-1))-1)*((1+((1+$C$70)^(1/12)-1))*(((1+((1+$C$70)^(1/12)-1))^12-1)/((1+((1+$C$70)^(1/12)-1))-1))-12)),0))</f>
      </c>
    </row>
    <row r="75" spans="2:17" x14ac:dyDescent="0.25">
      <c r="B75" t="s">
        <v>419</v>
      </c>
      <c r="C75">
        <f>IF('Needs calc'!$C$52&gt;0,IF(N('Inputs'!$E$101)&gt;0,IF('Needs years'!$C$71&lt;=0,IF('Needs years'!$C$66&lt;=0,'Inputs'!$B$101&amp;" would have about R "&amp;FIXED(ROUND('Needs calc'!$C$53,-2),0)&amp;" a month of the R "&amp;FIXED(ROUND('Inputs'!$E$101,-2),0)&amp;" you want. ",IF('Needs calc'!$C$47&gt;='Needs years'!$C$66,'Inputs'!$B$101&amp;" would have about R "&amp;FIXED(ROUND('Needs calc'!$C$53,-2),0)&amp;" a month of the R "&amp;FIXED(ROUND('Inputs'!$E$101,-2),0)&amp;" you want,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")),IF('Needs years'!$C$74&lt;=0,IF('Needs years'!$C$66&gt;0,'Inputs'!$B$101&amp;"'s death income covers the R "&amp;FIXED(ROUND('Inputs'!$E$101,-2),0)&amp;" a month you want"&amp;", but "&amp;'Inputs'!$B$101&amp;" would have "&amp;IF('Needs calc'!$C$47&lt;=0,"nothing","about R "&amp;FIXED(ROUND('Needs calc'!$C$47,-3),0))&amp;"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calc'!$C$47&lt;'Needs years'!$C$66),", and would have "&amp;IF('Needs calc'!$C$47&lt;=0,"nothing","about R "&amp;FIXED(ROUND('Needs calc'!$C$47,-3),0))&amp;" of the R "&amp;FIXED(ROUND('Needs years'!$C$66,-3),0)&amp;" once-off","")&amp;". ",IF('Needs years'!$C$66&lt;=0,'Inputs'!$B$101&amp;" would have about R "&amp;FIXED(ROUND('Needs calc'!$C$53,-2),0)&amp;" a month of the R "&amp;FIXED(ROUND('Inputs'!$E$101,-2),0)&amp;" you want, part of it from the death income, and less once it stops. ",IF('Needs calc'!$C$47&gt;='Needs years'!$C$66,'Inputs'!$B$101&amp;" would have about R "&amp;FIXED(ROUND('Needs calc'!$C$53,-2),0)&amp;" a month of the R "&amp;FIXED(ROUND('Inputs'!$E$101,-2),0)&amp;" you want, part of it from the death income, and less once it stops,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part of it from the death income, and less once it stops. "))))),'Inputs'!$B$101&amp;" would have "&amp;IF('Needs calc'!$C$47&lt;=0,"nothing","about R "&amp;FIXED(ROUND('Needs calc'!$C$47,-3),0))&amp;"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$123/100))^(1/12)-1)-((1+$C$70)^(1/12)-1))*(P75*(((1+((1+$C$70)^(1/12)-1))^12-1)/((1+((1+$C$70)^(1/12)-1))-1))-J75/12/((1+((1+$C$70)^(1/12)-1))-1)*((1+((1+$C$70)^(1/12)-1))*(((1+((1+$C$70)^(1/12)-1))^12-1)/((1+((1+$C$70)^(1/12)-1))-1))-12)),0))</f>
      </c>
    </row>
    <row r="76" spans="2:17" x14ac:dyDescent="0.25">
      <c r="B76" t="s">
        <v>420</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$123/100))^(1/12)-1)-((1+$C$70)^(1/12)-1))*(P76*(((1+((1+$C$70)^(1/12)-1))^12-1)/((1+((1+$C$70)^(1/12)-1))-1))-J76/12/((1+((1+$C$70)^(1/12)-1))-1)*((1+((1+$C$70)^(1/12)-1))*(((1+((1+$C$70)^(1/12)-1))^12-1)/((1+((1+$C$70)^(1/12)-1))-1))-12)),0))</f>
      </c>
    </row>
    <row r="77" spans="2:17" x14ac:dyDescent="0.25">
      <c r="B77" t="s">
        <v>421</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$123/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$123/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$123/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$123/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$123/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$123/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$123/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$123/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$123/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$123/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$123/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$123/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$123/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$123/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$123/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$123/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$123/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$123/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$123/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$123/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$123/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$123/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$123/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$123/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$123/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$123/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$123/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$123/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$123/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$123/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$123/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$123/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$123/100))^(1/12)-1)-((1+$C$70)^(1/12)-1))*(P109*(((1+((1+$C$70)^(1/12)-1))^12-1)/((1+((1+$C$70)^(1/12)-1))-1))-J109/12/((1+((1+$C$70)^(1/12)-1))-1)*((1+((1+$C$70)^(1/12)-1))*(((1+((1+$C$70)^(1/12)-1))^12-1)/((1+((1+$C$70)^(1/12)-1))-1))-12)),0))</f>
      </c>
    </row>
    <row r="114" spans="2:3" x14ac:dyDescent="0.25">
      <c r="B114" t="s">
        <v>118</v>
      </c>
      <c r="C114">
        <f>IF('Inputs'!$B$102="","",'Inputs'!$B$102)</f>
      </c>
    </row>
    <row r="115" spans="2:17" x14ac:dyDescent="0.25">
      <c r="B115" t="s">
        <v>120</v>
      </c>
      <c r="C115">
        <f>N('Inputs'!$D$102)</f>
      </c>
      <c r="I115" t="s">
        <v>398</v>
      </c>
      <c r="J115" t="s">
        <v>399</v>
      </c>
      <c r="K115" t="s">
        <v>400</v>
      </c>
      <c r="L115" t="s">
        <v>401</v>
      </c>
      <c r="P115" t="s">
        <v>402</v>
      </c>
      <c r="Q115" t="s">
        <v>403</v>
      </c>
    </row>
    <row r="116" spans="2:17" x14ac:dyDescent="0.25">
      <c r="B116" t="s">
        <v>404</v>
      </c>
      <c r="C116">
        <f>IF($C$115&gt;=75,'Inputs'!$H$131,IF($C$115&gt;=65,'Inputs'!$H$130,'Inputs'!$H$124))</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$123/100))^(1/12)-1)-((1+$C$126)^(1/12)-1))*(P116*(((1+((1+$C$126)^(1/12)-1))^12-1)/((1+((1+$C$126)^(1/12)-1))-1))-J116/12/((1+((1+$C$126)^(1/12)-1))-1)*((1+((1+$C$126)^(1/12)-1))*(((1+((1+$C$126)^(1/12)-1))^12-1)/((1+((1+$C$126)^(1/12)-1))-1))-12)),0))</f>
      </c>
    </row>
    <row r="117" spans="2:17" x14ac:dyDescent="0.25">
      <c r="B117" t="s">
        <v>405</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$123/100))^(1/12)-1)-((1+$C$126)^(1/12)-1))*(P117*(((1+((1+$C$126)^(1/12)-1))^12-1)/((1+((1+$C$126)^(1/12)-1))-1))-J117/12/((1+((1+$C$126)^(1/12)-1))-1)*((1+((1+$C$126)^(1/12)-1))*(((1+((1+$C$126)^(1/12)-1))^12-1)/((1+((1+$C$126)^(1/12)-1))-1))-12)),0))</f>
      </c>
    </row>
    <row r="118" spans="2:17" x14ac:dyDescent="0.25">
      <c r="B118" t="s">
        <v>406</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$123/100))^(1/12)-1)-((1+$C$126)^(1/12)-1))*(P118*(((1+((1+$C$126)^(1/12)-1))^12-1)/((1+((1+$C$126)^(1/12)-1))-1))-J118/12/((1+((1+$C$126)^(1/12)-1))-1)*((1+((1+$C$126)^(1/12)-1))*(((1+((1+$C$126)^(1/12)-1))^12-1)/((1+((1+$C$126)^(1/12)-1))-1))-12)),0))</f>
      </c>
    </row>
    <row r="119" spans="2:17" x14ac:dyDescent="0.25">
      <c r="B119" t="s">
        <v>407</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$123/100))^(1/12)-1)-((1+$C$126)^(1/12)-1))*(P119*(((1+((1+$C$126)^(1/12)-1))^12-1)/((1+((1+$C$126)^(1/12)-1))-1))-J119/12/((1+((1+$C$126)^(1/12)-1))-1)*((1+((1+$C$126)^(1/12)-1))*(((1+((1+$C$126)^(1/12)-1))^12-1)/((1+((1+$C$126)^(1/12)-1))-1))-12)),0))</f>
      </c>
    </row>
    <row r="120" spans="2:17" x14ac:dyDescent="0.25">
      <c r="B120" t="s">
        <v>408</v>
      </c>
      <c r="C120">
        <f>IF('Inputs'!$G$102="",'Inputs'!$H$129/100,'Inputs'!$G$102/100)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$123/100))^(1/12)-1)-((1+$C$126)^(1/12)-1))*(P120*(((1+((1+$C$126)^(1/12)-1))^12-1)/((1+((1+$C$126)^(1/12)-1))-1))-J120/12/((1+((1+$C$126)^(1/12)-1))-1)*((1+((1+$C$126)^(1/12)-1))*(((1+((1+$C$126)^(1/12)-1))^12-1)/((1+((1+$C$126)^(1/12)-1))-1))-12)),0))</f>
      </c>
    </row>
    <row r="121" spans="2:17" x14ac:dyDescent="0.25">
      <c r="B121" t="s">
        <v>409</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$123/100))^(1/12)-1)-((1+$C$126)^(1/12)-1))*(P121*(((1+((1+$C$126)^(1/12)-1))^12-1)/((1+((1+$C$126)^(1/12)-1))-1))-J121/12/((1+((1+$C$126)^(1/12)-1))-1)*((1+((1+$C$126)^(1/12)-1))*(((1+((1+$C$126)^(1/12)-1))^12-1)/((1+((1+$C$126)^(1/12)-1))-1))-12)),0))</f>
      </c>
    </row>
    <row r="122" spans="2:17" x14ac:dyDescent="0.25">
      <c r="B122" t="s">
        <v>410</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$123/100))^(1/12)-1)-((1+$C$126)^(1/12)-1))*(P122*(((1+((1+$C$126)^(1/12)-1))^12-1)/((1+((1+$C$126)^(1/12)-1))-1))-J122/12/((1+((1+$C$126)^(1/12)-1))-1)*((1+((1+$C$126)^(1/12)-1))*(((1+((1+$C$126)^(1/12)-1))^12-1)/((1+((1+$C$126)^(1/12)-1))-1))-12)),0))</f>
      </c>
    </row>
    <row r="123" spans="2:17" x14ac:dyDescent="0.25">
      <c r="B123" t="s">
        <v>411</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$123/100))^(1/12)-1)-((1+$C$126)^(1/12)-1))*(P123*(((1+((1+$C$126)^(1/12)-1))^12-1)/((1+((1+$C$126)^(1/12)-1))-1))-J123/12/((1+((1+$C$126)^(1/12)-1))-1)*((1+((1+$C$126)^(1/12)-1))*(((1+((1+$C$126)^(1/12)-1))^12-1)/((1+((1+$C$126)^(1/12)-1))-1))-12)),0))</f>
      </c>
    </row>
    <row r="124" spans="2:17" x14ac:dyDescent="0.25">
      <c r="B124" t="s">
        <v>412</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$123/100))^(1/12)-1)-((1+$C$126)^(1/12)-1))*(P124*(((1+((1+$C$126)^(1/12)-1))^12-1)/((1+((1+$C$126)^(1/12)-1))-1))-J124/12/((1+((1+$C$126)^(1/12)-1))-1)*((1+((1+$C$126)^(1/12)-1))*(((1+((1+$C$126)^(1/12)-1))^12-1)/((1+((1+$C$126)^(1/12)-1))-1))-12)),0))</f>
      </c>
    </row>
    <row r="125" spans="2:17" x14ac:dyDescent="0.25">
      <c r="B125" t="s">
        <v>413</v>
      </c>
      <c r="C125">
        <f>IF($C$121&lt;&gt;1,0,ROUND(IF($C$126=0,SUM($J$116:$J$165),(1-(1+$C$126)^-1)/(1-(1+$C$126)^(-1/12))/12*SUMPRODUCT($J$116:$J$165,(1+$C$126)^(-$I$116:$I$165)))-IF(($C$126+'Inputs'!$H$123/100)=0,SUM($J$116:$J$165),(1-(1+($C$126+'Inputs'!$H$123/100))^-1)/(1-(1+($C$126+'Inputs'!$H$123/100))^(-1/12))/12*SUMPRODUCT($J$116:$J$165,(1+($C$126+'Inputs'!$H$123/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$123/100))^(1/12)-1)-((1+$C$126)^(1/12)-1))*(P125*(((1+((1+$C$126)^(1/12)-1))^12-1)/((1+((1+$C$126)^(1/12)-1))-1))-J125/12/((1+((1+$C$126)^(1/12)-1))-1)*((1+((1+$C$126)^(1/12)-1))*(((1+((1+$C$126)^(1/12)-1))^12-1)/((1+((1+$C$126)^(1/12)-1))-1))-12)),0))</f>
      </c>
    </row>
    <row r="126" spans="2:17" x14ac:dyDescent="0.25">
      <c r="B126" t="s">
        <v>414</v>
      </c>
      <c r="C126">
        <f>IF($C$121=1,'Needs calc'!$C$57,0)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$123/100))^(1/12)-1)-((1+$C$126)^(1/12)-1))*(P126*(((1+((1+$C$126)^(1/12)-1))^12-1)/((1+((1+$C$126)^(1/12)-1))-1))-J126/12/((1+((1+$C$126)^(1/12)-1))-1)*((1+((1+$C$126)^(1/12)-1))*(((1+((1+$C$126)^(1/12)-1))^12-1)/((1+((1+$C$126)^(1/12)-1))-1))-12)),0))</f>
      </c>
    </row>
    <row r="127" spans="2:17" x14ac:dyDescent="0.25">
      <c r="B127" t="s">
        <v>415</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$123/100))^(1/12)-1)-((1+$C$126)^(1/12)-1))*(P127*(((1+((1+$C$126)^(1/12)-1))^12-1)/((1+((1+$C$126)^(1/12)-1))-1))-J127/12/((1+((1+$C$126)^(1/12)-1))-1)*((1+((1+$C$126)^(1/12)-1))*(((1+((1+$C$126)^(1/12)-1))^12-1)/((1+((1+$C$126)^(1/12)-1))-1))-12)),0))</f>
      </c>
    </row>
    <row r="128" spans="2:17" x14ac:dyDescent="0.25">
      <c r="B128" t="s">
        <v>416</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$123/100))^(1/12)-1)-((1+$C$126)^(1/12)-1))*(P128*(((1+((1+$C$126)^(1/12)-1))^12-1)/((1+((1+$C$126)^(1/12)-1))-1))-J128/12/((1+((1+$C$126)^(1/12)-1))-1)*((1+((1+$C$126)^(1/12)-1))*(((1+((1+$C$126)^(1/12)-1))^12-1)/((1+((1+$C$126)^(1/12)-1))-1))-12)),0))</f>
      </c>
    </row>
    <row r="129" spans="2:17" x14ac:dyDescent="0.25">
      <c r="B129" t="s">
        <v>417</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$123/100))^(1/12)-1)-((1+$C$126)^(1/12)-1))*(P129*(((1+((1+$C$126)^(1/12)-1))^12-1)/((1+((1+$C$126)^(1/12)-1))-1))-J129/12/((1+((1+$C$126)^(1/12)-1))-1)*((1+((1+$C$126)^(1/12)-1))*(((1+((1+$C$126)^(1/12)-1))^12-1)/((1+((1+$C$126)^(1/12)-1))-1))-12)),0))</f>
      </c>
    </row>
    <row r="130" spans="2:17" x14ac:dyDescent="0.25">
      <c r="B130" t="s">
        <v>418</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$123/100))^(1/12)-1)-((1+$C$126)^(1/12)-1))*(P130*(((1+((1+$C$126)^(1/12)-1))^12-1)/((1+((1+$C$126)^(1/12)-1))-1))-J130/12/((1+((1+$C$126)^(1/12)-1))-1)*((1+((1+$C$126)^(1/12)-1))*(((1+((1+$C$126)^(1/12)-1))^12-1)/((1+((1+$C$126)^(1/12)-1))-1))-12)),0))</f>
      </c>
    </row>
    <row r="131" spans="2:17" x14ac:dyDescent="0.25">
      <c r="B131" t="s">
        <v>419</v>
      </c>
      <c r="C131">
        <f>IF('Needs calc'!$C$59&gt;0,IF(N('Inputs'!$E$102)&gt;0,IF('Needs years'!$C$127&lt;=0,IF('Needs years'!$C$122&lt;=0,'Inputs'!$B$102&amp;" would have about R "&amp;FIXED(ROUND('Needs calc'!$C$60,-2),0)&amp;" a month of the R "&amp;FIXED(ROUND('Inputs'!$E$102,-2),0)&amp;" you want. ",IF('Needs calc'!$C$54&gt;='Needs years'!$C$122,'Inputs'!$B$102&amp;" would have about R "&amp;FIXED(ROUND('Needs calc'!$C$60,-2),0)&amp;" a month of the R "&amp;FIXED(ROUND('Inputs'!$E$102,-2),0)&amp;" you want,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")),IF('Needs years'!$C$130&lt;=0,IF('Needs years'!$C$122&gt;0,'Inputs'!$B$102&amp;"'s death income covers the R "&amp;FIXED(ROUND('Inputs'!$E$102,-2),0)&amp;" a month you want"&amp;", but "&amp;'Inputs'!$B$102&amp;" would have "&amp;IF('Needs calc'!$C$54&lt;=0,"nothing","about R "&amp;FIXED(ROUND('Needs calc'!$C$54,-3),0))&amp;"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calc'!$C$54&lt;'Needs years'!$C$122),", and would have "&amp;IF('Needs calc'!$C$54&lt;=0,"nothing","about R "&amp;FIXED(ROUND('Needs calc'!$C$54,-3),0))&amp;" of the R "&amp;FIXED(ROUND('Needs years'!$C$122,-3),0)&amp;" once-off","")&amp;". ",IF('Needs years'!$C$122&lt;=0,'Inputs'!$B$102&amp;" would have about R "&amp;FIXED(ROUND('Needs calc'!$C$60,-2),0)&amp;" a month of the R "&amp;FIXED(ROUND('Inputs'!$E$102,-2),0)&amp;" you want, part of it from the death income, and less once it stops. ",IF('Needs calc'!$C$54&gt;='Needs years'!$C$122,'Inputs'!$B$102&amp;" would have about R "&amp;FIXED(ROUND('Needs calc'!$C$60,-2),0)&amp;" a month of the R "&amp;FIXED(ROUND('Inputs'!$E$102,-2),0)&amp;" you want, part of it from the death income, and less once it stops,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part of it from the death income, and less once it stops. "))))),'Inputs'!$B$102&amp;" would have "&amp;IF('Needs calc'!$C$54&lt;=0,"nothing","about R "&amp;FIXED(ROUND('Needs calc'!$C$54,-3),0))&amp;"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$123/100))^(1/12)-1)-((1+$C$126)^(1/12)-1))*(P131*(((1+((1+$C$126)^(1/12)-1))^12-1)/((1+((1+$C$126)^(1/12)-1))-1))-J131/12/((1+((1+$C$126)^(1/12)-1))-1)*((1+((1+$C$126)^(1/12)-1))*(((1+((1+$C$126)^(1/12)-1))^12-1)/((1+((1+$C$126)^(1/12)-1))-1))-12)),0))</f>
      </c>
    </row>
    <row r="132" spans="2:17" x14ac:dyDescent="0.25">
      <c r="B132" t="s">
        <v>420</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$123/100))^(1/12)-1)-((1+$C$126)^(1/12)-1))*(P132*(((1+((1+$C$126)^(1/12)-1))^12-1)/((1+((1+$C$126)^(1/12)-1))-1))-J132/12/((1+((1+$C$126)^(1/12)-1))-1)*((1+((1+$C$126)^(1/12)-1))*(((1+((1+$C$126)^(1/12)-1))^12-1)/((1+((1+$C$126)^(1/12)-1))-1))-12)),0))</f>
      </c>
    </row>
    <row r="133" spans="2:17" x14ac:dyDescent="0.25">
      <c r="B133" t="s">
        <v>421</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$123/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$123/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$123/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$123/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$123/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$123/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$123/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$123/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$123/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$123/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$123/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$123/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$123/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$123/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$123/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$123/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$123/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$123/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$123/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$123/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$123/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$123/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$123/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$123/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$123/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$123/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$123/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$123/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$123/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$123/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$123/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$123/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$123/100))^(1/12)-1)-((1+$C$126)^(1/12)-1))*(P165*(((1+((1+$C$126)^(1/12)-1))^12-1)/((1+((1+$C$126)^(1/12)-1))-1))-J165/12/((1+((1+$C$126)^(1/12)-1))-1)*((1+((1+$C$126)^(1/12)-1))*(((1+((1+$C$126)^(1/12)-1))^12-1)/((1+((1+$C$126)^(1/12)-1))-1))-12)),0))</f>
      </c>
    </row>
    <row r="170" spans="2:3" x14ac:dyDescent="0.25">
      <c r="B170" t="s">
        <v>118</v>
      </c>
      <c r="C170">
        <f>IF('Inputs'!$B$103="","",'Inputs'!$B$103)</f>
      </c>
    </row>
    <row r="171" spans="2:17" x14ac:dyDescent="0.25">
      <c r="B171" t="s">
        <v>120</v>
      </c>
      <c r="C171">
        <f>N('Inputs'!$D$103)</f>
      </c>
      <c r="I171" t="s">
        <v>398</v>
      </c>
      <c r="J171" t="s">
        <v>399</v>
      </c>
      <c r="K171" t="s">
        <v>400</v>
      </c>
      <c r="L171" t="s">
        <v>401</v>
      </c>
      <c r="P171" t="s">
        <v>402</v>
      </c>
      <c r="Q171" t="s">
        <v>403</v>
      </c>
    </row>
    <row r="172" spans="2:17" x14ac:dyDescent="0.25">
      <c r="B172" t="s">
        <v>404</v>
      </c>
      <c r="C172">
        <f>IF($C$171&gt;=75,'Inputs'!$H$131,IF($C$171&gt;=65,'Inputs'!$H$130,'Inputs'!$H$124))</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$123/100))^(1/12)-1)-((1+$C$182)^(1/12)-1))*(P172*(((1+((1+$C$182)^(1/12)-1))^12-1)/((1+((1+$C$182)^(1/12)-1))-1))-J172/12/((1+((1+$C$182)^(1/12)-1))-1)*((1+((1+$C$182)^(1/12)-1))*(((1+((1+$C$182)^(1/12)-1))^12-1)/((1+((1+$C$182)^(1/12)-1))-1))-12)),0))</f>
      </c>
    </row>
    <row r="173" spans="2:17" x14ac:dyDescent="0.25">
      <c r="B173" t="s">
        <v>405</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$123/100))^(1/12)-1)-((1+$C$182)^(1/12)-1))*(P173*(((1+((1+$C$182)^(1/12)-1))^12-1)/((1+((1+$C$182)^(1/12)-1))-1))-J173/12/((1+((1+$C$182)^(1/12)-1))-1)*((1+((1+$C$182)^(1/12)-1))*(((1+((1+$C$182)^(1/12)-1))^12-1)/((1+((1+$C$182)^(1/12)-1))-1))-12)),0))</f>
      </c>
    </row>
    <row r="174" spans="2:17" x14ac:dyDescent="0.25">
      <c r="B174" t="s">
        <v>406</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$123/100))^(1/12)-1)-((1+$C$182)^(1/12)-1))*(P174*(((1+((1+$C$182)^(1/12)-1))^12-1)/((1+((1+$C$182)^(1/12)-1))-1))-J174/12/((1+((1+$C$182)^(1/12)-1))-1)*((1+((1+$C$182)^(1/12)-1))*(((1+((1+$C$182)^(1/12)-1))^12-1)/((1+((1+$C$182)^(1/12)-1))-1))-12)),0))</f>
      </c>
    </row>
    <row r="175" spans="2:17" x14ac:dyDescent="0.25">
      <c r="B175" t="s">
        <v>407</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$123/100))^(1/12)-1)-((1+$C$182)^(1/12)-1))*(P175*(((1+((1+$C$182)^(1/12)-1))^12-1)/((1+((1+$C$182)^(1/12)-1))-1))-J175/12/((1+((1+$C$182)^(1/12)-1))-1)*((1+((1+$C$182)^(1/12)-1))*(((1+((1+$C$182)^(1/12)-1))^12-1)/((1+((1+$C$182)^(1/12)-1))-1))-12)),0))</f>
      </c>
    </row>
    <row r="176" spans="2:17" x14ac:dyDescent="0.25">
      <c r="B176" t="s">
        <v>408</v>
      </c>
      <c r="C176">
        <f>IF('Inputs'!$G$103="",'Inputs'!$H$129/100,'Inputs'!$G$103/100)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$123/100))^(1/12)-1)-((1+$C$182)^(1/12)-1))*(P176*(((1+((1+$C$182)^(1/12)-1))^12-1)/((1+((1+$C$182)^(1/12)-1))-1))-J176/12/((1+((1+$C$182)^(1/12)-1))-1)*((1+((1+$C$182)^(1/12)-1))*(((1+((1+$C$182)^(1/12)-1))^12-1)/((1+((1+$C$182)^(1/12)-1))-1))-12)),0))</f>
      </c>
    </row>
    <row r="177" spans="2:17" x14ac:dyDescent="0.25">
      <c r="B177" t="s">
        <v>409</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$123/100))^(1/12)-1)-((1+$C$182)^(1/12)-1))*(P177*(((1+((1+$C$182)^(1/12)-1))^12-1)/((1+((1+$C$182)^(1/12)-1))-1))-J177/12/((1+((1+$C$182)^(1/12)-1))-1)*((1+((1+$C$182)^(1/12)-1))*(((1+((1+$C$182)^(1/12)-1))^12-1)/((1+((1+$C$182)^(1/12)-1))-1))-12)),0))</f>
      </c>
    </row>
    <row r="178" spans="2:17" x14ac:dyDescent="0.25">
      <c r="B178" t="s">
        <v>410</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$123/100))^(1/12)-1)-((1+$C$182)^(1/12)-1))*(P178*(((1+((1+$C$182)^(1/12)-1))^12-1)/((1+((1+$C$182)^(1/12)-1))-1))-J178/12/((1+((1+$C$182)^(1/12)-1))-1)*((1+((1+$C$182)^(1/12)-1))*(((1+((1+$C$182)^(1/12)-1))^12-1)/((1+((1+$C$182)^(1/12)-1))-1))-12)),0))</f>
      </c>
    </row>
    <row r="179" spans="2:17" x14ac:dyDescent="0.25">
      <c r="B179" t="s">
        <v>411</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$123/100))^(1/12)-1)-((1+$C$182)^(1/12)-1))*(P179*(((1+((1+$C$182)^(1/12)-1))^12-1)/((1+((1+$C$182)^(1/12)-1))-1))-J179/12/((1+((1+$C$182)^(1/12)-1))-1)*((1+((1+$C$182)^(1/12)-1))*(((1+((1+$C$182)^(1/12)-1))^12-1)/((1+((1+$C$182)^(1/12)-1))-1))-12)),0))</f>
      </c>
    </row>
    <row r="180" spans="2:17" x14ac:dyDescent="0.25">
      <c r="B180" t="s">
        <v>412</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$123/100))^(1/12)-1)-((1+$C$182)^(1/12)-1))*(P180*(((1+((1+$C$182)^(1/12)-1))^12-1)/((1+((1+$C$182)^(1/12)-1))-1))-J180/12/((1+((1+$C$182)^(1/12)-1))-1)*((1+((1+$C$182)^(1/12)-1))*(((1+((1+$C$182)^(1/12)-1))^12-1)/((1+((1+$C$182)^(1/12)-1))-1))-12)),0))</f>
      </c>
    </row>
    <row r="181" spans="2:17" x14ac:dyDescent="0.25">
      <c r="B181" t="s">
        <v>413</v>
      </c>
      <c r="C181">
        <f>IF($C$177&lt;&gt;1,0,ROUND(IF($C$182=0,SUM($J$172:$J$221),(1-(1+$C$182)^-1)/(1-(1+$C$182)^(-1/12))/12*SUMPRODUCT($J$172:$J$221,(1+$C$182)^(-$I$172:$I$221)))-IF(($C$182+'Inputs'!$H$123/100)=0,SUM($J$172:$J$221),(1-(1+($C$182+'Inputs'!$H$123/100))^-1)/(1-(1+($C$182+'Inputs'!$H$123/100))^(-1/12))/12*SUMPRODUCT($J$172:$J$221,(1+($C$182+'Inputs'!$H$123/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$123/100))^(1/12)-1)-((1+$C$182)^(1/12)-1))*(P181*(((1+((1+$C$182)^(1/12)-1))^12-1)/((1+((1+$C$182)^(1/12)-1))-1))-J181/12/((1+((1+$C$182)^(1/12)-1))-1)*((1+((1+$C$182)^(1/12)-1))*(((1+((1+$C$182)^(1/12)-1))^12-1)/((1+((1+$C$182)^(1/12)-1))-1))-12)),0))</f>
      </c>
    </row>
    <row r="182" spans="2:17" x14ac:dyDescent="0.25">
      <c r="B182" t="s">
        <v>414</v>
      </c>
      <c r="C182">
        <f>IF($C$177=1,'Needs calc'!$C$64,0)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$123/100))^(1/12)-1)-((1+$C$182)^(1/12)-1))*(P182*(((1+((1+$C$182)^(1/12)-1))^12-1)/((1+((1+$C$182)^(1/12)-1))-1))-J182/12/((1+((1+$C$182)^(1/12)-1))-1)*((1+((1+$C$182)^(1/12)-1))*(((1+((1+$C$182)^(1/12)-1))^12-1)/((1+((1+$C$182)^(1/12)-1))-1))-12)),0))</f>
      </c>
    </row>
    <row r="183" spans="2:17" x14ac:dyDescent="0.25">
      <c r="B183" t="s">
        <v>415</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$123/100))^(1/12)-1)-((1+$C$182)^(1/12)-1))*(P183*(((1+((1+$C$182)^(1/12)-1))^12-1)/((1+((1+$C$182)^(1/12)-1))-1))-J183/12/((1+((1+$C$182)^(1/12)-1))-1)*((1+((1+$C$182)^(1/12)-1))*(((1+((1+$C$182)^(1/12)-1))^12-1)/((1+((1+$C$182)^(1/12)-1))-1))-12)),0))</f>
      </c>
    </row>
    <row r="184" spans="2:17" x14ac:dyDescent="0.25">
      <c r="B184" t="s">
        <v>416</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$123/100))^(1/12)-1)-((1+$C$182)^(1/12)-1))*(P184*(((1+((1+$C$182)^(1/12)-1))^12-1)/((1+((1+$C$182)^(1/12)-1))-1))-J184/12/((1+((1+$C$182)^(1/12)-1))-1)*((1+((1+$C$182)^(1/12)-1))*(((1+((1+$C$182)^(1/12)-1))^12-1)/((1+((1+$C$182)^(1/12)-1))-1))-12)),0))</f>
      </c>
    </row>
    <row r="185" spans="2:17" x14ac:dyDescent="0.25">
      <c r="B185" t="s">
        <v>417</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$123/100))^(1/12)-1)-((1+$C$182)^(1/12)-1))*(P185*(((1+((1+$C$182)^(1/12)-1))^12-1)/((1+((1+$C$182)^(1/12)-1))-1))-J185/12/((1+((1+$C$182)^(1/12)-1))-1)*((1+((1+$C$182)^(1/12)-1))*(((1+((1+$C$182)^(1/12)-1))^12-1)/((1+((1+$C$182)^(1/12)-1))-1))-12)),0))</f>
      </c>
    </row>
    <row r="186" spans="2:17" x14ac:dyDescent="0.25">
      <c r="B186" t="s">
        <v>418</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$123/100))^(1/12)-1)-((1+$C$182)^(1/12)-1))*(P186*(((1+((1+$C$182)^(1/12)-1))^12-1)/((1+((1+$C$182)^(1/12)-1))-1))-J186/12/((1+((1+$C$182)^(1/12)-1))-1)*((1+((1+$C$182)^(1/12)-1))*(((1+((1+$C$182)^(1/12)-1))^12-1)/((1+((1+$C$182)^(1/12)-1))-1))-12)),0))</f>
      </c>
    </row>
    <row r="187" spans="2:17" x14ac:dyDescent="0.25">
      <c r="B187" t="s">
        <v>419</v>
      </c>
      <c r="C187">
        <f>IF('Needs calc'!$C$66&gt;0,IF(N('Inputs'!$E$103)&gt;0,IF('Needs years'!$C$183&lt;=0,IF('Needs years'!$C$178&lt;=0,'Inputs'!$B$103&amp;" would have about R "&amp;FIXED(ROUND('Needs calc'!$C$67,-2),0)&amp;" a month of the R "&amp;FIXED(ROUND('Inputs'!$E$103,-2),0)&amp;" you want. ",IF('Needs calc'!$C$61&gt;='Needs years'!$C$178,'Inputs'!$B$103&amp;" would have about R "&amp;FIXED(ROUND('Needs calc'!$C$67,-2),0)&amp;" a month of the R "&amp;FIXED(ROUND('Inputs'!$E$103,-2),0)&amp;" you want,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")),IF('Needs years'!$C$186&lt;=0,IF('Needs years'!$C$178&gt;0,'Inputs'!$B$103&amp;"'s death income covers the R "&amp;FIXED(ROUND('Inputs'!$E$103,-2),0)&amp;" a month you want"&amp;", but "&amp;'Inputs'!$B$103&amp;" would have "&amp;IF('Needs calc'!$C$61&lt;=0,"nothing","about R "&amp;FIXED(ROUND('Needs calc'!$C$61,-3),0))&amp;"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calc'!$C$61&lt;'Needs years'!$C$178),", and would have "&amp;IF('Needs calc'!$C$61&lt;=0,"nothing","about R "&amp;FIXED(ROUND('Needs calc'!$C$61,-3),0))&amp;" of the R "&amp;FIXED(ROUND('Needs years'!$C$178,-3),0)&amp;" once-off","")&amp;". ",IF('Needs years'!$C$178&lt;=0,'Inputs'!$B$103&amp;" would have about R "&amp;FIXED(ROUND('Needs calc'!$C$67,-2),0)&amp;" a month of the R "&amp;FIXED(ROUND('Inputs'!$E$103,-2),0)&amp;" you want, part of it from the death income, and less once it stops. ",IF('Needs calc'!$C$61&gt;='Needs years'!$C$178,'Inputs'!$B$103&amp;" would have about R "&amp;FIXED(ROUND('Needs calc'!$C$67,-2),0)&amp;" a month of the R "&amp;FIXED(ROUND('Inputs'!$E$103,-2),0)&amp;" you want, part of it from the death income, and less once it stops,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part of it from the death income, and less once it stops. "))))),'Inputs'!$B$103&amp;" would have "&amp;IF('Needs calc'!$C$61&lt;=0,"nothing","about R "&amp;FIXED(ROUND('Needs calc'!$C$61,-3),0))&amp;"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$123/100))^(1/12)-1)-((1+$C$182)^(1/12)-1))*(P187*(((1+((1+$C$182)^(1/12)-1))^12-1)/((1+((1+$C$182)^(1/12)-1))-1))-J187/12/((1+((1+$C$182)^(1/12)-1))-1)*((1+((1+$C$182)^(1/12)-1))*(((1+((1+$C$182)^(1/12)-1))^12-1)/((1+((1+$C$182)^(1/12)-1))-1))-12)),0))</f>
      </c>
    </row>
    <row r="188" spans="2:17" x14ac:dyDescent="0.25">
      <c r="B188" t="s">
        <v>420</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$123/100))^(1/12)-1)-((1+$C$182)^(1/12)-1))*(P188*(((1+((1+$C$182)^(1/12)-1))^12-1)/((1+((1+$C$182)^(1/12)-1))-1))-J188/12/((1+((1+$C$182)^(1/12)-1))-1)*((1+((1+$C$182)^(1/12)-1))*(((1+((1+$C$182)^(1/12)-1))^12-1)/((1+((1+$C$182)^(1/12)-1))-1))-12)),0))</f>
      </c>
    </row>
    <row r="189" spans="2:17" x14ac:dyDescent="0.25">
      <c r="B189" t="s">
        <v>421</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$123/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$123/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$123/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$123/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$123/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$123/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$123/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$123/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$123/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$123/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$123/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$123/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$123/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$123/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$123/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$123/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$123/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$123/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$123/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$123/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$123/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$123/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$123/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$123/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$123/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$123/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$123/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$123/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$123/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$123/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$123/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$123/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$123/100))^(1/12)-1)-((1+$C$182)^(1/12)-1))*(P221*(((1+((1+$C$182)^(1/12)-1))^12-1)/((1+((1+$C$182)^(1/12)-1))-1))-J221/12/((1+((1+$C$182)^(1/12)-1))-1)*((1+((1+$C$182)^(1/12)-1))*(((1+((1+$C$182)^(1/12)-1))^12-1)/((1+((1+$C$182)^(1/12)-1))-1))-12)),0))</f>
      </c>
    </row>
    <row r="226" spans="2:3" x14ac:dyDescent="0.25">
      <c r="B226" t="s">
        <v>118</v>
      </c>
      <c r="C226">
        <f>IF('Inputs'!$B$104="","",'Inputs'!$B$104)</f>
      </c>
    </row>
    <row r="227" spans="2:17" x14ac:dyDescent="0.25">
      <c r="B227" t="s">
        <v>120</v>
      </c>
      <c r="C227">
        <f>N('Inputs'!$D$104)</f>
      </c>
      <c r="I227" t="s">
        <v>398</v>
      </c>
      <c r="J227" t="s">
        <v>399</v>
      </c>
      <c r="K227" t="s">
        <v>400</v>
      </c>
      <c r="L227" t="s">
        <v>401</v>
      </c>
      <c r="P227" t="s">
        <v>402</v>
      </c>
      <c r="Q227" t="s">
        <v>403</v>
      </c>
    </row>
    <row r="228" spans="2:17" x14ac:dyDescent="0.25">
      <c r="B228" t="s">
        <v>404</v>
      </c>
      <c r="C228">
        <f>IF($C$227&gt;=75,'Inputs'!$H$131,IF($C$227&gt;=65,'Inputs'!$H$130,'Inputs'!$H$124))</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$123/100))^(1/12)-1)-((1+$C$238)^(1/12)-1))*(P228*(((1+((1+$C$238)^(1/12)-1))^12-1)/((1+((1+$C$238)^(1/12)-1))-1))-J228/12/((1+((1+$C$238)^(1/12)-1))-1)*((1+((1+$C$238)^(1/12)-1))*(((1+((1+$C$238)^(1/12)-1))^12-1)/((1+((1+$C$238)^(1/12)-1))-1))-12)),0))</f>
      </c>
    </row>
    <row r="229" spans="2:17" x14ac:dyDescent="0.25">
      <c r="B229" t="s">
        <v>405</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$123/100))^(1/12)-1)-((1+$C$238)^(1/12)-1))*(P229*(((1+((1+$C$238)^(1/12)-1))^12-1)/((1+((1+$C$238)^(1/12)-1))-1))-J229/12/((1+((1+$C$238)^(1/12)-1))-1)*((1+((1+$C$238)^(1/12)-1))*(((1+((1+$C$238)^(1/12)-1))^12-1)/((1+((1+$C$238)^(1/12)-1))-1))-12)),0))</f>
      </c>
    </row>
    <row r="230" spans="2:17" x14ac:dyDescent="0.25">
      <c r="B230" t="s">
        <v>406</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$123/100))^(1/12)-1)-((1+$C$238)^(1/12)-1))*(P230*(((1+((1+$C$238)^(1/12)-1))^12-1)/((1+((1+$C$238)^(1/12)-1))-1))-J230/12/((1+((1+$C$238)^(1/12)-1))-1)*((1+((1+$C$238)^(1/12)-1))*(((1+((1+$C$238)^(1/12)-1))^12-1)/((1+((1+$C$238)^(1/12)-1))-1))-12)),0))</f>
      </c>
    </row>
    <row r="231" spans="2:17" x14ac:dyDescent="0.25">
      <c r="B231" t="s">
        <v>407</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$123/100))^(1/12)-1)-((1+$C$238)^(1/12)-1))*(P231*(((1+((1+$C$238)^(1/12)-1))^12-1)/((1+((1+$C$238)^(1/12)-1))-1))-J231/12/((1+((1+$C$238)^(1/12)-1))-1)*((1+((1+$C$238)^(1/12)-1))*(((1+((1+$C$238)^(1/12)-1))^12-1)/((1+((1+$C$238)^(1/12)-1))-1))-12)),0))</f>
      </c>
    </row>
    <row r="232" spans="2:17" x14ac:dyDescent="0.25">
      <c r="B232" t="s">
        <v>408</v>
      </c>
      <c r="C232">
        <f>IF('Inputs'!$G$104="",'Inputs'!$H$129/100,'Inputs'!$G$104/100)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$123/100))^(1/12)-1)-((1+$C$238)^(1/12)-1))*(P232*(((1+((1+$C$238)^(1/12)-1))^12-1)/((1+((1+$C$238)^(1/12)-1))-1))-J232/12/((1+((1+$C$238)^(1/12)-1))-1)*((1+((1+$C$238)^(1/12)-1))*(((1+((1+$C$238)^(1/12)-1))^12-1)/((1+((1+$C$238)^(1/12)-1))-1))-12)),0))</f>
      </c>
    </row>
    <row r="233" spans="2:17" x14ac:dyDescent="0.25">
      <c r="B233" t="s">
        <v>409</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$123/100))^(1/12)-1)-((1+$C$238)^(1/12)-1))*(P233*(((1+((1+$C$238)^(1/12)-1))^12-1)/((1+((1+$C$238)^(1/12)-1))-1))-J233/12/((1+((1+$C$238)^(1/12)-1))-1)*((1+((1+$C$238)^(1/12)-1))*(((1+((1+$C$238)^(1/12)-1))^12-1)/((1+((1+$C$238)^(1/12)-1))-1))-12)),0))</f>
      </c>
    </row>
    <row r="234" spans="2:17" x14ac:dyDescent="0.25">
      <c r="B234" t="s">
        <v>410</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$123/100))^(1/12)-1)-((1+$C$238)^(1/12)-1))*(P234*(((1+((1+$C$238)^(1/12)-1))^12-1)/((1+((1+$C$238)^(1/12)-1))-1))-J234/12/((1+((1+$C$238)^(1/12)-1))-1)*((1+((1+$C$238)^(1/12)-1))*(((1+((1+$C$238)^(1/12)-1))^12-1)/((1+((1+$C$238)^(1/12)-1))-1))-12)),0))</f>
      </c>
    </row>
    <row r="235" spans="2:17" x14ac:dyDescent="0.25">
      <c r="B235" t="s">
        <v>411</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$123/100))^(1/12)-1)-((1+$C$238)^(1/12)-1))*(P235*(((1+((1+$C$238)^(1/12)-1))^12-1)/((1+((1+$C$238)^(1/12)-1))-1))-J235/12/((1+((1+$C$238)^(1/12)-1))-1)*((1+((1+$C$238)^(1/12)-1))*(((1+((1+$C$238)^(1/12)-1))^12-1)/((1+((1+$C$238)^(1/12)-1))-1))-12)),0))</f>
      </c>
    </row>
    <row r="236" spans="2:17" x14ac:dyDescent="0.25">
      <c r="B236" t="s">
        <v>412</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$123/100))^(1/12)-1)-((1+$C$238)^(1/12)-1))*(P236*(((1+((1+$C$238)^(1/12)-1))^12-1)/((1+((1+$C$238)^(1/12)-1))-1))-J236/12/((1+((1+$C$238)^(1/12)-1))-1)*((1+((1+$C$238)^(1/12)-1))*(((1+((1+$C$238)^(1/12)-1))^12-1)/((1+((1+$C$238)^(1/12)-1))-1))-12)),0))</f>
      </c>
    </row>
    <row r="237" spans="2:17" x14ac:dyDescent="0.25">
      <c r="B237" t="s">
        <v>413</v>
      </c>
      <c r="C237">
        <f>IF($C$233&lt;&gt;1,0,ROUND(IF($C$238=0,SUM($J$228:$J$277),(1-(1+$C$238)^-1)/(1-(1+$C$238)^(-1/12))/12*SUMPRODUCT($J$228:$J$277,(1+$C$238)^(-$I$228:$I$277)))-IF(($C$238+'Inputs'!$H$123/100)=0,SUM($J$228:$J$277),(1-(1+($C$238+'Inputs'!$H$123/100))^-1)/(1-(1+($C$238+'Inputs'!$H$123/100))^(-1/12))/12*SUMPRODUCT($J$228:$J$277,(1+($C$238+'Inputs'!$H$123/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$123/100))^(1/12)-1)-((1+$C$238)^(1/12)-1))*(P237*(((1+((1+$C$238)^(1/12)-1))^12-1)/((1+((1+$C$238)^(1/12)-1))-1))-J237/12/((1+((1+$C$238)^(1/12)-1))-1)*((1+((1+$C$238)^(1/12)-1))*(((1+((1+$C$238)^(1/12)-1))^12-1)/((1+((1+$C$238)^(1/12)-1))-1))-12)),0))</f>
      </c>
    </row>
    <row r="238" spans="2:17" x14ac:dyDescent="0.25">
      <c r="B238" t="s">
        <v>414</v>
      </c>
      <c r="C238">
        <f>IF($C$233=1,'Needs calc'!$C$71,0)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$123/100))^(1/12)-1)-((1+$C$238)^(1/12)-1))*(P238*(((1+((1+$C$238)^(1/12)-1))^12-1)/((1+((1+$C$238)^(1/12)-1))-1))-J238/12/((1+((1+$C$238)^(1/12)-1))-1)*((1+((1+$C$238)^(1/12)-1))*(((1+((1+$C$238)^(1/12)-1))^12-1)/((1+((1+$C$238)^(1/12)-1))-1))-12)),0))</f>
      </c>
    </row>
    <row r="239" spans="2:17" x14ac:dyDescent="0.25">
      <c r="B239" t="s">
        <v>415</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$123/100))^(1/12)-1)-((1+$C$238)^(1/12)-1))*(P239*(((1+((1+$C$238)^(1/12)-1))^12-1)/((1+((1+$C$238)^(1/12)-1))-1))-J239/12/((1+((1+$C$238)^(1/12)-1))-1)*((1+((1+$C$238)^(1/12)-1))*(((1+((1+$C$238)^(1/12)-1))^12-1)/((1+((1+$C$238)^(1/12)-1))-1))-12)),0))</f>
      </c>
    </row>
    <row r="240" spans="2:17" x14ac:dyDescent="0.25">
      <c r="B240" t="s">
        <v>416</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$123/100))^(1/12)-1)-((1+$C$238)^(1/12)-1))*(P240*(((1+((1+$C$238)^(1/12)-1))^12-1)/((1+((1+$C$238)^(1/12)-1))-1))-J240/12/((1+((1+$C$238)^(1/12)-1))-1)*((1+((1+$C$238)^(1/12)-1))*(((1+((1+$C$238)^(1/12)-1))^12-1)/((1+((1+$C$238)^(1/12)-1))-1))-12)),0))</f>
      </c>
    </row>
    <row r="241" spans="2:17" x14ac:dyDescent="0.25">
      <c r="B241" t="s">
        <v>417</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$123/100))^(1/12)-1)-((1+$C$238)^(1/12)-1))*(P241*(((1+((1+$C$238)^(1/12)-1))^12-1)/((1+((1+$C$238)^(1/12)-1))-1))-J241/12/((1+((1+$C$238)^(1/12)-1))-1)*((1+((1+$C$238)^(1/12)-1))*(((1+((1+$C$238)^(1/12)-1))^12-1)/((1+((1+$C$238)^(1/12)-1))-1))-12)),0))</f>
      </c>
    </row>
    <row r="242" spans="2:17" x14ac:dyDescent="0.25">
      <c r="B242" t="s">
        <v>418</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$123/100))^(1/12)-1)-((1+$C$238)^(1/12)-1))*(P242*(((1+((1+$C$238)^(1/12)-1))^12-1)/((1+((1+$C$238)^(1/12)-1))-1))-J242/12/((1+((1+$C$238)^(1/12)-1))-1)*((1+((1+$C$238)^(1/12)-1))*(((1+((1+$C$238)^(1/12)-1))^12-1)/((1+((1+$C$238)^(1/12)-1))-1))-12)),0))</f>
      </c>
    </row>
    <row r="243" spans="2:17" x14ac:dyDescent="0.25">
      <c r="B243" t="s">
        <v>419</v>
      </c>
      <c r="C243">
        <f>IF('Needs calc'!$C$73&gt;0,IF(N('Inputs'!$E$104)&gt;0,IF('Needs years'!$C$239&lt;=0,IF('Needs years'!$C$234&lt;=0,'Inputs'!$B$104&amp;" would have about R "&amp;FIXED(ROUND('Needs calc'!$C$74,-2),0)&amp;" a month of the R "&amp;FIXED(ROUND('Inputs'!$E$104,-2),0)&amp;" you want. ",IF('Needs calc'!$C$68&gt;='Needs years'!$C$234,'Inputs'!$B$104&amp;" would have about R "&amp;FIXED(ROUND('Needs calc'!$C$74,-2),0)&amp;" a month of the R "&amp;FIXED(ROUND('Inputs'!$E$104,-2),0)&amp;" you want,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")),IF('Needs years'!$C$242&lt;=0,IF('Needs years'!$C$234&gt;0,'Inputs'!$B$104&amp;"'s death income covers the R "&amp;FIXED(ROUND('Inputs'!$E$104,-2),0)&amp;" a month you want"&amp;", but "&amp;'Inputs'!$B$104&amp;" would have "&amp;IF('Needs calc'!$C$68&lt;=0,"nothing","about R "&amp;FIXED(ROUND('Needs calc'!$C$68,-3),0))&amp;"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calc'!$C$68&lt;'Needs years'!$C$234),", and would have "&amp;IF('Needs calc'!$C$68&lt;=0,"nothing","about R "&amp;FIXED(ROUND('Needs calc'!$C$68,-3),0))&amp;" of the R "&amp;FIXED(ROUND('Needs years'!$C$234,-3),0)&amp;" once-off","")&amp;". ",IF('Needs years'!$C$234&lt;=0,'Inputs'!$B$104&amp;" would have about R "&amp;FIXED(ROUND('Needs calc'!$C$74,-2),0)&amp;" a month of the R "&amp;FIXED(ROUND('Inputs'!$E$104,-2),0)&amp;" you want, part of it from the death income, and less once it stops. ",IF('Needs calc'!$C$68&gt;='Needs years'!$C$234,'Inputs'!$B$104&amp;" would have about R "&amp;FIXED(ROUND('Needs calc'!$C$74,-2),0)&amp;" a month of the R "&amp;FIXED(ROUND('Inputs'!$E$104,-2),0)&amp;" you want, part of it from the death income, and less once it stops,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part of it from the death income, and less once it stops. "))))),'Inputs'!$B$104&amp;" would have "&amp;IF('Needs calc'!$C$68&lt;=0,"nothing","about R "&amp;FIXED(ROUND('Needs calc'!$C$68,-3),0))&amp;"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$123/100))^(1/12)-1)-((1+$C$238)^(1/12)-1))*(P243*(((1+((1+$C$238)^(1/12)-1))^12-1)/((1+((1+$C$238)^(1/12)-1))-1))-J243/12/((1+((1+$C$238)^(1/12)-1))-1)*((1+((1+$C$238)^(1/12)-1))*(((1+((1+$C$238)^(1/12)-1))^12-1)/((1+((1+$C$238)^(1/12)-1))-1))-12)),0))</f>
      </c>
    </row>
    <row r="244" spans="2:17" x14ac:dyDescent="0.25">
      <c r="B244" t="s">
        <v>420</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$123/100))^(1/12)-1)-((1+$C$238)^(1/12)-1))*(P244*(((1+((1+$C$238)^(1/12)-1))^12-1)/((1+((1+$C$238)^(1/12)-1))-1))-J244/12/((1+((1+$C$238)^(1/12)-1))-1)*((1+((1+$C$238)^(1/12)-1))*(((1+((1+$C$238)^(1/12)-1))^12-1)/((1+((1+$C$238)^(1/12)-1))-1))-12)),0))</f>
      </c>
    </row>
    <row r="245" spans="2:17" x14ac:dyDescent="0.25">
      <c r="B245" t="s">
        <v>421</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$123/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$123/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$123/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$123/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$123/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$123/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$123/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$123/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$123/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$123/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$123/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$123/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$123/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$123/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$123/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$123/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$123/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$123/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$123/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$123/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$123/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$123/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$123/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$123/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$123/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$123/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$123/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$123/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$123/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$123/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$123/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$123/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$123/100))^(1/12)-1)-((1+$C$238)^(1/12)-1))*(P277*(((1+((1+$C$238)^(1/12)-1))^12-1)/((1+((1+$C$238)^(1/12)-1))-1))-J277/12/((1+((1+$C$238)^(1/12)-1))-1)*((1+((1+$C$238)^(1/12)-1))*(((1+((1+$C$238)^(1/12)-1))^12-1)/((1+((1+$C$238)^(1/12)-1))-1))-12)),0))</f>
      </c>
    </row>
    <row r="282" spans="2:3" x14ac:dyDescent="0.25">
      <c r="B282" t="s">
        <v>118</v>
      </c>
      <c r="C282">
        <f>IF('Inputs'!$B$105="","",'Inputs'!$B$105)</f>
      </c>
    </row>
    <row r="283" spans="2:17" x14ac:dyDescent="0.25">
      <c r="B283" t="s">
        <v>120</v>
      </c>
      <c r="C283">
        <f>N('Inputs'!$D$105)</f>
      </c>
      <c r="I283" t="s">
        <v>398</v>
      </c>
      <c r="J283" t="s">
        <v>399</v>
      </c>
      <c r="K283" t="s">
        <v>400</v>
      </c>
      <c r="L283" t="s">
        <v>401</v>
      </c>
      <c r="P283" t="s">
        <v>402</v>
      </c>
      <c r="Q283" t="s">
        <v>403</v>
      </c>
    </row>
    <row r="284" spans="2:17" x14ac:dyDescent="0.25">
      <c r="B284" t="s">
        <v>404</v>
      </c>
      <c r="C284">
        <f>IF($C$283&gt;=75,'Inputs'!$H$131,IF($C$283&gt;=65,'Inputs'!$H$130,'Inputs'!$H$124))</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$123/100))^(1/12)-1)-((1+$C$294)^(1/12)-1))*(P284*(((1+((1+$C$294)^(1/12)-1))^12-1)/((1+((1+$C$294)^(1/12)-1))-1))-J284/12/((1+((1+$C$294)^(1/12)-1))-1)*((1+((1+$C$294)^(1/12)-1))*(((1+((1+$C$294)^(1/12)-1))^12-1)/((1+((1+$C$294)^(1/12)-1))-1))-12)),0))</f>
      </c>
    </row>
    <row r="285" spans="2:17" x14ac:dyDescent="0.25">
      <c r="B285" t="s">
        <v>405</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$123/100))^(1/12)-1)-((1+$C$294)^(1/12)-1))*(P285*(((1+((1+$C$294)^(1/12)-1))^12-1)/((1+((1+$C$294)^(1/12)-1))-1))-J285/12/((1+((1+$C$294)^(1/12)-1))-1)*((1+((1+$C$294)^(1/12)-1))*(((1+((1+$C$294)^(1/12)-1))^12-1)/((1+((1+$C$294)^(1/12)-1))-1))-12)),0))</f>
      </c>
    </row>
    <row r="286" spans="2:17" x14ac:dyDescent="0.25">
      <c r="B286" t="s">
        <v>406</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$123/100))^(1/12)-1)-((1+$C$294)^(1/12)-1))*(P286*(((1+((1+$C$294)^(1/12)-1))^12-1)/((1+((1+$C$294)^(1/12)-1))-1))-J286/12/((1+((1+$C$294)^(1/12)-1))-1)*((1+((1+$C$294)^(1/12)-1))*(((1+((1+$C$294)^(1/12)-1))^12-1)/((1+((1+$C$294)^(1/12)-1))-1))-12)),0))</f>
      </c>
    </row>
    <row r="287" spans="2:17" x14ac:dyDescent="0.25">
      <c r="B287" t="s">
        <v>407</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$123/100))^(1/12)-1)-((1+$C$294)^(1/12)-1))*(P287*(((1+((1+$C$294)^(1/12)-1))^12-1)/((1+((1+$C$294)^(1/12)-1))-1))-J287/12/((1+((1+$C$294)^(1/12)-1))-1)*((1+((1+$C$294)^(1/12)-1))*(((1+((1+$C$294)^(1/12)-1))^12-1)/((1+((1+$C$294)^(1/12)-1))-1))-12)),0))</f>
      </c>
    </row>
    <row r="288" spans="2:17" x14ac:dyDescent="0.25">
      <c r="B288" t="s">
        <v>408</v>
      </c>
      <c r="C288">
        <f>IF('Inputs'!$G$105="",'Inputs'!$H$129/100,'Inputs'!$G$105/100)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$123/100))^(1/12)-1)-((1+$C$294)^(1/12)-1))*(P288*(((1+((1+$C$294)^(1/12)-1))^12-1)/((1+((1+$C$294)^(1/12)-1))-1))-J288/12/((1+((1+$C$294)^(1/12)-1))-1)*((1+((1+$C$294)^(1/12)-1))*(((1+((1+$C$294)^(1/12)-1))^12-1)/((1+((1+$C$294)^(1/12)-1))-1))-12)),0))</f>
      </c>
    </row>
    <row r="289" spans="2:17" x14ac:dyDescent="0.25">
      <c r="B289" t="s">
        <v>409</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$123/100))^(1/12)-1)-((1+$C$294)^(1/12)-1))*(P289*(((1+((1+$C$294)^(1/12)-1))^12-1)/((1+((1+$C$294)^(1/12)-1))-1))-J289/12/((1+((1+$C$294)^(1/12)-1))-1)*((1+((1+$C$294)^(1/12)-1))*(((1+((1+$C$294)^(1/12)-1))^12-1)/((1+((1+$C$294)^(1/12)-1))-1))-12)),0))</f>
      </c>
    </row>
    <row r="290" spans="2:17" x14ac:dyDescent="0.25">
      <c r="B290" t="s">
        <v>410</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$123/100))^(1/12)-1)-((1+$C$294)^(1/12)-1))*(P290*(((1+((1+$C$294)^(1/12)-1))^12-1)/((1+((1+$C$294)^(1/12)-1))-1))-J290/12/((1+((1+$C$294)^(1/12)-1))-1)*((1+((1+$C$294)^(1/12)-1))*(((1+((1+$C$294)^(1/12)-1))^12-1)/((1+((1+$C$294)^(1/12)-1))-1))-12)),0))</f>
      </c>
    </row>
    <row r="291" spans="2:17" x14ac:dyDescent="0.25">
      <c r="B291" t="s">
        <v>411</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$123/100))^(1/12)-1)-((1+$C$294)^(1/12)-1))*(P291*(((1+((1+$C$294)^(1/12)-1))^12-1)/((1+((1+$C$294)^(1/12)-1))-1))-J291/12/((1+((1+$C$294)^(1/12)-1))-1)*((1+((1+$C$294)^(1/12)-1))*(((1+((1+$C$294)^(1/12)-1))^12-1)/((1+((1+$C$294)^(1/12)-1))-1))-12)),0))</f>
      </c>
    </row>
    <row r="292" spans="2:17" x14ac:dyDescent="0.25">
      <c r="B292" t="s">
        <v>412</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$123/100))^(1/12)-1)-((1+$C$294)^(1/12)-1))*(P292*(((1+((1+$C$294)^(1/12)-1))^12-1)/((1+((1+$C$294)^(1/12)-1))-1))-J292/12/((1+((1+$C$294)^(1/12)-1))-1)*((1+((1+$C$294)^(1/12)-1))*(((1+((1+$C$294)^(1/12)-1))^12-1)/((1+((1+$C$294)^(1/12)-1))-1))-12)),0))</f>
      </c>
    </row>
    <row r="293" spans="2:17" x14ac:dyDescent="0.25">
      <c r="B293" t="s">
        <v>413</v>
      </c>
      <c r="C293">
        <f>IF($C$289&lt;&gt;1,0,ROUND(IF($C$294=0,SUM($J$284:$J$333),(1-(1+$C$294)^-1)/(1-(1+$C$294)^(-1/12))/12*SUMPRODUCT($J$284:$J$333,(1+$C$294)^(-$I$284:$I$333)))-IF(($C$294+'Inputs'!$H$123/100)=0,SUM($J$284:$J$333),(1-(1+($C$294+'Inputs'!$H$123/100))^-1)/(1-(1+($C$294+'Inputs'!$H$123/100))^(-1/12))/12*SUMPRODUCT($J$284:$J$333,(1+($C$294+'Inputs'!$H$123/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$123/100))^(1/12)-1)-((1+$C$294)^(1/12)-1))*(P293*(((1+((1+$C$294)^(1/12)-1))^12-1)/((1+((1+$C$294)^(1/12)-1))-1))-J293/12/((1+((1+$C$294)^(1/12)-1))-1)*((1+((1+$C$294)^(1/12)-1))*(((1+((1+$C$294)^(1/12)-1))^12-1)/((1+((1+$C$294)^(1/12)-1))-1))-12)),0))</f>
      </c>
    </row>
    <row r="294" spans="2:17" x14ac:dyDescent="0.25">
      <c r="B294" t="s">
        <v>414</v>
      </c>
      <c r="C294">
        <f>IF($C$289=1,'Needs calc'!$C$78,0)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$123/100))^(1/12)-1)-((1+$C$294)^(1/12)-1))*(P294*(((1+((1+$C$294)^(1/12)-1))^12-1)/((1+((1+$C$294)^(1/12)-1))-1))-J294/12/((1+((1+$C$294)^(1/12)-1))-1)*((1+((1+$C$294)^(1/12)-1))*(((1+((1+$C$294)^(1/12)-1))^12-1)/((1+((1+$C$294)^(1/12)-1))-1))-12)),0))</f>
      </c>
    </row>
    <row r="295" spans="2:17" x14ac:dyDescent="0.25">
      <c r="B295" t="s">
        <v>415</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$123/100))^(1/12)-1)-((1+$C$294)^(1/12)-1))*(P295*(((1+((1+$C$294)^(1/12)-1))^12-1)/((1+((1+$C$294)^(1/12)-1))-1))-J295/12/((1+((1+$C$294)^(1/12)-1))-1)*((1+((1+$C$294)^(1/12)-1))*(((1+((1+$C$294)^(1/12)-1))^12-1)/((1+((1+$C$294)^(1/12)-1))-1))-12)),0))</f>
      </c>
    </row>
    <row r="296" spans="2:17" x14ac:dyDescent="0.25">
      <c r="B296" t="s">
        <v>416</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$123/100))^(1/12)-1)-((1+$C$294)^(1/12)-1))*(P296*(((1+((1+$C$294)^(1/12)-1))^12-1)/((1+((1+$C$294)^(1/12)-1))-1))-J296/12/((1+((1+$C$294)^(1/12)-1))-1)*((1+((1+$C$294)^(1/12)-1))*(((1+((1+$C$294)^(1/12)-1))^12-1)/((1+((1+$C$294)^(1/12)-1))-1))-12)),0))</f>
      </c>
    </row>
    <row r="297" spans="2:17" x14ac:dyDescent="0.25">
      <c r="B297" t="s">
        <v>417</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$123/100))^(1/12)-1)-((1+$C$294)^(1/12)-1))*(P297*(((1+((1+$C$294)^(1/12)-1))^12-1)/((1+((1+$C$294)^(1/12)-1))-1))-J297/12/((1+((1+$C$294)^(1/12)-1))-1)*((1+((1+$C$294)^(1/12)-1))*(((1+((1+$C$294)^(1/12)-1))^12-1)/((1+((1+$C$294)^(1/12)-1))-1))-12)),0))</f>
      </c>
    </row>
    <row r="298" spans="2:17" x14ac:dyDescent="0.25">
      <c r="B298" t="s">
        <v>418</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$123/100))^(1/12)-1)-((1+$C$294)^(1/12)-1))*(P298*(((1+((1+$C$294)^(1/12)-1))^12-1)/((1+((1+$C$294)^(1/12)-1))-1))-J298/12/((1+((1+$C$294)^(1/12)-1))-1)*((1+((1+$C$294)^(1/12)-1))*(((1+((1+$C$294)^(1/12)-1))^12-1)/((1+((1+$C$294)^(1/12)-1))-1))-12)),0))</f>
      </c>
    </row>
    <row r="299" spans="2:17" x14ac:dyDescent="0.25">
      <c r="B299" t="s">
        <v>419</v>
      </c>
      <c r="C299">
        <f>IF('Needs calc'!$C$80&gt;0,IF(N('Inputs'!$E$105)&gt;0,IF('Needs years'!$C$295&lt;=0,IF('Needs years'!$C$290&lt;=0,'Inputs'!$B$105&amp;" would have about R "&amp;FIXED(ROUND('Needs calc'!$C$81,-2),0)&amp;" a month of the R "&amp;FIXED(ROUND('Inputs'!$E$105,-2),0)&amp;" you want. ",IF('Needs calc'!$C$75&gt;='Needs years'!$C$290,'Inputs'!$B$105&amp;" would have about R "&amp;FIXED(ROUND('Needs calc'!$C$81,-2),0)&amp;" a month of the R "&amp;FIXED(ROUND('Inputs'!$E$105,-2),0)&amp;" you want,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")),IF('Needs years'!$C$298&lt;=0,IF('Needs years'!$C$290&gt;0,'Inputs'!$B$105&amp;"'s death income covers the R "&amp;FIXED(ROUND('Inputs'!$E$105,-2),0)&amp;" a month you want"&amp;", but "&amp;'Inputs'!$B$105&amp;" would have "&amp;IF('Needs calc'!$C$75&lt;=0,"nothing","about R "&amp;FIXED(ROUND('Needs calc'!$C$75,-3),0))&amp;"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calc'!$C$75&lt;'Needs years'!$C$290),", and would have "&amp;IF('Needs calc'!$C$75&lt;=0,"nothing","about R "&amp;FIXED(ROUND('Needs calc'!$C$75,-3),0))&amp;" of the R "&amp;FIXED(ROUND('Needs years'!$C$290,-3),0)&amp;" once-off","")&amp;". ",IF('Needs years'!$C$290&lt;=0,'Inputs'!$B$105&amp;" would have about R "&amp;FIXED(ROUND('Needs calc'!$C$81,-2),0)&amp;" a month of the R "&amp;FIXED(ROUND('Inputs'!$E$105,-2),0)&amp;" you want, part of it from the death income, and less once it stops. ",IF('Needs calc'!$C$75&gt;='Needs years'!$C$290,'Inputs'!$B$105&amp;" would have about R "&amp;FIXED(ROUND('Needs calc'!$C$81,-2),0)&amp;" a month of the R "&amp;FIXED(ROUND('Inputs'!$E$105,-2),0)&amp;" you want, part of it from the death income, and less once it stops,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part of it from the death income, and less once it stops. "))))),'Inputs'!$B$105&amp;" would have "&amp;IF('Needs calc'!$C$75&lt;=0,"nothing","about R "&amp;FIXED(ROUND('Needs calc'!$C$75,-3),0))&amp;"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$123/100))^(1/12)-1)-((1+$C$294)^(1/12)-1))*(P299*(((1+((1+$C$294)^(1/12)-1))^12-1)/((1+((1+$C$294)^(1/12)-1))-1))-J299/12/((1+((1+$C$294)^(1/12)-1))-1)*((1+((1+$C$294)^(1/12)-1))*(((1+((1+$C$294)^(1/12)-1))^12-1)/((1+((1+$C$294)^(1/12)-1))-1))-12)),0))</f>
      </c>
    </row>
    <row r="300" spans="2:17" x14ac:dyDescent="0.25">
      <c r="B300" t="s">
        <v>420</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$123/100))^(1/12)-1)-((1+$C$294)^(1/12)-1))*(P300*(((1+((1+$C$294)^(1/12)-1))^12-1)/((1+((1+$C$294)^(1/12)-1))-1))-J300/12/((1+((1+$C$294)^(1/12)-1))-1)*((1+((1+$C$294)^(1/12)-1))*(((1+((1+$C$294)^(1/12)-1))^12-1)/((1+((1+$C$294)^(1/12)-1))-1))-12)),0))</f>
      </c>
    </row>
    <row r="301" spans="2:17" x14ac:dyDescent="0.25">
      <c r="B301" t="s">
        <v>421</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$123/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$123/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$123/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$123/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$123/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$123/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$123/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$123/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$123/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$123/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$123/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$123/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$123/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$123/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$123/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$123/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$123/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$123/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$123/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$123/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$123/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$123/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$123/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$123/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$123/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$123/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$123/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$123/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$123/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$123/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$123/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$123/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$123/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88"/>
  <sheetFormatPr defaultRowHeight="15" outlineLevelRow="0" outlineLevelCol="0" x14ac:dyDescent="55"/>
  <cols>
    <col min="1" max="1" width="2" customWidth="1"/>
    <col min="2" max="2" width="28" customWidth="1"/>
  </cols>
  <sheetData>
    <row r="2" spans="3:5" x14ac:dyDescent="0.25">
      <c r="C2" t="s">
        <v>310</v>
      </c>
      <c r="E2" t="s">
        <v>311</v>
      </c>
    </row>
    <row r="3" spans="2:20" x14ac:dyDescent="0.25">
      <c r="B3" t="s">
        <v>312</v>
      </c>
      <c r="C3">
        <f>0</f>
      </c>
      <c r="E3">
        <f>1</f>
      </c>
      <c r="F3">
        <f>1</f>
      </c>
      <c r="G3">
        <f>1</f>
      </c>
      <c r="H3">
        <f>1</f>
      </c>
      <c r="I3">
        <f>1</f>
      </c>
      <c r="J3">
        <f>1</f>
      </c>
      <c r="K3">
        <f>1</f>
      </c>
      <c r="L3">
        <f>1</f>
      </c>
      <c r="M3">
        <f>1</f>
      </c>
      <c r="N3">
        <f>1</f>
      </c>
      <c r="O3">
        <f>1</f>
      </c>
      <c r="P3">
        <f>1</f>
      </c>
      <c r="Q3">
        <f>1</f>
      </c>
      <c r="R3">
        <f>1</f>
      </c>
      <c r="S3">
        <f>1</f>
      </c>
      <c r="T3">
        <f>1</f>
      </c>
    </row>
    <row r="4" spans="2:20" x14ac:dyDescent="0.25">
      <c r="B4" t="s">
        <v>313</v>
      </c>
      <c r="C4">
        <f>0</f>
      </c>
      <c r="E4">
        <f>0</f>
      </c>
      <c r="F4">
        <f>E82</f>
      </c>
      <c r="G4">
        <f>F82</f>
      </c>
      <c r="H4">
        <f>G82</f>
      </c>
      <c r="I4">
        <f>H82</f>
      </c>
      <c r="J4">
        <f>I82</f>
      </c>
      <c r="K4">
        <f>J82</f>
      </c>
      <c r="L4">
        <f>K82</f>
      </c>
      <c r="M4">
        <f>L82</f>
      </c>
      <c r="N4">
        <f>M82</f>
      </c>
      <c r="O4">
        <f>N82</f>
      </c>
      <c r="P4">
        <f>O82</f>
      </c>
      <c r="Q4">
        <f>IF(ROUND(P82,2)&gt;0,MAX(0,ROUND(P82,2)-0.01),0)</f>
      </c>
      <c r="R4">
        <f>ROUND(P82,2)</f>
      </c>
      <c r="S4">
        <f>IF(ROUND(P82,2)&gt;0,ROUND(P82,2)+0.01,0)</f>
      </c>
      <c r="T4">
        <f>IF(ROUND(P82,2)=0,0,IF(R45&lt;=0,ROUND(P82,2),IF(S45&lt;=0,ROUND(P82,2)+0.01,ROUND(P82,2)+0.02)))</f>
      </c>
    </row>
    <row r="5" spans="2:20" x14ac:dyDescent="0.25">
      <c r="B5" t="s">
        <v>314</v>
      </c>
      <c r="C5">
        <f>0</f>
      </c>
      <c r="E5">
        <f>0</f>
      </c>
      <c r="F5">
        <f>E83</f>
      </c>
      <c r="G5">
        <f>F83</f>
      </c>
      <c r="H5">
        <f>G83</f>
      </c>
      <c r="I5">
        <f>H83</f>
      </c>
      <c r="J5">
        <f>I83</f>
      </c>
      <c r="K5">
        <f>J83</f>
      </c>
      <c r="L5">
        <f>K83</f>
      </c>
      <c r="M5">
        <f>L83</f>
      </c>
      <c r="N5">
        <f>M83</f>
      </c>
      <c r="O5">
        <f>N83</f>
      </c>
      <c r="P5">
        <f>O83</f>
      </c>
      <c r="Q5">
        <f>IF(ROUND(P83,2)&gt;0,MAX(0,ROUND(P83,2)-0.01),0)</f>
      </c>
      <c r="R5">
        <f>ROUND(P83,2)</f>
      </c>
      <c r="S5">
        <f>IF(ROUND(P83,2)&gt;0,ROUND(P83,2)+0.01,0)</f>
      </c>
      <c r="T5">
        <f>IF(ROUND(P83,2)=0,0,IF(R52&lt;=0,ROUND(P83,2),IF(S52&lt;=0,ROUND(P83,2)+0.01,ROUND(P83,2)+0.02)))</f>
      </c>
    </row>
    <row r="6" spans="2:20" x14ac:dyDescent="0.25">
      <c r="B6" t="s">
        <v>315</v>
      </c>
      <c r="C6">
        <f>0</f>
      </c>
      <c r="E6">
        <f>0</f>
      </c>
      <c r="F6">
        <f>E84</f>
      </c>
      <c r="G6">
        <f>F84</f>
      </c>
      <c r="H6">
        <f>G84</f>
      </c>
      <c r="I6">
        <f>H84</f>
      </c>
      <c r="J6">
        <f>I84</f>
      </c>
      <c r="K6">
        <f>J84</f>
      </c>
      <c r="L6">
        <f>K84</f>
      </c>
      <c r="M6">
        <f>L84</f>
      </c>
      <c r="N6">
        <f>M84</f>
      </c>
      <c r="O6">
        <f>N84</f>
      </c>
      <c r="P6">
        <f>O84</f>
      </c>
      <c r="Q6">
        <f>IF(ROUND(P84,2)&gt;0,MAX(0,ROUND(P84,2)-0.01),0)</f>
      </c>
      <c r="R6">
        <f>ROUND(P84,2)</f>
      </c>
      <c r="S6">
        <f>IF(ROUND(P84,2)&gt;0,ROUND(P84,2)+0.01,0)</f>
      </c>
      <c r="T6">
        <f>IF(ROUND(P84,2)=0,0,IF(R59&lt;=0,ROUND(P84,2),IF(S59&lt;=0,ROUND(P84,2)+0.01,ROUND(P84,2)+0.02)))</f>
      </c>
    </row>
    <row r="7" spans="2:20" x14ac:dyDescent="0.25">
      <c r="B7" t="s">
        <v>316</v>
      </c>
      <c r="C7">
        <f>0</f>
      </c>
      <c r="E7">
        <f>0</f>
      </c>
      <c r="F7">
        <f>E85</f>
      </c>
      <c r="G7">
        <f>F85</f>
      </c>
      <c r="H7">
        <f>G85</f>
      </c>
      <c r="I7">
        <f>H85</f>
      </c>
      <c r="J7">
        <f>I85</f>
      </c>
      <c r="K7">
        <f>J85</f>
      </c>
      <c r="L7">
        <f>K85</f>
      </c>
      <c r="M7">
        <f>L85</f>
      </c>
      <c r="N7">
        <f>M85</f>
      </c>
      <c r="O7">
        <f>N85</f>
      </c>
      <c r="P7">
        <f>O85</f>
      </c>
      <c r="Q7">
        <f>IF(ROUND(P85,2)&gt;0,MAX(0,ROUND(P85,2)-0.01),0)</f>
      </c>
      <c r="R7">
        <f>ROUND(P85,2)</f>
      </c>
      <c r="S7">
        <f>IF(ROUND(P85,2)&gt;0,ROUND(P85,2)+0.01,0)</f>
      </c>
      <c r="T7">
        <f>IF(ROUND(P85,2)=0,0,IF(R66&lt;=0,ROUND(P85,2),IF(S66&lt;=0,ROUND(P85,2)+0.01,ROUND(P85,2)+0.02)))</f>
      </c>
    </row>
    <row r="8" spans="2:20" x14ac:dyDescent="0.25">
      <c r="B8" t="s">
        <v>317</v>
      </c>
      <c r="C8">
        <f>0</f>
      </c>
      <c r="E8">
        <f>0</f>
      </c>
      <c r="F8">
        <f>E86</f>
      </c>
      <c r="G8">
        <f>F86</f>
      </c>
      <c r="H8">
        <f>G86</f>
      </c>
      <c r="I8">
        <f>H86</f>
      </c>
      <c r="J8">
        <f>I86</f>
      </c>
      <c r="K8">
        <f>J86</f>
      </c>
      <c r="L8">
        <f>K86</f>
      </c>
      <c r="M8">
        <f>L86</f>
      </c>
      <c r="N8">
        <f>M86</f>
      </c>
      <c r="O8">
        <f>N86</f>
      </c>
      <c r="P8">
        <f>O86</f>
      </c>
      <c r="Q8">
        <f>IF(ROUND(P86,2)&gt;0,MAX(0,ROUND(P86,2)-0.01),0)</f>
      </c>
      <c r="R8">
        <f>ROUND(P86,2)</f>
      </c>
      <c r="S8">
        <f>IF(ROUND(P86,2)&gt;0,ROUND(P86,2)+0.01,0)</f>
      </c>
      <c r="T8">
        <f>IF(ROUND(P86,2)=0,0,IF(R73&lt;=0,ROUND(P86,2),IF(S73&lt;=0,ROUND(P86,2)+0.01,ROUND(P86,2)+0.02)))</f>
      </c>
    </row>
    <row r="9" spans="2:20" x14ac:dyDescent="0.25">
      <c r="B9" t="s">
        <v>318</v>
      </c>
      <c r="C9">
        <f>0</f>
      </c>
      <c r="E9">
        <f>0</f>
      </c>
      <c r="F9">
        <f>E87</f>
      </c>
      <c r="G9">
        <f>F87</f>
      </c>
      <c r="H9">
        <f>G87</f>
      </c>
      <c r="I9">
        <f>H87</f>
      </c>
      <c r="J9">
        <f>I87</f>
      </c>
      <c r="K9">
        <f>J87</f>
      </c>
      <c r="L9">
        <f>K87</f>
      </c>
      <c r="M9">
        <f>L87</f>
      </c>
      <c r="N9">
        <f>M87</f>
      </c>
      <c r="O9">
        <f>N87</f>
      </c>
      <c r="P9">
        <f>O87</f>
      </c>
      <c r="Q9">
        <f>IF(ROUND(P87,2)&gt;0,MAX(0,ROUND(P87,2)-0.01),0)</f>
      </c>
      <c r="R9">
        <f>ROUND(P87,2)</f>
      </c>
      <c r="S9">
        <f>IF(ROUND(P87,2)&gt;0,ROUND(P87,2)+0.01,0)</f>
      </c>
      <c r="T9">
        <f>IF(ROUND(P87,2)=0,0,IF(R80&lt;=0,ROUND(P87,2),IF(S80&lt;=0,ROUND(P87,2)+0.01,ROUND(P87,2)+0.02)))</f>
      </c>
    </row>
    <row r="10" spans="2:20" x14ac:dyDescent="0.25">
      <c r="B10" t="s">
        <v>319</v>
      </c>
      <c r="C10">
        <f>0</f>
      </c>
      <c r="E10">
        <f>0</f>
      </c>
      <c r="F10">
        <f>E88</f>
      </c>
      <c r="G10">
        <f>F88</f>
      </c>
      <c r="H10">
        <f>G88</f>
      </c>
      <c r="I10">
        <f>H88</f>
      </c>
      <c r="J10">
        <f>I88</f>
      </c>
      <c r="K10">
        <f>J88</f>
      </c>
      <c r="L10">
        <f>K88</f>
      </c>
      <c r="M10">
        <f>L88</f>
      </c>
      <c r="N10">
        <f>M88</f>
      </c>
      <c r="O10">
        <f>N88</f>
      </c>
      <c r="P10">
        <f>O88</f>
      </c>
      <c r="Q10">
        <f>IF(ROUND(P88,2)&gt;0,MAX(0,ROUND(P88,2)-0.01),0)</f>
      </c>
      <c r="R10">
        <f>ROUND(P88,2)</f>
      </c>
      <c r="S10">
        <f>IF(ROUND(P88,2)&gt;0,ROUND(P88,2)+0.01,0)</f>
      </c>
      <c r="T10">
        <f>IF(ROUND(P88,2)=0,0,IF(R27&lt;=0,ROUND(P88,2),IF(S27&lt;=0,ROUND(P88,2)+0.01,ROUND(P88,2)+0.02)))</f>
      </c>
    </row>
    <row r="11" spans="2:20" x14ac:dyDescent="0.25">
      <c r="B11" t="s">
        <v>320</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321</v>
      </c>
      <c r="C12">
        <f>IF(C10&gt;0,ROUND(('Inputs'!$C$120/100*(1+'Inputs'!$C$121/100))*('Workings'!$C$21+C10),2)+'Workings'!$C$29,0)</f>
      </c>
      <c r="E12">
        <f>IF(E10&gt;0,ROUND(('Inputs'!$C$120/100*(1+'Inputs'!$C$121/100))*('Workings'!$C$21+E10),2)+'Workings'!$C$29,0)</f>
      </c>
      <c r="F12">
        <f>IF(F10&gt;0,ROUND(('Inputs'!$C$120/100*(1+'Inputs'!$C$121/100))*('Workings'!$C$21+F10),2)+'Workings'!$C$29,0)</f>
      </c>
      <c r="G12">
        <f>IF(G10&gt;0,ROUND(('Inputs'!$C$120/100*(1+'Inputs'!$C$121/100))*('Workings'!$C$21+G10),2)+'Workings'!$C$29,0)</f>
      </c>
      <c r="H12">
        <f>IF(H10&gt;0,ROUND(('Inputs'!$C$120/100*(1+'Inputs'!$C$121/100))*('Workings'!$C$21+H10),2)+'Workings'!$C$29,0)</f>
      </c>
      <c r="I12">
        <f>IF(I10&gt;0,ROUND(('Inputs'!$C$120/100*(1+'Inputs'!$C$121/100))*('Workings'!$C$21+I10),2)+'Workings'!$C$29,0)</f>
      </c>
      <c r="J12">
        <f>IF(J10&gt;0,ROUND(('Inputs'!$C$120/100*(1+'Inputs'!$C$121/100))*('Workings'!$C$21+J10),2)+'Workings'!$C$29,0)</f>
      </c>
      <c r="K12">
        <f>IF(K10&gt;0,ROUND(('Inputs'!$C$120/100*(1+'Inputs'!$C$121/100))*('Workings'!$C$21+K10),2)+'Workings'!$C$29,0)</f>
      </c>
      <c r="L12">
        <f>IF(L10&gt;0,ROUND(('Inputs'!$C$120/100*(1+'Inputs'!$C$121/100))*('Workings'!$C$21+L10),2)+'Workings'!$C$29,0)</f>
      </c>
      <c r="M12">
        <f>IF(M10&gt;0,ROUND(('Inputs'!$C$120/100*(1+'Inputs'!$C$121/100))*('Workings'!$C$21+M10),2)+'Workings'!$C$29,0)</f>
      </c>
      <c r="N12">
        <f>IF(N10&gt;0,ROUND(('Inputs'!$C$120/100*(1+'Inputs'!$C$121/100))*('Workings'!$C$21+N10),2)+'Workings'!$C$29,0)</f>
      </c>
      <c r="O12">
        <f>IF(O10&gt;0,ROUND(('Inputs'!$C$120/100*(1+'Inputs'!$C$121/100))*('Workings'!$C$21+O10),2)+'Workings'!$C$29,0)</f>
      </c>
      <c r="P12">
        <f>IF(P10&gt;0,ROUND(('Inputs'!$C$120/100*(1+'Inputs'!$C$121/100))*('Workings'!$C$21+P10),2)+'Workings'!$C$29,0)</f>
      </c>
      <c r="Q12">
        <f>IF(Q10&gt;0,ROUND(('Inputs'!$C$120/100*(1+'Inputs'!$C$121/100))*('Workings'!$C$21+Q10),2)+'Workings'!$C$29,0)</f>
      </c>
      <c r="R12">
        <f>IF(R10&gt;0,ROUND(('Inputs'!$C$120/100*(1+'Inputs'!$C$121/100))*('Workings'!$C$21+R10),2)+'Workings'!$C$29,0)</f>
      </c>
      <c r="S12">
        <f>IF(S10&gt;0,ROUND(('Inputs'!$C$120/100*(1+'Inputs'!$C$121/100))*('Workings'!$C$21+S10),2)+'Workings'!$C$29,0)</f>
      </c>
      <c r="T12">
        <f>IF(T10&gt;0,ROUND(('Inputs'!$C$120/100*(1+'Inputs'!$C$121/100))*('Workings'!$C$21+T10),2)+'Workings'!$C$29,0)</f>
      </c>
    </row>
    <row r="13" spans="2:20" x14ac:dyDescent="0.25">
      <c r="B13" t="s">
        <v>322</v>
      </c>
      <c r="C13">
        <f>ROUND('Workings'!$C$33+C10-C12,2)</f>
      </c>
      <c r="E13">
        <f>ROUND('Workings'!$C$33+E10-E12,2)</f>
      </c>
      <c r="F13">
        <f>ROUND('Workings'!$C$33+F10-F12,2)</f>
      </c>
      <c r="G13">
        <f>ROUND('Workings'!$C$33+G10-G12,2)</f>
      </c>
      <c r="H13">
        <f>ROUND('Workings'!$C$33+H10-H12,2)</f>
      </c>
      <c r="I13">
        <f>ROUND('Workings'!$C$33+I10-I12,2)</f>
      </c>
      <c r="J13">
        <f>ROUND('Workings'!$C$33+J10-J12,2)</f>
      </c>
      <c r="K13">
        <f>ROUND('Workings'!$C$33+K10-K12,2)</f>
      </c>
      <c r="L13">
        <f>ROUND('Workings'!$C$33+L10-L12,2)</f>
      </c>
      <c r="M13">
        <f>ROUND('Workings'!$C$33+M10-M12,2)</f>
      </c>
      <c r="N13">
        <f>ROUND('Workings'!$C$33+N10-N12,2)</f>
      </c>
      <c r="O13">
        <f>ROUND('Workings'!$C$33+O10-O12,2)</f>
      </c>
      <c r="P13">
        <f>ROUND('Workings'!$C$33+P10-P12,2)</f>
      </c>
      <c r="Q13">
        <f>ROUND('Workings'!$C$33+Q10-Q12,2)</f>
      </c>
      <c r="R13">
        <f>ROUND('Workings'!$C$33+R10-R12,2)</f>
      </c>
      <c r="S13">
        <f>ROUND('Workings'!$C$33+S10-S12,2)</f>
      </c>
      <c r="T13">
        <f>ROUND('Workings'!$C$33+T10-T12,2)</f>
      </c>
    </row>
    <row r="14" spans="2:20" x14ac:dyDescent="0.25">
      <c r="B14" t="s">
        <v>323</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324</v>
      </c>
      <c r="C15">
        <f>IF(OR(LEFT('Inputs'!$C$13,7)="Married",'Inputs'!$C$13="Life partner",'Inputs'!$C$13="Civil Union"),SUM('Inputs'!$R$22:$R$39)*C14+SUMIFS('Inputs'!$D$59:$D$70,'Inputs'!$C$59:$C$70,"Spouse",'Inputs'!$E$59:$E$70,"&lt;&gt;No")+SUM('Inputs'!$S$76:$S$81)+IF('Inputs'!$C$14="Spouse",MAX(0,C13),0),0)</f>
      </c>
      <c r="E15">
        <f>IF(OR(LEFT('Inputs'!$C$13,7)="Married",'Inputs'!$C$13="Life partner",'Inputs'!$C$13="Civil Union"),SUM('Inputs'!$R$22:$R$39)*E14+SUMIFS('Inputs'!$D$59:$D$70,'Inputs'!$C$59:$C$70,"Spouse",'Inputs'!$E$59:$E$70,"&lt;&gt;No")+SUM('Inputs'!$S$76:$S$81)+IF('Inputs'!$C$14="Spouse",MAX(0,E13),0),0)</f>
      </c>
      <c r="F15">
        <f>IF(OR(LEFT('Inputs'!$C$13,7)="Married",'Inputs'!$C$13="Life partner",'Inputs'!$C$13="Civil Union"),SUM('Inputs'!$R$22:$R$39)*F14+SUMIFS('Inputs'!$D$59:$D$70,'Inputs'!$C$59:$C$70,"Spouse",'Inputs'!$E$59:$E$70,"&lt;&gt;No")+SUM('Inputs'!$S$76:$S$81)+IF('Inputs'!$C$14="Spouse",MAX(0,F13),0),0)</f>
      </c>
      <c r="G15">
        <f>IF(OR(LEFT('Inputs'!$C$13,7)="Married",'Inputs'!$C$13="Life partner",'Inputs'!$C$13="Civil Union"),SUM('Inputs'!$R$22:$R$39)*G14+SUMIFS('Inputs'!$D$59:$D$70,'Inputs'!$C$59:$C$70,"Spouse",'Inputs'!$E$59:$E$70,"&lt;&gt;No")+SUM('Inputs'!$S$76:$S$81)+IF('Inputs'!$C$14="Spouse",MAX(0,G13),0),0)</f>
      </c>
      <c r="H15">
        <f>IF(OR(LEFT('Inputs'!$C$13,7)="Married",'Inputs'!$C$13="Life partner",'Inputs'!$C$13="Civil Union"),SUM('Inputs'!$R$22:$R$39)*H14+SUMIFS('Inputs'!$D$59:$D$70,'Inputs'!$C$59:$C$70,"Spouse",'Inputs'!$E$59:$E$70,"&lt;&gt;No")+SUM('Inputs'!$S$76:$S$81)+IF('Inputs'!$C$14="Spouse",MAX(0,H13),0),0)</f>
      </c>
      <c r="I15">
        <f>IF(OR(LEFT('Inputs'!$C$13,7)="Married",'Inputs'!$C$13="Life partner",'Inputs'!$C$13="Civil Union"),SUM('Inputs'!$R$22:$R$39)*I14+SUMIFS('Inputs'!$D$59:$D$70,'Inputs'!$C$59:$C$70,"Spouse",'Inputs'!$E$59:$E$70,"&lt;&gt;No")+SUM('Inputs'!$S$76:$S$81)+IF('Inputs'!$C$14="Spouse",MAX(0,I13),0),0)</f>
      </c>
      <c r="J15">
        <f>IF(OR(LEFT('Inputs'!$C$13,7)="Married",'Inputs'!$C$13="Life partner",'Inputs'!$C$13="Civil Union"),SUM('Inputs'!$R$22:$R$39)*J14+SUMIFS('Inputs'!$D$59:$D$70,'Inputs'!$C$59:$C$70,"Spouse",'Inputs'!$E$59:$E$70,"&lt;&gt;No")+SUM('Inputs'!$S$76:$S$81)+IF('Inputs'!$C$14="Spouse",MAX(0,J13),0),0)</f>
      </c>
      <c r="K15">
        <f>IF(OR(LEFT('Inputs'!$C$13,7)="Married",'Inputs'!$C$13="Life partner",'Inputs'!$C$13="Civil Union"),SUM('Inputs'!$R$22:$R$39)*K14+SUMIFS('Inputs'!$D$59:$D$70,'Inputs'!$C$59:$C$70,"Spouse",'Inputs'!$E$59:$E$70,"&lt;&gt;No")+SUM('Inputs'!$S$76:$S$81)+IF('Inputs'!$C$14="Spouse",MAX(0,K13),0),0)</f>
      </c>
      <c r="L15">
        <f>IF(OR(LEFT('Inputs'!$C$13,7)="Married",'Inputs'!$C$13="Life partner",'Inputs'!$C$13="Civil Union"),SUM('Inputs'!$R$22:$R$39)*L14+SUMIFS('Inputs'!$D$59:$D$70,'Inputs'!$C$59:$C$70,"Spouse",'Inputs'!$E$59:$E$70,"&lt;&gt;No")+SUM('Inputs'!$S$76:$S$81)+IF('Inputs'!$C$14="Spouse",MAX(0,L13),0),0)</f>
      </c>
      <c r="M15">
        <f>IF(OR(LEFT('Inputs'!$C$13,7)="Married",'Inputs'!$C$13="Life partner",'Inputs'!$C$13="Civil Union"),SUM('Inputs'!$R$22:$R$39)*M14+SUMIFS('Inputs'!$D$59:$D$70,'Inputs'!$C$59:$C$70,"Spouse",'Inputs'!$E$59:$E$70,"&lt;&gt;No")+SUM('Inputs'!$S$76:$S$81)+IF('Inputs'!$C$14="Spouse",MAX(0,M13),0),0)</f>
      </c>
      <c r="N15">
        <f>IF(OR(LEFT('Inputs'!$C$13,7)="Married",'Inputs'!$C$13="Life partner",'Inputs'!$C$13="Civil Union"),SUM('Inputs'!$R$22:$R$39)*N14+SUMIFS('Inputs'!$D$59:$D$70,'Inputs'!$C$59:$C$70,"Spouse",'Inputs'!$E$59:$E$70,"&lt;&gt;No")+SUM('Inputs'!$S$76:$S$81)+IF('Inputs'!$C$14="Spouse",MAX(0,N13),0),0)</f>
      </c>
      <c r="O15">
        <f>IF(OR(LEFT('Inputs'!$C$13,7)="Married",'Inputs'!$C$13="Life partner",'Inputs'!$C$13="Civil Union"),SUM('Inputs'!$R$22:$R$39)*O14+SUMIFS('Inputs'!$D$59:$D$70,'Inputs'!$C$59:$C$70,"Spouse",'Inputs'!$E$59:$E$70,"&lt;&gt;No")+SUM('Inputs'!$S$76:$S$81)+IF('Inputs'!$C$14="Spouse",MAX(0,O13),0),0)</f>
      </c>
      <c r="P15">
        <f>IF(OR(LEFT('Inputs'!$C$13,7)="Married",'Inputs'!$C$13="Life partner",'Inputs'!$C$13="Civil Union"),SUM('Inputs'!$R$22:$R$39)*P14+SUMIFS('Inputs'!$D$59:$D$70,'Inputs'!$C$59:$C$70,"Spouse",'Inputs'!$E$59:$E$70,"&lt;&gt;No")+SUM('Inputs'!$S$76:$S$81)+IF('Inputs'!$C$14="Spouse",MAX(0,P13),0),0)</f>
      </c>
      <c r="Q15">
        <f>IF(OR(LEFT('Inputs'!$C$13,7)="Married",'Inputs'!$C$13="Life partner",'Inputs'!$C$13="Civil Union"),SUM('Inputs'!$R$22:$R$39)*Q14+SUMIFS('Inputs'!$D$59:$D$70,'Inputs'!$C$59:$C$70,"Spouse",'Inputs'!$E$59:$E$70,"&lt;&gt;No")+SUM('Inputs'!$S$76:$S$81)+IF('Inputs'!$C$14="Spouse",MAX(0,Q13),0),0)</f>
      </c>
      <c r="R15">
        <f>IF(OR(LEFT('Inputs'!$C$13,7)="Married",'Inputs'!$C$13="Life partner",'Inputs'!$C$13="Civil Union"),SUM('Inputs'!$R$22:$R$39)*R14+SUMIFS('Inputs'!$D$59:$D$70,'Inputs'!$C$59:$C$70,"Spouse",'Inputs'!$E$59:$E$70,"&lt;&gt;No")+SUM('Inputs'!$S$76:$S$81)+IF('Inputs'!$C$14="Spouse",MAX(0,R13),0),0)</f>
      </c>
      <c r="S15">
        <f>IF(OR(LEFT('Inputs'!$C$13,7)="Married",'Inputs'!$C$13="Life partner",'Inputs'!$C$13="Civil Union"),SUM('Inputs'!$R$22:$R$39)*S14+SUMIFS('Inputs'!$D$59:$D$70,'Inputs'!$C$59:$C$70,"Spouse",'Inputs'!$E$59:$E$70,"&lt;&gt;No")+SUM('Inputs'!$S$76:$S$81)+IF('Inputs'!$C$14="Spouse",MAX(0,S13),0),0)</f>
      </c>
      <c r="T15">
        <f>IF(OR(LEFT('Inputs'!$C$13,7)="Married",'Inputs'!$C$13="Life partner",'Inputs'!$C$13="Civil Union"),SUM('Inputs'!$R$22:$R$39)*T14+SUMIFS('Inputs'!$D$59:$D$70,'Inputs'!$C$59:$C$70,"Spouse",'Inputs'!$E$59:$E$70,"&lt;&gt;No")+SUM('Inputs'!$S$76:$S$81)+IF('Inputs'!$C$14="Spouse",MAX(0,T13),0),0)</f>
      </c>
    </row>
    <row r="16" spans="2:20" x14ac:dyDescent="0.25">
      <c r="B16" t="s">
        <v>325</v>
      </c>
      <c r="C16">
        <f>ROUND('Workings'!$C$36+C11+C10-C12-(C15+'Workings'!$C$35),2)</f>
      </c>
      <c r="E16">
        <f>ROUND('Workings'!$C$36+E11+E10-E12-(E15+'Workings'!$C$35),2)</f>
      </c>
      <c r="F16">
        <f>ROUND('Workings'!$C$36+F11+F10-F12-(F15+'Workings'!$C$35),2)</f>
      </c>
      <c r="G16">
        <f>ROUND('Workings'!$C$36+G11+G10-G12-(G15+'Workings'!$C$35),2)</f>
      </c>
      <c r="H16">
        <f>ROUND('Workings'!$C$36+H11+H10-H12-(H15+'Workings'!$C$35),2)</f>
      </c>
      <c r="I16">
        <f>ROUND('Workings'!$C$36+I11+I10-I12-(I15+'Workings'!$C$35),2)</f>
      </c>
      <c r="J16">
        <f>ROUND('Workings'!$C$36+J11+J10-J12-(J15+'Workings'!$C$35),2)</f>
      </c>
      <c r="K16">
        <f>ROUND('Workings'!$C$36+K11+K10-K12-(K15+'Workings'!$C$35),2)</f>
      </c>
      <c r="L16">
        <f>ROUND('Workings'!$C$36+L11+L10-L12-(L15+'Workings'!$C$35),2)</f>
      </c>
      <c r="M16">
        <f>ROUND('Workings'!$C$36+M11+M10-M12-(M15+'Workings'!$C$35),2)</f>
      </c>
      <c r="N16">
        <f>ROUND('Workings'!$C$36+N11+N10-N12-(N15+'Workings'!$C$35),2)</f>
      </c>
      <c r="O16">
        <f>ROUND('Workings'!$C$36+O11+O10-O12-(O15+'Workings'!$C$35),2)</f>
      </c>
      <c r="P16">
        <f>ROUND('Workings'!$C$36+P11+P10-P12-(P15+'Workings'!$C$35),2)</f>
      </c>
      <c r="Q16">
        <f>ROUND('Workings'!$C$36+Q11+Q10-Q12-(Q15+'Workings'!$C$35),2)</f>
      </c>
      <c r="R16">
        <f>ROUND('Workings'!$C$36+R11+R10-R12-(R15+'Workings'!$C$35),2)</f>
      </c>
      <c r="S16">
        <f>ROUND('Workings'!$C$36+S11+S10-S12-(S15+'Workings'!$C$35),2)</f>
      </c>
      <c r="T16">
        <f>ROUND('Workings'!$C$36+T11+T10-T12-(T15+'Workings'!$C$35),2)</f>
      </c>
    </row>
    <row r="17" spans="2:20" x14ac:dyDescent="0.25">
      <c r="B17" t="s">
        <v>326</v>
      </c>
      <c r="C17">
        <f>ROUND(IF(MAX(0,C16-'Inputs'!$C$127)&lt;='Inputs'!$C$129,MAX(0,C16-'Inputs'!$C$127)*'Inputs'!$C$128/100,'Inputs'!$C$129*'Inputs'!$C$128/100+(MAX(0,C16-'Inputs'!$C$127)-'Inputs'!$C$129)*'Inputs'!$C$130/100),2)</f>
      </c>
      <c r="E17">
        <f>ROUND(IF(MAX(0,E16-'Inputs'!$C$127)&lt;='Inputs'!$C$129,MAX(0,E16-'Inputs'!$C$127)*'Inputs'!$C$128/100,'Inputs'!$C$129*'Inputs'!$C$128/100+(MAX(0,E16-'Inputs'!$C$127)-'Inputs'!$C$129)*'Inputs'!$C$130/100),2)</f>
      </c>
      <c r="F17">
        <f>ROUND(IF(MAX(0,F16-'Inputs'!$C$127)&lt;='Inputs'!$C$129,MAX(0,F16-'Inputs'!$C$127)*'Inputs'!$C$128/100,'Inputs'!$C$129*'Inputs'!$C$128/100+(MAX(0,F16-'Inputs'!$C$127)-'Inputs'!$C$129)*'Inputs'!$C$130/100),2)</f>
      </c>
      <c r="G17">
        <f>ROUND(IF(MAX(0,G16-'Inputs'!$C$127)&lt;='Inputs'!$C$129,MAX(0,G16-'Inputs'!$C$127)*'Inputs'!$C$128/100,'Inputs'!$C$129*'Inputs'!$C$128/100+(MAX(0,G16-'Inputs'!$C$127)-'Inputs'!$C$129)*'Inputs'!$C$130/100),2)</f>
      </c>
      <c r="H17">
        <f>ROUND(IF(MAX(0,H16-'Inputs'!$C$127)&lt;='Inputs'!$C$129,MAX(0,H16-'Inputs'!$C$127)*'Inputs'!$C$128/100,'Inputs'!$C$129*'Inputs'!$C$128/100+(MAX(0,H16-'Inputs'!$C$127)-'Inputs'!$C$129)*'Inputs'!$C$130/100),2)</f>
      </c>
      <c r="I17">
        <f>ROUND(IF(MAX(0,I16-'Inputs'!$C$127)&lt;='Inputs'!$C$129,MAX(0,I16-'Inputs'!$C$127)*'Inputs'!$C$128/100,'Inputs'!$C$129*'Inputs'!$C$128/100+(MAX(0,I16-'Inputs'!$C$127)-'Inputs'!$C$129)*'Inputs'!$C$130/100),2)</f>
      </c>
      <c r="J17">
        <f>ROUND(IF(MAX(0,J16-'Inputs'!$C$127)&lt;='Inputs'!$C$129,MAX(0,J16-'Inputs'!$C$127)*'Inputs'!$C$128/100,'Inputs'!$C$129*'Inputs'!$C$128/100+(MAX(0,J16-'Inputs'!$C$127)-'Inputs'!$C$129)*'Inputs'!$C$130/100),2)</f>
      </c>
      <c r="K17">
        <f>ROUND(IF(MAX(0,K16-'Inputs'!$C$127)&lt;='Inputs'!$C$129,MAX(0,K16-'Inputs'!$C$127)*'Inputs'!$C$128/100,'Inputs'!$C$129*'Inputs'!$C$128/100+(MAX(0,K16-'Inputs'!$C$127)-'Inputs'!$C$129)*'Inputs'!$C$130/100),2)</f>
      </c>
      <c r="L17">
        <f>ROUND(IF(MAX(0,L16-'Inputs'!$C$127)&lt;='Inputs'!$C$129,MAX(0,L16-'Inputs'!$C$127)*'Inputs'!$C$128/100,'Inputs'!$C$129*'Inputs'!$C$128/100+(MAX(0,L16-'Inputs'!$C$127)-'Inputs'!$C$129)*'Inputs'!$C$130/100),2)</f>
      </c>
      <c r="M17">
        <f>ROUND(IF(MAX(0,M16-'Inputs'!$C$127)&lt;='Inputs'!$C$129,MAX(0,M16-'Inputs'!$C$127)*'Inputs'!$C$128/100,'Inputs'!$C$129*'Inputs'!$C$128/100+(MAX(0,M16-'Inputs'!$C$127)-'Inputs'!$C$129)*'Inputs'!$C$130/100),2)</f>
      </c>
      <c r="N17">
        <f>ROUND(IF(MAX(0,N16-'Inputs'!$C$127)&lt;='Inputs'!$C$129,MAX(0,N16-'Inputs'!$C$127)*'Inputs'!$C$128/100,'Inputs'!$C$129*'Inputs'!$C$128/100+(MAX(0,N16-'Inputs'!$C$127)-'Inputs'!$C$129)*'Inputs'!$C$130/100),2)</f>
      </c>
      <c r="O17">
        <f>ROUND(IF(MAX(0,O16-'Inputs'!$C$127)&lt;='Inputs'!$C$129,MAX(0,O16-'Inputs'!$C$127)*'Inputs'!$C$128/100,'Inputs'!$C$129*'Inputs'!$C$128/100+(MAX(0,O16-'Inputs'!$C$127)-'Inputs'!$C$129)*'Inputs'!$C$130/100),2)</f>
      </c>
      <c r="P17">
        <f>ROUND(IF(MAX(0,P16-'Inputs'!$C$127)&lt;='Inputs'!$C$129,MAX(0,P16-'Inputs'!$C$127)*'Inputs'!$C$128/100,'Inputs'!$C$129*'Inputs'!$C$128/100+(MAX(0,P16-'Inputs'!$C$127)-'Inputs'!$C$129)*'Inputs'!$C$130/100),2)</f>
      </c>
      <c r="Q17">
        <f>ROUND(IF(MAX(0,Q16-'Inputs'!$C$127)&lt;='Inputs'!$C$129,MAX(0,Q16-'Inputs'!$C$127)*'Inputs'!$C$128/100,'Inputs'!$C$129*'Inputs'!$C$128/100+(MAX(0,Q16-'Inputs'!$C$127)-'Inputs'!$C$129)*'Inputs'!$C$130/100),2)</f>
      </c>
      <c r="R17">
        <f>ROUND(IF(MAX(0,R16-'Inputs'!$C$127)&lt;='Inputs'!$C$129,MAX(0,R16-'Inputs'!$C$127)*'Inputs'!$C$128/100,'Inputs'!$C$129*'Inputs'!$C$128/100+(MAX(0,R16-'Inputs'!$C$127)-'Inputs'!$C$129)*'Inputs'!$C$130/100),2)</f>
      </c>
      <c r="S17">
        <f>ROUND(IF(MAX(0,S16-'Inputs'!$C$127)&lt;='Inputs'!$C$129,MAX(0,S16-'Inputs'!$C$127)*'Inputs'!$C$128/100,'Inputs'!$C$129*'Inputs'!$C$128/100+(MAX(0,S16-'Inputs'!$C$127)-'Inputs'!$C$129)*'Inputs'!$C$130/100),2)</f>
      </c>
      <c r="T17">
        <f>ROUND(IF(MAX(0,T16-'Inputs'!$C$127)&lt;='Inputs'!$C$129,MAX(0,T16-'Inputs'!$C$127)*'Inputs'!$C$128/100,'Inputs'!$C$129*'Inputs'!$C$128/100+(MAX(0,T16-'Inputs'!$C$127)-'Inputs'!$C$129)*'Inputs'!$C$130/100),2)</f>
      </c>
    </row>
    <row r="18" spans="2:20" x14ac:dyDescent="0.25">
      <c r="B18" t="s">
        <v>327</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328</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329</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330</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331</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332</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333</v>
      </c>
      <c r="C24">
        <f>ROUND('Workings'!$C$63-'Workings'!$C$49+C23+C12,2)</f>
      </c>
      <c r="E24">
        <f>ROUND('Workings'!$C$63-'Workings'!$C$49+E23+E12,2)</f>
      </c>
      <c r="F24">
        <f>ROUND('Workings'!$C$63-'Workings'!$C$49+F23+F12,2)</f>
      </c>
      <c r="G24">
        <f>ROUND('Workings'!$C$63-'Workings'!$C$49+G23+G12,2)</f>
      </c>
      <c r="H24">
        <f>ROUND('Workings'!$C$63-'Workings'!$C$49+H23+H12,2)</f>
      </c>
      <c r="I24">
        <f>ROUND('Workings'!$C$63-'Workings'!$C$49+I23+I12,2)</f>
      </c>
      <c r="J24">
        <f>ROUND('Workings'!$C$63-'Workings'!$C$49+J23+J12,2)</f>
      </c>
      <c r="K24">
        <f>ROUND('Workings'!$C$63-'Workings'!$C$49+K23+K12,2)</f>
      </c>
      <c r="L24">
        <f>ROUND('Workings'!$C$63-'Workings'!$C$49+L23+L12,2)</f>
      </c>
      <c r="M24">
        <f>ROUND('Workings'!$C$63-'Workings'!$C$49+M23+M12,2)</f>
      </c>
      <c r="N24">
        <f>ROUND('Workings'!$C$63-'Workings'!$C$49+N23+N12,2)</f>
      </c>
      <c r="O24">
        <f>ROUND('Workings'!$C$63-'Workings'!$C$49+O23+O12,2)</f>
      </c>
      <c r="P24">
        <f>ROUND('Workings'!$C$63-'Workings'!$C$49+P23+P12,2)</f>
      </c>
      <c r="Q24">
        <f>ROUND('Workings'!$C$63-'Workings'!$C$49+Q23+Q12,2)</f>
      </c>
      <c r="R24">
        <f>ROUND('Workings'!$C$63-'Workings'!$C$49+R23+R12,2)</f>
      </c>
      <c r="S24">
        <f>ROUND('Workings'!$C$63-'Workings'!$C$49+S23+S12,2)</f>
      </c>
      <c r="T24">
        <f>ROUND('Workings'!$C$63-'Workings'!$C$49+T23+T12,2)</f>
      </c>
    </row>
    <row r="25" spans="2:20" x14ac:dyDescent="0.25">
      <c r="B25" t="s">
        <v>334</v>
      </c>
      <c r="C25">
        <f>ROUND('Workings'!$C$66+C10,2)</f>
      </c>
      <c r="E25">
        <f>ROUND('Workings'!$C$66+E10,2)</f>
      </c>
      <c r="F25">
        <f>ROUND('Workings'!$C$66+F10,2)</f>
      </c>
      <c r="G25">
        <f>ROUND('Workings'!$C$66+G10,2)</f>
      </c>
      <c r="H25">
        <f>ROUND('Workings'!$C$66+H10,2)</f>
      </c>
      <c r="I25">
        <f>ROUND('Workings'!$C$66+I10,2)</f>
      </c>
      <c r="J25">
        <f>ROUND('Workings'!$C$66+J10,2)</f>
      </c>
      <c r="K25">
        <f>ROUND('Workings'!$C$66+K10,2)</f>
      </c>
      <c r="L25">
        <f>ROUND('Workings'!$C$66+L10,2)</f>
      </c>
      <c r="M25">
        <f>ROUND('Workings'!$C$66+M10,2)</f>
      </c>
      <c r="N25">
        <f>ROUND('Workings'!$C$66+N10,2)</f>
      </c>
      <c r="O25">
        <f>ROUND('Workings'!$C$66+O10,2)</f>
      </c>
      <c r="P25">
        <f>ROUND('Workings'!$C$66+P10,2)</f>
      </c>
      <c r="Q25">
        <f>ROUND('Workings'!$C$66+Q10,2)</f>
      </c>
      <c r="R25">
        <f>ROUND('Workings'!$C$66+R10,2)</f>
      </c>
      <c r="S25">
        <f>ROUND('Workings'!$C$66+S10,2)</f>
      </c>
      <c r="T25">
        <f>ROUND('Workings'!$C$66+T10,2)</f>
      </c>
    </row>
    <row r="26" spans="2:20" x14ac:dyDescent="0.25">
      <c r="B26" t="s">
        <v>335</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336</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337</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338</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339</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340</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341</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342</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343</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344</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345</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346</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347</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348</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349</v>
      </c>
      <c r="C40">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0">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0">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0">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0">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0">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0">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0">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0">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0">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0">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0">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0">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0">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0">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0">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0">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1" spans="2:20" x14ac:dyDescent="0.25">
      <c r="B41" t="s">
        <v>350</v>
      </c>
      <c r="C41">
        <f>'Needs years'!$C$5+MAX(0,C40-'Needs years'!$C$10)*('Inputs'!$H$122/100*('Inputs'!$H$125/100+'Inputs'!$H$120/100*'Inputs'!$H$127/100))</f>
      </c>
      <c r="E41">
        <f>'Needs years'!$C$5+MAX(0,E40-'Needs years'!$C$10)*('Inputs'!$H$122/100*('Inputs'!$H$125/100+'Inputs'!$H$120/100*'Inputs'!$H$127/100))</f>
      </c>
      <c r="F41">
        <f>'Needs years'!$C$5+MAX(0,F40-'Needs years'!$C$10)*('Inputs'!$H$122/100*('Inputs'!$H$125/100+'Inputs'!$H$120/100*'Inputs'!$H$127/100))</f>
      </c>
      <c r="G41">
        <f>'Needs years'!$C$5+MAX(0,G40-'Needs years'!$C$10)*('Inputs'!$H$122/100*('Inputs'!$H$125/100+'Inputs'!$H$120/100*'Inputs'!$H$127/100))</f>
      </c>
      <c r="H41">
        <f>'Needs years'!$C$5+MAX(0,H40-'Needs years'!$C$10)*('Inputs'!$H$122/100*('Inputs'!$H$125/100+'Inputs'!$H$120/100*'Inputs'!$H$127/100))</f>
      </c>
      <c r="I41">
        <f>'Needs years'!$C$5+MAX(0,I40-'Needs years'!$C$10)*('Inputs'!$H$122/100*('Inputs'!$H$125/100+'Inputs'!$H$120/100*'Inputs'!$H$127/100))</f>
      </c>
      <c r="J41">
        <f>'Needs years'!$C$5+MAX(0,J40-'Needs years'!$C$10)*('Inputs'!$H$122/100*('Inputs'!$H$125/100+'Inputs'!$H$120/100*'Inputs'!$H$127/100))</f>
      </c>
      <c r="K41">
        <f>'Needs years'!$C$5+MAX(0,K40-'Needs years'!$C$10)*('Inputs'!$H$122/100*('Inputs'!$H$125/100+'Inputs'!$H$120/100*'Inputs'!$H$127/100))</f>
      </c>
      <c r="L41">
        <f>'Needs years'!$C$5+MAX(0,L40-'Needs years'!$C$10)*('Inputs'!$H$122/100*('Inputs'!$H$125/100+'Inputs'!$H$120/100*'Inputs'!$H$127/100))</f>
      </c>
      <c r="M41">
        <f>'Needs years'!$C$5+MAX(0,M40-'Needs years'!$C$10)*('Inputs'!$H$122/100*('Inputs'!$H$125/100+'Inputs'!$H$120/100*'Inputs'!$H$127/100))</f>
      </c>
      <c r="N41">
        <f>'Needs years'!$C$5+MAX(0,N40-'Needs years'!$C$10)*('Inputs'!$H$122/100*('Inputs'!$H$125/100+'Inputs'!$H$120/100*'Inputs'!$H$127/100))</f>
      </c>
      <c r="O41">
        <f>'Needs years'!$C$5+MAX(0,O40-'Needs years'!$C$10)*('Inputs'!$H$122/100*('Inputs'!$H$125/100+'Inputs'!$H$120/100*'Inputs'!$H$127/100))</f>
      </c>
      <c r="P41">
        <f>'Needs years'!$C$5+MAX(0,P40-'Needs years'!$C$10)*('Inputs'!$H$122/100*('Inputs'!$H$125/100+'Inputs'!$H$120/100*'Inputs'!$H$127/100))</f>
      </c>
      <c r="Q41">
        <f>'Needs years'!$C$5+MAX(0,Q40-'Needs years'!$C$10)*('Inputs'!$H$122/100*('Inputs'!$H$125/100+'Inputs'!$H$120/100*'Inputs'!$H$127/100))</f>
      </c>
      <c r="R41">
        <f>'Needs years'!$C$5+MAX(0,R40-'Needs years'!$C$10)*('Inputs'!$H$122/100*('Inputs'!$H$125/100+'Inputs'!$H$120/100*'Inputs'!$H$127/100))</f>
      </c>
      <c r="S41">
        <f>'Needs years'!$C$5+MAX(0,S40-'Needs years'!$C$10)*('Inputs'!$H$122/100*('Inputs'!$H$125/100+'Inputs'!$H$120/100*'Inputs'!$H$127/100))</f>
      </c>
      <c r="T41">
        <f>'Needs years'!$C$5+MAX(0,T40-'Needs years'!$C$10)*('Inputs'!$H$122/100*('Inputs'!$H$125/100+'Inputs'!$H$120/100*'Inputs'!$H$127/100))</f>
      </c>
    </row>
    <row r="42" spans="2:20" x14ac:dyDescent="0.25">
      <c r="B42" t="s">
        <v>351</v>
      </c>
      <c r="C42">
        <f>IF(C41&lt;='Needs years'!$C$4,0,INDEX('Inputs'!$E$134:$E$140,MATCH(C41,'Inputs'!$C$134:$C$140,1)-IF(COUNTIF('Inputs'!$C$134:$C$140,C41)&gt;0,1,0))/100)</f>
      </c>
      <c r="E42">
        <f>IF(E41&lt;='Needs years'!$C$4,0,INDEX('Inputs'!$E$134:$E$140,MATCH(E41,'Inputs'!$C$134:$C$140,1)-IF(COUNTIF('Inputs'!$C$134:$C$140,E41)&gt;0,1,0))/100)</f>
      </c>
      <c r="F42">
        <f>IF(F41&lt;='Needs years'!$C$4,0,INDEX('Inputs'!$E$134:$E$140,MATCH(F41,'Inputs'!$C$134:$C$140,1)-IF(COUNTIF('Inputs'!$C$134:$C$140,F41)&gt;0,1,0))/100)</f>
      </c>
      <c r="G42">
        <f>IF(G41&lt;='Needs years'!$C$4,0,INDEX('Inputs'!$E$134:$E$140,MATCH(G41,'Inputs'!$C$134:$C$140,1)-IF(COUNTIF('Inputs'!$C$134:$C$140,G41)&gt;0,1,0))/100)</f>
      </c>
      <c r="H42">
        <f>IF(H41&lt;='Needs years'!$C$4,0,INDEX('Inputs'!$E$134:$E$140,MATCH(H41,'Inputs'!$C$134:$C$140,1)-IF(COUNTIF('Inputs'!$C$134:$C$140,H41)&gt;0,1,0))/100)</f>
      </c>
      <c r="I42">
        <f>IF(I41&lt;='Needs years'!$C$4,0,INDEX('Inputs'!$E$134:$E$140,MATCH(I41,'Inputs'!$C$134:$C$140,1)-IF(COUNTIF('Inputs'!$C$134:$C$140,I41)&gt;0,1,0))/100)</f>
      </c>
      <c r="J42">
        <f>IF(J41&lt;='Needs years'!$C$4,0,INDEX('Inputs'!$E$134:$E$140,MATCH(J41,'Inputs'!$C$134:$C$140,1)-IF(COUNTIF('Inputs'!$C$134:$C$140,J41)&gt;0,1,0))/100)</f>
      </c>
      <c r="K42">
        <f>IF(K41&lt;='Needs years'!$C$4,0,INDEX('Inputs'!$E$134:$E$140,MATCH(K41,'Inputs'!$C$134:$C$140,1)-IF(COUNTIF('Inputs'!$C$134:$C$140,K41)&gt;0,1,0))/100)</f>
      </c>
      <c r="L42">
        <f>IF(L41&lt;='Needs years'!$C$4,0,INDEX('Inputs'!$E$134:$E$140,MATCH(L41,'Inputs'!$C$134:$C$140,1)-IF(COUNTIF('Inputs'!$C$134:$C$140,L41)&gt;0,1,0))/100)</f>
      </c>
      <c r="M42">
        <f>IF(M41&lt;='Needs years'!$C$4,0,INDEX('Inputs'!$E$134:$E$140,MATCH(M41,'Inputs'!$C$134:$C$140,1)-IF(COUNTIF('Inputs'!$C$134:$C$140,M41)&gt;0,1,0))/100)</f>
      </c>
      <c r="N42">
        <f>IF(N41&lt;='Needs years'!$C$4,0,INDEX('Inputs'!$E$134:$E$140,MATCH(N41,'Inputs'!$C$134:$C$140,1)-IF(COUNTIF('Inputs'!$C$134:$C$140,N41)&gt;0,1,0))/100)</f>
      </c>
      <c r="O42">
        <f>IF(O41&lt;='Needs years'!$C$4,0,INDEX('Inputs'!$E$134:$E$140,MATCH(O41,'Inputs'!$C$134:$C$140,1)-IF(COUNTIF('Inputs'!$C$134:$C$140,O41)&gt;0,1,0))/100)</f>
      </c>
      <c r="P42">
        <f>IF(P41&lt;='Needs years'!$C$4,0,INDEX('Inputs'!$E$134:$E$140,MATCH(P41,'Inputs'!$C$134:$C$140,1)-IF(COUNTIF('Inputs'!$C$134:$C$140,P41)&gt;0,1,0))/100)</f>
      </c>
      <c r="Q42">
        <f>IF(Q41&lt;='Needs years'!$C$4,0,INDEX('Inputs'!$E$134:$E$140,MATCH(Q41,'Inputs'!$C$134:$C$140,1)-IF(COUNTIF('Inputs'!$C$134:$C$140,Q41)&gt;0,1,0))/100)</f>
      </c>
      <c r="R42">
        <f>IF(R41&lt;='Needs years'!$C$4,0,INDEX('Inputs'!$E$134:$E$140,MATCH(R41,'Inputs'!$C$134:$C$140,1)-IF(COUNTIF('Inputs'!$C$134:$C$140,R41)&gt;0,1,0))/100)</f>
      </c>
      <c r="S42">
        <f>IF(S41&lt;='Needs years'!$C$4,0,INDEX('Inputs'!$E$134:$E$140,MATCH(S41,'Inputs'!$C$134:$C$140,1)-IF(COUNTIF('Inputs'!$C$134:$C$140,S41)&gt;0,1,0))/100)</f>
      </c>
      <c r="T42">
        <f>IF(T41&lt;='Needs years'!$C$4,0,INDEX('Inputs'!$E$134:$E$140,MATCH(T41,'Inputs'!$C$134:$C$140,1)-IF(COUNTIF('Inputs'!$C$134:$C$140,T41)&gt;0,1,0))/100)</f>
      </c>
    </row>
    <row r="43" spans="2:20" x14ac:dyDescent="0.25">
      <c r="B43" t="s">
        <v>352</v>
      </c>
      <c r="C43">
        <f>('Inputs'!$H$122/100*(1-('Inputs'!$H$125/100*C42+'Inputs'!$H$126/100*'Inputs'!$H$128/100+'Inputs'!$H$127/100*'Inputs'!$H$120/100*C42))-IF('Needs years'!$C$9=1,'Inputs'!$H$123/100,0))</f>
      </c>
      <c r="E43">
        <f>('Inputs'!$H$122/100*(1-('Inputs'!$H$125/100*E42+'Inputs'!$H$126/100*'Inputs'!$H$128/100+'Inputs'!$H$127/100*'Inputs'!$H$120/100*E42))-IF('Needs years'!$C$9=1,'Inputs'!$H$123/100,0))</f>
      </c>
      <c r="F43">
        <f>('Inputs'!$H$122/100*(1-('Inputs'!$H$125/100*F42+'Inputs'!$H$126/100*'Inputs'!$H$128/100+'Inputs'!$H$127/100*'Inputs'!$H$120/100*F42))-IF('Needs years'!$C$9=1,'Inputs'!$H$123/100,0))</f>
      </c>
      <c r="G43">
        <f>('Inputs'!$H$122/100*(1-('Inputs'!$H$125/100*G42+'Inputs'!$H$126/100*'Inputs'!$H$128/100+'Inputs'!$H$127/100*'Inputs'!$H$120/100*G42))-IF('Needs years'!$C$9=1,'Inputs'!$H$123/100,0))</f>
      </c>
      <c r="H43">
        <f>('Inputs'!$H$122/100*(1-('Inputs'!$H$125/100*H42+'Inputs'!$H$126/100*'Inputs'!$H$128/100+'Inputs'!$H$127/100*'Inputs'!$H$120/100*H42))-IF('Needs years'!$C$9=1,'Inputs'!$H$123/100,0))</f>
      </c>
      <c r="I43">
        <f>('Inputs'!$H$122/100*(1-('Inputs'!$H$125/100*I42+'Inputs'!$H$126/100*'Inputs'!$H$128/100+'Inputs'!$H$127/100*'Inputs'!$H$120/100*I42))-IF('Needs years'!$C$9=1,'Inputs'!$H$123/100,0))</f>
      </c>
      <c r="J43">
        <f>('Inputs'!$H$122/100*(1-('Inputs'!$H$125/100*J42+'Inputs'!$H$126/100*'Inputs'!$H$128/100+'Inputs'!$H$127/100*'Inputs'!$H$120/100*J42))-IF('Needs years'!$C$9=1,'Inputs'!$H$123/100,0))</f>
      </c>
      <c r="K43">
        <f>('Inputs'!$H$122/100*(1-('Inputs'!$H$125/100*K42+'Inputs'!$H$126/100*'Inputs'!$H$128/100+'Inputs'!$H$127/100*'Inputs'!$H$120/100*K42))-IF('Needs years'!$C$9=1,'Inputs'!$H$123/100,0))</f>
      </c>
      <c r="L43">
        <f>('Inputs'!$H$122/100*(1-('Inputs'!$H$125/100*L42+'Inputs'!$H$126/100*'Inputs'!$H$128/100+'Inputs'!$H$127/100*'Inputs'!$H$120/100*L42))-IF('Needs years'!$C$9=1,'Inputs'!$H$123/100,0))</f>
      </c>
      <c r="M43">
        <f>('Inputs'!$H$122/100*(1-('Inputs'!$H$125/100*M42+'Inputs'!$H$126/100*'Inputs'!$H$128/100+'Inputs'!$H$127/100*'Inputs'!$H$120/100*M42))-IF('Needs years'!$C$9=1,'Inputs'!$H$123/100,0))</f>
      </c>
      <c r="N43">
        <f>('Inputs'!$H$122/100*(1-('Inputs'!$H$125/100*N42+'Inputs'!$H$126/100*'Inputs'!$H$128/100+'Inputs'!$H$127/100*'Inputs'!$H$120/100*N42))-IF('Needs years'!$C$9=1,'Inputs'!$H$123/100,0))</f>
      </c>
      <c r="O43">
        <f>('Inputs'!$H$122/100*(1-('Inputs'!$H$125/100*O42+'Inputs'!$H$126/100*'Inputs'!$H$128/100+'Inputs'!$H$127/100*'Inputs'!$H$120/100*O42))-IF('Needs years'!$C$9=1,'Inputs'!$H$123/100,0))</f>
      </c>
      <c r="P43">
        <f>('Inputs'!$H$122/100*(1-('Inputs'!$H$125/100*P42+'Inputs'!$H$126/100*'Inputs'!$H$128/100+'Inputs'!$H$127/100*'Inputs'!$H$120/100*P42))-IF('Needs years'!$C$9=1,'Inputs'!$H$123/100,0))</f>
      </c>
      <c r="Q43">
        <f>('Inputs'!$H$122/100*(1-('Inputs'!$H$125/100*Q42+'Inputs'!$H$126/100*'Inputs'!$H$128/100+'Inputs'!$H$127/100*'Inputs'!$H$120/100*Q42))-IF('Needs years'!$C$9=1,'Inputs'!$H$123/100,0))</f>
      </c>
      <c r="R43">
        <f>('Inputs'!$H$122/100*(1-('Inputs'!$H$125/100*R42+'Inputs'!$H$126/100*'Inputs'!$H$128/100+'Inputs'!$H$127/100*'Inputs'!$H$120/100*R42))-IF('Needs years'!$C$9=1,'Inputs'!$H$123/100,0))</f>
      </c>
      <c r="S43">
        <f>('Inputs'!$H$122/100*(1-('Inputs'!$H$125/100*S42+'Inputs'!$H$126/100*'Inputs'!$H$128/100+'Inputs'!$H$127/100*'Inputs'!$H$120/100*S42))-IF('Needs years'!$C$9=1,'Inputs'!$H$123/100,0))</f>
      </c>
      <c r="T43">
        <f>('Inputs'!$H$122/100*(1-('Inputs'!$H$125/100*T42+'Inputs'!$H$126/100*'Inputs'!$H$128/100+'Inputs'!$H$127/100*'Inputs'!$H$120/100*T42))-IF('Needs years'!$C$9=1,'Inputs'!$H$123/100,0))</f>
      </c>
    </row>
    <row r="44" spans="2:20" x14ac:dyDescent="0.25">
      <c r="B44" t="s">
        <v>353</v>
      </c>
      <c r="C44">
        <f>IF('Inputs'!$B$100="",0,ROUND('Needs years'!$C$10+ROUND(IF(C43=0,SUM('Needs years'!$J$4:$J$53),(1-(1+C43)^-1)/(1-(1+C43)^(-1/12))/12*SUMPRODUCT('Needs years'!$J$4:$J$53,(1+C43)^(-'Needs years'!$I$4:$I$53))),2),2))</f>
      </c>
      <c r="E44">
        <f>IF('Inputs'!$B$100="",0,ROUND('Needs years'!$C$10+ROUND(IF(E43=0,SUM('Needs years'!$J$4:$J$53),(1-(1+E43)^-1)/(1-(1+E43)^(-1/12))/12*SUMPRODUCT('Needs years'!$J$4:$J$53,(1+E43)^(-'Needs years'!$I$4:$I$53))),2),2))</f>
      </c>
      <c r="F44">
        <f>IF('Inputs'!$B$100="",0,ROUND('Needs years'!$C$10+ROUND(IF(F43=0,SUM('Needs years'!$J$4:$J$53),(1-(1+F43)^-1)/(1-(1+F43)^(-1/12))/12*SUMPRODUCT('Needs years'!$J$4:$J$53,(1+F43)^(-'Needs years'!$I$4:$I$53))),2),2))</f>
      </c>
      <c r="G44">
        <f>IF('Inputs'!$B$100="",0,ROUND('Needs years'!$C$10+ROUND(IF(G43=0,SUM('Needs years'!$J$4:$J$53),(1-(1+G43)^-1)/(1-(1+G43)^(-1/12))/12*SUMPRODUCT('Needs years'!$J$4:$J$53,(1+G43)^(-'Needs years'!$I$4:$I$53))),2),2))</f>
      </c>
      <c r="H44">
        <f>IF('Inputs'!$B$100="",0,ROUND('Needs years'!$C$10+ROUND(IF(H43=0,SUM('Needs years'!$J$4:$J$53),(1-(1+H43)^-1)/(1-(1+H43)^(-1/12))/12*SUMPRODUCT('Needs years'!$J$4:$J$53,(1+H43)^(-'Needs years'!$I$4:$I$53))),2),2))</f>
      </c>
      <c r="I44">
        <f>IF('Inputs'!$B$100="",0,ROUND('Needs years'!$C$10+ROUND(IF(I43=0,SUM('Needs years'!$J$4:$J$53),(1-(1+I43)^-1)/(1-(1+I43)^(-1/12))/12*SUMPRODUCT('Needs years'!$J$4:$J$53,(1+I43)^(-'Needs years'!$I$4:$I$53))),2),2))</f>
      </c>
      <c r="J44">
        <f>IF('Inputs'!$B$100="",0,ROUND('Needs years'!$C$10+ROUND(IF(J43=0,SUM('Needs years'!$J$4:$J$53),(1-(1+J43)^-1)/(1-(1+J43)^(-1/12))/12*SUMPRODUCT('Needs years'!$J$4:$J$53,(1+J43)^(-'Needs years'!$I$4:$I$53))),2),2))</f>
      </c>
      <c r="K44">
        <f>IF('Inputs'!$B$100="",0,ROUND('Needs years'!$C$10+ROUND(IF(K43=0,SUM('Needs years'!$J$4:$J$53),(1-(1+K43)^-1)/(1-(1+K43)^(-1/12))/12*SUMPRODUCT('Needs years'!$J$4:$J$53,(1+K43)^(-'Needs years'!$I$4:$I$53))),2),2))</f>
      </c>
      <c r="L44">
        <f>IF('Inputs'!$B$100="",0,ROUND('Needs years'!$C$10+ROUND(IF(L43=0,SUM('Needs years'!$J$4:$J$53),(1-(1+L43)^-1)/(1-(1+L43)^(-1/12))/12*SUMPRODUCT('Needs years'!$J$4:$J$53,(1+L43)^(-'Needs years'!$I$4:$I$53))),2),2))</f>
      </c>
      <c r="M44">
        <f>IF('Inputs'!$B$100="",0,ROUND('Needs years'!$C$10+ROUND(IF(M43=0,SUM('Needs years'!$J$4:$J$53),(1-(1+M43)^-1)/(1-(1+M43)^(-1/12))/12*SUMPRODUCT('Needs years'!$J$4:$J$53,(1+M43)^(-'Needs years'!$I$4:$I$53))),2),2))</f>
      </c>
      <c r="N44">
        <f>IF('Inputs'!$B$100="",0,ROUND('Needs years'!$C$10+ROUND(IF(N43=0,SUM('Needs years'!$J$4:$J$53),(1-(1+N43)^-1)/(1-(1+N43)^(-1/12))/12*SUMPRODUCT('Needs years'!$J$4:$J$53,(1+N43)^(-'Needs years'!$I$4:$I$53))),2),2))</f>
      </c>
      <c r="O44">
        <f>IF('Inputs'!$B$100="",0,ROUND('Needs years'!$C$10+ROUND(IF(O43=0,SUM('Needs years'!$J$4:$J$53),(1-(1+O43)^-1)/(1-(1+O43)^(-1/12))/12*SUMPRODUCT('Needs years'!$J$4:$J$53,(1+O43)^(-'Needs years'!$I$4:$I$53))),2),2))</f>
      </c>
      <c r="P44">
        <f>IF('Inputs'!$B$100="",0,ROUND('Needs years'!$C$10+ROUND(IF(P43=0,SUM('Needs years'!$J$4:$J$53),(1-(1+P43)^-1)/(1-(1+P43)^(-1/12))/12*SUMPRODUCT('Needs years'!$J$4:$J$53,(1+P43)^(-'Needs years'!$I$4:$I$53))),2),2))</f>
      </c>
      <c r="Q44">
        <f>IF('Inputs'!$B$100="",0,ROUND('Needs years'!$C$10+ROUND(IF(Q43=0,SUM('Needs years'!$J$4:$J$53),(1-(1+Q43)^-1)/(1-(1+Q43)^(-1/12))/12*SUMPRODUCT('Needs years'!$J$4:$J$53,(1+Q43)^(-'Needs years'!$I$4:$I$53))),2),2))</f>
      </c>
      <c r="R44">
        <f>IF('Inputs'!$B$100="",0,ROUND('Needs years'!$C$10+ROUND(IF(R43=0,SUM('Needs years'!$J$4:$J$53),(1-(1+R43)^-1)/(1-(1+R43)^(-1/12))/12*SUMPRODUCT('Needs years'!$J$4:$J$53,(1+R43)^(-'Needs years'!$I$4:$I$53))),2),2))</f>
      </c>
      <c r="S44">
        <f>IF('Inputs'!$B$100="",0,ROUND('Needs years'!$C$10+ROUND(IF(S43=0,SUM('Needs years'!$J$4:$J$53),(1-(1+S43)^-1)/(1-(1+S43)^(-1/12))/12*SUMPRODUCT('Needs years'!$J$4:$J$53,(1+S43)^(-'Needs years'!$I$4:$I$53))),2),2))</f>
      </c>
      <c r="T44">
        <f>IF('Inputs'!$B$100="",0,ROUND('Needs years'!$C$10+ROUND(IF(T43=0,SUM('Needs years'!$J$4:$J$53),(1-(1+T43)^-1)/(1-(1+T43)^(-1/12))/12*SUMPRODUCT('Needs years'!$J$4:$J$53,(1+T43)^(-'Needs years'!$I$4:$I$53))),2),2))</f>
      </c>
    </row>
    <row r="45" spans="2:20" x14ac:dyDescent="0.25">
      <c r="B45" t="s">
        <v>354</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355</v>
      </c>
      <c r="C46">
        <f>IF('Inputs'!$B$100="",0,'Needs years'!$C$16+IF((C44-'Needs years'!$C$10)&gt;0,MAX(0,C40-'Needs years'!$C$10)/(C44-'Needs years'!$C$10)*'Needs years'!$J$4/12,0))</f>
      </c>
      <c r="E46">
        <f>IF('Inputs'!$B$100="",0,'Needs years'!$C$16+IF((E44-'Needs years'!$C$10)&gt;0,MAX(0,E40-'Needs years'!$C$10)/(E44-'Needs years'!$C$10)*'Needs years'!$J$4/12,0))</f>
      </c>
      <c r="F46">
        <f>IF('Inputs'!$B$100="",0,'Needs years'!$C$16+IF((F44-'Needs years'!$C$10)&gt;0,MAX(0,F40-'Needs years'!$C$10)/(F44-'Needs years'!$C$10)*'Needs years'!$J$4/12,0))</f>
      </c>
      <c r="G46">
        <f>IF('Inputs'!$B$100="",0,'Needs years'!$C$16+IF((G44-'Needs years'!$C$10)&gt;0,MAX(0,G40-'Needs years'!$C$10)/(G44-'Needs years'!$C$10)*'Needs years'!$J$4/12,0))</f>
      </c>
      <c r="H46">
        <f>IF('Inputs'!$B$100="",0,'Needs years'!$C$16+IF((H44-'Needs years'!$C$10)&gt;0,MAX(0,H40-'Needs years'!$C$10)/(H44-'Needs years'!$C$10)*'Needs years'!$J$4/12,0))</f>
      </c>
      <c r="I46">
        <f>IF('Inputs'!$B$100="",0,'Needs years'!$C$16+IF((I44-'Needs years'!$C$10)&gt;0,MAX(0,I40-'Needs years'!$C$10)/(I44-'Needs years'!$C$10)*'Needs years'!$J$4/12,0))</f>
      </c>
      <c r="J46">
        <f>IF('Inputs'!$B$100="",0,'Needs years'!$C$16+IF((J44-'Needs years'!$C$10)&gt;0,MAX(0,J40-'Needs years'!$C$10)/(J44-'Needs years'!$C$10)*'Needs years'!$J$4/12,0))</f>
      </c>
      <c r="K46">
        <f>IF('Inputs'!$B$100="",0,'Needs years'!$C$16+IF((K44-'Needs years'!$C$10)&gt;0,MAX(0,K40-'Needs years'!$C$10)/(K44-'Needs years'!$C$10)*'Needs years'!$J$4/12,0))</f>
      </c>
      <c r="L46">
        <f>IF('Inputs'!$B$100="",0,'Needs years'!$C$16+IF((L44-'Needs years'!$C$10)&gt;0,MAX(0,L40-'Needs years'!$C$10)/(L44-'Needs years'!$C$10)*'Needs years'!$J$4/12,0))</f>
      </c>
      <c r="M46">
        <f>IF('Inputs'!$B$100="",0,'Needs years'!$C$16+IF((M44-'Needs years'!$C$10)&gt;0,MAX(0,M40-'Needs years'!$C$10)/(M44-'Needs years'!$C$10)*'Needs years'!$J$4/12,0))</f>
      </c>
      <c r="N46">
        <f>IF('Inputs'!$B$100="",0,'Needs years'!$C$16+IF((N44-'Needs years'!$C$10)&gt;0,MAX(0,N40-'Needs years'!$C$10)/(N44-'Needs years'!$C$10)*'Needs years'!$J$4/12,0))</f>
      </c>
      <c r="O46">
        <f>IF('Inputs'!$B$100="",0,'Needs years'!$C$16+IF((O44-'Needs years'!$C$10)&gt;0,MAX(0,O40-'Needs years'!$C$10)/(O44-'Needs years'!$C$10)*'Needs years'!$J$4/12,0))</f>
      </c>
      <c r="P46">
        <f>IF('Inputs'!$B$100="",0,'Needs years'!$C$16+IF((P44-'Needs years'!$C$10)&gt;0,MAX(0,P40-'Needs years'!$C$10)/(P44-'Needs years'!$C$10)*'Needs years'!$J$4/12,0))</f>
      </c>
      <c r="Q46">
        <f>IF('Inputs'!$B$100="",0,'Needs years'!$C$16+IF((Q44-'Needs years'!$C$10)&gt;0,MAX(0,Q40-'Needs years'!$C$10)/(Q44-'Needs years'!$C$10)*'Needs years'!$J$4/12,0))</f>
      </c>
      <c r="R46">
        <f>IF('Inputs'!$B$100="",0,'Needs years'!$C$16+IF((R44-'Needs years'!$C$10)&gt;0,MAX(0,R40-'Needs years'!$C$10)/(R44-'Needs years'!$C$10)*'Needs years'!$J$4/12,0))</f>
      </c>
      <c r="S46">
        <f>IF('Inputs'!$B$100="",0,'Needs years'!$C$16+IF((S44-'Needs years'!$C$10)&gt;0,MAX(0,S40-'Needs years'!$C$10)/(S44-'Needs years'!$C$10)*'Needs years'!$J$4/12,0))</f>
      </c>
      <c r="T46">
        <f>IF('Inputs'!$B$100="",0,'Needs years'!$C$16+IF((T44-'Needs years'!$C$10)&gt;0,MAX(0,T40-'Needs years'!$C$10)/(T44-'Needs years'!$C$10)*'Needs years'!$J$4/12,0))</f>
      </c>
    </row>
    <row r="47" spans="2:20" x14ac:dyDescent="0.25">
      <c r="B47" t="s">
        <v>356</v>
      </c>
      <c r="C47">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47">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47">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47">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47">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47">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47">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47">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47">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47">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47">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47">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47">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47">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47">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47">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47">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48" spans="2:20" x14ac:dyDescent="0.25">
      <c r="B48" t="s">
        <v>357</v>
      </c>
      <c r="C48">
        <f>'Needs years'!$C$61+MAX(0,C47-'Needs years'!$C$66)*('Inputs'!$H$122/100*('Inputs'!$H$125/100+'Inputs'!$H$120/100*'Inputs'!$H$127/100))</f>
      </c>
      <c r="E48">
        <f>'Needs years'!$C$61+MAX(0,E47-'Needs years'!$C$66)*('Inputs'!$H$122/100*('Inputs'!$H$125/100+'Inputs'!$H$120/100*'Inputs'!$H$127/100))</f>
      </c>
      <c r="F48">
        <f>'Needs years'!$C$61+MAX(0,F47-'Needs years'!$C$66)*('Inputs'!$H$122/100*('Inputs'!$H$125/100+'Inputs'!$H$120/100*'Inputs'!$H$127/100))</f>
      </c>
      <c r="G48">
        <f>'Needs years'!$C$61+MAX(0,G47-'Needs years'!$C$66)*('Inputs'!$H$122/100*('Inputs'!$H$125/100+'Inputs'!$H$120/100*'Inputs'!$H$127/100))</f>
      </c>
      <c r="H48">
        <f>'Needs years'!$C$61+MAX(0,H47-'Needs years'!$C$66)*('Inputs'!$H$122/100*('Inputs'!$H$125/100+'Inputs'!$H$120/100*'Inputs'!$H$127/100))</f>
      </c>
      <c r="I48">
        <f>'Needs years'!$C$61+MAX(0,I47-'Needs years'!$C$66)*('Inputs'!$H$122/100*('Inputs'!$H$125/100+'Inputs'!$H$120/100*'Inputs'!$H$127/100))</f>
      </c>
      <c r="J48">
        <f>'Needs years'!$C$61+MAX(0,J47-'Needs years'!$C$66)*('Inputs'!$H$122/100*('Inputs'!$H$125/100+'Inputs'!$H$120/100*'Inputs'!$H$127/100))</f>
      </c>
      <c r="K48">
        <f>'Needs years'!$C$61+MAX(0,K47-'Needs years'!$C$66)*('Inputs'!$H$122/100*('Inputs'!$H$125/100+'Inputs'!$H$120/100*'Inputs'!$H$127/100))</f>
      </c>
      <c r="L48">
        <f>'Needs years'!$C$61+MAX(0,L47-'Needs years'!$C$66)*('Inputs'!$H$122/100*('Inputs'!$H$125/100+'Inputs'!$H$120/100*'Inputs'!$H$127/100))</f>
      </c>
      <c r="M48">
        <f>'Needs years'!$C$61+MAX(0,M47-'Needs years'!$C$66)*('Inputs'!$H$122/100*('Inputs'!$H$125/100+'Inputs'!$H$120/100*'Inputs'!$H$127/100))</f>
      </c>
      <c r="N48">
        <f>'Needs years'!$C$61+MAX(0,N47-'Needs years'!$C$66)*('Inputs'!$H$122/100*('Inputs'!$H$125/100+'Inputs'!$H$120/100*'Inputs'!$H$127/100))</f>
      </c>
      <c r="O48">
        <f>'Needs years'!$C$61+MAX(0,O47-'Needs years'!$C$66)*('Inputs'!$H$122/100*('Inputs'!$H$125/100+'Inputs'!$H$120/100*'Inputs'!$H$127/100))</f>
      </c>
      <c r="P48">
        <f>'Needs years'!$C$61+MAX(0,P47-'Needs years'!$C$66)*('Inputs'!$H$122/100*('Inputs'!$H$125/100+'Inputs'!$H$120/100*'Inputs'!$H$127/100))</f>
      </c>
      <c r="Q48">
        <f>'Needs years'!$C$61+MAX(0,Q47-'Needs years'!$C$66)*('Inputs'!$H$122/100*('Inputs'!$H$125/100+'Inputs'!$H$120/100*'Inputs'!$H$127/100))</f>
      </c>
      <c r="R48">
        <f>'Needs years'!$C$61+MAX(0,R47-'Needs years'!$C$66)*('Inputs'!$H$122/100*('Inputs'!$H$125/100+'Inputs'!$H$120/100*'Inputs'!$H$127/100))</f>
      </c>
      <c r="S48">
        <f>'Needs years'!$C$61+MAX(0,S47-'Needs years'!$C$66)*('Inputs'!$H$122/100*('Inputs'!$H$125/100+'Inputs'!$H$120/100*'Inputs'!$H$127/100))</f>
      </c>
      <c r="T48">
        <f>'Needs years'!$C$61+MAX(0,T47-'Needs years'!$C$66)*('Inputs'!$H$122/100*('Inputs'!$H$125/100+'Inputs'!$H$120/100*'Inputs'!$H$127/100))</f>
      </c>
    </row>
    <row r="49" spans="2:20" x14ac:dyDescent="0.25">
      <c r="B49" t="s">
        <v>358</v>
      </c>
      <c r="C49">
        <f>IF(C48&lt;='Needs years'!$C$60,0,INDEX('Inputs'!$E$134:$E$140,MATCH(C48,'Inputs'!$C$134:$C$140,1)-IF(COUNTIF('Inputs'!$C$134:$C$140,C48)&gt;0,1,0))/100)</f>
      </c>
      <c r="E49">
        <f>IF(E48&lt;='Needs years'!$C$60,0,INDEX('Inputs'!$E$134:$E$140,MATCH(E48,'Inputs'!$C$134:$C$140,1)-IF(COUNTIF('Inputs'!$C$134:$C$140,E48)&gt;0,1,0))/100)</f>
      </c>
      <c r="F49">
        <f>IF(F48&lt;='Needs years'!$C$60,0,INDEX('Inputs'!$E$134:$E$140,MATCH(F48,'Inputs'!$C$134:$C$140,1)-IF(COUNTIF('Inputs'!$C$134:$C$140,F48)&gt;0,1,0))/100)</f>
      </c>
      <c r="G49">
        <f>IF(G48&lt;='Needs years'!$C$60,0,INDEX('Inputs'!$E$134:$E$140,MATCH(G48,'Inputs'!$C$134:$C$140,1)-IF(COUNTIF('Inputs'!$C$134:$C$140,G48)&gt;0,1,0))/100)</f>
      </c>
      <c r="H49">
        <f>IF(H48&lt;='Needs years'!$C$60,0,INDEX('Inputs'!$E$134:$E$140,MATCH(H48,'Inputs'!$C$134:$C$140,1)-IF(COUNTIF('Inputs'!$C$134:$C$140,H48)&gt;0,1,0))/100)</f>
      </c>
      <c r="I49">
        <f>IF(I48&lt;='Needs years'!$C$60,0,INDEX('Inputs'!$E$134:$E$140,MATCH(I48,'Inputs'!$C$134:$C$140,1)-IF(COUNTIF('Inputs'!$C$134:$C$140,I48)&gt;0,1,0))/100)</f>
      </c>
      <c r="J49">
        <f>IF(J48&lt;='Needs years'!$C$60,0,INDEX('Inputs'!$E$134:$E$140,MATCH(J48,'Inputs'!$C$134:$C$140,1)-IF(COUNTIF('Inputs'!$C$134:$C$140,J48)&gt;0,1,0))/100)</f>
      </c>
      <c r="K49">
        <f>IF(K48&lt;='Needs years'!$C$60,0,INDEX('Inputs'!$E$134:$E$140,MATCH(K48,'Inputs'!$C$134:$C$140,1)-IF(COUNTIF('Inputs'!$C$134:$C$140,K48)&gt;0,1,0))/100)</f>
      </c>
      <c r="L49">
        <f>IF(L48&lt;='Needs years'!$C$60,0,INDEX('Inputs'!$E$134:$E$140,MATCH(L48,'Inputs'!$C$134:$C$140,1)-IF(COUNTIF('Inputs'!$C$134:$C$140,L48)&gt;0,1,0))/100)</f>
      </c>
      <c r="M49">
        <f>IF(M48&lt;='Needs years'!$C$60,0,INDEX('Inputs'!$E$134:$E$140,MATCH(M48,'Inputs'!$C$134:$C$140,1)-IF(COUNTIF('Inputs'!$C$134:$C$140,M48)&gt;0,1,0))/100)</f>
      </c>
      <c r="N49">
        <f>IF(N48&lt;='Needs years'!$C$60,0,INDEX('Inputs'!$E$134:$E$140,MATCH(N48,'Inputs'!$C$134:$C$140,1)-IF(COUNTIF('Inputs'!$C$134:$C$140,N48)&gt;0,1,0))/100)</f>
      </c>
      <c r="O49">
        <f>IF(O48&lt;='Needs years'!$C$60,0,INDEX('Inputs'!$E$134:$E$140,MATCH(O48,'Inputs'!$C$134:$C$140,1)-IF(COUNTIF('Inputs'!$C$134:$C$140,O48)&gt;0,1,0))/100)</f>
      </c>
      <c r="P49">
        <f>IF(P48&lt;='Needs years'!$C$60,0,INDEX('Inputs'!$E$134:$E$140,MATCH(P48,'Inputs'!$C$134:$C$140,1)-IF(COUNTIF('Inputs'!$C$134:$C$140,P48)&gt;0,1,0))/100)</f>
      </c>
      <c r="Q49">
        <f>IF(Q48&lt;='Needs years'!$C$60,0,INDEX('Inputs'!$E$134:$E$140,MATCH(Q48,'Inputs'!$C$134:$C$140,1)-IF(COUNTIF('Inputs'!$C$134:$C$140,Q48)&gt;0,1,0))/100)</f>
      </c>
      <c r="R49">
        <f>IF(R48&lt;='Needs years'!$C$60,0,INDEX('Inputs'!$E$134:$E$140,MATCH(R48,'Inputs'!$C$134:$C$140,1)-IF(COUNTIF('Inputs'!$C$134:$C$140,R48)&gt;0,1,0))/100)</f>
      </c>
      <c r="S49">
        <f>IF(S48&lt;='Needs years'!$C$60,0,INDEX('Inputs'!$E$134:$E$140,MATCH(S48,'Inputs'!$C$134:$C$140,1)-IF(COUNTIF('Inputs'!$C$134:$C$140,S48)&gt;0,1,0))/100)</f>
      </c>
      <c r="T49">
        <f>IF(T48&lt;='Needs years'!$C$60,0,INDEX('Inputs'!$E$134:$E$140,MATCH(T48,'Inputs'!$C$134:$C$140,1)-IF(COUNTIF('Inputs'!$C$134:$C$140,T48)&gt;0,1,0))/100)</f>
      </c>
    </row>
    <row r="50" spans="2:20" x14ac:dyDescent="0.25">
      <c r="B50" t="s">
        <v>359</v>
      </c>
      <c r="C50">
        <f>('Inputs'!$H$122/100*(1-('Inputs'!$H$125/100*C49+'Inputs'!$H$126/100*'Inputs'!$H$128/100+'Inputs'!$H$127/100*'Inputs'!$H$120/100*C49))-IF('Needs years'!$C$65=1,'Inputs'!$H$123/100,0))</f>
      </c>
      <c r="E50">
        <f>('Inputs'!$H$122/100*(1-('Inputs'!$H$125/100*E49+'Inputs'!$H$126/100*'Inputs'!$H$128/100+'Inputs'!$H$127/100*'Inputs'!$H$120/100*E49))-IF('Needs years'!$C$65=1,'Inputs'!$H$123/100,0))</f>
      </c>
      <c r="F50">
        <f>('Inputs'!$H$122/100*(1-('Inputs'!$H$125/100*F49+'Inputs'!$H$126/100*'Inputs'!$H$128/100+'Inputs'!$H$127/100*'Inputs'!$H$120/100*F49))-IF('Needs years'!$C$65=1,'Inputs'!$H$123/100,0))</f>
      </c>
      <c r="G50">
        <f>('Inputs'!$H$122/100*(1-('Inputs'!$H$125/100*G49+'Inputs'!$H$126/100*'Inputs'!$H$128/100+'Inputs'!$H$127/100*'Inputs'!$H$120/100*G49))-IF('Needs years'!$C$65=1,'Inputs'!$H$123/100,0))</f>
      </c>
      <c r="H50">
        <f>('Inputs'!$H$122/100*(1-('Inputs'!$H$125/100*H49+'Inputs'!$H$126/100*'Inputs'!$H$128/100+'Inputs'!$H$127/100*'Inputs'!$H$120/100*H49))-IF('Needs years'!$C$65=1,'Inputs'!$H$123/100,0))</f>
      </c>
      <c r="I50">
        <f>('Inputs'!$H$122/100*(1-('Inputs'!$H$125/100*I49+'Inputs'!$H$126/100*'Inputs'!$H$128/100+'Inputs'!$H$127/100*'Inputs'!$H$120/100*I49))-IF('Needs years'!$C$65=1,'Inputs'!$H$123/100,0))</f>
      </c>
      <c r="J50">
        <f>('Inputs'!$H$122/100*(1-('Inputs'!$H$125/100*J49+'Inputs'!$H$126/100*'Inputs'!$H$128/100+'Inputs'!$H$127/100*'Inputs'!$H$120/100*J49))-IF('Needs years'!$C$65=1,'Inputs'!$H$123/100,0))</f>
      </c>
      <c r="K50">
        <f>('Inputs'!$H$122/100*(1-('Inputs'!$H$125/100*K49+'Inputs'!$H$126/100*'Inputs'!$H$128/100+'Inputs'!$H$127/100*'Inputs'!$H$120/100*K49))-IF('Needs years'!$C$65=1,'Inputs'!$H$123/100,0))</f>
      </c>
      <c r="L50">
        <f>('Inputs'!$H$122/100*(1-('Inputs'!$H$125/100*L49+'Inputs'!$H$126/100*'Inputs'!$H$128/100+'Inputs'!$H$127/100*'Inputs'!$H$120/100*L49))-IF('Needs years'!$C$65=1,'Inputs'!$H$123/100,0))</f>
      </c>
      <c r="M50">
        <f>('Inputs'!$H$122/100*(1-('Inputs'!$H$125/100*M49+'Inputs'!$H$126/100*'Inputs'!$H$128/100+'Inputs'!$H$127/100*'Inputs'!$H$120/100*M49))-IF('Needs years'!$C$65=1,'Inputs'!$H$123/100,0))</f>
      </c>
      <c r="N50">
        <f>('Inputs'!$H$122/100*(1-('Inputs'!$H$125/100*N49+'Inputs'!$H$126/100*'Inputs'!$H$128/100+'Inputs'!$H$127/100*'Inputs'!$H$120/100*N49))-IF('Needs years'!$C$65=1,'Inputs'!$H$123/100,0))</f>
      </c>
      <c r="O50">
        <f>('Inputs'!$H$122/100*(1-('Inputs'!$H$125/100*O49+'Inputs'!$H$126/100*'Inputs'!$H$128/100+'Inputs'!$H$127/100*'Inputs'!$H$120/100*O49))-IF('Needs years'!$C$65=1,'Inputs'!$H$123/100,0))</f>
      </c>
      <c r="P50">
        <f>('Inputs'!$H$122/100*(1-('Inputs'!$H$125/100*P49+'Inputs'!$H$126/100*'Inputs'!$H$128/100+'Inputs'!$H$127/100*'Inputs'!$H$120/100*P49))-IF('Needs years'!$C$65=1,'Inputs'!$H$123/100,0))</f>
      </c>
      <c r="Q50">
        <f>('Inputs'!$H$122/100*(1-('Inputs'!$H$125/100*Q49+'Inputs'!$H$126/100*'Inputs'!$H$128/100+'Inputs'!$H$127/100*'Inputs'!$H$120/100*Q49))-IF('Needs years'!$C$65=1,'Inputs'!$H$123/100,0))</f>
      </c>
      <c r="R50">
        <f>('Inputs'!$H$122/100*(1-('Inputs'!$H$125/100*R49+'Inputs'!$H$126/100*'Inputs'!$H$128/100+'Inputs'!$H$127/100*'Inputs'!$H$120/100*R49))-IF('Needs years'!$C$65=1,'Inputs'!$H$123/100,0))</f>
      </c>
      <c r="S50">
        <f>('Inputs'!$H$122/100*(1-('Inputs'!$H$125/100*S49+'Inputs'!$H$126/100*'Inputs'!$H$128/100+'Inputs'!$H$127/100*'Inputs'!$H$120/100*S49))-IF('Needs years'!$C$65=1,'Inputs'!$H$123/100,0))</f>
      </c>
      <c r="T50">
        <f>('Inputs'!$H$122/100*(1-('Inputs'!$H$125/100*T49+'Inputs'!$H$126/100*'Inputs'!$H$128/100+'Inputs'!$H$127/100*'Inputs'!$H$120/100*T49))-IF('Needs years'!$C$65=1,'Inputs'!$H$123/100,0))</f>
      </c>
    </row>
    <row r="51" spans="2:20" x14ac:dyDescent="0.25">
      <c r="B51" t="s">
        <v>360</v>
      </c>
      <c r="C51">
        <f>IF('Inputs'!$B$101="",0,ROUND('Needs years'!$C$66+ROUND(IF(C50=0,SUM('Needs years'!$J$60:$J$109),(1-(1+C50)^-1)/(1-(1+C50)^(-1/12))/12*SUMPRODUCT('Needs years'!$J$60:$J$109,(1+C50)^(-'Needs years'!$I$60:$I$109))),2),2))</f>
      </c>
      <c r="E51">
        <f>IF('Inputs'!$B$101="",0,ROUND('Needs years'!$C$66+ROUND(IF(E50=0,SUM('Needs years'!$J$60:$J$109),(1-(1+E50)^-1)/(1-(1+E50)^(-1/12))/12*SUMPRODUCT('Needs years'!$J$60:$J$109,(1+E50)^(-'Needs years'!$I$60:$I$109))),2),2))</f>
      </c>
      <c r="F51">
        <f>IF('Inputs'!$B$101="",0,ROUND('Needs years'!$C$66+ROUND(IF(F50=0,SUM('Needs years'!$J$60:$J$109),(1-(1+F50)^-1)/(1-(1+F50)^(-1/12))/12*SUMPRODUCT('Needs years'!$J$60:$J$109,(1+F50)^(-'Needs years'!$I$60:$I$109))),2),2))</f>
      </c>
      <c r="G51">
        <f>IF('Inputs'!$B$101="",0,ROUND('Needs years'!$C$66+ROUND(IF(G50=0,SUM('Needs years'!$J$60:$J$109),(1-(1+G50)^-1)/(1-(1+G50)^(-1/12))/12*SUMPRODUCT('Needs years'!$J$60:$J$109,(1+G50)^(-'Needs years'!$I$60:$I$109))),2),2))</f>
      </c>
      <c r="H51">
        <f>IF('Inputs'!$B$101="",0,ROUND('Needs years'!$C$66+ROUND(IF(H50=0,SUM('Needs years'!$J$60:$J$109),(1-(1+H50)^-1)/(1-(1+H50)^(-1/12))/12*SUMPRODUCT('Needs years'!$J$60:$J$109,(1+H50)^(-'Needs years'!$I$60:$I$109))),2),2))</f>
      </c>
      <c r="I51">
        <f>IF('Inputs'!$B$101="",0,ROUND('Needs years'!$C$66+ROUND(IF(I50=0,SUM('Needs years'!$J$60:$J$109),(1-(1+I50)^-1)/(1-(1+I50)^(-1/12))/12*SUMPRODUCT('Needs years'!$J$60:$J$109,(1+I50)^(-'Needs years'!$I$60:$I$109))),2),2))</f>
      </c>
      <c r="J51">
        <f>IF('Inputs'!$B$101="",0,ROUND('Needs years'!$C$66+ROUND(IF(J50=0,SUM('Needs years'!$J$60:$J$109),(1-(1+J50)^-1)/(1-(1+J50)^(-1/12))/12*SUMPRODUCT('Needs years'!$J$60:$J$109,(1+J50)^(-'Needs years'!$I$60:$I$109))),2),2))</f>
      </c>
      <c r="K51">
        <f>IF('Inputs'!$B$101="",0,ROUND('Needs years'!$C$66+ROUND(IF(K50=0,SUM('Needs years'!$J$60:$J$109),(1-(1+K50)^-1)/(1-(1+K50)^(-1/12))/12*SUMPRODUCT('Needs years'!$J$60:$J$109,(1+K50)^(-'Needs years'!$I$60:$I$109))),2),2))</f>
      </c>
      <c r="L51">
        <f>IF('Inputs'!$B$101="",0,ROUND('Needs years'!$C$66+ROUND(IF(L50=0,SUM('Needs years'!$J$60:$J$109),(1-(1+L50)^-1)/(1-(1+L50)^(-1/12))/12*SUMPRODUCT('Needs years'!$J$60:$J$109,(1+L50)^(-'Needs years'!$I$60:$I$109))),2),2))</f>
      </c>
      <c r="M51">
        <f>IF('Inputs'!$B$101="",0,ROUND('Needs years'!$C$66+ROUND(IF(M50=0,SUM('Needs years'!$J$60:$J$109),(1-(1+M50)^-1)/(1-(1+M50)^(-1/12))/12*SUMPRODUCT('Needs years'!$J$60:$J$109,(1+M50)^(-'Needs years'!$I$60:$I$109))),2),2))</f>
      </c>
      <c r="N51">
        <f>IF('Inputs'!$B$101="",0,ROUND('Needs years'!$C$66+ROUND(IF(N50=0,SUM('Needs years'!$J$60:$J$109),(1-(1+N50)^-1)/(1-(1+N50)^(-1/12))/12*SUMPRODUCT('Needs years'!$J$60:$J$109,(1+N50)^(-'Needs years'!$I$60:$I$109))),2),2))</f>
      </c>
      <c r="O51">
        <f>IF('Inputs'!$B$101="",0,ROUND('Needs years'!$C$66+ROUND(IF(O50=0,SUM('Needs years'!$J$60:$J$109),(1-(1+O50)^-1)/(1-(1+O50)^(-1/12))/12*SUMPRODUCT('Needs years'!$J$60:$J$109,(1+O50)^(-'Needs years'!$I$60:$I$109))),2),2))</f>
      </c>
      <c r="P51">
        <f>IF('Inputs'!$B$101="",0,ROUND('Needs years'!$C$66+ROUND(IF(P50=0,SUM('Needs years'!$J$60:$J$109),(1-(1+P50)^-1)/(1-(1+P50)^(-1/12))/12*SUMPRODUCT('Needs years'!$J$60:$J$109,(1+P50)^(-'Needs years'!$I$60:$I$109))),2),2))</f>
      </c>
      <c r="Q51">
        <f>IF('Inputs'!$B$101="",0,ROUND('Needs years'!$C$66+ROUND(IF(Q50=0,SUM('Needs years'!$J$60:$J$109),(1-(1+Q50)^-1)/(1-(1+Q50)^(-1/12))/12*SUMPRODUCT('Needs years'!$J$60:$J$109,(1+Q50)^(-'Needs years'!$I$60:$I$109))),2),2))</f>
      </c>
      <c r="R51">
        <f>IF('Inputs'!$B$101="",0,ROUND('Needs years'!$C$66+ROUND(IF(R50=0,SUM('Needs years'!$J$60:$J$109),(1-(1+R50)^-1)/(1-(1+R50)^(-1/12))/12*SUMPRODUCT('Needs years'!$J$60:$J$109,(1+R50)^(-'Needs years'!$I$60:$I$109))),2),2))</f>
      </c>
      <c r="S51">
        <f>IF('Inputs'!$B$101="",0,ROUND('Needs years'!$C$66+ROUND(IF(S50=0,SUM('Needs years'!$J$60:$J$109),(1-(1+S50)^-1)/(1-(1+S50)^(-1/12))/12*SUMPRODUCT('Needs years'!$J$60:$J$109,(1+S50)^(-'Needs years'!$I$60:$I$109))),2),2))</f>
      </c>
      <c r="T51">
        <f>IF('Inputs'!$B$101="",0,ROUND('Needs years'!$C$66+ROUND(IF(T50=0,SUM('Needs years'!$J$60:$J$109),(1-(1+T50)^-1)/(1-(1+T50)^(-1/12))/12*SUMPRODUCT('Needs years'!$J$60:$J$109,(1+T50)^(-'Needs years'!$I$60:$I$109))),2),2))</f>
      </c>
    </row>
    <row r="52" spans="2:20" x14ac:dyDescent="0.25">
      <c r="B52" t="s">
        <v>361</v>
      </c>
      <c r="C52">
        <f>IF('Inputs'!$B$101="",0,ROUND(C51-C47,2))</f>
      </c>
      <c r="E52">
        <f>IF('Inputs'!$B$101="",0,ROUND(E51-E47,2))</f>
      </c>
      <c r="F52">
        <f>IF('Inputs'!$B$101="",0,ROUND(F51-F47,2))</f>
      </c>
      <c r="G52">
        <f>IF('Inputs'!$B$101="",0,ROUND(G51-G47,2))</f>
      </c>
      <c r="H52">
        <f>IF('Inputs'!$B$101="",0,ROUND(H51-H47,2))</f>
      </c>
      <c r="I52">
        <f>IF('Inputs'!$B$101="",0,ROUND(I51-I47,2))</f>
      </c>
      <c r="J52">
        <f>IF('Inputs'!$B$101="",0,ROUND(J51-J47,2))</f>
      </c>
      <c r="K52">
        <f>IF('Inputs'!$B$101="",0,ROUND(K51-K47,2))</f>
      </c>
      <c r="L52">
        <f>IF('Inputs'!$B$101="",0,ROUND(L51-L47,2))</f>
      </c>
      <c r="M52">
        <f>IF('Inputs'!$B$101="",0,ROUND(M51-M47,2))</f>
      </c>
      <c r="N52">
        <f>IF('Inputs'!$B$101="",0,ROUND(N51-N47,2))</f>
      </c>
      <c r="O52">
        <f>IF('Inputs'!$B$101="",0,ROUND(O51-O47,2))</f>
      </c>
      <c r="P52">
        <f>IF('Inputs'!$B$101="",0,ROUND(P51-P47,2))</f>
      </c>
      <c r="Q52">
        <f>IF('Inputs'!$B$101="",0,ROUND(Q51-Q47,2))</f>
      </c>
      <c r="R52">
        <f>IF('Inputs'!$B$101="",0,ROUND(R51-R47,2))</f>
      </c>
      <c r="S52">
        <f>IF('Inputs'!$B$101="",0,ROUND(S51-S47,2))</f>
      </c>
      <c r="T52">
        <f>IF('Inputs'!$B$101="",0,ROUND(T51-T47,2))</f>
      </c>
    </row>
    <row r="53" spans="2:20" x14ac:dyDescent="0.25">
      <c r="B53" t="s">
        <v>362</v>
      </c>
      <c r="C53">
        <f>IF('Inputs'!$B$101="",0,'Needs years'!$C$72+IF((C51-'Needs years'!$C$66)&gt;0,MAX(0,C47-'Needs years'!$C$66)/(C51-'Needs years'!$C$66)*'Needs years'!$J$60/12,0))</f>
      </c>
      <c r="E53">
        <f>IF('Inputs'!$B$101="",0,'Needs years'!$C$72+IF((E51-'Needs years'!$C$66)&gt;0,MAX(0,E47-'Needs years'!$C$66)/(E51-'Needs years'!$C$66)*'Needs years'!$J$60/12,0))</f>
      </c>
      <c r="F53">
        <f>IF('Inputs'!$B$101="",0,'Needs years'!$C$72+IF((F51-'Needs years'!$C$66)&gt;0,MAX(0,F47-'Needs years'!$C$66)/(F51-'Needs years'!$C$66)*'Needs years'!$J$60/12,0))</f>
      </c>
      <c r="G53">
        <f>IF('Inputs'!$B$101="",0,'Needs years'!$C$72+IF((G51-'Needs years'!$C$66)&gt;0,MAX(0,G47-'Needs years'!$C$66)/(G51-'Needs years'!$C$66)*'Needs years'!$J$60/12,0))</f>
      </c>
      <c r="H53">
        <f>IF('Inputs'!$B$101="",0,'Needs years'!$C$72+IF((H51-'Needs years'!$C$66)&gt;0,MAX(0,H47-'Needs years'!$C$66)/(H51-'Needs years'!$C$66)*'Needs years'!$J$60/12,0))</f>
      </c>
      <c r="I53">
        <f>IF('Inputs'!$B$101="",0,'Needs years'!$C$72+IF((I51-'Needs years'!$C$66)&gt;0,MAX(0,I47-'Needs years'!$C$66)/(I51-'Needs years'!$C$66)*'Needs years'!$J$60/12,0))</f>
      </c>
      <c r="J53">
        <f>IF('Inputs'!$B$101="",0,'Needs years'!$C$72+IF((J51-'Needs years'!$C$66)&gt;0,MAX(0,J47-'Needs years'!$C$66)/(J51-'Needs years'!$C$66)*'Needs years'!$J$60/12,0))</f>
      </c>
      <c r="K53">
        <f>IF('Inputs'!$B$101="",0,'Needs years'!$C$72+IF((K51-'Needs years'!$C$66)&gt;0,MAX(0,K47-'Needs years'!$C$66)/(K51-'Needs years'!$C$66)*'Needs years'!$J$60/12,0))</f>
      </c>
      <c r="L53">
        <f>IF('Inputs'!$B$101="",0,'Needs years'!$C$72+IF((L51-'Needs years'!$C$66)&gt;0,MAX(0,L47-'Needs years'!$C$66)/(L51-'Needs years'!$C$66)*'Needs years'!$J$60/12,0))</f>
      </c>
      <c r="M53">
        <f>IF('Inputs'!$B$101="",0,'Needs years'!$C$72+IF((M51-'Needs years'!$C$66)&gt;0,MAX(0,M47-'Needs years'!$C$66)/(M51-'Needs years'!$C$66)*'Needs years'!$J$60/12,0))</f>
      </c>
      <c r="N53">
        <f>IF('Inputs'!$B$101="",0,'Needs years'!$C$72+IF((N51-'Needs years'!$C$66)&gt;0,MAX(0,N47-'Needs years'!$C$66)/(N51-'Needs years'!$C$66)*'Needs years'!$J$60/12,0))</f>
      </c>
      <c r="O53">
        <f>IF('Inputs'!$B$101="",0,'Needs years'!$C$72+IF((O51-'Needs years'!$C$66)&gt;0,MAX(0,O47-'Needs years'!$C$66)/(O51-'Needs years'!$C$66)*'Needs years'!$J$60/12,0))</f>
      </c>
      <c r="P53">
        <f>IF('Inputs'!$B$101="",0,'Needs years'!$C$72+IF((P51-'Needs years'!$C$66)&gt;0,MAX(0,P47-'Needs years'!$C$66)/(P51-'Needs years'!$C$66)*'Needs years'!$J$60/12,0))</f>
      </c>
      <c r="Q53">
        <f>IF('Inputs'!$B$101="",0,'Needs years'!$C$72+IF((Q51-'Needs years'!$C$66)&gt;0,MAX(0,Q47-'Needs years'!$C$66)/(Q51-'Needs years'!$C$66)*'Needs years'!$J$60/12,0))</f>
      </c>
      <c r="R53">
        <f>IF('Inputs'!$B$101="",0,'Needs years'!$C$72+IF((R51-'Needs years'!$C$66)&gt;0,MAX(0,R47-'Needs years'!$C$66)/(R51-'Needs years'!$C$66)*'Needs years'!$J$60/12,0))</f>
      </c>
      <c r="S53">
        <f>IF('Inputs'!$B$101="",0,'Needs years'!$C$72+IF((S51-'Needs years'!$C$66)&gt;0,MAX(0,S47-'Needs years'!$C$66)/(S51-'Needs years'!$C$66)*'Needs years'!$J$60/12,0))</f>
      </c>
      <c r="T53">
        <f>IF('Inputs'!$B$101="",0,'Needs years'!$C$72+IF((T51-'Needs years'!$C$66)&gt;0,MAX(0,T47-'Needs years'!$C$66)/(T51-'Needs years'!$C$66)*'Needs years'!$J$60/12,0))</f>
      </c>
    </row>
    <row r="54" spans="2:20" x14ac:dyDescent="0.25">
      <c r="B54" t="s">
        <v>363</v>
      </c>
      <c r="C54">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54">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54">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54">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54">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54">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54">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54">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54">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54">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54">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54">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54">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54">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54">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54">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54">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55" spans="2:20" x14ac:dyDescent="0.25">
      <c r="B55" t="s">
        <v>364</v>
      </c>
      <c r="C55">
        <f>'Needs years'!$C$117+MAX(0,C54-'Needs years'!$C$122)*('Inputs'!$H$122/100*('Inputs'!$H$125/100+'Inputs'!$H$120/100*'Inputs'!$H$127/100))</f>
      </c>
      <c r="E55">
        <f>'Needs years'!$C$117+MAX(0,E54-'Needs years'!$C$122)*('Inputs'!$H$122/100*('Inputs'!$H$125/100+'Inputs'!$H$120/100*'Inputs'!$H$127/100))</f>
      </c>
      <c r="F55">
        <f>'Needs years'!$C$117+MAX(0,F54-'Needs years'!$C$122)*('Inputs'!$H$122/100*('Inputs'!$H$125/100+'Inputs'!$H$120/100*'Inputs'!$H$127/100))</f>
      </c>
      <c r="G55">
        <f>'Needs years'!$C$117+MAX(0,G54-'Needs years'!$C$122)*('Inputs'!$H$122/100*('Inputs'!$H$125/100+'Inputs'!$H$120/100*'Inputs'!$H$127/100))</f>
      </c>
      <c r="H55">
        <f>'Needs years'!$C$117+MAX(0,H54-'Needs years'!$C$122)*('Inputs'!$H$122/100*('Inputs'!$H$125/100+'Inputs'!$H$120/100*'Inputs'!$H$127/100))</f>
      </c>
      <c r="I55">
        <f>'Needs years'!$C$117+MAX(0,I54-'Needs years'!$C$122)*('Inputs'!$H$122/100*('Inputs'!$H$125/100+'Inputs'!$H$120/100*'Inputs'!$H$127/100))</f>
      </c>
      <c r="J55">
        <f>'Needs years'!$C$117+MAX(0,J54-'Needs years'!$C$122)*('Inputs'!$H$122/100*('Inputs'!$H$125/100+'Inputs'!$H$120/100*'Inputs'!$H$127/100))</f>
      </c>
      <c r="K55">
        <f>'Needs years'!$C$117+MAX(0,K54-'Needs years'!$C$122)*('Inputs'!$H$122/100*('Inputs'!$H$125/100+'Inputs'!$H$120/100*'Inputs'!$H$127/100))</f>
      </c>
      <c r="L55">
        <f>'Needs years'!$C$117+MAX(0,L54-'Needs years'!$C$122)*('Inputs'!$H$122/100*('Inputs'!$H$125/100+'Inputs'!$H$120/100*'Inputs'!$H$127/100))</f>
      </c>
      <c r="M55">
        <f>'Needs years'!$C$117+MAX(0,M54-'Needs years'!$C$122)*('Inputs'!$H$122/100*('Inputs'!$H$125/100+'Inputs'!$H$120/100*'Inputs'!$H$127/100))</f>
      </c>
      <c r="N55">
        <f>'Needs years'!$C$117+MAX(0,N54-'Needs years'!$C$122)*('Inputs'!$H$122/100*('Inputs'!$H$125/100+'Inputs'!$H$120/100*'Inputs'!$H$127/100))</f>
      </c>
      <c r="O55">
        <f>'Needs years'!$C$117+MAX(0,O54-'Needs years'!$C$122)*('Inputs'!$H$122/100*('Inputs'!$H$125/100+'Inputs'!$H$120/100*'Inputs'!$H$127/100))</f>
      </c>
      <c r="P55">
        <f>'Needs years'!$C$117+MAX(0,P54-'Needs years'!$C$122)*('Inputs'!$H$122/100*('Inputs'!$H$125/100+'Inputs'!$H$120/100*'Inputs'!$H$127/100))</f>
      </c>
      <c r="Q55">
        <f>'Needs years'!$C$117+MAX(0,Q54-'Needs years'!$C$122)*('Inputs'!$H$122/100*('Inputs'!$H$125/100+'Inputs'!$H$120/100*'Inputs'!$H$127/100))</f>
      </c>
      <c r="R55">
        <f>'Needs years'!$C$117+MAX(0,R54-'Needs years'!$C$122)*('Inputs'!$H$122/100*('Inputs'!$H$125/100+'Inputs'!$H$120/100*'Inputs'!$H$127/100))</f>
      </c>
      <c r="S55">
        <f>'Needs years'!$C$117+MAX(0,S54-'Needs years'!$C$122)*('Inputs'!$H$122/100*('Inputs'!$H$125/100+'Inputs'!$H$120/100*'Inputs'!$H$127/100))</f>
      </c>
      <c r="T55">
        <f>'Needs years'!$C$117+MAX(0,T54-'Needs years'!$C$122)*('Inputs'!$H$122/100*('Inputs'!$H$125/100+'Inputs'!$H$120/100*'Inputs'!$H$127/100))</f>
      </c>
    </row>
    <row r="56" spans="2:20" x14ac:dyDescent="0.25">
      <c r="B56" t="s">
        <v>365</v>
      </c>
      <c r="C56">
        <f>IF(C55&lt;='Needs years'!$C$116,0,INDEX('Inputs'!$E$134:$E$140,MATCH(C55,'Inputs'!$C$134:$C$140,1)-IF(COUNTIF('Inputs'!$C$134:$C$140,C55)&gt;0,1,0))/100)</f>
      </c>
      <c r="E56">
        <f>IF(E55&lt;='Needs years'!$C$116,0,INDEX('Inputs'!$E$134:$E$140,MATCH(E55,'Inputs'!$C$134:$C$140,1)-IF(COUNTIF('Inputs'!$C$134:$C$140,E55)&gt;0,1,0))/100)</f>
      </c>
      <c r="F56">
        <f>IF(F55&lt;='Needs years'!$C$116,0,INDEX('Inputs'!$E$134:$E$140,MATCH(F55,'Inputs'!$C$134:$C$140,1)-IF(COUNTIF('Inputs'!$C$134:$C$140,F55)&gt;0,1,0))/100)</f>
      </c>
      <c r="G56">
        <f>IF(G55&lt;='Needs years'!$C$116,0,INDEX('Inputs'!$E$134:$E$140,MATCH(G55,'Inputs'!$C$134:$C$140,1)-IF(COUNTIF('Inputs'!$C$134:$C$140,G55)&gt;0,1,0))/100)</f>
      </c>
      <c r="H56">
        <f>IF(H55&lt;='Needs years'!$C$116,0,INDEX('Inputs'!$E$134:$E$140,MATCH(H55,'Inputs'!$C$134:$C$140,1)-IF(COUNTIF('Inputs'!$C$134:$C$140,H55)&gt;0,1,0))/100)</f>
      </c>
      <c r="I56">
        <f>IF(I55&lt;='Needs years'!$C$116,0,INDEX('Inputs'!$E$134:$E$140,MATCH(I55,'Inputs'!$C$134:$C$140,1)-IF(COUNTIF('Inputs'!$C$134:$C$140,I55)&gt;0,1,0))/100)</f>
      </c>
      <c r="J56">
        <f>IF(J55&lt;='Needs years'!$C$116,0,INDEX('Inputs'!$E$134:$E$140,MATCH(J55,'Inputs'!$C$134:$C$140,1)-IF(COUNTIF('Inputs'!$C$134:$C$140,J55)&gt;0,1,0))/100)</f>
      </c>
      <c r="K56">
        <f>IF(K55&lt;='Needs years'!$C$116,0,INDEX('Inputs'!$E$134:$E$140,MATCH(K55,'Inputs'!$C$134:$C$140,1)-IF(COUNTIF('Inputs'!$C$134:$C$140,K55)&gt;0,1,0))/100)</f>
      </c>
      <c r="L56">
        <f>IF(L55&lt;='Needs years'!$C$116,0,INDEX('Inputs'!$E$134:$E$140,MATCH(L55,'Inputs'!$C$134:$C$140,1)-IF(COUNTIF('Inputs'!$C$134:$C$140,L55)&gt;0,1,0))/100)</f>
      </c>
      <c r="M56">
        <f>IF(M55&lt;='Needs years'!$C$116,0,INDEX('Inputs'!$E$134:$E$140,MATCH(M55,'Inputs'!$C$134:$C$140,1)-IF(COUNTIF('Inputs'!$C$134:$C$140,M55)&gt;0,1,0))/100)</f>
      </c>
      <c r="N56">
        <f>IF(N55&lt;='Needs years'!$C$116,0,INDEX('Inputs'!$E$134:$E$140,MATCH(N55,'Inputs'!$C$134:$C$140,1)-IF(COUNTIF('Inputs'!$C$134:$C$140,N55)&gt;0,1,0))/100)</f>
      </c>
      <c r="O56">
        <f>IF(O55&lt;='Needs years'!$C$116,0,INDEX('Inputs'!$E$134:$E$140,MATCH(O55,'Inputs'!$C$134:$C$140,1)-IF(COUNTIF('Inputs'!$C$134:$C$140,O55)&gt;0,1,0))/100)</f>
      </c>
      <c r="P56">
        <f>IF(P55&lt;='Needs years'!$C$116,0,INDEX('Inputs'!$E$134:$E$140,MATCH(P55,'Inputs'!$C$134:$C$140,1)-IF(COUNTIF('Inputs'!$C$134:$C$140,P55)&gt;0,1,0))/100)</f>
      </c>
      <c r="Q56">
        <f>IF(Q55&lt;='Needs years'!$C$116,0,INDEX('Inputs'!$E$134:$E$140,MATCH(Q55,'Inputs'!$C$134:$C$140,1)-IF(COUNTIF('Inputs'!$C$134:$C$140,Q55)&gt;0,1,0))/100)</f>
      </c>
      <c r="R56">
        <f>IF(R55&lt;='Needs years'!$C$116,0,INDEX('Inputs'!$E$134:$E$140,MATCH(R55,'Inputs'!$C$134:$C$140,1)-IF(COUNTIF('Inputs'!$C$134:$C$140,R55)&gt;0,1,0))/100)</f>
      </c>
      <c r="S56">
        <f>IF(S55&lt;='Needs years'!$C$116,0,INDEX('Inputs'!$E$134:$E$140,MATCH(S55,'Inputs'!$C$134:$C$140,1)-IF(COUNTIF('Inputs'!$C$134:$C$140,S55)&gt;0,1,0))/100)</f>
      </c>
      <c r="T56">
        <f>IF(T55&lt;='Needs years'!$C$116,0,INDEX('Inputs'!$E$134:$E$140,MATCH(T55,'Inputs'!$C$134:$C$140,1)-IF(COUNTIF('Inputs'!$C$134:$C$140,T55)&gt;0,1,0))/100)</f>
      </c>
    </row>
    <row r="57" spans="2:20" x14ac:dyDescent="0.25">
      <c r="B57" t="s">
        <v>366</v>
      </c>
      <c r="C57">
        <f>('Inputs'!$H$122/100*(1-('Inputs'!$H$125/100*C56+'Inputs'!$H$126/100*'Inputs'!$H$128/100+'Inputs'!$H$127/100*'Inputs'!$H$120/100*C56))-IF('Needs years'!$C$121=1,'Inputs'!$H$123/100,0))</f>
      </c>
      <c r="E57">
        <f>('Inputs'!$H$122/100*(1-('Inputs'!$H$125/100*E56+'Inputs'!$H$126/100*'Inputs'!$H$128/100+'Inputs'!$H$127/100*'Inputs'!$H$120/100*E56))-IF('Needs years'!$C$121=1,'Inputs'!$H$123/100,0))</f>
      </c>
      <c r="F57">
        <f>('Inputs'!$H$122/100*(1-('Inputs'!$H$125/100*F56+'Inputs'!$H$126/100*'Inputs'!$H$128/100+'Inputs'!$H$127/100*'Inputs'!$H$120/100*F56))-IF('Needs years'!$C$121=1,'Inputs'!$H$123/100,0))</f>
      </c>
      <c r="G57">
        <f>('Inputs'!$H$122/100*(1-('Inputs'!$H$125/100*G56+'Inputs'!$H$126/100*'Inputs'!$H$128/100+'Inputs'!$H$127/100*'Inputs'!$H$120/100*G56))-IF('Needs years'!$C$121=1,'Inputs'!$H$123/100,0))</f>
      </c>
      <c r="H57">
        <f>('Inputs'!$H$122/100*(1-('Inputs'!$H$125/100*H56+'Inputs'!$H$126/100*'Inputs'!$H$128/100+'Inputs'!$H$127/100*'Inputs'!$H$120/100*H56))-IF('Needs years'!$C$121=1,'Inputs'!$H$123/100,0))</f>
      </c>
      <c r="I57">
        <f>('Inputs'!$H$122/100*(1-('Inputs'!$H$125/100*I56+'Inputs'!$H$126/100*'Inputs'!$H$128/100+'Inputs'!$H$127/100*'Inputs'!$H$120/100*I56))-IF('Needs years'!$C$121=1,'Inputs'!$H$123/100,0))</f>
      </c>
      <c r="J57">
        <f>('Inputs'!$H$122/100*(1-('Inputs'!$H$125/100*J56+'Inputs'!$H$126/100*'Inputs'!$H$128/100+'Inputs'!$H$127/100*'Inputs'!$H$120/100*J56))-IF('Needs years'!$C$121=1,'Inputs'!$H$123/100,0))</f>
      </c>
      <c r="K57">
        <f>('Inputs'!$H$122/100*(1-('Inputs'!$H$125/100*K56+'Inputs'!$H$126/100*'Inputs'!$H$128/100+'Inputs'!$H$127/100*'Inputs'!$H$120/100*K56))-IF('Needs years'!$C$121=1,'Inputs'!$H$123/100,0))</f>
      </c>
      <c r="L57">
        <f>('Inputs'!$H$122/100*(1-('Inputs'!$H$125/100*L56+'Inputs'!$H$126/100*'Inputs'!$H$128/100+'Inputs'!$H$127/100*'Inputs'!$H$120/100*L56))-IF('Needs years'!$C$121=1,'Inputs'!$H$123/100,0))</f>
      </c>
      <c r="M57">
        <f>('Inputs'!$H$122/100*(1-('Inputs'!$H$125/100*M56+'Inputs'!$H$126/100*'Inputs'!$H$128/100+'Inputs'!$H$127/100*'Inputs'!$H$120/100*M56))-IF('Needs years'!$C$121=1,'Inputs'!$H$123/100,0))</f>
      </c>
      <c r="N57">
        <f>('Inputs'!$H$122/100*(1-('Inputs'!$H$125/100*N56+'Inputs'!$H$126/100*'Inputs'!$H$128/100+'Inputs'!$H$127/100*'Inputs'!$H$120/100*N56))-IF('Needs years'!$C$121=1,'Inputs'!$H$123/100,0))</f>
      </c>
      <c r="O57">
        <f>('Inputs'!$H$122/100*(1-('Inputs'!$H$125/100*O56+'Inputs'!$H$126/100*'Inputs'!$H$128/100+'Inputs'!$H$127/100*'Inputs'!$H$120/100*O56))-IF('Needs years'!$C$121=1,'Inputs'!$H$123/100,0))</f>
      </c>
      <c r="P57">
        <f>('Inputs'!$H$122/100*(1-('Inputs'!$H$125/100*P56+'Inputs'!$H$126/100*'Inputs'!$H$128/100+'Inputs'!$H$127/100*'Inputs'!$H$120/100*P56))-IF('Needs years'!$C$121=1,'Inputs'!$H$123/100,0))</f>
      </c>
      <c r="Q57">
        <f>('Inputs'!$H$122/100*(1-('Inputs'!$H$125/100*Q56+'Inputs'!$H$126/100*'Inputs'!$H$128/100+'Inputs'!$H$127/100*'Inputs'!$H$120/100*Q56))-IF('Needs years'!$C$121=1,'Inputs'!$H$123/100,0))</f>
      </c>
      <c r="R57">
        <f>('Inputs'!$H$122/100*(1-('Inputs'!$H$125/100*R56+'Inputs'!$H$126/100*'Inputs'!$H$128/100+'Inputs'!$H$127/100*'Inputs'!$H$120/100*R56))-IF('Needs years'!$C$121=1,'Inputs'!$H$123/100,0))</f>
      </c>
      <c r="S57">
        <f>('Inputs'!$H$122/100*(1-('Inputs'!$H$125/100*S56+'Inputs'!$H$126/100*'Inputs'!$H$128/100+'Inputs'!$H$127/100*'Inputs'!$H$120/100*S56))-IF('Needs years'!$C$121=1,'Inputs'!$H$123/100,0))</f>
      </c>
      <c r="T57">
        <f>('Inputs'!$H$122/100*(1-('Inputs'!$H$125/100*T56+'Inputs'!$H$126/100*'Inputs'!$H$128/100+'Inputs'!$H$127/100*'Inputs'!$H$120/100*T56))-IF('Needs years'!$C$121=1,'Inputs'!$H$123/100,0))</f>
      </c>
    </row>
    <row r="58" spans="2:20" x14ac:dyDescent="0.25">
      <c r="B58" t="s">
        <v>367</v>
      </c>
      <c r="C58">
        <f>IF('Inputs'!$B$102="",0,ROUND('Needs years'!$C$122+ROUND(IF(C57=0,SUM('Needs years'!$J$116:$J$165),(1-(1+C57)^-1)/(1-(1+C57)^(-1/12))/12*SUMPRODUCT('Needs years'!$J$116:$J$165,(1+C57)^(-'Needs years'!$I$116:$I$165))),2),2))</f>
      </c>
      <c r="E58">
        <f>IF('Inputs'!$B$102="",0,ROUND('Needs years'!$C$122+ROUND(IF(E57=0,SUM('Needs years'!$J$116:$J$165),(1-(1+E57)^-1)/(1-(1+E57)^(-1/12))/12*SUMPRODUCT('Needs years'!$J$116:$J$165,(1+E57)^(-'Needs years'!$I$116:$I$165))),2),2))</f>
      </c>
      <c r="F58">
        <f>IF('Inputs'!$B$102="",0,ROUND('Needs years'!$C$122+ROUND(IF(F57=0,SUM('Needs years'!$J$116:$J$165),(1-(1+F57)^-1)/(1-(1+F57)^(-1/12))/12*SUMPRODUCT('Needs years'!$J$116:$J$165,(1+F57)^(-'Needs years'!$I$116:$I$165))),2),2))</f>
      </c>
      <c r="G58">
        <f>IF('Inputs'!$B$102="",0,ROUND('Needs years'!$C$122+ROUND(IF(G57=0,SUM('Needs years'!$J$116:$J$165),(1-(1+G57)^-1)/(1-(1+G57)^(-1/12))/12*SUMPRODUCT('Needs years'!$J$116:$J$165,(1+G57)^(-'Needs years'!$I$116:$I$165))),2),2))</f>
      </c>
      <c r="H58">
        <f>IF('Inputs'!$B$102="",0,ROUND('Needs years'!$C$122+ROUND(IF(H57=0,SUM('Needs years'!$J$116:$J$165),(1-(1+H57)^-1)/(1-(1+H57)^(-1/12))/12*SUMPRODUCT('Needs years'!$J$116:$J$165,(1+H57)^(-'Needs years'!$I$116:$I$165))),2),2))</f>
      </c>
      <c r="I58">
        <f>IF('Inputs'!$B$102="",0,ROUND('Needs years'!$C$122+ROUND(IF(I57=0,SUM('Needs years'!$J$116:$J$165),(1-(1+I57)^-1)/(1-(1+I57)^(-1/12))/12*SUMPRODUCT('Needs years'!$J$116:$J$165,(1+I57)^(-'Needs years'!$I$116:$I$165))),2),2))</f>
      </c>
      <c r="J58">
        <f>IF('Inputs'!$B$102="",0,ROUND('Needs years'!$C$122+ROUND(IF(J57=0,SUM('Needs years'!$J$116:$J$165),(1-(1+J57)^-1)/(1-(1+J57)^(-1/12))/12*SUMPRODUCT('Needs years'!$J$116:$J$165,(1+J57)^(-'Needs years'!$I$116:$I$165))),2),2))</f>
      </c>
      <c r="K58">
        <f>IF('Inputs'!$B$102="",0,ROUND('Needs years'!$C$122+ROUND(IF(K57=0,SUM('Needs years'!$J$116:$J$165),(1-(1+K57)^-1)/(1-(1+K57)^(-1/12))/12*SUMPRODUCT('Needs years'!$J$116:$J$165,(1+K57)^(-'Needs years'!$I$116:$I$165))),2),2))</f>
      </c>
      <c r="L58">
        <f>IF('Inputs'!$B$102="",0,ROUND('Needs years'!$C$122+ROUND(IF(L57=0,SUM('Needs years'!$J$116:$J$165),(1-(1+L57)^-1)/(1-(1+L57)^(-1/12))/12*SUMPRODUCT('Needs years'!$J$116:$J$165,(1+L57)^(-'Needs years'!$I$116:$I$165))),2),2))</f>
      </c>
      <c r="M58">
        <f>IF('Inputs'!$B$102="",0,ROUND('Needs years'!$C$122+ROUND(IF(M57=0,SUM('Needs years'!$J$116:$J$165),(1-(1+M57)^-1)/(1-(1+M57)^(-1/12))/12*SUMPRODUCT('Needs years'!$J$116:$J$165,(1+M57)^(-'Needs years'!$I$116:$I$165))),2),2))</f>
      </c>
      <c r="N58">
        <f>IF('Inputs'!$B$102="",0,ROUND('Needs years'!$C$122+ROUND(IF(N57=0,SUM('Needs years'!$J$116:$J$165),(1-(1+N57)^-1)/(1-(1+N57)^(-1/12))/12*SUMPRODUCT('Needs years'!$J$116:$J$165,(1+N57)^(-'Needs years'!$I$116:$I$165))),2),2))</f>
      </c>
      <c r="O58">
        <f>IF('Inputs'!$B$102="",0,ROUND('Needs years'!$C$122+ROUND(IF(O57=0,SUM('Needs years'!$J$116:$J$165),(1-(1+O57)^-1)/(1-(1+O57)^(-1/12))/12*SUMPRODUCT('Needs years'!$J$116:$J$165,(1+O57)^(-'Needs years'!$I$116:$I$165))),2),2))</f>
      </c>
      <c r="P58">
        <f>IF('Inputs'!$B$102="",0,ROUND('Needs years'!$C$122+ROUND(IF(P57=0,SUM('Needs years'!$J$116:$J$165),(1-(1+P57)^-1)/(1-(1+P57)^(-1/12))/12*SUMPRODUCT('Needs years'!$J$116:$J$165,(1+P57)^(-'Needs years'!$I$116:$I$165))),2),2))</f>
      </c>
      <c r="Q58">
        <f>IF('Inputs'!$B$102="",0,ROUND('Needs years'!$C$122+ROUND(IF(Q57=0,SUM('Needs years'!$J$116:$J$165),(1-(1+Q57)^-1)/(1-(1+Q57)^(-1/12))/12*SUMPRODUCT('Needs years'!$J$116:$J$165,(1+Q57)^(-'Needs years'!$I$116:$I$165))),2),2))</f>
      </c>
      <c r="R58">
        <f>IF('Inputs'!$B$102="",0,ROUND('Needs years'!$C$122+ROUND(IF(R57=0,SUM('Needs years'!$J$116:$J$165),(1-(1+R57)^-1)/(1-(1+R57)^(-1/12))/12*SUMPRODUCT('Needs years'!$J$116:$J$165,(1+R57)^(-'Needs years'!$I$116:$I$165))),2),2))</f>
      </c>
      <c r="S58">
        <f>IF('Inputs'!$B$102="",0,ROUND('Needs years'!$C$122+ROUND(IF(S57=0,SUM('Needs years'!$J$116:$J$165),(1-(1+S57)^-1)/(1-(1+S57)^(-1/12))/12*SUMPRODUCT('Needs years'!$J$116:$J$165,(1+S57)^(-'Needs years'!$I$116:$I$165))),2),2))</f>
      </c>
      <c r="T58">
        <f>IF('Inputs'!$B$102="",0,ROUND('Needs years'!$C$122+ROUND(IF(T57=0,SUM('Needs years'!$J$116:$J$165),(1-(1+T57)^-1)/(1-(1+T57)^(-1/12))/12*SUMPRODUCT('Needs years'!$J$116:$J$165,(1+T57)^(-'Needs years'!$I$116:$I$165))),2),2))</f>
      </c>
    </row>
    <row r="59" spans="2:20" x14ac:dyDescent="0.25">
      <c r="B59" t="s">
        <v>368</v>
      </c>
      <c r="C59">
        <f>IF('Inputs'!$B$102="",0,ROUND(C58-C54,2))</f>
      </c>
      <c r="E59">
        <f>IF('Inputs'!$B$102="",0,ROUND(E58-E54,2))</f>
      </c>
      <c r="F59">
        <f>IF('Inputs'!$B$102="",0,ROUND(F58-F54,2))</f>
      </c>
      <c r="G59">
        <f>IF('Inputs'!$B$102="",0,ROUND(G58-G54,2))</f>
      </c>
      <c r="H59">
        <f>IF('Inputs'!$B$102="",0,ROUND(H58-H54,2))</f>
      </c>
      <c r="I59">
        <f>IF('Inputs'!$B$102="",0,ROUND(I58-I54,2))</f>
      </c>
      <c r="J59">
        <f>IF('Inputs'!$B$102="",0,ROUND(J58-J54,2))</f>
      </c>
      <c r="K59">
        <f>IF('Inputs'!$B$102="",0,ROUND(K58-K54,2))</f>
      </c>
      <c r="L59">
        <f>IF('Inputs'!$B$102="",0,ROUND(L58-L54,2))</f>
      </c>
      <c r="M59">
        <f>IF('Inputs'!$B$102="",0,ROUND(M58-M54,2))</f>
      </c>
      <c r="N59">
        <f>IF('Inputs'!$B$102="",0,ROUND(N58-N54,2))</f>
      </c>
      <c r="O59">
        <f>IF('Inputs'!$B$102="",0,ROUND(O58-O54,2))</f>
      </c>
      <c r="P59">
        <f>IF('Inputs'!$B$102="",0,ROUND(P58-P54,2))</f>
      </c>
      <c r="Q59">
        <f>IF('Inputs'!$B$102="",0,ROUND(Q58-Q54,2))</f>
      </c>
      <c r="R59">
        <f>IF('Inputs'!$B$102="",0,ROUND(R58-R54,2))</f>
      </c>
      <c r="S59">
        <f>IF('Inputs'!$B$102="",0,ROUND(S58-S54,2))</f>
      </c>
      <c r="T59">
        <f>IF('Inputs'!$B$102="",0,ROUND(T58-T54,2))</f>
      </c>
    </row>
    <row r="60" spans="2:20" x14ac:dyDescent="0.25">
      <c r="B60" t="s">
        <v>369</v>
      </c>
      <c r="C60">
        <f>IF('Inputs'!$B$102="",0,'Needs years'!$C$128+IF((C58-'Needs years'!$C$122)&gt;0,MAX(0,C54-'Needs years'!$C$122)/(C58-'Needs years'!$C$122)*'Needs years'!$J$116/12,0))</f>
      </c>
      <c r="E60">
        <f>IF('Inputs'!$B$102="",0,'Needs years'!$C$128+IF((E58-'Needs years'!$C$122)&gt;0,MAX(0,E54-'Needs years'!$C$122)/(E58-'Needs years'!$C$122)*'Needs years'!$J$116/12,0))</f>
      </c>
      <c r="F60">
        <f>IF('Inputs'!$B$102="",0,'Needs years'!$C$128+IF((F58-'Needs years'!$C$122)&gt;0,MAX(0,F54-'Needs years'!$C$122)/(F58-'Needs years'!$C$122)*'Needs years'!$J$116/12,0))</f>
      </c>
      <c r="G60">
        <f>IF('Inputs'!$B$102="",0,'Needs years'!$C$128+IF((G58-'Needs years'!$C$122)&gt;0,MAX(0,G54-'Needs years'!$C$122)/(G58-'Needs years'!$C$122)*'Needs years'!$J$116/12,0))</f>
      </c>
      <c r="H60">
        <f>IF('Inputs'!$B$102="",0,'Needs years'!$C$128+IF((H58-'Needs years'!$C$122)&gt;0,MAX(0,H54-'Needs years'!$C$122)/(H58-'Needs years'!$C$122)*'Needs years'!$J$116/12,0))</f>
      </c>
      <c r="I60">
        <f>IF('Inputs'!$B$102="",0,'Needs years'!$C$128+IF((I58-'Needs years'!$C$122)&gt;0,MAX(0,I54-'Needs years'!$C$122)/(I58-'Needs years'!$C$122)*'Needs years'!$J$116/12,0))</f>
      </c>
      <c r="J60">
        <f>IF('Inputs'!$B$102="",0,'Needs years'!$C$128+IF((J58-'Needs years'!$C$122)&gt;0,MAX(0,J54-'Needs years'!$C$122)/(J58-'Needs years'!$C$122)*'Needs years'!$J$116/12,0))</f>
      </c>
      <c r="K60">
        <f>IF('Inputs'!$B$102="",0,'Needs years'!$C$128+IF((K58-'Needs years'!$C$122)&gt;0,MAX(0,K54-'Needs years'!$C$122)/(K58-'Needs years'!$C$122)*'Needs years'!$J$116/12,0))</f>
      </c>
      <c r="L60">
        <f>IF('Inputs'!$B$102="",0,'Needs years'!$C$128+IF((L58-'Needs years'!$C$122)&gt;0,MAX(0,L54-'Needs years'!$C$122)/(L58-'Needs years'!$C$122)*'Needs years'!$J$116/12,0))</f>
      </c>
      <c r="M60">
        <f>IF('Inputs'!$B$102="",0,'Needs years'!$C$128+IF((M58-'Needs years'!$C$122)&gt;0,MAX(0,M54-'Needs years'!$C$122)/(M58-'Needs years'!$C$122)*'Needs years'!$J$116/12,0))</f>
      </c>
      <c r="N60">
        <f>IF('Inputs'!$B$102="",0,'Needs years'!$C$128+IF((N58-'Needs years'!$C$122)&gt;0,MAX(0,N54-'Needs years'!$C$122)/(N58-'Needs years'!$C$122)*'Needs years'!$J$116/12,0))</f>
      </c>
      <c r="O60">
        <f>IF('Inputs'!$B$102="",0,'Needs years'!$C$128+IF((O58-'Needs years'!$C$122)&gt;0,MAX(0,O54-'Needs years'!$C$122)/(O58-'Needs years'!$C$122)*'Needs years'!$J$116/12,0))</f>
      </c>
      <c r="P60">
        <f>IF('Inputs'!$B$102="",0,'Needs years'!$C$128+IF((P58-'Needs years'!$C$122)&gt;0,MAX(0,P54-'Needs years'!$C$122)/(P58-'Needs years'!$C$122)*'Needs years'!$J$116/12,0))</f>
      </c>
      <c r="Q60">
        <f>IF('Inputs'!$B$102="",0,'Needs years'!$C$128+IF((Q58-'Needs years'!$C$122)&gt;0,MAX(0,Q54-'Needs years'!$C$122)/(Q58-'Needs years'!$C$122)*'Needs years'!$J$116/12,0))</f>
      </c>
      <c r="R60">
        <f>IF('Inputs'!$B$102="",0,'Needs years'!$C$128+IF((R58-'Needs years'!$C$122)&gt;0,MAX(0,R54-'Needs years'!$C$122)/(R58-'Needs years'!$C$122)*'Needs years'!$J$116/12,0))</f>
      </c>
      <c r="S60">
        <f>IF('Inputs'!$B$102="",0,'Needs years'!$C$128+IF((S58-'Needs years'!$C$122)&gt;0,MAX(0,S54-'Needs years'!$C$122)/(S58-'Needs years'!$C$122)*'Needs years'!$J$116/12,0))</f>
      </c>
      <c r="T60">
        <f>IF('Inputs'!$B$102="",0,'Needs years'!$C$128+IF((T58-'Needs years'!$C$122)&gt;0,MAX(0,T54-'Needs years'!$C$122)/(T58-'Needs years'!$C$122)*'Needs years'!$J$116/12,0))</f>
      </c>
    </row>
    <row r="61" spans="2:20" x14ac:dyDescent="0.25">
      <c r="B61" t="s">
        <v>370</v>
      </c>
      <c r="C61">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61">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61">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61">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61">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61">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61">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61">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61">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61">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61">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61">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61">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61">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61">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61">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61">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62" spans="2:20" x14ac:dyDescent="0.25">
      <c r="B62" t="s">
        <v>371</v>
      </c>
      <c r="C62">
        <f>'Needs years'!$C$173+MAX(0,C61-'Needs years'!$C$178)*('Inputs'!$H$122/100*('Inputs'!$H$125/100+'Inputs'!$H$120/100*'Inputs'!$H$127/100))</f>
      </c>
      <c r="E62">
        <f>'Needs years'!$C$173+MAX(0,E61-'Needs years'!$C$178)*('Inputs'!$H$122/100*('Inputs'!$H$125/100+'Inputs'!$H$120/100*'Inputs'!$H$127/100))</f>
      </c>
      <c r="F62">
        <f>'Needs years'!$C$173+MAX(0,F61-'Needs years'!$C$178)*('Inputs'!$H$122/100*('Inputs'!$H$125/100+'Inputs'!$H$120/100*'Inputs'!$H$127/100))</f>
      </c>
      <c r="G62">
        <f>'Needs years'!$C$173+MAX(0,G61-'Needs years'!$C$178)*('Inputs'!$H$122/100*('Inputs'!$H$125/100+'Inputs'!$H$120/100*'Inputs'!$H$127/100))</f>
      </c>
      <c r="H62">
        <f>'Needs years'!$C$173+MAX(0,H61-'Needs years'!$C$178)*('Inputs'!$H$122/100*('Inputs'!$H$125/100+'Inputs'!$H$120/100*'Inputs'!$H$127/100))</f>
      </c>
      <c r="I62">
        <f>'Needs years'!$C$173+MAX(0,I61-'Needs years'!$C$178)*('Inputs'!$H$122/100*('Inputs'!$H$125/100+'Inputs'!$H$120/100*'Inputs'!$H$127/100))</f>
      </c>
      <c r="J62">
        <f>'Needs years'!$C$173+MAX(0,J61-'Needs years'!$C$178)*('Inputs'!$H$122/100*('Inputs'!$H$125/100+'Inputs'!$H$120/100*'Inputs'!$H$127/100))</f>
      </c>
      <c r="K62">
        <f>'Needs years'!$C$173+MAX(0,K61-'Needs years'!$C$178)*('Inputs'!$H$122/100*('Inputs'!$H$125/100+'Inputs'!$H$120/100*'Inputs'!$H$127/100))</f>
      </c>
      <c r="L62">
        <f>'Needs years'!$C$173+MAX(0,L61-'Needs years'!$C$178)*('Inputs'!$H$122/100*('Inputs'!$H$125/100+'Inputs'!$H$120/100*'Inputs'!$H$127/100))</f>
      </c>
      <c r="M62">
        <f>'Needs years'!$C$173+MAX(0,M61-'Needs years'!$C$178)*('Inputs'!$H$122/100*('Inputs'!$H$125/100+'Inputs'!$H$120/100*'Inputs'!$H$127/100))</f>
      </c>
      <c r="N62">
        <f>'Needs years'!$C$173+MAX(0,N61-'Needs years'!$C$178)*('Inputs'!$H$122/100*('Inputs'!$H$125/100+'Inputs'!$H$120/100*'Inputs'!$H$127/100))</f>
      </c>
      <c r="O62">
        <f>'Needs years'!$C$173+MAX(0,O61-'Needs years'!$C$178)*('Inputs'!$H$122/100*('Inputs'!$H$125/100+'Inputs'!$H$120/100*'Inputs'!$H$127/100))</f>
      </c>
      <c r="P62">
        <f>'Needs years'!$C$173+MAX(0,P61-'Needs years'!$C$178)*('Inputs'!$H$122/100*('Inputs'!$H$125/100+'Inputs'!$H$120/100*'Inputs'!$H$127/100))</f>
      </c>
      <c r="Q62">
        <f>'Needs years'!$C$173+MAX(0,Q61-'Needs years'!$C$178)*('Inputs'!$H$122/100*('Inputs'!$H$125/100+'Inputs'!$H$120/100*'Inputs'!$H$127/100))</f>
      </c>
      <c r="R62">
        <f>'Needs years'!$C$173+MAX(0,R61-'Needs years'!$C$178)*('Inputs'!$H$122/100*('Inputs'!$H$125/100+'Inputs'!$H$120/100*'Inputs'!$H$127/100))</f>
      </c>
      <c r="S62">
        <f>'Needs years'!$C$173+MAX(0,S61-'Needs years'!$C$178)*('Inputs'!$H$122/100*('Inputs'!$H$125/100+'Inputs'!$H$120/100*'Inputs'!$H$127/100))</f>
      </c>
      <c r="T62">
        <f>'Needs years'!$C$173+MAX(0,T61-'Needs years'!$C$178)*('Inputs'!$H$122/100*('Inputs'!$H$125/100+'Inputs'!$H$120/100*'Inputs'!$H$127/100))</f>
      </c>
    </row>
    <row r="63" spans="2:20" x14ac:dyDescent="0.25">
      <c r="B63" t="s">
        <v>372</v>
      </c>
      <c r="C63">
        <f>IF(C62&lt;='Needs years'!$C$172,0,INDEX('Inputs'!$E$134:$E$140,MATCH(C62,'Inputs'!$C$134:$C$140,1)-IF(COUNTIF('Inputs'!$C$134:$C$140,C62)&gt;0,1,0))/100)</f>
      </c>
      <c r="E63">
        <f>IF(E62&lt;='Needs years'!$C$172,0,INDEX('Inputs'!$E$134:$E$140,MATCH(E62,'Inputs'!$C$134:$C$140,1)-IF(COUNTIF('Inputs'!$C$134:$C$140,E62)&gt;0,1,0))/100)</f>
      </c>
      <c r="F63">
        <f>IF(F62&lt;='Needs years'!$C$172,0,INDEX('Inputs'!$E$134:$E$140,MATCH(F62,'Inputs'!$C$134:$C$140,1)-IF(COUNTIF('Inputs'!$C$134:$C$140,F62)&gt;0,1,0))/100)</f>
      </c>
      <c r="G63">
        <f>IF(G62&lt;='Needs years'!$C$172,0,INDEX('Inputs'!$E$134:$E$140,MATCH(G62,'Inputs'!$C$134:$C$140,1)-IF(COUNTIF('Inputs'!$C$134:$C$140,G62)&gt;0,1,0))/100)</f>
      </c>
      <c r="H63">
        <f>IF(H62&lt;='Needs years'!$C$172,0,INDEX('Inputs'!$E$134:$E$140,MATCH(H62,'Inputs'!$C$134:$C$140,1)-IF(COUNTIF('Inputs'!$C$134:$C$140,H62)&gt;0,1,0))/100)</f>
      </c>
      <c r="I63">
        <f>IF(I62&lt;='Needs years'!$C$172,0,INDEX('Inputs'!$E$134:$E$140,MATCH(I62,'Inputs'!$C$134:$C$140,1)-IF(COUNTIF('Inputs'!$C$134:$C$140,I62)&gt;0,1,0))/100)</f>
      </c>
      <c r="J63">
        <f>IF(J62&lt;='Needs years'!$C$172,0,INDEX('Inputs'!$E$134:$E$140,MATCH(J62,'Inputs'!$C$134:$C$140,1)-IF(COUNTIF('Inputs'!$C$134:$C$140,J62)&gt;0,1,0))/100)</f>
      </c>
      <c r="K63">
        <f>IF(K62&lt;='Needs years'!$C$172,0,INDEX('Inputs'!$E$134:$E$140,MATCH(K62,'Inputs'!$C$134:$C$140,1)-IF(COUNTIF('Inputs'!$C$134:$C$140,K62)&gt;0,1,0))/100)</f>
      </c>
      <c r="L63">
        <f>IF(L62&lt;='Needs years'!$C$172,0,INDEX('Inputs'!$E$134:$E$140,MATCH(L62,'Inputs'!$C$134:$C$140,1)-IF(COUNTIF('Inputs'!$C$134:$C$140,L62)&gt;0,1,0))/100)</f>
      </c>
      <c r="M63">
        <f>IF(M62&lt;='Needs years'!$C$172,0,INDEX('Inputs'!$E$134:$E$140,MATCH(M62,'Inputs'!$C$134:$C$140,1)-IF(COUNTIF('Inputs'!$C$134:$C$140,M62)&gt;0,1,0))/100)</f>
      </c>
      <c r="N63">
        <f>IF(N62&lt;='Needs years'!$C$172,0,INDEX('Inputs'!$E$134:$E$140,MATCH(N62,'Inputs'!$C$134:$C$140,1)-IF(COUNTIF('Inputs'!$C$134:$C$140,N62)&gt;0,1,0))/100)</f>
      </c>
      <c r="O63">
        <f>IF(O62&lt;='Needs years'!$C$172,0,INDEX('Inputs'!$E$134:$E$140,MATCH(O62,'Inputs'!$C$134:$C$140,1)-IF(COUNTIF('Inputs'!$C$134:$C$140,O62)&gt;0,1,0))/100)</f>
      </c>
      <c r="P63">
        <f>IF(P62&lt;='Needs years'!$C$172,0,INDEX('Inputs'!$E$134:$E$140,MATCH(P62,'Inputs'!$C$134:$C$140,1)-IF(COUNTIF('Inputs'!$C$134:$C$140,P62)&gt;0,1,0))/100)</f>
      </c>
      <c r="Q63">
        <f>IF(Q62&lt;='Needs years'!$C$172,0,INDEX('Inputs'!$E$134:$E$140,MATCH(Q62,'Inputs'!$C$134:$C$140,1)-IF(COUNTIF('Inputs'!$C$134:$C$140,Q62)&gt;0,1,0))/100)</f>
      </c>
      <c r="R63">
        <f>IF(R62&lt;='Needs years'!$C$172,0,INDEX('Inputs'!$E$134:$E$140,MATCH(R62,'Inputs'!$C$134:$C$140,1)-IF(COUNTIF('Inputs'!$C$134:$C$140,R62)&gt;0,1,0))/100)</f>
      </c>
      <c r="S63">
        <f>IF(S62&lt;='Needs years'!$C$172,0,INDEX('Inputs'!$E$134:$E$140,MATCH(S62,'Inputs'!$C$134:$C$140,1)-IF(COUNTIF('Inputs'!$C$134:$C$140,S62)&gt;0,1,0))/100)</f>
      </c>
      <c r="T63">
        <f>IF(T62&lt;='Needs years'!$C$172,0,INDEX('Inputs'!$E$134:$E$140,MATCH(T62,'Inputs'!$C$134:$C$140,1)-IF(COUNTIF('Inputs'!$C$134:$C$140,T62)&gt;0,1,0))/100)</f>
      </c>
    </row>
    <row r="64" spans="2:20" x14ac:dyDescent="0.25">
      <c r="B64" t="s">
        <v>373</v>
      </c>
      <c r="C64">
        <f>('Inputs'!$H$122/100*(1-('Inputs'!$H$125/100*C63+'Inputs'!$H$126/100*'Inputs'!$H$128/100+'Inputs'!$H$127/100*'Inputs'!$H$120/100*C63))-IF('Needs years'!$C$177=1,'Inputs'!$H$123/100,0))</f>
      </c>
      <c r="E64">
        <f>('Inputs'!$H$122/100*(1-('Inputs'!$H$125/100*E63+'Inputs'!$H$126/100*'Inputs'!$H$128/100+'Inputs'!$H$127/100*'Inputs'!$H$120/100*E63))-IF('Needs years'!$C$177=1,'Inputs'!$H$123/100,0))</f>
      </c>
      <c r="F64">
        <f>('Inputs'!$H$122/100*(1-('Inputs'!$H$125/100*F63+'Inputs'!$H$126/100*'Inputs'!$H$128/100+'Inputs'!$H$127/100*'Inputs'!$H$120/100*F63))-IF('Needs years'!$C$177=1,'Inputs'!$H$123/100,0))</f>
      </c>
      <c r="G64">
        <f>('Inputs'!$H$122/100*(1-('Inputs'!$H$125/100*G63+'Inputs'!$H$126/100*'Inputs'!$H$128/100+'Inputs'!$H$127/100*'Inputs'!$H$120/100*G63))-IF('Needs years'!$C$177=1,'Inputs'!$H$123/100,0))</f>
      </c>
      <c r="H64">
        <f>('Inputs'!$H$122/100*(1-('Inputs'!$H$125/100*H63+'Inputs'!$H$126/100*'Inputs'!$H$128/100+'Inputs'!$H$127/100*'Inputs'!$H$120/100*H63))-IF('Needs years'!$C$177=1,'Inputs'!$H$123/100,0))</f>
      </c>
      <c r="I64">
        <f>('Inputs'!$H$122/100*(1-('Inputs'!$H$125/100*I63+'Inputs'!$H$126/100*'Inputs'!$H$128/100+'Inputs'!$H$127/100*'Inputs'!$H$120/100*I63))-IF('Needs years'!$C$177=1,'Inputs'!$H$123/100,0))</f>
      </c>
      <c r="J64">
        <f>('Inputs'!$H$122/100*(1-('Inputs'!$H$125/100*J63+'Inputs'!$H$126/100*'Inputs'!$H$128/100+'Inputs'!$H$127/100*'Inputs'!$H$120/100*J63))-IF('Needs years'!$C$177=1,'Inputs'!$H$123/100,0))</f>
      </c>
      <c r="K64">
        <f>('Inputs'!$H$122/100*(1-('Inputs'!$H$125/100*K63+'Inputs'!$H$126/100*'Inputs'!$H$128/100+'Inputs'!$H$127/100*'Inputs'!$H$120/100*K63))-IF('Needs years'!$C$177=1,'Inputs'!$H$123/100,0))</f>
      </c>
      <c r="L64">
        <f>('Inputs'!$H$122/100*(1-('Inputs'!$H$125/100*L63+'Inputs'!$H$126/100*'Inputs'!$H$128/100+'Inputs'!$H$127/100*'Inputs'!$H$120/100*L63))-IF('Needs years'!$C$177=1,'Inputs'!$H$123/100,0))</f>
      </c>
      <c r="M64">
        <f>('Inputs'!$H$122/100*(1-('Inputs'!$H$125/100*M63+'Inputs'!$H$126/100*'Inputs'!$H$128/100+'Inputs'!$H$127/100*'Inputs'!$H$120/100*M63))-IF('Needs years'!$C$177=1,'Inputs'!$H$123/100,0))</f>
      </c>
      <c r="N64">
        <f>('Inputs'!$H$122/100*(1-('Inputs'!$H$125/100*N63+'Inputs'!$H$126/100*'Inputs'!$H$128/100+'Inputs'!$H$127/100*'Inputs'!$H$120/100*N63))-IF('Needs years'!$C$177=1,'Inputs'!$H$123/100,0))</f>
      </c>
      <c r="O64">
        <f>('Inputs'!$H$122/100*(1-('Inputs'!$H$125/100*O63+'Inputs'!$H$126/100*'Inputs'!$H$128/100+'Inputs'!$H$127/100*'Inputs'!$H$120/100*O63))-IF('Needs years'!$C$177=1,'Inputs'!$H$123/100,0))</f>
      </c>
      <c r="P64">
        <f>('Inputs'!$H$122/100*(1-('Inputs'!$H$125/100*P63+'Inputs'!$H$126/100*'Inputs'!$H$128/100+'Inputs'!$H$127/100*'Inputs'!$H$120/100*P63))-IF('Needs years'!$C$177=1,'Inputs'!$H$123/100,0))</f>
      </c>
      <c r="Q64">
        <f>('Inputs'!$H$122/100*(1-('Inputs'!$H$125/100*Q63+'Inputs'!$H$126/100*'Inputs'!$H$128/100+'Inputs'!$H$127/100*'Inputs'!$H$120/100*Q63))-IF('Needs years'!$C$177=1,'Inputs'!$H$123/100,0))</f>
      </c>
      <c r="R64">
        <f>('Inputs'!$H$122/100*(1-('Inputs'!$H$125/100*R63+'Inputs'!$H$126/100*'Inputs'!$H$128/100+'Inputs'!$H$127/100*'Inputs'!$H$120/100*R63))-IF('Needs years'!$C$177=1,'Inputs'!$H$123/100,0))</f>
      </c>
      <c r="S64">
        <f>('Inputs'!$H$122/100*(1-('Inputs'!$H$125/100*S63+'Inputs'!$H$126/100*'Inputs'!$H$128/100+'Inputs'!$H$127/100*'Inputs'!$H$120/100*S63))-IF('Needs years'!$C$177=1,'Inputs'!$H$123/100,0))</f>
      </c>
      <c r="T64">
        <f>('Inputs'!$H$122/100*(1-('Inputs'!$H$125/100*T63+'Inputs'!$H$126/100*'Inputs'!$H$128/100+'Inputs'!$H$127/100*'Inputs'!$H$120/100*T63))-IF('Needs years'!$C$177=1,'Inputs'!$H$123/100,0))</f>
      </c>
    </row>
    <row r="65" spans="2:20" x14ac:dyDescent="0.25">
      <c r="B65" t="s">
        <v>374</v>
      </c>
      <c r="C65">
        <f>IF('Inputs'!$B$103="",0,ROUND('Needs years'!$C$178+ROUND(IF(C64=0,SUM('Needs years'!$J$172:$J$221),(1-(1+C64)^-1)/(1-(1+C64)^(-1/12))/12*SUMPRODUCT('Needs years'!$J$172:$J$221,(1+C64)^(-'Needs years'!$I$172:$I$221))),2),2))</f>
      </c>
      <c r="E65">
        <f>IF('Inputs'!$B$103="",0,ROUND('Needs years'!$C$178+ROUND(IF(E64=0,SUM('Needs years'!$J$172:$J$221),(1-(1+E64)^-1)/(1-(1+E64)^(-1/12))/12*SUMPRODUCT('Needs years'!$J$172:$J$221,(1+E64)^(-'Needs years'!$I$172:$I$221))),2),2))</f>
      </c>
      <c r="F65">
        <f>IF('Inputs'!$B$103="",0,ROUND('Needs years'!$C$178+ROUND(IF(F64=0,SUM('Needs years'!$J$172:$J$221),(1-(1+F64)^-1)/(1-(1+F64)^(-1/12))/12*SUMPRODUCT('Needs years'!$J$172:$J$221,(1+F64)^(-'Needs years'!$I$172:$I$221))),2),2))</f>
      </c>
      <c r="G65">
        <f>IF('Inputs'!$B$103="",0,ROUND('Needs years'!$C$178+ROUND(IF(G64=0,SUM('Needs years'!$J$172:$J$221),(1-(1+G64)^-1)/(1-(1+G64)^(-1/12))/12*SUMPRODUCT('Needs years'!$J$172:$J$221,(1+G64)^(-'Needs years'!$I$172:$I$221))),2),2))</f>
      </c>
      <c r="H65">
        <f>IF('Inputs'!$B$103="",0,ROUND('Needs years'!$C$178+ROUND(IF(H64=0,SUM('Needs years'!$J$172:$J$221),(1-(1+H64)^-1)/(1-(1+H64)^(-1/12))/12*SUMPRODUCT('Needs years'!$J$172:$J$221,(1+H64)^(-'Needs years'!$I$172:$I$221))),2),2))</f>
      </c>
      <c r="I65">
        <f>IF('Inputs'!$B$103="",0,ROUND('Needs years'!$C$178+ROUND(IF(I64=0,SUM('Needs years'!$J$172:$J$221),(1-(1+I64)^-1)/(1-(1+I64)^(-1/12))/12*SUMPRODUCT('Needs years'!$J$172:$J$221,(1+I64)^(-'Needs years'!$I$172:$I$221))),2),2))</f>
      </c>
      <c r="J65">
        <f>IF('Inputs'!$B$103="",0,ROUND('Needs years'!$C$178+ROUND(IF(J64=0,SUM('Needs years'!$J$172:$J$221),(1-(1+J64)^-1)/(1-(1+J64)^(-1/12))/12*SUMPRODUCT('Needs years'!$J$172:$J$221,(1+J64)^(-'Needs years'!$I$172:$I$221))),2),2))</f>
      </c>
      <c r="K65">
        <f>IF('Inputs'!$B$103="",0,ROUND('Needs years'!$C$178+ROUND(IF(K64=0,SUM('Needs years'!$J$172:$J$221),(1-(1+K64)^-1)/(1-(1+K64)^(-1/12))/12*SUMPRODUCT('Needs years'!$J$172:$J$221,(1+K64)^(-'Needs years'!$I$172:$I$221))),2),2))</f>
      </c>
      <c r="L65">
        <f>IF('Inputs'!$B$103="",0,ROUND('Needs years'!$C$178+ROUND(IF(L64=0,SUM('Needs years'!$J$172:$J$221),(1-(1+L64)^-1)/(1-(1+L64)^(-1/12))/12*SUMPRODUCT('Needs years'!$J$172:$J$221,(1+L64)^(-'Needs years'!$I$172:$I$221))),2),2))</f>
      </c>
      <c r="M65">
        <f>IF('Inputs'!$B$103="",0,ROUND('Needs years'!$C$178+ROUND(IF(M64=0,SUM('Needs years'!$J$172:$J$221),(1-(1+M64)^-1)/(1-(1+M64)^(-1/12))/12*SUMPRODUCT('Needs years'!$J$172:$J$221,(1+M64)^(-'Needs years'!$I$172:$I$221))),2),2))</f>
      </c>
      <c r="N65">
        <f>IF('Inputs'!$B$103="",0,ROUND('Needs years'!$C$178+ROUND(IF(N64=0,SUM('Needs years'!$J$172:$J$221),(1-(1+N64)^-1)/(1-(1+N64)^(-1/12))/12*SUMPRODUCT('Needs years'!$J$172:$J$221,(1+N64)^(-'Needs years'!$I$172:$I$221))),2),2))</f>
      </c>
      <c r="O65">
        <f>IF('Inputs'!$B$103="",0,ROUND('Needs years'!$C$178+ROUND(IF(O64=0,SUM('Needs years'!$J$172:$J$221),(1-(1+O64)^-1)/(1-(1+O64)^(-1/12))/12*SUMPRODUCT('Needs years'!$J$172:$J$221,(1+O64)^(-'Needs years'!$I$172:$I$221))),2),2))</f>
      </c>
      <c r="P65">
        <f>IF('Inputs'!$B$103="",0,ROUND('Needs years'!$C$178+ROUND(IF(P64=0,SUM('Needs years'!$J$172:$J$221),(1-(1+P64)^-1)/(1-(1+P64)^(-1/12))/12*SUMPRODUCT('Needs years'!$J$172:$J$221,(1+P64)^(-'Needs years'!$I$172:$I$221))),2),2))</f>
      </c>
      <c r="Q65">
        <f>IF('Inputs'!$B$103="",0,ROUND('Needs years'!$C$178+ROUND(IF(Q64=0,SUM('Needs years'!$J$172:$J$221),(1-(1+Q64)^-1)/(1-(1+Q64)^(-1/12))/12*SUMPRODUCT('Needs years'!$J$172:$J$221,(1+Q64)^(-'Needs years'!$I$172:$I$221))),2),2))</f>
      </c>
      <c r="R65">
        <f>IF('Inputs'!$B$103="",0,ROUND('Needs years'!$C$178+ROUND(IF(R64=0,SUM('Needs years'!$J$172:$J$221),(1-(1+R64)^-1)/(1-(1+R64)^(-1/12))/12*SUMPRODUCT('Needs years'!$J$172:$J$221,(1+R64)^(-'Needs years'!$I$172:$I$221))),2),2))</f>
      </c>
      <c r="S65">
        <f>IF('Inputs'!$B$103="",0,ROUND('Needs years'!$C$178+ROUND(IF(S64=0,SUM('Needs years'!$J$172:$J$221),(1-(1+S64)^-1)/(1-(1+S64)^(-1/12))/12*SUMPRODUCT('Needs years'!$J$172:$J$221,(1+S64)^(-'Needs years'!$I$172:$I$221))),2),2))</f>
      </c>
      <c r="T65">
        <f>IF('Inputs'!$B$103="",0,ROUND('Needs years'!$C$178+ROUND(IF(T64=0,SUM('Needs years'!$J$172:$J$221),(1-(1+T64)^-1)/(1-(1+T64)^(-1/12))/12*SUMPRODUCT('Needs years'!$J$172:$J$221,(1+T64)^(-'Needs years'!$I$172:$I$221))),2),2))</f>
      </c>
    </row>
    <row r="66" spans="2:20" x14ac:dyDescent="0.25">
      <c r="B66" t="s">
        <v>375</v>
      </c>
      <c r="C66">
        <f>IF('Inputs'!$B$103="",0,ROUND(C65-C61,2))</f>
      </c>
      <c r="E66">
        <f>IF('Inputs'!$B$103="",0,ROUND(E65-E61,2))</f>
      </c>
      <c r="F66">
        <f>IF('Inputs'!$B$103="",0,ROUND(F65-F61,2))</f>
      </c>
      <c r="G66">
        <f>IF('Inputs'!$B$103="",0,ROUND(G65-G61,2))</f>
      </c>
      <c r="H66">
        <f>IF('Inputs'!$B$103="",0,ROUND(H65-H61,2))</f>
      </c>
      <c r="I66">
        <f>IF('Inputs'!$B$103="",0,ROUND(I65-I61,2))</f>
      </c>
      <c r="J66">
        <f>IF('Inputs'!$B$103="",0,ROUND(J65-J61,2))</f>
      </c>
      <c r="K66">
        <f>IF('Inputs'!$B$103="",0,ROUND(K65-K61,2))</f>
      </c>
      <c r="L66">
        <f>IF('Inputs'!$B$103="",0,ROUND(L65-L61,2))</f>
      </c>
      <c r="M66">
        <f>IF('Inputs'!$B$103="",0,ROUND(M65-M61,2))</f>
      </c>
      <c r="N66">
        <f>IF('Inputs'!$B$103="",0,ROUND(N65-N61,2))</f>
      </c>
      <c r="O66">
        <f>IF('Inputs'!$B$103="",0,ROUND(O65-O61,2))</f>
      </c>
      <c r="P66">
        <f>IF('Inputs'!$B$103="",0,ROUND(P65-P61,2))</f>
      </c>
      <c r="Q66">
        <f>IF('Inputs'!$B$103="",0,ROUND(Q65-Q61,2))</f>
      </c>
      <c r="R66">
        <f>IF('Inputs'!$B$103="",0,ROUND(R65-R61,2))</f>
      </c>
      <c r="S66">
        <f>IF('Inputs'!$B$103="",0,ROUND(S65-S61,2))</f>
      </c>
      <c r="T66">
        <f>IF('Inputs'!$B$103="",0,ROUND(T65-T61,2))</f>
      </c>
    </row>
    <row r="67" spans="2:20" x14ac:dyDescent="0.25">
      <c r="B67" t="s">
        <v>376</v>
      </c>
      <c r="C67">
        <f>IF('Inputs'!$B$103="",0,'Needs years'!$C$184+IF((C65-'Needs years'!$C$178)&gt;0,MAX(0,C61-'Needs years'!$C$178)/(C65-'Needs years'!$C$178)*'Needs years'!$J$172/12,0))</f>
      </c>
      <c r="E67">
        <f>IF('Inputs'!$B$103="",0,'Needs years'!$C$184+IF((E65-'Needs years'!$C$178)&gt;0,MAX(0,E61-'Needs years'!$C$178)/(E65-'Needs years'!$C$178)*'Needs years'!$J$172/12,0))</f>
      </c>
      <c r="F67">
        <f>IF('Inputs'!$B$103="",0,'Needs years'!$C$184+IF((F65-'Needs years'!$C$178)&gt;0,MAX(0,F61-'Needs years'!$C$178)/(F65-'Needs years'!$C$178)*'Needs years'!$J$172/12,0))</f>
      </c>
      <c r="G67">
        <f>IF('Inputs'!$B$103="",0,'Needs years'!$C$184+IF((G65-'Needs years'!$C$178)&gt;0,MAX(0,G61-'Needs years'!$C$178)/(G65-'Needs years'!$C$178)*'Needs years'!$J$172/12,0))</f>
      </c>
      <c r="H67">
        <f>IF('Inputs'!$B$103="",0,'Needs years'!$C$184+IF((H65-'Needs years'!$C$178)&gt;0,MAX(0,H61-'Needs years'!$C$178)/(H65-'Needs years'!$C$178)*'Needs years'!$J$172/12,0))</f>
      </c>
      <c r="I67">
        <f>IF('Inputs'!$B$103="",0,'Needs years'!$C$184+IF((I65-'Needs years'!$C$178)&gt;0,MAX(0,I61-'Needs years'!$C$178)/(I65-'Needs years'!$C$178)*'Needs years'!$J$172/12,0))</f>
      </c>
      <c r="J67">
        <f>IF('Inputs'!$B$103="",0,'Needs years'!$C$184+IF((J65-'Needs years'!$C$178)&gt;0,MAX(0,J61-'Needs years'!$C$178)/(J65-'Needs years'!$C$178)*'Needs years'!$J$172/12,0))</f>
      </c>
      <c r="K67">
        <f>IF('Inputs'!$B$103="",0,'Needs years'!$C$184+IF((K65-'Needs years'!$C$178)&gt;0,MAX(0,K61-'Needs years'!$C$178)/(K65-'Needs years'!$C$178)*'Needs years'!$J$172/12,0))</f>
      </c>
      <c r="L67">
        <f>IF('Inputs'!$B$103="",0,'Needs years'!$C$184+IF((L65-'Needs years'!$C$178)&gt;0,MAX(0,L61-'Needs years'!$C$178)/(L65-'Needs years'!$C$178)*'Needs years'!$J$172/12,0))</f>
      </c>
      <c r="M67">
        <f>IF('Inputs'!$B$103="",0,'Needs years'!$C$184+IF((M65-'Needs years'!$C$178)&gt;0,MAX(0,M61-'Needs years'!$C$178)/(M65-'Needs years'!$C$178)*'Needs years'!$J$172/12,0))</f>
      </c>
      <c r="N67">
        <f>IF('Inputs'!$B$103="",0,'Needs years'!$C$184+IF((N65-'Needs years'!$C$178)&gt;0,MAX(0,N61-'Needs years'!$C$178)/(N65-'Needs years'!$C$178)*'Needs years'!$J$172/12,0))</f>
      </c>
      <c r="O67">
        <f>IF('Inputs'!$B$103="",0,'Needs years'!$C$184+IF((O65-'Needs years'!$C$178)&gt;0,MAX(0,O61-'Needs years'!$C$178)/(O65-'Needs years'!$C$178)*'Needs years'!$J$172/12,0))</f>
      </c>
      <c r="P67">
        <f>IF('Inputs'!$B$103="",0,'Needs years'!$C$184+IF((P65-'Needs years'!$C$178)&gt;0,MAX(0,P61-'Needs years'!$C$178)/(P65-'Needs years'!$C$178)*'Needs years'!$J$172/12,0))</f>
      </c>
      <c r="Q67">
        <f>IF('Inputs'!$B$103="",0,'Needs years'!$C$184+IF((Q65-'Needs years'!$C$178)&gt;0,MAX(0,Q61-'Needs years'!$C$178)/(Q65-'Needs years'!$C$178)*'Needs years'!$J$172/12,0))</f>
      </c>
      <c r="R67">
        <f>IF('Inputs'!$B$103="",0,'Needs years'!$C$184+IF((R65-'Needs years'!$C$178)&gt;0,MAX(0,R61-'Needs years'!$C$178)/(R65-'Needs years'!$C$178)*'Needs years'!$J$172/12,0))</f>
      </c>
      <c r="S67">
        <f>IF('Inputs'!$B$103="",0,'Needs years'!$C$184+IF((S65-'Needs years'!$C$178)&gt;0,MAX(0,S61-'Needs years'!$C$178)/(S65-'Needs years'!$C$178)*'Needs years'!$J$172/12,0))</f>
      </c>
      <c r="T67">
        <f>IF('Inputs'!$B$103="",0,'Needs years'!$C$184+IF((T65-'Needs years'!$C$178)&gt;0,MAX(0,T61-'Needs years'!$C$178)/(T65-'Needs years'!$C$178)*'Needs years'!$J$172/12,0))</f>
      </c>
    </row>
    <row r="68" spans="2:20" x14ac:dyDescent="0.25">
      <c r="B68" t="s">
        <v>377</v>
      </c>
      <c r="C68">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68">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68">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68">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68">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68">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68">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68">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68">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68">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68">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68">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68">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68">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68">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68">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68">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69" spans="2:20" x14ac:dyDescent="0.25">
      <c r="B69" t="s">
        <v>378</v>
      </c>
      <c r="C69">
        <f>'Needs years'!$C$229+MAX(0,C68-'Needs years'!$C$234)*('Inputs'!$H$122/100*('Inputs'!$H$125/100+'Inputs'!$H$120/100*'Inputs'!$H$127/100))</f>
      </c>
      <c r="E69">
        <f>'Needs years'!$C$229+MAX(0,E68-'Needs years'!$C$234)*('Inputs'!$H$122/100*('Inputs'!$H$125/100+'Inputs'!$H$120/100*'Inputs'!$H$127/100))</f>
      </c>
      <c r="F69">
        <f>'Needs years'!$C$229+MAX(0,F68-'Needs years'!$C$234)*('Inputs'!$H$122/100*('Inputs'!$H$125/100+'Inputs'!$H$120/100*'Inputs'!$H$127/100))</f>
      </c>
      <c r="G69">
        <f>'Needs years'!$C$229+MAX(0,G68-'Needs years'!$C$234)*('Inputs'!$H$122/100*('Inputs'!$H$125/100+'Inputs'!$H$120/100*'Inputs'!$H$127/100))</f>
      </c>
      <c r="H69">
        <f>'Needs years'!$C$229+MAX(0,H68-'Needs years'!$C$234)*('Inputs'!$H$122/100*('Inputs'!$H$125/100+'Inputs'!$H$120/100*'Inputs'!$H$127/100))</f>
      </c>
      <c r="I69">
        <f>'Needs years'!$C$229+MAX(0,I68-'Needs years'!$C$234)*('Inputs'!$H$122/100*('Inputs'!$H$125/100+'Inputs'!$H$120/100*'Inputs'!$H$127/100))</f>
      </c>
      <c r="J69">
        <f>'Needs years'!$C$229+MAX(0,J68-'Needs years'!$C$234)*('Inputs'!$H$122/100*('Inputs'!$H$125/100+'Inputs'!$H$120/100*'Inputs'!$H$127/100))</f>
      </c>
      <c r="K69">
        <f>'Needs years'!$C$229+MAX(0,K68-'Needs years'!$C$234)*('Inputs'!$H$122/100*('Inputs'!$H$125/100+'Inputs'!$H$120/100*'Inputs'!$H$127/100))</f>
      </c>
      <c r="L69">
        <f>'Needs years'!$C$229+MAX(0,L68-'Needs years'!$C$234)*('Inputs'!$H$122/100*('Inputs'!$H$125/100+'Inputs'!$H$120/100*'Inputs'!$H$127/100))</f>
      </c>
      <c r="M69">
        <f>'Needs years'!$C$229+MAX(0,M68-'Needs years'!$C$234)*('Inputs'!$H$122/100*('Inputs'!$H$125/100+'Inputs'!$H$120/100*'Inputs'!$H$127/100))</f>
      </c>
      <c r="N69">
        <f>'Needs years'!$C$229+MAX(0,N68-'Needs years'!$C$234)*('Inputs'!$H$122/100*('Inputs'!$H$125/100+'Inputs'!$H$120/100*'Inputs'!$H$127/100))</f>
      </c>
      <c r="O69">
        <f>'Needs years'!$C$229+MAX(0,O68-'Needs years'!$C$234)*('Inputs'!$H$122/100*('Inputs'!$H$125/100+'Inputs'!$H$120/100*'Inputs'!$H$127/100))</f>
      </c>
      <c r="P69">
        <f>'Needs years'!$C$229+MAX(0,P68-'Needs years'!$C$234)*('Inputs'!$H$122/100*('Inputs'!$H$125/100+'Inputs'!$H$120/100*'Inputs'!$H$127/100))</f>
      </c>
      <c r="Q69">
        <f>'Needs years'!$C$229+MAX(0,Q68-'Needs years'!$C$234)*('Inputs'!$H$122/100*('Inputs'!$H$125/100+'Inputs'!$H$120/100*'Inputs'!$H$127/100))</f>
      </c>
      <c r="R69">
        <f>'Needs years'!$C$229+MAX(0,R68-'Needs years'!$C$234)*('Inputs'!$H$122/100*('Inputs'!$H$125/100+'Inputs'!$H$120/100*'Inputs'!$H$127/100))</f>
      </c>
      <c r="S69">
        <f>'Needs years'!$C$229+MAX(0,S68-'Needs years'!$C$234)*('Inputs'!$H$122/100*('Inputs'!$H$125/100+'Inputs'!$H$120/100*'Inputs'!$H$127/100))</f>
      </c>
      <c r="T69">
        <f>'Needs years'!$C$229+MAX(0,T68-'Needs years'!$C$234)*('Inputs'!$H$122/100*('Inputs'!$H$125/100+'Inputs'!$H$120/100*'Inputs'!$H$127/100))</f>
      </c>
    </row>
    <row r="70" spans="2:20" x14ac:dyDescent="0.25">
      <c r="B70" t="s">
        <v>379</v>
      </c>
      <c r="C70">
        <f>IF(C69&lt;='Needs years'!$C$228,0,INDEX('Inputs'!$E$134:$E$140,MATCH(C69,'Inputs'!$C$134:$C$140,1)-IF(COUNTIF('Inputs'!$C$134:$C$140,C69)&gt;0,1,0))/100)</f>
      </c>
      <c r="E70">
        <f>IF(E69&lt;='Needs years'!$C$228,0,INDEX('Inputs'!$E$134:$E$140,MATCH(E69,'Inputs'!$C$134:$C$140,1)-IF(COUNTIF('Inputs'!$C$134:$C$140,E69)&gt;0,1,0))/100)</f>
      </c>
      <c r="F70">
        <f>IF(F69&lt;='Needs years'!$C$228,0,INDEX('Inputs'!$E$134:$E$140,MATCH(F69,'Inputs'!$C$134:$C$140,1)-IF(COUNTIF('Inputs'!$C$134:$C$140,F69)&gt;0,1,0))/100)</f>
      </c>
      <c r="G70">
        <f>IF(G69&lt;='Needs years'!$C$228,0,INDEX('Inputs'!$E$134:$E$140,MATCH(G69,'Inputs'!$C$134:$C$140,1)-IF(COUNTIF('Inputs'!$C$134:$C$140,G69)&gt;0,1,0))/100)</f>
      </c>
      <c r="H70">
        <f>IF(H69&lt;='Needs years'!$C$228,0,INDEX('Inputs'!$E$134:$E$140,MATCH(H69,'Inputs'!$C$134:$C$140,1)-IF(COUNTIF('Inputs'!$C$134:$C$140,H69)&gt;0,1,0))/100)</f>
      </c>
      <c r="I70">
        <f>IF(I69&lt;='Needs years'!$C$228,0,INDEX('Inputs'!$E$134:$E$140,MATCH(I69,'Inputs'!$C$134:$C$140,1)-IF(COUNTIF('Inputs'!$C$134:$C$140,I69)&gt;0,1,0))/100)</f>
      </c>
      <c r="J70">
        <f>IF(J69&lt;='Needs years'!$C$228,0,INDEX('Inputs'!$E$134:$E$140,MATCH(J69,'Inputs'!$C$134:$C$140,1)-IF(COUNTIF('Inputs'!$C$134:$C$140,J69)&gt;0,1,0))/100)</f>
      </c>
      <c r="K70">
        <f>IF(K69&lt;='Needs years'!$C$228,0,INDEX('Inputs'!$E$134:$E$140,MATCH(K69,'Inputs'!$C$134:$C$140,1)-IF(COUNTIF('Inputs'!$C$134:$C$140,K69)&gt;0,1,0))/100)</f>
      </c>
      <c r="L70">
        <f>IF(L69&lt;='Needs years'!$C$228,0,INDEX('Inputs'!$E$134:$E$140,MATCH(L69,'Inputs'!$C$134:$C$140,1)-IF(COUNTIF('Inputs'!$C$134:$C$140,L69)&gt;0,1,0))/100)</f>
      </c>
      <c r="M70">
        <f>IF(M69&lt;='Needs years'!$C$228,0,INDEX('Inputs'!$E$134:$E$140,MATCH(M69,'Inputs'!$C$134:$C$140,1)-IF(COUNTIF('Inputs'!$C$134:$C$140,M69)&gt;0,1,0))/100)</f>
      </c>
      <c r="N70">
        <f>IF(N69&lt;='Needs years'!$C$228,0,INDEX('Inputs'!$E$134:$E$140,MATCH(N69,'Inputs'!$C$134:$C$140,1)-IF(COUNTIF('Inputs'!$C$134:$C$140,N69)&gt;0,1,0))/100)</f>
      </c>
      <c r="O70">
        <f>IF(O69&lt;='Needs years'!$C$228,0,INDEX('Inputs'!$E$134:$E$140,MATCH(O69,'Inputs'!$C$134:$C$140,1)-IF(COUNTIF('Inputs'!$C$134:$C$140,O69)&gt;0,1,0))/100)</f>
      </c>
      <c r="P70">
        <f>IF(P69&lt;='Needs years'!$C$228,0,INDEX('Inputs'!$E$134:$E$140,MATCH(P69,'Inputs'!$C$134:$C$140,1)-IF(COUNTIF('Inputs'!$C$134:$C$140,P69)&gt;0,1,0))/100)</f>
      </c>
      <c r="Q70">
        <f>IF(Q69&lt;='Needs years'!$C$228,0,INDEX('Inputs'!$E$134:$E$140,MATCH(Q69,'Inputs'!$C$134:$C$140,1)-IF(COUNTIF('Inputs'!$C$134:$C$140,Q69)&gt;0,1,0))/100)</f>
      </c>
      <c r="R70">
        <f>IF(R69&lt;='Needs years'!$C$228,0,INDEX('Inputs'!$E$134:$E$140,MATCH(R69,'Inputs'!$C$134:$C$140,1)-IF(COUNTIF('Inputs'!$C$134:$C$140,R69)&gt;0,1,0))/100)</f>
      </c>
      <c r="S70">
        <f>IF(S69&lt;='Needs years'!$C$228,0,INDEX('Inputs'!$E$134:$E$140,MATCH(S69,'Inputs'!$C$134:$C$140,1)-IF(COUNTIF('Inputs'!$C$134:$C$140,S69)&gt;0,1,0))/100)</f>
      </c>
      <c r="T70">
        <f>IF(T69&lt;='Needs years'!$C$228,0,INDEX('Inputs'!$E$134:$E$140,MATCH(T69,'Inputs'!$C$134:$C$140,1)-IF(COUNTIF('Inputs'!$C$134:$C$140,T69)&gt;0,1,0))/100)</f>
      </c>
    </row>
    <row r="71" spans="2:20" x14ac:dyDescent="0.25">
      <c r="B71" t="s">
        <v>380</v>
      </c>
      <c r="C71">
        <f>('Inputs'!$H$122/100*(1-('Inputs'!$H$125/100*C70+'Inputs'!$H$126/100*'Inputs'!$H$128/100+'Inputs'!$H$127/100*'Inputs'!$H$120/100*C70))-IF('Needs years'!$C$233=1,'Inputs'!$H$123/100,0))</f>
      </c>
      <c r="E71">
        <f>('Inputs'!$H$122/100*(1-('Inputs'!$H$125/100*E70+'Inputs'!$H$126/100*'Inputs'!$H$128/100+'Inputs'!$H$127/100*'Inputs'!$H$120/100*E70))-IF('Needs years'!$C$233=1,'Inputs'!$H$123/100,0))</f>
      </c>
      <c r="F71">
        <f>('Inputs'!$H$122/100*(1-('Inputs'!$H$125/100*F70+'Inputs'!$H$126/100*'Inputs'!$H$128/100+'Inputs'!$H$127/100*'Inputs'!$H$120/100*F70))-IF('Needs years'!$C$233=1,'Inputs'!$H$123/100,0))</f>
      </c>
      <c r="G71">
        <f>('Inputs'!$H$122/100*(1-('Inputs'!$H$125/100*G70+'Inputs'!$H$126/100*'Inputs'!$H$128/100+'Inputs'!$H$127/100*'Inputs'!$H$120/100*G70))-IF('Needs years'!$C$233=1,'Inputs'!$H$123/100,0))</f>
      </c>
      <c r="H71">
        <f>('Inputs'!$H$122/100*(1-('Inputs'!$H$125/100*H70+'Inputs'!$H$126/100*'Inputs'!$H$128/100+'Inputs'!$H$127/100*'Inputs'!$H$120/100*H70))-IF('Needs years'!$C$233=1,'Inputs'!$H$123/100,0))</f>
      </c>
      <c r="I71">
        <f>('Inputs'!$H$122/100*(1-('Inputs'!$H$125/100*I70+'Inputs'!$H$126/100*'Inputs'!$H$128/100+'Inputs'!$H$127/100*'Inputs'!$H$120/100*I70))-IF('Needs years'!$C$233=1,'Inputs'!$H$123/100,0))</f>
      </c>
      <c r="J71">
        <f>('Inputs'!$H$122/100*(1-('Inputs'!$H$125/100*J70+'Inputs'!$H$126/100*'Inputs'!$H$128/100+'Inputs'!$H$127/100*'Inputs'!$H$120/100*J70))-IF('Needs years'!$C$233=1,'Inputs'!$H$123/100,0))</f>
      </c>
      <c r="K71">
        <f>('Inputs'!$H$122/100*(1-('Inputs'!$H$125/100*K70+'Inputs'!$H$126/100*'Inputs'!$H$128/100+'Inputs'!$H$127/100*'Inputs'!$H$120/100*K70))-IF('Needs years'!$C$233=1,'Inputs'!$H$123/100,0))</f>
      </c>
      <c r="L71">
        <f>('Inputs'!$H$122/100*(1-('Inputs'!$H$125/100*L70+'Inputs'!$H$126/100*'Inputs'!$H$128/100+'Inputs'!$H$127/100*'Inputs'!$H$120/100*L70))-IF('Needs years'!$C$233=1,'Inputs'!$H$123/100,0))</f>
      </c>
      <c r="M71">
        <f>('Inputs'!$H$122/100*(1-('Inputs'!$H$125/100*M70+'Inputs'!$H$126/100*'Inputs'!$H$128/100+'Inputs'!$H$127/100*'Inputs'!$H$120/100*M70))-IF('Needs years'!$C$233=1,'Inputs'!$H$123/100,0))</f>
      </c>
      <c r="N71">
        <f>('Inputs'!$H$122/100*(1-('Inputs'!$H$125/100*N70+'Inputs'!$H$126/100*'Inputs'!$H$128/100+'Inputs'!$H$127/100*'Inputs'!$H$120/100*N70))-IF('Needs years'!$C$233=1,'Inputs'!$H$123/100,0))</f>
      </c>
      <c r="O71">
        <f>('Inputs'!$H$122/100*(1-('Inputs'!$H$125/100*O70+'Inputs'!$H$126/100*'Inputs'!$H$128/100+'Inputs'!$H$127/100*'Inputs'!$H$120/100*O70))-IF('Needs years'!$C$233=1,'Inputs'!$H$123/100,0))</f>
      </c>
      <c r="P71">
        <f>('Inputs'!$H$122/100*(1-('Inputs'!$H$125/100*P70+'Inputs'!$H$126/100*'Inputs'!$H$128/100+'Inputs'!$H$127/100*'Inputs'!$H$120/100*P70))-IF('Needs years'!$C$233=1,'Inputs'!$H$123/100,0))</f>
      </c>
      <c r="Q71">
        <f>('Inputs'!$H$122/100*(1-('Inputs'!$H$125/100*Q70+'Inputs'!$H$126/100*'Inputs'!$H$128/100+'Inputs'!$H$127/100*'Inputs'!$H$120/100*Q70))-IF('Needs years'!$C$233=1,'Inputs'!$H$123/100,0))</f>
      </c>
      <c r="R71">
        <f>('Inputs'!$H$122/100*(1-('Inputs'!$H$125/100*R70+'Inputs'!$H$126/100*'Inputs'!$H$128/100+'Inputs'!$H$127/100*'Inputs'!$H$120/100*R70))-IF('Needs years'!$C$233=1,'Inputs'!$H$123/100,0))</f>
      </c>
      <c r="S71">
        <f>('Inputs'!$H$122/100*(1-('Inputs'!$H$125/100*S70+'Inputs'!$H$126/100*'Inputs'!$H$128/100+'Inputs'!$H$127/100*'Inputs'!$H$120/100*S70))-IF('Needs years'!$C$233=1,'Inputs'!$H$123/100,0))</f>
      </c>
      <c r="T71">
        <f>('Inputs'!$H$122/100*(1-('Inputs'!$H$125/100*T70+'Inputs'!$H$126/100*'Inputs'!$H$128/100+'Inputs'!$H$127/100*'Inputs'!$H$120/100*T70))-IF('Needs years'!$C$233=1,'Inputs'!$H$123/100,0))</f>
      </c>
    </row>
    <row r="72" spans="2:20" x14ac:dyDescent="0.25">
      <c r="B72" t="s">
        <v>381</v>
      </c>
      <c r="C72">
        <f>IF('Inputs'!$B$104="",0,ROUND('Needs years'!$C$234+ROUND(IF(C71=0,SUM('Needs years'!$J$228:$J$277),(1-(1+C71)^-1)/(1-(1+C71)^(-1/12))/12*SUMPRODUCT('Needs years'!$J$228:$J$277,(1+C71)^(-'Needs years'!$I$228:$I$277))),2),2))</f>
      </c>
      <c r="E72">
        <f>IF('Inputs'!$B$104="",0,ROUND('Needs years'!$C$234+ROUND(IF(E71=0,SUM('Needs years'!$J$228:$J$277),(1-(1+E71)^-1)/(1-(1+E71)^(-1/12))/12*SUMPRODUCT('Needs years'!$J$228:$J$277,(1+E71)^(-'Needs years'!$I$228:$I$277))),2),2))</f>
      </c>
      <c r="F72">
        <f>IF('Inputs'!$B$104="",0,ROUND('Needs years'!$C$234+ROUND(IF(F71=0,SUM('Needs years'!$J$228:$J$277),(1-(1+F71)^-1)/(1-(1+F71)^(-1/12))/12*SUMPRODUCT('Needs years'!$J$228:$J$277,(1+F71)^(-'Needs years'!$I$228:$I$277))),2),2))</f>
      </c>
      <c r="G72">
        <f>IF('Inputs'!$B$104="",0,ROUND('Needs years'!$C$234+ROUND(IF(G71=0,SUM('Needs years'!$J$228:$J$277),(1-(1+G71)^-1)/(1-(1+G71)^(-1/12))/12*SUMPRODUCT('Needs years'!$J$228:$J$277,(1+G71)^(-'Needs years'!$I$228:$I$277))),2),2))</f>
      </c>
      <c r="H72">
        <f>IF('Inputs'!$B$104="",0,ROUND('Needs years'!$C$234+ROUND(IF(H71=0,SUM('Needs years'!$J$228:$J$277),(1-(1+H71)^-1)/(1-(1+H71)^(-1/12))/12*SUMPRODUCT('Needs years'!$J$228:$J$277,(1+H71)^(-'Needs years'!$I$228:$I$277))),2),2))</f>
      </c>
      <c r="I72">
        <f>IF('Inputs'!$B$104="",0,ROUND('Needs years'!$C$234+ROUND(IF(I71=0,SUM('Needs years'!$J$228:$J$277),(1-(1+I71)^-1)/(1-(1+I71)^(-1/12))/12*SUMPRODUCT('Needs years'!$J$228:$J$277,(1+I71)^(-'Needs years'!$I$228:$I$277))),2),2))</f>
      </c>
      <c r="J72">
        <f>IF('Inputs'!$B$104="",0,ROUND('Needs years'!$C$234+ROUND(IF(J71=0,SUM('Needs years'!$J$228:$J$277),(1-(1+J71)^-1)/(1-(1+J71)^(-1/12))/12*SUMPRODUCT('Needs years'!$J$228:$J$277,(1+J71)^(-'Needs years'!$I$228:$I$277))),2),2))</f>
      </c>
      <c r="K72">
        <f>IF('Inputs'!$B$104="",0,ROUND('Needs years'!$C$234+ROUND(IF(K71=0,SUM('Needs years'!$J$228:$J$277),(1-(1+K71)^-1)/(1-(1+K71)^(-1/12))/12*SUMPRODUCT('Needs years'!$J$228:$J$277,(1+K71)^(-'Needs years'!$I$228:$I$277))),2),2))</f>
      </c>
      <c r="L72">
        <f>IF('Inputs'!$B$104="",0,ROUND('Needs years'!$C$234+ROUND(IF(L71=0,SUM('Needs years'!$J$228:$J$277),(1-(1+L71)^-1)/(1-(1+L71)^(-1/12))/12*SUMPRODUCT('Needs years'!$J$228:$J$277,(1+L71)^(-'Needs years'!$I$228:$I$277))),2),2))</f>
      </c>
      <c r="M72">
        <f>IF('Inputs'!$B$104="",0,ROUND('Needs years'!$C$234+ROUND(IF(M71=0,SUM('Needs years'!$J$228:$J$277),(1-(1+M71)^-1)/(1-(1+M71)^(-1/12))/12*SUMPRODUCT('Needs years'!$J$228:$J$277,(1+M71)^(-'Needs years'!$I$228:$I$277))),2),2))</f>
      </c>
      <c r="N72">
        <f>IF('Inputs'!$B$104="",0,ROUND('Needs years'!$C$234+ROUND(IF(N71=0,SUM('Needs years'!$J$228:$J$277),(1-(1+N71)^-1)/(1-(1+N71)^(-1/12))/12*SUMPRODUCT('Needs years'!$J$228:$J$277,(1+N71)^(-'Needs years'!$I$228:$I$277))),2),2))</f>
      </c>
      <c r="O72">
        <f>IF('Inputs'!$B$104="",0,ROUND('Needs years'!$C$234+ROUND(IF(O71=0,SUM('Needs years'!$J$228:$J$277),(1-(1+O71)^-1)/(1-(1+O71)^(-1/12))/12*SUMPRODUCT('Needs years'!$J$228:$J$277,(1+O71)^(-'Needs years'!$I$228:$I$277))),2),2))</f>
      </c>
      <c r="P72">
        <f>IF('Inputs'!$B$104="",0,ROUND('Needs years'!$C$234+ROUND(IF(P71=0,SUM('Needs years'!$J$228:$J$277),(1-(1+P71)^-1)/(1-(1+P71)^(-1/12))/12*SUMPRODUCT('Needs years'!$J$228:$J$277,(1+P71)^(-'Needs years'!$I$228:$I$277))),2),2))</f>
      </c>
      <c r="Q72">
        <f>IF('Inputs'!$B$104="",0,ROUND('Needs years'!$C$234+ROUND(IF(Q71=0,SUM('Needs years'!$J$228:$J$277),(1-(1+Q71)^-1)/(1-(1+Q71)^(-1/12))/12*SUMPRODUCT('Needs years'!$J$228:$J$277,(1+Q71)^(-'Needs years'!$I$228:$I$277))),2),2))</f>
      </c>
      <c r="R72">
        <f>IF('Inputs'!$B$104="",0,ROUND('Needs years'!$C$234+ROUND(IF(R71=0,SUM('Needs years'!$J$228:$J$277),(1-(1+R71)^-1)/(1-(1+R71)^(-1/12))/12*SUMPRODUCT('Needs years'!$J$228:$J$277,(1+R71)^(-'Needs years'!$I$228:$I$277))),2),2))</f>
      </c>
      <c r="S72">
        <f>IF('Inputs'!$B$104="",0,ROUND('Needs years'!$C$234+ROUND(IF(S71=0,SUM('Needs years'!$J$228:$J$277),(1-(1+S71)^-1)/(1-(1+S71)^(-1/12))/12*SUMPRODUCT('Needs years'!$J$228:$J$277,(1+S71)^(-'Needs years'!$I$228:$I$277))),2),2))</f>
      </c>
      <c r="T72">
        <f>IF('Inputs'!$B$104="",0,ROUND('Needs years'!$C$234+ROUND(IF(T71=0,SUM('Needs years'!$J$228:$J$277),(1-(1+T71)^-1)/(1-(1+T71)^(-1/12))/12*SUMPRODUCT('Needs years'!$J$228:$J$277,(1+T71)^(-'Needs years'!$I$228:$I$277))),2),2))</f>
      </c>
    </row>
    <row r="73" spans="2:20" x14ac:dyDescent="0.25">
      <c r="B73" t="s">
        <v>382</v>
      </c>
      <c r="C73">
        <f>IF('Inputs'!$B$104="",0,ROUND(C72-C68,2))</f>
      </c>
      <c r="E73">
        <f>IF('Inputs'!$B$104="",0,ROUND(E72-E68,2))</f>
      </c>
      <c r="F73">
        <f>IF('Inputs'!$B$104="",0,ROUND(F72-F68,2))</f>
      </c>
      <c r="G73">
        <f>IF('Inputs'!$B$104="",0,ROUND(G72-G68,2))</f>
      </c>
      <c r="H73">
        <f>IF('Inputs'!$B$104="",0,ROUND(H72-H68,2))</f>
      </c>
      <c r="I73">
        <f>IF('Inputs'!$B$104="",0,ROUND(I72-I68,2))</f>
      </c>
      <c r="J73">
        <f>IF('Inputs'!$B$104="",0,ROUND(J72-J68,2))</f>
      </c>
      <c r="K73">
        <f>IF('Inputs'!$B$104="",0,ROUND(K72-K68,2))</f>
      </c>
      <c r="L73">
        <f>IF('Inputs'!$B$104="",0,ROUND(L72-L68,2))</f>
      </c>
      <c r="M73">
        <f>IF('Inputs'!$B$104="",0,ROUND(M72-M68,2))</f>
      </c>
      <c r="N73">
        <f>IF('Inputs'!$B$104="",0,ROUND(N72-N68,2))</f>
      </c>
      <c r="O73">
        <f>IF('Inputs'!$B$104="",0,ROUND(O72-O68,2))</f>
      </c>
      <c r="P73">
        <f>IF('Inputs'!$B$104="",0,ROUND(P72-P68,2))</f>
      </c>
      <c r="Q73">
        <f>IF('Inputs'!$B$104="",0,ROUND(Q72-Q68,2))</f>
      </c>
      <c r="R73">
        <f>IF('Inputs'!$B$104="",0,ROUND(R72-R68,2))</f>
      </c>
      <c r="S73">
        <f>IF('Inputs'!$B$104="",0,ROUND(S72-S68,2))</f>
      </c>
      <c r="T73">
        <f>IF('Inputs'!$B$104="",0,ROUND(T72-T68,2))</f>
      </c>
    </row>
    <row r="74" spans="2:20" x14ac:dyDescent="0.25">
      <c r="B74" t="s">
        <v>383</v>
      </c>
      <c r="C74">
        <f>IF('Inputs'!$B$104="",0,'Needs years'!$C$240+IF((C72-'Needs years'!$C$234)&gt;0,MAX(0,C68-'Needs years'!$C$234)/(C72-'Needs years'!$C$234)*'Needs years'!$J$228/12,0))</f>
      </c>
      <c r="E74">
        <f>IF('Inputs'!$B$104="",0,'Needs years'!$C$240+IF((E72-'Needs years'!$C$234)&gt;0,MAX(0,E68-'Needs years'!$C$234)/(E72-'Needs years'!$C$234)*'Needs years'!$J$228/12,0))</f>
      </c>
      <c r="F74">
        <f>IF('Inputs'!$B$104="",0,'Needs years'!$C$240+IF((F72-'Needs years'!$C$234)&gt;0,MAX(0,F68-'Needs years'!$C$234)/(F72-'Needs years'!$C$234)*'Needs years'!$J$228/12,0))</f>
      </c>
      <c r="G74">
        <f>IF('Inputs'!$B$104="",0,'Needs years'!$C$240+IF((G72-'Needs years'!$C$234)&gt;0,MAX(0,G68-'Needs years'!$C$234)/(G72-'Needs years'!$C$234)*'Needs years'!$J$228/12,0))</f>
      </c>
      <c r="H74">
        <f>IF('Inputs'!$B$104="",0,'Needs years'!$C$240+IF((H72-'Needs years'!$C$234)&gt;0,MAX(0,H68-'Needs years'!$C$234)/(H72-'Needs years'!$C$234)*'Needs years'!$J$228/12,0))</f>
      </c>
      <c r="I74">
        <f>IF('Inputs'!$B$104="",0,'Needs years'!$C$240+IF((I72-'Needs years'!$C$234)&gt;0,MAX(0,I68-'Needs years'!$C$234)/(I72-'Needs years'!$C$234)*'Needs years'!$J$228/12,0))</f>
      </c>
      <c r="J74">
        <f>IF('Inputs'!$B$104="",0,'Needs years'!$C$240+IF((J72-'Needs years'!$C$234)&gt;0,MAX(0,J68-'Needs years'!$C$234)/(J72-'Needs years'!$C$234)*'Needs years'!$J$228/12,0))</f>
      </c>
      <c r="K74">
        <f>IF('Inputs'!$B$104="",0,'Needs years'!$C$240+IF((K72-'Needs years'!$C$234)&gt;0,MAX(0,K68-'Needs years'!$C$234)/(K72-'Needs years'!$C$234)*'Needs years'!$J$228/12,0))</f>
      </c>
      <c r="L74">
        <f>IF('Inputs'!$B$104="",0,'Needs years'!$C$240+IF((L72-'Needs years'!$C$234)&gt;0,MAX(0,L68-'Needs years'!$C$234)/(L72-'Needs years'!$C$234)*'Needs years'!$J$228/12,0))</f>
      </c>
      <c r="M74">
        <f>IF('Inputs'!$B$104="",0,'Needs years'!$C$240+IF((M72-'Needs years'!$C$234)&gt;0,MAX(0,M68-'Needs years'!$C$234)/(M72-'Needs years'!$C$234)*'Needs years'!$J$228/12,0))</f>
      </c>
      <c r="N74">
        <f>IF('Inputs'!$B$104="",0,'Needs years'!$C$240+IF((N72-'Needs years'!$C$234)&gt;0,MAX(0,N68-'Needs years'!$C$234)/(N72-'Needs years'!$C$234)*'Needs years'!$J$228/12,0))</f>
      </c>
      <c r="O74">
        <f>IF('Inputs'!$B$104="",0,'Needs years'!$C$240+IF((O72-'Needs years'!$C$234)&gt;0,MAX(0,O68-'Needs years'!$C$234)/(O72-'Needs years'!$C$234)*'Needs years'!$J$228/12,0))</f>
      </c>
      <c r="P74">
        <f>IF('Inputs'!$B$104="",0,'Needs years'!$C$240+IF((P72-'Needs years'!$C$234)&gt;0,MAX(0,P68-'Needs years'!$C$234)/(P72-'Needs years'!$C$234)*'Needs years'!$J$228/12,0))</f>
      </c>
      <c r="Q74">
        <f>IF('Inputs'!$B$104="",0,'Needs years'!$C$240+IF((Q72-'Needs years'!$C$234)&gt;0,MAX(0,Q68-'Needs years'!$C$234)/(Q72-'Needs years'!$C$234)*'Needs years'!$J$228/12,0))</f>
      </c>
      <c r="R74">
        <f>IF('Inputs'!$B$104="",0,'Needs years'!$C$240+IF((R72-'Needs years'!$C$234)&gt;0,MAX(0,R68-'Needs years'!$C$234)/(R72-'Needs years'!$C$234)*'Needs years'!$J$228/12,0))</f>
      </c>
      <c r="S74">
        <f>IF('Inputs'!$B$104="",0,'Needs years'!$C$240+IF((S72-'Needs years'!$C$234)&gt;0,MAX(0,S68-'Needs years'!$C$234)/(S72-'Needs years'!$C$234)*'Needs years'!$J$228/12,0))</f>
      </c>
      <c r="T74">
        <f>IF('Inputs'!$B$104="",0,'Needs years'!$C$240+IF((T72-'Needs years'!$C$234)&gt;0,MAX(0,T68-'Needs years'!$C$234)/(T72-'Needs years'!$C$234)*'Needs years'!$J$228/12,0))</f>
      </c>
    </row>
    <row r="75" spans="2:20" x14ac:dyDescent="0.25">
      <c r="B75" t="s">
        <v>384</v>
      </c>
      <c r="C75">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75">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75">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75">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75">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75">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75">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75">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75">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75">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75">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75">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75">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75">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75">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75">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75">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76" spans="2:20" x14ac:dyDescent="0.25">
      <c r="B76" t="s">
        <v>385</v>
      </c>
      <c r="C76">
        <f>'Needs years'!$C$285+MAX(0,C75-'Needs years'!$C$290)*('Inputs'!$H$122/100*('Inputs'!$H$125/100+'Inputs'!$H$120/100*'Inputs'!$H$127/100))</f>
      </c>
      <c r="E76">
        <f>'Needs years'!$C$285+MAX(0,E75-'Needs years'!$C$290)*('Inputs'!$H$122/100*('Inputs'!$H$125/100+'Inputs'!$H$120/100*'Inputs'!$H$127/100))</f>
      </c>
      <c r="F76">
        <f>'Needs years'!$C$285+MAX(0,F75-'Needs years'!$C$290)*('Inputs'!$H$122/100*('Inputs'!$H$125/100+'Inputs'!$H$120/100*'Inputs'!$H$127/100))</f>
      </c>
      <c r="G76">
        <f>'Needs years'!$C$285+MAX(0,G75-'Needs years'!$C$290)*('Inputs'!$H$122/100*('Inputs'!$H$125/100+'Inputs'!$H$120/100*'Inputs'!$H$127/100))</f>
      </c>
      <c r="H76">
        <f>'Needs years'!$C$285+MAX(0,H75-'Needs years'!$C$290)*('Inputs'!$H$122/100*('Inputs'!$H$125/100+'Inputs'!$H$120/100*'Inputs'!$H$127/100))</f>
      </c>
      <c r="I76">
        <f>'Needs years'!$C$285+MAX(0,I75-'Needs years'!$C$290)*('Inputs'!$H$122/100*('Inputs'!$H$125/100+'Inputs'!$H$120/100*'Inputs'!$H$127/100))</f>
      </c>
      <c r="J76">
        <f>'Needs years'!$C$285+MAX(0,J75-'Needs years'!$C$290)*('Inputs'!$H$122/100*('Inputs'!$H$125/100+'Inputs'!$H$120/100*'Inputs'!$H$127/100))</f>
      </c>
      <c r="K76">
        <f>'Needs years'!$C$285+MAX(0,K75-'Needs years'!$C$290)*('Inputs'!$H$122/100*('Inputs'!$H$125/100+'Inputs'!$H$120/100*'Inputs'!$H$127/100))</f>
      </c>
      <c r="L76">
        <f>'Needs years'!$C$285+MAX(0,L75-'Needs years'!$C$290)*('Inputs'!$H$122/100*('Inputs'!$H$125/100+'Inputs'!$H$120/100*'Inputs'!$H$127/100))</f>
      </c>
      <c r="M76">
        <f>'Needs years'!$C$285+MAX(0,M75-'Needs years'!$C$290)*('Inputs'!$H$122/100*('Inputs'!$H$125/100+'Inputs'!$H$120/100*'Inputs'!$H$127/100))</f>
      </c>
      <c r="N76">
        <f>'Needs years'!$C$285+MAX(0,N75-'Needs years'!$C$290)*('Inputs'!$H$122/100*('Inputs'!$H$125/100+'Inputs'!$H$120/100*'Inputs'!$H$127/100))</f>
      </c>
      <c r="O76">
        <f>'Needs years'!$C$285+MAX(0,O75-'Needs years'!$C$290)*('Inputs'!$H$122/100*('Inputs'!$H$125/100+'Inputs'!$H$120/100*'Inputs'!$H$127/100))</f>
      </c>
      <c r="P76">
        <f>'Needs years'!$C$285+MAX(0,P75-'Needs years'!$C$290)*('Inputs'!$H$122/100*('Inputs'!$H$125/100+'Inputs'!$H$120/100*'Inputs'!$H$127/100))</f>
      </c>
      <c r="Q76">
        <f>'Needs years'!$C$285+MAX(0,Q75-'Needs years'!$C$290)*('Inputs'!$H$122/100*('Inputs'!$H$125/100+'Inputs'!$H$120/100*'Inputs'!$H$127/100))</f>
      </c>
      <c r="R76">
        <f>'Needs years'!$C$285+MAX(0,R75-'Needs years'!$C$290)*('Inputs'!$H$122/100*('Inputs'!$H$125/100+'Inputs'!$H$120/100*'Inputs'!$H$127/100))</f>
      </c>
      <c r="S76">
        <f>'Needs years'!$C$285+MAX(0,S75-'Needs years'!$C$290)*('Inputs'!$H$122/100*('Inputs'!$H$125/100+'Inputs'!$H$120/100*'Inputs'!$H$127/100))</f>
      </c>
      <c r="T76">
        <f>'Needs years'!$C$285+MAX(0,T75-'Needs years'!$C$290)*('Inputs'!$H$122/100*('Inputs'!$H$125/100+'Inputs'!$H$120/100*'Inputs'!$H$127/100))</f>
      </c>
    </row>
    <row r="77" spans="2:20" x14ac:dyDescent="0.25">
      <c r="B77" t="s">
        <v>386</v>
      </c>
      <c r="C77">
        <f>IF(C76&lt;='Needs years'!$C$284,0,INDEX('Inputs'!$E$134:$E$140,MATCH(C76,'Inputs'!$C$134:$C$140,1)-IF(COUNTIF('Inputs'!$C$134:$C$140,C76)&gt;0,1,0))/100)</f>
      </c>
      <c r="E77">
        <f>IF(E76&lt;='Needs years'!$C$284,0,INDEX('Inputs'!$E$134:$E$140,MATCH(E76,'Inputs'!$C$134:$C$140,1)-IF(COUNTIF('Inputs'!$C$134:$C$140,E76)&gt;0,1,0))/100)</f>
      </c>
      <c r="F77">
        <f>IF(F76&lt;='Needs years'!$C$284,0,INDEX('Inputs'!$E$134:$E$140,MATCH(F76,'Inputs'!$C$134:$C$140,1)-IF(COUNTIF('Inputs'!$C$134:$C$140,F76)&gt;0,1,0))/100)</f>
      </c>
      <c r="G77">
        <f>IF(G76&lt;='Needs years'!$C$284,0,INDEX('Inputs'!$E$134:$E$140,MATCH(G76,'Inputs'!$C$134:$C$140,1)-IF(COUNTIF('Inputs'!$C$134:$C$140,G76)&gt;0,1,0))/100)</f>
      </c>
      <c r="H77">
        <f>IF(H76&lt;='Needs years'!$C$284,0,INDEX('Inputs'!$E$134:$E$140,MATCH(H76,'Inputs'!$C$134:$C$140,1)-IF(COUNTIF('Inputs'!$C$134:$C$140,H76)&gt;0,1,0))/100)</f>
      </c>
      <c r="I77">
        <f>IF(I76&lt;='Needs years'!$C$284,0,INDEX('Inputs'!$E$134:$E$140,MATCH(I76,'Inputs'!$C$134:$C$140,1)-IF(COUNTIF('Inputs'!$C$134:$C$140,I76)&gt;0,1,0))/100)</f>
      </c>
      <c r="J77">
        <f>IF(J76&lt;='Needs years'!$C$284,0,INDEX('Inputs'!$E$134:$E$140,MATCH(J76,'Inputs'!$C$134:$C$140,1)-IF(COUNTIF('Inputs'!$C$134:$C$140,J76)&gt;0,1,0))/100)</f>
      </c>
      <c r="K77">
        <f>IF(K76&lt;='Needs years'!$C$284,0,INDEX('Inputs'!$E$134:$E$140,MATCH(K76,'Inputs'!$C$134:$C$140,1)-IF(COUNTIF('Inputs'!$C$134:$C$140,K76)&gt;0,1,0))/100)</f>
      </c>
      <c r="L77">
        <f>IF(L76&lt;='Needs years'!$C$284,0,INDEX('Inputs'!$E$134:$E$140,MATCH(L76,'Inputs'!$C$134:$C$140,1)-IF(COUNTIF('Inputs'!$C$134:$C$140,L76)&gt;0,1,0))/100)</f>
      </c>
      <c r="M77">
        <f>IF(M76&lt;='Needs years'!$C$284,0,INDEX('Inputs'!$E$134:$E$140,MATCH(M76,'Inputs'!$C$134:$C$140,1)-IF(COUNTIF('Inputs'!$C$134:$C$140,M76)&gt;0,1,0))/100)</f>
      </c>
      <c r="N77">
        <f>IF(N76&lt;='Needs years'!$C$284,0,INDEX('Inputs'!$E$134:$E$140,MATCH(N76,'Inputs'!$C$134:$C$140,1)-IF(COUNTIF('Inputs'!$C$134:$C$140,N76)&gt;0,1,0))/100)</f>
      </c>
      <c r="O77">
        <f>IF(O76&lt;='Needs years'!$C$284,0,INDEX('Inputs'!$E$134:$E$140,MATCH(O76,'Inputs'!$C$134:$C$140,1)-IF(COUNTIF('Inputs'!$C$134:$C$140,O76)&gt;0,1,0))/100)</f>
      </c>
      <c r="P77">
        <f>IF(P76&lt;='Needs years'!$C$284,0,INDEX('Inputs'!$E$134:$E$140,MATCH(P76,'Inputs'!$C$134:$C$140,1)-IF(COUNTIF('Inputs'!$C$134:$C$140,P76)&gt;0,1,0))/100)</f>
      </c>
      <c r="Q77">
        <f>IF(Q76&lt;='Needs years'!$C$284,0,INDEX('Inputs'!$E$134:$E$140,MATCH(Q76,'Inputs'!$C$134:$C$140,1)-IF(COUNTIF('Inputs'!$C$134:$C$140,Q76)&gt;0,1,0))/100)</f>
      </c>
      <c r="R77">
        <f>IF(R76&lt;='Needs years'!$C$284,0,INDEX('Inputs'!$E$134:$E$140,MATCH(R76,'Inputs'!$C$134:$C$140,1)-IF(COUNTIF('Inputs'!$C$134:$C$140,R76)&gt;0,1,0))/100)</f>
      </c>
      <c r="S77">
        <f>IF(S76&lt;='Needs years'!$C$284,0,INDEX('Inputs'!$E$134:$E$140,MATCH(S76,'Inputs'!$C$134:$C$140,1)-IF(COUNTIF('Inputs'!$C$134:$C$140,S76)&gt;0,1,0))/100)</f>
      </c>
      <c r="T77">
        <f>IF(T76&lt;='Needs years'!$C$284,0,INDEX('Inputs'!$E$134:$E$140,MATCH(T76,'Inputs'!$C$134:$C$140,1)-IF(COUNTIF('Inputs'!$C$134:$C$140,T76)&gt;0,1,0))/100)</f>
      </c>
    </row>
    <row r="78" spans="2:20" x14ac:dyDescent="0.25">
      <c r="B78" t="s">
        <v>387</v>
      </c>
      <c r="C78">
        <f>('Inputs'!$H$122/100*(1-('Inputs'!$H$125/100*C77+'Inputs'!$H$126/100*'Inputs'!$H$128/100+'Inputs'!$H$127/100*'Inputs'!$H$120/100*C77))-IF('Needs years'!$C$289=1,'Inputs'!$H$123/100,0))</f>
      </c>
      <c r="E78">
        <f>('Inputs'!$H$122/100*(1-('Inputs'!$H$125/100*E77+'Inputs'!$H$126/100*'Inputs'!$H$128/100+'Inputs'!$H$127/100*'Inputs'!$H$120/100*E77))-IF('Needs years'!$C$289=1,'Inputs'!$H$123/100,0))</f>
      </c>
      <c r="F78">
        <f>('Inputs'!$H$122/100*(1-('Inputs'!$H$125/100*F77+'Inputs'!$H$126/100*'Inputs'!$H$128/100+'Inputs'!$H$127/100*'Inputs'!$H$120/100*F77))-IF('Needs years'!$C$289=1,'Inputs'!$H$123/100,0))</f>
      </c>
      <c r="G78">
        <f>('Inputs'!$H$122/100*(1-('Inputs'!$H$125/100*G77+'Inputs'!$H$126/100*'Inputs'!$H$128/100+'Inputs'!$H$127/100*'Inputs'!$H$120/100*G77))-IF('Needs years'!$C$289=1,'Inputs'!$H$123/100,0))</f>
      </c>
      <c r="H78">
        <f>('Inputs'!$H$122/100*(1-('Inputs'!$H$125/100*H77+'Inputs'!$H$126/100*'Inputs'!$H$128/100+'Inputs'!$H$127/100*'Inputs'!$H$120/100*H77))-IF('Needs years'!$C$289=1,'Inputs'!$H$123/100,0))</f>
      </c>
      <c r="I78">
        <f>('Inputs'!$H$122/100*(1-('Inputs'!$H$125/100*I77+'Inputs'!$H$126/100*'Inputs'!$H$128/100+'Inputs'!$H$127/100*'Inputs'!$H$120/100*I77))-IF('Needs years'!$C$289=1,'Inputs'!$H$123/100,0))</f>
      </c>
      <c r="J78">
        <f>('Inputs'!$H$122/100*(1-('Inputs'!$H$125/100*J77+'Inputs'!$H$126/100*'Inputs'!$H$128/100+'Inputs'!$H$127/100*'Inputs'!$H$120/100*J77))-IF('Needs years'!$C$289=1,'Inputs'!$H$123/100,0))</f>
      </c>
      <c r="K78">
        <f>('Inputs'!$H$122/100*(1-('Inputs'!$H$125/100*K77+'Inputs'!$H$126/100*'Inputs'!$H$128/100+'Inputs'!$H$127/100*'Inputs'!$H$120/100*K77))-IF('Needs years'!$C$289=1,'Inputs'!$H$123/100,0))</f>
      </c>
      <c r="L78">
        <f>('Inputs'!$H$122/100*(1-('Inputs'!$H$125/100*L77+'Inputs'!$H$126/100*'Inputs'!$H$128/100+'Inputs'!$H$127/100*'Inputs'!$H$120/100*L77))-IF('Needs years'!$C$289=1,'Inputs'!$H$123/100,0))</f>
      </c>
      <c r="M78">
        <f>('Inputs'!$H$122/100*(1-('Inputs'!$H$125/100*M77+'Inputs'!$H$126/100*'Inputs'!$H$128/100+'Inputs'!$H$127/100*'Inputs'!$H$120/100*M77))-IF('Needs years'!$C$289=1,'Inputs'!$H$123/100,0))</f>
      </c>
      <c r="N78">
        <f>('Inputs'!$H$122/100*(1-('Inputs'!$H$125/100*N77+'Inputs'!$H$126/100*'Inputs'!$H$128/100+'Inputs'!$H$127/100*'Inputs'!$H$120/100*N77))-IF('Needs years'!$C$289=1,'Inputs'!$H$123/100,0))</f>
      </c>
      <c r="O78">
        <f>('Inputs'!$H$122/100*(1-('Inputs'!$H$125/100*O77+'Inputs'!$H$126/100*'Inputs'!$H$128/100+'Inputs'!$H$127/100*'Inputs'!$H$120/100*O77))-IF('Needs years'!$C$289=1,'Inputs'!$H$123/100,0))</f>
      </c>
      <c r="P78">
        <f>('Inputs'!$H$122/100*(1-('Inputs'!$H$125/100*P77+'Inputs'!$H$126/100*'Inputs'!$H$128/100+'Inputs'!$H$127/100*'Inputs'!$H$120/100*P77))-IF('Needs years'!$C$289=1,'Inputs'!$H$123/100,0))</f>
      </c>
      <c r="Q78">
        <f>('Inputs'!$H$122/100*(1-('Inputs'!$H$125/100*Q77+'Inputs'!$H$126/100*'Inputs'!$H$128/100+'Inputs'!$H$127/100*'Inputs'!$H$120/100*Q77))-IF('Needs years'!$C$289=1,'Inputs'!$H$123/100,0))</f>
      </c>
      <c r="R78">
        <f>('Inputs'!$H$122/100*(1-('Inputs'!$H$125/100*R77+'Inputs'!$H$126/100*'Inputs'!$H$128/100+'Inputs'!$H$127/100*'Inputs'!$H$120/100*R77))-IF('Needs years'!$C$289=1,'Inputs'!$H$123/100,0))</f>
      </c>
      <c r="S78">
        <f>('Inputs'!$H$122/100*(1-('Inputs'!$H$125/100*S77+'Inputs'!$H$126/100*'Inputs'!$H$128/100+'Inputs'!$H$127/100*'Inputs'!$H$120/100*S77))-IF('Needs years'!$C$289=1,'Inputs'!$H$123/100,0))</f>
      </c>
      <c r="T78">
        <f>('Inputs'!$H$122/100*(1-('Inputs'!$H$125/100*T77+'Inputs'!$H$126/100*'Inputs'!$H$128/100+'Inputs'!$H$127/100*'Inputs'!$H$120/100*T77))-IF('Needs years'!$C$289=1,'Inputs'!$H$123/100,0))</f>
      </c>
    </row>
    <row r="79" spans="2:20" x14ac:dyDescent="0.25">
      <c r="B79" t="s">
        <v>388</v>
      </c>
      <c r="C79">
        <f>IF('Inputs'!$B$105="",0,ROUND('Needs years'!$C$290+ROUND(IF(C78=0,SUM('Needs years'!$J$284:$J$333),(1-(1+C78)^-1)/(1-(1+C78)^(-1/12))/12*SUMPRODUCT('Needs years'!$J$284:$J$333,(1+C78)^(-'Needs years'!$I$284:$I$333))),2),2))</f>
      </c>
      <c r="E79">
        <f>IF('Inputs'!$B$105="",0,ROUND('Needs years'!$C$290+ROUND(IF(E78=0,SUM('Needs years'!$J$284:$J$333),(1-(1+E78)^-1)/(1-(1+E78)^(-1/12))/12*SUMPRODUCT('Needs years'!$J$284:$J$333,(1+E78)^(-'Needs years'!$I$284:$I$333))),2),2))</f>
      </c>
      <c r="F79">
        <f>IF('Inputs'!$B$105="",0,ROUND('Needs years'!$C$290+ROUND(IF(F78=0,SUM('Needs years'!$J$284:$J$333),(1-(1+F78)^-1)/(1-(1+F78)^(-1/12))/12*SUMPRODUCT('Needs years'!$J$284:$J$333,(1+F78)^(-'Needs years'!$I$284:$I$333))),2),2))</f>
      </c>
      <c r="G79">
        <f>IF('Inputs'!$B$105="",0,ROUND('Needs years'!$C$290+ROUND(IF(G78=0,SUM('Needs years'!$J$284:$J$333),(1-(1+G78)^-1)/(1-(1+G78)^(-1/12))/12*SUMPRODUCT('Needs years'!$J$284:$J$333,(1+G78)^(-'Needs years'!$I$284:$I$333))),2),2))</f>
      </c>
      <c r="H79">
        <f>IF('Inputs'!$B$105="",0,ROUND('Needs years'!$C$290+ROUND(IF(H78=0,SUM('Needs years'!$J$284:$J$333),(1-(1+H78)^-1)/(1-(1+H78)^(-1/12))/12*SUMPRODUCT('Needs years'!$J$284:$J$333,(1+H78)^(-'Needs years'!$I$284:$I$333))),2),2))</f>
      </c>
      <c r="I79">
        <f>IF('Inputs'!$B$105="",0,ROUND('Needs years'!$C$290+ROUND(IF(I78=0,SUM('Needs years'!$J$284:$J$333),(1-(1+I78)^-1)/(1-(1+I78)^(-1/12))/12*SUMPRODUCT('Needs years'!$J$284:$J$333,(1+I78)^(-'Needs years'!$I$284:$I$333))),2),2))</f>
      </c>
      <c r="J79">
        <f>IF('Inputs'!$B$105="",0,ROUND('Needs years'!$C$290+ROUND(IF(J78=0,SUM('Needs years'!$J$284:$J$333),(1-(1+J78)^-1)/(1-(1+J78)^(-1/12))/12*SUMPRODUCT('Needs years'!$J$284:$J$333,(1+J78)^(-'Needs years'!$I$284:$I$333))),2),2))</f>
      </c>
      <c r="K79">
        <f>IF('Inputs'!$B$105="",0,ROUND('Needs years'!$C$290+ROUND(IF(K78=0,SUM('Needs years'!$J$284:$J$333),(1-(1+K78)^-1)/(1-(1+K78)^(-1/12))/12*SUMPRODUCT('Needs years'!$J$284:$J$333,(1+K78)^(-'Needs years'!$I$284:$I$333))),2),2))</f>
      </c>
      <c r="L79">
        <f>IF('Inputs'!$B$105="",0,ROUND('Needs years'!$C$290+ROUND(IF(L78=0,SUM('Needs years'!$J$284:$J$333),(1-(1+L78)^-1)/(1-(1+L78)^(-1/12))/12*SUMPRODUCT('Needs years'!$J$284:$J$333,(1+L78)^(-'Needs years'!$I$284:$I$333))),2),2))</f>
      </c>
      <c r="M79">
        <f>IF('Inputs'!$B$105="",0,ROUND('Needs years'!$C$290+ROUND(IF(M78=0,SUM('Needs years'!$J$284:$J$333),(1-(1+M78)^-1)/(1-(1+M78)^(-1/12))/12*SUMPRODUCT('Needs years'!$J$284:$J$333,(1+M78)^(-'Needs years'!$I$284:$I$333))),2),2))</f>
      </c>
      <c r="N79">
        <f>IF('Inputs'!$B$105="",0,ROUND('Needs years'!$C$290+ROUND(IF(N78=0,SUM('Needs years'!$J$284:$J$333),(1-(1+N78)^-1)/(1-(1+N78)^(-1/12))/12*SUMPRODUCT('Needs years'!$J$284:$J$333,(1+N78)^(-'Needs years'!$I$284:$I$333))),2),2))</f>
      </c>
      <c r="O79">
        <f>IF('Inputs'!$B$105="",0,ROUND('Needs years'!$C$290+ROUND(IF(O78=0,SUM('Needs years'!$J$284:$J$333),(1-(1+O78)^-1)/(1-(1+O78)^(-1/12))/12*SUMPRODUCT('Needs years'!$J$284:$J$333,(1+O78)^(-'Needs years'!$I$284:$I$333))),2),2))</f>
      </c>
      <c r="P79">
        <f>IF('Inputs'!$B$105="",0,ROUND('Needs years'!$C$290+ROUND(IF(P78=0,SUM('Needs years'!$J$284:$J$333),(1-(1+P78)^-1)/(1-(1+P78)^(-1/12))/12*SUMPRODUCT('Needs years'!$J$284:$J$333,(1+P78)^(-'Needs years'!$I$284:$I$333))),2),2))</f>
      </c>
      <c r="Q79">
        <f>IF('Inputs'!$B$105="",0,ROUND('Needs years'!$C$290+ROUND(IF(Q78=0,SUM('Needs years'!$J$284:$J$333),(1-(1+Q78)^-1)/(1-(1+Q78)^(-1/12))/12*SUMPRODUCT('Needs years'!$J$284:$J$333,(1+Q78)^(-'Needs years'!$I$284:$I$333))),2),2))</f>
      </c>
      <c r="R79">
        <f>IF('Inputs'!$B$105="",0,ROUND('Needs years'!$C$290+ROUND(IF(R78=0,SUM('Needs years'!$J$284:$J$333),(1-(1+R78)^-1)/(1-(1+R78)^(-1/12))/12*SUMPRODUCT('Needs years'!$J$284:$J$333,(1+R78)^(-'Needs years'!$I$284:$I$333))),2),2))</f>
      </c>
      <c r="S79">
        <f>IF('Inputs'!$B$105="",0,ROUND('Needs years'!$C$290+ROUND(IF(S78=0,SUM('Needs years'!$J$284:$J$333),(1-(1+S78)^-1)/(1-(1+S78)^(-1/12))/12*SUMPRODUCT('Needs years'!$J$284:$J$333,(1+S78)^(-'Needs years'!$I$284:$I$333))),2),2))</f>
      </c>
      <c r="T79">
        <f>IF('Inputs'!$B$105="",0,ROUND('Needs years'!$C$290+ROUND(IF(T78=0,SUM('Needs years'!$J$284:$J$333),(1-(1+T78)^-1)/(1-(1+T78)^(-1/12))/12*SUMPRODUCT('Needs years'!$J$284:$J$333,(1+T78)^(-'Needs years'!$I$284:$I$333))),2),2))</f>
      </c>
    </row>
    <row r="80" spans="2:20" x14ac:dyDescent="0.25">
      <c r="B80" t="s">
        <v>389</v>
      </c>
      <c r="C80">
        <f>IF('Inputs'!$B$105="",0,ROUND(C79-C75,2))</f>
      </c>
      <c r="E80">
        <f>IF('Inputs'!$B$105="",0,ROUND(E79-E75,2))</f>
      </c>
      <c r="F80">
        <f>IF('Inputs'!$B$105="",0,ROUND(F79-F75,2))</f>
      </c>
      <c r="G80">
        <f>IF('Inputs'!$B$105="",0,ROUND(G79-G75,2))</f>
      </c>
      <c r="H80">
        <f>IF('Inputs'!$B$105="",0,ROUND(H79-H75,2))</f>
      </c>
      <c r="I80">
        <f>IF('Inputs'!$B$105="",0,ROUND(I79-I75,2))</f>
      </c>
      <c r="J80">
        <f>IF('Inputs'!$B$105="",0,ROUND(J79-J75,2))</f>
      </c>
      <c r="K80">
        <f>IF('Inputs'!$B$105="",0,ROUND(K79-K75,2))</f>
      </c>
      <c r="L80">
        <f>IF('Inputs'!$B$105="",0,ROUND(L79-L75,2))</f>
      </c>
      <c r="M80">
        <f>IF('Inputs'!$B$105="",0,ROUND(M79-M75,2))</f>
      </c>
      <c r="N80">
        <f>IF('Inputs'!$B$105="",0,ROUND(N79-N75,2))</f>
      </c>
      <c r="O80">
        <f>IF('Inputs'!$B$105="",0,ROUND(O79-O75,2))</f>
      </c>
      <c r="P80">
        <f>IF('Inputs'!$B$105="",0,ROUND(P79-P75,2))</f>
      </c>
      <c r="Q80">
        <f>IF('Inputs'!$B$105="",0,ROUND(Q79-Q75,2))</f>
      </c>
      <c r="R80">
        <f>IF('Inputs'!$B$105="",0,ROUND(R79-R75,2))</f>
      </c>
      <c r="S80">
        <f>IF('Inputs'!$B$105="",0,ROUND(S79-S75,2))</f>
      </c>
      <c r="T80">
        <f>IF('Inputs'!$B$105="",0,ROUND(T79-T75,2))</f>
      </c>
    </row>
    <row r="81" spans="2:20" x14ac:dyDescent="0.25">
      <c r="B81" t="s">
        <v>390</v>
      </c>
      <c r="C81">
        <f>IF('Inputs'!$B$105="",0,'Needs years'!$C$296+IF((C79-'Needs years'!$C$290)&gt;0,MAX(0,C75-'Needs years'!$C$290)/(C79-'Needs years'!$C$290)*'Needs years'!$J$284/12,0))</f>
      </c>
      <c r="E81">
        <f>IF('Inputs'!$B$105="",0,'Needs years'!$C$296+IF((E79-'Needs years'!$C$290)&gt;0,MAX(0,E75-'Needs years'!$C$290)/(E79-'Needs years'!$C$290)*'Needs years'!$J$284/12,0))</f>
      </c>
      <c r="F81">
        <f>IF('Inputs'!$B$105="",0,'Needs years'!$C$296+IF((F79-'Needs years'!$C$290)&gt;0,MAX(0,F75-'Needs years'!$C$290)/(F79-'Needs years'!$C$290)*'Needs years'!$J$284/12,0))</f>
      </c>
      <c r="G81">
        <f>IF('Inputs'!$B$105="",0,'Needs years'!$C$296+IF((G79-'Needs years'!$C$290)&gt;0,MAX(0,G75-'Needs years'!$C$290)/(G79-'Needs years'!$C$290)*'Needs years'!$J$284/12,0))</f>
      </c>
      <c r="H81">
        <f>IF('Inputs'!$B$105="",0,'Needs years'!$C$296+IF((H79-'Needs years'!$C$290)&gt;0,MAX(0,H75-'Needs years'!$C$290)/(H79-'Needs years'!$C$290)*'Needs years'!$J$284/12,0))</f>
      </c>
      <c r="I81">
        <f>IF('Inputs'!$B$105="",0,'Needs years'!$C$296+IF((I79-'Needs years'!$C$290)&gt;0,MAX(0,I75-'Needs years'!$C$290)/(I79-'Needs years'!$C$290)*'Needs years'!$J$284/12,0))</f>
      </c>
      <c r="J81">
        <f>IF('Inputs'!$B$105="",0,'Needs years'!$C$296+IF((J79-'Needs years'!$C$290)&gt;0,MAX(0,J75-'Needs years'!$C$290)/(J79-'Needs years'!$C$290)*'Needs years'!$J$284/12,0))</f>
      </c>
      <c r="K81">
        <f>IF('Inputs'!$B$105="",0,'Needs years'!$C$296+IF((K79-'Needs years'!$C$290)&gt;0,MAX(0,K75-'Needs years'!$C$290)/(K79-'Needs years'!$C$290)*'Needs years'!$J$284/12,0))</f>
      </c>
      <c r="L81">
        <f>IF('Inputs'!$B$105="",0,'Needs years'!$C$296+IF((L79-'Needs years'!$C$290)&gt;0,MAX(0,L75-'Needs years'!$C$290)/(L79-'Needs years'!$C$290)*'Needs years'!$J$284/12,0))</f>
      </c>
      <c r="M81">
        <f>IF('Inputs'!$B$105="",0,'Needs years'!$C$296+IF((M79-'Needs years'!$C$290)&gt;0,MAX(0,M75-'Needs years'!$C$290)/(M79-'Needs years'!$C$290)*'Needs years'!$J$284/12,0))</f>
      </c>
      <c r="N81">
        <f>IF('Inputs'!$B$105="",0,'Needs years'!$C$296+IF((N79-'Needs years'!$C$290)&gt;0,MAX(0,N75-'Needs years'!$C$290)/(N79-'Needs years'!$C$290)*'Needs years'!$J$284/12,0))</f>
      </c>
      <c r="O81">
        <f>IF('Inputs'!$B$105="",0,'Needs years'!$C$296+IF((O79-'Needs years'!$C$290)&gt;0,MAX(0,O75-'Needs years'!$C$290)/(O79-'Needs years'!$C$290)*'Needs years'!$J$284/12,0))</f>
      </c>
      <c r="P81">
        <f>IF('Inputs'!$B$105="",0,'Needs years'!$C$296+IF((P79-'Needs years'!$C$290)&gt;0,MAX(0,P75-'Needs years'!$C$290)/(P79-'Needs years'!$C$290)*'Needs years'!$J$284/12,0))</f>
      </c>
      <c r="Q81">
        <f>IF('Inputs'!$B$105="",0,'Needs years'!$C$296+IF((Q79-'Needs years'!$C$290)&gt;0,MAX(0,Q75-'Needs years'!$C$290)/(Q79-'Needs years'!$C$290)*'Needs years'!$J$284/12,0))</f>
      </c>
      <c r="R81">
        <f>IF('Inputs'!$B$105="",0,'Needs years'!$C$296+IF((R79-'Needs years'!$C$290)&gt;0,MAX(0,R75-'Needs years'!$C$290)/(R79-'Needs years'!$C$290)*'Needs years'!$J$284/12,0))</f>
      </c>
      <c r="S81">
        <f>IF('Inputs'!$B$105="",0,'Needs years'!$C$296+IF((S79-'Needs years'!$C$290)&gt;0,MAX(0,S75-'Needs years'!$C$290)/(S79-'Needs years'!$C$290)*'Needs years'!$J$284/12,0))</f>
      </c>
      <c r="T81">
        <f>IF('Inputs'!$B$105="",0,'Needs years'!$C$296+IF((T79-'Needs years'!$C$290)&gt;0,MAX(0,T75-'Needs years'!$C$290)/(T79-'Needs years'!$C$290)*'Needs years'!$J$284/12,0))</f>
      </c>
    </row>
    <row r="82" spans="2:20" x14ac:dyDescent="0.25">
      <c r="B82" t="s">
        <v>391</v>
      </c>
      <c r="C82">
        <f>IF(C3=1,IF(AND(C4=0,C45&lt;=0),0,MAX(0,C4+C45/(1-(1-'Inputs'!$T$100)*C18))),0)</f>
      </c>
      <c r="E82">
        <f>IF(E3=1,IF(AND(E4=0,E45&lt;=0),0,MAX(0,E4+E45/(1-(1-'Inputs'!$T$100)*E18))),0)</f>
      </c>
      <c r="F82">
        <f>IF(F3=1,IF(AND(F4=0,F45&lt;=0),0,MAX(0,F4+F45/(1-(1-'Inputs'!$T$100)*F18))),0)</f>
      </c>
      <c r="G82">
        <f>IF(G3=1,IF(AND(G4=0,G45&lt;=0),0,MAX(0,G4+G45/(1-(1-'Inputs'!$T$100)*G18))),0)</f>
      </c>
      <c r="H82">
        <f>IF(H3=1,IF(AND(H4=0,H45&lt;=0),0,MAX(0,H4+H45/(1-(1-'Inputs'!$T$100)*H18))),0)</f>
      </c>
      <c r="I82">
        <f>IF(I3=1,IF(AND(I4=0,I45&lt;=0),0,MAX(0,I4+I45/(1-(1-'Inputs'!$T$100)*I18))),0)</f>
      </c>
      <c r="J82">
        <f>IF(J3=1,IF(AND(J4=0,J45&lt;=0),0,MAX(0,J4+J45/(1-(1-'Inputs'!$T$100)*J18))),0)</f>
      </c>
      <c r="K82">
        <f>IF(K3=1,IF(AND(K4=0,K45&lt;=0),0,MAX(0,K4+K45/(1-(1-'Inputs'!$T$100)*K18))),0)</f>
      </c>
      <c r="L82">
        <f>IF(L3=1,IF(AND(L4=0,L45&lt;=0),0,MAX(0,L4+L45/(1-(1-'Inputs'!$T$100)*L18))),0)</f>
      </c>
      <c r="M82">
        <f>IF(M3=1,IF(AND(M4=0,M45&lt;=0),0,MAX(0,M4+M45/(1-(1-'Inputs'!$T$100)*M18))),0)</f>
      </c>
      <c r="N82">
        <f>IF(N3=1,IF(AND(N4=0,N45&lt;=0),0,MAX(0,N4+N45/(1-(1-'Inputs'!$T$100)*N18))),0)</f>
      </c>
      <c r="O82">
        <f>IF(O3=1,IF(AND(O4=0,O45&lt;=0),0,MAX(0,O4+O45/(1-(1-'Inputs'!$T$100)*O18))),0)</f>
      </c>
      <c r="P82">
        <f>IF(P3=1,IF(AND(P4=0,P45&lt;=0),0,MAX(0,P4+P45/(1-(1-'Inputs'!$T$100)*P18))),0)</f>
      </c>
      <c r="Q82">
        <f>IF(Q3=1,IF(AND(Q4=0,Q45&lt;=0),0,MAX(0,Q4+Q45/(1-(1-'Inputs'!$T$100)*Q18))),0)</f>
      </c>
      <c r="R82">
        <f>IF(R3=1,IF(AND(R4=0,R45&lt;=0),0,MAX(0,R4+R45/(1-(1-'Inputs'!$T$100)*R18))),0)</f>
      </c>
      <c r="S82">
        <f>IF(S3=1,IF(AND(S4=0,S45&lt;=0),0,MAX(0,S4+S45/(1-(1-'Inputs'!$T$100)*S18))),0)</f>
      </c>
      <c r="T82">
        <f>IF(T3=1,IF(AND(T4=0,T45&lt;=0),0,MAX(0,T4+T45/(1-(1-'Inputs'!$T$100)*T18))),0)</f>
      </c>
    </row>
    <row r="83" spans="2:20" x14ac:dyDescent="0.25">
      <c r="B83" t="s">
        <v>392</v>
      </c>
      <c r="C83">
        <f>IF(C3=1,IF(AND(C5=0,C52&lt;=0),0,MAX(0,C5+C52/(1-(1-'Inputs'!$T$101)*C18))),0)</f>
      </c>
      <c r="E83">
        <f>IF(E3=1,IF(AND(E5=0,E52&lt;=0),0,MAX(0,E5+E52/(1-(1-'Inputs'!$T$101)*E18))),0)</f>
      </c>
      <c r="F83">
        <f>IF(F3=1,IF(AND(F5=0,F52&lt;=0),0,MAX(0,F5+F52/(1-(1-'Inputs'!$T$101)*F18))),0)</f>
      </c>
      <c r="G83">
        <f>IF(G3=1,IF(AND(G5=0,G52&lt;=0),0,MAX(0,G5+G52/(1-(1-'Inputs'!$T$101)*G18))),0)</f>
      </c>
      <c r="H83">
        <f>IF(H3=1,IF(AND(H5=0,H52&lt;=0),0,MAX(0,H5+H52/(1-(1-'Inputs'!$T$101)*H18))),0)</f>
      </c>
      <c r="I83">
        <f>IF(I3=1,IF(AND(I5=0,I52&lt;=0),0,MAX(0,I5+I52/(1-(1-'Inputs'!$T$101)*I18))),0)</f>
      </c>
      <c r="J83">
        <f>IF(J3=1,IF(AND(J5=0,J52&lt;=0),0,MAX(0,J5+J52/(1-(1-'Inputs'!$T$101)*J18))),0)</f>
      </c>
      <c r="K83">
        <f>IF(K3=1,IF(AND(K5=0,K52&lt;=0),0,MAX(0,K5+K52/(1-(1-'Inputs'!$T$101)*K18))),0)</f>
      </c>
      <c r="L83">
        <f>IF(L3=1,IF(AND(L5=0,L52&lt;=0),0,MAX(0,L5+L52/(1-(1-'Inputs'!$T$101)*L18))),0)</f>
      </c>
      <c r="M83">
        <f>IF(M3=1,IF(AND(M5=0,M52&lt;=0),0,MAX(0,M5+M52/(1-(1-'Inputs'!$T$101)*M18))),0)</f>
      </c>
      <c r="N83">
        <f>IF(N3=1,IF(AND(N5=0,N52&lt;=0),0,MAX(0,N5+N52/(1-(1-'Inputs'!$T$101)*N18))),0)</f>
      </c>
      <c r="O83">
        <f>IF(O3=1,IF(AND(O5=0,O52&lt;=0),0,MAX(0,O5+O52/(1-(1-'Inputs'!$T$101)*O18))),0)</f>
      </c>
      <c r="P83">
        <f>IF(P3=1,IF(AND(P5=0,P52&lt;=0),0,MAX(0,P5+P52/(1-(1-'Inputs'!$T$101)*P18))),0)</f>
      </c>
      <c r="Q83">
        <f>IF(Q3=1,IF(AND(Q5=0,Q52&lt;=0),0,MAX(0,Q5+Q52/(1-(1-'Inputs'!$T$101)*Q18))),0)</f>
      </c>
      <c r="R83">
        <f>IF(R3=1,IF(AND(R5=0,R52&lt;=0),0,MAX(0,R5+R52/(1-(1-'Inputs'!$T$101)*R18))),0)</f>
      </c>
      <c r="S83">
        <f>IF(S3=1,IF(AND(S5=0,S52&lt;=0),0,MAX(0,S5+S52/(1-(1-'Inputs'!$T$101)*S18))),0)</f>
      </c>
      <c r="T83">
        <f>IF(T3=1,IF(AND(T5=0,T52&lt;=0),0,MAX(0,T5+T52/(1-(1-'Inputs'!$T$101)*T18))),0)</f>
      </c>
    </row>
    <row r="84" spans="2:20" x14ac:dyDescent="0.25">
      <c r="B84" t="s">
        <v>393</v>
      </c>
      <c r="C84">
        <f>IF(C3=1,IF(AND(C6=0,C59&lt;=0),0,MAX(0,C6+C59/(1-(1-'Inputs'!$T$102)*C18))),0)</f>
      </c>
      <c r="E84">
        <f>IF(E3=1,IF(AND(E6=0,E59&lt;=0),0,MAX(0,E6+E59/(1-(1-'Inputs'!$T$102)*E18))),0)</f>
      </c>
      <c r="F84">
        <f>IF(F3=1,IF(AND(F6=0,F59&lt;=0),0,MAX(0,F6+F59/(1-(1-'Inputs'!$T$102)*F18))),0)</f>
      </c>
      <c r="G84">
        <f>IF(G3=1,IF(AND(G6=0,G59&lt;=0),0,MAX(0,G6+G59/(1-(1-'Inputs'!$T$102)*G18))),0)</f>
      </c>
      <c r="H84">
        <f>IF(H3=1,IF(AND(H6=0,H59&lt;=0),0,MAX(0,H6+H59/(1-(1-'Inputs'!$T$102)*H18))),0)</f>
      </c>
      <c r="I84">
        <f>IF(I3=1,IF(AND(I6=0,I59&lt;=0),0,MAX(0,I6+I59/(1-(1-'Inputs'!$T$102)*I18))),0)</f>
      </c>
      <c r="J84">
        <f>IF(J3=1,IF(AND(J6=0,J59&lt;=0),0,MAX(0,J6+J59/(1-(1-'Inputs'!$T$102)*J18))),0)</f>
      </c>
      <c r="K84">
        <f>IF(K3=1,IF(AND(K6=0,K59&lt;=0),0,MAX(0,K6+K59/(1-(1-'Inputs'!$T$102)*K18))),0)</f>
      </c>
      <c r="L84">
        <f>IF(L3=1,IF(AND(L6=0,L59&lt;=0),0,MAX(0,L6+L59/(1-(1-'Inputs'!$T$102)*L18))),0)</f>
      </c>
      <c r="M84">
        <f>IF(M3=1,IF(AND(M6=0,M59&lt;=0),0,MAX(0,M6+M59/(1-(1-'Inputs'!$T$102)*M18))),0)</f>
      </c>
      <c r="N84">
        <f>IF(N3=1,IF(AND(N6=0,N59&lt;=0),0,MAX(0,N6+N59/(1-(1-'Inputs'!$T$102)*N18))),0)</f>
      </c>
      <c r="O84">
        <f>IF(O3=1,IF(AND(O6=0,O59&lt;=0),0,MAX(0,O6+O59/(1-(1-'Inputs'!$T$102)*O18))),0)</f>
      </c>
      <c r="P84">
        <f>IF(P3=1,IF(AND(P6=0,P59&lt;=0),0,MAX(0,P6+P59/(1-(1-'Inputs'!$T$102)*P18))),0)</f>
      </c>
      <c r="Q84">
        <f>IF(Q3=1,IF(AND(Q6=0,Q59&lt;=0),0,MAX(0,Q6+Q59/(1-(1-'Inputs'!$T$102)*Q18))),0)</f>
      </c>
      <c r="R84">
        <f>IF(R3=1,IF(AND(R6=0,R59&lt;=0),0,MAX(0,R6+R59/(1-(1-'Inputs'!$T$102)*R18))),0)</f>
      </c>
      <c r="S84">
        <f>IF(S3=1,IF(AND(S6=0,S59&lt;=0),0,MAX(0,S6+S59/(1-(1-'Inputs'!$T$102)*S18))),0)</f>
      </c>
      <c r="T84">
        <f>IF(T3=1,IF(AND(T6=0,T59&lt;=0),0,MAX(0,T6+T59/(1-(1-'Inputs'!$T$102)*T18))),0)</f>
      </c>
    </row>
    <row r="85" spans="2:20" x14ac:dyDescent="0.25">
      <c r="B85" t="s">
        <v>394</v>
      </c>
      <c r="C85">
        <f>IF(C3=1,IF(AND(C7=0,C66&lt;=0),0,MAX(0,C7+C66/(1-(1-'Inputs'!$T$103)*C18))),0)</f>
      </c>
      <c r="E85">
        <f>IF(E3=1,IF(AND(E7=0,E66&lt;=0),0,MAX(0,E7+E66/(1-(1-'Inputs'!$T$103)*E18))),0)</f>
      </c>
      <c r="F85">
        <f>IF(F3=1,IF(AND(F7=0,F66&lt;=0),0,MAX(0,F7+F66/(1-(1-'Inputs'!$T$103)*F18))),0)</f>
      </c>
      <c r="G85">
        <f>IF(G3=1,IF(AND(G7=0,G66&lt;=0),0,MAX(0,G7+G66/(1-(1-'Inputs'!$T$103)*G18))),0)</f>
      </c>
      <c r="H85">
        <f>IF(H3=1,IF(AND(H7=0,H66&lt;=0),0,MAX(0,H7+H66/(1-(1-'Inputs'!$T$103)*H18))),0)</f>
      </c>
      <c r="I85">
        <f>IF(I3=1,IF(AND(I7=0,I66&lt;=0),0,MAX(0,I7+I66/(1-(1-'Inputs'!$T$103)*I18))),0)</f>
      </c>
      <c r="J85">
        <f>IF(J3=1,IF(AND(J7=0,J66&lt;=0),0,MAX(0,J7+J66/(1-(1-'Inputs'!$T$103)*J18))),0)</f>
      </c>
      <c r="K85">
        <f>IF(K3=1,IF(AND(K7=0,K66&lt;=0),0,MAX(0,K7+K66/(1-(1-'Inputs'!$T$103)*K18))),0)</f>
      </c>
      <c r="L85">
        <f>IF(L3=1,IF(AND(L7=0,L66&lt;=0),0,MAX(0,L7+L66/(1-(1-'Inputs'!$T$103)*L18))),0)</f>
      </c>
      <c r="M85">
        <f>IF(M3=1,IF(AND(M7=0,M66&lt;=0),0,MAX(0,M7+M66/(1-(1-'Inputs'!$T$103)*M18))),0)</f>
      </c>
      <c r="N85">
        <f>IF(N3=1,IF(AND(N7=0,N66&lt;=0),0,MAX(0,N7+N66/(1-(1-'Inputs'!$T$103)*N18))),0)</f>
      </c>
      <c r="O85">
        <f>IF(O3=1,IF(AND(O7=0,O66&lt;=0),0,MAX(0,O7+O66/(1-(1-'Inputs'!$T$103)*O18))),0)</f>
      </c>
      <c r="P85">
        <f>IF(P3=1,IF(AND(P7=0,P66&lt;=0),0,MAX(0,P7+P66/(1-(1-'Inputs'!$T$103)*P18))),0)</f>
      </c>
      <c r="Q85">
        <f>IF(Q3=1,IF(AND(Q7=0,Q66&lt;=0),0,MAX(0,Q7+Q66/(1-(1-'Inputs'!$T$103)*Q18))),0)</f>
      </c>
      <c r="R85">
        <f>IF(R3=1,IF(AND(R7=0,R66&lt;=0),0,MAX(0,R7+R66/(1-(1-'Inputs'!$T$103)*R18))),0)</f>
      </c>
      <c r="S85">
        <f>IF(S3=1,IF(AND(S7=0,S66&lt;=0),0,MAX(0,S7+S66/(1-(1-'Inputs'!$T$103)*S18))),0)</f>
      </c>
      <c r="T85">
        <f>IF(T3=1,IF(AND(T7=0,T66&lt;=0),0,MAX(0,T7+T66/(1-(1-'Inputs'!$T$103)*T18))),0)</f>
      </c>
    </row>
    <row r="86" spans="2:20" x14ac:dyDescent="0.25">
      <c r="B86" t="s">
        <v>395</v>
      </c>
      <c r="C86">
        <f>IF(C3=1,IF(AND(C8=0,C73&lt;=0),0,MAX(0,C8+C73/(1-(1-'Inputs'!$T$104)*C18))),0)</f>
      </c>
      <c r="E86">
        <f>IF(E3=1,IF(AND(E8=0,E73&lt;=0),0,MAX(0,E8+E73/(1-(1-'Inputs'!$T$104)*E18))),0)</f>
      </c>
      <c r="F86">
        <f>IF(F3=1,IF(AND(F8=0,F73&lt;=0),0,MAX(0,F8+F73/(1-(1-'Inputs'!$T$104)*F18))),0)</f>
      </c>
      <c r="G86">
        <f>IF(G3=1,IF(AND(G8=0,G73&lt;=0),0,MAX(0,G8+G73/(1-(1-'Inputs'!$T$104)*G18))),0)</f>
      </c>
      <c r="H86">
        <f>IF(H3=1,IF(AND(H8=0,H73&lt;=0),0,MAX(0,H8+H73/(1-(1-'Inputs'!$T$104)*H18))),0)</f>
      </c>
      <c r="I86">
        <f>IF(I3=1,IF(AND(I8=0,I73&lt;=0),0,MAX(0,I8+I73/(1-(1-'Inputs'!$T$104)*I18))),0)</f>
      </c>
      <c r="J86">
        <f>IF(J3=1,IF(AND(J8=0,J73&lt;=0),0,MAX(0,J8+J73/(1-(1-'Inputs'!$T$104)*J18))),0)</f>
      </c>
      <c r="K86">
        <f>IF(K3=1,IF(AND(K8=0,K73&lt;=0),0,MAX(0,K8+K73/(1-(1-'Inputs'!$T$104)*K18))),0)</f>
      </c>
      <c r="L86">
        <f>IF(L3=1,IF(AND(L8=0,L73&lt;=0),0,MAX(0,L8+L73/(1-(1-'Inputs'!$T$104)*L18))),0)</f>
      </c>
      <c r="M86">
        <f>IF(M3=1,IF(AND(M8=0,M73&lt;=0),0,MAX(0,M8+M73/(1-(1-'Inputs'!$T$104)*M18))),0)</f>
      </c>
      <c r="N86">
        <f>IF(N3=1,IF(AND(N8=0,N73&lt;=0),0,MAX(0,N8+N73/(1-(1-'Inputs'!$T$104)*N18))),0)</f>
      </c>
      <c r="O86">
        <f>IF(O3=1,IF(AND(O8=0,O73&lt;=0),0,MAX(0,O8+O73/(1-(1-'Inputs'!$T$104)*O18))),0)</f>
      </c>
      <c r="P86">
        <f>IF(P3=1,IF(AND(P8=0,P73&lt;=0),0,MAX(0,P8+P73/(1-(1-'Inputs'!$T$104)*P18))),0)</f>
      </c>
      <c r="Q86">
        <f>IF(Q3=1,IF(AND(Q8=0,Q73&lt;=0),0,MAX(0,Q8+Q73/(1-(1-'Inputs'!$T$104)*Q18))),0)</f>
      </c>
      <c r="R86">
        <f>IF(R3=1,IF(AND(R8=0,R73&lt;=0),0,MAX(0,R8+R73/(1-(1-'Inputs'!$T$104)*R18))),0)</f>
      </c>
      <c r="S86">
        <f>IF(S3=1,IF(AND(S8=0,S73&lt;=0),0,MAX(0,S8+S73/(1-(1-'Inputs'!$T$104)*S18))),0)</f>
      </c>
      <c r="T86">
        <f>IF(T3=1,IF(AND(T8=0,T73&lt;=0),0,MAX(0,T8+T73/(1-(1-'Inputs'!$T$104)*T18))),0)</f>
      </c>
    </row>
    <row r="87" spans="2:20" x14ac:dyDescent="0.25">
      <c r="B87" t="s">
        <v>396</v>
      </c>
      <c r="C87">
        <f>IF(C3=1,IF(AND(C9=0,C80&lt;=0),0,MAX(0,C9+C80/(1-(1-'Inputs'!$T$105)*C18))),0)</f>
      </c>
      <c r="E87">
        <f>IF(E3=1,IF(AND(E9=0,E80&lt;=0),0,MAX(0,E9+E80/(1-(1-'Inputs'!$T$105)*E18))),0)</f>
      </c>
      <c r="F87">
        <f>IF(F3=1,IF(AND(F9=0,F80&lt;=0),0,MAX(0,F9+F80/(1-(1-'Inputs'!$T$105)*F18))),0)</f>
      </c>
      <c r="G87">
        <f>IF(G3=1,IF(AND(G9=0,G80&lt;=0),0,MAX(0,G9+G80/(1-(1-'Inputs'!$T$105)*G18))),0)</f>
      </c>
      <c r="H87">
        <f>IF(H3=1,IF(AND(H9=0,H80&lt;=0),0,MAX(0,H9+H80/(1-(1-'Inputs'!$T$105)*H18))),0)</f>
      </c>
      <c r="I87">
        <f>IF(I3=1,IF(AND(I9=0,I80&lt;=0),0,MAX(0,I9+I80/(1-(1-'Inputs'!$T$105)*I18))),0)</f>
      </c>
      <c r="J87">
        <f>IF(J3=1,IF(AND(J9=0,J80&lt;=0),0,MAX(0,J9+J80/(1-(1-'Inputs'!$T$105)*J18))),0)</f>
      </c>
      <c r="K87">
        <f>IF(K3=1,IF(AND(K9=0,K80&lt;=0),0,MAX(0,K9+K80/(1-(1-'Inputs'!$T$105)*K18))),0)</f>
      </c>
      <c r="L87">
        <f>IF(L3=1,IF(AND(L9=0,L80&lt;=0),0,MAX(0,L9+L80/(1-(1-'Inputs'!$T$105)*L18))),0)</f>
      </c>
      <c r="M87">
        <f>IF(M3=1,IF(AND(M9=0,M80&lt;=0),0,MAX(0,M9+M80/(1-(1-'Inputs'!$T$105)*M18))),0)</f>
      </c>
      <c r="N87">
        <f>IF(N3=1,IF(AND(N9=0,N80&lt;=0),0,MAX(0,N9+N80/(1-(1-'Inputs'!$T$105)*N18))),0)</f>
      </c>
      <c r="O87">
        <f>IF(O3=1,IF(AND(O9=0,O80&lt;=0),0,MAX(0,O9+O80/(1-(1-'Inputs'!$T$105)*O18))),0)</f>
      </c>
      <c r="P87">
        <f>IF(P3=1,IF(AND(P9=0,P80&lt;=0),0,MAX(0,P9+P80/(1-(1-'Inputs'!$T$105)*P18))),0)</f>
      </c>
      <c r="Q87">
        <f>IF(Q3=1,IF(AND(Q9=0,Q80&lt;=0),0,MAX(0,Q9+Q80/(1-(1-'Inputs'!$T$105)*Q18))),0)</f>
      </c>
      <c r="R87">
        <f>IF(R3=1,IF(AND(R9=0,R80&lt;=0),0,MAX(0,R9+R80/(1-(1-'Inputs'!$T$105)*R18))),0)</f>
      </c>
      <c r="S87">
        <f>IF(S3=1,IF(AND(S9=0,S80&lt;=0),0,MAX(0,S9+S80/(1-(1-'Inputs'!$T$105)*S18))),0)</f>
      </c>
      <c r="T87">
        <f>IF(T3=1,IF(AND(T9=0,T80&lt;=0),0,MAX(0,T9+T80/(1-(1-'Inputs'!$T$105)*T18))),0)</f>
      </c>
    </row>
    <row r="88" spans="2:20" x14ac:dyDescent="0.25">
      <c r="B88" t="s">
        <v>397</v>
      </c>
      <c r="C88">
        <f>IF(C3=1,IF(AND(C10=0,C27&lt;=0),0,MAX(0,C10+C27/((1-('Inputs'!$C$120/100*(1+'Inputs'!$C$121/100)))*(1-IF('Inputs'!$C$14="Spouse",0,C18))))),0)</f>
      </c>
      <c r="E88">
        <f>IF(E3=1,IF(AND(E10=0,E27&lt;=0),0,MAX(0,E10+E27/((1-('Inputs'!$C$120/100*(1+'Inputs'!$C$121/100)))*(1-IF('Inputs'!$C$14="Spouse",0,E18))))),0)</f>
      </c>
      <c r="F88">
        <f>IF(F3=1,IF(AND(F10=0,F27&lt;=0),0,MAX(0,F10+F27/((1-('Inputs'!$C$120/100*(1+'Inputs'!$C$121/100)))*(1-IF('Inputs'!$C$14="Spouse",0,F18))))),0)</f>
      </c>
      <c r="G88">
        <f>IF(G3=1,IF(AND(G10=0,G27&lt;=0),0,MAX(0,G10+G27/((1-('Inputs'!$C$120/100*(1+'Inputs'!$C$121/100)))*(1-IF('Inputs'!$C$14="Spouse",0,G18))))),0)</f>
      </c>
      <c r="H88">
        <f>IF(H3=1,IF(AND(H10=0,H27&lt;=0),0,MAX(0,H10+H27/((1-('Inputs'!$C$120/100*(1+'Inputs'!$C$121/100)))*(1-IF('Inputs'!$C$14="Spouse",0,H18))))),0)</f>
      </c>
      <c r="I88">
        <f>IF(I3=1,IF(AND(I10=0,I27&lt;=0),0,MAX(0,I10+I27/((1-('Inputs'!$C$120/100*(1+'Inputs'!$C$121/100)))*(1-IF('Inputs'!$C$14="Spouse",0,I18))))),0)</f>
      </c>
      <c r="J88">
        <f>IF(J3=1,IF(AND(J10=0,J27&lt;=0),0,MAX(0,J10+J27/((1-('Inputs'!$C$120/100*(1+'Inputs'!$C$121/100)))*(1-IF('Inputs'!$C$14="Spouse",0,J18))))),0)</f>
      </c>
      <c r="K88">
        <f>IF(K3=1,IF(AND(K10=0,K27&lt;=0),0,MAX(0,K10+K27/((1-('Inputs'!$C$120/100*(1+'Inputs'!$C$121/100)))*(1-IF('Inputs'!$C$14="Spouse",0,K18))))),0)</f>
      </c>
      <c r="L88">
        <f>IF(L3=1,IF(AND(L10=0,L27&lt;=0),0,MAX(0,L10+L27/((1-('Inputs'!$C$120/100*(1+'Inputs'!$C$121/100)))*(1-IF('Inputs'!$C$14="Spouse",0,L18))))),0)</f>
      </c>
      <c r="M88">
        <f>IF(M3=1,IF(AND(M10=0,M27&lt;=0),0,MAX(0,M10+M27/((1-('Inputs'!$C$120/100*(1+'Inputs'!$C$121/100)))*(1-IF('Inputs'!$C$14="Spouse",0,M18))))),0)</f>
      </c>
      <c r="N88">
        <f>IF(N3=1,IF(AND(N10=0,N27&lt;=0),0,MAX(0,N10+N27/((1-('Inputs'!$C$120/100*(1+'Inputs'!$C$121/100)))*(1-IF('Inputs'!$C$14="Spouse",0,N18))))),0)</f>
      </c>
      <c r="O88">
        <f>IF(O3=1,IF(AND(O10=0,O27&lt;=0),0,MAX(0,O10+O27/((1-('Inputs'!$C$120/100*(1+'Inputs'!$C$121/100)))*(1-IF('Inputs'!$C$14="Spouse",0,O18))))),0)</f>
      </c>
      <c r="P88">
        <f>IF(P3=1,IF(AND(P10=0,P27&lt;=0),0,MAX(0,P10+P27/((1-('Inputs'!$C$120/100*(1+'Inputs'!$C$121/100)))*(1-IF('Inputs'!$C$14="Spouse",0,P18))))),0)</f>
      </c>
      <c r="Q88">
        <f>IF(Q3=1,IF(AND(Q10=0,Q27&lt;=0),0,MAX(0,Q10+Q27/((1-('Inputs'!$C$120/100*(1+'Inputs'!$C$121/100)))*(1-IF('Inputs'!$C$14="Spouse",0,Q18))))),0)</f>
      </c>
      <c r="R88">
        <f>IF(R3=1,IF(AND(R10=0,R27&lt;=0),0,MAX(0,R10+R27/((1-('Inputs'!$C$120/100*(1+'Inputs'!$C$121/100)))*(1-IF('Inputs'!$C$14="Spouse",0,R18))))),0)</f>
      </c>
      <c r="S88">
        <f>IF(S3=1,IF(AND(S10=0,S27&lt;=0),0,MAX(0,S10+S27/((1-('Inputs'!$C$120/100*(1+'Inputs'!$C$121/100)))*(1-IF('Inputs'!$C$14="Spouse",0,S18))))),0)</f>
      </c>
      <c r="T88">
        <f>IF(T3=1,IF(AND(T10=0,T27&lt;=0),0,MAX(0,T10+T27/((1-('Inputs'!$C$120/100*(1+'Inputs'!$C$121/100)))*(1-IF('Inputs'!$C$14="Spouse",0,T18))))),0)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278</v>
      </c>
    </row>
    <row r="5" spans="2:2" x14ac:dyDescent="0.25">
      <c r="B5" s="4" t="s">
        <v>279</v>
      </c>
    </row>
    <row r="6" ht="18" customHeight="1" spans="2:9" x14ac:dyDescent="0.25">
      <c r="B6" s="5" t="s">
        <v>280</v>
      </c>
      <c r="C6" s="6"/>
      <c r="D6" s="6"/>
      <c r="E6" s="6"/>
      <c r="F6" s="6"/>
      <c r="G6" s="6"/>
      <c r="H6" s="6"/>
      <c r="I6" s="6"/>
    </row>
    <row r="7" ht="20" customHeight="1" spans="2:8" x14ac:dyDescent="0.25">
      <c r="B7" s="12" t="s">
        <v>173</v>
      </c>
      <c r="C7" s="13">
        <f>IF('Inputs'!$B$100="","",'Inputs'!$B$100)</f>
      </c>
      <c r="D7" s="13">
        <f>IF('Inputs'!$B$101="","",'Inputs'!$B$101)</f>
      </c>
      <c r="E7" s="13">
        <f>IF('Inputs'!$B$102="","",'Inputs'!$B$102)</f>
      </c>
      <c r="F7" s="13">
        <f>IF('Inputs'!$B$103="","",'Inputs'!$B$103)</f>
      </c>
      <c r="G7" s="13">
        <f>IF('Inputs'!$B$104="","",'Inputs'!$B$104)</f>
      </c>
      <c r="H7" s="13">
        <f>IF('Inputs'!$B$105="","",'Inputs'!$B$105)</f>
      </c>
    </row>
    <row r="8" spans="2:8" x14ac:dyDescent="0.25">
      <c r="B8" s="7" t="s">
        <v>281</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122</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195</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282</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283</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284</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30" t="s">
        <v>285</v>
      </c>
      <c r="C14" s="43">
        <f>IF('Inputs'!$B$100="","",'Needs calc'!$C$40)</f>
      </c>
      <c r="D14" s="43">
        <f>IF('Inputs'!$B$101="","",'Needs calc'!$C$47)</f>
      </c>
      <c r="E14" s="43">
        <f>IF('Inputs'!$B$102="","",'Needs calc'!$C$54)</f>
      </c>
      <c r="F14" s="43">
        <f>IF('Inputs'!$B$103="","",'Needs calc'!$C$61)</f>
      </c>
      <c r="G14" s="43">
        <f>IF('Inputs'!$B$104="","",'Needs calc'!$C$68)</f>
      </c>
      <c r="H14" s="43">
        <f>IF('Inputs'!$B$105="","",'Needs calc'!$C$75)</f>
      </c>
    </row>
    <row r="15" spans="2:8" x14ac:dyDescent="0.25">
      <c r="B15" s="7" t="s">
        <v>286</v>
      </c>
      <c r="C15" s="38">
        <f>IF('Inputs'!$B$100="","",'Needs calc'!$C$42)</f>
      </c>
      <c r="D15" s="38">
        <f>IF('Inputs'!$B$101="","",'Needs calc'!$C$49)</f>
      </c>
      <c r="E15" s="38">
        <f>IF('Inputs'!$B$102="","",'Needs calc'!$C$56)</f>
      </c>
      <c r="F15" s="38">
        <f>IF('Inputs'!$B$103="","",'Needs calc'!$C$63)</f>
      </c>
      <c r="G15" s="38">
        <f>IF('Inputs'!$B$104="","",'Needs calc'!$C$70)</f>
      </c>
      <c r="H15" s="38">
        <f>IF('Inputs'!$B$105="","",'Needs calc'!$C$77)</f>
      </c>
    </row>
    <row r="16" spans="2:8" x14ac:dyDescent="0.25">
      <c r="B16" s="7" t="s">
        <v>287</v>
      </c>
      <c r="C16" s="47">
        <f>IF('Inputs'!$B$100="","",'Needs calc'!$C$43)</f>
      </c>
      <c r="D16" s="47">
        <f>IF('Inputs'!$B$101="","",'Needs calc'!$C$50)</f>
      </c>
      <c r="E16" s="47">
        <f>IF('Inputs'!$B$102="","",'Needs calc'!$C$57)</f>
      </c>
      <c r="F16" s="47">
        <f>IF('Inputs'!$B$103="","",'Needs calc'!$C$64)</f>
      </c>
      <c r="G16" s="47">
        <f>IF('Inputs'!$B$104="","",'Needs calc'!$C$71)</f>
      </c>
      <c r="H16" s="47">
        <f>IF('Inputs'!$B$105="","",'Needs calc'!$C$78)</f>
      </c>
    </row>
    <row r="17" spans="2:8" x14ac:dyDescent="0.25">
      <c r="B17" s="30" t="s">
        <v>288</v>
      </c>
      <c r="C17" s="43">
        <f>IF('Inputs'!$B$100="","",'Needs calc'!$C$44)</f>
      </c>
      <c r="D17" s="43">
        <f>IF('Inputs'!$B$101="","",'Needs calc'!$C$51)</f>
      </c>
      <c r="E17" s="43">
        <f>IF('Inputs'!$B$102="","",'Needs calc'!$C$58)</f>
      </c>
      <c r="F17" s="43">
        <f>IF('Inputs'!$B$103="","",'Needs calc'!$C$65)</f>
      </c>
      <c r="G17" s="43">
        <f>IF('Inputs'!$B$104="","",'Needs calc'!$C$72)</f>
      </c>
      <c r="H17" s="43">
        <f>IF('Inputs'!$B$105="","",'Needs calc'!$C$79)</f>
      </c>
    </row>
    <row r="18" spans="2:8" x14ac:dyDescent="0.25">
      <c r="B18" s="30" t="s">
        <v>289</v>
      </c>
      <c r="C18" s="43">
        <f>IF('Inputs'!$B$100="","",'Needs calc'!$C$45)</f>
      </c>
      <c r="D18" s="43">
        <f>IF('Inputs'!$B$101="","",'Needs calc'!$C$52)</f>
      </c>
      <c r="E18" s="43">
        <f>IF('Inputs'!$B$102="","",'Needs calc'!$C$59)</f>
      </c>
      <c r="F18" s="43">
        <f>IF('Inputs'!$B$103="","",'Needs calc'!$C$66)</f>
      </c>
      <c r="G18" s="43">
        <f>IF('Inputs'!$B$104="","",'Needs calc'!$C$73)</f>
      </c>
      <c r="H18" s="43">
        <f>IF('Inputs'!$B$105="","",'Needs calc'!$C$80)</f>
      </c>
    </row>
    <row r="19" spans="2:8" x14ac:dyDescent="0.25">
      <c r="B19" s="7" t="s">
        <v>290</v>
      </c>
      <c r="C19" s="19">
        <f>IF('Inputs'!$B$100="","",'Needs calc'!$C$46)</f>
      </c>
      <c r="D19" s="19">
        <f>IF('Inputs'!$B$101="","",'Needs calc'!$C$53)</f>
      </c>
      <c r="E19" s="19">
        <f>IF('Inputs'!$B$102="","",'Needs calc'!$C$60)</f>
      </c>
      <c r="F19" s="19">
        <f>IF('Inputs'!$B$103="","",'Needs calc'!$C$67)</f>
      </c>
      <c r="G19" s="19">
        <f>IF('Inputs'!$B$104="","",'Needs calc'!$C$74)</f>
      </c>
      <c r="H19" s="19">
        <f>IF('Inputs'!$B$105="","",'Needs calc'!$C$81)</f>
      </c>
    </row>
    <row r="21" ht="18" customHeight="1" spans="2:9" x14ac:dyDescent="0.25">
      <c r="B21" s="5" t="s">
        <v>291</v>
      </c>
      <c r="C21" s="6"/>
      <c r="D21" s="6"/>
      <c r="E21" s="6"/>
      <c r="F21" s="6"/>
      <c r="G21" s="6"/>
      <c r="H21" s="6"/>
      <c r="I21" s="6"/>
    </row>
    <row r="22" ht="20" customHeight="1" spans="2:8" x14ac:dyDescent="0.25">
      <c r="B22" s="12" t="s">
        <v>173</v>
      </c>
      <c r="C22" s="13">
        <f>IF('Inputs'!$B$100="","",'Inputs'!$B$100)</f>
      </c>
      <c r="D22" s="13">
        <f>IF('Inputs'!$B$101="","",'Inputs'!$B$101)</f>
      </c>
      <c r="E22" s="13">
        <f>IF('Inputs'!$B$102="","",'Inputs'!$B$102)</f>
      </c>
      <c r="F22" s="13">
        <f>IF('Inputs'!$B$103="","",'Inputs'!$B$103)</f>
      </c>
      <c r="G22" s="13">
        <f>IF('Inputs'!$B$104="","",'Inputs'!$B$104)</f>
      </c>
      <c r="H22" s="13">
        <f>IF('Inputs'!$B$105="","",'Inputs'!$B$105)</f>
      </c>
    </row>
    <row r="23" spans="2:8" x14ac:dyDescent="0.25">
      <c r="B23" s="30" t="s">
        <v>292</v>
      </c>
      <c r="C23" s="43">
        <f>IF('Inputs'!$B$100="","",'Needs calc'!$T$4)</f>
      </c>
      <c r="D23" s="43">
        <f>IF('Inputs'!$B$101="","",'Needs calc'!$T$5)</f>
      </c>
      <c r="E23" s="43">
        <f>IF('Inputs'!$B$102="","",'Needs calc'!$T$6)</f>
      </c>
      <c r="F23" s="43">
        <f>IF('Inputs'!$B$103="","",'Needs calc'!$T$7)</f>
      </c>
      <c r="G23" s="43">
        <f>IF('Inputs'!$B$104="","",'Needs calc'!$T$8)</f>
      </c>
      <c r="H23" s="43">
        <f>IF('Inputs'!$B$105="","",'Needs calc'!$T$9)</f>
      </c>
    </row>
    <row r="24" spans="2:8" x14ac:dyDescent="0.25">
      <c r="B24" s="7" t="s">
        <v>293</v>
      </c>
      <c r="C24" s="19">
        <f>IF('Inputs'!$B$100="","",IF('Needs calc'!$T$4=0,"",IF('Inputs'!$T$100=1,"spouse, no duty",IF('Inputs'!$Q$100=1,"the trust","them"))))</f>
      </c>
      <c r="D24" s="19">
        <f>IF('Inputs'!$B$101="","",IF('Needs calc'!$T$5=0,"",IF('Inputs'!$T$101=1,"spouse, no duty",IF('Inputs'!$Q$101=1,"the trust","them"))))</f>
      </c>
      <c r="E24" s="19">
        <f>IF('Inputs'!$B$102="","",IF('Needs calc'!$T$6=0,"",IF('Inputs'!$T$102=1,"spouse, no duty",IF('Inputs'!$Q$102=1,"the trust","them"))))</f>
      </c>
      <c r="F24" s="19">
        <f>IF('Inputs'!$B$103="","",IF('Needs calc'!$T$7=0,"",IF('Inputs'!$T$103=1,"spouse, no duty",IF('Inputs'!$Q$103=1,"the trust","them"))))</f>
      </c>
      <c r="G24" s="19">
        <f>IF('Inputs'!$B$104="","",IF('Needs calc'!$T$8=0,"",IF('Inputs'!$T$104=1,"spouse, no duty",IF('Inputs'!$Q$104=1,"the trust","them"))))</f>
      </c>
      <c r="H24" s="19">
        <f>IF('Inputs'!$B$105="","",IF('Needs calc'!$T$9=0,"",IF('Inputs'!$T$105=1,"spouse, no duty",IF('Inputs'!$Q$105=1,"the trust","them"))))</f>
      </c>
    </row>
    <row r="25" spans="2:8" x14ac:dyDescent="0.25">
      <c r="B25" s="7" t="s">
        <v>294</v>
      </c>
      <c r="C25" s="19">
        <f>IF('Inputs'!$B$100="","",'Needs calc'!$T$40)</f>
      </c>
      <c r="D25" s="19">
        <f>IF('Inputs'!$B$101="","",'Needs calc'!$T$47)</f>
      </c>
      <c r="E25" s="19">
        <f>IF('Inputs'!$B$102="","",'Needs calc'!$T$54)</f>
      </c>
      <c r="F25" s="19">
        <f>IF('Inputs'!$B$103="","",'Needs calc'!$T$61)</f>
      </c>
      <c r="G25" s="19">
        <f>IF('Inputs'!$B$104="","",'Needs calc'!$T$68)</f>
      </c>
      <c r="H25" s="19">
        <f>IF('Inputs'!$B$105="","",'Needs calc'!$T$75)</f>
      </c>
    </row>
    <row r="26" spans="2:8" x14ac:dyDescent="0.25">
      <c r="B26" s="7" t="s">
        <v>295</v>
      </c>
      <c r="C26" s="38">
        <f>IF('Inputs'!$B$100="","",'Needs calc'!$T$42)</f>
      </c>
      <c r="D26" s="38">
        <f>IF('Inputs'!$B$101="","",'Needs calc'!$T$49)</f>
      </c>
      <c r="E26" s="38">
        <f>IF('Inputs'!$B$102="","",'Needs calc'!$T$56)</f>
      </c>
      <c r="F26" s="38">
        <f>IF('Inputs'!$B$103="","",'Needs calc'!$T$63)</f>
      </c>
      <c r="G26" s="38">
        <f>IF('Inputs'!$B$104="","",'Needs calc'!$T$70)</f>
      </c>
      <c r="H26" s="38">
        <f>IF('Inputs'!$B$105="","",'Needs calc'!$T$77)</f>
      </c>
    </row>
    <row r="27" spans="2:8" x14ac:dyDescent="0.25">
      <c r="B27" s="7" t="s">
        <v>296</v>
      </c>
      <c r="C27" s="19">
        <f>IF('Inputs'!$B$100="","",'Needs calc'!$T$44)</f>
      </c>
      <c r="D27" s="19">
        <f>IF('Inputs'!$B$101="","",'Needs calc'!$T$51)</f>
      </c>
      <c r="E27" s="19">
        <f>IF('Inputs'!$B$102="","",'Needs calc'!$T$58)</f>
      </c>
      <c r="F27" s="19">
        <f>IF('Inputs'!$B$103="","",'Needs calc'!$T$65)</f>
      </c>
      <c r="G27" s="19">
        <f>IF('Inputs'!$B$104="","",'Needs calc'!$T$72)</f>
      </c>
      <c r="H27" s="19">
        <f>IF('Inputs'!$B$105="","",'Needs calc'!$T$79)</f>
      </c>
    </row>
    <row r="28" spans="2:8" x14ac:dyDescent="0.25">
      <c r="B28" s="7" t="s">
        <v>297</v>
      </c>
      <c r="C28" s="19">
        <f>IF('Inputs'!$B$100="","",'Needs calc'!$T$45)</f>
      </c>
      <c r="D28" s="19">
        <f>IF('Inputs'!$B$101="","",'Needs calc'!$T$52)</f>
      </c>
      <c r="E28" s="19">
        <f>IF('Inputs'!$B$102="","",'Needs calc'!$T$59)</f>
      </c>
      <c r="F28" s="19">
        <f>IF('Inputs'!$B$103="","",'Needs calc'!$T$66)</f>
      </c>
      <c r="G28" s="19">
        <f>IF('Inputs'!$B$104="","",'Needs calc'!$T$73)</f>
      </c>
      <c r="H28" s="19">
        <f>IF('Inputs'!$B$105="","",'Needs calc'!$T$80)</f>
      </c>
    </row>
    <row r="30" spans="2:3" x14ac:dyDescent="0.25">
      <c r="B30" s="7" t="s">
        <v>298</v>
      </c>
      <c r="C30" s="19">
        <f>'Workings'!$C$67</f>
      </c>
    </row>
    <row r="31" ht="27" customHeight="1" spans="2:3" x14ac:dyDescent="0.25">
      <c r="B31" s="7" t="s">
        <v>299</v>
      </c>
      <c r="C31" s="19">
        <f>'Needs calc'!$T$10</f>
      </c>
    </row>
    <row r="32" spans="2:3" x14ac:dyDescent="0.25">
      <c r="B32" s="7" t="s">
        <v>300</v>
      </c>
      <c r="C32" s="19">
        <f>'Needs calc'!$T$27</f>
      </c>
    </row>
    <row r="33" ht="27" customHeight="1" spans="2:3" x14ac:dyDescent="0.25">
      <c r="B33" s="7" t="s">
        <v>301</v>
      </c>
      <c r="C33" s="19">
        <f>IF(AND(OR(LEFT('Inputs'!$C$13,7)="Married",'Inputs'!$C$13="Life partner",'Inputs'!$C$13="Civil Union"),'Workings'!$C$67&gt;0),'Workings'!$C$67,0)</f>
      </c>
    </row>
    <row r="34" spans="2:3" x14ac:dyDescent="0.25">
      <c r="B34" s="7" t="s">
        <v>302</v>
      </c>
      <c r="C34" s="19">
        <f>'Needs calc'!$T$17</f>
      </c>
    </row>
    <row r="35" spans="2:3" x14ac:dyDescent="0.25">
      <c r="B35" s="7" t="s">
        <v>303</v>
      </c>
      <c r="C35" s="45">
        <f>'Needs calc'!$T$18</f>
      </c>
    </row>
    <row r="36" spans="2:3" x14ac:dyDescent="0.25">
      <c r="B36" s="7" t="s">
        <v>304</v>
      </c>
      <c r="C36" s="19">
        <f>'Needs calc'!$T$26</f>
      </c>
    </row>
    <row r="37" spans="2:3" x14ac:dyDescent="0.25">
      <c r="B37" s="30" t="s">
        <v>305</v>
      </c>
      <c r="C37" s="43">
        <f>('Needs calc'!$T$10+('Needs calc'!$T$4+'Needs calc'!$T$5+'Needs calc'!$T$6+'Needs calc'!$T$7+'Needs calc'!$T$8+'Needs calc'!$T$9))</f>
      </c>
    </row>
    <row r="39" ht="18" customHeight="1" spans="2:9" x14ac:dyDescent="0.25">
      <c r="B39" s="5" t="s">
        <v>306</v>
      </c>
      <c r="C39" s="6"/>
      <c r="D39" s="6"/>
      <c r="E39" s="6"/>
      <c r="F39" s="6"/>
      <c r="G39" s="6"/>
      <c r="H39" s="6"/>
      <c r="I39" s="6"/>
    </row>
    <row r="40" ht="20" customHeight="1" spans="2:8" x14ac:dyDescent="0.25">
      <c r="B40" s="12" t="s">
        <v>173</v>
      </c>
      <c r="C40" s="13">
        <f>IF('Inputs'!$B$100="","",'Inputs'!$B$100)</f>
      </c>
      <c r="D40" s="13">
        <f>IF('Inputs'!$B$101="","",'Inputs'!$B$101)</f>
      </c>
      <c r="E40" s="13">
        <f>IF('Inputs'!$B$102="","",'Inputs'!$B$102)</f>
      </c>
      <c r="F40" s="13">
        <f>IF('Inputs'!$B$103="","",'Inputs'!$B$103)</f>
      </c>
      <c r="G40" s="13">
        <f>IF('Inputs'!$B$104="","",'Inputs'!$B$104)</f>
      </c>
      <c r="H40" s="13">
        <f>IF('Inputs'!$B$105="","",'Inputs'!$B$105)</f>
      </c>
    </row>
    <row r="41" spans="2:8" x14ac:dyDescent="0.25">
      <c r="B41" s="7" t="s">
        <v>307</v>
      </c>
      <c r="C41" s="19">
        <f>IF('Inputs'!$B$100="","",'Needs years'!$C$11)</f>
      </c>
      <c r="D41" s="19">
        <f>IF('Inputs'!$B$101="","",'Needs years'!$C$67)</f>
      </c>
      <c r="E41" s="19">
        <f>IF('Inputs'!$B$102="","",'Needs years'!$C$123)</f>
      </c>
      <c r="F41" s="19">
        <f>IF('Inputs'!$B$103="","",'Needs years'!$C$179)</f>
      </c>
      <c r="G41" s="19">
        <f>IF('Inputs'!$B$104="","",'Needs years'!$C$235)</f>
      </c>
      <c r="H41" s="19">
        <f>IF('Inputs'!$B$105="","",'Needs years'!$C$291)</f>
      </c>
    </row>
    <row r="42" spans="2:8" x14ac:dyDescent="0.25">
      <c r="B42" s="7" t="s">
        <v>308</v>
      </c>
      <c r="C42" s="19">
        <f>IF('Inputs'!$B$100="","",'Needs years'!$C$12)</f>
      </c>
      <c r="D42" s="19">
        <f>IF('Inputs'!$B$101="","",'Needs years'!$C$68)</f>
      </c>
      <c r="E42" s="19">
        <f>IF('Inputs'!$B$102="","",'Needs years'!$C$124)</f>
      </c>
      <c r="F42" s="19">
        <f>IF('Inputs'!$B$103="","",'Needs years'!$C$180)</f>
      </c>
      <c r="G42" s="19">
        <f>IF('Inputs'!$B$104="","",'Needs years'!$C$236)</f>
      </c>
      <c r="H42" s="19">
        <f>IF('Inputs'!$B$105="","",'Needs years'!$C$292)</f>
      </c>
    </row>
    <row r="43" spans="2:8" x14ac:dyDescent="0.25">
      <c r="B43" s="7" t="s">
        <v>309</v>
      </c>
      <c r="C43" s="19">
        <f>IF('Inputs'!$B$100="","",'Needs years'!$C$13)</f>
      </c>
      <c r="D43" s="19">
        <f>IF('Inputs'!$B$101="","",'Needs years'!$C$69)</f>
      </c>
      <c r="E43" s="19">
        <f>IF('Inputs'!$B$102="","",'Needs years'!$C$125)</f>
      </c>
      <c r="F43" s="19">
        <f>IF('Inputs'!$B$103="","",'Needs years'!$C$181)</f>
      </c>
      <c r="G43" s="19">
        <f>IF('Inputs'!$B$104="","",'Needs years'!$C$237)</f>
      </c>
      <c r="H43" s="19">
        <f>IF('Inputs'!$B$105="","",'Needs years'!$C$293)</f>
      </c>
    </row>
    <row r="45" ht="96" customHeight="1" spans="2:9" x14ac:dyDescent="0.25">
      <c r="B45" s="36">
        <f>"Basis: monthly needs are net, paid monthly in advance from the date of death and rising at each anniversary. Capital for a person earns "&amp;FIXED('Inputs'!$H$122,1)&amp;"% a year before tax as a unit trust, taxed in their hands at their marginal rate m (their own income plus the taxable part of what the capital earns): E(m) = "&amp;FIXED('Inputs'!$H$125,2)&amp;"% x m + "&amp;FIXED('Inputs'!$H$126,2)&amp;"% x "&amp;FIXED('Inputs'!$H$128,0)&amp;"% + "&amp;FIXED('Inputs'!$H$127,2)&amp;"% x "&amp;FIXED('Inputs'!$H$120,0)&amp;"% x m, less trustee fees of "&amp;FIXED('Inputs'!$H$123,1)&amp;"%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"&amp;FIXED('Inputs'!$H$122,1)&amp;"%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5" s="36"/>
      <c r="D45" s="36"/>
      <c r="E45" s="36"/>
      <c r="F45" s="36"/>
      <c r="G45" s="36"/>
      <c r="H45" s="36"/>
      <c r="I45" s="36"/>
    </row>
  </sheetData>
  <sheetProtection sheet="1" formatRows="0"/>
  <mergeCells count="3">
    <mergeCell ref="B1:I1"/>
    <mergeCell ref="B2:I2"/>
    <mergeCell ref="B45:I45"/>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4">
        <f>IF(OR(COUNTIF('Inputs'!$B$154:$B$167,"✗ Full FNA*")&gt;0,LEFT('Inputs'!$B$147,1)="✗"),"NOT FOR THE CLIENT: this case needs the full FNA (see Checks on Inputs)","")</f>
      </c>
      <c r="C3" s="24"/>
      <c r="D3" s="24"/>
      <c r="E3" s="24"/>
      <c r="F3" s="24"/>
    </row>
    <row r="4" ht="20" customHeight="1" spans="2:2" x14ac:dyDescent="0.25">
      <c r="B4" s="3" t="s">
        <v>187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calc'!$C$52&gt;0)+('Needs calc'!$C$59&gt;0)+('Needs calc'!$C$66&gt;0)+('Needs calc'!$C$73&gt;0)+('Needs calc'!$C$80&gt;0))=0,"everyone who depends on you would have what you want for them.",'Needs years'!$C$19&amp;'Needs years'!$C$75&amp;'Needs years'!$C$131&amp;'Needs years'!$C$187&amp;'Needs years'!$C$243&amp;'Needs years'!$C$299&amp;IF((('Needs calc'!$C$45&gt;0)+('Needs calc'!$C$52&gt;0)+('Needs calc'!$C$59&gt;0)+('Needs calc'!$C$66&gt;0)+('Needs calc'!$C$73&gt;0)+('Needs calc'!$C$80&gt;0))&lt;COUNTIF('Inputs'!$B$100:$B$105,"?*"),"Everyone else is provided for.",""))))</f>
      </c>
      <c r="C7" s="25"/>
      <c r="D7" s="25"/>
      <c r="E7" s="25"/>
      <c r="F7" s="25"/>
    </row>
    <row r="8" ht="30" customHeight="1" spans="2:6" x14ac:dyDescent="0.25">
      <c r="B8" s="25">
        <f>IF('Workings'!$C$67&gt;0,"Your estate itself would be short of cash by about R "&amp;FIXED(ROUND('Workings'!$C$67,-3),0)&amp;" to pay its debts and costs.","Your estate itself has enough cash to pay its debts and costs, with about R "&amp;FIXED(ROUND('Workings'!$C$68,-3),0)&amp;" left over for your heirs.")</f>
      </c>
      <c r="C8" s="25"/>
      <c r="D8" s="25"/>
      <c r="E8" s="25"/>
      <c r="F8" s="25"/>
    </row>
    <row r="10" spans="2:6" x14ac:dyDescent="0.25">
      <c r="B10" s="26">
        <f>IF(('Needs calc'!$T$10+('Needs calc'!$T$4+'Needs calc'!$T$5+'Needs calc'!$T$6+'Needs calc'!$T$7+'Needs calc'!$T$8+'Needs calc'!$T$9))&gt;0,"TOTAL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8"/>
      <c r="D12" s="28"/>
      <c r="E12" s="28"/>
      <c r="F12" s="28"/>
    </row>
    <row r="14" spans="2:6" x14ac:dyDescent="0.25">
      <c r="B14" s="12" t="s">
        <v>188</v>
      </c>
      <c r="C14" s="12" t="s">
        <v>173</v>
      </c>
      <c r="D14" s="12"/>
      <c r="E14" s="12"/>
      <c r="F14" s="12"/>
    </row>
    <row r="15" spans="2:6" x14ac:dyDescent="0.25">
      <c r="B15" s="7" t="s">
        <v>189</v>
      </c>
      <c r="C15" s="15">
        <f>'Workings'!$C$63</f>
      </c>
      <c r="D15" s="15"/>
      <c r="E15" s="15"/>
      <c r="F15" s="15"/>
    </row>
    <row r="16" spans="2:6" x14ac:dyDescent="0.25">
      <c r="B16" s="7" t="s">
        <v>190</v>
      </c>
      <c r="C16" s="15">
        <f>'Workings'!$C$66</f>
      </c>
      <c r="D16" s="15"/>
      <c r="E16" s="15"/>
      <c r="F16" s="15"/>
    </row>
    <row r="17" ht="30" customHeight="1" spans="2:6" x14ac:dyDescent="0.25">
      <c r="B17" s="7" t="s">
        <v>191</v>
      </c>
      <c r="C17" s="37">
        <f>IF('Workings'!$C$67&gt;0,"Short R "&amp;FIXED(ROUND('Workings'!$C$67,-3),0)&amp;". Cover paid to your estate to close it: R "&amp;FIXED(ROUND('Needs calc'!$T$10,-3),0)&amp;IF(OR(LEFT('Inputs'!$C$13,7)="Married",'Inputs'!$C$13="Life partner",'Inputs'!$C$13="Civil Union")," (or R "&amp;FIXED(ROUND('Workings'!$C$67,-3),0)&amp;" nominated to your spouse, who pays it in)","")&amp;".","Covered: R "&amp;FIXED(ROUND('Workings'!$C$68,-3),0)&amp;" left for your heirs")</f>
      </c>
      <c r="D17" s="37"/>
      <c r="E17" s="37"/>
      <c r="F17" s="37"/>
    </row>
    <row r="19" ht="20" customHeight="1" spans="2:6" x14ac:dyDescent="0.25">
      <c r="B19" s="12" t="s">
        <v>192</v>
      </c>
      <c r="C19" s="13">
        <f>IF('Inputs'!$B$100="","",'Inputs'!$B$100)</f>
      </c>
      <c r="D19" s="13">
        <f>IF('Inputs'!$B$101="","",'Inputs'!$B$101)</f>
      </c>
      <c r="E19" s="13">
        <f>IF('Inputs'!$B$102="","",'Inputs'!$B$102)</f>
      </c>
      <c r="F19" s="13">
        <f>IF('Inputs'!$B$103="","",'Inputs'!$B$103)</f>
      </c>
    </row>
    <row r="20" spans="2:6" x14ac:dyDescent="0.25">
      <c r="B20" s="7" t="s">
        <v>193</v>
      </c>
      <c r="C20" s="15">
        <f>IF('Inputs'!$B$100="","",N('Inputs'!$E$100))</f>
      </c>
      <c r="D20" s="15">
        <f>IF('Inputs'!$B$101="","",N('Inputs'!$E$101))</f>
      </c>
      <c r="E20" s="15">
        <f>IF('Inputs'!$B$102="","",N('Inputs'!$E$102))</f>
      </c>
      <c r="F20" s="15">
        <f>IF('Inputs'!$B$103="","",N('Inputs'!$E$103))</f>
      </c>
    </row>
    <row r="21" spans="2:6" x14ac:dyDescent="0.25">
      <c r="B21" s="7" t="s">
        <v>194</v>
      </c>
      <c r="C21" s="34">
        <f>IF('Inputs'!$B$100="","",IF('Needs years'!$C$6=0,"",'Needs years'!$C$6&amp;" years"))</f>
      </c>
      <c r="D21" s="34">
        <f>IF('Inputs'!$B$101="","",IF('Needs years'!$C$62=0,"",'Needs years'!$C$62&amp;" years"))</f>
      </c>
      <c r="E21" s="34">
        <f>IF('Inputs'!$B$102="","",IF('Needs years'!$C$118=0,"",'Needs years'!$C$118&amp;" years"))</f>
      </c>
      <c r="F21" s="34">
        <f>IF('Inputs'!$B$103="","",IF('Needs years'!$C$174=0,"",'Needs years'!$C$174&amp;" years"))</f>
      </c>
    </row>
    <row r="22" spans="2:6" x14ac:dyDescent="0.25">
      <c r="B22" s="7" t="s">
        <v>195</v>
      </c>
      <c r="C22" s="38">
        <f>IF('Inputs'!$B$100="","",IF('Needs years'!$C$6=0,"",'Needs years'!$C$8))</f>
      </c>
      <c r="D22" s="38">
        <f>IF('Inputs'!$B$101="","",IF('Needs years'!$C$62=0,"",'Needs years'!$C$64))</f>
      </c>
      <c r="E22" s="38">
        <f>IF('Inputs'!$B$102="","",IF('Needs years'!$C$118=0,"",'Needs years'!$C$120))</f>
      </c>
      <c r="F22" s="38">
        <f>IF('Inputs'!$B$103="","",IF('Needs years'!$C$174=0,"",'Needs years'!$C$176))</f>
      </c>
    </row>
    <row r="23" spans="2:6" x14ac:dyDescent="0.25">
      <c r="B23" s="7" t="s">
        <v>196</v>
      </c>
      <c r="C23" s="15">
        <f>IF('Inputs'!$B$100="","",'Needs years'!$C$10)</f>
      </c>
      <c r="D23" s="15">
        <f>IF('Inputs'!$B$101="","",'Needs years'!$C$66)</f>
      </c>
      <c r="E23" s="15">
        <f>IF('Inputs'!$B$102="","",'Needs years'!$C$122)</f>
      </c>
      <c r="F23" s="15">
        <f>IF('Inputs'!$B$103="","",'Needs years'!$C$178)</f>
      </c>
    </row>
    <row r="24" spans="2:6" x14ac:dyDescent="0.25">
      <c r="B24" s="7" t="s">
        <v>197</v>
      </c>
      <c r="C24" s="15">
        <f>IF('Inputs'!$B$100="","",'Needs years'!$C$15)</f>
      </c>
      <c r="D24" s="15">
        <f>IF('Inputs'!$B$101="","",'Needs years'!$C$71)</f>
      </c>
      <c r="E24" s="15">
        <f>IF('Inputs'!$B$102="","",'Needs years'!$C$127)</f>
      </c>
      <c r="F24" s="15">
        <f>IF('Inputs'!$B$103="","",'Needs years'!$C$183)</f>
      </c>
    </row>
    <row r="25" spans="2:6" x14ac:dyDescent="0.25">
      <c r="B25" s="7" t="s">
        <v>198</v>
      </c>
      <c r="C25" s="15">
        <f>IF('Inputs'!$B$100="","",'Needs years'!$C$21)</f>
      </c>
      <c r="D25" s="15">
        <f>IF('Inputs'!$B$101="","",'Needs years'!$C$77)</f>
      </c>
      <c r="E25" s="15">
        <f>IF('Inputs'!$B$102="","",'Needs years'!$C$133)</f>
      </c>
      <c r="F25" s="15">
        <f>IF('Inputs'!$B$103="","",'Needs years'!$C$189)</f>
      </c>
    </row>
    <row r="26" spans="2:6" x14ac:dyDescent="0.25">
      <c r="B26" s="30" t="s">
        <v>199</v>
      </c>
      <c r="C26" s="31">
        <f>IF('Inputs'!$B$100="","",'Needs calc'!$C$44)</f>
      </c>
      <c r="D26" s="31">
        <f>IF('Inputs'!$B$101="","",'Needs calc'!$C$51)</f>
      </c>
      <c r="E26" s="31">
        <f>IF('Inputs'!$B$102="","",'Needs calc'!$C$58)</f>
      </c>
      <c r="F26" s="31">
        <f>IF('Inputs'!$B$103="","",'Needs calc'!$C$65)</f>
      </c>
    </row>
    <row r="27" spans="2:6" x14ac:dyDescent="0.25">
      <c r="B27" s="7" t="s">
        <v>200</v>
      </c>
      <c r="C27" s="15">
        <f>IF('Inputs'!$B$100="","",'Needs calc'!$C$40)</f>
      </c>
      <c r="D27" s="15">
        <f>IF('Inputs'!$B$101="","",'Needs calc'!$C$47)</f>
      </c>
      <c r="E27" s="15">
        <f>IF('Inputs'!$B$102="","",'Needs calc'!$C$54)</f>
      </c>
      <c r="F27" s="15">
        <f>IF('Inputs'!$B$103="","",'Needs calc'!$C$61)</f>
      </c>
    </row>
    <row r="28" spans="2:6" x14ac:dyDescent="0.25">
      <c r="B28" s="7" t="s">
        <v>201</v>
      </c>
      <c r="C28" s="15">
        <f>IF('Inputs'!$B$100="","",'Needs calc'!$C$46)</f>
      </c>
      <c r="D28" s="15">
        <f>IF('Inputs'!$B$101="","",'Needs calc'!$C$53)</f>
      </c>
      <c r="E28" s="15">
        <f>IF('Inputs'!$B$102="","",'Needs calc'!$C$60)</f>
      </c>
      <c r="F28" s="15">
        <f>IF('Inputs'!$B$103="","",'Needs calc'!$C$67)</f>
      </c>
    </row>
    <row r="29" spans="2:6" x14ac:dyDescent="0.25">
      <c r="B29" s="21" t="s">
        <v>202</v>
      </c>
      <c r="C29" s="39">
        <f>IF('Inputs'!$B$100="","",IF('Needs calc'!$C$45&gt;0,"Short R "&amp;FIXED(ROUND('Needs calc'!$C$45,-3),0),IF('Needs calc'!$C$45&lt;0,"R "&amp;FIXED(ROUND(-'Needs calc'!$C$45,-3),0)&amp;" over","Covered")))</f>
      </c>
      <c r="D29" s="39">
        <f>IF('Inputs'!$B$101="","",IF('Needs calc'!$C$52&gt;0,"Short R "&amp;FIXED(ROUND('Needs calc'!$C$52,-3),0),IF('Needs calc'!$C$52&lt;0,"R "&amp;FIXED(ROUND(-'Needs calc'!$C$52,-3),0)&amp;" over","Covered")))</f>
      </c>
      <c r="E29" s="39">
        <f>IF('Inputs'!$B$102="","",IF('Needs calc'!$C$59&gt;0,"Short R "&amp;FIXED(ROUND('Needs calc'!$C$59,-3),0),IF('Needs calc'!$C$59&lt;0,"R "&amp;FIXED(ROUND(-'Needs calc'!$C$59,-3),0)&amp;" over","Covered")))</f>
      </c>
      <c r="F29" s="39">
        <f>IF('Inputs'!$B$103="","",IF('Needs calc'!$C$66&gt;0,"Short R "&amp;FIXED(ROUND('Needs calc'!$C$66,-3),0),IF('Needs calc'!$C$66&lt;0,"R "&amp;FIXED(ROUND(-'Needs calc'!$C$66,-3),0)&amp;" over","Covered")))</f>
      </c>
    </row>
    <row r="30" spans="2:6" x14ac:dyDescent="0.25">
      <c r="B30" s="30" t="s">
        <v>203</v>
      </c>
      <c r="C30" s="31">
        <f>IF('Inputs'!$B$100="","",IF('Needs calc'!$T$4&gt;0,'Needs calc'!$T$4,"None needed"))</f>
      </c>
      <c r="D30" s="31">
        <f>IF('Inputs'!$B$101="","",IF('Needs calc'!$T$5&gt;0,'Needs calc'!$T$5,"None needed"))</f>
      </c>
      <c r="E30" s="31">
        <f>IF('Inputs'!$B$102="","",IF('Needs calc'!$T$6&gt;0,'Needs calc'!$T$6,"None needed"))</f>
      </c>
      <c r="F30" s="31">
        <f>IF('Inputs'!$B$103="","",IF('Needs calc'!$T$7&gt;0,'Needs calc'!$T$7,"None needed"))</f>
      </c>
    </row>
    <row r="31" ht="40" customHeight="1" spans="2:6" x14ac:dyDescent="0.25">
      <c r="B31" s="40">
        <f>TRIM(IF(COUNTIF('Inputs'!$B$100:$B$105,"?*")&gt;4,"The others who depend on you are on the workings page.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for anyone above. ","")&amp;IF(SUMPRODUCT(('Inputs'!$T$100:$T$105=1)*1)&gt;0,"New cover for your spouse is nominated to them, so it carries no estate duty.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1" s="40"/>
      <c r="D31" s="40"/>
      <c r="E31" s="40"/>
      <c r="F31" s="40"/>
    </row>
    <row r="33" spans="2:6" x14ac:dyDescent="0.25">
      <c r="B33" s="12" t="s">
        <v>204</v>
      </c>
      <c r="C33" s="12" t="s">
        <v>173</v>
      </c>
      <c r="D33" s="12"/>
      <c r="E33" s="12"/>
      <c r="F33" s="12"/>
    </row>
    <row r="34" spans="2:6" x14ac:dyDescent="0.25">
      <c r="B34" s="7" t="s">
        <v>205</v>
      </c>
      <c r="C34" s="15">
        <f>'Needs calc'!$T$10</f>
      </c>
      <c r="D34" s="15"/>
      <c r="E34" s="15"/>
      <c r="F34" s="15"/>
    </row>
    <row r="35" spans="2:6" x14ac:dyDescent="0.25">
      <c r="B35" s="7" t="s">
        <v>206</v>
      </c>
      <c r="C35" s="15">
        <f>('Needs calc'!$T$4+'Needs calc'!$T$5+'Needs calc'!$T$6+'Needs calc'!$T$7+'Needs calc'!$T$8+'Needs calc'!$T$9)</f>
      </c>
      <c r="D35" s="15"/>
      <c r="E35" s="15"/>
      <c r="F35" s="15"/>
    </row>
    <row r="36" spans="2:6" x14ac:dyDescent="0.25">
      <c r="B36" s="30" t="s">
        <v>207</v>
      </c>
      <c r="C36" s="31">
        <f>('Needs calc'!$T$10+('Needs calc'!$T$4+'Needs calc'!$T$5+'Needs calc'!$T$6+'Needs calc'!$T$7+'Needs calc'!$T$8+'Needs calc'!$T$9))</f>
      </c>
      <c r="D36" s="31"/>
      <c r="E36" s="31"/>
      <c r="F36" s="31"/>
    </row>
    <row r="38" spans="2:6" x14ac:dyDescent="0.25">
      <c r="B38" s="12">
        <f>IF(SUMPRODUCT(('Inputs'!$H$100:$H$105="Yes")*('Inputs'!$B$100:$B$105&lt;&gt;""))&gt;0,"What the trust will cost (trustee fees of "&amp;IF(ROUND('Inputs'!$H$123,0)='Inputs'!$H$123,FIXED('Inputs'!$H$123,0),IF(ROUND('Inputs'!$H$123,1)='Inputs'!$H$123,FIXED('Inputs'!$H$123,1),FIXED('Inputs'!$H$123,2)))&amp;"%"&amp;" a year)","")</f>
      </c>
      <c r="C38" s="13">
        <f>IF('Inputs'!$H$100="Yes",'Inputs'!$B$100,"")</f>
      </c>
      <c r="D38" s="13">
        <f>IF('Inputs'!$H$101="Yes",'Inputs'!$B$101,"")</f>
      </c>
      <c r="E38" s="13">
        <f>IF('Inputs'!$H$102="Yes",'Inputs'!$B$102,"")</f>
      </c>
      <c r="F38" s="13">
        <f>IF('Inputs'!$H$103="Yes",'Inputs'!$B$103,"")</f>
      </c>
    </row>
    <row r="39" spans="2:6" x14ac:dyDescent="0.25">
      <c r="B39" s="41">
        <f>IF(SUMPRODUCT(('Inputs'!$H$100:$H$105="Yes")*('Inputs'!$B$100:$B$105&lt;&gt;""))&gt;0,"First year","")</f>
      </c>
      <c r="C39" s="15">
        <f>IF('Inputs'!$H$100="Yes",'Needs years'!$C$11,"")</f>
      </c>
      <c r="D39" s="15">
        <f>IF('Inputs'!$H$101="Yes",'Needs years'!$C$67,"")</f>
      </c>
      <c r="E39" s="15">
        <f>IF('Inputs'!$H$102="Yes",'Needs years'!$C$123,"")</f>
      </c>
      <c r="F39" s="15">
        <f>IF('Inputs'!$H$103="Yes",'Needs years'!$C$179,"")</f>
      </c>
    </row>
    <row r="40" spans="2:6" x14ac:dyDescent="0.25">
      <c r="B40" s="41">
        <f>IF(SUMPRODUCT(('Inputs'!$H$100:$H$105="Yes")*('Inputs'!$B$100:$B$105&lt;&gt;""))&gt;0,"Over the whole period","")</f>
      </c>
      <c r="C40" s="15">
        <f>IF('Inputs'!$H$100="Yes",'Needs years'!$C$12,"")</f>
      </c>
      <c r="D40" s="15">
        <f>IF('Inputs'!$H$101="Yes",'Needs years'!$C$68,"")</f>
      </c>
      <c r="E40" s="15">
        <f>IF('Inputs'!$H$102="Yes",'Needs years'!$C$124,"")</f>
      </c>
      <c r="F40" s="15">
        <f>IF('Inputs'!$H$103="Yes",'Needs years'!$C$180,"")</f>
      </c>
    </row>
    <row r="41" spans="2:6" x14ac:dyDescent="0.25">
      <c r="B41" s="41">
        <f>IF(SUMPRODUCT(('Inputs'!$H$100:$H$105="Yes")*('Inputs'!$B$100:$B$105&lt;&gt;""))&gt;0,"Extra capital it needs today (already in the need)","")</f>
      </c>
      <c r="C41" s="15">
        <f>IF('Inputs'!$H$100="Yes",'Needs years'!$C$13,"")</f>
      </c>
      <c r="D41" s="15">
        <f>IF('Inputs'!$H$101="Yes",'Needs years'!$C$69,"")</f>
      </c>
      <c r="E41" s="15">
        <f>IF('Inputs'!$H$102="Yes",'Needs years'!$C$125,"")</f>
      </c>
      <c r="F41" s="15">
        <f>IF('Inputs'!$H$103="Yes",'Needs years'!$C$181,"")</f>
      </c>
    </row>
    <row r="43" ht="18" customHeight="1" spans="2:6" x14ac:dyDescent="0.25">
      <c r="B43" s="5" t="s">
        <v>186</v>
      </c>
      <c r="C43" s="6"/>
      <c r="D43" s="6"/>
      <c r="E43" s="6"/>
      <c r="F43" s="6"/>
    </row>
    <row r="44" ht="27" customHeight="1" spans="2:6" x14ac:dyDescent="0.25">
      <c r="B44" s="35">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4" s="35"/>
      <c r="D44" s="35"/>
      <c r="E44" s="35"/>
      <c r="F44" s="35"/>
    </row>
    <row r="45" ht="27" customHeight="1" spans="2:6" x14ac:dyDescent="0.25">
      <c r="B45" s="35" t="s">
        <v>208</v>
      </c>
      <c r="C45" s="35"/>
      <c r="D45" s="35"/>
      <c r="E45" s="35"/>
      <c r="F45" s="35"/>
    </row>
    <row r="46" ht="27" customHeight="1" spans="2:6" x14ac:dyDescent="0.25">
      <c r="B46" s="35">
        <f>"3.  "&amp;IF(SUMPRODUCT(('Inputs'!$H$100:$H$105="Yes")*('Inputs'!$B$100:$B$105&lt;&gt;""))&gt;0,"Make sure your will sets up the trust that receives the children's money, and names the trustees.","Sign a will that says who inherits, so the law does not decide it for you.")</f>
      </c>
      <c r="C46" s="35"/>
      <c r="D46" s="35"/>
      <c r="E46" s="35"/>
      <c r="F46" s="35"/>
    </row>
    <row r="48" ht="44" customHeight="1" spans="2:6" x14ac:dyDescent="0.25">
      <c r="B48" s="36">
        <f>"Basis: indicative, on the needs you gave us and your policies and will instructions as they stand. Capital for a person is invested at "&amp;FIXED('Inputs'!$H$122,0)&amp;"% a year before tax as a unit trust, less their tax"&amp;IF(SUMPRODUCT(('Inputs'!$H$100:$H$105="Yes")*('Inputs'!$B$100:$B$105&lt;&gt;""))&gt;0," and trustee fees of "&amp;IF(ROUND('Inputs'!$H$123,0)='Inputs'!$H$123,FIXED('Inputs'!$H$123,0),IF(ROUND('Inputs'!$H$123,1)='Inputs'!$H$123,FIXED('Inputs'!$H$123,1),FIXED('Inputs'!$H$123,2)))&amp;"%"&amp;" a year while it is in the trust","")&amp;". Once-off needs are in today's money. Retirement money is paid out in cash, after the lump sum tax on death benefits. Each need rises as you asked. Not legal or tax advice."</f>
      </c>
      <c r="C48" s="36"/>
      <c r="D48" s="36"/>
      <c r="E48" s="36"/>
      <c r="F48" s="36"/>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31:F31"/>
    <mergeCell ref="C33:F33"/>
    <mergeCell ref="C34:F34"/>
    <mergeCell ref="C35:F35"/>
    <mergeCell ref="C36:F36"/>
    <mergeCell ref="B44:F44"/>
    <mergeCell ref="B45:F45"/>
    <mergeCell ref="B46:F46"/>
    <mergeCell ref="B48:F48"/>
  </mergeCells>
  <conditionalFormatting sqref="B10:F12">
    <cfRule type="expression" dxfId="23" priority="1">
      <formula>('Needs calc'!$T$10+('Needs calc'!$T$4+'Needs calc'!$T$5+'Needs calc'!$T$6+'Needs calc'!$T$7+'Needs calc'!$T$8+'Needs calc'!$T$9))=0</formula>
    </cfRule>
  </conditionalFormatting>
  <conditionalFormatting sqref="C29:F29">
    <cfRule type="expression" dxfId="24" priority="2">
      <formula>LEFT(C29,5)="Short"</formula>
    </cfRule>
    <cfRule type="expression" dxfId="25" priority="3">
      <formula>OR(LEFT(C29,7)="Covered",RIGHT(C29,4)="over")</formula>
    </cfRule>
  </conditionalFormatting>
  <conditionalFormatting sqref="C20:F30">
    <cfRule type="expression" dxfId="26" priority="4">
      <formula>C$19=""</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2026-10-15T20:12:10Z</dcterms:created>
  <dcterms:modified xsi:type="dcterms:W3CDTF">2026-10-15T20:12:10Z</dcterms:modified>
</cp:coreProperties>
</file>