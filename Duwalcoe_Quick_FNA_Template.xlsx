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1"/>
  </bookViews>
  <sheets>
    <sheet sheetId="1" name="Lists" state="veryHidden" r:id="rId4"/>
    <sheet sheetId="2" name="Inputs" state="visible" r:id="rId5"/>
    <sheet sheetId="3" name="Summary" state="visible" r:id="rId6"/>
    <sheet sheetId="9" name="Life cover need" state="visible" r:id="rId7"/>
    <sheet sheetId="4" name="Figures for quoting" state="visible" r:id="rId8"/>
    <sheet sheetId="5" name="Workings" state="visible" r:id="rId9"/>
    <sheet sheetId="8" name="Needs workings" state="visible" r:id="rId10"/>
    <sheet sheetId="7" name="Needs calc" state="hidden" r:id="rId11"/>
    <sheet sheetId="6" name="Needs years" state="hidden" r:id="rId12"/>
  </sheets>
  <definedNames>
    <definedName name="QF_M_ClientID">Lists!$L$1</definedName>
    <definedName name="QF_M_ClientName">Lists!$L$2</definedName>
    <definedName name="QF_M_Version">Lists!$L$3</definedName>
    <definedName name="QF_M_ExportedAt">Lists!$L$4</definedName>
    <definedName name="QF_M_ExportedBy">Lists!$L$5</definedName>
    <definedName name="QF_M_TemplateVersion">Lists!$L$6</definedName>
    <definedName name="QF_Client">Inputs!$C$8</definedName>
    <definedName name="QF_First">Inputs!$C$9</definedName>
    <definedName name="QF_Adviser">Inputs!$C$10</definedName>
    <definedName name="QF_Date">Inputs!$C$11</definedName>
    <definedName name="QF_AsAt">Inputs!$C$12</definedName>
    <definedName name="QF_Marital">Inputs!$C$13</definedName>
    <definedName name="QF_Residue">Inputs!$C$14</definedName>
    <definedName name="QF_Wishes">Inputs!$C$15</definedName>
    <definedName name="QF_TI">Inputs!$C$16</definedName>
    <definedName name="QF_TINote">Inputs!$C$17</definedName>
    <definedName name="QF_K_assets">Inputs!$B$20:$I$20</definedName>
    <definedName name="QF_T_assets">Inputs!$B$22:$I$39</definedName>
    <definedName name="QF_K_debts">Inputs!$B$43:$I$43</definedName>
    <definedName name="QF_T_debts">Inputs!$B$45:$I$54</definedName>
    <definedName name="QF_K_cover">Inputs!$B$57:$I$57</definedName>
    <definedName name="QF_T_cover">Inputs!$B$59:$I$70</definedName>
    <definedName name="QF_K_funds">Inputs!$B$74:$I$74</definedName>
    <definedName name="QF_T_funds">Inputs!$B$76:$I$83</definedName>
    <definedName name="QF_K_deps">Inputs!$B$87:$J$87</definedName>
    <definedName name="QF_T_deps">Inputs!$B$89:$J$94</definedName>
    <definedName name="QF_L_whom">Inputs!$Z$88:$Z$94</definedName>
    <definedName name="QF_KidsShare">Inputs!$C$95</definedName>
    <definedName name="QF_SpouseCover">Inputs!$C$96</definedName>
    <definedName name="QF_QuoteNo">Inputs!$C$100</definedName>
    <definedName name="QF_CLFee">Inputs!$C$101</definedName>
    <definedName name="QF_CLConv">Inputs!$C$102</definedName>
    <definedName name="QF_CLPays">Inputs!$C$103</definedName>
    <definedName name="QF_CLLimit">Inputs!$C$104</definedName>
    <definedName name="QF_CLPrem">Inputs!$C$105</definedName>
    <definedName name="QF_A_ExecFee">Inputs!$C$109</definedName>
    <definedName name="QF_A_VAT">Inputs!$C$110</definedName>
    <definedName name="QF_A_Master">Inputs!$C$111</definedName>
    <definedName name="QF_A_Funeral">Inputs!$C$112</definedName>
    <definedName name="QF_A_Sundries">Inputs!$C$113</definedName>
    <definedName name="QF_A_PropCost">Inputs!$C$114</definedName>
    <definedName name="QF_A_Agent">Inputs!$C$115</definedName>
    <definedName name="QF_A_Abatement">Inputs!$C$116</definedName>
    <definedName name="QF_A_DutyRate">Inputs!$C$117</definedName>
    <definedName name="QF_A_DutyBand">Inputs!$C$118</definedName>
    <definedName name="QF_A_DutyHigh">Inputs!$C$119</definedName>
    <definedName name="QF_A_CGTExcl">Inputs!$C$120</definedName>
    <definedName name="QF_A_Inclusion">Inputs!$H$109</definedName>
    <definedName name="QF_A_PRExcl">Inputs!$H$110</definedName>
    <definedName name="QF_A_Gross">Inputs!$H$111</definedName>
    <definedName name="QF_A_TrustFee">Inputs!$H$112</definedName>
    <definedName name="QF_A_Threshold">Inputs!$H$113</definedName>
    <definedName name="QF_A_Interest">Inputs!$H$114</definedName>
    <definedName name="QF_A_Dividends">Inputs!$H$115</definedName>
    <definedName name="QF_A_Growth">Inputs!$H$116</definedName>
    <definedName name="QF_A_DivTax">Inputs!$H$117</definedName>
    <definedName name="QF_A_CPI">Inputs!$H$118</definedName>
    <definedName name="QF_A_Thr65">Inputs!$H$119</definedName>
    <definedName name="QF_A_Thr75">Inputs!$H$120</definedName>
    <definedName name="QF_A_TaxTable">Inputs!$C$123:$E$129</definedName>
    <definedName name="QF_A_LumpTable">Inputs!$G$123:$I$126</definedName>
    <definedName name="QF_K_checks">Inputs!$B$140</definedName>
    <definedName name="QF_T_checks">Inputs!$B$141:$B$154</definedName>
    <definedName name="QF_W_cost">Workings!$C$58</definedName>
    <definedName name="_xlnm.Print_Area" localSheetId="1">'Inputs'!$A1:$J154</definedName>
    <definedName name="_xlnm.Print_Titles" localSheetId="1">'Inputs'!$1:$2</definedName>
    <definedName name="_xlnm.Print_Area" localSheetId="2">'Summary'!$A1:$D36</definedName>
    <definedName name="_xlnm.Print_Titles" localSheetId="2">'Summary'!$1:$2</definedName>
    <definedName name="_xlnm.Print_Area" localSheetId="3">'Life cover need'!$A1:$F46</definedName>
    <definedName name="_xlnm.Print_Titles" localSheetId="3">'Life cover need'!$1:$2</definedName>
    <definedName name="_xlnm.Print_Area" localSheetId="4">'Figures for quoting'!$A1:$D35</definedName>
    <definedName name="_xlnm.Print_Titles" localSheetId="4">'Figures for quoting'!$1:$2</definedName>
    <definedName name="_xlnm.Print_Area" localSheetId="5">'Workings'!$A1:$D70</definedName>
    <definedName name="_xlnm.Print_Titles" localSheetId="5">'Workings'!$1:$2</definedName>
    <definedName name="_xlnm.Print_Area" localSheetId="6">'Needs workings'!$A1:$I43</definedName>
    <definedName name="_xlnm.Print_Titles" localSheetId="6">'Needs workings'!$1:$2</definedName>
  </definedNames>
  <calcPr calcId="171027" fullCalcOnLoad="1"/>
</workbook>
</file>

<file path=xl/sharedStrings.xml><?xml version="1.0" encoding="utf-8"?>
<sst xmlns="http://schemas.openxmlformats.org/spreadsheetml/2006/main" count="545" uniqueCount="397">
  <si>
    <t>kind</t>
  </si>
  <si>
    <t>passes</t>
  </si>
  <si>
    <t>paidTo</t>
  </si>
  <si>
    <t>yesno</t>
  </si>
  <si>
    <t>residue</t>
  </si>
  <si>
    <t>rel</t>
  </si>
  <si>
    <t>kidsShare</t>
  </si>
  <si>
    <t>spouseCover</t>
  </si>
  <si>
    <t>marital</t>
  </si>
  <si>
    <t>ClientID</t>
  </si>
  <si>
    <t>Property</t>
  </si>
  <si>
    <t>Estate (residue)</t>
  </si>
  <si>
    <t>Estate</t>
  </si>
  <si>
    <t>Yes</t>
  </si>
  <si>
    <t>Heirs (people)</t>
  </si>
  <si>
    <t>Spouse</t>
  </si>
  <si>
    <t>In equal shares</t>
  </si>
  <si>
    <t>The spouse</t>
  </si>
  <si>
    <t>Single</t>
  </si>
  <si>
    <t>ClientName</t>
  </si>
  <si>
    <t>Cash and deposits</t>
  </si>
  <si>
    <t>No</t>
  </si>
  <si>
    <t>Child</t>
  </si>
  <si>
    <t>Not to the dependants</t>
  </si>
  <si>
    <t>A trust for the spouse</t>
  </si>
  <si>
    <t>Engaged</t>
  </si>
  <si>
    <t>Version</t>
  </si>
  <si>
    <t>2.1</t>
  </si>
  <si>
    <t>Shares and unit trusts</t>
  </si>
  <si>
    <t>Named heir</t>
  </si>
  <si>
    <t>Named person</t>
  </si>
  <si>
    <t>Other</t>
  </si>
  <si>
    <t>Married - ANC with accrual</t>
  </si>
  <si>
    <t>ExportedAt</t>
  </si>
  <si>
    <t>Other investment</t>
  </si>
  <si>
    <t>Married - ANC without accrual</t>
  </si>
  <si>
    <t>ExportedBy</t>
  </si>
  <si>
    <t>Tax-free investment</t>
  </si>
  <si>
    <t>Married in COP</t>
  </si>
  <si>
    <t>TemplateVersion</t>
  </si>
  <si>
    <t>Loan account</t>
  </si>
  <si>
    <t>Life partner</t>
  </si>
  <si>
    <t>Vehicle or contents</t>
  </si>
  <si>
    <t>Divorced</t>
  </si>
  <si>
    <t>Business interest</t>
  </si>
  <si>
    <t>Widowed</t>
  </si>
  <si>
    <t>Married</t>
  </si>
  <si>
    <t>Civil Union</t>
  </si>
  <si>
    <t>Co-Habitation</t>
  </si>
  <si>
    <t>Duwalcoe Financial Consultants CC</t>
  </si>
  <si>
    <t>FSP 9978   |   clinton@duwalcoe.co.za   |   083 608 5617</t>
  </si>
  <si>
    <t>Inputs: check the yellow cells</t>
  </si>
  <si>
    <t>The CRM fills this sheet from the client's record. Yellow cells are yours to change; everything else works itself out.</t>
  </si>
  <si>
    <t>1. The client</t>
  </si>
  <si>
    <t>Client</t>
  </si>
  <si>
    <t>First name, for the wording</t>
  </si>
  <si>
    <t>Prepared by</t>
  </si>
  <si>
    <t>Date of this FNA</t>
  </si>
  <si>
    <t>Values as at</t>
  </si>
  <si>
    <t>Marital status</t>
  </si>
  <si>
    <t>Who inherits the residue</t>
  </si>
  <si>
    <t>Their wishes in one line (optional, starts the summary)</t>
  </si>
  <si>
    <t>Taxable income for the year of death (R a year)</t>
  </si>
  <si>
    <t>Made up of</t>
  </si>
  <si>
    <t>2. What they own (in the estate)</t>
  </si>
  <si>
    <t>name</t>
  </si>
  <si>
    <t>value</t>
  </si>
  <si>
    <t>base</t>
  </si>
  <si>
    <t>home</t>
  </si>
  <si>
    <t>sold</t>
  </si>
  <si>
    <t>notes</t>
  </si>
  <si>
    <t>Asset</t>
  </si>
  <si>
    <t>Kind</t>
  </si>
  <si>
    <t>Value (R)</t>
  </si>
  <si>
    <t>Base cost (R)</t>
  </si>
  <si>
    <t>Main home?</t>
  </si>
  <si>
    <t>Passes to</t>
  </si>
  <si>
    <t>Executor sells or cashes it?</t>
  </si>
  <si>
    <t>Notes</t>
  </si>
  <si>
    <t>Gain for capital gains tax</t>
  </si>
  <si>
    <t>Base cost: leave it blank only if it is not known; capital gains tax is then worked out on the full value (the worst case) and flagged below. Joint assets: enter your client's share.</t>
  </si>
  <si>
    <t>3. Debts</t>
  </si>
  <si>
    <t>amount</t>
  </si>
  <si>
    <t>Debt</t>
  </si>
  <si>
    <t>Amount (R)</t>
  </si>
  <si>
    <t>4. Life cover and policies paid out at death</t>
  </si>
  <si>
    <t>counted</t>
  </si>
  <si>
    <t>forWhom</t>
  </si>
  <si>
    <t>Policy</t>
  </si>
  <si>
    <t>Paid to</t>
  </si>
  <si>
    <t>Paid at death (R)</t>
  </si>
  <si>
    <t>Counted for estate duty?</t>
  </si>
  <si>
    <t>For whom (a dependant in section 6, or the children's trust)</t>
  </si>
  <si>
    <t>Paid to Estate: paid into the estate, so the executor can use it, and executor's fees are charged on it. Spouse or Named person: paid to them directly. Counted for estate duty: No only for approved group life inside a pension or provident fund. For whom: the dependant it is meant for, or the children's trust (shared like the residue); blank when the person it is paid to is not a dependant. Paid to the estate needs nothing: it reaches them through the residue.</t>
  </si>
  <si>
    <t>5. Retirement funds and annuities (not in the estate, no estate duty)</t>
  </si>
  <si>
    <t>creditTo</t>
  </si>
  <si>
    <t>Retirement fund or annuity</t>
  </si>
  <si>
    <t>Credited to (the fund trustees decide, s.37C)</t>
  </si>
  <si>
    <t>Paid out, after lump sum tax</t>
  </si>
  <si>
    <t>Credited to: who the fund trustees are expected to pay. They must look after dependants first (s.37C), so where the nominee is not a dependant the CRM proposes the children. Blank: not counted for any dependant. Paid out in cash, taxed as a death benefit lump sum on the total of all the funds (the first R 550,000 free).</t>
  </si>
  <si>
    <t>6. The people who depend on your client</t>
  </si>
  <si>
    <t>age</t>
  </si>
  <si>
    <t>needPM</t>
  </si>
  <si>
    <t>years</t>
  </si>
  <si>
    <t>esc</t>
  </si>
  <si>
    <t>trust</t>
  </si>
  <si>
    <t>other</t>
  </si>
  <si>
    <t>lump</t>
  </si>
  <si>
    <t>Name</t>
  </si>
  <si>
    <t>Relationship</t>
  </si>
  <si>
    <t>Age</t>
  </si>
  <si>
    <t>Needs a month from this money (R, after tax)</t>
  </si>
  <si>
    <t>For how many years</t>
  </si>
  <si>
    <t>Rising each year by (%, blank: inflation)</t>
  </si>
  <si>
    <t>Held in a trust?</t>
  </si>
  <si>
    <t>Their own taxable income (R a year)</t>
  </si>
  <si>
    <t>Once-off needs (R, today's money)</t>
  </si>
  <si>
    <t>The children's trust</t>
  </si>
  <si>
    <t>When the residue goes to heirs (not the spouse), the children receive it</t>
  </si>
  <si>
    <t>New life cover for the spouse is nominated to</t>
  </si>
  <si>
    <t>Needs a month: what must come from this money, after tax. If they earn, enter only the part their own income does not cover; their own income is used for the tax on what the capital earns. The children share the residue and anything for the children's trust in the order listed (the youngest last gets the odd cent). A spouse receives the residue when it goes to the spouse. New cover nominated to the spouse carries no estate duty (s.4(q)); cover to a trust for the spouse does.</t>
  </si>
  <si>
    <t>7. Capital Legacy quote (the second column)</t>
  </si>
  <si>
    <t>Quote number</t>
  </si>
  <si>
    <t>Capital Legacy executor's fee, before VAT (%)</t>
  </si>
  <si>
    <t>Conveyancing estimate (R)</t>
  </si>
  <si>
    <t>The plan pays (% of the fees)</t>
  </si>
  <si>
    <t>Limit the plan pays today (R)</t>
  </si>
  <si>
    <t>Premium, first year (R a month)</t>
  </si>
  <si>
    <t>Leave the quote blank and the second column stays empty. The plan pays its share of Capital Legacy's executor's fee and the conveyancing, up to the limit; it does not pay capital gains tax or estate duty.</t>
  </si>
  <si>
    <t>8. Standard assumptions (change them only for this client)</t>
  </si>
  <si>
    <t>Executor's fee, before VAT (%)</t>
  </si>
  <si>
    <t>Capital gains inclusion rate (%)</t>
  </si>
  <si>
    <t>VAT (%)</t>
  </si>
  <si>
    <t>Primary residence exclusion (R)</t>
  </si>
  <si>
    <t>Master's fees (R)</t>
  </si>
  <si>
    <t>Return on capital, after fees, before tax (%)</t>
  </si>
  <si>
    <t>Funeral (R)</t>
  </si>
  <si>
    <t>Trustee fees while in a trust (% a year)</t>
  </si>
  <si>
    <t>Estate sundries (R)</t>
  </si>
  <si>
    <t>Tax threshold, under 65 (R)</t>
  </si>
  <si>
    <t>Property transfer costs (% of value)</t>
  </si>
  <si>
    <t>Unit trust return: interest part (%)</t>
  </si>
  <si>
    <t>Agent's commission on a property sold, before VAT (%)</t>
  </si>
  <si>
    <t>Unit trust return: dividends part (%)</t>
  </si>
  <si>
    <t>Estate duty abatement (R)</t>
  </si>
  <si>
    <t>Unit trust return: growth part (%)</t>
  </si>
  <si>
    <t>Estate duty rate (%)</t>
  </si>
  <si>
    <t>Dividends tax (%)</t>
  </si>
  <si>
    <t>Higher rate applies above (R)</t>
  </si>
  <si>
    <t>Inflation, when a need gives no increase (%)</t>
  </si>
  <si>
    <t>Higher estate duty rate (%)</t>
  </si>
  <si>
    <t>Tax threshold, 65 to 74 (R)</t>
  </si>
  <si>
    <t>Capital gains exclusion in the year of death (R)</t>
  </si>
  <si>
    <t>Tax threshold, 75 and older (R)</t>
  </si>
  <si>
    <t>Income tax table, 2027 tax year</t>
  </si>
  <si>
    <t>Taxable income over (R)</t>
  </si>
  <si>
    <t>Tax on that (R)</t>
  </si>
  <si>
    <t>Rate above it (%)</t>
  </si>
  <si>
    <t>Lump sum table, death benefits</t>
  </si>
  <si>
    <t>Source: Momentum Tax Guide 2026/2027. Tax before rebates: the rebates cancel out, because capital gains tax is the tax with the gain less the tax without it.</t>
  </si>
  <si>
    <t>9. Checks</t>
  </si>
  <si>
    <t>text</t>
  </si>
  <si>
    <t>Cost of dying</t>
  </si>
  <si>
    <t/>
  </si>
  <si>
    <t>Today</t>
  </si>
  <si>
    <t>Estate duty</t>
  </si>
  <si>
    <t>Capital gains tax</t>
  </si>
  <si>
    <t>Agent's commission</t>
  </si>
  <si>
    <t>Funeral, Master's fees and sundries</t>
  </si>
  <si>
    <t>Cost of winding up</t>
  </si>
  <si>
    <t>Paid by the Legacy plan</t>
  </si>
  <si>
    <t>Paid by your estate</t>
  </si>
  <si>
    <t>Debts</t>
  </si>
  <si>
    <t>Shortfall, or cash left over</t>
  </si>
  <si>
    <t>Cost to you</t>
  </si>
  <si>
    <t>None</t>
  </si>
  <si>
    <t>Next steps to discuss</t>
  </si>
  <si>
    <t>Life cover need</t>
  </si>
  <si>
    <t>1. Your estate (the cost of dying)</t>
  </si>
  <si>
    <t>Cash the executor needs</t>
  </si>
  <si>
    <t>Cash the executor has</t>
  </si>
  <si>
    <t>Result</t>
  </si>
  <si>
    <t>2. The people who depend on you</t>
  </si>
  <si>
    <t>You want for them, a month</t>
  </si>
  <si>
    <t>For</t>
  </si>
  <si>
    <t>Rising each year by</t>
  </si>
  <si>
    <t>Once-off needs (in today's money)</t>
  </si>
  <si>
    <t>Capital needed today</t>
  </si>
  <si>
    <t>Capital already reaching them</t>
  </si>
  <si>
    <t>Monthly income it pays</t>
  </si>
  <si>
    <t>Shortfall, or over</t>
  </si>
  <si>
    <t>New life cover for them</t>
  </si>
  <si>
    <t>3. Total life cover needed</t>
  </si>
  <si>
    <t>For your estate</t>
  </si>
  <si>
    <t>For the people who depend on you</t>
  </si>
  <si>
    <t>Total</t>
  </si>
  <si>
    <t>2.  Check who each of your policies and retirement funds pays to: the nominations decide who receives the money, not your will.</t>
  </si>
  <si>
    <t>Winding up the estate: the figures</t>
  </si>
  <si>
    <t>Split the way quotes ask for them. Debts are shown separately.</t>
  </si>
  <si>
    <t>IN THE ESTATE: EXECUTOR'S FEES ARE CHARGED ON THESE</t>
  </si>
  <si>
    <t>Immovable property</t>
  </si>
  <si>
    <t>Movable property (vehicles, contents)</t>
  </si>
  <si>
    <t>Cash: bank accounts and deposits</t>
  </si>
  <si>
    <t>Listed shares and unit trusts</t>
  </si>
  <si>
    <t>Other investments (tax-free, loan accounts, business interests)</t>
  </si>
  <si>
    <t>Life assurance paid into the estate</t>
  </si>
  <si>
    <t>Total in the estate</t>
  </si>
  <si>
    <t>OUTSIDE THE ESTATE: NO EXECUTOR'S FEES</t>
  </si>
  <si>
    <t>Policies paid to a named person or spouse (counted for estate duty)</t>
  </si>
  <si>
    <t>Approved group life (not counted)</t>
  </si>
  <si>
    <t>Retirement funds (not counted)</t>
  </si>
  <si>
    <t>TOTALS</t>
  </si>
  <si>
    <t>Everything owned</t>
  </si>
  <si>
    <t>Counted for estate duty</t>
  </si>
  <si>
    <t>Liabilities</t>
  </si>
  <si>
    <t>COST OF WINDING UP</t>
  </si>
  <si>
    <t>Executor's fees</t>
  </si>
  <si>
    <t>Master's fees, funeral, notices and sundries</t>
  </si>
  <si>
    <t>Property transfer and conveyancing</t>
  </si>
  <si>
    <t>Agent's commission on property sold</t>
  </si>
  <si>
    <t>Estate duty borne by the estate</t>
  </si>
  <si>
    <t>Cost of winding up, before debts</t>
  </si>
  <si>
    <t>Debts (not included above)</t>
  </si>
  <si>
    <t>Cover paid into an estate is itself charged executor's fees; cover paid to a named person or trust is not.</t>
  </si>
  <si>
    <t>Workings</t>
  </si>
  <si>
    <t>Adviser reference and compliance record. Precise figures.</t>
  </si>
  <si>
    <t>1. Capital gains tax on death</t>
  </si>
  <si>
    <t>With the plan</t>
  </si>
  <si>
    <t>Gains: value less base cost, on property, shares, unit trusts and other investments</t>
  </si>
  <si>
    <t>Less the primary residence exclusion</t>
  </si>
  <si>
    <t>Less the exclusion in the year of death</t>
  </si>
  <si>
    <t>Net gain</t>
  </si>
  <si>
    <t>Tax on taxable income plus the gain added</t>
  </si>
  <si>
    <t>Less tax on taxable income alone</t>
  </si>
  <si>
    <t>Capital gains tax on death</t>
  </si>
  <si>
    <t>2. Estate duty</t>
  </si>
  <si>
    <t>Assets in the estate</t>
  </si>
  <si>
    <t>Life cover paid into the estate</t>
  </si>
  <si>
    <t>Gross estate (handled by the executor)</t>
  </si>
  <si>
    <t>Policies paid to a named person or spouse, counted for estate duty</t>
  </si>
  <si>
    <t>Gross dutiable estate</t>
  </si>
  <si>
    <t>Less debts</t>
  </si>
  <si>
    <t>Less funeral</t>
  </si>
  <si>
    <t>Less Master's fees</t>
  </si>
  <si>
    <t>Less estate sundries</t>
  </si>
  <si>
    <t>Less property transfer costs / Capital Legacy conveyancing</t>
  </si>
  <si>
    <t>Less agent's commission on property sold</t>
  </si>
  <si>
    <t>Less capital gains tax on death (s.4(l))</t>
  </si>
  <si>
    <t>Residue before estate duty (if negative, the bequests are cut back)</t>
  </si>
  <si>
    <t>Share of the bequests the estate can pay</t>
  </si>
  <si>
    <t>Less everything passing to the spouse (s.4(q))</t>
  </si>
  <si>
    <t>Net value of the estate</t>
  </si>
  <si>
    <t>Less abatement (s.4A)</t>
  </si>
  <si>
    <t>Dutiable amount</t>
  </si>
  <si>
    <t>Average rate (duty / net value)</t>
  </si>
  <si>
    <t>Estate duty the named people pay themselves (the executor recovers it from them):</t>
  </si>
  <si>
    <t>Less duty the executor recovers from named people (policies and bequests)</t>
  </si>
  <si>
    <t>If the executor cannot recover it from them, the estate pays it.</t>
  </si>
  <si>
    <t>3. Does the estate have enough cash?</t>
  </si>
  <si>
    <t>Property transfer costs / conveyancing</t>
  </si>
  <si>
    <t>Paid by the estate</t>
  </si>
  <si>
    <t>Cash and deposits, and investments the executor cashes in</t>
  </si>
  <si>
    <t>Shortfall</t>
  </si>
  <si>
    <t>Cash left over</t>
  </si>
  <si>
    <t>Left from the estate for everyone who inherits from it, if they pay any shortfall in</t>
  </si>
  <si>
    <t>Workings: the life cover need</t>
  </si>
  <si>
    <t>Adviser reference and compliance record. Precise figures; the client page rounds them.</t>
  </si>
  <si>
    <t>1. Each person today</t>
  </si>
  <si>
    <t>Needs a month from this money (after tax)</t>
  </si>
  <si>
    <t>Once-off needs at death (today's money)</t>
  </si>
  <si>
    <t>Capital reaching them (residue, policies, retirement money, the trust)</t>
  </si>
  <si>
    <t>Their marginal tax rate on what it earns</t>
  </si>
  <si>
    <t>What it earns after tax and trustee fees</t>
  </si>
  <si>
    <t>Capital needed (once-off plus the monthly need)</t>
  </si>
  <si>
    <t>Shortfall (negative: over)</t>
  </si>
  <si>
    <t>Monthly income the capital pays now</t>
  </si>
  <si>
    <t>2. The new cover (the estate's and each person's, sized together by rerunning the estate)</t>
  </si>
  <si>
    <t>New cover for them</t>
  </si>
  <si>
    <t>Nominated to</t>
  </si>
  <si>
    <t>Capital reaching them, with the cover after its estate duty</t>
  </si>
  <si>
    <t>Marginal tax rate then</t>
  </si>
  <si>
    <t>Capital needed then</t>
  </si>
  <si>
    <t>Remaining shortfall</t>
  </si>
  <si>
    <t>Executor's cash shortfall today</t>
  </si>
  <si>
    <t>Cover paid to the estate (executor's fees, and estate duty unless the residue goes to the spouse)</t>
  </si>
  <si>
    <t>Executor's shortfall with all the new cover (nil or a few cents over)</t>
  </si>
  <si>
    <t>Or, instead of cover to the estate: cover nominated to the spouse, who pays the executor (no fees, no duty)</t>
  </si>
  <si>
    <t>Estate duty with all the new cover</t>
  </si>
  <si>
    <t>Average estate duty rate then</t>
  </si>
  <si>
    <t>Left in the estate for the heirs, with the new cover</t>
  </si>
  <si>
    <t>Total new cover</t>
  </si>
  <si>
    <t>3. Trustee fees (a yearly fee on what the trust holds for them)</t>
  </si>
  <si>
    <t>Fees in the first year</t>
  </si>
  <si>
    <t>Fees over the whole period</t>
  </si>
  <si>
    <t>Extra capital needed today for the fees (in the need above)</t>
  </si>
  <si>
    <t>T</t>
  </si>
  <si>
    <t>V</t>
  </si>
  <si>
    <t>solved (1) or today (0)</t>
  </si>
  <si>
    <t>extra for dependant 1</t>
  </si>
  <si>
    <t>extra for dependant 2</t>
  </si>
  <si>
    <t>extra for dependant 3</t>
  </si>
  <si>
    <t>extra for dependant 4</t>
  </si>
  <si>
    <t>extra for dependant 5</t>
  </si>
  <si>
    <t>extra for dependant 6</t>
  </si>
  <si>
    <t>extra for the estate</t>
  </si>
  <si>
    <t>xdut</t>
  </si>
  <si>
    <t>efee</t>
  </si>
  <si>
    <t>rv</t>
  </si>
  <si>
    <t>cutv</t>
  </si>
  <si>
    <t>s4qv</t>
  </si>
  <si>
    <t>net</t>
  </si>
  <si>
    <t>duty</t>
  </si>
  <si>
    <t>avg</t>
  </si>
  <si>
    <t>dNamed</t>
  </si>
  <si>
    <t>dHeir</t>
  </si>
  <si>
    <t>dX</t>
  </si>
  <si>
    <t>est</t>
  </si>
  <si>
    <t>need</t>
  </si>
  <si>
    <t>has</t>
  </si>
  <si>
    <t>res</t>
  </si>
  <si>
    <t>eshort</t>
  </si>
  <si>
    <t>pool</t>
  </si>
  <si>
    <t>n</t>
  </si>
  <si>
    <t>nt</t>
  </si>
  <si>
    <t>resTo</t>
  </si>
  <si>
    <t>resE</t>
  </si>
  <si>
    <t>resL</t>
  </si>
  <si>
    <t>tpE</t>
  </si>
  <si>
    <t>tpL</t>
  </si>
  <si>
    <t>fdE</t>
  </si>
  <si>
    <t>fdL</t>
  </si>
  <si>
    <t>othG</t>
  </si>
  <si>
    <t>othD</t>
  </si>
  <si>
    <t>dependant 1: cap</t>
  </si>
  <si>
    <t>dependant 1: ti</t>
  </si>
  <si>
    <t>dependant 1: m</t>
  </si>
  <si>
    <t>dependant 1: r</t>
  </si>
  <si>
    <t>dependant 1: need</t>
  </si>
  <si>
    <t>dependant 1: gap</t>
  </si>
  <si>
    <t>dependant 1: inc</t>
  </si>
  <si>
    <t>dependant 2: cap</t>
  </si>
  <si>
    <t>dependant 2: ti</t>
  </si>
  <si>
    <t>dependant 2: m</t>
  </si>
  <si>
    <t>dependant 2: r</t>
  </si>
  <si>
    <t>dependant 2: need</t>
  </si>
  <si>
    <t>dependant 2: gap</t>
  </si>
  <si>
    <t>dependant 2: inc</t>
  </si>
  <si>
    <t>dependant 3: cap</t>
  </si>
  <si>
    <t>dependant 3: ti</t>
  </si>
  <si>
    <t>dependant 3: m</t>
  </si>
  <si>
    <t>dependant 3: r</t>
  </si>
  <si>
    <t>dependant 3: need</t>
  </si>
  <si>
    <t>dependant 3: gap</t>
  </si>
  <si>
    <t>dependant 3: inc</t>
  </si>
  <si>
    <t>dependant 4: cap</t>
  </si>
  <si>
    <t>dependant 4: ti</t>
  </si>
  <si>
    <t>dependant 4: m</t>
  </si>
  <si>
    <t>dependant 4: r</t>
  </si>
  <si>
    <t>dependant 4: need</t>
  </si>
  <si>
    <t>dependant 4: gap</t>
  </si>
  <si>
    <t>dependant 4: inc</t>
  </si>
  <si>
    <t>dependant 5: cap</t>
  </si>
  <si>
    <t>dependant 5: ti</t>
  </si>
  <si>
    <t>dependant 5: m</t>
  </si>
  <si>
    <t>dependant 5: r</t>
  </si>
  <si>
    <t>dependant 5: need</t>
  </si>
  <si>
    <t>dependant 5: gap</t>
  </si>
  <si>
    <t>dependant 5: inc</t>
  </si>
  <si>
    <t>dependant 6: cap</t>
  </si>
  <si>
    <t>dependant 6: ti</t>
  </si>
  <si>
    <t>dependant 6: m</t>
  </si>
  <si>
    <t>dependant 6: r</t>
  </si>
  <si>
    <t>dependant 6: need</t>
  </si>
  <si>
    <t>dependant 6: gap</t>
  </si>
  <si>
    <t>dependant 6: inc</t>
  </si>
  <si>
    <t>next extra 1</t>
  </si>
  <si>
    <t>next extra 2</t>
  </si>
  <si>
    <t>next extra 3</t>
  </si>
  <si>
    <t>next extra 4</t>
  </si>
  <si>
    <t>next extra 5</t>
  </si>
  <si>
    <t>next extra 6</t>
  </si>
  <si>
    <t>next extra for the estate</t>
  </si>
  <si>
    <t>y</t>
  </si>
  <si>
    <t>need for the year</t>
  </si>
  <si>
    <t>trust balance</t>
  </si>
  <si>
    <t>trust fees</t>
  </si>
  <si>
    <t>Tax threshold (R)</t>
  </si>
  <si>
    <t>Own taxable income (R a year)</t>
  </si>
  <si>
    <t>Years</t>
  </si>
  <si>
    <t>Need a month (R)</t>
  </si>
  <si>
    <t>Increase a year</t>
  </si>
  <si>
    <t>In a trust (1/0)</t>
  </si>
  <si>
    <t>Once-off needs, today's money (R)</t>
  </si>
  <si>
    <t>Trustee fees, first year</t>
  </si>
  <si>
    <t>Trustee fees, whole period</t>
  </si>
  <si>
    <t>Extra capital for the fees</t>
  </si>
  <si>
    <t>Rate today (with fees)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</si>
</sst>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yyyy-mm-dd"/>
    <numFmt numFmtId="165" formatCode="&quot;R &quot;#,##0.00;&quot;(R &quot;#,##0.00\);\-"/>
    <numFmt numFmtId="166" formatCode="&quot;R &quot;#,##0;&quot;(R &quot;#,##0\);\-"/>
    <numFmt numFmtId="167" formatCode="0.0000%"/>
  </numFmts>
  <fonts count="21" x14ac:knownFonts="1">
    <font>
      <color theme="1"/>
      <family val="2"/>
      <scheme val="minor"/>
      <sz val="11"/>
      <name val="Calibri"/>
    </font>
    <font>
      <b/>
      <color rgb="FFFFFFFF"/>
      <sz val="13"/>
      <name val="Arial"/>
    </font>
    <font>
      <color rgb="FFFFFFFF"/>
      <sz val="9"/>
      <name val="Arial"/>
    </font>
    <font>
      <b/>
      <color rgb="FF0E413A"/>
      <sz val="15"/>
      <name val="Arial"/>
    </font>
    <font>
      <color rgb="FF6B7A77"/>
      <sz val="9"/>
      <name val="Arial"/>
    </font>
    <font>
      <b/>
      <color rgb="FF0E413A"/>
      <sz val="12"/>
      <name val="Arial"/>
    </font>
    <font>
      <color rgb="FF000000"/>
      <sz val="10"/>
      <name val="Arial"/>
    </font>
    <font>
      <sz val="10"/>
      <name val="Arial"/>
    </font>
    <font>
      <b/>
      <color rgb="FFFFFFFF"/>
      <sz val="9"/>
      <name val="Arial"/>
    </font>
    <font>
      <sz val="9"/>
      <name val="Arial"/>
    </font>
    <font>
      <color rgb="FF6B7A77"/>
      <sz val="8"/>
      <name val="Arial"/>
    </font>
    <font>
      <b/>
      <color rgb="FF000000"/>
      <sz val="10"/>
      <name val="Arial"/>
    </font>
    <font>
      <b/>
      <sz val="10"/>
      <name val="Arial"/>
    </font>
    <font>
      <b/>
      <color rgb="FFB3261E"/>
      <sz val="9"/>
      <name val="Arial"/>
    </font>
    <font>
      <color rgb="FF333333"/>
      <sz val="10.5"/>
      <name val="Arial"/>
    </font>
    <font>
      <b/>
      <color rgb="FF6B7A77"/>
      <sz val="8"/>
      <name val="Arial"/>
    </font>
    <font>
      <b/>
      <color rgb="FFB3261E"/>
      <sz val="20"/>
      <name val="Arial"/>
    </font>
    <font>
      <b/>
      <color rgb="FF2F7A4F"/>
      <sz val="10"/>
      <name val="Arial"/>
    </font>
    <font>
      <color rgb="FF333333"/>
      <sz val="10"/>
      <name val="Arial"/>
    </font>
    <font>
      <color rgb="FF333333"/>
      <sz val="9.5"/>
      <name val="Arial"/>
    </font>
    <font>
      <b/>
      <color rgb="FF0E413A"/>
      <sz val="9"/>
      <name val="Arial"/>
    </font>
  </fonts>
  <fills count="7">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FBEFEE"/>
      </patternFill>
    </fill>
    <fill>
      <patternFill patternType="solid">
        <fgColor rgb="FFE4EBE9"/>
      </patternFill>
    </fill>
  </fills>
  <borders count="4">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
      <left style="thick">
        <color rgb="FFB3261E"/>
      </left>
      <right/>
      <top/>
      <bottom/>
      <diagonal/>
    </border>
  </borders>
  <cellStyleXfs count="1">
    <xf numFmtId="0" fontId="0" fillId="0" borderId="0"/>
  </cellStyleXfs>
  <cellXfs count="47">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0" xfId="0" applyFont="1"/>
    <xf numFmtId="0" fontId="5" fillId="0" borderId="1" xfId="0" applyFont="1" applyBorder="1"/>
    <xf numFmtId="0" fontId="0" fillId="0" borderId="1" xfId="0" applyBorder="1"/>
    <xf numFmtId="0" fontId="6" fillId="0" borderId="2" xfId="0" applyFont="1" applyBorder="1" applyAlignment="1">
      <alignment vertical="top" wrapText="1"/>
    </xf>
    <xf numFmtId="0" fontId="7" fillId="3" borderId="2" xfId="0" applyFont="1" applyFill="1" applyBorder="1" applyAlignment="1" applyProtection="1">
      <alignment vertical="top" wrapText="1"/>
      <protection locked="0"/>
    </xf>
    <xf numFmtId="164" fontId="7" fillId="3" borderId="2" xfId="0" applyNumberFormat="1" applyFont="1" applyFill="1" applyBorder="1" applyAlignment="1" applyProtection="1">
      <alignment vertical="top"/>
      <protection locked="0"/>
    </xf>
    <xf numFmtId="0" fontId="7" fillId="3" borderId="2" xfId="0" applyFont="1" applyFill="1" applyBorder="1" applyAlignment="1" applyProtection="1">
      <alignment vertical="top"/>
      <protection locked="0"/>
    </xf>
    <xf numFmtId="165" fontId="7" fillId="3" borderId="2" xfId="0" applyNumberFormat="1" applyFont="1" applyFill="1" applyBorder="1" applyAlignment="1" applyProtection="1">
      <alignment horizontal="right" vertical="top"/>
      <protection locked="0"/>
    </xf>
    <xf numFmtId="0" fontId="8" fillId="2" borderId="2" xfId="0" applyFont="1" applyFill="1" applyBorder="1" applyAlignment="1">
      <alignment horizontal="left" vertical="center" wrapText="1"/>
    </xf>
    <xf numFmtId="0" fontId="8" fillId="2" borderId="2" xfId="0" applyFont="1" applyFill="1" applyBorder="1" applyAlignment="1">
      <alignment horizontal="right" vertical="center" wrapText="1"/>
    </xf>
    <xf numFmtId="0" fontId="9" fillId="3" borderId="2" xfId="0" applyFont="1" applyFill="1" applyBorder="1" applyAlignment="1" applyProtection="1">
      <alignment vertical="top" wrapText="1"/>
      <protection locked="0"/>
    </xf>
    <xf numFmtId="166" fontId="6" fillId="4" borderId="2" xfId="0" applyNumberFormat="1" applyFont="1" applyFill="1" applyBorder="1" applyAlignment="1">
      <alignment horizontal="right" vertical="top"/>
    </xf>
    <xf numFmtId="0" fontId="4" fillId="0" borderId="0" xfId="0" applyFont="1" applyAlignment="1">
      <alignment vertical="top" wrapText="1"/>
    </xf>
    <xf numFmtId="165" fontId="10" fillId="0" borderId="0" xfId="0" applyNumberFormat="1" applyFont="1"/>
    <xf numFmtId="1" fontId="7" fillId="3" borderId="2" xfId="0" applyNumberFormat="1" applyFont="1" applyFill="1" applyBorder="1" applyAlignment="1" applyProtection="1">
      <alignment horizontal="right" vertical="top"/>
      <protection locked="0"/>
    </xf>
    <xf numFmtId="2" fontId="7" fillId="3" borderId="2" xfId="0" applyNumberFormat="1" applyFont="1" applyFill="1" applyBorder="1" applyAlignment="1" applyProtection="1">
      <alignment horizontal="right" vertical="top"/>
      <protection locked="0"/>
    </xf>
    <xf numFmtId="0" fontId="11" fillId="0" borderId="2" xfId="0" applyFont="1" applyBorder="1" applyAlignment="1">
      <alignment vertical="top" wrapText="1"/>
    </xf>
    <xf numFmtId="0" fontId="12" fillId="0" borderId="0" xfId="0" applyFont="1" applyAlignment="1">
      <alignment vertical="top" wrapText="1"/>
    </xf>
    <xf numFmtId="0" fontId="12" fillId="0" borderId="0" xfId="0" applyFont="1" applyAlignment="1" applyProtection="1">
      <alignment vertical="top" wrapText="1"/>
      <protection locked="0"/>
    </xf>
    <xf numFmtId="0" fontId="13" fillId="0" borderId="0" xfId="0" applyFont="1" applyAlignment="1">
      <alignment horizontal="right"/>
    </xf>
    <xf numFmtId="0" fontId="14" fillId="0" borderId="0" xfId="0" applyFont="1" applyAlignment="1">
      <alignment vertical="top" wrapText="1"/>
    </xf>
    <xf numFmtId="0" fontId="15" fillId="5" borderId="3" xfId="0" applyFont="1" applyFill="1" applyBorder="1" applyAlignment="1">
      <alignment vertical="center" indent="1"/>
    </xf>
    <xf numFmtId="0" fontId="16" fillId="5" borderId="3" xfId="0" applyFont="1" applyFill="1" applyBorder="1" applyAlignment="1">
      <alignment vertical="center" indent="1"/>
    </xf>
    <xf numFmtId="0" fontId="4" fillId="5" borderId="3" xfId="0" applyFont="1" applyFill="1" applyBorder="1" applyAlignment="1">
      <alignment vertical="center" indent="1"/>
    </xf>
    <xf numFmtId="0" fontId="7" fillId="0" borderId="2" xfId="0" applyFont="1" applyBorder="1" applyAlignment="1">
      <alignment vertical="top" wrapText="1"/>
    </xf>
    <xf numFmtId="0" fontId="11" fillId="6" borderId="2" xfId="0" applyFont="1" applyFill="1" applyBorder="1" applyAlignment="1">
      <alignment vertical="top" wrapText="1"/>
    </xf>
    <xf numFmtId="166" fontId="11" fillId="6" borderId="2" xfId="0" applyNumberFormat="1" applyFont="1" applyFill="1" applyBorder="1" applyAlignment="1">
      <alignment horizontal="right" vertical="top"/>
    </xf>
    <xf numFmtId="0" fontId="11" fillId="4" borderId="2" xfId="0" applyFont="1" applyFill="1" applyBorder="1" applyAlignment="1">
      <alignment horizontal="right" vertical="top"/>
    </xf>
    <xf numFmtId="166" fontId="17" fillId="4" borderId="2" xfId="0" applyNumberFormat="1" applyFont="1" applyFill="1" applyBorder="1" applyAlignment="1">
      <alignment horizontal="right" vertical="top"/>
    </xf>
    <xf numFmtId="0" fontId="6" fillId="4" borderId="2" xfId="0" applyFont="1" applyFill="1" applyBorder="1" applyAlignment="1">
      <alignment horizontal="right" vertical="top"/>
    </xf>
    <xf numFmtId="0" fontId="18" fillId="0" borderId="0" xfId="0" applyFont="1" applyAlignment="1">
      <alignment vertical="top" wrapText="1"/>
    </xf>
    <xf numFmtId="0" fontId="10" fillId="0" borderId="0" xfId="0" applyFont="1" applyAlignment="1">
      <alignment vertical="top" wrapText="1"/>
    </xf>
    <xf numFmtId="0" fontId="6" fillId="4" borderId="2" xfId="0" applyFont="1" applyFill="1" applyBorder="1" applyAlignment="1">
      <alignment horizontal="left" vertical="top" wrapText="1"/>
    </xf>
    <xf numFmtId="9" fontId="6" fillId="4" borderId="2" xfId="0" applyNumberFormat="1" applyFont="1" applyFill="1" applyBorder="1" applyAlignment="1">
      <alignment horizontal="right" vertical="top"/>
    </xf>
    <xf numFmtId="0" fontId="19" fillId="0" borderId="0" xfId="0" applyFont="1" applyAlignment="1">
      <alignment vertical="top" wrapText="1"/>
    </xf>
    <xf numFmtId="0" fontId="7" fillId="0" borderId="2" xfId="0" applyFont="1" applyBorder="1"/>
    <xf numFmtId="0" fontId="20" fillId="4" borderId="0" xfId="0" applyFont="1" applyFill="1"/>
    <xf numFmtId="165" fontId="6" fillId="4" borderId="2" xfId="0" applyNumberFormat="1" applyFont="1" applyFill="1" applyBorder="1" applyAlignment="1">
      <alignment horizontal="right" vertical="top"/>
    </xf>
    <xf numFmtId="165" fontId="11" fillId="6" borderId="2" xfId="0" applyNumberFormat="1" applyFont="1" applyFill="1" applyBorder="1" applyAlignment="1">
      <alignment horizontal="right" vertical="top"/>
    </xf>
    <xf numFmtId="10" fontId="6" fillId="4" borderId="2" xfId="0" applyNumberFormat="1" applyFont="1" applyFill="1" applyBorder="1" applyAlignment="1">
      <alignment vertical="top"/>
    </xf>
    <xf numFmtId="167" fontId="6" fillId="4" borderId="2" xfId="0" applyNumberFormat="1" applyFont="1" applyFill="1" applyBorder="1" applyAlignment="1">
      <alignment vertical="top"/>
    </xf>
    <xf numFmtId="1" fontId="6" fillId="4" borderId="2" xfId="0" applyNumberFormat="1" applyFont="1" applyFill="1" applyBorder="1" applyAlignment="1">
      <alignment horizontal="right" vertical="top"/>
    </xf>
    <xf numFmtId="10" fontId="6" fillId="4" borderId="2" xfId="0" applyNumberFormat="1" applyFont="1" applyFill="1" applyBorder="1" applyAlignment="1">
      <alignment horizontal="right" vertical="top"/>
    </xf>
  </cellXfs>
  <cellStyles count="1">
    <cellStyle name="Normal" xfId="0" builtinId="0"/>
  </cellStyles>
  <dxfs count="26">
    <dxf>
      <font>
        <b/>
        <color rgb="FFB3261E"/>
      </font>
      <fill>
        <patternFill patternType="solid">
          <bgColor rgb="FFFBEFEE"/>
        </patternFill>
      </fill>
    </dxf>
    <dxf>
      <font>
        <b/>
        <color rgb="FF2F7A4F"/>
      </font>
      <fill>
        <patternFill patternType="solid">
          <bgColor rgb="FFEAF4EE"/>
        </patternFill>
      </fill>
    </dxf>
    <dxf>
      <font>
        <b/>
        <color rgb="FFB45309"/>
      </font>
      <fill>
        <patternFill patternType="solid">
          <bgColor rgb="FFFFF1E0"/>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ont>
        <color rgb="FF2F7A4F"/>
      </font>
      <fill>
        <patternFill patternType="solid">
          <bgColor rgb="FFEAF4EE"/>
        </patternFill>
      </fill>
    </dxf>
    <dxf>
      <font>
        <b/>
        <color rgb="FFB3261E"/>
      </font>
      <fill>
        <patternFill patternType="solid">
          <bgColor rgb="FFFBEFEE"/>
        </patternFill>
      </fill>
    </dxf>
    <dxf>
      <font>
        <b/>
        <color rgb="FF2F7A4F"/>
      </font>
      <fill>
        <patternFill patternType="solid">
          <bgColor rgb="FFEAF4EE"/>
        </patternFill>
      </fill>
    </dxf>
    <dxf>
      <font>
        <color rgb="FF2F7A4F"/>
      </font>
      <fill>
        <patternFill patternType="solid">
          <bgColor rgb="FFEAF4EE"/>
        </patternFill>
      </fill>
    </dxf>
    <dxf>
      <font>
        <b/>
        <color rgb="FFB3261E"/>
      </font>
      <fill>
        <patternFill patternType="solid">
          <bgColor rgb="FFFBEFEE"/>
        </patternFill>
      </fill>
    </dxf>
    <dxf>
      <font>
        <b/>
        <color rgb="FF2F7A4F"/>
      </font>
      <fill>
        <patternFill patternType="solid">
          <bgColor rgb="FFEAF4EE"/>
        </patternFill>
      </fill>
    </dxf>
    <dxf>
      <fill>
        <patternFill patternType="solid">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9.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8.xml"/><Relationship Id="rId11" Type="http://schemas.openxmlformats.org/officeDocument/2006/relationships/worksheet" Target="worksheets/sheet7.xml"/><Relationship Id="rId12"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2"/>
  <sheetFormatPr defaultRowHeight="15" outlineLevelRow="0" outlineLevelCol="0" x14ac:dyDescent="55"/>
  <sheetData>
    <row r="1" spans="1:11" x14ac:dyDescent="0.25">
      <c r="A1" t="s">
        <v>0</v>
      </c>
      <c r="B1" t="s">
        <v>1</v>
      </c>
      <c r="C1" t="s">
        <v>2</v>
      </c>
      <c r="D1" t="s">
        <v>3</v>
      </c>
      <c r="E1" t="s">
        <v>4</v>
      </c>
      <c r="F1" t="s">
        <v>5</v>
      </c>
      <c r="G1" t="s">
        <v>6</v>
      </c>
      <c r="H1" t="s">
        <v>7</v>
      </c>
      <c r="I1" t="s">
        <v>8</v>
      </c>
      <c r="K1" t="s">
        <v>9</v>
      </c>
    </row>
    <row r="2" spans="1:11" x14ac:dyDescent="0.25">
      <c r="A2" t="s">
        <v>10</v>
      </c>
      <c r="B2" t="s">
        <v>11</v>
      </c>
      <c r="C2" t="s">
        <v>12</v>
      </c>
      <c r="D2" t="s">
        <v>13</v>
      </c>
      <c r="E2" t="s">
        <v>14</v>
      </c>
      <c r="F2" t="s">
        <v>15</v>
      </c>
      <c r="G2" t="s">
        <v>16</v>
      </c>
      <c r="H2" t="s">
        <v>17</v>
      </c>
      <c r="I2" t="s">
        <v>18</v>
      </c>
      <c r="K2" t="s">
        <v>19</v>
      </c>
    </row>
    <row r="3" spans="1:12" x14ac:dyDescent="0.25">
      <c r="A3" t="s">
        <v>20</v>
      </c>
      <c r="B3" t="s">
        <v>15</v>
      </c>
      <c r="C3" t="s">
        <v>15</v>
      </c>
      <c r="D3" t="s">
        <v>21</v>
      </c>
      <c r="E3" t="s">
        <v>15</v>
      </c>
      <c r="F3" t="s">
        <v>22</v>
      </c>
      <c r="G3" t="s">
        <v>23</v>
      </c>
      <c r="H3" t="s">
        <v>24</v>
      </c>
      <c r="I3" t="s">
        <v>25</v>
      </c>
      <c r="K3" t="s">
        <v>26</v>
      </c>
      <c r="L3" t="s">
        <v>27</v>
      </c>
    </row>
    <row r="4" spans="1:11" x14ac:dyDescent="0.25">
      <c r="A4" t="s">
        <v>28</v>
      </c>
      <c r="B4" t="s">
        <v>29</v>
      </c>
      <c r="C4" t="s">
        <v>30</v>
      </c>
      <c r="F4" t="s">
        <v>31</v>
      </c>
      <c r="I4" t="s">
        <v>32</v>
      </c>
      <c r="K4" t="s">
        <v>33</v>
      </c>
    </row>
    <row r="5" spans="1:11" x14ac:dyDescent="0.25">
      <c r="A5" t="s">
        <v>34</v>
      </c>
      <c r="I5" t="s">
        <v>35</v>
      </c>
      <c r="K5" t="s">
        <v>36</v>
      </c>
    </row>
    <row r="6" spans="1:12" x14ac:dyDescent="0.25">
      <c r="A6" t="s">
        <v>37</v>
      </c>
      <c r="I6" t="s">
        <v>38</v>
      </c>
      <c r="K6" t="s">
        <v>39</v>
      </c>
      <c r="L6" t="s">
        <v>27</v>
      </c>
    </row>
    <row r="7" spans="1:9" x14ac:dyDescent="0.25">
      <c r="A7" t="s">
        <v>40</v>
      </c>
      <c r="I7" t="s">
        <v>41</v>
      </c>
    </row>
    <row r="8" spans="1:9" x14ac:dyDescent="0.25">
      <c r="A8" t="s">
        <v>42</v>
      </c>
      <c r="I8" t="s">
        <v>43</v>
      </c>
    </row>
    <row r="9" spans="1:9" x14ac:dyDescent="0.25">
      <c r="A9" t="s">
        <v>44</v>
      </c>
      <c r="I9" t="s">
        <v>45</v>
      </c>
    </row>
    <row r="10" spans="9:9" x14ac:dyDescent="0.25">
      <c r="I10" t="s">
        <v>46</v>
      </c>
    </row>
    <row r="11" spans="9:9" x14ac:dyDescent="0.25">
      <c r="I11" t="s">
        <v>47</v>
      </c>
    </row>
    <row r="12" spans="9:9" x14ac:dyDescent="0.25">
      <c r="I12" t="s">
        <v>48</v>
      </c>
    </row>
  </sheetData>
  <sheetProtection sheet="1" formatRows="0"/>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Z154"/>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3" width="20" customWidth="1"/>
    <col min="4" max="5" width="15" customWidth="1"/>
    <col min="6" max="6" width="10" customWidth="1"/>
    <col min="7" max="7" width="17" customWidth="1"/>
    <col min="8" max="8" width="18" customWidth="1"/>
    <col min="9" max="9" width="34" customWidth="1"/>
    <col min="10" max="10" width="15" customWidth="1"/>
    <col min="12" max="12" width="9" hidden="1" customWidth="1"/>
    <col min="13" max="13" width="9" hidden="1" customWidth="1"/>
    <col min="14" max="14" width="9" hidden="1" customWidth="1"/>
    <col min="15" max="15" width="9" hidden="1" customWidth="1"/>
    <col min="16" max="16" width="9" hidden="1" customWidth="1"/>
    <col min="17" max="17" width="9" hidden="1" customWidth="1"/>
    <col min="18" max="18" width="9" hidden="1"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 min="31" max="31" width="9" hidden="1" customWidth="1"/>
    <col min="32" max="32" width="9" hidden="1" customWidth="1"/>
    <col min="33" max="33" width="9" hidden="1" customWidth="1"/>
    <col min="34" max="34" width="9" hidden="1" customWidth="1"/>
    <col min="35" max="35" width="9" hidden="1" customWidth="1"/>
  </cols>
  <sheetData>
    <row r="1" ht="21.75" customHeight="1" spans="2:10" x14ac:dyDescent="0.25">
      <c r="B1" s="1" t="s">
        <v>49</v>
      </c>
      <c r="C1" s="1"/>
      <c r="D1" s="1"/>
      <c r="E1" s="1"/>
      <c r="F1" s="1"/>
      <c r="G1" s="1"/>
      <c r="H1" s="1"/>
      <c r="I1" s="1"/>
      <c r="J1" s="1"/>
    </row>
    <row r="2" ht="15" customHeight="1" spans="2:10" x14ac:dyDescent="0.25">
      <c r="B2" s="2" t="s">
        <v>50</v>
      </c>
      <c r="C2" s="2"/>
      <c r="D2" s="2"/>
      <c r="E2" s="2"/>
      <c r="F2" s="2"/>
      <c r="G2" s="2"/>
      <c r="H2" s="2"/>
      <c r="I2" s="2"/>
      <c r="J2" s="2"/>
    </row>
    <row r="4" ht="20" customHeight="1" spans="2:2" x14ac:dyDescent="0.25">
      <c r="B4" s="3" t="s">
        <v>51</v>
      </c>
    </row>
    <row r="5" spans="2:2" x14ac:dyDescent="0.25">
      <c r="B5" s="4" t="s">
        <v>52</v>
      </c>
    </row>
    <row r="7" ht="18" customHeight="1" spans="2:10" x14ac:dyDescent="0.25">
      <c r="B7" s="5" t="s">
        <v>53</v>
      </c>
      <c r="C7" s="6"/>
      <c r="D7" s="6"/>
      <c r="E7" s="6"/>
      <c r="F7" s="6"/>
      <c r="G7" s="6"/>
      <c r="H7" s="6"/>
      <c r="I7" s="6"/>
      <c r="J7" s="6"/>
    </row>
    <row r="8" spans="2:5" x14ac:dyDescent="0.25">
      <c r="B8" s="7" t="s">
        <v>54</v>
      </c>
      <c r="C8" s="8"/>
      <c r="D8" s="8"/>
      <c r="E8" s="8"/>
    </row>
    <row r="9" spans="2:5" x14ac:dyDescent="0.25">
      <c r="B9" s="7" t="s">
        <v>55</v>
      </c>
      <c r="C9" s="8"/>
      <c r="D9" s="8"/>
      <c r="E9" s="8"/>
    </row>
    <row r="10" spans="2:5" x14ac:dyDescent="0.25">
      <c r="B10" s="7" t="s">
        <v>56</v>
      </c>
      <c r="C10" s="8"/>
      <c r="D10" s="8"/>
      <c r="E10" s="8"/>
    </row>
    <row r="11" spans="2:5" x14ac:dyDescent="0.25">
      <c r="B11" s="7" t="s">
        <v>57</v>
      </c>
      <c r="C11" s="9"/>
      <c r="D11" s="9"/>
      <c r="E11" s="9"/>
    </row>
    <row r="12" spans="2:5" x14ac:dyDescent="0.25">
      <c r="B12" s="7" t="s">
        <v>58</v>
      </c>
      <c r="C12" s="9"/>
      <c r="D12" s="9"/>
      <c r="E12" s="9"/>
    </row>
    <row r="13" spans="2:5" x14ac:dyDescent="0.25">
      <c r="B13" s="7" t="s">
        <v>59</v>
      </c>
      <c r="C13" s="10"/>
      <c r="D13" s="10"/>
      <c r="E13" s="10"/>
    </row>
    <row r="14" spans="2:5" x14ac:dyDescent="0.25">
      <c r="B14" s="7" t="s">
        <v>60</v>
      </c>
      <c r="C14" s="10"/>
      <c r="D14" s="10"/>
      <c r="E14" s="10"/>
    </row>
    <row r="15" ht="27" customHeight="1" spans="2:9" x14ac:dyDescent="0.25">
      <c r="B15" s="7" t="s">
        <v>61</v>
      </c>
      <c r="C15" s="8"/>
      <c r="D15" s="8"/>
      <c r="E15" s="8"/>
      <c r="F15" s="8"/>
      <c r="G15" s="8"/>
      <c r="H15" s="8"/>
      <c r="I15" s="8"/>
    </row>
    <row r="16" spans="2:5" x14ac:dyDescent="0.25">
      <c r="B16" s="7" t="s">
        <v>62</v>
      </c>
      <c r="C16" s="11"/>
      <c r="D16" s="11"/>
      <c r="E16" s="11"/>
    </row>
    <row r="17" ht="27" customHeight="1" spans="2:9" x14ac:dyDescent="0.25">
      <c r="B17" s="7" t="s">
        <v>63</v>
      </c>
      <c r="C17" s="8"/>
      <c r="D17" s="8"/>
      <c r="E17" s="8"/>
      <c r="F17" s="8"/>
      <c r="G17" s="8"/>
      <c r="H17" s="8"/>
      <c r="I17" s="8"/>
    </row>
    <row r="19" ht="18" customHeight="1" spans="2:10" x14ac:dyDescent="0.25">
      <c r="B19" s="5" t="s">
        <v>64</v>
      </c>
      <c r="C19" s="6"/>
      <c r="D19" s="6"/>
      <c r="E19" s="6"/>
      <c r="F19" s="6"/>
      <c r="G19" s="6"/>
      <c r="H19" s="6"/>
      <c r="I19" s="6"/>
      <c r="J19" s="6"/>
    </row>
    <row r="20" hidden="1" spans="2:9" x14ac:dyDescent="0.25">
      <c r="B20" t="s">
        <v>65</v>
      </c>
      <c r="C20" t="s">
        <v>0</v>
      </c>
      <c r="D20" t="s">
        <v>66</v>
      </c>
      <c r="E20" t="s">
        <v>67</v>
      </c>
      <c r="F20" t="s">
        <v>68</v>
      </c>
      <c r="G20" t="s">
        <v>1</v>
      </c>
      <c r="H20" t="s">
        <v>69</v>
      </c>
      <c r="I20" t="s">
        <v>70</v>
      </c>
    </row>
    <row r="21" ht="30" customHeight="1" spans="2:10" x14ac:dyDescent="0.25">
      <c r="B21" s="12" t="s">
        <v>71</v>
      </c>
      <c r="C21" s="12" t="s">
        <v>72</v>
      </c>
      <c r="D21" s="13" t="s">
        <v>73</v>
      </c>
      <c r="E21" s="13" t="s">
        <v>74</v>
      </c>
      <c r="F21" s="12" t="s">
        <v>75</v>
      </c>
      <c r="G21" s="12" t="s">
        <v>76</v>
      </c>
      <c r="H21" s="12" t="s">
        <v>77</v>
      </c>
      <c r="I21" s="12" t="s">
        <v>78</v>
      </c>
      <c r="J21" s="13" t="s">
        <v>79</v>
      </c>
    </row>
    <row r="22" ht="15" customHeight="1" spans="2:26" x14ac:dyDescent="0.25">
      <c r="B22" s="8"/>
      <c r="C22" s="10"/>
      <c r="D22" s="11"/>
      <c r="E22" s="11"/>
      <c r="F22" s="10"/>
      <c r="G22" s="10"/>
      <c r="H22" s="10"/>
      <c r="I22" s="14"/>
      <c r="J22" s="15">
        <f>IF(L22=1,M22-N22,"")</f>
      </c>
      <c r="L22">
        <f>IF(AND(OR(C22="Property",C22="Shares and unit trusts",C22="Other investment",C22="Business interest"),NOT(AND(OR(G22="Spouse",AND(G22="Estate (residue)",'Inputs'!$C$14="Spouse")),H22&lt;&gt;"Yes"))),1,0)</f>
      </c>
      <c r="M22">
        <f>IF(L22=1,N(D22)-N(E22),0)</f>
      </c>
      <c r="N22">
        <f>IF(AND(L22=1,F22="Yes",M22&gt;0),MIN(M22,'Inputs'!$H$110),0)</f>
      </c>
      <c r="O22">
        <f>IF(OR(C22="Cash and deposits",H22="Yes"),N(D22),0)</f>
      </c>
      <c r="P22">
        <f>IF(C22="Property",ROUND('Inputs'!$C$114/100*N(D22),2),0)</f>
      </c>
      <c r="Q22">
        <f>IF(AND(C22="Property",H22="Yes"),ROUND('Inputs'!$C$115/100*(1+'Inputs'!$C$110/100)*N(D22),2),0)</f>
      </c>
      <c r="R22">
        <f>IF(G22="Spouse",N(D22),0)</f>
      </c>
      <c r="S22">
        <f>IF(G22="Named heir",N(D22),0)</f>
      </c>
      <c r="T22">
        <f>IF(AND(L22=1,N(D22)&gt;0,E22=""),1,0)</f>
      </c>
      <c r="U22">
        <f>ROUND('Workings'!$C$39*S22,2)</f>
      </c>
      <c r="V22">
        <f>ROUND('Workings'!$D$39*S22,2)</f>
      </c>
      <c r="W22">
        <f>IF(AND(B22="",N(D22)=0),0,IF(OR(C22="",G22=""),1,0))</f>
      </c>
      <c r="X22">
        <f>IF(S22&gt;0,COUNTIF(S$22:S22,"&gt;0"),0)</f>
      </c>
      <c r="Y22">
        <f>IF(AND(G22="Estate (residue)",H22&lt;&gt;"Yes",OR(C22="Shares and unit trusts",C22="Other investment",C22="Tax-free investment")),N(D22),0)</f>
      </c>
      <c r="Z22">
        <f>IF(AND(G22="Spouse",H22&lt;&gt;"Yes",OR(C22="Shares and unit trusts",C22="Other investment",C22="Tax-free investment")),N(D22),0)</f>
      </c>
    </row>
    <row r="23" ht="15" customHeight="1" spans="2:26" x14ac:dyDescent="0.25">
      <c r="B23" s="8"/>
      <c r="C23" s="10"/>
      <c r="D23" s="11"/>
      <c r="E23" s="11"/>
      <c r="F23" s="10"/>
      <c r="G23" s="10"/>
      <c r="H23" s="10"/>
      <c r="I23" s="14"/>
      <c r="J23" s="15">
        <f>IF(L23=1,M23-N23,"")</f>
      </c>
      <c r="L23">
        <f>IF(AND(OR(C23="Property",C23="Shares and unit trusts",C23="Other investment",C23="Business interest"),NOT(AND(OR(G23="Spouse",AND(G23="Estate (residue)",'Inputs'!$C$14="Spouse")),H23&lt;&gt;"Yes"))),1,0)</f>
      </c>
      <c r="M23">
        <f>IF(L23=1,N(D23)-N(E23),0)</f>
      </c>
      <c r="N23">
        <f>IF(AND(L23=1,F23="Yes",M23&gt;0),MIN(M23,'Inputs'!$H$110),0)</f>
      </c>
      <c r="O23">
        <f>IF(OR(C23="Cash and deposits",H23="Yes"),N(D23),0)</f>
      </c>
      <c r="P23">
        <f>IF(C23="Property",ROUND('Inputs'!$C$114/100*N(D23),2),0)</f>
      </c>
      <c r="Q23">
        <f>IF(AND(C23="Property",H23="Yes"),ROUND('Inputs'!$C$115/100*(1+'Inputs'!$C$110/100)*N(D23),2),0)</f>
      </c>
      <c r="R23">
        <f>IF(G23="Spouse",N(D23),0)</f>
      </c>
      <c r="S23">
        <f>IF(G23="Named heir",N(D23),0)</f>
      </c>
      <c r="T23">
        <f>IF(AND(L23=1,N(D23)&gt;0,E23=""),1,0)</f>
      </c>
      <c r="U23">
        <f>ROUND('Workings'!$C$39*S23,2)</f>
      </c>
      <c r="V23">
        <f>ROUND('Workings'!$D$39*S23,2)</f>
      </c>
      <c r="W23">
        <f>IF(AND(B23="",N(D23)=0),0,IF(OR(C23="",G23=""),1,0))</f>
      </c>
      <c r="X23">
        <f>IF(S23&gt;0,COUNTIF(S$22:S23,"&gt;0"),0)</f>
      </c>
      <c r="Y23">
        <f>IF(AND(G23="Estate (residue)",H23&lt;&gt;"Yes",OR(C23="Shares and unit trusts",C23="Other investment",C23="Tax-free investment")),N(D23),0)</f>
      </c>
      <c r="Z23">
        <f>IF(AND(G23="Spouse",H23&lt;&gt;"Yes",OR(C23="Shares and unit trusts",C23="Other investment",C23="Tax-free investment")),N(D23),0)</f>
      </c>
    </row>
    <row r="24" ht="15" customHeight="1" spans="2:26" x14ac:dyDescent="0.25">
      <c r="B24" s="8"/>
      <c r="C24" s="10"/>
      <c r="D24" s="11"/>
      <c r="E24" s="11"/>
      <c r="F24" s="10"/>
      <c r="G24" s="10"/>
      <c r="H24" s="10"/>
      <c r="I24" s="14"/>
      <c r="J24" s="15">
        <f>IF(L24=1,M24-N24,"")</f>
      </c>
      <c r="L24">
        <f>IF(AND(OR(C24="Property",C24="Shares and unit trusts",C24="Other investment",C24="Business interest"),NOT(AND(OR(G24="Spouse",AND(G24="Estate (residue)",'Inputs'!$C$14="Spouse")),H24&lt;&gt;"Yes"))),1,0)</f>
      </c>
      <c r="M24">
        <f>IF(L24=1,N(D24)-N(E24),0)</f>
      </c>
      <c r="N24">
        <f>IF(AND(L24=1,F24="Yes",M24&gt;0),MIN(M24,'Inputs'!$H$110),0)</f>
      </c>
      <c r="O24">
        <f>IF(OR(C24="Cash and deposits",H24="Yes"),N(D24),0)</f>
      </c>
      <c r="P24">
        <f>IF(C24="Property",ROUND('Inputs'!$C$114/100*N(D24),2),0)</f>
      </c>
      <c r="Q24">
        <f>IF(AND(C24="Property",H24="Yes"),ROUND('Inputs'!$C$115/100*(1+'Inputs'!$C$110/100)*N(D24),2),0)</f>
      </c>
      <c r="R24">
        <f>IF(G24="Spouse",N(D24),0)</f>
      </c>
      <c r="S24">
        <f>IF(G24="Named heir",N(D24),0)</f>
      </c>
      <c r="T24">
        <f>IF(AND(L24=1,N(D24)&gt;0,E24=""),1,0)</f>
      </c>
      <c r="U24">
        <f>ROUND('Workings'!$C$39*S24,2)</f>
      </c>
      <c r="V24">
        <f>ROUND('Workings'!$D$39*S24,2)</f>
      </c>
      <c r="W24">
        <f>IF(AND(B24="",N(D24)=0),0,IF(OR(C24="",G24=""),1,0))</f>
      </c>
      <c r="X24">
        <f>IF(S24&gt;0,COUNTIF(S$22:S24,"&gt;0"),0)</f>
      </c>
      <c r="Y24">
        <f>IF(AND(G24="Estate (residue)",H24&lt;&gt;"Yes",OR(C24="Shares and unit trusts",C24="Other investment",C24="Tax-free investment")),N(D24),0)</f>
      </c>
      <c r="Z24">
        <f>IF(AND(G24="Spouse",H24&lt;&gt;"Yes",OR(C24="Shares and unit trusts",C24="Other investment",C24="Tax-free investment")),N(D24),0)</f>
      </c>
    </row>
    <row r="25" ht="15" customHeight="1" spans="2:26" x14ac:dyDescent="0.25">
      <c r="B25" s="8"/>
      <c r="C25" s="10"/>
      <c r="D25" s="11"/>
      <c r="E25" s="11"/>
      <c r="F25" s="10"/>
      <c r="G25" s="10"/>
      <c r="H25" s="10"/>
      <c r="I25" s="14"/>
      <c r="J25" s="15">
        <f>IF(L25=1,M25-N25,"")</f>
      </c>
      <c r="L25">
        <f>IF(AND(OR(C25="Property",C25="Shares and unit trusts",C25="Other investment",C25="Business interest"),NOT(AND(OR(G25="Spouse",AND(G25="Estate (residue)",'Inputs'!$C$14="Spouse")),H25&lt;&gt;"Yes"))),1,0)</f>
      </c>
      <c r="M25">
        <f>IF(L25=1,N(D25)-N(E25),0)</f>
      </c>
      <c r="N25">
        <f>IF(AND(L25=1,F25="Yes",M25&gt;0),MIN(M25,'Inputs'!$H$110),0)</f>
      </c>
      <c r="O25">
        <f>IF(OR(C25="Cash and deposits",H25="Yes"),N(D25),0)</f>
      </c>
      <c r="P25">
        <f>IF(C25="Property",ROUND('Inputs'!$C$114/100*N(D25),2),0)</f>
      </c>
      <c r="Q25">
        <f>IF(AND(C25="Property",H25="Yes"),ROUND('Inputs'!$C$115/100*(1+'Inputs'!$C$110/100)*N(D25),2),0)</f>
      </c>
      <c r="R25">
        <f>IF(G25="Spouse",N(D25),0)</f>
      </c>
      <c r="S25">
        <f>IF(G25="Named heir",N(D25),0)</f>
      </c>
      <c r="T25">
        <f>IF(AND(L25=1,N(D25)&gt;0,E25=""),1,0)</f>
      </c>
      <c r="U25">
        <f>ROUND('Workings'!$C$39*S25,2)</f>
      </c>
      <c r="V25">
        <f>ROUND('Workings'!$D$39*S25,2)</f>
      </c>
      <c r="W25">
        <f>IF(AND(B25="",N(D25)=0),0,IF(OR(C25="",G25=""),1,0))</f>
      </c>
      <c r="X25">
        <f>IF(S25&gt;0,COUNTIF(S$22:S25,"&gt;0"),0)</f>
      </c>
      <c r="Y25">
        <f>IF(AND(G25="Estate (residue)",H25&lt;&gt;"Yes",OR(C25="Shares and unit trusts",C25="Other investment",C25="Tax-free investment")),N(D25),0)</f>
      </c>
      <c r="Z25">
        <f>IF(AND(G25="Spouse",H25&lt;&gt;"Yes",OR(C25="Shares and unit trusts",C25="Other investment",C25="Tax-free investment")),N(D25),0)</f>
      </c>
    </row>
    <row r="26" ht="15" customHeight="1" spans="2:26" x14ac:dyDescent="0.25">
      <c r="B26" s="8"/>
      <c r="C26" s="10"/>
      <c r="D26" s="11"/>
      <c r="E26" s="11"/>
      <c r="F26" s="10"/>
      <c r="G26" s="10"/>
      <c r="H26" s="10"/>
      <c r="I26" s="14"/>
      <c r="J26" s="15">
        <f>IF(L26=1,M26-N26,"")</f>
      </c>
      <c r="L26">
        <f>IF(AND(OR(C26="Property",C26="Shares and unit trusts",C26="Other investment",C26="Business interest"),NOT(AND(OR(G26="Spouse",AND(G26="Estate (residue)",'Inputs'!$C$14="Spouse")),H26&lt;&gt;"Yes"))),1,0)</f>
      </c>
      <c r="M26">
        <f>IF(L26=1,N(D26)-N(E26),0)</f>
      </c>
      <c r="N26">
        <f>IF(AND(L26=1,F26="Yes",M26&gt;0),MIN(M26,'Inputs'!$H$110),0)</f>
      </c>
      <c r="O26">
        <f>IF(OR(C26="Cash and deposits",H26="Yes"),N(D26),0)</f>
      </c>
      <c r="P26">
        <f>IF(C26="Property",ROUND('Inputs'!$C$114/100*N(D26),2),0)</f>
      </c>
      <c r="Q26">
        <f>IF(AND(C26="Property",H26="Yes"),ROUND('Inputs'!$C$115/100*(1+'Inputs'!$C$110/100)*N(D26),2),0)</f>
      </c>
      <c r="R26">
        <f>IF(G26="Spouse",N(D26),0)</f>
      </c>
      <c r="S26">
        <f>IF(G26="Named heir",N(D26),0)</f>
      </c>
      <c r="T26">
        <f>IF(AND(L26=1,N(D26)&gt;0,E26=""),1,0)</f>
      </c>
      <c r="U26">
        <f>ROUND('Workings'!$C$39*S26,2)</f>
      </c>
      <c r="V26">
        <f>ROUND('Workings'!$D$39*S26,2)</f>
      </c>
      <c r="W26">
        <f>IF(AND(B26="",N(D26)=0),0,IF(OR(C26="",G26=""),1,0))</f>
      </c>
      <c r="X26">
        <f>IF(S26&gt;0,COUNTIF(S$22:S26,"&gt;0"),0)</f>
      </c>
      <c r="Y26">
        <f>IF(AND(G26="Estate (residue)",H26&lt;&gt;"Yes",OR(C26="Shares and unit trusts",C26="Other investment",C26="Tax-free investment")),N(D26),0)</f>
      </c>
      <c r="Z26">
        <f>IF(AND(G26="Spouse",H26&lt;&gt;"Yes",OR(C26="Shares and unit trusts",C26="Other investment",C26="Tax-free investment")),N(D26),0)</f>
      </c>
    </row>
    <row r="27" ht="15" customHeight="1" spans="2:26" x14ac:dyDescent="0.25">
      <c r="B27" s="8"/>
      <c r="C27" s="10"/>
      <c r="D27" s="11"/>
      <c r="E27" s="11"/>
      <c r="F27" s="10"/>
      <c r="G27" s="10"/>
      <c r="H27" s="10"/>
      <c r="I27" s="14"/>
      <c r="J27" s="15">
        <f>IF(L27=1,M27-N27,"")</f>
      </c>
      <c r="L27">
        <f>IF(AND(OR(C27="Property",C27="Shares and unit trusts",C27="Other investment",C27="Business interest"),NOT(AND(OR(G27="Spouse",AND(G27="Estate (residue)",'Inputs'!$C$14="Spouse")),H27&lt;&gt;"Yes"))),1,0)</f>
      </c>
      <c r="M27">
        <f>IF(L27=1,N(D27)-N(E27),0)</f>
      </c>
      <c r="N27">
        <f>IF(AND(L27=1,F27="Yes",M27&gt;0),MIN(M27,'Inputs'!$H$110),0)</f>
      </c>
      <c r="O27">
        <f>IF(OR(C27="Cash and deposits",H27="Yes"),N(D27),0)</f>
      </c>
      <c r="P27">
        <f>IF(C27="Property",ROUND('Inputs'!$C$114/100*N(D27),2),0)</f>
      </c>
      <c r="Q27">
        <f>IF(AND(C27="Property",H27="Yes"),ROUND('Inputs'!$C$115/100*(1+'Inputs'!$C$110/100)*N(D27),2),0)</f>
      </c>
      <c r="R27">
        <f>IF(G27="Spouse",N(D27),0)</f>
      </c>
      <c r="S27">
        <f>IF(G27="Named heir",N(D27),0)</f>
      </c>
      <c r="T27">
        <f>IF(AND(L27=1,N(D27)&gt;0,E27=""),1,0)</f>
      </c>
      <c r="U27">
        <f>ROUND('Workings'!$C$39*S27,2)</f>
      </c>
      <c r="V27">
        <f>ROUND('Workings'!$D$39*S27,2)</f>
      </c>
      <c r="W27">
        <f>IF(AND(B27="",N(D27)=0),0,IF(OR(C27="",G27=""),1,0))</f>
      </c>
      <c r="X27">
        <f>IF(S27&gt;0,COUNTIF(S$22:S27,"&gt;0"),0)</f>
      </c>
      <c r="Y27">
        <f>IF(AND(G27="Estate (residue)",H27&lt;&gt;"Yes",OR(C27="Shares and unit trusts",C27="Other investment",C27="Tax-free investment")),N(D27),0)</f>
      </c>
      <c r="Z27">
        <f>IF(AND(G27="Spouse",H27&lt;&gt;"Yes",OR(C27="Shares and unit trusts",C27="Other investment",C27="Tax-free investment")),N(D27),0)</f>
      </c>
    </row>
    <row r="28" ht="15" customHeight="1" spans="2:26" x14ac:dyDescent="0.25">
      <c r="B28" s="8"/>
      <c r="C28" s="10"/>
      <c r="D28" s="11"/>
      <c r="E28" s="11"/>
      <c r="F28" s="10"/>
      <c r="G28" s="10"/>
      <c r="H28" s="10"/>
      <c r="I28" s="14"/>
      <c r="J28" s="15">
        <f>IF(L28=1,M28-N28,"")</f>
      </c>
      <c r="L28">
        <f>IF(AND(OR(C28="Property",C28="Shares and unit trusts",C28="Other investment",C28="Business interest"),NOT(AND(OR(G28="Spouse",AND(G28="Estate (residue)",'Inputs'!$C$14="Spouse")),H28&lt;&gt;"Yes"))),1,0)</f>
      </c>
      <c r="M28">
        <f>IF(L28=1,N(D28)-N(E28),0)</f>
      </c>
      <c r="N28">
        <f>IF(AND(L28=1,F28="Yes",M28&gt;0),MIN(M28,'Inputs'!$H$110),0)</f>
      </c>
      <c r="O28">
        <f>IF(OR(C28="Cash and deposits",H28="Yes"),N(D28),0)</f>
      </c>
      <c r="P28">
        <f>IF(C28="Property",ROUND('Inputs'!$C$114/100*N(D28),2),0)</f>
      </c>
      <c r="Q28">
        <f>IF(AND(C28="Property",H28="Yes"),ROUND('Inputs'!$C$115/100*(1+'Inputs'!$C$110/100)*N(D28),2),0)</f>
      </c>
      <c r="R28">
        <f>IF(G28="Spouse",N(D28),0)</f>
      </c>
      <c r="S28">
        <f>IF(G28="Named heir",N(D28),0)</f>
      </c>
      <c r="T28">
        <f>IF(AND(L28=1,N(D28)&gt;0,E28=""),1,0)</f>
      </c>
      <c r="U28">
        <f>ROUND('Workings'!$C$39*S28,2)</f>
      </c>
      <c r="V28">
        <f>ROUND('Workings'!$D$39*S28,2)</f>
      </c>
      <c r="W28">
        <f>IF(AND(B28="",N(D28)=0),0,IF(OR(C28="",G28=""),1,0))</f>
      </c>
      <c r="X28">
        <f>IF(S28&gt;0,COUNTIF(S$22:S28,"&gt;0"),0)</f>
      </c>
      <c r="Y28">
        <f>IF(AND(G28="Estate (residue)",H28&lt;&gt;"Yes",OR(C28="Shares and unit trusts",C28="Other investment",C28="Tax-free investment")),N(D28),0)</f>
      </c>
      <c r="Z28">
        <f>IF(AND(G28="Spouse",H28&lt;&gt;"Yes",OR(C28="Shares and unit trusts",C28="Other investment",C28="Tax-free investment")),N(D28),0)</f>
      </c>
    </row>
    <row r="29" ht="15" customHeight="1" spans="2:26" x14ac:dyDescent="0.25">
      <c r="B29" s="8"/>
      <c r="C29" s="10"/>
      <c r="D29" s="11"/>
      <c r="E29" s="11"/>
      <c r="F29" s="10"/>
      <c r="G29" s="10"/>
      <c r="H29" s="10"/>
      <c r="I29" s="14"/>
      <c r="J29" s="15">
        <f>IF(L29=1,M29-N29,"")</f>
      </c>
      <c r="L29">
        <f>IF(AND(OR(C29="Property",C29="Shares and unit trusts",C29="Other investment",C29="Business interest"),NOT(AND(OR(G29="Spouse",AND(G29="Estate (residue)",'Inputs'!$C$14="Spouse")),H29&lt;&gt;"Yes"))),1,0)</f>
      </c>
      <c r="M29">
        <f>IF(L29=1,N(D29)-N(E29),0)</f>
      </c>
      <c r="N29">
        <f>IF(AND(L29=1,F29="Yes",M29&gt;0),MIN(M29,'Inputs'!$H$110),0)</f>
      </c>
      <c r="O29">
        <f>IF(OR(C29="Cash and deposits",H29="Yes"),N(D29),0)</f>
      </c>
      <c r="P29">
        <f>IF(C29="Property",ROUND('Inputs'!$C$114/100*N(D29),2),0)</f>
      </c>
      <c r="Q29">
        <f>IF(AND(C29="Property",H29="Yes"),ROUND('Inputs'!$C$115/100*(1+'Inputs'!$C$110/100)*N(D29),2),0)</f>
      </c>
      <c r="R29">
        <f>IF(G29="Spouse",N(D29),0)</f>
      </c>
      <c r="S29">
        <f>IF(G29="Named heir",N(D29),0)</f>
      </c>
      <c r="T29">
        <f>IF(AND(L29=1,N(D29)&gt;0,E29=""),1,0)</f>
      </c>
      <c r="U29">
        <f>ROUND('Workings'!$C$39*S29,2)</f>
      </c>
      <c r="V29">
        <f>ROUND('Workings'!$D$39*S29,2)</f>
      </c>
      <c r="W29">
        <f>IF(AND(B29="",N(D29)=0),0,IF(OR(C29="",G29=""),1,0))</f>
      </c>
      <c r="X29">
        <f>IF(S29&gt;0,COUNTIF(S$22:S29,"&gt;0"),0)</f>
      </c>
      <c r="Y29">
        <f>IF(AND(G29="Estate (residue)",H29&lt;&gt;"Yes",OR(C29="Shares and unit trusts",C29="Other investment",C29="Tax-free investment")),N(D29),0)</f>
      </c>
      <c r="Z29">
        <f>IF(AND(G29="Spouse",H29&lt;&gt;"Yes",OR(C29="Shares and unit trusts",C29="Other investment",C29="Tax-free investment")),N(D29),0)</f>
      </c>
    </row>
    <row r="30" ht="15" customHeight="1" spans="2:26" x14ac:dyDescent="0.25">
      <c r="B30" s="8"/>
      <c r="C30" s="10"/>
      <c r="D30" s="11"/>
      <c r="E30" s="11"/>
      <c r="F30" s="10"/>
      <c r="G30" s="10"/>
      <c r="H30" s="10"/>
      <c r="I30" s="14"/>
      <c r="J30" s="15">
        <f>IF(L30=1,M30-N30,"")</f>
      </c>
      <c r="L30">
        <f>IF(AND(OR(C30="Property",C30="Shares and unit trusts",C30="Other investment",C30="Business interest"),NOT(AND(OR(G30="Spouse",AND(G30="Estate (residue)",'Inputs'!$C$14="Spouse")),H30&lt;&gt;"Yes"))),1,0)</f>
      </c>
      <c r="M30">
        <f>IF(L30=1,N(D30)-N(E30),0)</f>
      </c>
      <c r="N30">
        <f>IF(AND(L30=1,F30="Yes",M30&gt;0),MIN(M30,'Inputs'!$H$110),0)</f>
      </c>
      <c r="O30">
        <f>IF(OR(C30="Cash and deposits",H30="Yes"),N(D30),0)</f>
      </c>
      <c r="P30">
        <f>IF(C30="Property",ROUND('Inputs'!$C$114/100*N(D30),2),0)</f>
      </c>
      <c r="Q30">
        <f>IF(AND(C30="Property",H30="Yes"),ROUND('Inputs'!$C$115/100*(1+'Inputs'!$C$110/100)*N(D30),2),0)</f>
      </c>
      <c r="R30">
        <f>IF(G30="Spouse",N(D30),0)</f>
      </c>
      <c r="S30">
        <f>IF(G30="Named heir",N(D30),0)</f>
      </c>
      <c r="T30">
        <f>IF(AND(L30=1,N(D30)&gt;0,E30=""),1,0)</f>
      </c>
      <c r="U30">
        <f>ROUND('Workings'!$C$39*S30,2)</f>
      </c>
      <c r="V30">
        <f>ROUND('Workings'!$D$39*S30,2)</f>
      </c>
      <c r="W30">
        <f>IF(AND(B30="",N(D30)=0),0,IF(OR(C30="",G30=""),1,0))</f>
      </c>
      <c r="X30">
        <f>IF(S30&gt;0,COUNTIF(S$22:S30,"&gt;0"),0)</f>
      </c>
      <c r="Y30">
        <f>IF(AND(G30="Estate (residue)",H30&lt;&gt;"Yes",OR(C30="Shares and unit trusts",C30="Other investment",C30="Tax-free investment")),N(D30),0)</f>
      </c>
      <c r="Z30">
        <f>IF(AND(G30="Spouse",H30&lt;&gt;"Yes",OR(C30="Shares and unit trusts",C30="Other investment",C30="Tax-free investment")),N(D30),0)</f>
      </c>
    </row>
    <row r="31" ht="15" customHeight="1" spans="2:26" x14ac:dyDescent="0.25">
      <c r="B31" s="8"/>
      <c r="C31" s="10"/>
      <c r="D31" s="11"/>
      <c r="E31" s="11"/>
      <c r="F31" s="10"/>
      <c r="G31" s="10"/>
      <c r="H31" s="10"/>
      <c r="I31" s="14"/>
      <c r="J31" s="15">
        <f>IF(L31=1,M31-N31,"")</f>
      </c>
      <c r="L31">
        <f>IF(AND(OR(C31="Property",C31="Shares and unit trusts",C31="Other investment",C31="Business interest"),NOT(AND(OR(G31="Spouse",AND(G31="Estate (residue)",'Inputs'!$C$14="Spouse")),H31&lt;&gt;"Yes"))),1,0)</f>
      </c>
      <c r="M31">
        <f>IF(L31=1,N(D31)-N(E31),0)</f>
      </c>
      <c r="N31">
        <f>IF(AND(L31=1,F31="Yes",M31&gt;0),MIN(M31,'Inputs'!$H$110),0)</f>
      </c>
      <c r="O31">
        <f>IF(OR(C31="Cash and deposits",H31="Yes"),N(D31),0)</f>
      </c>
      <c r="P31">
        <f>IF(C31="Property",ROUND('Inputs'!$C$114/100*N(D31),2),0)</f>
      </c>
      <c r="Q31">
        <f>IF(AND(C31="Property",H31="Yes"),ROUND('Inputs'!$C$115/100*(1+'Inputs'!$C$110/100)*N(D31),2),0)</f>
      </c>
      <c r="R31">
        <f>IF(G31="Spouse",N(D31),0)</f>
      </c>
      <c r="S31">
        <f>IF(G31="Named heir",N(D31),0)</f>
      </c>
      <c r="T31">
        <f>IF(AND(L31=1,N(D31)&gt;0,E31=""),1,0)</f>
      </c>
      <c r="U31">
        <f>ROUND('Workings'!$C$39*S31,2)</f>
      </c>
      <c r="V31">
        <f>ROUND('Workings'!$D$39*S31,2)</f>
      </c>
      <c r="W31">
        <f>IF(AND(B31="",N(D31)=0),0,IF(OR(C31="",G31=""),1,0))</f>
      </c>
      <c r="X31">
        <f>IF(S31&gt;0,COUNTIF(S$22:S31,"&gt;0"),0)</f>
      </c>
      <c r="Y31">
        <f>IF(AND(G31="Estate (residue)",H31&lt;&gt;"Yes",OR(C31="Shares and unit trusts",C31="Other investment",C31="Tax-free investment")),N(D31),0)</f>
      </c>
      <c r="Z31">
        <f>IF(AND(G31="Spouse",H31&lt;&gt;"Yes",OR(C31="Shares and unit trusts",C31="Other investment",C31="Tax-free investment")),N(D31),0)</f>
      </c>
    </row>
    <row r="32" ht="15" customHeight="1" spans="2:26" x14ac:dyDescent="0.25">
      <c r="B32" s="8"/>
      <c r="C32" s="10"/>
      <c r="D32" s="11"/>
      <c r="E32" s="11"/>
      <c r="F32" s="10"/>
      <c r="G32" s="10"/>
      <c r="H32" s="10"/>
      <c r="I32" s="14"/>
      <c r="J32" s="15">
        <f>IF(L32=1,M32-N32,"")</f>
      </c>
      <c r="L32">
        <f>IF(AND(OR(C32="Property",C32="Shares and unit trusts",C32="Other investment",C32="Business interest"),NOT(AND(OR(G32="Spouse",AND(G32="Estate (residue)",'Inputs'!$C$14="Spouse")),H32&lt;&gt;"Yes"))),1,0)</f>
      </c>
      <c r="M32">
        <f>IF(L32=1,N(D32)-N(E32),0)</f>
      </c>
      <c r="N32">
        <f>IF(AND(L32=1,F32="Yes",M32&gt;0),MIN(M32,'Inputs'!$H$110),0)</f>
      </c>
      <c r="O32">
        <f>IF(OR(C32="Cash and deposits",H32="Yes"),N(D32),0)</f>
      </c>
      <c r="P32">
        <f>IF(C32="Property",ROUND('Inputs'!$C$114/100*N(D32),2),0)</f>
      </c>
      <c r="Q32">
        <f>IF(AND(C32="Property",H32="Yes"),ROUND('Inputs'!$C$115/100*(1+'Inputs'!$C$110/100)*N(D32),2),0)</f>
      </c>
      <c r="R32">
        <f>IF(G32="Spouse",N(D32),0)</f>
      </c>
      <c r="S32">
        <f>IF(G32="Named heir",N(D32),0)</f>
      </c>
      <c r="T32">
        <f>IF(AND(L32=1,N(D32)&gt;0,E32=""),1,0)</f>
      </c>
      <c r="U32">
        <f>ROUND('Workings'!$C$39*S32,2)</f>
      </c>
      <c r="V32">
        <f>ROUND('Workings'!$D$39*S32,2)</f>
      </c>
      <c r="W32">
        <f>IF(AND(B32="",N(D32)=0),0,IF(OR(C32="",G32=""),1,0))</f>
      </c>
      <c r="X32">
        <f>IF(S32&gt;0,COUNTIF(S$22:S32,"&gt;0"),0)</f>
      </c>
      <c r="Y32">
        <f>IF(AND(G32="Estate (residue)",H32&lt;&gt;"Yes",OR(C32="Shares and unit trusts",C32="Other investment",C32="Tax-free investment")),N(D32),0)</f>
      </c>
      <c r="Z32">
        <f>IF(AND(G32="Spouse",H32&lt;&gt;"Yes",OR(C32="Shares and unit trusts",C32="Other investment",C32="Tax-free investment")),N(D32),0)</f>
      </c>
    </row>
    <row r="33" ht="15" customHeight="1" spans="2:26" x14ac:dyDescent="0.25">
      <c r="B33" s="8"/>
      <c r="C33" s="10"/>
      <c r="D33" s="11"/>
      <c r="E33" s="11"/>
      <c r="F33" s="10"/>
      <c r="G33" s="10"/>
      <c r="H33" s="10"/>
      <c r="I33" s="14"/>
      <c r="J33" s="15">
        <f>IF(L33=1,M33-N33,"")</f>
      </c>
      <c r="L33">
        <f>IF(AND(OR(C33="Property",C33="Shares and unit trusts",C33="Other investment",C33="Business interest"),NOT(AND(OR(G33="Spouse",AND(G33="Estate (residue)",'Inputs'!$C$14="Spouse")),H33&lt;&gt;"Yes"))),1,0)</f>
      </c>
      <c r="M33">
        <f>IF(L33=1,N(D33)-N(E33),0)</f>
      </c>
      <c r="N33">
        <f>IF(AND(L33=1,F33="Yes",M33&gt;0),MIN(M33,'Inputs'!$H$110),0)</f>
      </c>
      <c r="O33">
        <f>IF(OR(C33="Cash and deposits",H33="Yes"),N(D33),0)</f>
      </c>
      <c r="P33">
        <f>IF(C33="Property",ROUND('Inputs'!$C$114/100*N(D33),2),0)</f>
      </c>
      <c r="Q33">
        <f>IF(AND(C33="Property",H33="Yes"),ROUND('Inputs'!$C$115/100*(1+'Inputs'!$C$110/100)*N(D33),2),0)</f>
      </c>
      <c r="R33">
        <f>IF(G33="Spouse",N(D33),0)</f>
      </c>
      <c r="S33">
        <f>IF(G33="Named heir",N(D33),0)</f>
      </c>
      <c r="T33">
        <f>IF(AND(L33=1,N(D33)&gt;0,E33=""),1,0)</f>
      </c>
      <c r="U33">
        <f>ROUND('Workings'!$C$39*S33,2)</f>
      </c>
      <c r="V33">
        <f>ROUND('Workings'!$D$39*S33,2)</f>
      </c>
      <c r="W33">
        <f>IF(AND(B33="",N(D33)=0),0,IF(OR(C33="",G33=""),1,0))</f>
      </c>
      <c r="X33">
        <f>IF(S33&gt;0,COUNTIF(S$22:S33,"&gt;0"),0)</f>
      </c>
      <c r="Y33">
        <f>IF(AND(G33="Estate (residue)",H33&lt;&gt;"Yes",OR(C33="Shares and unit trusts",C33="Other investment",C33="Tax-free investment")),N(D33),0)</f>
      </c>
      <c r="Z33">
        <f>IF(AND(G33="Spouse",H33&lt;&gt;"Yes",OR(C33="Shares and unit trusts",C33="Other investment",C33="Tax-free investment")),N(D33),0)</f>
      </c>
    </row>
    <row r="34" ht="15" customHeight="1" spans="2:26" x14ac:dyDescent="0.25">
      <c r="B34" s="8"/>
      <c r="C34" s="10"/>
      <c r="D34" s="11"/>
      <c r="E34" s="11"/>
      <c r="F34" s="10"/>
      <c r="G34" s="10"/>
      <c r="H34" s="10"/>
      <c r="I34" s="14"/>
      <c r="J34" s="15">
        <f>IF(L34=1,M34-N34,"")</f>
      </c>
      <c r="L34">
        <f>IF(AND(OR(C34="Property",C34="Shares and unit trusts",C34="Other investment",C34="Business interest"),NOT(AND(OR(G34="Spouse",AND(G34="Estate (residue)",'Inputs'!$C$14="Spouse")),H34&lt;&gt;"Yes"))),1,0)</f>
      </c>
      <c r="M34">
        <f>IF(L34=1,N(D34)-N(E34),0)</f>
      </c>
      <c r="N34">
        <f>IF(AND(L34=1,F34="Yes",M34&gt;0),MIN(M34,'Inputs'!$H$110),0)</f>
      </c>
      <c r="O34">
        <f>IF(OR(C34="Cash and deposits",H34="Yes"),N(D34),0)</f>
      </c>
      <c r="P34">
        <f>IF(C34="Property",ROUND('Inputs'!$C$114/100*N(D34),2),0)</f>
      </c>
      <c r="Q34">
        <f>IF(AND(C34="Property",H34="Yes"),ROUND('Inputs'!$C$115/100*(1+'Inputs'!$C$110/100)*N(D34),2),0)</f>
      </c>
      <c r="R34">
        <f>IF(G34="Spouse",N(D34),0)</f>
      </c>
      <c r="S34">
        <f>IF(G34="Named heir",N(D34),0)</f>
      </c>
      <c r="T34">
        <f>IF(AND(L34=1,N(D34)&gt;0,E34=""),1,0)</f>
      </c>
      <c r="U34">
        <f>ROUND('Workings'!$C$39*S34,2)</f>
      </c>
      <c r="V34">
        <f>ROUND('Workings'!$D$39*S34,2)</f>
      </c>
      <c r="W34">
        <f>IF(AND(B34="",N(D34)=0),0,IF(OR(C34="",G34=""),1,0))</f>
      </c>
      <c r="X34">
        <f>IF(S34&gt;0,COUNTIF(S$22:S34,"&gt;0"),0)</f>
      </c>
      <c r="Y34">
        <f>IF(AND(G34="Estate (residue)",H34&lt;&gt;"Yes",OR(C34="Shares and unit trusts",C34="Other investment",C34="Tax-free investment")),N(D34),0)</f>
      </c>
      <c r="Z34">
        <f>IF(AND(G34="Spouse",H34&lt;&gt;"Yes",OR(C34="Shares and unit trusts",C34="Other investment",C34="Tax-free investment")),N(D34),0)</f>
      </c>
    </row>
    <row r="35" ht="15" customHeight="1" spans="2:26" x14ac:dyDescent="0.25">
      <c r="B35" s="8"/>
      <c r="C35" s="10"/>
      <c r="D35" s="11"/>
      <c r="E35" s="11"/>
      <c r="F35" s="10"/>
      <c r="G35" s="10"/>
      <c r="H35" s="10"/>
      <c r="I35" s="14"/>
      <c r="J35" s="15">
        <f>IF(L35=1,M35-N35,"")</f>
      </c>
      <c r="L35">
        <f>IF(AND(OR(C35="Property",C35="Shares and unit trusts",C35="Other investment",C35="Business interest"),NOT(AND(OR(G35="Spouse",AND(G35="Estate (residue)",'Inputs'!$C$14="Spouse")),H35&lt;&gt;"Yes"))),1,0)</f>
      </c>
      <c r="M35">
        <f>IF(L35=1,N(D35)-N(E35),0)</f>
      </c>
      <c r="N35">
        <f>IF(AND(L35=1,F35="Yes",M35&gt;0),MIN(M35,'Inputs'!$H$110),0)</f>
      </c>
      <c r="O35">
        <f>IF(OR(C35="Cash and deposits",H35="Yes"),N(D35),0)</f>
      </c>
      <c r="P35">
        <f>IF(C35="Property",ROUND('Inputs'!$C$114/100*N(D35),2),0)</f>
      </c>
      <c r="Q35">
        <f>IF(AND(C35="Property",H35="Yes"),ROUND('Inputs'!$C$115/100*(1+'Inputs'!$C$110/100)*N(D35),2),0)</f>
      </c>
      <c r="R35">
        <f>IF(G35="Spouse",N(D35),0)</f>
      </c>
      <c r="S35">
        <f>IF(G35="Named heir",N(D35),0)</f>
      </c>
      <c r="T35">
        <f>IF(AND(L35=1,N(D35)&gt;0,E35=""),1,0)</f>
      </c>
      <c r="U35">
        <f>ROUND('Workings'!$C$39*S35,2)</f>
      </c>
      <c r="V35">
        <f>ROUND('Workings'!$D$39*S35,2)</f>
      </c>
      <c r="W35">
        <f>IF(AND(B35="",N(D35)=0),0,IF(OR(C35="",G35=""),1,0))</f>
      </c>
      <c r="X35">
        <f>IF(S35&gt;0,COUNTIF(S$22:S35,"&gt;0"),0)</f>
      </c>
      <c r="Y35">
        <f>IF(AND(G35="Estate (residue)",H35&lt;&gt;"Yes",OR(C35="Shares and unit trusts",C35="Other investment",C35="Tax-free investment")),N(D35),0)</f>
      </c>
      <c r="Z35">
        <f>IF(AND(G35="Spouse",H35&lt;&gt;"Yes",OR(C35="Shares and unit trusts",C35="Other investment",C35="Tax-free investment")),N(D35),0)</f>
      </c>
    </row>
    <row r="36" ht="15" customHeight="1" spans="2:26" x14ac:dyDescent="0.25">
      <c r="B36" s="8"/>
      <c r="C36" s="10"/>
      <c r="D36" s="11"/>
      <c r="E36" s="11"/>
      <c r="F36" s="10"/>
      <c r="G36" s="10"/>
      <c r="H36" s="10"/>
      <c r="I36" s="14"/>
      <c r="J36" s="15">
        <f>IF(L36=1,M36-N36,"")</f>
      </c>
      <c r="L36">
        <f>IF(AND(OR(C36="Property",C36="Shares and unit trusts",C36="Other investment",C36="Business interest"),NOT(AND(OR(G36="Spouse",AND(G36="Estate (residue)",'Inputs'!$C$14="Spouse")),H36&lt;&gt;"Yes"))),1,0)</f>
      </c>
      <c r="M36">
        <f>IF(L36=1,N(D36)-N(E36),0)</f>
      </c>
      <c r="N36">
        <f>IF(AND(L36=1,F36="Yes",M36&gt;0),MIN(M36,'Inputs'!$H$110),0)</f>
      </c>
      <c r="O36">
        <f>IF(OR(C36="Cash and deposits",H36="Yes"),N(D36),0)</f>
      </c>
      <c r="P36">
        <f>IF(C36="Property",ROUND('Inputs'!$C$114/100*N(D36),2),0)</f>
      </c>
      <c r="Q36">
        <f>IF(AND(C36="Property",H36="Yes"),ROUND('Inputs'!$C$115/100*(1+'Inputs'!$C$110/100)*N(D36),2),0)</f>
      </c>
      <c r="R36">
        <f>IF(G36="Spouse",N(D36),0)</f>
      </c>
      <c r="S36">
        <f>IF(G36="Named heir",N(D36),0)</f>
      </c>
      <c r="T36">
        <f>IF(AND(L36=1,N(D36)&gt;0,E36=""),1,0)</f>
      </c>
      <c r="U36">
        <f>ROUND('Workings'!$C$39*S36,2)</f>
      </c>
      <c r="V36">
        <f>ROUND('Workings'!$D$39*S36,2)</f>
      </c>
      <c r="W36">
        <f>IF(AND(B36="",N(D36)=0),0,IF(OR(C36="",G36=""),1,0))</f>
      </c>
      <c r="X36">
        <f>IF(S36&gt;0,COUNTIF(S$22:S36,"&gt;0"),0)</f>
      </c>
      <c r="Y36">
        <f>IF(AND(G36="Estate (residue)",H36&lt;&gt;"Yes",OR(C36="Shares and unit trusts",C36="Other investment",C36="Tax-free investment")),N(D36),0)</f>
      </c>
      <c r="Z36">
        <f>IF(AND(G36="Spouse",H36&lt;&gt;"Yes",OR(C36="Shares and unit trusts",C36="Other investment",C36="Tax-free investment")),N(D36),0)</f>
      </c>
    </row>
    <row r="37" ht="15" customHeight="1" spans="2:26" x14ac:dyDescent="0.25">
      <c r="B37" s="8"/>
      <c r="C37" s="10"/>
      <c r="D37" s="11"/>
      <c r="E37" s="11"/>
      <c r="F37" s="10"/>
      <c r="G37" s="10"/>
      <c r="H37" s="10"/>
      <c r="I37" s="14"/>
      <c r="J37" s="15">
        <f>IF(L37=1,M37-N37,"")</f>
      </c>
      <c r="L37">
        <f>IF(AND(OR(C37="Property",C37="Shares and unit trusts",C37="Other investment",C37="Business interest"),NOT(AND(OR(G37="Spouse",AND(G37="Estate (residue)",'Inputs'!$C$14="Spouse")),H37&lt;&gt;"Yes"))),1,0)</f>
      </c>
      <c r="M37">
        <f>IF(L37=1,N(D37)-N(E37),0)</f>
      </c>
      <c r="N37">
        <f>IF(AND(L37=1,F37="Yes",M37&gt;0),MIN(M37,'Inputs'!$H$110),0)</f>
      </c>
      <c r="O37">
        <f>IF(OR(C37="Cash and deposits",H37="Yes"),N(D37),0)</f>
      </c>
      <c r="P37">
        <f>IF(C37="Property",ROUND('Inputs'!$C$114/100*N(D37),2),0)</f>
      </c>
      <c r="Q37">
        <f>IF(AND(C37="Property",H37="Yes"),ROUND('Inputs'!$C$115/100*(1+'Inputs'!$C$110/100)*N(D37),2),0)</f>
      </c>
      <c r="R37">
        <f>IF(G37="Spouse",N(D37),0)</f>
      </c>
      <c r="S37">
        <f>IF(G37="Named heir",N(D37),0)</f>
      </c>
      <c r="T37">
        <f>IF(AND(L37=1,N(D37)&gt;0,E37=""),1,0)</f>
      </c>
      <c r="U37">
        <f>ROUND('Workings'!$C$39*S37,2)</f>
      </c>
      <c r="V37">
        <f>ROUND('Workings'!$D$39*S37,2)</f>
      </c>
      <c r="W37">
        <f>IF(AND(B37="",N(D37)=0),0,IF(OR(C37="",G37=""),1,0))</f>
      </c>
      <c r="X37">
        <f>IF(S37&gt;0,COUNTIF(S$22:S37,"&gt;0"),0)</f>
      </c>
      <c r="Y37">
        <f>IF(AND(G37="Estate (residue)",H37&lt;&gt;"Yes",OR(C37="Shares and unit trusts",C37="Other investment",C37="Tax-free investment")),N(D37),0)</f>
      </c>
      <c r="Z37">
        <f>IF(AND(G37="Spouse",H37&lt;&gt;"Yes",OR(C37="Shares and unit trusts",C37="Other investment",C37="Tax-free investment")),N(D37),0)</f>
      </c>
    </row>
    <row r="38" ht="15" customHeight="1" spans="2:26" x14ac:dyDescent="0.25">
      <c r="B38" s="8"/>
      <c r="C38" s="10"/>
      <c r="D38" s="11"/>
      <c r="E38" s="11"/>
      <c r="F38" s="10"/>
      <c r="G38" s="10"/>
      <c r="H38" s="10"/>
      <c r="I38" s="14"/>
      <c r="J38" s="15">
        <f>IF(L38=1,M38-N38,"")</f>
      </c>
      <c r="L38">
        <f>IF(AND(OR(C38="Property",C38="Shares and unit trusts",C38="Other investment",C38="Business interest"),NOT(AND(OR(G38="Spouse",AND(G38="Estate (residue)",'Inputs'!$C$14="Spouse")),H38&lt;&gt;"Yes"))),1,0)</f>
      </c>
      <c r="M38">
        <f>IF(L38=1,N(D38)-N(E38),0)</f>
      </c>
      <c r="N38">
        <f>IF(AND(L38=1,F38="Yes",M38&gt;0),MIN(M38,'Inputs'!$H$110),0)</f>
      </c>
      <c r="O38">
        <f>IF(OR(C38="Cash and deposits",H38="Yes"),N(D38),0)</f>
      </c>
      <c r="P38">
        <f>IF(C38="Property",ROUND('Inputs'!$C$114/100*N(D38),2),0)</f>
      </c>
      <c r="Q38">
        <f>IF(AND(C38="Property",H38="Yes"),ROUND('Inputs'!$C$115/100*(1+'Inputs'!$C$110/100)*N(D38),2),0)</f>
      </c>
      <c r="R38">
        <f>IF(G38="Spouse",N(D38),0)</f>
      </c>
      <c r="S38">
        <f>IF(G38="Named heir",N(D38),0)</f>
      </c>
      <c r="T38">
        <f>IF(AND(L38=1,N(D38)&gt;0,E38=""),1,0)</f>
      </c>
      <c r="U38">
        <f>ROUND('Workings'!$C$39*S38,2)</f>
      </c>
      <c r="V38">
        <f>ROUND('Workings'!$D$39*S38,2)</f>
      </c>
      <c r="W38">
        <f>IF(AND(B38="",N(D38)=0),0,IF(OR(C38="",G38=""),1,0))</f>
      </c>
      <c r="X38">
        <f>IF(S38&gt;0,COUNTIF(S$22:S38,"&gt;0"),0)</f>
      </c>
      <c r="Y38">
        <f>IF(AND(G38="Estate (residue)",H38&lt;&gt;"Yes",OR(C38="Shares and unit trusts",C38="Other investment",C38="Tax-free investment")),N(D38),0)</f>
      </c>
      <c r="Z38">
        <f>IF(AND(G38="Spouse",H38&lt;&gt;"Yes",OR(C38="Shares and unit trusts",C38="Other investment",C38="Tax-free investment")),N(D38),0)</f>
      </c>
    </row>
    <row r="39" ht="15" customHeight="1" spans="2:26" x14ac:dyDescent="0.25">
      <c r="B39" s="8"/>
      <c r="C39" s="10"/>
      <c r="D39" s="11"/>
      <c r="E39" s="11"/>
      <c r="F39" s="10"/>
      <c r="G39" s="10"/>
      <c r="H39" s="10"/>
      <c r="I39" s="14"/>
      <c r="J39" s="15">
        <f>IF(L39=1,M39-N39,"")</f>
      </c>
      <c r="L39">
        <f>IF(AND(OR(C39="Property",C39="Shares and unit trusts",C39="Other investment",C39="Business interest"),NOT(AND(OR(G39="Spouse",AND(G39="Estate (residue)",'Inputs'!$C$14="Spouse")),H39&lt;&gt;"Yes"))),1,0)</f>
      </c>
      <c r="M39">
        <f>IF(L39=1,N(D39)-N(E39),0)</f>
      </c>
      <c r="N39">
        <f>IF(AND(L39=1,F39="Yes",M39&gt;0),MIN(M39,'Inputs'!$H$110),0)</f>
      </c>
      <c r="O39">
        <f>IF(OR(C39="Cash and deposits",H39="Yes"),N(D39),0)</f>
      </c>
      <c r="P39">
        <f>IF(C39="Property",ROUND('Inputs'!$C$114/100*N(D39),2),0)</f>
      </c>
      <c r="Q39">
        <f>IF(AND(C39="Property",H39="Yes"),ROUND('Inputs'!$C$115/100*(1+'Inputs'!$C$110/100)*N(D39),2),0)</f>
      </c>
      <c r="R39">
        <f>IF(G39="Spouse",N(D39),0)</f>
      </c>
      <c r="S39">
        <f>IF(G39="Named heir",N(D39),0)</f>
      </c>
      <c r="T39">
        <f>IF(AND(L39=1,N(D39)&gt;0,E39=""),1,0)</f>
      </c>
      <c r="U39">
        <f>ROUND('Workings'!$C$39*S39,2)</f>
      </c>
      <c r="V39">
        <f>ROUND('Workings'!$D$39*S39,2)</f>
      </c>
      <c r="W39">
        <f>IF(AND(B39="",N(D39)=0),0,IF(OR(C39="",G39=""),1,0))</f>
      </c>
      <c r="X39">
        <f>IF(S39&gt;0,COUNTIF(S$22:S39,"&gt;0"),0)</f>
      </c>
      <c r="Y39">
        <f>IF(AND(G39="Estate (residue)",H39&lt;&gt;"Yes",OR(C39="Shares and unit trusts",C39="Other investment",C39="Tax-free investment")),N(D39),0)</f>
      </c>
      <c r="Z39">
        <f>IF(AND(G39="Spouse",H39&lt;&gt;"Yes",OR(C39="Shares and unit trusts",C39="Other investment",C39="Tax-free investment")),N(D39),0)</f>
      </c>
    </row>
    <row r="40" ht="26" customHeight="1" spans="2:10" x14ac:dyDescent="0.25">
      <c r="B40" s="16" t="s">
        <v>80</v>
      </c>
      <c r="C40" s="16"/>
      <c r="D40" s="16"/>
      <c r="E40" s="16"/>
      <c r="F40" s="16"/>
      <c r="G40" s="16"/>
      <c r="H40" s="16"/>
      <c r="I40" s="16"/>
      <c r="J40" s="16"/>
    </row>
    <row r="42" ht="18" customHeight="1" spans="2:10" x14ac:dyDescent="0.25">
      <c r="B42" s="5" t="s">
        <v>81</v>
      </c>
      <c r="C42" s="6"/>
      <c r="D42" s="6"/>
      <c r="E42" s="6"/>
      <c r="F42" s="6"/>
      <c r="G42" s="6"/>
      <c r="H42" s="6"/>
      <c r="I42" s="6"/>
      <c r="J42" s="6"/>
    </row>
    <row r="43" hidden="1" spans="2:9" x14ac:dyDescent="0.25">
      <c r="B43" t="s">
        <v>65</v>
      </c>
      <c r="D43" t="s">
        <v>82</v>
      </c>
      <c r="I43" t="s">
        <v>70</v>
      </c>
    </row>
    <row r="44" ht="22" customHeight="1" spans="2:9" x14ac:dyDescent="0.25">
      <c r="B44" s="12" t="s">
        <v>83</v>
      </c>
      <c r="D44" s="13" t="s">
        <v>84</v>
      </c>
      <c r="I44" s="12" t="s">
        <v>78</v>
      </c>
    </row>
    <row r="45" spans="2:9" x14ac:dyDescent="0.25">
      <c r="B45" s="8"/>
      <c r="D45" s="11"/>
      <c r="I45" s="14"/>
    </row>
    <row r="46" spans="2:9" x14ac:dyDescent="0.25">
      <c r="B46" s="8"/>
      <c r="D46" s="11"/>
      <c r="I46" s="14"/>
    </row>
    <row r="47" spans="2:9" x14ac:dyDescent="0.25">
      <c r="B47" s="8"/>
      <c r="D47" s="11"/>
      <c r="I47" s="14"/>
    </row>
    <row r="48" spans="2:9" x14ac:dyDescent="0.25">
      <c r="B48" s="8"/>
      <c r="D48" s="11"/>
      <c r="I48" s="14"/>
    </row>
    <row r="49" spans="2:9" x14ac:dyDescent="0.25">
      <c r="B49" s="8"/>
      <c r="D49" s="11"/>
      <c r="I49" s="14"/>
    </row>
    <row r="50" spans="2:9" x14ac:dyDescent="0.25">
      <c r="B50" s="8"/>
      <c r="D50" s="11"/>
      <c r="I50" s="14"/>
    </row>
    <row r="51" spans="2:9" x14ac:dyDescent="0.25">
      <c r="B51" s="8"/>
      <c r="D51" s="11"/>
      <c r="I51" s="14"/>
    </row>
    <row r="52" spans="2:9" x14ac:dyDescent="0.25">
      <c r="B52" s="8"/>
      <c r="D52" s="11"/>
      <c r="I52" s="14"/>
    </row>
    <row r="53" spans="2:9" x14ac:dyDescent="0.25">
      <c r="B53" s="8"/>
      <c r="D53" s="11"/>
      <c r="I53" s="14"/>
    </row>
    <row r="54" spans="2:9" x14ac:dyDescent="0.25">
      <c r="B54" s="8"/>
      <c r="D54" s="11"/>
      <c r="I54" s="14"/>
    </row>
    <row r="56" ht="18" customHeight="1" spans="2:10" x14ac:dyDescent="0.25">
      <c r="B56" s="5" t="s">
        <v>85</v>
      </c>
      <c r="C56" s="6"/>
      <c r="D56" s="6"/>
      <c r="E56" s="6"/>
      <c r="F56" s="6"/>
      <c r="G56" s="6"/>
      <c r="H56" s="6"/>
      <c r="I56" s="6"/>
      <c r="J56" s="6"/>
    </row>
    <row r="57" hidden="1" spans="2:9" x14ac:dyDescent="0.25">
      <c r="B57" t="s">
        <v>65</v>
      </c>
      <c r="C57" t="s">
        <v>2</v>
      </c>
      <c r="D57" t="s">
        <v>82</v>
      </c>
      <c r="E57" t="s">
        <v>86</v>
      </c>
      <c r="F57" t="s">
        <v>87</v>
      </c>
      <c r="I57" t="s">
        <v>70</v>
      </c>
    </row>
    <row r="58" ht="30" customHeight="1" spans="2:9" x14ac:dyDescent="0.25">
      <c r="B58" s="12" t="s">
        <v>88</v>
      </c>
      <c r="C58" s="12" t="s">
        <v>89</v>
      </c>
      <c r="D58" s="13" t="s">
        <v>90</v>
      </c>
      <c r="E58" s="12" t="s">
        <v>91</v>
      </c>
      <c r="F58" s="12" t="s">
        <v>92</v>
      </c>
      <c r="G58" s="12"/>
      <c r="H58" s="12"/>
      <c r="I58" s="12" t="s">
        <v>78</v>
      </c>
    </row>
    <row r="59" spans="2:18" x14ac:dyDescent="0.25">
      <c r="B59" s="8"/>
      <c r="C59" s="10"/>
      <c r="D59" s="11"/>
      <c r="E59" s="10"/>
      <c r="F59" s="14"/>
      <c r="G59" s="14"/>
      <c r="H59" s="14"/>
      <c r="I59" s="14"/>
      <c r="L59">
        <f>IF(AND(C59="Named person",E59&lt;&gt;"No"),N(D59),0)</f>
      </c>
      <c r="M59">
        <f>ROUND('Workings'!$C$39*L59,2)</f>
      </c>
      <c r="N59">
        <f>ROUND('Workings'!$D$39*L59,2)</f>
      </c>
      <c r="O59">
        <f>IF(L59&gt;0,COUNTIF(S$22:S$39,"&gt;0")+COUNTIF(L$59:L59,"&gt;0"),0)</f>
      </c>
      <c r="P59">
        <v>1</v>
      </c>
      <c r="Q59">
        <f>IF(AND(F59="The children's trust",C59&lt;&gt;"Estate",C59&lt;&gt;""),1,0)</f>
      </c>
      <c r="R59">
        <f>IF(L59&gt;0,1,0)</f>
      </c>
    </row>
    <row r="60" spans="2:18" x14ac:dyDescent="0.25">
      <c r="B60" s="8"/>
      <c r="C60" s="10"/>
      <c r="D60" s="11"/>
      <c r="E60" s="10"/>
      <c r="F60" s="14"/>
      <c r="G60" s="14"/>
      <c r="H60" s="14"/>
      <c r="I60" s="14"/>
      <c r="L60">
        <f>IF(AND(C60="Named person",E60&lt;&gt;"No"),N(D60),0)</f>
      </c>
      <c r="M60">
        <f>ROUND('Workings'!$C$39*L60,2)</f>
      </c>
      <c r="N60">
        <f>ROUND('Workings'!$D$39*L60,2)</f>
      </c>
      <c r="O60">
        <f>IF(L60&gt;0,COUNTIF(S$22:S$39,"&gt;0")+COUNTIF(L$59:L60,"&gt;0"),0)</f>
      </c>
      <c r="P60">
        <v>2</v>
      </c>
      <c r="Q60">
        <f>IF(AND(F60="The children's trust",C60&lt;&gt;"Estate",C60&lt;&gt;""),1,0)</f>
      </c>
      <c r="R60">
        <f>IF(L60&gt;0,1,0)</f>
      </c>
    </row>
    <row r="61" spans="2:18" x14ac:dyDescent="0.25">
      <c r="B61" s="8"/>
      <c r="C61" s="10"/>
      <c r="D61" s="11"/>
      <c r="E61" s="10"/>
      <c r="F61" s="14"/>
      <c r="G61" s="14"/>
      <c r="H61" s="14"/>
      <c r="I61" s="14"/>
      <c r="L61">
        <f>IF(AND(C61="Named person",E61&lt;&gt;"No"),N(D61),0)</f>
      </c>
      <c r="M61">
        <f>ROUND('Workings'!$C$39*L61,2)</f>
      </c>
      <c r="N61">
        <f>ROUND('Workings'!$D$39*L61,2)</f>
      </c>
      <c r="O61">
        <f>IF(L61&gt;0,COUNTIF(S$22:S$39,"&gt;0")+COUNTIF(L$59:L61,"&gt;0"),0)</f>
      </c>
      <c r="P61">
        <v>3</v>
      </c>
      <c r="Q61">
        <f>IF(AND(F61="The children's trust",C61&lt;&gt;"Estate",C61&lt;&gt;""),1,0)</f>
      </c>
      <c r="R61">
        <f>IF(L61&gt;0,1,0)</f>
      </c>
    </row>
    <row r="62" spans="2:18" x14ac:dyDescent="0.25">
      <c r="B62" s="8"/>
      <c r="C62" s="10"/>
      <c r="D62" s="11"/>
      <c r="E62" s="10"/>
      <c r="F62" s="14"/>
      <c r="G62" s="14"/>
      <c r="H62" s="14"/>
      <c r="I62" s="14"/>
      <c r="L62">
        <f>IF(AND(C62="Named person",E62&lt;&gt;"No"),N(D62),0)</f>
      </c>
      <c r="M62">
        <f>ROUND('Workings'!$C$39*L62,2)</f>
      </c>
      <c r="N62">
        <f>ROUND('Workings'!$D$39*L62,2)</f>
      </c>
      <c r="O62">
        <f>IF(L62&gt;0,COUNTIF(S$22:S$39,"&gt;0")+COUNTIF(L$59:L62,"&gt;0"),0)</f>
      </c>
      <c r="P62">
        <v>4</v>
      </c>
      <c r="Q62">
        <f>IF(AND(F62="The children's trust",C62&lt;&gt;"Estate",C62&lt;&gt;""),1,0)</f>
      </c>
      <c r="R62">
        <f>IF(L62&gt;0,1,0)</f>
      </c>
    </row>
    <row r="63" spans="2:18" x14ac:dyDescent="0.25">
      <c r="B63" s="8"/>
      <c r="C63" s="10"/>
      <c r="D63" s="11"/>
      <c r="E63" s="10"/>
      <c r="F63" s="14"/>
      <c r="G63" s="14"/>
      <c r="H63" s="14"/>
      <c r="I63" s="14"/>
      <c r="L63">
        <f>IF(AND(C63="Named person",E63&lt;&gt;"No"),N(D63),0)</f>
      </c>
      <c r="M63">
        <f>ROUND('Workings'!$C$39*L63,2)</f>
      </c>
      <c r="N63">
        <f>ROUND('Workings'!$D$39*L63,2)</f>
      </c>
      <c r="O63">
        <f>IF(L63&gt;0,COUNTIF(S$22:S$39,"&gt;0")+COUNTIF(L$59:L63,"&gt;0"),0)</f>
      </c>
      <c r="P63">
        <v>5</v>
      </c>
      <c r="Q63">
        <f>IF(AND(F63="The children's trust",C63&lt;&gt;"Estate",C63&lt;&gt;""),1,0)</f>
      </c>
      <c r="R63">
        <f>IF(L63&gt;0,1,0)</f>
      </c>
    </row>
    <row r="64" spans="2:18" x14ac:dyDescent="0.25">
      <c r="B64" s="8"/>
      <c r="C64" s="10"/>
      <c r="D64" s="11"/>
      <c r="E64" s="10"/>
      <c r="F64" s="14"/>
      <c r="G64" s="14"/>
      <c r="H64" s="14"/>
      <c r="I64" s="14"/>
      <c r="L64">
        <f>IF(AND(C64="Named person",E64&lt;&gt;"No"),N(D64),0)</f>
      </c>
      <c r="M64">
        <f>ROUND('Workings'!$C$39*L64,2)</f>
      </c>
      <c r="N64">
        <f>ROUND('Workings'!$D$39*L64,2)</f>
      </c>
      <c r="O64">
        <f>IF(L64&gt;0,COUNTIF(S$22:S$39,"&gt;0")+COUNTIF(L$59:L64,"&gt;0"),0)</f>
      </c>
      <c r="P64">
        <v>6</v>
      </c>
      <c r="Q64">
        <f>IF(AND(F64="The children's trust",C64&lt;&gt;"Estate",C64&lt;&gt;""),1,0)</f>
      </c>
      <c r="R64">
        <f>IF(L64&gt;0,1,0)</f>
      </c>
    </row>
    <row r="65" spans="2:18" x14ac:dyDescent="0.25">
      <c r="B65" s="8"/>
      <c r="C65" s="10"/>
      <c r="D65" s="11"/>
      <c r="E65" s="10"/>
      <c r="F65" s="14"/>
      <c r="G65" s="14"/>
      <c r="H65" s="14"/>
      <c r="I65" s="14"/>
      <c r="L65">
        <f>IF(AND(C65="Named person",E65&lt;&gt;"No"),N(D65),0)</f>
      </c>
      <c r="M65">
        <f>ROUND('Workings'!$C$39*L65,2)</f>
      </c>
      <c r="N65">
        <f>ROUND('Workings'!$D$39*L65,2)</f>
      </c>
      <c r="O65">
        <f>IF(L65&gt;0,COUNTIF(S$22:S$39,"&gt;0")+COUNTIF(L$59:L65,"&gt;0"),0)</f>
      </c>
      <c r="P65">
        <v>7</v>
      </c>
      <c r="Q65">
        <f>IF(AND(F65="The children's trust",C65&lt;&gt;"Estate",C65&lt;&gt;""),1,0)</f>
      </c>
      <c r="R65">
        <f>IF(L65&gt;0,1,0)</f>
      </c>
    </row>
    <row r="66" spans="2:18" x14ac:dyDescent="0.25">
      <c r="B66" s="8"/>
      <c r="C66" s="10"/>
      <c r="D66" s="11"/>
      <c r="E66" s="10"/>
      <c r="F66" s="14"/>
      <c r="G66" s="14"/>
      <c r="H66" s="14"/>
      <c r="I66" s="14"/>
      <c r="L66">
        <f>IF(AND(C66="Named person",E66&lt;&gt;"No"),N(D66),0)</f>
      </c>
      <c r="M66">
        <f>ROUND('Workings'!$C$39*L66,2)</f>
      </c>
      <c r="N66">
        <f>ROUND('Workings'!$D$39*L66,2)</f>
      </c>
      <c r="O66">
        <f>IF(L66&gt;0,COUNTIF(S$22:S$39,"&gt;0")+COUNTIF(L$59:L66,"&gt;0"),0)</f>
      </c>
      <c r="P66">
        <v>8</v>
      </c>
      <c r="Q66">
        <f>IF(AND(F66="The children's trust",C66&lt;&gt;"Estate",C66&lt;&gt;""),1,0)</f>
      </c>
      <c r="R66">
        <f>IF(L66&gt;0,1,0)</f>
      </c>
    </row>
    <row r="67" spans="2:18" x14ac:dyDescent="0.25">
      <c r="B67" s="8"/>
      <c r="C67" s="10"/>
      <c r="D67" s="11"/>
      <c r="E67" s="10"/>
      <c r="F67" s="14"/>
      <c r="G67" s="14"/>
      <c r="H67" s="14"/>
      <c r="I67" s="14"/>
      <c r="L67">
        <f>IF(AND(C67="Named person",E67&lt;&gt;"No"),N(D67),0)</f>
      </c>
      <c r="M67">
        <f>ROUND('Workings'!$C$39*L67,2)</f>
      </c>
      <c r="N67">
        <f>ROUND('Workings'!$D$39*L67,2)</f>
      </c>
      <c r="O67">
        <f>IF(L67&gt;0,COUNTIF(S$22:S$39,"&gt;0")+COUNTIF(L$59:L67,"&gt;0"),0)</f>
      </c>
      <c r="P67">
        <v>9</v>
      </c>
      <c r="Q67">
        <f>IF(AND(F67="The children's trust",C67&lt;&gt;"Estate",C67&lt;&gt;""),1,0)</f>
      </c>
      <c r="R67">
        <f>IF(L67&gt;0,1,0)</f>
      </c>
    </row>
    <row r="68" spans="2:18" x14ac:dyDescent="0.25">
      <c r="B68" s="8"/>
      <c r="C68" s="10"/>
      <c r="D68" s="11"/>
      <c r="E68" s="10"/>
      <c r="F68" s="14"/>
      <c r="G68" s="14"/>
      <c r="H68" s="14"/>
      <c r="I68" s="14"/>
      <c r="L68">
        <f>IF(AND(C68="Named person",E68&lt;&gt;"No"),N(D68),0)</f>
      </c>
      <c r="M68">
        <f>ROUND('Workings'!$C$39*L68,2)</f>
      </c>
      <c r="N68">
        <f>ROUND('Workings'!$D$39*L68,2)</f>
      </c>
      <c r="O68">
        <f>IF(L68&gt;0,COUNTIF(S$22:S$39,"&gt;0")+COUNTIF(L$59:L68,"&gt;0"),0)</f>
      </c>
      <c r="P68">
        <v>10</v>
      </c>
      <c r="Q68">
        <f>IF(AND(F68="The children's trust",C68&lt;&gt;"Estate",C68&lt;&gt;""),1,0)</f>
      </c>
      <c r="R68">
        <f>IF(L68&gt;0,1,0)</f>
      </c>
    </row>
    <row r="69" spans="2:18" x14ac:dyDescent="0.25">
      <c r="B69" s="8"/>
      <c r="C69" s="10"/>
      <c r="D69" s="11"/>
      <c r="E69" s="10"/>
      <c r="F69" s="14"/>
      <c r="G69" s="14"/>
      <c r="H69" s="14"/>
      <c r="I69" s="14"/>
      <c r="L69">
        <f>IF(AND(C69="Named person",E69&lt;&gt;"No"),N(D69),0)</f>
      </c>
      <c r="M69">
        <f>ROUND('Workings'!$C$39*L69,2)</f>
      </c>
      <c r="N69">
        <f>ROUND('Workings'!$D$39*L69,2)</f>
      </c>
      <c r="O69">
        <f>IF(L69&gt;0,COUNTIF(S$22:S$39,"&gt;0")+COUNTIF(L$59:L69,"&gt;0"),0)</f>
      </c>
      <c r="P69">
        <v>11</v>
      </c>
      <c r="Q69">
        <f>IF(AND(F69="The children's trust",C69&lt;&gt;"Estate",C69&lt;&gt;""),1,0)</f>
      </c>
      <c r="R69">
        <f>IF(L69&gt;0,1,0)</f>
      </c>
    </row>
    <row r="70" spans="2:18" x14ac:dyDescent="0.25">
      <c r="B70" s="8"/>
      <c r="C70" s="10"/>
      <c r="D70" s="11"/>
      <c r="E70" s="10"/>
      <c r="F70" s="14"/>
      <c r="G70" s="14"/>
      <c r="H70" s="14"/>
      <c r="I70" s="14"/>
      <c r="L70">
        <f>IF(AND(C70="Named person",E70&lt;&gt;"No"),N(D70),0)</f>
      </c>
      <c r="M70">
        <f>ROUND('Workings'!$C$39*L70,2)</f>
      </c>
      <c r="N70">
        <f>ROUND('Workings'!$D$39*L70,2)</f>
      </c>
      <c r="O70">
        <f>IF(L70&gt;0,COUNTIF(S$22:S$39,"&gt;0")+COUNTIF(L$59:L70,"&gt;0"),0)</f>
      </c>
      <c r="P70">
        <v>12</v>
      </c>
      <c r="Q70">
        <f>IF(AND(F70="The children's trust",C70&lt;&gt;"Estate",C70&lt;&gt;""),1,0)</f>
      </c>
      <c r="R70">
        <f>IF(L70&gt;0,1,0)</f>
      </c>
    </row>
    <row r="71" ht="39" customHeight="1" spans="2:10" x14ac:dyDescent="0.25">
      <c r="B71" s="16" t="s">
        <v>93</v>
      </c>
      <c r="C71" s="16"/>
      <c r="D71" s="16"/>
      <c r="E71" s="16"/>
      <c r="F71" s="16"/>
      <c r="G71" s="16"/>
      <c r="H71" s="16"/>
      <c r="I71" s="16"/>
      <c r="J71" s="16"/>
    </row>
    <row r="73" ht="18" customHeight="1" spans="2:10" x14ac:dyDescent="0.25">
      <c r="B73" s="5" t="s">
        <v>94</v>
      </c>
      <c r="C73" s="6"/>
      <c r="D73" s="6"/>
      <c r="E73" s="6"/>
      <c r="F73" s="6"/>
      <c r="G73" s="6"/>
      <c r="H73" s="6"/>
      <c r="I73" s="6"/>
      <c r="J73" s="6"/>
    </row>
    <row r="74" hidden="1" spans="2:9" x14ac:dyDescent="0.25">
      <c r="B74" t="s">
        <v>65</v>
      </c>
      <c r="D74" t="s">
        <v>66</v>
      </c>
      <c r="F74" t="s">
        <v>95</v>
      </c>
      <c r="I74" t="s">
        <v>70</v>
      </c>
    </row>
    <row r="75" ht="30" customHeight="1" spans="2:10" x14ac:dyDescent="0.25">
      <c r="B75" s="12" t="s">
        <v>96</v>
      </c>
      <c r="D75" s="13" t="s">
        <v>73</v>
      </c>
      <c r="F75" s="12" t="s">
        <v>97</v>
      </c>
      <c r="G75" s="12"/>
      <c r="H75" s="12"/>
      <c r="I75" s="12" t="s">
        <v>78</v>
      </c>
      <c r="J75" s="13" t="s">
        <v>98</v>
      </c>
    </row>
    <row r="76" spans="2:10" x14ac:dyDescent="0.25">
      <c r="B76" s="8"/>
      <c r="D76" s="11"/>
      <c r="F76" s="14"/>
      <c r="G76" s="14"/>
      <c r="H76" s="14"/>
      <c r="I76" s="14"/>
      <c r="J76" s="17">
        <f>IF(N(D76)&gt;0,N(D76)-ROUND((INDEX('Inputs'!$H$123:$H$126,MATCH(SUM('Inputs'!$D$76:$D$83),'Inputs'!$G$123:$G$126,1))+INDEX('Inputs'!$I$123:$I$126,MATCH(SUM('Inputs'!$D$76:$D$83),'Inputs'!$G$123:$G$126,1))/100*((SUM('Inputs'!$D$76:$D$83))-INDEX('Inputs'!$G$123:$G$126,MATCH(SUM('Inputs'!$D$76:$D$83),'Inputs'!$G$123:$G$126,1))))*N(D76)/SUM('Inputs'!$D$76:$D$83),2),0)</f>
      </c>
    </row>
    <row r="77" spans="2:10" x14ac:dyDescent="0.25">
      <c r="B77" s="8"/>
      <c r="D77" s="11"/>
      <c r="F77" s="14"/>
      <c r="G77" s="14"/>
      <c r="H77" s="14"/>
      <c r="I77" s="14"/>
      <c r="J77" s="17">
        <f>IF(N(D77)&gt;0,N(D77)-ROUND((INDEX('Inputs'!$H$123:$H$126,MATCH(SUM('Inputs'!$D$76:$D$83),'Inputs'!$G$123:$G$126,1))+INDEX('Inputs'!$I$123:$I$126,MATCH(SUM('Inputs'!$D$76:$D$83),'Inputs'!$G$123:$G$126,1))/100*((SUM('Inputs'!$D$76:$D$83))-INDEX('Inputs'!$G$123:$G$126,MATCH(SUM('Inputs'!$D$76:$D$83),'Inputs'!$G$123:$G$126,1))))*N(D77)/SUM('Inputs'!$D$76:$D$83),2),0)</f>
      </c>
    </row>
    <row r="78" spans="2:10" x14ac:dyDescent="0.25">
      <c r="B78" s="8"/>
      <c r="D78" s="11"/>
      <c r="F78" s="14"/>
      <c r="G78" s="14"/>
      <c r="H78" s="14"/>
      <c r="I78" s="14"/>
      <c r="J78" s="17">
        <f>IF(N(D78)&gt;0,N(D78)-ROUND((INDEX('Inputs'!$H$123:$H$126,MATCH(SUM('Inputs'!$D$76:$D$83),'Inputs'!$G$123:$G$126,1))+INDEX('Inputs'!$I$123:$I$126,MATCH(SUM('Inputs'!$D$76:$D$83),'Inputs'!$G$123:$G$126,1))/100*((SUM('Inputs'!$D$76:$D$83))-INDEX('Inputs'!$G$123:$G$126,MATCH(SUM('Inputs'!$D$76:$D$83),'Inputs'!$G$123:$G$126,1))))*N(D78)/SUM('Inputs'!$D$76:$D$83),2),0)</f>
      </c>
    </row>
    <row r="79" spans="2:10" x14ac:dyDescent="0.25">
      <c r="B79" s="8"/>
      <c r="D79" s="11"/>
      <c r="F79" s="14"/>
      <c r="G79" s="14"/>
      <c r="H79" s="14"/>
      <c r="I79" s="14"/>
      <c r="J79" s="17">
        <f>IF(N(D79)&gt;0,N(D79)-ROUND((INDEX('Inputs'!$H$123:$H$126,MATCH(SUM('Inputs'!$D$76:$D$83),'Inputs'!$G$123:$G$126,1))+INDEX('Inputs'!$I$123:$I$126,MATCH(SUM('Inputs'!$D$76:$D$83),'Inputs'!$G$123:$G$126,1))/100*((SUM('Inputs'!$D$76:$D$83))-INDEX('Inputs'!$G$123:$G$126,MATCH(SUM('Inputs'!$D$76:$D$83),'Inputs'!$G$123:$G$126,1))))*N(D79)/SUM('Inputs'!$D$76:$D$83),2),0)</f>
      </c>
    </row>
    <row r="80" spans="2:10" x14ac:dyDescent="0.25">
      <c r="B80" s="8"/>
      <c r="D80" s="11"/>
      <c r="F80" s="14"/>
      <c r="G80" s="14"/>
      <c r="H80" s="14"/>
      <c r="I80" s="14"/>
      <c r="J80" s="17">
        <f>IF(N(D80)&gt;0,N(D80)-ROUND((INDEX('Inputs'!$H$123:$H$126,MATCH(SUM('Inputs'!$D$76:$D$83),'Inputs'!$G$123:$G$126,1))+INDEX('Inputs'!$I$123:$I$126,MATCH(SUM('Inputs'!$D$76:$D$83),'Inputs'!$G$123:$G$126,1))/100*((SUM('Inputs'!$D$76:$D$83))-INDEX('Inputs'!$G$123:$G$126,MATCH(SUM('Inputs'!$D$76:$D$83),'Inputs'!$G$123:$G$126,1))))*N(D80)/SUM('Inputs'!$D$76:$D$83),2),0)</f>
      </c>
    </row>
    <row r="81" spans="2:10" x14ac:dyDescent="0.25">
      <c r="B81" s="8"/>
      <c r="D81" s="11"/>
      <c r="F81" s="14"/>
      <c r="G81" s="14"/>
      <c r="H81" s="14"/>
      <c r="I81" s="14"/>
      <c r="J81" s="17">
        <f>IF(N(D81)&gt;0,N(D81)-ROUND((INDEX('Inputs'!$H$123:$H$126,MATCH(SUM('Inputs'!$D$76:$D$83),'Inputs'!$G$123:$G$126,1))+INDEX('Inputs'!$I$123:$I$126,MATCH(SUM('Inputs'!$D$76:$D$83),'Inputs'!$G$123:$G$126,1))/100*((SUM('Inputs'!$D$76:$D$83))-INDEX('Inputs'!$G$123:$G$126,MATCH(SUM('Inputs'!$D$76:$D$83),'Inputs'!$G$123:$G$126,1))))*N(D81)/SUM('Inputs'!$D$76:$D$83),2),0)</f>
      </c>
    </row>
    <row r="82" spans="2:10" x14ac:dyDescent="0.25">
      <c r="B82" s="8"/>
      <c r="D82" s="11"/>
      <c r="F82" s="14"/>
      <c r="G82" s="14"/>
      <c r="H82" s="14"/>
      <c r="I82" s="14"/>
      <c r="J82" s="17">
        <f>IF(N(D82)&gt;0,N(D82)-ROUND((INDEX('Inputs'!$H$123:$H$126,MATCH(SUM('Inputs'!$D$76:$D$83),'Inputs'!$G$123:$G$126,1))+INDEX('Inputs'!$I$123:$I$126,MATCH(SUM('Inputs'!$D$76:$D$83),'Inputs'!$G$123:$G$126,1))/100*((SUM('Inputs'!$D$76:$D$83))-INDEX('Inputs'!$G$123:$G$126,MATCH(SUM('Inputs'!$D$76:$D$83),'Inputs'!$G$123:$G$126,1))))*N(D82)/SUM('Inputs'!$D$76:$D$83),2),0)</f>
      </c>
    </row>
    <row r="83" spans="2:10" x14ac:dyDescent="0.25">
      <c r="B83" s="8"/>
      <c r="D83" s="11"/>
      <c r="F83" s="14"/>
      <c r="G83" s="14"/>
      <c r="H83" s="14"/>
      <c r="I83" s="14"/>
      <c r="J83" s="17">
        <f>IF(N(D83)&gt;0,N(D83)-ROUND((INDEX('Inputs'!$H$123:$H$126,MATCH(SUM('Inputs'!$D$76:$D$83),'Inputs'!$G$123:$G$126,1))+INDEX('Inputs'!$I$123:$I$126,MATCH(SUM('Inputs'!$D$76:$D$83),'Inputs'!$G$123:$G$126,1))/100*((SUM('Inputs'!$D$76:$D$83))-INDEX('Inputs'!$G$123:$G$126,MATCH(SUM('Inputs'!$D$76:$D$83),'Inputs'!$G$123:$G$126,1))))*N(D83)/SUM('Inputs'!$D$76:$D$83),2),0)</f>
      </c>
    </row>
    <row r="84" ht="39" customHeight="1" spans="2:10" x14ac:dyDescent="0.25">
      <c r="B84" s="16" t="s">
        <v>99</v>
      </c>
      <c r="C84" s="16"/>
      <c r="D84" s="16"/>
      <c r="E84" s="16"/>
      <c r="F84" s="16"/>
      <c r="G84" s="16"/>
      <c r="H84" s="16"/>
      <c r="I84" s="16"/>
      <c r="J84" s="16"/>
    </row>
    <row r="86" ht="18" customHeight="1" spans="2:10" x14ac:dyDescent="0.25">
      <c r="B86" s="5" t="s">
        <v>100</v>
      </c>
      <c r="C86" s="6"/>
      <c r="D86" s="6"/>
      <c r="E86" s="6"/>
      <c r="F86" s="6"/>
      <c r="G86" s="6"/>
      <c r="H86" s="6"/>
      <c r="I86" s="6"/>
      <c r="J86" s="6"/>
    </row>
    <row r="87" hidden="1" spans="2:10" x14ac:dyDescent="0.25">
      <c r="B87" t="s">
        <v>65</v>
      </c>
      <c r="C87" t="s">
        <v>5</v>
      </c>
      <c r="D87" t="s">
        <v>101</v>
      </c>
      <c r="E87" t="s">
        <v>102</v>
      </c>
      <c r="F87" t="s">
        <v>103</v>
      </c>
      <c r="G87" t="s">
        <v>104</v>
      </c>
      <c r="H87" t="s">
        <v>105</v>
      </c>
      <c r="I87" t="s">
        <v>106</v>
      </c>
      <c r="J87" t="s">
        <v>107</v>
      </c>
    </row>
    <row r="88" ht="42" customHeight="1" spans="2:26" x14ac:dyDescent="0.25">
      <c r="B88" s="12" t="s">
        <v>108</v>
      </c>
      <c r="C88" s="12" t="s">
        <v>109</v>
      </c>
      <c r="D88" s="13" t="s">
        <v>110</v>
      </c>
      <c r="E88" s="13" t="s">
        <v>111</v>
      </c>
      <c r="F88" s="13" t="s">
        <v>112</v>
      </c>
      <c r="G88" s="13" t="s">
        <v>113</v>
      </c>
      <c r="H88" s="12" t="s">
        <v>114</v>
      </c>
      <c r="I88" s="13" t="s">
        <v>115</v>
      </c>
      <c r="J88" s="13" t="s">
        <v>116</v>
      </c>
      <c r="Z88" t="s">
        <v>117</v>
      </c>
    </row>
    <row r="89" ht="15" customHeight="1" spans="2:26" x14ac:dyDescent="0.25">
      <c r="B89" s="8"/>
      <c r="C89" s="10"/>
      <c r="D89" s="18"/>
      <c r="E89" s="11"/>
      <c r="F89" s="18"/>
      <c r="G89" s="19"/>
      <c r="H89" s="10"/>
      <c r="I89" s="11"/>
      <c r="J89" s="11"/>
      <c r="L89">
        <f>IF(AND(B89&lt;&gt;"",C89="Child"),1,0)</f>
      </c>
      <c r="M89">
        <f>IF(L89=1,SUM(L$89:L89),0)</f>
      </c>
      <c r="N89">
        <f>IF(AND(L89=1,M89=SUM(L$89:L$94)),1,0)</f>
      </c>
      <c r="O89">
        <f>IF(AND(B89&lt;&gt;"",C89="Spouse",COUNTIF(C$89:C89,"Spouse")=1),1,0)</f>
      </c>
      <c r="P89">
        <f>IF(B89="",0,IF(OR(C89="",AND(N(E89)&lt;=0,N(J89)&lt;=0),AND(N(E89)&gt;0,N(F89)&lt;=0)),1,0))</f>
      </c>
      <c r="Q89">
        <f>IF(AND(L89=1,H89="Yes"),1,0)</f>
      </c>
      <c r="R89">
        <f>IF(Q89=1,SUM(Q$89:Q89),0)</f>
      </c>
      <c r="S89">
        <f>IF(AND(Q89=1,R89=SUM(Q$89:Q$94)),1,0)</f>
      </c>
      <c r="T89">
        <f>IF(AND(B89&lt;&gt;"",C89="Spouse",'Inputs'!$C$96="The spouse"),1,0)</f>
      </c>
      <c r="Z89">
        <f>IF(B89="","",B89)</f>
      </c>
    </row>
    <row r="90" ht="15" customHeight="1" spans="2:26" x14ac:dyDescent="0.25">
      <c r="B90" s="8"/>
      <c r="C90" s="10"/>
      <c r="D90" s="18"/>
      <c r="E90" s="11"/>
      <c r="F90" s="18"/>
      <c r="G90" s="19"/>
      <c r="H90" s="10"/>
      <c r="I90" s="11"/>
      <c r="J90" s="11"/>
      <c r="L90">
        <f>IF(AND(B90&lt;&gt;"",C90="Child"),1,0)</f>
      </c>
      <c r="M90">
        <f>IF(L90=1,SUM(L$89:L90),0)</f>
      </c>
      <c r="N90">
        <f>IF(AND(L90=1,M90=SUM(L$89:L$94)),1,0)</f>
      </c>
      <c r="O90">
        <f>IF(AND(B90&lt;&gt;"",C90="Spouse",COUNTIF(C$89:C90,"Spouse")=1),1,0)</f>
      </c>
      <c r="P90">
        <f>IF(B90="",0,IF(OR(C90="",AND(N(E90)&lt;=0,N(J90)&lt;=0),AND(N(E90)&gt;0,N(F90)&lt;=0)),1,0))</f>
      </c>
      <c r="Q90">
        <f>IF(AND(L90=1,H90="Yes"),1,0)</f>
      </c>
      <c r="R90">
        <f>IF(Q90=1,SUM(Q$89:Q90),0)</f>
      </c>
      <c r="S90">
        <f>IF(AND(Q90=1,R90=SUM(Q$89:Q$94)),1,0)</f>
      </c>
      <c r="T90">
        <f>IF(AND(B90&lt;&gt;"",C90="Spouse",'Inputs'!$C$96="The spouse"),1,0)</f>
      </c>
      <c r="Z90">
        <f>IF(B90="","",B90)</f>
      </c>
    </row>
    <row r="91" ht="15" customHeight="1" spans="2:26" x14ac:dyDescent="0.25">
      <c r="B91" s="8"/>
      <c r="C91" s="10"/>
      <c r="D91" s="18"/>
      <c r="E91" s="11"/>
      <c r="F91" s="18"/>
      <c r="G91" s="19"/>
      <c r="H91" s="10"/>
      <c r="I91" s="11"/>
      <c r="J91" s="11"/>
      <c r="L91">
        <f>IF(AND(B91&lt;&gt;"",C91="Child"),1,0)</f>
      </c>
      <c r="M91">
        <f>IF(L91=1,SUM(L$89:L91),0)</f>
      </c>
      <c r="N91">
        <f>IF(AND(L91=1,M91=SUM(L$89:L$94)),1,0)</f>
      </c>
      <c r="O91">
        <f>IF(AND(B91&lt;&gt;"",C91="Spouse",COUNTIF(C$89:C91,"Spouse")=1),1,0)</f>
      </c>
      <c r="P91">
        <f>IF(B91="",0,IF(OR(C91="",AND(N(E91)&lt;=0,N(J91)&lt;=0),AND(N(E91)&gt;0,N(F91)&lt;=0)),1,0))</f>
      </c>
      <c r="Q91">
        <f>IF(AND(L91=1,H91="Yes"),1,0)</f>
      </c>
      <c r="R91">
        <f>IF(Q91=1,SUM(Q$89:Q91),0)</f>
      </c>
      <c r="S91">
        <f>IF(AND(Q91=1,R91=SUM(Q$89:Q$94)),1,0)</f>
      </c>
      <c r="T91">
        <f>IF(AND(B91&lt;&gt;"",C91="Spouse",'Inputs'!$C$96="The spouse"),1,0)</f>
      </c>
      <c r="Z91">
        <f>IF(B91="","",B91)</f>
      </c>
    </row>
    <row r="92" ht="15" customHeight="1" spans="2:26" x14ac:dyDescent="0.25">
      <c r="B92" s="8"/>
      <c r="C92" s="10"/>
      <c r="D92" s="18"/>
      <c r="E92" s="11"/>
      <c r="F92" s="18"/>
      <c r="G92" s="19"/>
      <c r="H92" s="10"/>
      <c r="I92" s="11"/>
      <c r="J92" s="11"/>
      <c r="L92">
        <f>IF(AND(B92&lt;&gt;"",C92="Child"),1,0)</f>
      </c>
      <c r="M92">
        <f>IF(L92=1,SUM(L$89:L92),0)</f>
      </c>
      <c r="N92">
        <f>IF(AND(L92=1,M92=SUM(L$89:L$94)),1,0)</f>
      </c>
      <c r="O92">
        <f>IF(AND(B92&lt;&gt;"",C92="Spouse",COUNTIF(C$89:C92,"Spouse")=1),1,0)</f>
      </c>
      <c r="P92">
        <f>IF(B92="",0,IF(OR(C92="",AND(N(E92)&lt;=0,N(J92)&lt;=0),AND(N(E92)&gt;0,N(F92)&lt;=0)),1,0))</f>
      </c>
      <c r="Q92">
        <f>IF(AND(L92=1,H92="Yes"),1,0)</f>
      </c>
      <c r="R92">
        <f>IF(Q92=1,SUM(Q$89:Q92),0)</f>
      </c>
      <c r="S92">
        <f>IF(AND(Q92=1,R92=SUM(Q$89:Q$94)),1,0)</f>
      </c>
      <c r="T92">
        <f>IF(AND(B92&lt;&gt;"",C92="Spouse",'Inputs'!$C$96="The spouse"),1,0)</f>
      </c>
      <c r="Z92">
        <f>IF(B92="","",B92)</f>
      </c>
    </row>
    <row r="93" ht="15" customHeight="1" spans="2:26" x14ac:dyDescent="0.25">
      <c r="B93" s="8"/>
      <c r="C93" s="10"/>
      <c r="D93" s="18"/>
      <c r="E93" s="11"/>
      <c r="F93" s="18"/>
      <c r="G93" s="19"/>
      <c r="H93" s="10"/>
      <c r="I93" s="11"/>
      <c r="J93" s="11"/>
      <c r="L93">
        <f>IF(AND(B93&lt;&gt;"",C93="Child"),1,0)</f>
      </c>
      <c r="M93">
        <f>IF(L93=1,SUM(L$89:L93),0)</f>
      </c>
      <c r="N93">
        <f>IF(AND(L93=1,M93=SUM(L$89:L$94)),1,0)</f>
      </c>
      <c r="O93">
        <f>IF(AND(B93&lt;&gt;"",C93="Spouse",COUNTIF(C$89:C93,"Spouse")=1),1,0)</f>
      </c>
      <c r="P93">
        <f>IF(B93="",0,IF(OR(C93="",AND(N(E93)&lt;=0,N(J93)&lt;=0),AND(N(E93)&gt;0,N(F93)&lt;=0)),1,0))</f>
      </c>
      <c r="Q93">
        <f>IF(AND(L93=1,H93="Yes"),1,0)</f>
      </c>
      <c r="R93">
        <f>IF(Q93=1,SUM(Q$89:Q93),0)</f>
      </c>
      <c r="S93">
        <f>IF(AND(Q93=1,R93=SUM(Q$89:Q$94)),1,0)</f>
      </c>
      <c r="T93">
        <f>IF(AND(B93&lt;&gt;"",C93="Spouse",'Inputs'!$C$96="The spouse"),1,0)</f>
      </c>
      <c r="Z93">
        <f>IF(B93="","",B93)</f>
      </c>
    </row>
    <row r="94" ht="15" customHeight="1" spans="2:26" x14ac:dyDescent="0.25">
      <c r="B94" s="8"/>
      <c r="C94" s="10"/>
      <c r="D94" s="18"/>
      <c r="E94" s="11"/>
      <c r="F94" s="18"/>
      <c r="G94" s="19"/>
      <c r="H94" s="10"/>
      <c r="I94" s="11"/>
      <c r="J94" s="11"/>
      <c r="L94">
        <f>IF(AND(B94&lt;&gt;"",C94="Child"),1,0)</f>
      </c>
      <c r="M94">
        <f>IF(L94=1,SUM(L$89:L94),0)</f>
      </c>
      <c r="N94">
        <f>IF(AND(L94=1,M94=SUM(L$89:L$94)),1,0)</f>
      </c>
      <c r="O94">
        <f>IF(AND(B94&lt;&gt;"",C94="Spouse",COUNTIF(C$89:C94,"Spouse")=1),1,0)</f>
      </c>
      <c r="P94">
        <f>IF(B94="",0,IF(OR(C94="",AND(N(E94)&lt;=0,N(J94)&lt;=0),AND(N(E94)&gt;0,N(F94)&lt;=0)),1,0))</f>
      </c>
      <c r="Q94">
        <f>IF(AND(L94=1,H94="Yes"),1,0)</f>
      </c>
      <c r="R94">
        <f>IF(Q94=1,SUM(Q$89:Q94),0)</f>
      </c>
      <c r="S94">
        <f>IF(AND(Q94=1,R94=SUM(Q$89:Q$94)),1,0)</f>
      </c>
      <c r="T94">
        <f>IF(AND(B94&lt;&gt;"",C94="Spouse",'Inputs'!$C$96="The spouse"),1,0)</f>
      </c>
      <c r="Z94">
        <f>IF(B94="","",B94)</f>
      </c>
    </row>
    <row r="95" ht="27" customHeight="1" spans="2:5" x14ac:dyDescent="0.25">
      <c r="B95" s="7" t="s">
        <v>118</v>
      </c>
      <c r="C95" s="10" t="s">
        <v>16</v>
      </c>
      <c r="D95" s="10"/>
      <c r="E95" s="10"/>
    </row>
    <row r="96" ht="27" customHeight="1" spans="2:5" x14ac:dyDescent="0.25">
      <c r="B96" s="7" t="s">
        <v>119</v>
      </c>
      <c r="C96" s="10" t="s">
        <v>17</v>
      </c>
      <c r="D96" s="10"/>
      <c r="E96" s="10"/>
    </row>
    <row r="97" ht="39" customHeight="1" spans="2:10" x14ac:dyDescent="0.25">
      <c r="B97" s="16" t="s">
        <v>120</v>
      </c>
      <c r="C97" s="16"/>
      <c r="D97" s="16"/>
      <c r="E97" s="16"/>
      <c r="F97" s="16"/>
      <c r="G97" s="16"/>
      <c r="H97" s="16"/>
      <c r="I97" s="16"/>
      <c r="J97" s="16"/>
    </row>
    <row r="99" ht="18" customHeight="1" spans="2:10" x14ac:dyDescent="0.25">
      <c r="B99" s="5" t="s">
        <v>121</v>
      </c>
      <c r="C99" s="6"/>
      <c r="D99" s="6"/>
      <c r="E99" s="6"/>
      <c r="F99" s="6"/>
      <c r="G99" s="6"/>
      <c r="H99" s="6"/>
      <c r="I99" s="6"/>
      <c r="J99" s="6"/>
    </row>
    <row r="100" spans="2:3" x14ac:dyDescent="0.25">
      <c r="B100" s="7" t="s">
        <v>122</v>
      </c>
      <c r="C100" s="8"/>
    </row>
    <row r="101" spans="2:3" x14ac:dyDescent="0.25">
      <c r="B101" s="7" t="s">
        <v>123</v>
      </c>
      <c r="C101" s="19"/>
    </row>
    <row r="102" spans="2:3" x14ac:dyDescent="0.25">
      <c r="B102" s="7" t="s">
        <v>124</v>
      </c>
      <c r="C102" s="11"/>
    </row>
    <row r="103" spans="2:3" x14ac:dyDescent="0.25">
      <c r="B103" s="7" t="s">
        <v>125</v>
      </c>
      <c r="C103" s="19"/>
    </row>
    <row r="104" spans="2:3" x14ac:dyDescent="0.25">
      <c r="B104" s="7" t="s">
        <v>126</v>
      </c>
      <c r="C104" s="11"/>
    </row>
    <row r="105" spans="2:3" x14ac:dyDescent="0.25">
      <c r="B105" s="7" t="s">
        <v>127</v>
      </c>
      <c r="C105" s="11"/>
    </row>
    <row r="106" ht="26" customHeight="1" spans="2:10" x14ac:dyDescent="0.25">
      <c r="B106" s="16" t="s">
        <v>128</v>
      </c>
      <c r="C106" s="16"/>
      <c r="D106" s="16"/>
      <c r="E106" s="16"/>
      <c r="F106" s="16"/>
      <c r="G106" s="16"/>
      <c r="H106" s="16"/>
      <c r="I106" s="16"/>
      <c r="J106" s="16"/>
    </row>
    <row r="108" ht="18" customHeight="1" spans="2:10" x14ac:dyDescent="0.25">
      <c r="B108" s="5" t="s">
        <v>129</v>
      </c>
      <c r="C108" s="6"/>
      <c r="D108" s="6"/>
      <c r="E108" s="6"/>
      <c r="F108" s="6"/>
      <c r="G108" s="6"/>
      <c r="H108" s="6"/>
      <c r="I108" s="6"/>
      <c r="J108" s="6"/>
    </row>
    <row r="109" spans="2:8" x14ac:dyDescent="0.25">
      <c r="B109" s="7" t="s">
        <v>130</v>
      </c>
      <c r="C109" s="19">
        <v>3.5</v>
      </c>
      <c r="E109" s="7" t="s">
        <v>131</v>
      </c>
      <c r="F109" s="7"/>
      <c r="G109" s="7"/>
      <c r="H109" s="19">
        <v>40</v>
      </c>
    </row>
    <row r="110" spans="2:8" x14ac:dyDescent="0.25">
      <c r="B110" s="7" t="s">
        <v>132</v>
      </c>
      <c r="C110" s="19">
        <v>15</v>
      </c>
      <c r="E110" s="7" t="s">
        <v>133</v>
      </c>
      <c r="F110" s="7"/>
      <c r="G110" s="7"/>
      <c r="H110" s="11">
        <v>3000000</v>
      </c>
    </row>
    <row r="111" spans="2:8" x14ac:dyDescent="0.25">
      <c r="B111" s="7" t="s">
        <v>134</v>
      </c>
      <c r="C111" s="11">
        <v>7000</v>
      </c>
      <c r="E111" s="7" t="s">
        <v>135</v>
      </c>
      <c r="F111" s="7"/>
      <c r="G111" s="7"/>
      <c r="H111" s="19">
        <v>7</v>
      </c>
    </row>
    <row r="112" spans="2:8" x14ac:dyDescent="0.25">
      <c r="B112" s="7" t="s">
        <v>136</v>
      </c>
      <c r="C112" s="11">
        <v>50000</v>
      </c>
      <c r="E112" s="7" t="s">
        <v>137</v>
      </c>
      <c r="F112" s="7"/>
      <c r="G112" s="7"/>
      <c r="H112" s="19">
        <v>2</v>
      </c>
    </row>
    <row r="113" spans="2:8" x14ac:dyDescent="0.25">
      <c r="B113" s="7" t="s">
        <v>138</v>
      </c>
      <c r="C113" s="11">
        <v>8000</v>
      </c>
      <c r="E113" s="7" t="s">
        <v>139</v>
      </c>
      <c r="F113" s="7"/>
      <c r="G113" s="7"/>
      <c r="H113" s="11">
        <v>99000</v>
      </c>
    </row>
    <row r="114" spans="2:8" x14ac:dyDescent="0.25">
      <c r="B114" s="7" t="s">
        <v>140</v>
      </c>
      <c r="C114" s="19">
        <v>1</v>
      </c>
      <c r="E114" s="7" t="s">
        <v>141</v>
      </c>
      <c r="F114" s="7"/>
      <c r="G114" s="7"/>
      <c r="H114" s="19">
        <v>52.5</v>
      </c>
    </row>
    <row r="115" spans="2:8" x14ac:dyDescent="0.25">
      <c r="B115" s="7" t="s">
        <v>142</v>
      </c>
      <c r="C115" s="19">
        <v>7.5</v>
      </c>
      <c r="E115" s="7" t="s">
        <v>143</v>
      </c>
      <c r="F115" s="7"/>
      <c r="G115" s="7"/>
      <c r="H115" s="19">
        <v>11.25</v>
      </c>
    </row>
    <row r="116" spans="2:8" x14ac:dyDescent="0.25">
      <c r="B116" s="7" t="s">
        <v>144</v>
      </c>
      <c r="C116" s="11">
        <v>3500000</v>
      </c>
      <c r="E116" s="7" t="s">
        <v>145</v>
      </c>
      <c r="F116" s="7"/>
      <c r="G116" s="7"/>
      <c r="H116" s="19">
        <v>36.25</v>
      </c>
    </row>
    <row r="117" spans="2:8" x14ac:dyDescent="0.25">
      <c r="B117" s="7" t="s">
        <v>146</v>
      </c>
      <c r="C117" s="19">
        <v>20</v>
      </c>
      <c r="E117" s="7" t="s">
        <v>147</v>
      </c>
      <c r="F117" s="7"/>
      <c r="G117" s="7"/>
      <c r="H117" s="19">
        <v>20</v>
      </c>
    </row>
    <row r="118" spans="2:8" x14ac:dyDescent="0.25">
      <c r="B118" s="7" t="s">
        <v>148</v>
      </c>
      <c r="C118" s="11">
        <v>30000000</v>
      </c>
      <c r="E118" s="7" t="s">
        <v>149</v>
      </c>
      <c r="F118" s="7"/>
      <c r="G118" s="7"/>
      <c r="H118" s="19">
        <v>4</v>
      </c>
    </row>
    <row r="119" spans="2:8" x14ac:dyDescent="0.25">
      <c r="B119" s="7" t="s">
        <v>150</v>
      </c>
      <c r="C119" s="19">
        <v>25</v>
      </c>
      <c r="E119" s="7" t="s">
        <v>151</v>
      </c>
      <c r="F119" s="7"/>
      <c r="G119" s="7"/>
      <c r="H119" s="11">
        <v>153250</v>
      </c>
    </row>
    <row r="120" spans="2:8" x14ac:dyDescent="0.25">
      <c r="B120" s="7" t="s">
        <v>152</v>
      </c>
      <c r="C120" s="11">
        <v>440000</v>
      </c>
      <c r="E120" s="7" t="s">
        <v>153</v>
      </c>
      <c r="F120" s="7"/>
      <c r="G120" s="7"/>
      <c r="H120" s="11">
        <v>171300</v>
      </c>
    </row>
    <row r="122" ht="30" customHeight="1" spans="2:7" x14ac:dyDescent="0.25">
      <c r="B122" s="20" t="s">
        <v>154</v>
      </c>
      <c r="C122" s="13" t="s">
        <v>155</v>
      </c>
      <c r="D122" s="13" t="s">
        <v>156</v>
      </c>
      <c r="E122" s="13" t="s">
        <v>157</v>
      </c>
      <c r="G122" s="20" t="s">
        <v>158</v>
      </c>
    </row>
    <row r="123" spans="3:9" x14ac:dyDescent="0.25">
      <c r="C123" s="11">
        <v>0</v>
      </c>
      <c r="D123" s="11">
        <v>0</v>
      </c>
      <c r="E123" s="19">
        <v>18</v>
      </c>
      <c r="G123" s="11">
        <v>0</v>
      </c>
      <c r="H123" s="11">
        <v>0</v>
      </c>
      <c r="I123" s="19">
        <v>0</v>
      </c>
    </row>
    <row r="124" spans="3:9" x14ac:dyDescent="0.25">
      <c r="C124" s="11">
        <v>245100</v>
      </c>
      <c r="D124" s="11">
        <v>44118</v>
      </c>
      <c r="E124" s="19">
        <v>26</v>
      </c>
      <c r="G124" s="11">
        <v>550000</v>
      </c>
      <c r="H124" s="11">
        <v>0</v>
      </c>
      <c r="I124" s="19">
        <v>18</v>
      </c>
    </row>
    <row r="125" spans="3:9" x14ac:dyDescent="0.25">
      <c r="C125" s="11">
        <v>383100</v>
      </c>
      <c r="D125" s="11">
        <v>79998</v>
      </c>
      <c r="E125" s="19">
        <v>31</v>
      </c>
      <c r="G125" s="11">
        <v>770000</v>
      </c>
      <c r="H125" s="11">
        <v>39600</v>
      </c>
      <c r="I125" s="19">
        <v>27</v>
      </c>
    </row>
    <row r="126" spans="3:9" x14ac:dyDescent="0.25">
      <c r="C126" s="11">
        <v>530200</v>
      </c>
      <c r="D126" s="11">
        <v>125599</v>
      </c>
      <c r="E126" s="19">
        <v>36</v>
      </c>
      <c r="G126" s="11">
        <v>1155000</v>
      </c>
      <c r="H126" s="11">
        <v>143550</v>
      </c>
      <c r="I126" s="19">
        <v>36</v>
      </c>
    </row>
    <row r="127" spans="3:5" x14ac:dyDescent="0.25">
      <c r="C127" s="11">
        <v>695800</v>
      </c>
      <c r="D127" s="11">
        <v>185215</v>
      </c>
      <c r="E127" s="19">
        <v>39</v>
      </c>
    </row>
    <row r="128" spans="3:5" x14ac:dyDescent="0.25">
      <c r="C128" s="11">
        <v>887000</v>
      </c>
      <c r="D128" s="11">
        <v>259783</v>
      </c>
      <c r="E128" s="19">
        <v>41</v>
      </c>
    </row>
    <row r="129" spans="3:5" x14ac:dyDescent="0.25">
      <c r="C129" s="11">
        <v>1878600</v>
      </c>
      <c r="D129" s="11">
        <v>666339</v>
      </c>
      <c r="E129" s="19">
        <v>45</v>
      </c>
    </row>
    <row r="130" ht="15" customHeight="1" spans="2:10" x14ac:dyDescent="0.25">
      <c r="B130" s="16" t="s">
        <v>159</v>
      </c>
      <c r="C130" s="16"/>
      <c r="D130" s="16"/>
      <c r="E130" s="16"/>
      <c r="F130" s="16"/>
      <c r="G130" s="16"/>
      <c r="H130" s="16"/>
      <c r="I130" s="16"/>
      <c r="J130" s="16"/>
    </row>
    <row r="132" ht="18" customHeight="1" spans="2:10" x14ac:dyDescent="0.25">
      <c r="B132" s="5" t="s">
        <v>160</v>
      </c>
      <c r="C132" s="6"/>
      <c r="D132" s="6"/>
      <c r="E132" s="6"/>
      <c r="F132" s="6"/>
      <c r="G132" s="6"/>
      <c r="H132" s="6"/>
      <c r="I132" s="6"/>
      <c r="J132" s="6"/>
    </row>
    <row r="133" ht="15" customHeight="1" spans="2:10" x14ac:dyDescent="0.25">
      <c r="B133" s="21">
        <f>IF(SUM(T22:T39)=0,"✓ Every asset taxed on death has a base cost.","✗ "&amp;SUM(T22:T39)&amp;IF(SUM(T22:T39)=1," asset has"," assets have")&amp;" no base cost. Capital gains tax is worked out on the full value (the worst case) until you add it.")</f>
      </c>
      <c r="C133" s="21"/>
      <c r="D133" s="21"/>
      <c r="E133" s="21"/>
      <c r="F133" s="21"/>
      <c r="G133" s="21"/>
      <c r="H133" s="21"/>
      <c r="I133" s="21"/>
      <c r="J133" s="21"/>
    </row>
    <row r="134" ht="15" customHeight="1" spans="2:10" x14ac:dyDescent="0.25">
      <c r="B134" s="21">
        <f>IF(SUM(W22:W39)=0,"✓ Every asset has a kind and says who it passes to.","✗ "&amp;SUM(W22:W39)&amp;IF(SUM(W22:W39)=1," asset is"," assets are")&amp;" missing its kind or who it passes to.")</f>
      </c>
      <c r="C134" s="21"/>
      <c r="D134" s="21"/>
      <c r="E134" s="21"/>
      <c r="F134" s="21"/>
      <c r="G134" s="21"/>
      <c r="H134" s="21"/>
      <c r="I134" s="21"/>
      <c r="J134" s="21"/>
    </row>
    <row r="135" ht="15" customHeight="1" spans="2:10" x14ac:dyDescent="0.25">
      <c r="B135" s="21">
        <f>IF(AND('Inputs'!$C$14="Spouse",LEFT('Inputs'!$C$13,7)&lt;&gt;"Married",'Inputs'!$C$13&lt;&gt;"Life partner",'Inputs'!$C$13&lt;&gt;"Civil Union"),"✗ The residue goes to a spouse, but the marital status is "&amp;'Inputs'!$C$13&amp;".","✓ Who inherits matches the marital status.")</f>
      </c>
      <c r="C135" s="21"/>
      <c r="D135" s="21"/>
      <c r="E135" s="21"/>
      <c r="F135" s="21"/>
      <c r="G135" s="21"/>
      <c r="H135" s="21"/>
      <c r="I135" s="21"/>
      <c r="J135" s="21"/>
    </row>
    <row r="136" ht="15" customHeight="1" spans="2:10" x14ac:dyDescent="0.25">
      <c r="B136" s="21">
        <f>IF(AND('Inputs'!$C$13="Married - ANC with accrual",'Inputs'!$C$14="Spouse"),"✓ Married with accrual and the residue goes to the spouse: the accrual is left out. The spouse's accrual claim and what the spouse inherits are both deducted for estate duty, so it changes neither the duty nor the cash needed (as long as the inheritance is at least the claim).",IF(OR('Inputs'!$C$13="Married in COP",'Inputs'!$C$13="Married - ANC with accrual",'Inputs'!$C$13="Married",'Inputs'!$C$13="Civil Union"),"✗ "&amp;IF(OR('Inputs'!$C$13="Married",'Inputs'!$C$13="Civil Union"),"The marriage regime is not captured.",IF('Inputs'!$C$13="Married in COP","Community of property is not in the Quick FNA yet.","Married with accrual, and not everything goes to the spouse: the accrual claim changes the estate duty."))&amp;" Use the full FNA for this client.","✓ The marital status is one the Quick FNA covers."))</f>
      </c>
      <c r="C136" s="21"/>
      <c r="D136" s="21"/>
      <c r="E136" s="21"/>
      <c r="F136" s="21"/>
      <c r="G136" s="21"/>
      <c r="H136" s="21"/>
      <c r="I136" s="21"/>
      <c r="J136" s="21"/>
    </row>
    <row r="137" ht="15" customHeight="1" spans="2:10" x14ac:dyDescent="0.25">
      <c r="B137" s="21">
        <f>IF((COUNTIF(S22:S39,"&gt;0")+COUNTIF(L59:L70,"&gt;0"))&gt;6,"● "&amp;(COUNTIF(S22:S39,"&gt;0")+COUNTIF(L59:L70,"&gt;0"))&amp;" named people pay estate duty: Workings lists the first 6; the total includes them all.","✓ Every named person who pays estate duty is listed on Workings.")</f>
      </c>
      <c r="C137" s="21"/>
      <c r="D137" s="21"/>
      <c r="E137" s="21"/>
      <c r="F137" s="21"/>
      <c r="G137" s="21"/>
      <c r="H137" s="21"/>
      <c r="I137" s="21"/>
      <c r="J137" s="21"/>
    </row>
    <row r="138" ht="15" customHeight="1" spans="2:10" x14ac:dyDescent="0.25">
      <c r="B138" s="21">
        <f>IF(SUM(P89:P94)=0,IF(COUNTIF(B89:B94,"?*")=0,"● No dependants in section 6, so there is no life cover need (the cost of dying still applies).","✓ Every dependant has a relationship and a need (a month with the years, or once-off)."),"✗ "&amp;SUM(P89:P94)&amp;" dependant(s) in section 6 without a relationship, or without a need (a month with the years, or once-off).")</f>
      </c>
      <c r="C138" s="21"/>
      <c r="D138" s="21"/>
      <c r="E138" s="21"/>
      <c r="F138" s="21"/>
      <c r="G138" s="21"/>
      <c r="H138" s="21"/>
      <c r="I138" s="21"/>
      <c r="J138" s="21"/>
    </row>
    <row r="139" ht="15" customHeight="1" spans="2:10" x14ac:dyDescent="0.25">
      <c r="B139" s="21">
        <f>IF(((C8&lt;&gt;AB8)+(C9&lt;&gt;AB9)+(C10&lt;&gt;AB10)+(C11&lt;&gt;AB11)+(C12&lt;&gt;AB12)+(C13&lt;&gt;AB13)+(C14&lt;&gt;AB14)+(C16&lt;&gt;AB16)+(C17&lt;&gt;AB17)+(C95&lt;&gt;AB95)+(C96&lt;&gt;AB96)+SUMPRODUCT(--(B22:I39&lt;&gt;AA22:AH39))+SUMPRODUCT(--(B45:I54&lt;&gt;AA45:AH54))+SUMPRODUCT(--(B59:I70&lt;&gt;AA59:AH70))+SUMPRODUCT(--(B76:I83&lt;&gt;AA76:AH83))+SUMPRODUCT(--(B89:J94&lt;&gt;AA89:AI94)))=0,"✓ Everything in sections 1 to 6 matches the CRM.","● "&amp;((C8&lt;&gt;AB8)+(C9&lt;&gt;AB9)+(C10&lt;&gt;AB10)+(C11&lt;&gt;AB11)+(C12&lt;&gt;AB12)+(C13&lt;&gt;AB13)+(C14&lt;&gt;AB14)+(C16&lt;&gt;AB16)+(C17&lt;&gt;AB17)+(C95&lt;&gt;AB95)+(C96&lt;&gt;AB96)+SUMPRODUCT(--(B22:I39&lt;&gt;AA22:AH39))+SUMPRODUCT(--(B45:I54&lt;&gt;AA45:AH54))+SUMPRODUCT(--(B59:I70&lt;&gt;AA59:AH70))+SUMPRODUCT(--(B76:I83&lt;&gt;AA76:AH83))+SUMPRODUCT(--(B89:J94&lt;&gt;AA89:AI94)))&amp;IF(((C8&lt;&gt;AB8)+(C9&lt;&gt;AB9)+(C10&lt;&gt;AB10)+(C11&lt;&gt;AB11)+(C12&lt;&gt;AB12)+(C13&lt;&gt;AB13)+(C14&lt;&gt;AB14)+(C16&lt;&gt;AB16)+(C17&lt;&gt;AB17)+(C95&lt;&gt;AB95)+(C96&lt;&gt;AB96)+SUMPRODUCT(--(B22:I39&lt;&gt;AA22:AH39))+SUMPRODUCT(--(B45:I54&lt;&gt;AA45:AH54))+SUMPRODUCT(--(B59:I70&lt;&gt;AA59:AH70))+SUMPRODUCT(--(B76:I83&lt;&gt;AA76:AH83))+SUMPRODUCT(--(B89:J94&lt;&gt;AA89:AI94)))=1," cell differs"," cells differ")&amp;" from the CRM (orange): update the CRM if they are facts, not a what-if.")</f>
      </c>
      <c r="C139" s="21"/>
      <c r="D139" s="21"/>
      <c r="E139" s="21"/>
      <c r="F139" s="21"/>
      <c r="G139" s="21"/>
      <c r="H139" s="21"/>
      <c r="I139" s="21"/>
      <c r="J139" s="21"/>
    </row>
    <row r="140" hidden="1" spans="2:2" x14ac:dyDescent="0.25">
      <c r="B140" t="s">
        <v>161</v>
      </c>
    </row>
    <row r="141" ht="15" customHeight="1" spans="2:10" x14ac:dyDescent="0.25">
      <c r="B141" s="22"/>
      <c r="C141" s="22"/>
      <c r="D141" s="22"/>
      <c r="E141" s="22"/>
      <c r="F141" s="22"/>
      <c r="G141" s="22"/>
      <c r="H141" s="22"/>
      <c r="I141" s="22"/>
      <c r="J141" s="22"/>
    </row>
    <row r="142" ht="15" customHeight="1" spans="2:10" x14ac:dyDescent="0.25">
      <c r="B142" s="22"/>
      <c r="C142" s="22"/>
      <c r="D142" s="22"/>
      <c r="E142" s="22"/>
      <c r="F142" s="22"/>
      <c r="G142" s="22"/>
      <c r="H142" s="22"/>
      <c r="I142" s="22"/>
      <c r="J142" s="22"/>
    </row>
    <row r="143" ht="15" customHeight="1" spans="2:10" x14ac:dyDescent="0.25">
      <c r="B143" s="22"/>
      <c r="C143" s="22"/>
      <c r="D143" s="22"/>
      <c r="E143" s="22"/>
      <c r="F143" s="22"/>
      <c r="G143" s="22"/>
      <c r="H143" s="22"/>
      <c r="I143" s="22"/>
      <c r="J143" s="22"/>
    </row>
    <row r="144" ht="15" customHeight="1" spans="2:10" x14ac:dyDescent="0.25">
      <c r="B144" s="22"/>
      <c r="C144" s="22"/>
      <c r="D144" s="22"/>
      <c r="E144" s="22"/>
      <c r="F144" s="22"/>
      <c r="G144" s="22"/>
      <c r="H144" s="22"/>
      <c r="I144" s="22"/>
      <c r="J144" s="22"/>
    </row>
    <row r="145" ht="15" customHeight="1" spans="2:10" x14ac:dyDescent="0.25">
      <c r="B145" s="22"/>
      <c r="C145" s="22"/>
      <c r="D145" s="22"/>
      <c r="E145" s="22"/>
      <c r="F145" s="22"/>
      <c r="G145" s="22"/>
      <c r="H145" s="22"/>
      <c r="I145" s="22"/>
      <c r="J145" s="22"/>
    </row>
    <row r="146" ht="15" customHeight="1" spans="2:10" x14ac:dyDescent="0.25">
      <c r="B146" s="22"/>
      <c r="C146" s="22"/>
      <c r="D146" s="22"/>
      <c r="E146" s="22"/>
      <c r="F146" s="22"/>
      <c r="G146" s="22"/>
      <c r="H146" s="22"/>
      <c r="I146" s="22"/>
      <c r="J146" s="22"/>
    </row>
    <row r="147" ht="15" customHeight="1" spans="2:10" x14ac:dyDescent="0.25">
      <c r="B147" s="22"/>
      <c r="C147" s="22"/>
      <c r="D147" s="22"/>
      <c r="E147" s="22"/>
      <c r="F147" s="22"/>
      <c r="G147" s="22"/>
      <c r="H147" s="22"/>
      <c r="I147" s="22"/>
      <c r="J147" s="22"/>
    </row>
    <row r="148" ht="15" customHeight="1" spans="2:10" x14ac:dyDescent="0.25">
      <c r="B148" s="22"/>
      <c r="C148" s="22"/>
      <c r="D148" s="22"/>
      <c r="E148" s="22"/>
      <c r="F148" s="22"/>
      <c r="G148" s="22"/>
      <c r="H148" s="22"/>
      <c r="I148" s="22"/>
      <c r="J148" s="22"/>
    </row>
    <row r="149" ht="15" customHeight="1" spans="2:10" x14ac:dyDescent="0.25">
      <c r="B149" s="22"/>
      <c r="C149" s="22"/>
      <c r="D149" s="22"/>
      <c r="E149" s="22"/>
      <c r="F149" s="22"/>
      <c r="G149" s="22"/>
      <c r="H149" s="22"/>
      <c r="I149" s="22"/>
      <c r="J149" s="22"/>
    </row>
    <row r="150" ht="15" customHeight="1" spans="2:10" x14ac:dyDescent="0.25">
      <c r="B150" s="22"/>
      <c r="C150" s="22"/>
      <c r="D150" s="22"/>
      <c r="E150" s="22"/>
      <c r="F150" s="22"/>
      <c r="G150" s="22"/>
      <c r="H150" s="22"/>
      <c r="I150" s="22"/>
      <c r="J150" s="22"/>
    </row>
    <row r="151" ht="15" customHeight="1" spans="2:10" x14ac:dyDescent="0.25">
      <c r="B151" s="22"/>
      <c r="C151" s="22"/>
      <c r="D151" s="22"/>
      <c r="E151" s="22"/>
      <c r="F151" s="22"/>
      <c r="G151" s="22"/>
      <c r="H151" s="22"/>
      <c r="I151" s="22"/>
      <c r="J151" s="22"/>
    </row>
    <row r="152" ht="15" customHeight="1" spans="2:10" x14ac:dyDescent="0.25">
      <c r="B152" s="22"/>
      <c r="C152" s="22"/>
      <c r="D152" s="22"/>
      <c r="E152" s="22"/>
      <c r="F152" s="22"/>
      <c r="G152" s="22"/>
      <c r="H152" s="22"/>
      <c r="I152" s="22"/>
      <c r="J152" s="22"/>
    </row>
    <row r="153" ht="15" customHeight="1" spans="2:10" x14ac:dyDescent="0.25">
      <c r="B153" s="22"/>
      <c r="C153" s="22"/>
      <c r="D153" s="22"/>
      <c r="E153" s="22"/>
      <c r="F153" s="22"/>
      <c r="G153" s="22"/>
      <c r="H153" s="22"/>
      <c r="I153" s="22"/>
      <c r="J153" s="22"/>
    </row>
    <row r="154" ht="15" customHeight="1" spans="2:10" x14ac:dyDescent="0.25">
      <c r="B154" s="22"/>
      <c r="C154" s="22"/>
      <c r="D154" s="22"/>
      <c r="E154" s="22"/>
      <c r="F154" s="22"/>
      <c r="G154" s="22"/>
      <c r="H154" s="22"/>
      <c r="I154" s="22"/>
      <c r="J154" s="22"/>
    </row>
  </sheetData>
  <sheetProtection sheet="1" formatRows="0"/>
  <mergeCells count="75">
    <mergeCell ref="B1:J1"/>
    <mergeCell ref="B2:J2"/>
    <mergeCell ref="C8:E8"/>
    <mergeCell ref="C9:E9"/>
    <mergeCell ref="C10:E10"/>
    <mergeCell ref="C11:E11"/>
    <mergeCell ref="C12:E12"/>
    <mergeCell ref="C13:E13"/>
    <mergeCell ref="C14:E14"/>
    <mergeCell ref="C15:I15"/>
    <mergeCell ref="C16:E16"/>
    <mergeCell ref="C17:I17"/>
    <mergeCell ref="B40:J40"/>
    <mergeCell ref="F58:H58"/>
    <mergeCell ref="F59:H59"/>
    <mergeCell ref="F60:H60"/>
    <mergeCell ref="F61:H61"/>
    <mergeCell ref="F62:H62"/>
    <mergeCell ref="F63:H63"/>
    <mergeCell ref="F64:H64"/>
    <mergeCell ref="F65:H65"/>
    <mergeCell ref="F66:H66"/>
    <mergeCell ref="F67:H67"/>
    <mergeCell ref="F68:H68"/>
    <mergeCell ref="F69:H69"/>
    <mergeCell ref="F70:H70"/>
    <mergeCell ref="B71:J71"/>
    <mergeCell ref="F75:H75"/>
    <mergeCell ref="F76:H76"/>
    <mergeCell ref="F77:H77"/>
    <mergeCell ref="F78:H78"/>
    <mergeCell ref="F79:H79"/>
    <mergeCell ref="F80:H80"/>
    <mergeCell ref="F81:H81"/>
    <mergeCell ref="F82:H82"/>
    <mergeCell ref="F83:H83"/>
    <mergeCell ref="B84:J84"/>
    <mergeCell ref="C95:E95"/>
    <mergeCell ref="C96:E96"/>
    <mergeCell ref="B97:J97"/>
    <mergeCell ref="B106:J106"/>
    <mergeCell ref="E109:G109"/>
    <mergeCell ref="E110:G110"/>
    <mergeCell ref="E111:G111"/>
    <mergeCell ref="E112:G112"/>
    <mergeCell ref="E113:G113"/>
    <mergeCell ref="E114:G114"/>
    <mergeCell ref="E115:G115"/>
    <mergeCell ref="E116:G116"/>
    <mergeCell ref="E117:G117"/>
    <mergeCell ref="E118:G118"/>
    <mergeCell ref="E119:G119"/>
    <mergeCell ref="E120:G120"/>
    <mergeCell ref="B130:J130"/>
    <mergeCell ref="B133:J133"/>
    <mergeCell ref="B134:J134"/>
    <mergeCell ref="B135:J135"/>
    <mergeCell ref="B136:J136"/>
    <mergeCell ref="B137:J137"/>
    <mergeCell ref="B138:J138"/>
    <mergeCell ref="B139:J139"/>
    <mergeCell ref="B141:J141"/>
    <mergeCell ref="B142:J142"/>
    <mergeCell ref="B143:J143"/>
    <mergeCell ref="B144:J144"/>
    <mergeCell ref="B145:J145"/>
    <mergeCell ref="B146:J146"/>
    <mergeCell ref="B147:J147"/>
    <mergeCell ref="B148:J148"/>
    <mergeCell ref="B149:J149"/>
    <mergeCell ref="B150:J150"/>
    <mergeCell ref="B151:J151"/>
    <mergeCell ref="B152:J152"/>
    <mergeCell ref="B153:J153"/>
    <mergeCell ref="B154:J154"/>
  </mergeCells>
  <conditionalFormatting sqref="B133:J154">
    <cfRule type="expression" dxfId="0" priority="1">
      <formula>LEFT($B133,1)="✗"</formula>
    </cfRule>
    <cfRule type="expression" dxfId="1" priority="2">
      <formula>LEFT($B133,1)="✓"</formula>
    </cfRule>
    <cfRule type="expression" dxfId="2" priority="3">
      <formula>LEFT($B133,1)="●"</formula>
    </cfRule>
  </conditionalFormatting>
  <conditionalFormatting sqref="C8">
    <cfRule type="expression" dxfId="3" priority="4">
      <formula>C8&lt;&gt;AB8</formula>
    </cfRule>
  </conditionalFormatting>
  <conditionalFormatting sqref="C9">
    <cfRule type="expression" dxfId="4" priority="5">
      <formula>C9&lt;&gt;AB9</formula>
    </cfRule>
  </conditionalFormatting>
  <conditionalFormatting sqref="C10">
    <cfRule type="expression" dxfId="5" priority="6">
      <formula>C10&lt;&gt;AB10</formula>
    </cfRule>
  </conditionalFormatting>
  <conditionalFormatting sqref="C11">
    <cfRule type="expression" dxfId="6" priority="7">
      <formula>C11&lt;&gt;AB11</formula>
    </cfRule>
  </conditionalFormatting>
  <conditionalFormatting sqref="C12">
    <cfRule type="expression" dxfId="7" priority="8">
      <formula>C12&lt;&gt;AB12</formula>
    </cfRule>
  </conditionalFormatting>
  <conditionalFormatting sqref="C13">
    <cfRule type="expression" dxfId="8" priority="9">
      <formula>C13&lt;&gt;AB13</formula>
    </cfRule>
  </conditionalFormatting>
  <conditionalFormatting sqref="C14">
    <cfRule type="expression" dxfId="9" priority="10">
      <formula>C14&lt;&gt;AB14</formula>
    </cfRule>
  </conditionalFormatting>
  <conditionalFormatting sqref="C16">
    <cfRule type="expression" dxfId="10" priority="11">
      <formula>C16&lt;&gt;AB16</formula>
    </cfRule>
  </conditionalFormatting>
  <conditionalFormatting sqref="C17">
    <cfRule type="expression" dxfId="11" priority="12">
      <formula>C17&lt;&gt;AB17</formula>
    </cfRule>
  </conditionalFormatting>
  <conditionalFormatting sqref="C95">
    <cfRule type="expression" dxfId="12" priority="13">
      <formula>C95&lt;&gt;AB95</formula>
    </cfRule>
  </conditionalFormatting>
  <conditionalFormatting sqref="C96">
    <cfRule type="expression" dxfId="13" priority="14">
      <formula>C96&lt;&gt;AB96</formula>
    </cfRule>
  </conditionalFormatting>
  <conditionalFormatting sqref="B22:I39">
    <cfRule type="expression" dxfId="14" priority="15">
      <formula>B22&lt;&gt;AA22</formula>
    </cfRule>
  </conditionalFormatting>
  <conditionalFormatting sqref="B45:I54">
    <cfRule type="expression" dxfId="15" priority="16">
      <formula>B45&lt;&gt;AA45</formula>
    </cfRule>
  </conditionalFormatting>
  <conditionalFormatting sqref="B59:I70">
    <cfRule type="expression" dxfId="16" priority="17">
      <formula>B59&lt;&gt;AA59</formula>
    </cfRule>
  </conditionalFormatting>
  <conditionalFormatting sqref="B76:I83">
    <cfRule type="expression" dxfId="17" priority="18">
      <formula>B76&lt;&gt;AA76</formula>
    </cfRule>
  </conditionalFormatting>
  <conditionalFormatting sqref="B89:J94">
    <cfRule type="expression" dxfId="18" priority="19">
      <formula>B89&lt;&gt;AA89</formula>
    </cfRule>
  </conditionalFormatting>
  <dataValidations count="47">
    <dataValidation type="decimal" allowBlank="1" showErrorMessage="1" errorStyle="stop" errorTitle="Percentage" error="Please type the percentage as a plain number, e.g. 2.92 for 2.92%. Do not add the % sign." sqref="C101">
      <formula1>0</formula1>
      <formula2>100</formula2>
    </dataValidation>
    <dataValidation type="decimal" operator="greaterThanOrEqual" allowBlank="1" showErrorMessage="1" errorStyle="stop" errorTitle="Amount" error="Please type the amount in rand as a number, without R or spaces, e.g. 1250000." sqref="C102">
      <formula1>0</formula1>
    </dataValidation>
    <dataValidation type="decimal" allowBlank="1" showErrorMessage="1" errorStyle="stop" errorTitle="Percentage" error="Please type the percentage as a plain number, e.g. 2.92 for 2.92%. Do not add the % sign." sqref="C103">
      <formula1>0</formula1>
      <formula2>100</formula2>
    </dataValidation>
    <dataValidation type="decimal" operator="greaterThanOrEqual" allowBlank="1" showErrorMessage="1" errorStyle="stop" errorTitle="Amount" error="Please type the amount in rand as a number, without R or spaces, e.g. 1250000." sqref="C104:C105">
      <formula1>0</formula1>
    </dataValidation>
    <dataValidation type="decimal" allowBlank="1" showErrorMessage="1" errorStyle="stop" errorTitle="Percentage" error="Please type the percentage as a plain number, e.g. 2.92 for 2.92%. Do not add the % sign." sqref="C109:C110">
      <formula1>0</formula1>
      <formula2>100</formula2>
    </dataValidation>
    <dataValidation type="date" allowBlank="1" showErrorMessage="1" errorStyle="stop" errorTitle="Date" error="Please type a date like 2026-10-13." sqref="C11:C12">
      <formula1>32874</formula1>
      <formula2>73415</formula2>
    </dataValidation>
    <dataValidation type="decimal" operator="greaterThanOrEqual" allowBlank="1" showErrorMessage="1" errorStyle="stop" errorTitle="Amount" error="Please type the amount in rand as a number, without R or spaces, e.g. 1250000." sqref="C111:C113">
      <formula1>0</formula1>
    </dataValidation>
    <dataValidation type="decimal" allowBlank="1" showErrorMessage="1" errorStyle="stop" errorTitle="Percentage" error="Please type the percentage as a plain number, e.g. 2.92 for 2.92%. Do not add the % sign." sqref="C114:C115">
      <formula1>0</formula1>
      <formula2>100</formula2>
    </dataValidation>
    <dataValidation type="decimal" operator="greaterThanOrEqual" allowBlank="1" showErrorMessage="1" errorStyle="stop" errorTitle="Amount" error="Please type the amount in rand as a number, without R or spaces, e.g. 1250000." sqref="C116">
      <formula1>0</formula1>
    </dataValidation>
    <dataValidation type="decimal" allowBlank="1" showErrorMessage="1" errorStyle="stop" errorTitle="Percentage" error="Please type the percentage as a plain number, e.g. 2.92 for 2.92%. Do not add the % sign." sqref="C117">
      <formula1>0</formula1>
      <formula2>100</formula2>
    </dataValidation>
    <dataValidation type="decimal" operator="greaterThanOrEqual" allowBlank="1" showErrorMessage="1" errorStyle="stop" errorTitle="Amount" error="Please type the amount in rand as a number, without R or spaces, e.g. 1250000." sqref="C118">
      <formula1>0</formula1>
    </dataValidation>
    <dataValidation type="decimal" allowBlank="1" showErrorMessage="1" errorStyle="stop" errorTitle="Percentage" error="Please type the percentage as a plain number, e.g. 2.92 for 2.92%. Do not add the % sign." sqref="C119">
      <formula1>0</formula1>
      <formula2>100</formula2>
    </dataValidation>
    <dataValidation type="decimal" operator="greaterThanOrEqual" allowBlank="1" showErrorMessage="1" errorStyle="stop" errorTitle="Amount" error="Please type the amount in rand as a number, without R or spaces, e.g. 1250000." sqref="C120">
      <formula1>0</formula1>
    </dataValidation>
    <dataValidation type="decimal" operator="greaterThanOrEqual" allowBlank="1" showErrorMessage="1" errorStyle="stop" errorTitle="Amount" error="Please type the amount in rand as a number, without R or spaces, e.g. 1250000." sqref="C123:D129">
      <formula1>0</formula1>
    </dataValidation>
    <dataValidation type="list" allowBlank="1" showErrorMessage="1" errorStyle="stop" errorTitle="Please choose from the list" error="Please choose one of the options in the list." sqref="C13">
      <formula1>'Lists'!$I$2:$I$12</formula1>
    </dataValidation>
    <dataValidation type="list" allowBlank="1" showErrorMessage="1" errorStyle="stop" errorTitle="Please choose from the list" error="Please choose one of the options in the list." sqref="C14">
      <formula1>'Lists'!$E$2:$E$3</formula1>
    </dataValidation>
    <dataValidation type="decimal" operator="greaterThanOrEqual" allowBlank="1" showErrorMessage="1" errorStyle="stop" errorTitle="Amount" error="Please type the amount in rand as a number, without R or spaces, e.g. 1250000." sqref="C16">
      <formula1>0</formula1>
    </dataValidation>
    <dataValidation type="list" allowBlank="1" showErrorMessage="1" errorStyle="stop" errorTitle="Please choose from the list" error="Please choose one of the options in the list." sqref="C22:C39">
      <formula1>'Lists'!$A$2:$A$9</formula1>
    </dataValidation>
    <dataValidation type="list" allowBlank="1" showErrorMessage="1" errorStyle="stop" errorTitle="Please choose from the list" error="Please choose one of the options in the list." sqref="C59:C70">
      <formula1>'Lists'!$C$2:$C$4</formula1>
    </dataValidation>
    <dataValidation type="list" allowBlank="1" showErrorMessage="1" errorStyle="stop" errorTitle="Please choose from the list" error="Please choose one of the options in the list." sqref="C89:C94">
      <formula1>'Lists'!$F$2:$F$4</formula1>
    </dataValidation>
    <dataValidation type="list" allowBlank="1" showErrorMessage="1" errorStyle="stop" errorTitle="Please choose from the list" error="Please choose one of the options in the list." sqref="C95">
      <formula1>'Lists'!$G$2:$G$3</formula1>
    </dataValidation>
    <dataValidation type="list" allowBlank="1" showErrorMessage="1" errorStyle="stop" errorTitle="Please choose from the list" error="Please choose one of the options in the list." sqref="C96">
      <formula1>'Lists'!$H$2:$H$3</formula1>
    </dataValidation>
    <dataValidation type="decimal" operator="greaterThanOrEqual" allowBlank="1" showErrorMessage="1" errorStyle="stop" errorTitle="Amount" error="Please type the amount in rand as a number, without R or spaces, e.g. 1250000." sqref="D22:E39">
      <formula1>0</formula1>
    </dataValidation>
    <dataValidation type="decimal" operator="greaterThanOrEqual" allowBlank="1" showErrorMessage="1" errorStyle="stop" errorTitle="Amount" error="Please type the amount in rand as a number, without R or spaces, e.g. 1250000." sqref="D45:D54">
      <formula1>0</formula1>
    </dataValidation>
    <dataValidation type="decimal" operator="greaterThanOrEqual" allowBlank="1" showErrorMessage="1" errorStyle="stop" errorTitle="Amount" error="Please type the amount in rand as a number, without R or spaces, e.g. 1250000." sqref="D59:D70">
      <formula1>0</formula1>
    </dataValidation>
    <dataValidation type="decimal" operator="greaterThanOrEqual" allowBlank="1" showErrorMessage="1" errorStyle="stop" errorTitle="Amount" error="Please type the amount in rand as a number, without R or spaces, e.g. 1250000." sqref="D76:D83">
      <formula1>0</formula1>
    </dataValidation>
    <dataValidation type="whole" allowBlank="1" showErrorMessage="1" errorStyle="stop" errorTitle="Years" error="Please type the number of years as a whole number, e.g. 10." sqref="D89:D94">
      <formula1>0</formula1>
      <formula2>60</formula2>
    </dataValidation>
    <dataValidation type="decimal" allowBlank="1" showErrorMessage="1" errorStyle="stop" errorTitle="Percentage" error="Please type the percentage as a plain number, e.g. 2.92 for 2.92%. Do not add the % sign." sqref="E123:E129">
      <formula1>0</formula1>
      <formula2>100</formula2>
    </dataValidation>
    <dataValidation type="list" allowBlank="1" showErrorMessage="1" errorStyle="stop" errorTitle="Please choose from the list" error="Please choose one of the options in the list." sqref="E59:E70">
      <formula1>'Lists'!$D$2:$D$3</formula1>
    </dataValidation>
    <dataValidation type="decimal" operator="greaterThanOrEqual" allowBlank="1" showErrorMessage="1" errorStyle="stop" errorTitle="Amount" error="Please type the amount in rand as a number, without R or spaces, e.g. 1250000." sqref="E89:E94">
      <formula1>0</formula1>
    </dataValidation>
    <dataValidation type="list" allowBlank="1" showErrorMessage="1" errorStyle="stop" errorTitle="Please choose from the list" error="Please choose one of the options in the list." sqref="F22:F39">
      <formula1>'Lists'!$D$2:$D$3</formula1>
    </dataValidation>
    <dataValidation type="list" allowBlank="1" showErrorMessage="1" errorStyle="stop" errorTitle="Please choose from the list" error="Choose one of the people in section 6, or the children's trust, or leave it blank." sqref="F59:F70">
      <formula1>QF_L_whom</formula1>
    </dataValidation>
    <dataValidation type="list" allowBlank="1" showErrorMessage="1" errorStyle="stop" errorTitle="Please choose from the list" error="Choose one of the people in section 6, or the children's trust, or leave it blank." sqref="F76:F83">
      <formula1>QF_L_whom</formula1>
    </dataValidation>
    <dataValidation type="whole" allowBlank="1" showErrorMessage="1" errorStyle="stop" errorTitle="Years" error="Please type the number of years as a whole number, e.g. 10." sqref="F89:F94">
      <formula1>0</formula1>
      <formula2>60</formula2>
    </dataValidation>
    <dataValidation type="decimal" operator="greaterThanOrEqual" allowBlank="1" showErrorMessage="1" errorStyle="stop" errorTitle="Amount" error="Please type the amount in rand as a number, without R or spaces, e.g. 1250000." sqref="G123:H126">
      <formula1>0</formula1>
    </dataValidation>
    <dataValidation type="list" allowBlank="1" showErrorMessage="1" errorStyle="stop" errorTitle="Please choose from the list" error="Please choose one of the options in the list." sqref="G22:G39">
      <formula1>'Lists'!$B$2:$B$4</formula1>
    </dataValidation>
    <dataValidation type="decimal" allowBlank="1" showErrorMessage="1" errorStyle="stop" errorTitle="Percentage" error="Please type the percentage as a plain number, e.g. 2.92 for 2.92%. Do not add the % sign." sqref="G89:G94">
      <formula1>0</formula1>
      <formula2>100</formula2>
    </dataValidation>
    <dataValidation type="decimal" allowBlank="1" showErrorMessage="1" errorStyle="stop" errorTitle="Percentage" error="Please type the percentage as a plain number, e.g. 2.92 for 2.92%. Do not add the % sign." sqref="H109">
      <formula1>0</formula1>
      <formula2>100</formula2>
    </dataValidation>
    <dataValidation type="decimal" operator="greaterThanOrEqual" allowBlank="1" showErrorMessage="1" errorStyle="stop" errorTitle="Amount" error="Please type the amount in rand as a number, without R or spaces, e.g. 1250000." sqref="H110">
      <formula1>0</formula1>
    </dataValidation>
    <dataValidation type="decimal" allowBlank="1" showErrorMessage="1" errorStyle="stop" errorTitle="Percentage" error="Please type the percentage as a plain number, e.g. 2.92 for 2.92%. Do not add the % sign." sqref="H111:H112">
      <formula1>0</formula1>
      <formula2>100</formula2>
    </dataValidation>
    <dataValidation type="decimal" operator="greaterThanOrEqual" allowBlank="1" showErrorMessage="1" errorStyle="stop" errorTitle="Amount" error="Please type the amount in rand as a number, without R or spaces, e.g. 1250000." sqref="H113">
      <formula1>0</formula1>
    </dataValidation>
    <dataValidation type="decimal" allowBlank="1" showErrorMessage="1" errorStyle="stop" errorTitle="Percentage" error="Please type the percentage as a plain number, e.g. 2.92 for 2.92%. Do not add the % sign." sqref="H114:H118">
      <formula1>0</formula1>
      <formula2>100</formula2>
    </dataValidation>
    <dataValidation type="decimal" operator="greaterThanOrEqual" allowBlank="1" showErrorMessage="1" errorStyle="stop" errorTitle="Amount" error="Please type the amount in rand as a number, without R or spaces, e.g. 1250000." sqref="H119:H120">
      <formula1>0</formula1>
    </dataValidation>
    <dataValidation type="list" allowBlank="1" showErrorMessage="1" errorStyle="stop" errorTitle="Please choose from the list" error="Please choose one of the options in the list." sqref="H22:H39">
      <formula1>'Lists'!$D$2:$D$3</formula1>
    </dataValidation>
    <dataValidation type="list" allowBlank="1" showErrorMessage="1" errorStyle="stop" errorTitle="Please choose from the list" error="Please choose one of the options in the list." sqref="H89:H94">
      <formula1>'Lists'!$D$2:$D$3</formula1>
    </dataValidation>
    <dataValidation type="decimal" allowBlank="1" showErrorMessage="1" errorStyle="stop" errorTitle="Percentage" error="Please type the percentage as a plain number, e.g. 2.92 for 2.92%. Do not add the % sign." sqref="I123:I126">
      <formula1>0</formula1>
      <formula2>100</formula2>
    </dataValidation>
    <dataValidation type="decimal" operator="greaterThanOrEqual" allowBlank="1" showErrorMessage="1" errorStyle="stop" errorTitle="Amount" error="Please type the amount in rand as a number, without R or spaces, e.g. 1250000." sqref="I89:J94">
      <formula1>0</formula1>
    </dataValidation>
  </dataValidation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Quick FNA inputs&amp;R&amp;8&amp;"Arial"&amp;A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6"/>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1" customWidth="1"/>
    <col min="4" max="4" width="27" customWidth="1"/>
  </cols>
  <sheetData>
    <row r="1" ht="21.75" customHeight="1" spans="2:4" x14ac:dyDescent="0.25">
      <c r="B1" s="1" t="s">
        <v>49</v>
      </c>
      <c r="C1" s="1"/>
      <c r="D1" s="1"/>
    </row>
    <row r="2" ht="15" customHeight="1" spans="2:4" x14ac:dyDescent="0.25">
      <c r="B2" s="2" t="s">
        <v>50</v>
      </c>
      <c r="C2" s="2"/>
      <c r="D2" s="2"/>
    </row>
    <row r="3" spans="2:4" x14ac:dyDescent="0.25">
      <c r="B3" s="23">
        <f>IF(OR(COUNTIF('Inputs'!$B$141:$B$154,"✗ Full FNA*")&gt;0,LEFT('Inputs'!$B$136,1)="✗"),"NOT FOR THE CLIENT: this case needs the full FNA (see Checks on Inputs)","")</f>
      </c>
      <c r="C3" s="23"/>
      <c r="D3" s="23"/>
    </row>
    <row r="4" ht="20" customHeight="1" spans="2:2" x14ac:dyDescent="0.25">
      <c r="B4" s="3" t="s">
        <v>162</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58" customHeight="1" spans="2:4" x14ac:dyDescent="0.25">
      <c r="B7" s="24">
        <f>IF('Inputs'!$C$15&lt;&gt;"",TRIM('Inputs'!$C$15)&amp;" ","")&amp;"If you died today, winding up your estate would cost about R "&amp;FIXED(('Workings'!$C$58)/1000000,2)&amp;" million"&amp;IF('Workings'!$C$61&gt;0,", and your debts of R "&amp;FIXED(('Workings'!$C$61)/1000000,2)&amp;" million have to be paid too","")&amp;". Your executor would have R "&amp;FIXED(('Workings'!$C$65)/1000000,2)&amp;" million in cash, so "&amp;IF('Workings'!$C$66&gt;0,"would be short by about R "&amp;FIXED(('Workings'!$C$66)/1000000,2)&amp;" million.","would have enough, with about R "&amp;FIXED(ROUND('Workings'!$C$67,-3),0)&amp;" left over.")</f>
      </c>
      <c r="C7" s="24"/>
      <c r="D7" s="24"/>
    </row>
    <row r="8" ht="44" customHeight="1" spans="2:4" x14ac:dyDescent="0.25">
      <c r="B8" s="24">
        <f>IF(AND(ISNUMBER('Inputs'!$C$101),'Inputs'!$C$101&gt;0),"With a Capital Legacy will and the Legacy Protection Plan, the plan pays about R "&amp;FIXED(ROUND(-'Workings'!$D$59,-3),0)&amp;" of the executor's and conveyancing fees, "&amp;IF('Workings'!$D$66=0,IF('Workings'!$C$66&gt;0,"the shortfall disappears","your executor still has enough"),"the shortfall falls to about R "&amp;FIXED(ROUND('Workings'!$D$66,-3),0))&amp;", and your heirs receive about R "&amp;FIXED(('Workings'!$D$68-'Workings'!$C$68)/1000000,2)&amp;" million more.","")</f>
      </c>
      <c r="C8" s="24"/>
      <c r="D8" s="24"/>
    </row>
    <row r="10" spans="2:4" x14ac:dyDescent="0.25">
      <c r="B10" s="25">
        <f>IF('Workings'!$C$66&gt;0,"YOUR EXECUTOR'S CASH SHORTFALL TODAY","CASH LEFT OVER FOR YOUR EXECUTOR TODAY")</f>
      </c>
      <c r="C10" s="25"/>
      <c r="D10" s="25"/>
    </row>
    <row r="11" ht="28" customHeight="1" spans="2:4" x14ac:dyDescent="0.25">
      <c r="B11" s="26">
        <f>"R "&amp;FIXED(ROUND(IF('Workings'!$C$66&gt;0,'Workings'!$C$66,'Workings'!$C$67),-3),0)</f>
      </c>
      <c r="C11" s="26"/>
      <c r="D11" s="26"/>
    </row>
    <row r="12" spans="2:4" x14ac:dyDescent="0.25">
      <c r="B12" s="27">
        <f>IF('Workings'!$C$66&gt;0,"the cash that has to be found before your estate can be wound up","what is left once the costs are paid")</f>
      </c>
      <c r="C12" s="27"/>
      <c r="D12" s="27"/>
    </row>
    <row r="14" ht="42" customHeight="1" spans="2:4" x14ac:dyDescent="0.25">
      <c r="B14" s="12" t="s">
        <v>163</v>
      </c>
      <c r="C14" s="13" t="s">
        <v>164</v>
      </c>
      <c r="D14" s="13">
        <f>IF(AND(ISNUMBER('Inputs'!$C$101),'Inputs'!$C$101&gt;0),"With a Capital Legacy will and the Legacy Protection Plan","Capital Legacy column: enter the quote on Inputs")</f>
      </c>
    </row>
    <row r="15" spans="2:4" x14ac:dyDescent="0.25">
      <c r="B15" s="7" t="s">
        <v>165</v>
      </c>
      <c r="C15" s="15">
        <f>'Workings'!$C$57</f>
      </c>
      <c r="D15" s="15">
        <f>IF(AND(ISNUMBER('Inputs'!$C$101),'Inputs'!$C$101&gt;0),'Workings'!$D$57,"")</f>
      </c>
    </row>
    <row r="16" spans="2:4" x14ac:dyDescent="0.25">
      <c r="B16" s="7" t="s">
        <v>166</v>
      </c>
      <c r="C16" s="15">
        <f>'Workings'!$C$56</f>
      </c>
      <c r="D16" s="15">
        <f>IF(AND(ISNUMBER('Inputs'!$C$101),'Inputs'!$C$101&gt;0),'Workings'!$D$56,"")</f>
      </c>
    </row>
    <row r="17" ht="27" customHeight="1" spans="2:4" x14ac:dyDescent="0.25">
      <c r="B17" s="28">
        <f>"Executor's fees"&amp;CHAR(10)&amp;IF(ROUND('Inputs'!$C$109,0)='Inputs'!$C$109,FIXED('Inputs'!$C$109,0),IF(ROUND('Inputs'!$C$109,1)='Inputs'!$C$109,FIXED('Inputs'!$C$109,1),FIXED('Inputs'!$C$109,2)))&amp;"%"&amp;" plus VAT"&amp;IF(AND(ISNUMBER('Inputs'!$C$101),'Inputs'!$C$101&gt;0)," / Capital Legacy "&amp;IF(ROUND('Inputs'!$C$101,0)='Inputs'!$C$101,FIXED('Inputs'!$C$101,0),IF(ROUND('Inputs'!$C$101,1)='Inputs'!$C$101,FIXED('Inputs'!$C$101,1),FIXED('Inputs'!$C$101,2)))&amp;"%"&amp;" plus VAT","")</f>
      </c>
      <c r="C17" s="15">
        <f>'Workings'!$C$53</f>
      </c>
      <c r="D17" s="15">
        <f>IF(AND(ISNUMBER('Inputs'!$C$101),'Inputs'!$C$101&gt;0),'Workings'!$D$53,"")</f>
      </c>
    </row>
    <row r="18" ht="27" customHeight="1" spans="2:4" x14ac:dyDescent="0.25">
      <c r="B18" s="28">
        <f>"Property transfer and conveyancing"&amp;CHAR(10)&amp;IF(ROUND('Inputs'!$C$114,0)='Inputs'!$C$114,FIXED('Inputs'!$C$114,0),IF(ROUND('Inputs'!$C$114,1)='Inputs'!$C$114,FIXED('Inputs'!$C$114,1),FIXED('Inputs'!$C$114,2)))&amp;"%"&amp;" of value"&amp;IF(AND(ISNUMBER('Inputs'!$C$101),'Inputs'!$C$101&gt;0)," / Capital Legacy's estimate","")</f>
      </c>
      <c r="C18" s="15">
        <f>'Workings'!$C$54</f>
      </c>
      <c r="D18" s="15">
        <f>IF(AND(ISNUMBER('Inputs'!$C$101),'Inputs'!$C$101&gt;0),'Workings'!$D$54,"")</f>
      </c>
    </row>
    <row r="19" spans="2:4" x14ac:dyDescent="0.25">
      <c r="B19" s="7" t="s">
        <v>167</v>
      </c>
      <c r="C19" s="15">
        <f>'Workings'!$C$55</f>
      </c>
      <c r="D19" s="15">
        <f>IF(AND(ISNUMBER('Inputs'!$C$101),'Inputs'!$C$101&gt;0),'Workings'!$D$55,"")</f>
      </c>
    </row>
    <row r="20" spans="2:4" x14ac:dyDescent="0.25">
      <c r="B20" s="7" t="s">
        <v>168</v>
      </c>
      <c r="C20" s="15">
        <f>'Workings'!$C$52</f>
      </c>
      <c r="D20" s="15">
        <f>IF(AND(ISNUMBER('Inputs'!$C$101),'Inputs'!$C$101&gt;0),'Workings'!$D$52,"")</f>
      </c>
    </row>
    <row r="21" spans="2:4" x14ac:dyDescent="0.25">
      <c r="B21" s="29" t="s">
        <v>169</v>
      </c>
      <c r="C21" s="30">
        <f>'Workings'!$C$58</f>
      </c>
      <c r="D21" s="30">
        <f>IF(AND(ISNUMBER('Inputs'!$C$101),'Inputs'!$C$101&gt;0),'Workings'!$D$58,"")</f>
      </c>
    </row>
    <row r="22" spans="2:4" x14ac:dyDescent="0.25">
      <c r="B22" s="7" t="s">
        <v>170</v>
      </c>
      <c r="C22" s="15">
        <f>-'Workings'!$C$59</f>
      </c>
      <c r="D22" s="15">
        <f>IF(AND(ISNUMBER('Inputs'!$C$101),'Inputs'!$C$101&gt;0),-'Workings'!$D$59,"")</f>
      </c>
    </row>
    <row r="23" spans="2:4" x14ac:dyDescent="0.25">
      <c r="B23" s="29" t="s">
        <v>171</v>
      </c>
      <c r="C23" s="30">
        <f>'Workings'!$C$60</f>
      </c>
      <c r="D23" s="30">
        <f>IF(AND(ISNUMBER('Inputs'!$C$101),'Inputs'!$C$101&gt;0),'Workings'!$D$60,"")</f>
      </c>
    </row>
    <row r="24" spans="2:4" x14ac:dyDescent="0.25">
      <c r="B24" s="7" t="s">
        <v>172</v>
      </c>
      <c r="C24" s="15">
        <f>'Workings'!$C$61</f>
      </c>
      <c r="D24" s="15">
        <f>IF(AND(ISNUMBER('Inputs'!$C$101),'Inputs'!$C$101&gt;0),'Workings'!$D$61,"")</f>
      </c>
    </row>
    <row r="25" ht="27" customHeight="1" spans="2:4" x14ac:dyDescent="0.25">
      <c r="B25" s="28">
        <f>"Cash your executor has"&amp;CHAR(10)&amp;"bank accounts, deposits and investments cashed in"</f>
      </c>
      <c r="C25" s="15">
        <f>'Workings'!$C$65</f>
      </c>
      <c r="D25" s="15">
        <f>IF(AND(ISNUMBER('Inputs'!$C$101),'Inputs'!$C$101&gt;0),'Workings'!$D$65,"")</f>
      </c>
    </row>
    <row r="26" spans="2:4" x14ac:dyDescent="0.25">
      <c r="B26" s="20" t="s">
        <v>173</v>
      </c>
      <c r="C26" s="31">
        <f>IF('Workings'!$C$66&gt;0,"Short R "&amp;FIXED(ROUND('Workings'!$C$66,-3),0),"Covered: R "&amp;FIXED(ROUND('Workings'!$C$67,-3),0)&amp;" left over")</f>
      </c>
      <c r="D26" s="31">
        <f>IF(AND(ISNUMBER('Inputs'!$C$101),'Inputs'!$C$101&gt;0),IF('Workings'!$D$66&gt;0,"Short R "&amp;FIXED(ROUND('Workings'!$D$66,-3),0),"Covered: R "&amp;FIXED(ROUND('Workings'!$D$67,-3),0)&amp;" left over"),"")</f>
      </c>
    </row>
    <row r="27" ht="27" customHeight="1" spans="2:4" x14ac:dyDescent="0.25">
      <c r="B27" s="28">
        <f>IF(OR(SUM('Inputs'!$R$22:$R$39)&gt;0,'Inputs'!$C$14="Spouse"),"Left for your spouse and heirs","Left for your heirs")&amp;IF('Workings'!$C$66&gt;0,CHAR(10)&amp;"if they pay any shortfall in","")</f>
      </c>
      <c r="C27" s="15">
        <f>'Workings'!$C$68</f>
      </c>
      <c r="D27" s="32">
        <f>IF(AND(ISNUMBER('Inputs'!$C$101),'Inputs'!$C$101&gt;0),'Workings'!$D$68,"")</f>
      </c>
    </row>
    <row r="28" spans="2:4" x14ac:dyDescent="0.25">
      <c r="B28" s="7" t="s">
        <v>174</v>
      </c>
      <c r="C28" s="33" t="s">
        <v>175</v>
      </c>
      <c r="D28" s="33">
        <f>IF(AND(ISNUMBER('Inputs'!$C$101),'Inputs'!$C$101&gt;0),IF(ISNUMBER('Inputs'!$C$105),"From R "&amp;FIXED('Inputs'!$C$105,2)&amp;" a month","Premium: enter it on Inputs"),"")</f>
      </c>
    </row>
    <row r="29" ht="27" customHeight="1" spans="2:4" x14ac:dyDescent="0.25">
      <c r="B29" s="16">
        <f>IF('Workings'!$C$47&lt;0,"The people you leave policies or bequests to directly pay R "&amp;FIXED(-'Workings'!$C$47,0)&amp;" of the estate duty themselves; your executor recovers it from them and it is not in the cost above. If it cannot be recovered, your estate pays it.","")</f>
      </c>
      <c r="C29" s="16"/>
      <c r="D29" s="16"/>
    </row>
    <row r="31" ht="18" customHeight="1" spans="2:4" x14ac:dyDescent="0.25">
      <c r="B31" s="5" t="s">
        <v>176</v>
      </c>
      <c r="C31" s="6"/>
      <c r="D31" s="6"/>
    </row>
    <row r="32" ht="27" customHeight="1" spans="2:4" x14ac:dyDescent="0.25">
      <c r="B32" s="34">
        <f>"1.  Sign a new will that says what you want"&amp;IF(AND(ISNUMBER('Inputs'!$C$101),'Inputs'!$C$101&gt;0),", with Capital Legacy as your executor","")&amp;". Until you do, your current will, or the law if you have none, decides who inherits."</f>
      </c>
      <c r="C32" s="34"/>
      <c r="D32" s="34"/>
    </row>
    <row r="33" ht="27" customHeight="1" spans="2:4" x14ac:dyDescent="0.25">
      <c r="B33" s="34">
        <f>"2.  "&amp;IF('Workings'!$C$66&gt;0,"Decide how your executor will find the cash: life cover paid to your estate (see the life cover need page), "&amp;IF(AND(ISNUMBER('Inputs'!$C$101),'Inputs'!$C$101&gt;0),"the Legacy Protection Plan, ","")&amp;"a property sold, or your heirs paying it in.","Keep enough cash for your executor: today there is enough, with about R "&amp;FIXED(ROUND('Workings'!$C$67,-3),0)&amp;" to spare.")</f>
      </c>
      <c r="C33" s="34"/>
      <c r="D33" s="34"/>
    </row>
    <row r="34" ht="27" customHeight="1" spans="2:4" x14ac:dyDescent="0.25">
      <c r="B34" s="34">
        <f>"3.  Remember that your savings are your executor's cash. Every R 1 spent from them "&amp;IF('Workings'!$C$66&gt;0,"adds about "&amp;ROUND(100*(1-'Inputs'!$C$109/100*(1+'Inputs'!$C$110/100))*IF('Workings'!$C$37&gt;0,1-'Inputs'!$C$117/100,1),0)&amp;" cents to the shortfall.","takes about "&amp;ROUND(100*(1-'Inputs'!$C$109/100*(1+'Inputs'!$C$110/100))*IF('Workings'!$C$37&gt;0,1-'Inputs'!$C$117/100,1),0)&amp;" cents off what your executor has spare.")</f>
      </c>
      <c r="C34" s="34"/>
      <c r="D34" s="34"/>
    </row>
    <row r="36" ht="52" customHeight="1" spans="2:4" x14ac:dyDescent="0.25">
      <c r="B36" s="35">
        <f>"Basis: indicative and worst case, based on your instructed wishes, not a signed will, and on the values you gave us"&amp;IF(ISNUMBER('Inputs'!$C$12)," on "&amp;FIXED(DAY('Inputs'!$C$12),0)&amp;" "&amp;CHOOSE(MONTH('Inputs'!$C$12),"January","February","March","April","May","June","July","August","September","October","November","December")&amp;" "&amp;FIXED(YEAR('Inputs'!$C$12),0,TRUE),"")&amp;". Our standard assumptions are on the Workings page."&amp;IF(AND(ISNUMBER('Inputs'!$C$101),'Inputs'!$C$101&gt;0)," Capital Legacy quote "&amp;'Inputs'!$C$100&amp;"; premiums rise each year and are not guaranteed.","")&amp;" Figures are for your death today. Not legal or tax advice; the executor's actual costs may differ."</f>
      </c>
      <c r="C36" s="35"/>
      <c r="D36" s="35"/>
    </row>
  </sheetData>
  <sheetProtection sheet="1" formatRows="0"/>
  <mergeCells count="13">
    <mergeCell ref="B1:D1"/>
    <mergeCell ref="B2:D2"/>
    <mergeCell ref="B3:D3"/>
    <mergeCell ref="B7:D7"/>
    <mergeCell ref="B8:D8"/>
    <mergeCell ref="B10:D10"/>
    <mergeCell ref="B11:D11"/>
    <mergeCell ref="B12:D12"/>
    <mergeCell ref="B29:D29"/>
    <mergeCell ref="B32:D32"/>
    <mergeCell ref="B33:D33"/>
    <mergeCell ref="B34:D34"/>
    <mergeCell ref="B36:D36"/>
  </mergeCells>
  <conditionalFormatting sqref="B10:D12">
    <cfRule type="expression" dxfId="19" priority="1">
      <formula>'Workings'!$C$66=0</formula>
    </cfRule>
  </conditionalFormatting>
  <conditionalFormatting sqref="C26:D26">
    <cfRule type="expression" dxfId="20" priority="2">
      <formula>LEFT(C26,5)="Short"</formula>
    </cfRule>
    <cfRule type="expression" dxfId="21" priority="3">
      <formula>LEFT(C26,7)="Covered"</formula>
    </cfRule>
  </conditionalFormatting>
  <printOptions horizontalCentered="1"/>
  <pageMargins left="0.4" right="0.4" top="0.45" bottom="0.6" header="0.25" footer="0.3"/>
  <pageSetup paperSize="9" orientation="portrait" horizontalDpi="4294967295" verticalDpi="4294967295" scale="100" fitToWidth="1" fitToHeight="0"/>
  <headerFooter>
    <oddFooter>&amp;L&amp;8&amp;"Arial"Duwalcoe Financial Consultants CC  ·  FSP 9978  ·  Cost of dying&amp;R&amp;8&amp;"Arial"&amp;A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5"/>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6" customWidth="1"/>
    <col min="3" max="4" width="21" customWidth="1"/>
  </cols>
  <sheetData>
    <row r="1" ht="21.75" customHeight="1" spans="2:4" x14ac:dyDescent="0.25">
      <c r="B1" s="1" t="s">
        <v>49</v>
      </c>
      <c r="C1" s="1"/>
      <c r="D1" s="1"/>
    </row>
    <row r="2" ht="15" customHeight="1" spans="2:4" x14ac:dyDescent="0.25">
      <c r="B2" s="2" t="s">
        <v>50</v>
      </c>
      <c r="C2" s="2"/>
      <c r="D2" s="2"/>
    </row>
    <row r="4" ht="20" customHeight="1" spans="2:2" x14ac:dyDescent="0.25">
      <c r="B4" s="3" t="s">
        <v>197</v>
      </c>
    </row>
    <row r="5" spans="2:2" x14ac:dyDescent="0.25">
      <c r="B5" s="4" t="s">
        <v>198</v>
      </c>
    </row>
    <row r="7" ht="30" customHeight="1" spans="2:4" x14ac:dyDescent="0.25">
      <c r="B7" s="12" t="s">
        <v>163</v>
      </c>
      <c r="C7" s="13">
        <f>"If "&amp;'Inputs'!$C$9&amp;" dies"</f>
      </c>
      <c r="D7" s="13">
        <f>IF(AND(ISNUMBER('Inputs'!$C$101),'Inputs'!$C$101&gt;0),"With the Legacy plan","")</f>
      </c>
    </row>
    <row r="8" spans="2:4" x14ac:dyDescent="0.25">
      <c r="B8" s="40" t="s">
        <v>199</v>
      </c>
      <c r="C8" s="40"/>
      <c r="D8" s="40"/>
    </row>
    <row r="9" spans="2:4" x14ac:dyDescent="0.25">
      <c r="B9" s="7" t="s">
        <v>200</v>
      </c>
      <c r="C9" s="15">
        <f>SUMIFS('Inputs'!$D$22:$D$39,'Inputs'!$C$22:$C$39,"Property")</f>
      </c>
      <c r="D9" s="15">
        <f>IF(AND(ISNUMBER('Inputs'!$C$101),'Inputs'!$C$101&gt;0),SUMIFS('Inputs'!$D$22:$D$39,'Inputs'!$C$22:$C$39,"Property"),"")</f>
      </c>
    </row>
    <row r="10" spans="2:4" x14ac:dyDescent="0.25">
      <c r="B10" s="7" t="s">
        <v>201</v>
      </c>
      <c r="C10" s="15">
        <f>SUMIFS('Inputs'!$D$22:$D$39,'Inputs'!$C$22:$C$39,"Vehicle or contents")</f>
      </c>
      <c r="D10" s="15">
        <f>IF(AND(ISNUMBER('Inputs'!$C$101),'Inputs'!$C$101&gt;0),SUMIFS('Inputs'!$D$22:$D$39,'Inputs'!$C$22:$C$39,"Vehicle or contents"),"")</f>
      </c>
    </row>
    <row r="11" spans="2:4" x14ac:dyDescent="0.25">
      <c r="B11" s="7" t="s">
        <v>202</v>
      </c>
      <c r="C11" s="15">
        <f>SUMIFS('Inputs'!$D$22:$D$39,'Inputs'!$C$22:$C$39,"Cash and deposits")</f>
      </c>
      <c r="D11" s="15">
        <f>IF(AND(ISNUMBER('Inputs'!$C$101),'Inputs'!$C$101&gt;0),SUMIFS('Inputs'!$D$22:$D$39,'Inputs'!$C$22:$C$39,"Cash and deposits"),"")</f>
      </c>
    </row>
    <row r="12" spans="2:4" x14ac:dyDescent="0.25">
      <c r="B12" s="7" t="s">
        <v>203</v>
      </c>
      <c r="C12" s="15">
        <f>SUMIFS('Inputs'!$D$22:$D$39,'Inputs'!$C$22:$C$39,"Shares and unit trusts")</f>
      </c>
      <c r="D12" s="15">
        <f>IF(AND(ISNUMBER('Inputs'!$C$101),'Inputs'!$C$101&gt;0),SUMIFS('Inputs'!$D$22:$D$39,'Inputs'!$C$22:$C$39,"Shares and unit trusts"),"")</f>
      </c>
    </row>
    <row r="13" spans="2:4" x14ac:dyDescent="0.25">
      <c r="B13" s="7" t="s">
        <v>204</v>
      </c>
      <c r="C13" s="15">
        <f>SUMIFS('Inputs'!$D$22:$D$39,'Inputs'!$C$22:$C$39,"Other investment")+SUMIFS('Inputs'!$D$22:$D$39,'Inputs'!$C$22:$C$39,"Tax-free investment")+SUMIFS('Inputs'!$D$22:$D$39,'Inputs'!$C$22:$C$39,"Loan account")+SUMIFS('Inputs'!$D$22:$D$39,'Inputs'!$C$22:$C$39,"Business interest")</f>
      </c>
      <c r="D13" s="15">
        <f>IF(AND(ISNUMBER('Inputs'!$C$101),'Inputs'!$C$101&gt;0),SUMIFS('Inputs'!$D$22:$D$39,'Inputs'!$C$22:$C$39,"Other investment")+SUMIFS('Inputs'!$D$22:$D$39,'Inputs'!$C$22:$C$39,"Tax-free investment")+SUMIFS('Inputs'!$D$22:$D$39,'Inputs'!$C$22:$C$39,"Loan account")+SUMIFS('Inputs'!$D$22:$D$39,'Inputs'!$C$22:$C$39,"Business interest"),"")</f>
      </c>
    </row>
    <row r="14" spans="2:4" x14ac:dyDescent="0.25">
      <c r="B14" s="7" t="s">
        <v>205</v>
      </c>
      <c r="C14" s="15">
        <f>'Workings'!$C$20</f>
      </c>
      <c r="D14" s="15">
        <f>IF(AND(ISNUMBER('Inputs'!$C$101),'Inputs'!$C$101&gt;0),'Workings'!$C$20,"")</f>
      </c>
    </row>
    <row r="15" spans="2:4" x14ac:dyDescent="0.25">
      <c r="B15" s="29" t="s">
        <v>206</v>
      </c>
      <c r="C15" s="30">
        <f>SUM(C9:C14)</f>
      </c>
      <c r="D15" s="30">
        <f>IF(AND(ISNUMBER('Inputs'!$C$101),'Inputs'!$C$101&gt;0),SUM(C9:C14),"")</f>
      </c>
    </row>
    <row r="16" spans="2:4" x14ac:dyDescent="0.25">
      <c r="B16" s="40" t="s">
        <v>207</v>
      </c>
      <c r="C16" s="40"/>
      <c r="D16" s="40"/>
    </row>
    <row r="17" spans="2:4" x14ac:dyDescent="0.25">
      <c r="B17" s="7" t="s">
        <v>208</v>
      </c>
      <c r="C17" s="15">
        <f>'Workings'!$C$22</f>
      </c>
      <c r="D17" s="15">
        <f>IF(AND(ISNUMBER('Inputs'!$C$101),'Inputs'!$C$101&gt;0),'Workings'!$C$22,"")</f>
      </c>
    </row>
    <row r="18" spans="2:4" x14ac:dyDescent="0.25">
      <c r="B18" s="7" t="s">
        <v>209</v>
      </c>
      <c r="C18" s="15">
        <f>SUMIFS('Inputs'!$D$59:$D$70,'Inputs'!$E$59:$E$70,"No")</f>
      </c>
      <c r="D18" s="15">
        <f>IF(AND(ISNUMBER('Inputs'!$C$101),'Inputs'!$C$101&gt;0),SUMIFS('Inputs'!$D$59:$D$70,'Inputs'!$E$59:$E$70,"No"),"")</f>
      </c>
    </row>
    <row r="19" spans="2:4" x14ac:dyDescent="0.25">
      <c r="B19" s="7" t="s">
        <v>210</v>
      </c>
      <c r="C19" s="15">
        <f>SUM('Inputs'!$D$76:$D$83)</f>
      </c>
      <c r="D19" s="15">
        <f>IF(AND(ISNUMBER('Inputs'!$C$101),'Inputs'!$C$101&gt;0),SUM('Inputs'!$D$76:$D$83),"")</f>
      </c>
    </row>
    <row r="20" spans="2:4" x14ac:dyDescent="0.25">
      <c r="B20" s="40" t="s">
        <v>211</v>
      </c>
      <c r="C20" s="40"/>
      <c r="D20" s="40"/>
    </row>
    <row r="21" spans="2:4" x14ac:dyDescent="0.25">
      <c r="B21" s="7" t="s">
        <v>212</v>
      </c>
      <c r="C21" s="15">
        <f>C15+SUM(C17:C19)</f>
      </c>
      <c r="D21" s="15">
        <f>IF(AND(ISNUMBER('Inputs'!$C$101),'Inputs'!$C$101&gt;0),C15+SUM(C17:C19),"")</f>
      </c>
    </row>
    <row r="22" spans="2:4" x14ac:dyDescent="0.25">
      <c r="B22" s="7" t="s">
        <v>213</v>
      </c>
      <c r="C22" s="15">
        <f>'Workings'!$C$23</f>
      </c>
      <c r="D22" s="15">
        <f>IF(AND(ISNUMBER('Inputs'!$C$101),'Inputs'!$C$101&gt;0),'Workings'!$C$23,"")</f>
      </c>
    </row>
    <row r="23" spans="2:4" x14ac:dyDescent="0.25">
      <c r="B23" s="7" t="s">
        <v>214</v>
      </c>
      <c r="C23" s="15">
        <f>'Workings'!$C$61</f>
      </c>
      <c r="D23" s="15">
        <f>IF(AND(ISNUMBER('Inputs'!$C$101),'Inputs'!$C$101&gt;0),'Workings'!$C$61,"")</f>
      </c>
    </row>
    <row r="24" spans="2:4" x14ac:dyDescent="0.25">
      <c r="B24" s="40" t="s">
        <v>215</v>
      </c>
      <c r="C24" s="40"/>
      <c r="D24" s="40"/>
    </row>
    <row r="25" spans="2:4" x14ac:dyDescent="0.25">
      <c r="B25" s="7" t="s">
        <v>216</v>
      </c>
      <c r="C25" s="15">
        <f>'Workings'!$C$53</f>
      </c>
      <c r="D25" s="15">
        <f>IF(AND(ISNUMBER('Inputs'!$C$101),'Inputs'!$C$101&gt;0),'Workings'!$D$53,"")</f>
      </c>
    </row>
    <row r="26" spans="2:4" x14ac:dyDescent="0.25">
      <c r="B26" s="7" t="s">
        <v>217</v>
      </c>
      <c r="C26" s="15">
        <f>'Workings'!$C$52</f>
      </c>
      <c r="D26" s="15">
        <f>IF(AND(ISNUMBER('Inputs'!$C$101),'Inputs'!$C$101&gt;0),'Workings'!$D$52,"")</f>
      </c>
    </row>
    <row r="27" spans="2:4" x14ac:dyDescent="0.25">
      <c r="B27" s="7" t="s">
        <v>218</v>
      </c>
      <c r="C27" s="15">
        <f>'Workings'!$C$54</f>
      </c>
      <c r="D27" s="15">
        <f>IF(AND(ISNUMBER('Inputs'!$C$101),'Inputs'!$C$101&gt;0),'Workings'!$D$54,"")</f>
      </c>
    </row>
    <row r="28" spans="2:4" x14ac:dyDescent="0.25">
      <c r="B28" s="7" t="s">
        <v>219</v>
      </c>
      <c r="C28" s="15">
        <f>'Workings'!$C$55</f>
      </c>
      <c r="D28" s="15">
        <f>IF(AND(ISNUMBER('Inputs'!$C$101),'Inputs'!$C$101&gt;0),'Workings'!$D$55,"")</f>
      </c>
    </row>
    <row r="29" spans="2:4" x14ac:dyDescent="0.25">
      <c r="B29" s="7" t="s">
        <v>166</v>
      </c>
      <c r="C29" s="15">
        <f>'Workings'!$C$56</f>
      </c>
      <c r="D29" s="15">
        <f>IF(AND(ISNUMBER('Inputs'!$C$101),'Inputs'!$C$101&gt;0),'Workings'!$D$56,"")</f>
      </c>
    </row>
    <row r="30" spans="2:4" x14ac:dyDescent="0.25">
      <c r="B30" s="7" t="s">
        <v>220</v>
      </c>
      <c r="C30" s="15">
        <f>'Workings'!$C$57</f>
      </c>
      <c r="D30" s="15">
        <f>IF(AND(ISNUMBER('Inputs'!$C$101),'Inputs'!$C$101&gt;0),'Workings'!$D$57,"")</f>
      </c>
    </row>
    <row r="31" spans="2:4" x14ac:dyDescent="0.25">
      <c r="B31" s="29" t="s">
        <v>221</v>
      </c>
      <c r="C31" s="30">
        <f>'Workings'!$C$58</f>
      </c>
      <c r="D31" s="30">
        <f>IF(AND(ISNUMBER('Inputs'!$C$101),'Inputs'!$C$101&gt;0),'Workings'!$D$58,"")</f>
      </c>
    </row>
    <row r="32" spans="2:4" x14ac:dyDescent="0.25">
      <c r="B32" s="7" t="s">
        <v>170</v>
      </c>
      <c r="C32" s="15">
        <f>-'Workings'!$C$59</f>
      </c>
      <c r="D32" s="15">
        <f>IF(AND(ISNUMBER('Inputs'!$C$101),'Inputs'!$C$101&gt;0),-'Workings'!$D$59,"")</f>
      </c>
    </row>
    <row r="33" spans="2:4" x14ac:dyDescent="0.25">
      <c r="B33" s="7" t="s">
        <v>222</v>
      </c>
      <c r="C33" s="15">
        <f>'Workings'!$C$61</f>
      </c>
      <c r="D33" s="15">
        <f>IF(AND(ISNUMBER('Inputs'!$C$101),'Inputs'!$C$101&gt;0),'Workings'!$D$61,"")</f>
      </c>
    </row>
    <row r="35" ht="15" customHeight="1" spans="2:4" x14ac:dyDescent="0.25">
      <c r="B35" s="35" t="s">
        <v>223</v>
      </c>
      <c r="C35" s="35"/>
      <c r="D35" s="35"/>
    </row>
  </sheetData>
  <sheetProtection sheet="1" formatRows="0"/>
  <mergeCells count="7">
    <mergeCell ref="B1:D1"/>
    <mergeCell ref="B2:D2"/>
    <mergeCell ref="B8:D8"/>
    <mergeCell ref="B16:D16"/>
    <mergeCell ref="B20:D20"/>
    <mergeCell ref="B24:D24"/>
    <mergeCell ref="B35:D35"/>
  </mergeCells>
  <printOptions horizontalCentered="1"/>
  <pageMargins left="0.4" right="0.4" top="0.45" bottom="0.6" header="0.25" footer="0.3"/>
  <pageSetup paperSize="9" orientation="portrait" horizontalDpi="4294967295" verticalDpi="4294967295" scale="100" fitToWidth="1" fitToHeight="0"/>
  <headerFooter>
    <oddFooter>&amp;L&amp;8&amp;"Arial"Duwalcoe Financial Consultants CC  ·  FSP 9978  ·  Figures for quoting&amp;R&amp;8&amp;"Arial"&amp;A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70"/>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66" customWidth="1"/>
    <col min="3" max="4" width="20" customWidth="1"/>
    <col min="5" max="5" width="2" customWidth="1"/>
  </cols>
  <sheetData>
    <row r="1" ht="21.75" customHeight="1" spans="2:4" x14ac:dyDescent="0.25">
      <c r="B1" s="1" t="s">
        <v>49</v>
      </c>
      <c r="C1" s="1"/>
      <c r="D1" s="1"/>
    </row>
    <row r="2" ht="15" customHeight="1" spans="2:4" x14ac:dyDescent="0.25">
      <c r="B2" s="2" t="s">
        <v>50</v>
      </c>
      <c r="C2" s="2"/>
      <c r="D2" s="2"/>
    </row>
    <row r="4" ht="20" customHeight="1" spans="2:2" x14ac:dyDescent="0.25">
      <c r="B4" s="3" t="s">
        <v>224</v>
      </c>
    </row>
    <row r="5" spans="2:2" x14ac:dyDescent="0.25">
      <c r="B5" s="4" t="s">
        <v>225</v>
      </c>
    </row>
    <row r="7" ht="20" customHeight="1" spans="2:4" x14ac:dyDescent="0.25">
      <c r="B7" s="12" t="s">
        <v>226</v>
      </c>
      <c r="C7" s="13" t="s">
        <v>164</v>
      </c>
      <c r="D7" s="13" t="s">
        <v>227</v>
      </c>
    </row>
    <row r="8" spans="2:4" x14ac:dyDescent="0.25">
      <c r="B8" s="7">
        <f>"Taxable income for the year"&amp;IF('Inputs'!$C$17&lt;&gt;"",": "&amp;'Inputs'!$C$17,"")</f>
      </c>
      <c r="C8" s="41">
        <f>N('Inputs'!$C$16)</f>
      </c>
      <c r="D8" s="41">
        <f>N('Inputs'!$C$16)</f>
      </c>
    </row>
    <row r="9" ht="27" customHeight="1" spans="2:4" x14ac:dyDescent="0.25">
      <c r="B9" s="7" t="s">
        <v>228</v>
      </c>
      <c r="C9" s="41">
        <f>SUM('Inputs'!$M$22:$M$39)</f>
      </c>
      <c r="D9" s="41">
        <f>SUM('Inputs'!$M$22:$M$39)</f>
      </c>
    </row>
    <row r="10" spans="2:4" x14ac:dyDescent="0.25">
      <c r="B10" s="7" t="s">
        <v>229</v>
      </c>
      <c r="C10" s="41">
        <f>-SUM('Inputs'!$N$22:$N$39)</f>
      </c>
      <c r="D10" s="41">
        <f>-SUM('Inputs'!$N$22:$N$39)</f>
      </c>
    </row>
    <row r="11" spans="2:4" x14ac:dyDescent="0.25">
      <c r="B11" s="7" t="s">
        <v>230</v>
      </c>
      <c r="C11" s="41">
        <f>-MIN('Inputs'!$C$120,MAX(0,C9+C10))</f>
      </c>
      <c r="D11" s="41">
        <f>-MIN('Inputs'!$C$120,MAX(0,D9+D10))</f>
      </c>
    </row>
    <row r="12" spans="2:4" x14ac:dyDescent="0.25">
      <c r="B12" s="29" t="s">
        <v>231</v>
      </c>
      <c r="C12" s="42">
        <f>MAX(0,C9+C10+C11)</f>
      </c>
      <c r="D12" s="42">
        <f>MAX(0,D9+D10+D11)</f>
      </c>
    </row>
    <row r="13" ht="27" customHeight="1" spans="2:4" x14ac:dyDescent="0.25">
      <c r="B13" s="7">
        <f>"Added to taxable income: "&amp;FIXED('Inputs'!$H$109,0)&amp;"% of the net gain (the inclusion rate, not a tax rate)"</f>
      </c>
      <c r="C13" s="41">
        <f>C12*'Inputs'!$H$109/100</f>
      </c>
      <c r="D13" s="41">
        <f>D12*'Inputs'!$H$109/100</f>
      </c>
    </row>
    <row r="14" spans="2:4" x14ac:dyDescent="0.25">
      <c r="B14" s="7" t="s">
        <v>232</v>
      </c>
      <c r="C14" s="41">
        <f>(INDEX('Inputs'!$D$123:$D$129,MATCH(C8+C13,'Inputs'!$C$123:$C$129,1))+INDEX('Inputs'!$E$123:$E$129,MATCH(C8+C13,'Inputs'!$C$123:$C$129,1))/100*((C8+C13)-INDEX('Inputs'!$C$123:$C$129,MATCH(C8+C13,'Inputs'!$C$123:$C$129,1))))</f>
      </c>
      <c r="D14" s="41">
        <f>(INDEX('Inputs'!$D$123:$D$129,MATCH(D8+D13,'Inputs'!$C$123:$C$129,1))+INDEX('Inputs'!$E$123:$E$129,MATCH(D8+D13,'Inputs'!$C$123:$C$129,1))/100*((D8+D13)-INDEX('Inputs'!$C$123:$C$129,MATCH(D8+D13,'Inputs'!$C$123:$C$129,1))))</f>
      </c>
    </row>
    <row r="15" spans="2:4" x14ac:dyDescent="0.25">
      <c r="B15" s="7" t="s">
        <v>233</v>
      </c>
      <c r="C15" s="41">
        <f>-(INDEX('Inputs'!$D$123:$D$129,MATCH(C8,'Inputs'!$C$123:$C$129,1))+INDEX('Inputs'!$E$123:$E$129,MATCH(C8,'Inputs'!$C$123:$C$129,1))/100*((C8)-INDEX('Inputs'!$C$123:$C$129,MATCH(C8,'Inputs'!$C$123:$C$129,1))))</f>
      </c>
      <c r="D15" s="41">
        <f>-(INDEX('Inputs'!$D$123:$D$129,MATCH(D8,'Inputs'!$C$123:$C$129,1))+INDEX('Inputs'!$E$123:$E$129,MATCH(D8,'Inputs'!$C$123:$C$129,1))/100*((D8)-INDEX('Inputs'!$C$123:$C$129,MATCH(D8,'Inputs'!$C$123:$C$129,1))))</f>
      </c>
    </row>
    <row r="16" spans="2:4" x14ac:dyDescent="0.25">
      <c r="B16" s="29" t="s">
        <v>234</v>
      </c>
      <c r="C16" s="42">
        <f>IF(C12&gt;0,ROUND(C14+C15,2),0)</f>
      </c>
      <c r="D16" s="42">
        <f>IF(D12&gt;0,ROUND(D14+D15,2),0)</f>
      </c>
    </row>
    <row r="18" ht="20" customHeight="1" spans="2:4" x14ac:dyDescent="0.25">
      <c r="B18" s="12" t="s">
        <v>235</v>
      </c>
      <c r="C18" s="13" t="s">
        <v>164</v>
      </c>
      <c r="D18" s="13" t="s">
        <v>227</v>
      </c>
    </row>
    <row r="19" spans="2:4" x14ac:dyDescent="0.25">
      <c r="B19" s="7" t="s">
        <v>236</v>
      </c>
      <c r="C19" s="41">
        <f>ROUND(SUM('Inputs'!$D$22:$D$39),2)</f>
      </c>
      <c r="D19" s="41">
        <f>ROUND(SUM('Inputs'!$D$22:$D$39),2)</f>
      </c>
    </row>
    <row r="20" spans="2:4" x14ac:dyDescent="0.25">
      <c r="B20" s="7" t="s">
        <v>237</v>
      </c>
      <c r="C20" s="41">
        <f>SUMIFS('Inputs'!$D$59:$D$70,'Inputs'!$C$59:$C$70,"Estate")</f>
      </c>
      <c r="D20" s="41">
        <f>SUMIFS('Inputs'!$D$59:$D$70,'Inputs'!$C$59:$C$70,"Estate")</f>
      </c>
    </row>
    <row r="21" spans="2:4" x14ac:dyDescent="0.25">
      <c r="B21" s="29" t="s">
        <v>238</v>
      </c>
      <c r="C21" s="42">
        <f>C19+C20</f>
      </c>
      <c r="D21" s="42">
        <f>D19+D20</f>
      </c>
    </row>
    <row r="22" spans="2:4" x14ac:dyDescent="0.25">
      <c r="B22" s="7" t="s">
        <v>239</v>
      </c>
      <c r="C22" s="41">
        <f>SUMIFS('Inputs'!$D$59:$D$70,'Inputs'!$C$59:$C$70,"&lt;&gt;Estate",'Inputs'!$E$59:$E$70,"&lt;&gt;No")</f>
      </c>
      <c r="D22" s="41">
        <f>SUMIFS('Inputs'!$D$59:$D$70,'Inputs'!$C$59:$C$70,"&lt;&gt;Estate",'Inputs'!$E$59:$E$70,"&lt;&gt;No")</f>
      </c>
    </row>
    <row r="23" spans="2:4" x14ac:dyDescent="0.25">
      <c r="B23" s="29" t="s">
        <v>240</v>
      </c>
      <c r="C23" s="42">
        <f>C21+C22</f>
      </c>
      <c r="D23" s="42">
        <f>D21+D22</f>
      </c>
    </row>
    <row r="24" spans="2:4" x14ac:dyDescent="0.25">
      <c r="B24" s="7" t="s">
        <v>241</v>
      </c>
      <c r="C24" s="41">
        <f>-SUM('Inputs'!$D$45:$D$54)</f>
      </c>
      <c r="D24" s="41">
        <f>-SUM('Inputs'!$D$45:$D$54)</f>
      </c>
    </row>
    <row r="25" spans="2:4" x14ac:dyDescent="0.25">
      <c r="B25" s="7" t="s">
        <v>242</v>
      </c>
      <c r="C25" s="41">
        <f>-'Inputs'!$C$112</f>
      </c>
      <c r="D25" s="41">
        <f>-'Inputs'!$C$112</f>
      </c>
    </row>
    <row r="26" spans="2:4" x14ac:dyDescent="0.25">
      <c r="B26" s="7" t="s">
        <v>243</v>
      </c>
      <c r="C26" s="41">
        <f>-'Inputs'!$C$111</f>
      </c>
      <c r="D26" s="41">
        <f>-'Inputs'!$C$111</f>
      </c>
    </row>
    <row r="27" spans="2:4" x14ac:dyDescent="0.25">
      <c r="B27" s="7" t="s">
        <v>244</v>
      </c>
      <c r="C27" s="41">
        <f>-'Inputs'!$C$113</f>
      </c>
      <c r="D27" s="41">
        <f>-'Inputs'!$C$113</f>
      </c>
    </row>
    <row r="28" spans="2:4" x14ac:dyDescent="0.25">
      <c r="B28" s="7">
        <f>"Less executor's fees: "&amp;IF(ROUND('Inputs'!$C$109,0)='Inputs'!$C$109,FIXED('Inputs'!$C$109,0),IF(ROUND('Inputs'!$C$109,1)='Inputs'!$C$109,FIXED('Inputs'!$C$109,1),FIXED('Inputs'!$C$109,2)))&amp;"%"&amp;" plus VAT"&amp;IF(AND(ISNUMBER('Inputs'!$C$101),'Inputs'!$C$101&gt;0)," / Capital Legacy "&amp;IF(ROUND('Inputs'!$C$101,0)='Inputs'!$C$101,FIXED('Inputs'!$C$101,0),IF(ROUND('Inputs'!$C$101,1)='Inputs'!$C$101,FIXED('Inputs'!$C$101,1),FIXED('Inputs'!$C$101,2)))&amp;"%"&amp;" plus VAT","")</f>
      </c>
      <c r="C28" s="41">
        <f>-ROUND('Inputs'!$C$109/100*(1+'Inputs'!$C$110/100)*C21,2)</f>
      </c>
      <c r="D28" s="41">
        <f>-ROUND(IF(AND(ISNUMBER('Inputs'!$C$101),'Inputs'!$C$101&gt;0),'Inputs'!$C$101,'Inputs'!$C$109)/100*(1+'Inputs'!$C$110/100)*D21,2)</f>
      </c>
    </row>
    <row r="29" spans="2:4" x14ac:dyDescent="0.25">
      <c r="B29" s="7" t="s">
        <v>245</v>
      </c>
      <c r="C29" s="41">
        <f>-SUM('Inputs'!$P$22:$P$39)</f>
      </c>
      <c r="D29" s="41">
        <f>-IF(AND(AND(ISNUMBER('Inputs'!$C$101),'Inputs'!$C$101&gt;0),ISNUMBER('Inputs'!$C$102)),'Inputs'!$C$102,SUM('Inputs'!$P$22:$P$39))</f>
      </c>
    </row>
    <row r="30" spans="2:4" x14ac:dyDescent="0.25">
      <c r="B30" s="7" t="s">
        <v>246</v>
      </c>
      <c r="C30" s="41">
        <f>-SUM('Inputs'!$Q$22:$Q$39)</f>
      </c>
      <c r="D30" s="41">
        <f>-SUM('Inputs'!$Q$22:$Q$39)</f>
      </c>
    </row>
    <row r="31" spans="2:4" x14ac:dyDescent="0.25">
      <c r="B31" s="7" t="s">
        <v>247</v>
      </c>
      <c r="C31" s="41">
        <f>-C16</f>
      </c>
      <c r="D31" s="41">
        <f>-D16</f>
      </c>
    </row>
    <row r="32" spans="2:4" x14ac:dyDescent="0.25">
      <c r="B32" s="7" t="s">
        <v>248</v>
      </c>
      <c r="C32" s="41">
        <f>ROUND(C21+C24-(-C25-C26-C27-C28-C29-C30-C31)-SUM('Inputs'!$R$22:$R$39)-SUM('Inputs'!$S$22:$S$39),2)</f>
      </c>
      <c r="D32" s="41">
        <f>ROUND(D21+D24-(-D25-D26-D27-D28-D29-D30-D31)-SUM('Inputs'!$R$22:$R$39)-SUM('Inputs'!$S$22:$S$39),2)</f>
      </c>
    </row>
    <row r="33" spans="2:4" x14ac:dyDescent="0.25">
      <c r="B33" s="7" t="s">
        <v>249</v>
      </c>
      <c r="C33" s="43">
        <f>IF(C32&lt;0,IF(SUM('Inputs'!$R$22:$R$39)+SUM('Inputs'!$S$22:$S$39)&gt;0,MAX(0,1+C32/(SUM('Inputs'!$R$22:$R$39)+SUM('Inputs'!$S$22:$S$39))),1),1)</f>
      </c>
      <c r="D33" s="43">
        <f>IF(D32&lt;0,IF(SUM('Inputs'!$R$22:$R$39)+SUM('Inputs'!$S$22:$S$39)&gt;0,MAX(0,1+D32/(SUM('Inputs'!$R$22:$R$39)+SUM('Inputs'!$S$22:$S$39))),1),1)</f>
      </c>
    </row>
    <row r="34" spans="2:4" x14ac:dyDescent="0.25">
      <c r="B34" s="7" t="s">
        <v>250</v>
      </c>
      <c r="C34" s="41">
        <f>-(SUM('Inputs'!$R$22:$R$39)*C33+SUMIFS('Inputs'!$D$59:$D$70,'Inputs'!$C$59:$C$70,"Spouse",'Inputs'!$E$59:$E$70,"&lt;&gt;No")+IF('Inputs'!$C$14="Spouse",MAX(0,C32),0))</f>
      </c>
      <c r="D34" s="41">
        <f>-(SUM('Inputs'!$R$22:$R$39)*D33+SUMIFS('Inputs'!$D$59:$D$70,'Inputs'!$C$59:$C$70,"Spouse",'Inputs'!$E$59:$E$70,"&lt;&gt;No")+IF('Inputs'!$C$14="Spouse",MAX(0,D32),0))</f>
      </c>
    </row>
    <row r="35" spans="2:4" x14ac:dyDescent="0.25">
      <c r="B35" s="29" t="s">
        <v>251</v>
      </c>
      <c r="C35" s="42">
        <f>ROUND(C23+C24+C25+C26+C27+C28+C29+C30+C31+C34,2)</f>
      </c>
      <c r="D35" s="42">
        <f>ROUND(D23+D24+D25+D26+D27+D28+D29+D30+D31+D34,2)</f>
      </c>
    </row>
    <row r="36" spans="2:4" x14ac:dyDescent="0.25">
      <c r="B36" s="7" t="s">
        <v>252</v>
      </c>
      <c r="C36" s="41">
        <f>-'Inputs'!$C$116</f>
      </c>
      <c r="D36" s="41">
        <f>-'Inputs'!$C$116</f>
      </c>
    </row>
    <row r="37" spans="2:4" x14ac:dyDescent="0.25">
      <c r="B37" s="7" t="s">
        <v>253</v>
      </c>
      <c r="C37" s="41">
        <f>MAX(0,C35+C36)</f>
      </c>
      <c r="D37" s="41">
        <f>MAX(0,D35+D36)</f>
      </c>
    </row>
    <row r="38" spans="2:4" x14ac:dyDescent="0.25">
      <c r="B38" s="29" t="s">
        <v>165</v>
      </c>
      <c r="C38" s="42">
        <f>ROUND(IF(C37&lt;='Inputs'!$C$118,C37*'Inputs'!$C$117/100,'Inputs'!$C$118*'Inputs'!$C$117/100+(C37-'Inputs'!$C$118)*'Inputs'!$C$119/100),2)</f>
      </c>
      <c r="D38" s="42">
        <f>ROUND(IF(D37&lt;='Inputs'!$C$118,D37*'Inputs'!$C$117/100,'Inputs'!$C$118*'Inputs'!$C$117/100+(D37-'Inputs'!$C$118)*'Inputs'!$C$119/100),2)</f>
      </c>
    </row>
    <row r="39" spans="2:4" x14ac:dyDescent="0.25">
      <c r="B39" s="7" t="s">
        <v>254</v>
      </c>
      <c r="C39" s="44">
        <f>IF(C35&gt;0,C38/C35,0)</f>
      </c>
      <c r="D39" s="44">
        <f>IF(D35&gt;0,D38/D35,0)</f>
      </c>
    </row>
    <row r="40" ht="27" customHeight="1" spans="2:2" x14ac:dyDescent="0.25">
      <c r="B40" s="7" t="s">
        <v>255</v>
      </c>
    </row>
    <row r="41" ht="15" customHeight="1" spans="2:4" x14ac:dyDescent="0.25">
      <c r="B41" s="7">
        <f>IFERROR("   Bequest: "&amp;INDEX('Inputs'!$B$22:$B$39,MATCH(1,'Inputs'!$X$22:$X$39,0))&amp;IF(INDEX('Inputs'!$I$22:$I$39,MATCH(1,'Inputs'!$X$22:$X$39,0))&lt;&gt;""," ("&amp;INDEX('Inputs'!$I$22:$I$39,MATCH(1,'Inputs'!$X$22:$X$39,0))&amp;")",""),IFERROR("   Policy: "&amp;INDEX('Inputs'!$B$59:$B$70,MATCH(1,'Inputs'!$O$59:$O$70,0))&amp;IF(INDEX('Inputs'!$I$59:$I$70,MATCH(1,'Inputs'!$O$59:$O$70,0))&lt;&gt;""," ("&amp;INDEX('Inputs'!$I$59:$I$70,MATCH(1,'Inputs'!$O$59:$O$70,0))&amp;")",""),""))</f>
      </c>
      <c r="C41" s="41">
        <f>IFERROR(INDEX('Inputs'!$U$22:$U$39,MATCH(1,'Inputs'!$X$22:$X$39,0)),IFERROR(INDEX('Inputs'!$M$59:$M$70,MATCH(1,'Inputs'!$O$59:$O$70,0)),""))</f>
      </c>
      <c r="D41" s="41">
        <f>IFERROR(INDEX('Inputs'!$V$22:$V$39,MATCH(1,'Inputs'!$X$22:$X$39,0)),IFERROR(INDEX('Inputs'!$N$59:$N$70,MATCH(1,'Inputs'!$O$59:$O$70,0)),""))</f>
      </c>
    </row>
    <row r="42" ht="15" customHeight="1" spans="2:4" x14ac:dyDescent="0.25">
      <c r="B42" s="7">
        <f>IFERROR("   Bequest: "&amp;INDEX('Inputs'!$B$22:$B$39,MATCH(2,'Inputs'!$X$22:$X$39,0))&amp;IF(INDEX('Inputs'!$I$22:$I$39,MATCH(2,'Inputs'!$X$22:$X$39,0))&lt;&gt;""," ("&amp;INDEX('Inputs'!$I$22:$I$39,MATCH(2,'Inputs'!$X$22:$X$39,0))&amp;")",""),IFERROR("   Policy: "&amp;INDEX('Inputs'!$B$59:$B$70,MATCH(2,'Inputs'!$O$59:$O$70,0))&amp;IF(INDEX('Inputs'!$I$59:$I$70,MATCH(2,'Inputs'!$O$59:$O$70,0))&lt;&gt;""," ("&amp;INDEX('Inputs'!$I$59:$I$70,MATCH(2,'Inputs'!$O$59:$O$70,0))&amp;")",""),""))</f>
      </c>
      <c r="C42" s="41">
        <f>IFERROR(INDEX('Inputs'!$U$22:$U$39,MATCH(2,'Inputs'!$X$22:$X$39,0)),IFERROR(INDEX('Inputs'!$M$59:$M$70,MATCH(2,'Inputs'!$O$59:$O$70,0)),""))</f>
      </c>
      <c r="D42" s="41">
        <f>IFERROR(INDEX('Inputs'!$V$22:$V$39,MATCH(2,'Inputs'!$X$22:$X$39,0)),IFERROR(INDEX('Inputs'!$N$59:$N$70,MATCH(2,'Inputs'!$O$59:$O$70,0)),""))</f>
      </c>
    </row>
    <row r="43" ht="15" customHeight="1" spans="2:4" x14ac:dyDescent="0.25">
      <c r="B43" s="7">
        <f>IFERROR("   Bequest: "&amp;INDEX('Inputs'!$B$22:$B$39,MATCH(3,'Inputs'!$X$22:$X$39,0))&amp;IF(INDEX('Inputs'!$I$22:$I$39,MATCH(3,'Inputs'!$X$22:$X$39,0))&lt;&gt;""," ("&amp;INDEX('Inputs'!$I$22:$I$39,MATCH(3,'Inputs'!$X$22:$X$39,0))&amp;")",""),IFERROR("   Policy: "&amp;INDEX('Inputs'!$B$59:$B$70,MATCH(3,'Inputs'!$O$59:$O$70,0))&amp;IF(INDEX('Inputs'!$I$59:$I$70,MATCH(3,'Inputs'!$O$59:$O$70,0))&lt;&gt;""," ("&amp;INDEX('Inputs'!$I$59:$I$70,MATCH(3,'Inputs'!$O$59:$O$70,0))&amp;")",""),""))</f>
      </c>
      <c r="C43" s="41">
        <f>IFERROR(INDEX('Inputs'!$U$22:$U$39,MATCH(3,'Inputs'!$X$22:$X$39,0)),IFERROR(INDEX('Inputs'!$M$59:$M$70,MATCH(3,'Inputs'!$O$59:$O$70,0)),""))</f>
      </c>
      <c r="D43" s="41">
        <f>IFERROR(INDEX('Inputs'!$V$22:$V$39,MATCH(3,'Inputs'!$X$22:$X$39,0)),IFERROR(INDEX('Inputs'!$N$59:$N$70,MATCH(3,'Inputs'!$O$59:$O$70,0)),""))</f>
      </c>
    </row>
    <row r="44" ht="15" customHeight="1" spans="2:4" x14ac:dyDescent="0.25">
      <c r="B44" s="7">
        <f>IFERROR("   Bequest: "&amp;INDEX('Inputs'!$B$22:$B$39,MATCH(4,'Inputs'!$X$22:$X$39,0))&amp;IF(INDEX('Inputs'!$I$22:$I$39,MATCH(4,'Inputs'!$X$22:$X$39,0))&lt;&gt;""," ("&amp;INDEX('Inputs'!$I$22:$I$39,MATCH(4,'Inputs'!$X$22:$X$39,0))&amp;")",""),IFERROR("   Policy: "&amp;INDEX('Inputs'!$B$59:$B$70,MATCH(4,'Inputs'!$O$59:$O$70,0))&amp;IF(INDEX('Inputs'!$I$59:$I$70,MATCH(4,'Inputs'!$O$59:$O$70,0))&lt;&gt;""," ("&amp;INDEX('Inputs'!$I$59:$I$70,MATCH(4,'Inputs'!$O$59:$O$70,0))&amp;")",""),""))</f>
      </c>
      <c r="C44" s="41">
        <f>IFERROR(INDEX('Inputs'!$U$22:$U$39,MATCH(4,'Inputs'!$X$22:$X$39,0)),IFERROR(INDEX('Inputs'!$M$59:$M$70,MATCH(4,'Inputs'!$O$59:$O$70,0)),""))</f>
      </c>
      <c r="D44" s="41">
        <f>IFERROR(INDEX('Inputs'!$V$22:$V$39,MATCH(4,'Inputs'!$X$22:$X$39,0)),IFERROR(INDEX('Inputs'!$N$59:$N$70,MATCH(4,'Inputs'!$O$59:$O$70,0)),""))</f>
      </c>
    </row>
    <row r="45" ht="15" customHeight="1" spans="2:4" x14ac:dyDescent="0.25">
      <c r="B45" s="7">
        <f>IFERROR("   Bequest: "&amp;INDEX('Inputs'!$B$22:$B$39,MATCH(5,'Inputs'!$X$22:$X$39,0))&amp;IF(INDEX('Inputs'!$I$22:$I$39,MATCH(5,'Inputs'!$X$22:$X$39,0))&lt;&gt;""," ("&amp;INDEX('Inputs'!$I$22:$I$39,MATCH(5,'Inputs'!$X$22:$X$39,0))&amp;")",""),IFERROR("   Policy: "&amp;INDEX('Inputs'!$B$59:$B$70,MATCH(5,'Inputs'!$O$59:$O$70,0))&amp;IF(INDEX('Inputs'!$I$59:$I$70,MATCH(5,'Inputs'!$O$59:$O$70,0))&lt;&gt;""," ("&amp;INDEX('Inputs'!$I$59:$I$70,MATCH(5,'Inputs'!$O$59:$O$70,0))&amp;")",""),""))</f>
      </c>
      <c r="C45" s="41">
        <f>IFERROR(INDEX('Inputs'!$U$22:$U$39,MATCH(5,'Inputs'!$X$22:$X$39,0)),IFERROR(INDEX('Inputs'!$M$59:$M$70,MATCH(5,'Inputs'!$O$59:$O$70,0)),""))</f>
      </c>
      <c r="D45" s="41">
        <f>IFERROR(INDEX('Inputs'!$V$22:$V$39,MATCH(5,'Inputs'!$X$22:$X$39,0)),IFERROR(INDEX('Inputs'!$N$59:$N$70,MATCH(5,'Inputs'!$O$59:$O$70,0)),""))</f>
      </c>
    </row>
    <row r="46" ht="15" customHeight="1" spans="2:4" x14ac:dyDescent="0.25">
      <c r="B46" s="7">
        <f>IFERROR("   Bequest: "&amp;INDEX('Inputs'!$B$22:$B$39,MATCH(6,'Inputs'!$X$22:$X$39,0))&amp;IF(INDEX('Inputs'!$I$22:$I$39,MATCH(6,'Inputs'!$X$22:$X$39,0))&lt;&gt;""," ("&amp;INDEX('Inputs'!$I$22:$I$39,MATCH(6,'Inputs'!$X$22:$X$39,0))&amp;")",""),IFERROR("   Policy: "&amp;INDEX('Inputs'!$B$59:$B$70,MATCH(6,'Inputs'!$O$59:$O$70,0))&amp;IF(INDEX('Inputs'!$I$59:$I$70,MATCH(6,'Inputs'!$O$59:$O$70,0))&lt;&gt;""," ("&amp;INDEX('Inputs'!$I$59:$I$70,MATCH(6,'Inputs'!$O$59:$O$70,0))&amp;")",""),""))</f>
      </c>
      <c r="C46" s="41">
        <f>IFERROR(INDEX('Inputs'!$U$22:$U$39,MATCH(6,'Inputs'!$X$22:$X$39,0)),IFERROR(INDEX('Inputs'!$M$59:$M$70,MATCH(6,'Inputs'!$O$59:$O$70,0)),""))</f>
      </c>
      <c r="D46" s="41">
        <f>IFERROR(INDEX('Inputs'!$V$22:$V$39,MATCH(6,'Inputs'!$X$22:$X$39,0)),IFERROR(INDEX('Inputs'!$N$59:$N$70,MATCH(6,'Inputs'!$O$59:$O$70,0)),""))</f>
      </c>
    </row>
    <row r="47" ht="27" customHeight="1" spans="2:4" x14ac:dyDescent="0.25">
      <c r="B47" s="7" t="s">
        <v>256</v>
      </c>
      <c r="C47" s="41">
        <f>-(SUM('Inputs'!$M$59:$M$70)+SUM('Inputs'!$U$22:$U$39))</f>
      </c>
      <c r="D47" s="41">
        <f>-(SUM('Inputs'!$N$59:$N$70)+SUM('Inputs'!$V$22:$V$39))</f>
      </c>
    </row>
    <row r="48" spans="2:4" x14ac:dyDescent="0.25">
      <c r="B48" s="29" t="s">
        <v>220</v>
      </c>
      <c r="C48" s="42">
        <f>C38+C47</f>
      </c>
      <c r="D48" s="42">
        <f>D38+D47</f>
      </c>
    </row>
    <row r="49" spans="2:2" x14ac:dyDescent="0.25">
      <c r="B49" s="7" t="s">
        <v>257</v>
      </c>
    </row>
    <row r="51" ht="20" customHeight="1" spans="2:4" x14ac:dyDescent="0.25">
      <c r="B51" s="12" t="s">
        <v>258</v>
      </c>
      <c r="C51" s="13" t="s">
        <v>164</v>
      </c>
      <c r="D51" s="13" t="s">
        <v>227</v>
      </c>
    </row>
    <row r="52" spans="2:4" x14ac:dyDescent="0.25">
      <c r="B52" s="7" t="s">
        <v>168</v>
      </c>
      <c r="C52" s="41">
        <f>-(C25+C26+C27)</f>
      </c>
      <c r="D52" s="41">
        <f>-(D25+D26+D27)</f>
      </c>
    </row>
    <row r="53" spans="2:4" x14ac:dyDescent="0.25">
      <c r="B53" s="7" t="s">
        <v>216</v>
      </c>
      <c r="C53" s="41">
        <f>-C28</f>
      </c>
      <c r="D53" s="41">
        <f>-D28</f>
      </c>
    </row>
    <row r="54" spans="2:4" x14ac:dyDescent="0.25">
      <c r="B54" s="7" t="s">
        <v>259</v>
      </c>
      <c r="C54" s="41">
        <f>-C29</f>
      </c>
      <c r="D54" s="41">
        <f>-D29</f>
      </c>
    </row>
    <row r="55" spans="2:4" x14ac:dyDescent="0.25">
      <c r="B55" s="7" t="s">
        <v>167</v>
      </c>
      <c r="C55" s="41">
        <f>-C30</f>
      </c>
      <c r="D55" s="41">
        <f>-D30</f>
      </c>
    </row>
    <row r="56" spans="2:4" x14ac:dyDescent="0.25">
      <c r="B56" s="7" t="s">
        <v>234</v>
      </c>
      <c r="C56" s="41">
        <f>C16</f>
      </c>
      <c r="D56" s="41">
        <f>D16</f>
      </c>
    </row>
    <row r="57" spans="2:4" x14ac:dyDescent="0.25">
      <c r="B57" s="7" t="s">
        <v>220</v>
      </c>
      <c r="C57" s="41">
        <f>C48</f>
      </c>
      <c r="D57" s="41">
        <f>D48</f>
      </c>
    </row>
    <row r="58" spans="2:4" x14ac:dyDescent="0.25">
      <c r="B58" s="29" t="s">
        <v>221</v>
      </c>
      <c r="C58" s="42">
        <f>ROUND(SUM(C52:C57),2)</f>
      </c>
      <c r="D58" s="42">
        <f>ROUND(SUM(D52:D57),2)</f>
      </c>
    </row>
    <row r="59" ht="27" customHeight="1" spans="2:4" x14ac:dyDescent="0.25">
      <c r="B59" s="7">
        <f>"Less paid by the Legacy plan: "&amp;IF(AND(ISNUMBER('Inputs'!$C$101),'Inputs'!$C$101&gt;0),FIXED(N('Inputs'!$C$103),0)&amp;"% of the executor's fee and conveyancing, up to R "&amp;FIXED(N('Inputs'!$C$104),2),"no quote entered")</f>
      </c>
      <c r="C59" s="41">
        <f>0</f>
      </c>
      <c r="D59" s="41">
        <f>IF(AND(ISNUMBER('Inputs'!$C$101),'Inputs'!$C$101&gt;0),-ROUND(MIN(N('Inputs'!$C$103)/100*(D53+D54),N('Inputs'!$C$104)),2),0)</f>
      </c>
    </row>
    <row r="60" spans="2:4" x14ac:dyDescent="0.25">
      <c r="B60" s="29" t="s">
        <v>260</v>
      </c>
      <c r="C60" s="42">
        <f>ROUND(C58+C59,2)</f>
      </c>
      <c r="D60" s="42">
        <f>ROUND(D58+D59,2)</f>
      </c>
    </row>
    <row r="61" spans="2:4" x14ac:dyDescent="0.25">
      <c r="B61" s="7" t="s">
        <v>172</v>
      </c>
      <c r="C61" s="41">
        <f>-C24</f>
      </c>
      <c r="D61" s="41">
        <f>-D24</f>
      </c>
    </row>
    <row r="62" spans="2:4" x14ac:dyDescent="0.25">
      <c r="B62" s="29" t="s">
        <v>179</v>
      </c>
      <c r="C62" s="42">
        <f>ROUND(C60+C61,2)</f>
      </c>
      <c r="D62" s="42">
        <f>ROUND(D60+D61,2)</f>
      </c>
    </row>
    <row r="63" spans="2:4" x14ac:dyDescent="0.25">
      <c r="B63" s="7" t="s">
        <v>261</v>
      </c>
      <c r="C63" s="41">
        <f>ROUND(SUM('Inputs'!$O$22:$O$39),2)</f>
      </c>
      <c r="D63" s="41">
        <f>ROUND(SUM('Inputs'!$O$22:$O$39),2)</f>
      </c>
    </row>
    <row r="64" spans="2:4" x14ac:dyDescent="0.25">
      <c r="B64" s="7" t="s">
        <v>237</v>
      </c>
      <c r="C64" s="41">
        <f>C20</f>
      </c>
      <c r="D64" s="41">
        <f>D20</f>
      </c>
    </row>
    <row r="65" spans="2:4" x14ac:dyDescent="0.25">
      <c r="B65" s="29" t="s">
        <v>180</v>
      </c>
      <c r="C65" s="42">
        <f>C63+C64</f>
      </c>
      <c r="D65" s="42">
        <f>D63+D64</f>
      </c>
    </row>
    <row r="66" spans="2:4" x14ac:dyDescent="0.25">
      <c r="B66" s="29" t="s">
        <v>262</v>
      </c>
      <c r="C66" s="42">
        <f>ROUND(MAX(0,C62-C65),2)</f>
      </c>
      <c r="D66" s="42">
        <f>ROUND(MAX(0,D62-D65),2)</f>
      </c>
    </row>
    <row r="67" spans="2:4" x14ac:dyDescent="0.25">
      <c r="B67" s="7" t="s">
        <v>263</v>
      </c>
      <c r="C67" s="41">
        <f>ROUND(MAX(0,C65-C62),2)</f>
      </c>
      <c r="D67" s="41">
        <f>ROUND(MAX(0,D65-D62),2)</f>
      </c>
    </row>
    <row r="68" ht="27" customHeight="1" spans="2:4" x14ac:dyDescent="0.25">
      <c r="B68" s="29" t="s">
        <v>264</v>
      </c>
      <c r="C68" s="42">
        <f>ROUND(C21-C62,2)</f>
      </c>
      <c r="D68" s="42">
        <f>ROUND(D21-D62,2)</f>
      </c>
    </row>
    <row r="70" ht="52" customHeight="1" spans="2:4" x14ac:dyDescent="0.25">
      <c r="B70" s="35">
        <f>"Our standard assumptions: executor "&amp;IF(ROUND('Inputs'!$C$109,0)='Inputs'!$C$109,FIXED('Inputs'!$C$109,0),IF(ROUND('Inputs'!$C$109,1)='Inputs'!$C$109,FIXED('Inputs'!$C$109,1),FIXED('Inputs'!$C$109,2)))&amp;"%"&amp;" plus VAT unless Capital Legacy acts; Master's fees R "&amp;FIXED('Inputs'!$C$111,0)&amp;"; funeral R "&amp;FIXED('Inputs'!$C$112,0)&amp;"; sundries R "&amp;FIXED('Inputs'!$C$113,0)&amp;"; property transfer costs "&amp;IF(ROUND('Inputs'!$C$114,0)='Inputs'!$C$114,FIXED('Inputs'!$C$114,0),IF(ROUND('Inputs'!$C$114,1)='Inputs'!$C$114,FIXED('Inputs'!$C$114,1),FIXED('Inputs'!$C$114,2)))&amp;"%"&amp;" of value; agent's commission "&amp;IF(ROUND('Inputs'!$C$115,0)='Inputs'!$C$115,FIXED('Inputs'!$C$115,0),IF(ROUND('Inputs'!$C$115,1)='Inputs'!$C$115,FIXED('Inputs'!$C$115,1),FIXED('Inputs'!$C$115,2)))&amp;"%"&amp;" plus VAT on a property sold; estate duty "&amp;IF(ROUND('Inputs'!$C$117,0)='Inputs'!$C$117,FIXED('Inputs'!$C$117,0),IF(ROUND('Inputs'!$C$117,1)='Inputs'!$C$117,FIXED('Inputs'!$C$117,1),FIXED('Inputs'!$C$117,2)))&amp;"%"&amp;" above R "&amp;FIXED('Inputs'!$C$116,0)&amp;"; 2027 tax tables. Capital gains tax on death (s.9HA): everything treated as sold at its value; assets left to a spouse roll over (no tax now). The Capital Legacy fees stay deductible for estate duty, although the plan pays them."</f>
      </c>
      <c r="C70" s="35"/>
      <c r="D70" s="35"/>
    </row>
  </sheetData>
  <sheetProtection sheet="1" formatRows="0"/>
  <mergeCells count="3">
    <mergeCell ref="B1:D1"/>
    <mergeCell ref="B2:D2"/>
    <mergeCell ref="B70:D70"/>
  </mergeCells>
  <printOptions horizontalCentered="1"/>
  <pageMargins left="0.4" right="0.4" top="0.45" bottom="0.6" header="0.25" footer="0.3"/>
  <pageSetup paperSize="9" orientation="portrait" horizontalDpi="4294967295" verticalDpi="4294967295" scale="100" fitToWidth="1" fitToHeight="0"/>
  <headerFooter>
    <oddFooter>&amp;L&amp;8&amp;"Arial"Duwalcoe Financial Consultants CC  ·  FSP 9978  ·  Quick FNA workings&amp;R&amp;8&amp;"Arial"&amp;A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Q333"/>
  <sheetFormatPr defaultRowHeight="15" outlineLevelRow="0" outlineLevelCol="0" x14ac:dyDescent="55"/>
  <cols>
    <col min="1" max="1" width="2" customWidth="1"/>
    <col min="2" max="2" width="34" customWidth="1"/>
    <col min="3" max="3" width="16" customWidth="1"/>
  </cols>
  <sheetData>
    <row r="2" spans="2:3" x14ac:dyDescent="0.25">
      <c r="B2" t="s">
        <v>108</v>
      </c>
      <c r="C2">
        <f>IF('Inputs'!$B$89="","",'Inputs'!$B$89)</f>
      </c>
    </row>
    <row r="3" spans="2:17" x14ac:dyDescent="0.25">
      <c r="B3" t="s">
        <v>110</v>
      </c>
      <c r="C3">
        <f>N('Inputs'!$D$89)</f>
      </c>
      <c r="I3" t="s">
        <v>382</v>
      </c>
      <c r="J3" t="s">
        <v>383</v>
      </c>
      <c r="P3" t="s">
        <v>384</v>
      </c>
      <c r="Q3" t="s">
        <v>385</v>
      </c>
    </row>
    <row r="4" spans="2:17" x14ac:dyDescent="0.25">
      <c r="B4" t="s">
        <v>386</v>
      </c>
      <c r="C4">
        <f>IF($C$3&gt;=75,'Inputs'!$H$120,IF($C$3&gt;=65,'Inputs'!$H$119,'Inputs'!$H$113))</f>
      </c>
      <c r="I4">
        <v>0</v>
      </c>
      <c r="J4">
        <f>IF(I4&lt;$C$6,12*$C$7*(1+$C$8)^I4,0)</f>
      </c>
      <c r="P4">
        <f>IF($C$9&lt;&gt;1,0,IF($C$14=0,SUM($J$4:$J$53),(1-(1+$C$14)^-1)/(1-(1+$C$14)^(-1/12))/12*SUMPRODUCT($J$4:$J$53,(1+$C$14)^(-$I$4:$I$53))))</f>
      </c>
      <c r="Q4">
        <f>IF($C$9&lt;&gt;1,0,IFERROR((((1+($C$14+'Inputs'!$H$112/100))^(1/12)-1)-((1+$C$14)^(1/12)-1))*(P4*(((1+((1+$C$14)^(1/12)-1))^12-1)/((1+((1+$C$14)^(1/12)-1))-1))-J4/12/((1+((1+$C$14)^(1/12)-1))-1)*((1+((1+$C$14)^(1/12)-1))*(((1+((1+$C$14)^(1/12)-1))^12-1)/((1+((1+$C$14)^(1/12)-1))-1))-12)),0))</f>
      </c>
    </row>
    <row r="5" spans="2:17" x14ac:dyDescent="0.25">
      <c r="B5" t="s">
        <v>387</v>
      </c>
      <c r="C5">
        <f>N('Inputs'!$I$89)</f>
      </c>
      <c r="I5">
        <v>1</v>
      </c>
      <c r="J5">
        <f>IF(I5&lt;$C$6,12*$C$7*(1+$C$8)^I5,0)</f>
      </c>
      <c r="P5">
        <f>IF($C$9&lt;&gt;1,0,P4*(1+((1+$C$14)^(1/12)-1))^12-J4/12*(1+((1+$C$14)^(1/12)-1))*(((1+((1+$C$14)^(1/12)-1))^12-1)/((1+((1+$C$14)^(1/12)-1))-1)))</f>
      </c>
      <c r="Q5">
        <f>IF($C$9&lt;&gt;1,0,IFERROR((((1+($C$14+'Inputs'!$H$112/100))^(1/12)-1)-((1+$C$14)^(1/12)-1))*(P5*(((1+((1+$C$14)^(1/12)-1))^12-1)/((1+((1+$C$14)^(1/12)-1))-1))-J5/12/((1+((1+$C$14)^(1/12)-1))-1)*((1+((1+$C$14)^(1/12)-1))*(((1+((1+$C$14)^(1/12)-1))^12-1)/((1+((1+$C$14)^(1/12)-1))-1))-12)),0))</f>
      </c>
    </row>
    <row r="6" spans="2:17" x14ac:dyDescent="0.25">
      <c r="B6" t="s">
        <v>388</v>
      </c>
      <c r="C6">
        <f>IF($C$2="",0,N('Inputs'!$F$89))</f>
      </c>
      <c r="I6">
        <v>2</v>
      </c>
      <c r="J6">
        <f>IF(I6&lt;$C$6,12*$C$7*(1+$C$8)^I6,0)</f>
      </c>
      <c r="P6">
        <f>IF($C$9&lt;&gt;1,0,P5*(1+((1+$C$14)^(1/12)-1))^12-J5/12*(1+((1+$C$14)^(1/12)-1))*(((1+((1+$C$14)^(1/12)-1))^12-1)/((1+((1+$C$14)^(1/12)-1))-1)))</f>
      </c>
      <c r="Q6">
        <f>IF($C$9&lt;&gt;1,0,IFERROR((((1+($C$14+'Inputs'!$H$112/100))^(1/12)-1)-((1+$C$14)^(1/12)-1))*(P6*(((1+((1+$C$14)^(1/12)-1))^12-1)/((1+((1+$C$14)^(1/12)-1))-1))-J6/12/((1+((1+$C$14)^(1/12)-1))-1)*((1+((1+$C$14)^(1/12)-1))*(((1+((1+$C$14)^(1/12)-1))^12-1)/((1+((1+$C$14)^(1/12)-1))-1))-12)),0))</f>
      </c>
    </row>
    <row r="7" spans="2:17" x14ac:dyDescent="0.25">
      <c r="B7" t="s">
        <v>389</v>
      </c>
      <c r="C7">
        <f>N('Inputs'!$E$89)</f>
      </c>
      <c r="I7">
        <v>3</v>
      </c>
      <c r="J7">
        <f>IF(I7&lt;$C$6,12*$C$7*(1+$C$8)^I7,0)</f>
      </c>
      <c r="P7">
        <f>IF($C$9&lt;&gt;1,0,P6*(1+((1+$C$14)^(1/12)-1))^12-J6/12*(1+((1+$C$14)^(1/12)-1))*(((1+((1+$C$14)^(1/12)-1))^12-1)/((1+((1+$C$14)^(1/12)-1))-1)))</f>
      </c>
      <c r="Q7">
        <f>IF($C$9&lt;&gt;1,0,IFERROR((((1+($C$14+'Inputs'!$H$112/100))^(1/12)-1)-((1+$C$14)^(1/12)-1))*(P7*(((1+((1+$C$14)^(1/12)-1))^12-1)/((1+((1+$C$14)^(1/12)-1))-1))-J7/12/((1+((1+$C$14)^(1/12)-1))-1)*((1+((1+$C$14)^(1/12)-1))*(((1+((1+$C$14)^(1/12)-1))^12-1)/((1+((1+$C$14)^(1/12)-1))-1))-12)),0))</f>
      </c>
    </row>
    <row r="8" spans="2:17" x14ac:dyDescent="0.25">
      <c r="B8" t="s">
        <v>390</v>
      </c>
      <c r="C8">
        <f>IF('Inputs'!$G$89="",'Inputs'!$H$118/100,'Inputs'!$G$89/100)</f>
      </c>
      <c r="I8">
        <v>4</v>
      </c>
      <c r="J8">
        <f>IF(I8&lt;$C$6,12*$C$7*(1+$C$8)^I8,0)</f>
      </c>
      <c r="P8">
        <f>IF($C$9&lt;&gt;1,0,P7*(1+((1+$C$14)^(1/12)-1))^12-J7/12*(1+((1+$C$14)^(1/12)-1))*(((1+((1+$C$14)^(1/12)-1))^12-1)/((1+((1+$C$14)^(1/12)-1))-1)))</f>
      </c>
      <c r="Q8">
        <f>IF($C$9&lt;&gt;1,0,IFERROR((((1+($C$14+'Inputs'!$H$112/100))^(1/12)-1)-((1+$C$14)^(1/12)-1))*(P8*(((1+((1+$C$14)^(1/12)-1))^12-1)/((1+((1+$C$14)^(1/12)-1))-1))-J8/12/((1+((1+$C$14)^(1/12)-1))-1)*((1+((1+$C$14)^(1/12)-1))*(((1+((1+$C$14)^(1/12)-1))^12-1)/((1+((1+$C$14)^(1/12)-1))-1))-12)),0))</f>
      </c>
    </row>
    <row r="9" spans="2:17" x14ac:dyDescent="0.25">
      <c r="B9" t="s">
        <v>391</v>
      </c>
      <c r="C9">
        <f>IF('Inputs'!$H$89="Yes",1,0)</f>
      </c>
      <c r="I9">
        <v>5</v>
      </c>
      <c r="J9">
        <f>IF(I9&lt;$C$6,12*$C$7*(1+$C$8)^I9,0)</f>
      </c>
      <c r="P9">
        <f>IF($C$9&lt;&gt;1,0,P8*(1+((1+$C$14)^(1/12)-1))^12-J8/12*(1+((1+$C$14)^(1/12)-1))*(((1+((1+$C$14)^(1/12)-1))^12-1)/((1+((1+$C$14)^(1/12)-1))-1)))</f>
      </c>
      <c r="Q9">
        <f>IF($C$9&lt;&gt;1,0,IFERROR((((1+($C$14+'Inputs'!$H$112/100))^(1/12)-1)-((1+$C$14)^(1/12)-1))*(P9*(((1+((1+$C$14)^(1/12)-1))^12-1)/((1+((1+$C$14)^(1/12)-1))-1))-J9/12/((1+((1+$C$14)^(1/12)-1))-1)*((1+((1+$C$14)^(1/12)-1))*(((1+((1+$C$14)^(1/12)-1))^12-1)/((1+((1+$C$14)^(1/12)-1))-1))-12)),0))</f>
      </c>
    </row>
    <row r="10" spans="2:17" x14ac:dyDescent="0.25">
      <c r="B10" t="s">
        <v>392</v>
      </c>
      <c r="C10">
        <f>IF($C$2="",0,N('Inputs'!$J$89))</f>
      </c>
      <c r="I10">
        <v>6</v>
      </c>
      <c r="J10">
        <f>IF(I10&lt;$C$6,12*$C$7*(1+$C$8)^I10,0)</f>
      </c>
      <c r="P10">
        <f>IF($C$9&lt;&gt;1,0,P9*(1+((1+$C$14)^(1/12)-1))^12-J9/12*(1+((1+$C$14)^(1/12)-1))*(((1+((1+$C$14)^(1/12)-1))^12-1)/((1+((1+$C$14)^(1/12)-1))-1)))</f>
      </c>
      <c r="Q10">
        <f>IF($C$9&lt;&gt;1,0,IFERROR((((1+($C$14+'Inputs'!$H$112/100))^(1/12)-1)-((1+$C$14)^(1/12)-1))*(P10*(((1+((1+$C$14)^(1/12)-1))^12-1)/((1+((1+$C$14)^(1/12)-1))-1))-J10/12/((1+((1+$C$14)^(1/12)-1))-1)*((1+((1+$C$14)^(1/12)-1))*(((1+((1+$C$14)^(1/12)-1))^12-1)/((1+((1+$C$14)^(1/12)-1))-1))-12)),0))</f>
      </c>
    </row>
    <row r="11" spans="2:17" x14ac:dyDescent="0.25">
      <c r="B11" t="s">
        <v>393</v>
      </c>
      <c r="C11">
        <f>ROUND(Q4,2)</f>
      </c>
      <c r="I11">
        <v>7</v>
      </c>
      <c r="J11">
        <f>IF(I11&lt;$C$6,12*$C$7*(1+$C$8)^I11,0)</f>
      </c>
      <c r="P11">
        <f>IF($C$9&lt;&gt;1,0,P10*(1+((1+$C$14)^(1/12)-1))^12-J10/12*(1+((1+$C$14)^(1/12)-1))*(((1+((1+$C$14)^(1/12)-1))^12-1)/((1+((1+$C$14)^(1/12)-1))-1)))</f>
      </c>
      <c r="Q11">
        <f>IF($C$9&lt;&gt;1,0,IFERROR((((1+($C$14+'Inputs'!$H$112/100))^(1/12)-1)-((1+$C$14)^(1/12)-1))*(P11*(((1+((1+$C$14)^(1/12)-1))^12-1)/((1+((1+$C$14)^(1/12)-1))-1))-J11/12/((1+((1+$C$14)^(1/12)-1))-1)*((1+((1+$C$14)^(1/12)-1))*(((1+((1+$C$14)^(1/12)-1))^12-1)/((1+((1+$C$14)^(1/12)-1))-1))-12)),0))</f>
      </c>
    </row>
    <row r="12" spans="2:17" x14ac:dyDescent="0.25">
      <c r="B12" t="s">
        <v>394</v>
      </c>
      <c r="C12">
        <f>ROUND(SUM($Q$4:$Q$53),2)</f>
      </c>
      <c r="I12">
        <v>8</v>
      </c>
      <c r="J12">
        <f>IF(I12&lt;$C$6,12*$C$7*(1+$C$8)^I12,0)</f>
      </c>
      <c r="P12">
        <f>IF($C$9&lt;&gt;1,0,P11*(1+((1+$C$14)^(1/12)-1))^12-J11/12*(1+((1+$C$14)^(1/12)-1))*(((1+((1+$C$14)^(1/12)-1))^12-1)/((1+((1+$C$14)^(1/12)-1))-1)))</f>
      </c>
      <c r="Q12">
        <f>IF($C$9&lt;&gt;1,0,IFERROR((((1+($C$14+'Inputs'!$H$112/100))^(1/12)-1)-((1+$C$14)^(1/12)-1))*(P12*(((1+((1+$C$14)^(1/12)-1))^12-1)/((1+((1+$C$14)^(1/12)-1))-1))-J12/12/((1+((1+$C$14)^(1/12)-1))-1)*((1+((1+$C$14)^(1/12)-1))*(((1+((1+$C$14)^(1/12)-1))^12-1)/((1+((1+$C$14)^(1/12)-1))-1))-12)),0))</f>
      </c>
    </row>
    <row r="13" spans="2:17" x14ac:dyDescent="0.25">
      <c r="B13" t="s">
        <v>395</v>
      </c>
      <c r="C13">
        <f>IF($C$9&lt;&gt;1,0,ROUND(IF($C$14=0,SUM($J$4:$J$53),(1-(1+$C$14)^-1)/(1-(1+$C$14)^(-1/12))/12*SUMPRODUCT($J$4:$J$53,(1+$C$14)^(-$I$4:$I$53)))-IF(($C$14+'Inputs'!$H$112/100)=0,SUM($J$4:$J$53),(1-(1+($C$14+'Inputs'!$H$112/100))^-1)/(1-(1+($C$14+'Inputs'!$H$112/100))^(-1/12))/12*SUMPRODUCT($J$4:$J$53,(1+($C$14+'Inputs'!$H$112/100))^(-$I$4:$I$53))),2))</f>
      </c>
      <c r="I13">
        <v>9</v>
      </c>
      <c r="J13">
        <f>IF(I13&lt;$C$6,12*$C$7*(1+$C$8)^I13,0)</f>
      </c>
      <c r="P13">
        <f>IF($C$9&lt;&gt;1,0,P12*(1+((1+$C$14)^(1/12)-1))^12-J12/12*(1+((1+$C$14)^(1/12)-1))*(((1+((1+$C$14)^(1/12)-1))^12-1)/((1+((1+$C$14)^(1/12)-1))-1)))</f>
      </c>
      <c r="Q13">
        <f>IF($C$9&lt;&gt;1,0,IFERROR((((1+($C$14+'Inputs'!$H$112/100))^(1/12)-1)-((1+$C$14)^(1/12)-1))*(P13*(((1+((1+$C$14)^(1/12)-1))^12-1)/((1+((1+$C$14)^(1/12)-1))-1))-J13/12/((1+((1+$C$14)^(1/12)-1))-1)*((1+((1+$C$14)^(1/12)-1))*(((1+((1+$C$14)^(1/12)-1))^12-1)/((1+((1+$C$14)^(1/12)-1))-1))-12)),0))</f>
      </c>
    </row>
    <row r="14" spans="2:17" x14ac:dyDescent="0.25">
      <c r="B14" t="s">
        <v>396</v>
      </c>
      <c r="C14">
        <f>IF($C$9=1,'Needs calc'!$C$42,0)</f>
      </c>
      <c r="I14">
        <v>10</v>
      </c>
      <c r="J14">
        <f>IF(I14&lt;$C$6,12*$C$7*(1+$C$8)^I14,0)</f>
      </c>
      <c r="P14">
        <f>IF($C$9&lt;&gt;1,0,P13*(1+((1+$C$14)^(1/12)-1))^12-J13/12*(1+((1+$C$14)^(1/12)-1))*(((1+((1+$C$14)^(1/12)-1))^12-1)/((1+((1+$C$14)^(1/12)-1))-1)))</f>
      </c>
      <c r="Q14">
        <f>IF($C$9&lt;&gt;1,0,IFERROR((((1+($C$14+'Inputs'!$H$112/100))^(1/12)-1)-((1+$C$14)^(1/12)-1))*(P14*(((1+((1+$C$14)^(1/12)-1))^12-1)/((1+((1+$C$14)^(1/12)-1))-1))-J14/12/((1+((1+$C$14)^(1/12)-1))-1)*((1+((1+$C$14)^(1/12)-1))*(((1+((1+$C$14)^(1/12)-1))^12-1)/((1+((1+$C$14)^(1/12)-1))-1))-12)),0))</f>
      </c>
    </row>
    <row r="15" spans="9:17" x14ac:dyDescent="0.25">
      <c r="I15">
        <v>11</v>
      </c>
      <c r="J15">
        <f>IF(I15&lt;$C$6,12*$C$7*(1+$C$8)^I15,0)</f>
      </c>
      <c r="P15">
        <f>IF($C$9&lt;&gt;1,0,P14*(1+((1+$C$14)^(1/12)-1))^12-J14/12*(1+((1+$C$14)^(1/12)-1))*(((1+((1+$C$14)^(1/12)-1))^12-1)/((1+((1+$C$14)^(1/12)-1))-1)))</f>
      </c>
      <c r="Q15">
        <f>IF($C$9&lt;&gt;1,0,IFERROR((((1+($C$14+'Inputs'!$H$112/100))^(1/12)-1)-((1+$C$14)^(1/12)-1))*(P15*(((1+((1+$C$14)^(1/12)-1))^12-1)/((1+((1+$C$14)^(1/12)-1))-1))-J15/12/((1+((1+$C$14)^(1/12)-1))-1)*((1+((1+$C$14)^(1/12)-1))*(((1+((1+$C$14)^(1/12)-1))^12-1)/((1+((1+$C$14)^(1/12)-1))-1))-12)),0))</f>
      </c>
    </row>
    <row r="16" spans="9:17" x14ac:dyDescent="0.25">
      <c r="I16">
        <v>12</v>
      </c>
      <c r="J16">
        <f>IF(I16&lt;$C$6,12*$C$7*(1+$C$8)^I16,0)</f>
      </c>
      <c r="P16">
        <f>IF($C$9&lt;&gt;1,0,P15*(1+((1+$C$14)^(1/12)-1))^12-J15/12*(1+((1+$C$14)^(1/12)-1))*(((1+((1+$C$14)^(1/12)-1))^12-1)/((1+((1+$C$14)^(1/12)-1))-1)))</f>
      </c>
      <c r="Q16">
        <f>IF($C$9&lt;&gt;1,0,IFERROR((((1+($C$14+'Inputs'!$H$112/100))^(1/12)-1)-((1+$C$14)^(1/12)-1))*(P16*(((1+((1+$C$14)^(1/12)-1))^12-1)/((1+((1+$C$14)^(1/12)-1))-1))-J16/12/((1+((1+$C$14)^(1/12)-1))-1)*((1+((1+$C$14)^(1/12)-1))*(((1+((1+$C$14)^(1/12)-1))^12-1)/((1+((1+$C$14)^(1/12)-1))-1))-12)),0))</f>
      </c>
    </row>
    <row r="17" spans="9:17" x14ac:dyDescent="0.25">
      <c r="I17">
        <v>13</v>
      </c>
      <c r="J17">
        <f>IF(I17&lt;$C$6,12*$C$7*(1+$C$8)^I17,0)</f>
      </c>
      <c r="P17">
        <f>IF($C$9&lt;&gt;1,0,P16*(1+((1+$C$14)^(1/12)-1))^12-J16/12*(1+((1+$C$14)^(1/12)-1))*(((1+((1+$C$14)^(1/12)-1))^12-1)/((1+((1+$C$14)^(1/12)-1))-1)))</f>
      </c>
      <c r="Q17">
        <f>IF($C$9&lt;&gt;1,0,IFERROR((((1+($C$14+'Inputs'!$H$112/100))^(1/12)-1)-((1+$C$14)^(1/12)-1))*(P17*(((1+((1+$C$14)^(1/12)-1))^12-1)/((1+((1+$C$14)^(1/12)-1))-1))-J17/12/((1+((1+$C$14)^(1/12)-1))-1)*((1+((1+$C$14)^(1/12)-1))*(((1+((1+$C$14)^(1/12)-1))^12-1)/((1+((1+$C$14)^(1/12)-1))-1))-12)),0))</f>
      </c>
    </row>
    <row r="18" spans="9:17" x14ac:dyDescent="0.25">
      <c r="I18">
        <v>14</v>
      </c>
      <c r="J18">
        <f>IF(I18&lt;$C$6,12*$C$7*(1+$C$8)^I18,0)</f>
      </c>
      <c r="P18">
        <f>IF($C$9&lt;&gt;1,0,P17*(1+((1+$C$14)^(1/12)-1))^12-J17/12*(1+((1+$C$14)^(1/12)-1))*(((1+((1+$C$14)^(1/12)-1))^12-1)/((1+((1+$C$14)^(1/12)-1))-1)))</f>
      </c>
      <c r="Q18">
        <f>IF($C$9&lt;&gt;1,0,IFERROR((((1+($C$14+'Inputs'!$H$112/100))^(1/12)-1)-((1+$C$14)^(1/12)-1))*(P18*(((1+((1+$C$14)^(1/12)-1))^12-1)/((1+((1+$C$14)^(1/12)-1))-1))-J18/12/((1+((1+$C$14)^(1/12)-1))-1)*((1+((1+$C$14)^(1/12)-1))*(((1+((1+$C$14)^(1/12)-1))^12-1)/((1+((1+$C$14)^(1/12)-1))-1))-12)),0))</f>
      </c>
    </row>
    <row r="19" spans="9:17" x14ac:dyDescent="0.25">
      <c r="I19">
        <v>15</v>
      </c>
      <c r="J19">
        <f>IF(I19&lt;$C$6,12*$C$7*(1+$C$8)^I19,0)</f>
      </c>
      <c r="P19">
        <f>IF($C$9&lt;&gt;1,0,P18*(1+((1+$C$14)^(1/12)-1))^12-J18/12*(1+((1+$C$14)^(1/12)-1))*(((1+((1+$C$14)^(1/12)-1))^12-1)/((1+((1+$C$14)^(1/12)-1))-1)))</f>
      </c>
      <c r="Q19">
        <f>IF($C$9&lt;&gt;1,0,IFERROR((((1+($C$14+'Inputs'!$H$112/100))^(1/12)-1)-((1+$C$14)^(1/12)-1))*(P19*(((1+((1+$C$14)^(1/12)-1))^12-1)/((1+((1+$C$14)^(1/12)-1))-1))-J19/12/((1+((1+$C$14)^(1/12)-1))-1)*((1+((1+$C$14)^(1/12)-1))*(((1+((1+$C$14)^(1/12)-1))^12-1)/((1+((1+$C$14)^(1/12)-1))-1))-12)),0))</f>
      </c>
    </row>
    <row r="20" spans="9:17" x14ac:dyDescent="0.25">
      <c r="I20">
        <v>16</v>
      </c>
      <c r="J20">
        <f>IF(I20&lt;$C$6,12*$C$7*(1+$C$8)^I20,0)</f>
      </c>
      <c r="P20">
        <f>IF($C$9&lt;&gt;1,0,P19*(1+((1+$C$14)^(1/12)-1))^12-J19/12*(1+((1+$C$14)^(1/12)-1))*(((1+((1+$C$14)^(1/12)-1))^12-1)/((1+((1+$C$14)^(1/12)-1))-1)))</f>
      </c>
      <c r="Q20">
        <f>IF($C$9&lt;&gt;1,0,IFERROR((((1+($C$14+'Inputs'!$H$112/100))^(1/12)-1)-((1+$C$14)^(1/12)-1))*(P20*(((1+((1+$C$14)^(1/12)-1))^12-1)/((1+((1+$C$14)^(1/12)-1))-1))-J20/12/((1+((1+$C$14)^(1/12)-1))-1)*((1+((1+$C$14)^(1/12)-1))*(((1+((1+$C$14)^(1/12)-1))^12-1)/((1+((1+$C$14)^(1/12)-1))-1))-12)),0))</f>
      </c>
    </row>
    <row r="21" spans="9:17" x14ac:dyDescent="0.25">
      <c r="I21">
        <v>17</v>
      </c>
      <c r="J21">
        <f>IF(I21&lt;$C$6,12*$C$7*(1+$C$8)^I21,0)</f>
      </c>
      <c r="P21">
        <f>IF($C$9&lt;&gt;1,0,P20*(1+((1+$C$14)^(1/12)-1))^12-J20/12*(1+((1+$C$14)^(1/12)-1))*(((1+((1+$C$14)^(1/12)-1))^12-1)/((1+((1+$C$14)^(1/12)-1))-1)))</f>
      </c>
      <c r="Q21">
        <f>IF($C$9&lt;&gt;1,0,IFERROR((((1+($C$14+'Inputs'!$H$112/100))^(1/12)-1)-((1+$C$14)^(1/12)-1))*(P21*(((1+((1+$C$14)^(1/12)-1))^12-1)/((1+((1+$C$14)^(1/12)-1))-1))-J21/12/((1+((1+$C$14)^(1/12)-1))-1)*((1+((1+$C$14)^(1/12)-1))*(((1+((1+$C$14)^(1/12)-1))^12-1)/((1+((1+$C$14)^(1/12)-1))-1))-12)),0))</f>
      </c>
    </row>
    <row r="22" spans="9:17" x14ac:dyDescent="0.25">
      <c r="I22">
        <v>18</v>
      </c>
      <c r="J22">
        <f>IF(I22&lt;$C$6,12*$C$7*(1+$C$8)^I22,0)</f>
      </c>
      <c r="P22">
        <f>IF($C$9&lt;&gt;1,0,P21*(1+((1+$C$14)^(1/12)-1))^12-J21/12*(1+((1+$C$14)^(1/12)-1))*(((1+((1+$C$14)^(1/12)-1))^12-1)/((1+((1+$C$14)^(1/12)-1))-1)))</f>
      </c>
      <c r="Q22">
        <f>IF($C$9&lt;&gt;1,0,IFERROR((((1+($C$14+'Inputs'!$H$112/100))^(1/12)-1)-((1+$C$14)^(1/12)-1))*(P22*(((1+((1+$C$14)^(1/12)-1))^12-1)/((1+((1+$C$14)^(1/12)-1))-1))-J22/12/((1+((1+$C$14)^(1/12)-1))-1)*((1+((1+$C$14)^(1/12)-1))*(((1+((1+$C$14)^(1/12)-1))^12-1)/((1+((1+$C$14)^(1/12)-1))-1))-12)),0))</f>
      </c>
    </row>
    <row r="23" spans="9:17" x14ac:dyDescent="0.25">
      <c r="I23">
        <v>19</v>
      </c>
      <c r="J23">
        <f>IF(I23&lt;$C$6,12*$C$7*(1+$C$8)^I23,0)</f>
      </c>
      <c r="P23">
        <f>IF($C$9&lt;&gt;1,0,P22*(1+((1+$C$14)^(1/12)-1))^12-J22/12*(1+((1+$C$14)^(1/12)-1))*(((1+((1+$C$14)^(1/12)-1))^12-1)/((1+((1+$C$14)^(1/12)-1))-1)))</f>
      </c>
      <c r="Q23">
        <f>IF($C$9&lt;&gt;1,0,IFERROR((((1+($C$14+'Inputs'!$H$112/100))^(1/12)-1)-((1+$C$14)^(1/12)-1))*(P23*(((1+((1+$C$14)^(1/12)-1))^12-1)/((1+((1+$C$14)^(1/12)-1))-1))-J23/12/((1+((1+$C$14)^(1/12)-1))-1)*((1+((1+$C$14)^(1/12)-1))*(((1+((1+$C$14)^(1/12)-1))^12-1)/((1+((1+$C$14)^(1/12)-1))-1))-12)),0))</f>
      </c>
    </row>
    <row r="24" spans="9:17" x14ac:dyDescent="0.25">
      <c r="I24">
        <v>20</v>
      </c>
      <c r="J24">
        <f>IF(I24&lt;$C$6,12*$C$7*(1+$C$8)^I24,0)</f>
      </c>
      <c r="P24">
        <f>IF($C$9&lt;&gt;1,0,P23*(1+((1+$C$14)^(1/12)-1))^12-J23/12*(1+((1+$C$14)^(1/12)-1))*(((1+((1+$C$14)^(1/12)-1))^12-1)/((1+((1+$C$14)^(1/12)-1))-1)))</f>
      </c>
      <c r="Q24">
        <f>IF($C$9&lt;&gt;1,0,IFERROR((((1+($C$14+'Inputs'!$H$112/100))^(1/12)-1)-((1+$C$14)^(1/12)-1))*(P24*(((1+((1+$C$14)^(1/12)-1))^12-1)/((1+((1+$C$14)^(1/12)-1))-1))-J24/12/((1+((1+$C$14)^(1/12)-1))-1)*((1+((1+$C$14)^(1/12)-1))*(((1+((1+$C$14)^(1/12)-1))^12-1)/((1+((1+$C$14)^(1/12)-1))-1))-12)),0))</f>
      </c>
    </row>
    <row r="25" spans="9:17" x14ac:dyDescent="0.25">
      <c r="I25">
        <v>21</v>
      </c>
      <c r="J25">
        <f>IF(I25&lt;$C$6,12*$C$7*(1+$C$8)^I25,0)</f>
      </c>
      <c r="P25">
        <f>IF($C$9&lt;&gt;1,0,P24*(1+((1+$C$14)^(1/12)-1))^12-J24/12*(1+((1+$C$14)^(1/12)-1))*(((1+((1+$C$14)^(1/12)-1))^12-1)/((1+((1+$C$14)^(1/12)-1))-1)))</f>
      </c>
      <c r="Q25">
        <f>IF($C$9&lt;&gt;1,0,IFERROR((((1+($C$14+'Inputs'!$H$112/100))^(1/12)-1)-((1+$C$14)^(1/12)-1))*(P25*(((1+((1+$C$14)^(1/12)-1))^12-1)/((1+((1+$C$14)^(1/12)-1))-1))-J25/12/((1+((1+$C$14)^(1/12)-1))-1)*((1+((1+$C$14)^(1/12)-1))*(((1+((1+$C$14)^(1/12)-1))^12-1)/((1+((1+$C$14)^(1/12)-1))-1))-12)),0))</f>
      </c>
    </row>
    <row r="26" spans="9:17" x14ac:dyDescent="0.25">
      <c r="I26">
        <v>22</v>
      </c>
      <c r="J26">
        <f>IF(I26&lt;$C$6,12*$C$7*(1+$C$8)^I26,0)</f>
      </c>
      <c r="P26">
        <f>IF($C$9&lt;&gt;1,0,P25*(1+((1+$C$14)^(1/12)-1))^12-J25/12*(1+((1+$C$14)^(1/12)-1))*(((1+((1+$C$14)^(1/12)-1))^12-1)/((1+((1+$C$14)^(1/12)-1))-1)))</f>
      </c>
      <c r="Q26">
        <f>IF($C$9&lt;&gt;1,0,IFERROR((((1+($C$14+'Inputs'!$H$112/100))^(1/12)-1)-((1+$C$14)^(1/12)-1))*(P26*(((1+((1+$C$14)^(1/12)-1))^12-1)/((1+((1+$C$14)^(1/12)-1))-1))-J26/12/((1+((1+$C$14)^(1/12)-1))-1)*((1+((1+$C$14)^(1/12)-1))*(((1+((1+$C$14)^(1/12)-1))^12-1)/((1+((1+$C$14)^(1/12)-1))-1))-12)),0))</f>
      </c>
    </row>
    <row r="27" spans="9:17" x14ac:dyDescent="0.25">
      <c r="I27">
        <v>23</v>
      </c>
      <c r="J27">
        <f>IF(I27&lt;$C$6,12*$C$7*(1+$C$8)^I27,0)</f>
      </c>
      <c r="P27">
        <f>IF($C$9&lt;&gt;1,0,P26*(1+((1+$C$14)^(1/12)-1))^12-J26/12*(1+((1+$C$14)^(1/12)-1))*(((1+((1+$C$14)^(1/12)-1))^12-1)/((1+((1+$C$14)^(1/12)-1))-1)))</f>
      </c>
      <c r="Q27">
        <f>IF($C$9&lt;&gt;1,0,IFERROR((((1+($C$14+'Inputs'!$H$112/100))^(1/12)-1)-((1+$C$14)^(1/12)-1))*(P27*(((1+((1+$C$14)^(1/12)-1))^12-1)/((1+((1+$C$14)^(1/12)-1))-1))-J27/12/((1+((1+$C$14)^(1/12)-1))-1)*((1+((1+$C$14)^(1/12)-1))*(((1+((1+$C$14)^(1/12)-1))^12-1)/((1+((1+$C$14)^(1/12)-1))-1))-12)),0))</f>
      </c>
    </row>
    <row r="28" spans="9:17" x14ac:dyDescent="0.25">
      <c r="I28">
        <v>24</v>
      </c>
      <c r="J28">
        <f>IF(I28&lt;$C$6,12*$C$7*(1+$C$8)^I28,0)</f>
      </c>
      <c r="P28">
        <f>IF($C$9&lt;&gt;1,0,P27*(1+((1+$C$14)^(1/12)-1))^12-J27/12*(1+((1+$C$14)^(1/12)-1))*(((1+((1+$C$14)^(1/12)-1))^12-1)/((1+((1+$C$14)^(1/12)-1))-1)))</f>
      </c>
      <c r="Q28">
        <f>IF($C$9&lt;&gt;1,0,IFERROR((((1+($C$14+'Inputs'!$H$112/100))^(1/12)-1)-((1+$C$14)^(1/12)-1))*(P28*(((1+((1+$C$14)^(1/12)-1))^12-1)/((1+((1+$C$14)^(1/12)-1))-1))-J28/12/((1+((1+$C$14)^(1/12)-1))-1)*((1+((1+$C$14)^(1/12)-1))*(((1+((1+$C$14)^(1/12)-1))^12-1)/((1+((1+$C$14)^(1/12)-1))-1))-12)),0))</f>
      </c>
    </row>
    <row r="29" spans="9:17" x14ac:dyDescent="0.25">
      <c r="I29">
        <v>25</v>
      </c>
      <c r="J29">
        <f>IF(I29&lt;$C$6,12*$C$7*(1+$C$8)^I29,0)</f>
      </c>
      <c r="P29">
        <f>IF($C$9&lt;&gt;1,0,P28*(1+((1+$C$14)^(1/12)-1))^12-J28/12*(1+((1+$C$14)^(1/12)-1))*(((1+((1+$C$14)^(1/12)-1))^12-1)/((1+((1+$C$14)^(1/12)-1))-1)))</f>
      </c>
      <c r="Q29">
        <f>IF($C$9&lt;&gt;1,0,IFERROR((((1+($C$14+'Inputs'!$H$112/100))^(1/12)-1)-((1+$C$14)^(1/12)-1))*(P29*(((1+((1+$C$14)^(1/12)-1))^12-1)/((1+((1+$C$14)^(1/12)-1))-1))-J29/12/((1+((1+$C$14)^(1/12)-1))-1)*((1+((1+$C$14)^(1/12)-1))*(((1+((1+$C$14)^(1/12)-1))^12-1)/((1+((1+$C$14)^(1/12)-1))-1))-12)),0))</f>
      </c>
    </row>
    <row r="30" spans="9:17" x14ac:dyDescent="0.25">
      <c r="I30">
        <v>26</v>
      </c>
      <c r="J30">
        <f>IF(I30&lt;$C$6,12*$C$7*(1+$C$8)^I30,0)</f>
      </c>
      <c r="P30">
        <f>IF($C$9&lt;&gt;1,0,P29*(1+((1+$C$14)^(1/12)-1))^12-J29/12*(1+((1+$C$14)^(1/12)-1))*(((1+((1+$C$14)^(1/12)-1))^12-1)/((1+((1+$C$14)^(1/12)-1))-1)))</f>
      </c>
      <c r="Q30">
        <f>IF($C$9&lt;&gt;1,0,IFERROR((((1+($C$14+'Inputs'!$H$112/100))^(1/12)-1)-((1+$C$14)^(1/12)-1))*(P30*(((1+((1+$C$14)^(1/12)-1))^12-1)/((1+((1+$C$14)^(1/12)-1))-1))-J30/12/((1+((1+$C$14)^(1/12)-1))-1)*((1+((1+$C$14)^(1/12)-1))*(((1+((1+$C$14)^(1/12)-1))^12-1)/((1+((1+$C$14)^(1/12)-1))-1))-12)),0))</f>
      </c>
    </row>
    <row r="31" spans="9:17" x14ac:dyDescent="0.25">
      <c r="I31">
        <v>27</v>
      </c>
      <c r="J31">
        <f>IF(I31&lt;$C$6,12*$C$7*(1+$C$8)^I31,0)</f>
      </c>
      <c r="P31">
        <f>IF($C$9&lt;&gt;1,0,P30*(1+((1+$C$14)^(1/12)-1))^12-J30/12*(1+((1+$C$14)^(1/12)-1))*(((1+((1+$C$14)^(1/12)-1))^12-1)/((1+((1+$C$14)^(1/12)-1))-1)))</f>
      </c>
      <c r="Q31">
        <f>IF($C$9&lt;&gt;1,0,IFERROR((((1+($C$14+'Inputs'!$H$112/100))^(1/12)-1)-((1+$C$14)^(1/12)-1))*(P31*(((1+((1+$C$14)^(1/12)-1))^12-1)/((1+((1+$C$14)^(1/12)-1))-1))-J31/12/((1+((1+$C$14)^(1/12)-1))-1)*((1+((1+$C$14)^(1/12)-1))*(((1+((1+$C$14)^(1/12)-1))^12-1)/((1+((1+$C$14)^(1/12)-1))-1))-12)),0))</f>
      </c>
    </row>
    <row r="32" spans="9:17" x14ac:dyDescent="0.25">
      <c r="I32">
        <v>28</v>
      </c>
      <c r="J32">
        <f>IF(I32&lt;$C$6,12*$C$7*(1+$C$8)^I32,0)</f>
      </c>
      <c r="P32">
        <f>IF($C$9&lt;&gt;1,0,P31*(1+((1+$C$14)^(1/12)-1))^12-J31/12*(1+((1+$C$14)^(1/12)-1))*(((1+((1+$C$14)^(1/12)-1))^12-1)/((1+((1+$C$14)^(1/12)-1))-1)))</f>
      </c>
      <c r="Q32">
        <f>IF($C$9&lt;&gt;1,0,IFERROR((((1+($C$14+'Inputs'!$H$112/100))^(1/12)-1)-((1+$C$14)^(1/12)-1))*(P32*(((1+((1+$C$14)^(1/12)-1))^12-1)/((1+((1+$C$14)^(1/12)-1))-1))-J32/12/((1+((1+$C$14)^(1/12)-1))-1)*((1+((1+$C$14)^(1/12)-1))*(((1+((1+$C$14)^(1/12)-1))^12-1)/((1+((1+$C$14)^(1/12)-1))-1))-12)),0))</f>
      </c>
    </row>
    <row r="33" spans="9:17" x14ac:dyDescent="0.25">
      <c r="I33">
        <v>29</v>
      </c>
      <c r="J33">
        <f>IF(I33&lt;$C$6,12*$C$7*(1+$C$8)^I33,0)</f>
      </c>
      <c r="P33">
        <f>IF($C$9&lt;&gt;1,0,P32*(1+((1+$C$14)^(1/12)-1))^12-J32/12*(1+((1+$C$14)^(1/12)-1))*(((1+((1+$C$14)^(1/12)-1))^12-1)/((1+((1+$C$14)^(1/12)-1))-1)))</f>
      </c>
      <c r="Q33">
        <f>IF($C$9&lt;&gt;1,0,IFERROR((((1+($C$14+'Inputs'!$H$112/100))^(1/12)-1)-((1+$C$14)^(1/12)-1))*(P33*(((1+((1+$C$14)^(1/12)-1))^12-1)/((1+((1+$C$14)^(1/12)-1))-1))-J33/12/((1+((1+$C$14)^(1/12)-1))-1)*((1+((1+$C$14)^(1/12)-1))*(((1+((1+$C$14)^(1/12)-1))^12-1)/((1+((1+$C$14)^(1/12)-1))-1))-12)),0))</f>
      </c>
    </row>
    <row r="34" spans="9:17" x14ac:dyDescent="0.25">
      <c r="I34">
        <v>30</v>
      </c>
      <c r="J34">
        <f>IF(I34&lt;$C$6,12*$C$7*(1+$C$8)^I34,0)</f>
      </c>
      <c r="P34">
        <f>IF($C$9&lt;&gt;1,0,P33*(1+((1+$C$14)^(1/12)-1))^12-J33/12*(1+((1+$C$14)^(1/12)-1))*(((1+((1+$C$14)^(1/12)-1))^12-1)/((1+((1+$C$14)^(1/12)-1))-1)))</f>
      </c>
      <c r="Q34">
        <f>IF($C$9&lt;&gt;1,0,IFERROR((((1+($C$14+'Inputs'!$H$112/100))^(1/12)-1)-((1+$C$14)^(1/12)-1))*(P34*(((1+((1+$C$14)^(1/12)-1))^12-1)/((1+((1+$C$14)^(1/12)-1))-1))-J34/12/((1+((1+$C$14)^(1/12)-1))-1)*((1+((1+$C$14)^(1/12)-1))*(((1+((1+$C$14)^(1/12)-1))^12-1)/((1+((1+$C$14)^(1/12)-1))-1))-12)),0))</f>
      </c>
    </row>
    <row r="35" spans="9:17" x14ac:dyDescent="0.25">
      <c r="I35">
        <v>31</v>
      </c>
      <c r="J35">
        <f>IF(I35&lt;$C$6,12*$C$7*(1+$C$8)^I35,0)</f>
      </c>
      <c r="P35">
        <f>IF($C$9&lt;&gt;1,0,P34*(1+((1+$C$14)^(1/12)-1))^12-J34/12*(1+((1+$C$14)^(1/12)-1))*(((1+((1+$C$14)^(1/12)-1))^12-1)/((1+((1+$C$14)^(1/12)-1))-1)))</f>
      </c>
      <c r="Q35">
        <f>IF($C$9&lt;&gt;1,0,IFERROR((((1+($C$14+'Inputs'!$H$112/100))^(1/12)-1)-((1+$C$14)^(1/12)-1))*(P35*(((1+((1+$C$14)^(1/12)-1))^12-1)/((1+((1+$C$14)^(1/12)-1))-1))-J35/12/((1+((1+$C$14)^(1/12)-1))-1)*((1+((1+$C$14)^(1/12)-1))*(((1+((1+$C$14)^(1/12)-1))^12-1)/((1+((1+$C$14)^(1/12)-1))-1))-12)),0))</f>
      </c>
    </row>
    <row r="36" spans="9:17" x14ac:dyDescent="0.25">
      <c r="I36">
        <v>32</v>
      </c>
      <c r="J36">
        <f>IF(I36&lt;$C$6,12*$C$7*(1+$C$8)^I36,0)</f>
      </c>
      <c r="P36">
        <f>IF($C$9&lt;&gt;1,0,P35*(1+((1+$C$14)^(1/12)-1))^12-J35/12*(1+((1+$C$14)^(1/12)-1))*(((1+((1+$C$14)^(1/12)-1))^12-1)/((1+((1+$C$14)^(1/12)-1))-1)))</f>
      </c>
      <c r="Q36">
        <f>IF($C$9&lt;&gt;1,0,IFERROR((((1+($C$14+'Inputs'!$H$112/100))^(1/12)-1)-((1+$C$14)^(1/12)-1))*(P36*(((1+((1+$C$14)^(1/12)-1))^12-1)/((1+((1+$C$14)^(1/12)-1))-1))-J36/12/((1+((1+$C$14)^(1/12)-1))-1)*((1+((1+$C$14)^(1/12)-1))*(((1+((1+$C$14)^(1/12)-1))^12-1)/((1+((1+$C$14)^(1/12)-1))-1))-12)),0))</f>
      </c>
    </row>
    <row r="37" spans="9:17" x14ac:dyDescent="0.25">
      <c r="I37">
        <v>33</v>
      </c>
      <c r="J37">
        <f>IF(I37&lt;$C$6,12*$C$7*(1+$C$8)^I37,0)</f>
      </c>
      <c r="P37">
        <f>IF($C$9&lt;&gt;1,0,P36*(1+((1+$C$14)^(1/12)-1))^12-J36/12*(1+((1+$C$14)^(1/12)-1))*(((1+((1+$C$14)^(1/12)-1))^12-1)/((1+((1+$C$14)^(1/12)-1))-1)))</f>
      </c>
      <c r="Q37">
        <f>IF($C$9&lt;&gt;1,0,IFERROR((((1+($C$14+'Inputs'!$H$112/100))^(1/12)-1)-((1+$C$14)^(1/12)-1))*(P37*(((1+((1+$C$14)^(1/12)-1))^12-1)/((1+((1+$C$14)^(1/12)-1))-1))-J37/12/((1+((1+$C$14)^(1/12)-1))-1)*((1+((1+$C$14)^(1/12)-1))*(((1+((1+$C$14)^(1/12)-1))^12-1)/((1+((1+$C$14)^(1/12)-1))-1))-12)),0))</f>
      </c>
    </row>
    <row r="38" spans="9:17" x14ac:dyDescent="0.25">
      <c r="I38">
        <v>34</v>
      </c>
      <c r="J38">
        <f>IF(I38&lt;$C$6,12*$C$7*(1+$C$8)^I38,0)</f>
      </c>
      <c r="P38">
        <f>IF($C$9&lt;&gt;1,0,P37*(1+((1+$C$14)^(1/12)-1))^12-J37/12*(1+((1+$C$14)^(1/12)-1))*(((1+((1+$C$14)^(1/12)-1))^12-1)/((1+((1+$C$14)^(1/12)-1))-1)))</f>
      </c>
      <c r="Q38">
        <f>IF($C$9&lt;&gt;1,0,IFERROR((((1+($C$14+'Inputs'!$H$112/100))^(1/12)-1)-((1+$C$14)^(1/12)-1))*(P38*(((1+((1+$C$14)^(1/12)-1))^12-1)/((1+((1+$C$14)^(1/12)-1))-1))-J38/12/((1+((1+$C$14)^(1/12)-1))-1)*((1+((1+$C$14)^(1/12)-1))*(((1+((1+$C$14)^(1/12)-1))^12-1)/((1+((1+$C$14)^(1/12)-1))-1))-12)),0))</f>
      </c>
    </row>
    <row r="39" spans="9:17" x14ac:dyDescent="0.25">
      <c r="I39">
        <v>35</v>
      </c>
      <c r="J39">
        <f>IF(I39&lt;$C$6,12*$C$7*(1+$C$8)^I39,0)</f>
      </c>
      <c r="P39">
        <f>IF($C$9&lt;&gt;1,0,P38*(1+((1+$C$14)^(1/12)-1))^12-J38/12*(1+((1+$C$14)^(1/12)-1))*(((1+((1+$C$14)^(1/12)-1))^12-1)/((1+((1+$C$14)^(1/12)-1))-1)))</f>
      </c>
      <c r="Q39">
        <f>IF($C$9&lt;&gt;1,0,IFERROR((((1+($C$14+'Inputs'!$H$112/100))^(1/12)-1)-((1+$C$14)^(1/12)-1))*(P39*(((1+((1+$C$14)^(1/12)-1))^12-1)/((1+((1+$C$14)^(1/12)-1))-1))-J39/12/((1+((1+$C$14)^(1/12)-1))-1)*((1+((1+$C$14)^(1/12)-1))*(((1+((1+$C$14)^(1/12)-1))^12-1)/((1+((1+$C$14)^(1/12)-1))-1))-12)),0))</f>
      </c>
    </row>
    <row r="40" spans="9:17" x14ac:dyDescent="0.25">
      <c r="I40">
        <v>36</v>
      </c>
      <c r="J40">
        <f>IF(I40&lt;$C$6,12*$C$7*(1+$C$8)^I40,0)</f>
      </c>
      <c r="P40">
        <f>IF($C$9&lt;&gt;1,0,P39*(1+((1+$C$14)^(1/12)-1))^12-J39/12*(1+((1+$C$14)^(1/12)-1))*(((1+((1+$C$14)^(1/12)-1))^12-1)/((1+((1+$C$14)^(1/12)-1))-1)))</f>
      </c>
      <c r="Q40">
        <f>IF($C$9&lt;&gt;1,0,IFERROR((((1+($C$14+'Inputs'!$H$112/100))^(1/12)-1)-((1+$C$14)^(1/12)-1))*(P40*(((1+((1+$C$14)^(1/12)-1))^12-1)/((1+((1+$C$14)^(1/12)-1))-1))-J40/12/((1+((1+$C$14)^(1/12)-1))-1)*((1+((1+$C$14)^(1/12)-1))*(((1+((1+$C$14)^(1/12)-1))^12-1)/((1+((1+$C$14)^(1/12)-1))-1))-12)),0))</f>
      </c>
    </row>
    <row r="41" spans="9:17" x14ac:dyDescent="0.25">
      <c r="I41">
        <v>37</v>
      </c>
      <c r="J41">
        <f>IF(I41&lt;$C$6,12*$C$7*(1+$C$8)^I41,0)</f>
      </c>
      <c r="P41">
        <f>IF($C$9&lt;&gt;1,0,P40*(1+((1+$C$14)^(1/12)-1))^12-J40/12*(1+((1+$C$14)^(1/12)-1))*(((1+((1+$C$14)^(1/12)-1))^12-1)/((1+((1+$C$14)^(1/12)-1))-1)))</f>
      </c>
      <c r="Q41">
        <f>IF($C$9&lt;&gt;1,0,IFERROR((((1+($C$14+'Inputs'!$H$112/100))^(1/12)-1)-((1+$C$14)^(1/12)-1))*(P41*(((1+((1+$C$14)^(1/12)-1))^12-1)/((1+((1+$C$14)^(1/12)-1))-1))-J41/12/((1+((1+$C$14)^(1/12)-1))-1)*((1+((1+$C$14)^(1/12)-1))*(((1+((1+$C$14)^(1/12)-1))^12-1)/((1+((1+$C$14)^(1/12)-1))-1))-12)),0))</f>
      </c>
    </row>
    <row r="42" spans="9:17" x14ac:dyDescent="0.25">
      <c r="I42">
        <v>38</v>
      </c>
      <c r="J42">
        <f>IF(I42&lt;$C$6,12*$C$7*(1+$C$8)^I42,0)</f>
      </c>
      <c r="P42">
        <f>IF($C$9&lt;&gt;1,0,P41*(1+((1+$C$14)^(1/12)-1))^12-J41/12*(1+((1+$C$14)^(1/12)-1))*(((1+((1+$C$14)^(1/12)-1))^12-1)/((1+((1+$C$14)^(1/12)-1))-1)))</f>
      </c>
      <c r="Q42">
        <f>IF($C$9&lt;&gt;1,0,IFERROR((((1+($C$14+'Inputs'!$H$112/100))^(1/12)-1)-((1+$C$14)^(1/12)-1))*(P42*(((1+((1+$C$14)^(1/12)-1))^12-1)/((1+((1+$C$14)^(1/12)-1))-1))-J42/12/((1+((1+$C$14)^(1/12)-1))-1)*((1+((1+$C$14)^(1/12)-1))*(((1+((1+$C$14)^(1/12)-1))^12-1)/((1+((1+$C$14)^(1/12)-1))-1))-12)),0))</f>
      </c>
    </row>
    <row r="43" spans="9:17" x14ac:dyDescent="0.25">
      <c r="I43">
        <v>39</v>
      </c>
      <c r="J43">
        <f>IF(I43&lt;$C$6,12*$C$7*(1+$C$8)^I43,0)</f>
      </c>
      <c r="P43">
        <f>IF($C$9&lt;&gt;1,0,P42*(1+((1+$C$14)^(1/12)-1))^12-J42/12*(1+((1+$C$14)^(1/12)-1))*(((1+((1+$C$14)^(1/12)-1))^12-1)/((1+((1+$C$14)^(1/12)-1))-1)))</f>
      </c>
      <c r="Q43">
        <f>IF($C$9&lt;&gt;1,0,IFERROR((((1+($C$14+'Inputs'!$H$112/100))^(1/12)-1)-((1+$C$14)^(1/12)-1))*(P43*(((1+((1+$C$14)^(1/12)-1))^12-1)/((1+((1+$C$14)^(1/12)-1))-1))-J43/12/((1+((1+$C$14)^(1/12)-1))-1)*((1+((1+$C$14)^(1/12)-1))*(((1+((1+$C$14)^(1/12)-1))^12-1)/((1+((1+$C$14)^(1/12)-1))-1))-12)),0))</f>
      </c>
    </row>
    <row r="44" spans="9:17" x14ac:dyDescent="0.25">
      <c r="I44">
        <v>40</v>
      </c>
      <c r="J44">
        <f>IF(I44&lt;$C$6,12*$C$7*(1+$C$8)^I44,0)</f>
      </c>
      <c r="P44">
        <f>IF($C$9&lt;&gt;1,0,P43*(1+((1+$C$14)^(1/12)-1))^12-J43/12*(1+((1+$C$14)^(1/12)-1))*(((1+((1+$C$14)^(1/12)-1))^12-1)/((1+((1+$C$14)^(1/12)-1))-1)))</f>
      </c>
      <c r="Q44">
        <f>IF($C$9&lt;&gt;1,0,IFERROR((((1+($C$14+'Inputs'!$H$112/100))^(1/12)-1)-((1+$C$14)^(1/12)-1))*(P44*(((1+((1+$C$14)^(1/12)-1))^12-1)/((1+((1+$C$14)^(1/12)-1))-1))-J44/12/((1+((1+$C$14)^(1/12)-1))-1)*((1+((1+$C$14)^(1/12)-1))*(((1+((1+$C$14)^(1/12)-1))^12-1)/((1+((1+$C$14)^(1/12)-1))-1))-12)),0))</f>
      </c>
    </row>
    <row r="45" spans="9:17" x14ac:dyDescent="0.25">
      <c r="I45">
        <v>41</v>
      </c>
      <c r="J45">
        <f>IF(I45&lt;$C$6,12*$C$7*(1+$C$8)^I45,0)</f>
      </c>
      <c r="P45">
        <f>IF($C$9&lt;&gt;1,0,P44*(1+((1+$C$14)^(1/12)-1))^12-J44/12*(1+((1+$C$14)^(1/12)-1))*(((1+((1+$C$14)^(1/12)-1))^12-1)/((1+((1+$C$14)^(1/12)-1))-1)))</f>
      </c>
      <c r="Q45">
        <f>IF($C$9&lt;&gt;1,0,IFERROR((((1+($C$14+'Inputs'!$H$112/100))^(1/12)-1)-((1+$C$14)^(1/12)-1))*(P45*(((1+((1+$C$14)^(1/12)-1))^12-1)/((1+((1+$C$14)^(1/12)-1))-1))-J45/12/((1+((1+$C$14)^(1/12)-1))-1)*((1+((1+$C$14)^(1/12)-1))*(((1+((1+$C$14)^(1/12)-1))^12-1)/((1+((1+$C$14)^(1/12)-1))-1))-12)),0))</f>
      </c>
    </row>
    <row r="46" spans="9:17" x14ac:dyDescent="0.25">
      <c r="I46">
        <v>42</v>
      </c>
      <c r="J46">
        <f>IF(I46&lt;$C$6,12*$C$7*(1+$C$8)^I46,0)</f>
      </c>
      <c r="P46">
        <f>IF($C$9&lt;&gt;1,0,P45*(1+((1+$C$14)^(1/12)-1))^12-J45/12*(1+((1+$C$14)^(1/12)-1))*(((1+((1+$C$14)^(1/12)-1))^12-1)/((1+((1+$C$14)^(1/12)-1))-1)))</f>
      </c>
      <c r="Q46">
        <f>IF($C$9&lt;&gt;1,0,IFERROR((((1+($C$14+'Inputs'!$H$112/100))^(1/12)-1)-((1+$C$14)^(1/12)-1))*(P46*(((1+((1+$C$14)^(1/12)-1))^12-1)/((1+((1+$C$14)^(1/12)-1))-1))-J46/12/((1+((1+$C$14)^(1/12)-1))-1)*((1+((1+$C$14)^(1/12)-1))*(((1+((1+$C$14)^(1/12)-1))^12-1)/((1+((1+$C$14)^(1/12)-1))-1))-12)),0))</f>
      </c>
    </row>
    <row r="47" spans="9:17" x14ac:dyDescent="0.25">
      <c r="I47">
        <v>43</v>
      </c>
      <c r="J47">
        <f>IF(I47&lt;$C$6,12*$C$7*(1+$C$8)^I47,0)</f>
      </c>
      <c r="P47">
        <f>IF($C$9&lt;&gt;1,0,P46*(1+((1+$C$14)^(1/12)-1))^12-J46/12*(1+((1+$C$14)^(1/12)-1))*(((1+((1+$C$14)^(1/12)-1))^12-1)/((1+((1+$C$14)^(1/12)-1))-1)))</f>
      </c>
      <c r="Q47">
        <f>IF($C$9&lt;&gt;1,0,IFERROR((((1+($C$14+'Inputs'!$H$112/100))^(1/12)-1)-((1+$C$14)^(1/12)-1))*(P47*(((1+((1+$C$14)^(1/12)-1))^12-1)/((1+((1+$C$14)^(1/12)-1))-1))-J47/12/((1+((1+$C$14)^(1/12)-1))-1)*((1+((1+$C$14)^(1/12)-1))*(((1+((1+$C$14)^(1/12)-1))^12-1)/((1+((1+$C$14)^(1/12)-1))-1))-12)),0))</f>
      </c>
    </row>
    <row r="48" spans="9:17" x14ac:dyDescent="0.25">
      <c r="I48">
        <v>44</v>
      </c>
      <c r="J48">
        <f>IF(I48&lt;$C$6,12*$C$7*(1+$C$8)^I48,0)</f>
      </c>
      <c r="P48">
        <f>IF($C$9&lt;&gt;1,0,P47*(1+((1+$C$14)^(1/12)-1))^12-J47/12*(1+((1+$C$14)^(1/12)-1))*(((1+((1+$C$14)^(1/12)-1))^12-1)/((1+((1+$C$14)^(1/12)-1))-1)))</f>
      </c>
      <c r="Q48">
        <f>IF($C$9&lt;&gt;1,0,IFERROR((((1+($C$14+'Inputs'!$H$112/100))^(1/12)-1)-((1+$C$14)^(1/12)-1))*(P48*(((1+((1+$C$14)^(1/12)-1))^12-1)/((1+((1+$C$14)^(1/12)-1))-1))-J48/12/((1+((1+$C$14)^(1/12)-1))-1)*((1+((1+$C$14)^(1/12)-1))*(((1+((1+$C$14)^(1/12)-1))^12-1)/((1+((1+$C$14)^(1/12)-1))-1))-12)),0))</f>
      </c>
    </row>
    <row r="49" spans="9:17" x14ac:dyDescent="0.25">
      <c r="I49">
        <v>45</v>
      </c>
      <c r="J49">
        <f>IF(I49&lt;$C$6,12*$C$7*(1+$C$8)^I49,0)</f>
      </c>
      <c r="P49">
        <f>IF($C$9&lt;&gt;1,0,P48*(1+((1+$C$14)^(1/12)-1))^12-J48/12*(1+((1+$C$14)^(1/12)-1))*(((1+((1+$C$14)^(1/12)-1))^12-1)/((1+((1+$C$14)^(1/12)-1))-1)))</f>
      </c>
      <c r="Q49">
        <f>IF($C$9&lt;&gt;1,0,IFERROR((((1+($C$14+'Inputs'!$H$112/100))^(1/12)-1)-((1+$C$14)^(1/12)-1))*(P49*(((1+((1+$C$14)^(1/12)-1))^12-1)/((1+((1+$C$14)^(1/12)-1))-1))-J49/12/((1+((1+$C$14)^(1/12)-1))-1)*((1+((1+$C$14)^(1/12)-1))*(((1+((1+$C$14)^(1/12)-1))^12-1)/((1+((1+$C$14)^(1/12)-1))-1))-12)),0))</f>
      </c>
    </row>
    <row r="50" spans="9:17" x14ac:dyDescent="0.25">
      <c r="I50">
        <v>46</v>
      </c>
      <c r="J50">
        <f>IF(I50&lt;$C$6,12*$C$7*(1+$C$8)^I50,0)</f>
      </c>
      <c r="P50">
        <f>IF($C$9&lt;&gt;1,0,P49*(1+((1+$C$14)^(1/12)-1))^12-J49/12*(1+((1+$C$14)^(1/12)-1))*(((1+((1+$C$14)^(1/12)-1))^12-1)/((1+((1+$C$14)^(1/12)-1))-1)))</f>
      </c>
      <c r="Q50">
        <f>IF($C$9&lt;&gt;1,0,IFERROR((((1+($C$14+'Inputs'!$H$112/100))^(1/12)-1)-((1+$C$14)^(1/12)-1))*(P50*(((1+((1+$C$14)^(1/12)-1))^12-1)/((1+((1+$C$14)^(1/12)-1))-1))-J50/12/((1+((1+$C$14)^(1/12)-1))-1)*((1+((1+$C$14)^(1/12)-1))*(((1+((1+$C$14)^(1/12)-1))^12-1)/((1+((1+$C$14)^(1/12)-1))-1))-12)),0))</f>
      </c>
    </row>
    <row r="51" spans="9:17" x14ac:dyDescent="0.25">
      <c r="I51">
        <v>47</v>
      </c>
      <c r="J51">
        <f>IF(I51&lt;$C$6,12*$C$7*(1+$C$8)^I51,0)</f>
      </c>
      <c r="P51">
        <f>IF($C$9&lt;&gt;1,0,P50*(1+((1+$C$14)^(1/12)-1))^12-J50/12*(1+((1+$C$14)^(1/12)-1))*(((1+((1+$C$14)^(1/12)-1))^12-1)/((1+((1+$C$14)^(1/12)-1))-1)))</f>
      </c>
      <c r="Q51">
        <f>IF($C$9&lt;&gt;1,0,IFERROR((((1+($C$14+'Inputs'!$H$112/100))^(1/12)-1)-((1+$C$14)^(1/12)-1))*(P51*(((1+((1+$C$14)^(1/12)-1))^12-1)/((1+((1+$C$14)^(1/12)-1))-1))-J51/12/((1+((1+$C$14)^(1/12)-1))-1)*((1+((1+$C$14)^(1/12)-1))*(((1+((1+$C$14)^(1/12)-1))^12-1)/((1+((1+$C$14)^(1/12)-1))-1))-12)),0))</f>
      </c>
    </row>
    <row r="52" spans="9:17" x14ac:dyDescent="0.25">
      <c r="I52">
        <v>48</v>
      </c>
      <c r="J52">
        <f>IF(I52&lt;$C$6,12*$C$7*(1+$C$8)^I52,0)</f>
      </c>
      <c r="P52">
        <f>IF($C$9&lt;&gt;1,0,P51*(1+((1+$C$14)^(1/12)-1))^12-J51/12*(1+((1+$C$14)^(1/12)-1))*(((1+((1+$C$14)^(1/12)-1))^12-1)/((1+((1+$C$14)^(1/12)-1))-1)))</f>
      </c>
      <c r="Q52">
        <f>IF($C$9&lt;&gt;1,0,IFERROR((((1+($C$14+'Inputs'!$H$112/100))^(1/12)-1)-((1+$C$14)^(1/12)-1))*(P52*(((1+((1+$C$14)^(1/12)-1))^12-1)/((1+((1+$C$14)^(1/12)-1))-1))-J52/12/((1+((1+$C$14)^(1/12)-1))-1)*((1+((1+$C$14)^(1/12)-1))*(((1+((1+$C$14)^(1/12)-1))^12-1)/((1+((1+$C$14)^(1/12)-1))-1))-12)),0))</f>
      </c>
    </row>
    <row r="53" spans="9:17" x14ac:dyDescent="0.25">
      <c r="I53">
        <v>49</v>
      </c>
      <c r="J53">
        <f>IF(I53&lt;$C$6,12*$C$7*(1+$C$8)^I53,0)</f>
      </c>
      <c r="P53">
        <f>IF($C$9&lt;&gt;1,0,P52*(1+((1+$C$14)^(1/12)-1))^12-J52/12*(1+((1+$C$14)^(1/12)-1))*(((1+((1+$C$14)^(1/12)-1))^12-1)/((1+((1+$C$14)^(1/12)-1))-1)))</f>
      </c>
      <c r="Q53">
        <f>IF($C$9&lt;&gt;1,0,IFERROR((((1+($C$14+'Inputs'!$H$112/100))^(1/12)-1)-((1+$C$14)^(1/12)-1))*(P53*(((1+((1+$C$14)^(1/12)-1))^12-1)/((1+((1+$C$14)^(1/12)-1))-1))-J53/12/((1+((1+$C$14)^(1/12)-1))-1)*((1+((1+$C$14)^(1/12)-1))*(((1+((1+$C$14)^(1/12)-1))^12-1)/((1+((1+$C$14)^(1/12)-1))-1))-12)),0))</f>
      </c>
    </row>
    <row r="58" spans="2:3" x14ac:dyDescent="0.25">
      <c r="B58" t="s">
        <v>108</v>
      </c>
      <c r="C58">
        <f>IF('Inputs'!$B$90="","",'Inputs'!$B$90)</f>
      </c>
    </row>
    <row r="59" spans="2:17" x14ac:dyDescent="0.25">
      <c r="B59" t="s">
        <v>110</v>
      </c>
      <c r="C59">
        <f>N('Inputs'!$D$90)</f>
      </c>
      <c r="I59" t="s">
        <v>382</v>
      </c>
      <c r="J59" t="s">
        <v>383</v>
      </c>
      <c r="P59" t="s">
        <v>384</v>
      </c>
      <c r="Q59" t="s">
        <v>385</v>
      </c>
    </row>
    <row r="60" spans="2:17" x14ac:dyDescent="0.25">
      <c r="B60" t="s">
        <v>386</v>
      </c>
      <c r="C60">
        <f>IF($C$59&gt;=75,'Inputs'!$H$120,IF($C$59&gt;=65,'Inputs'!$H$119,'Inputs'!$H$113))</f>
      </c>
      <c r="I60">
        <v>0</v>
      </c>
      <c r="J60">
        <f>IF(I60&lt;$C$62,12*$C$63*(1+$C$64)^I60,0)</f>
      </c>
      <c r="P60">
        <f>IF($C$65&lt;&gt;1,0,IF($C$70=0,SUM($J$60:$J$109),(1-(1+$C$70)^-1)/(1-(1+$C$70)^(-1/12))/12*SUMPRODUCT($J$60:$J$109,(1+$C$70)^(-$I$60:$I$109))))</f>
      </c>
      <c r="Q60">
        <f>IF($C$65&lt;&gt;1,0,IFERROR((((1+($C$70+'Inputs'!$H$112/100))^(1/12)-1)-((1+$C$70)^(1/12)-1))*(P60*(((1+((1+$C$70)^(1/12)-1))^12-1)/((1+((1+$C$70)^(1/12)-1))-1))-J60/12/((1+((1+$C$70)^(1/12)-1))-1)*((1+((1+$C$70)^(1/12)-1))*(((1+((1+$C$70)^(1/12)-1))^12-1)/((1+((1+$C$70)^(1/12)-1))-1))-12)),0))</f>
      </c>
    </row>
    <row r="61" spans="2:17" x14ac:dyDescent="0.25">
      <c r="B61" t="s">
        <v>387</v>
      </c>
      <c r="C61">
        <f>N('Inputs'!$I$90)</f>
      </c>
      <c r="I61">
        <v>1</v>
      </c>
      <c r="J61">
        <f>IF(I61&lt;$C$62,12*$C$63*(1+$C$64)^I61,0)</f>
      </c>
      <c r="P61">
        <f>IF($C$65&lt;&gt;1,0,P60*(1+((1+$C$70)^(1/12)-1))^12-J60/12*(1+((1+$C$70)^(1/12)-1))*(((1+((1+$C$70)^(1/12)-1))^12-1)/((1+((1+$C$70)^(1/12)-1))-1)))</f>
      </c>
      <c r="Q61">
        <f>IF($C$65&lt;&gt;1,0,IFERROR((((1+($C$70+'Inputs'!$H$112/100))^(1/12)-1)-((1+$C$70)^(1/12)-1))*(P61*(((1+((1+$C$70)^(1/12)-1))^12-1)/((1+((1+$C$70)^(1/12)-1))-1))-J61/12/((1+((1+$C$70)^(1/12)-1))-1)*((1+((1+$C$70)^(1/12)-1))*(((1+((1+$C$70)^(1/12)-1))^12-1)/((1+((1+$C$70)^(1/12)-1))-1))-12)),0))</f>
      </c>
    </row>
    <row r="62" spans="2:17" x14ac:dyDescent="0.25">
      <c r="B62" t="s">
        <v>388</v>
      </c>
      <c r="C62">
        <f>IF($C$58="",0,N('Inputs'!$F$90))</f>
      </c>
      <c r="I62">
        <v>2</v>
      </c>
      <c r="J62">
        <f>IF(I62&lt;$C$62,12*$C$63*(1+$C$64)^I62,0)</f>
      </c>
      <c r="P62">
        <f>IF($C$65&lt;&gt;1,0,P61*(1+((1+$C$70)^(1/12)-1))^12-J61/12*(1+((1+$C$70)^(1/12)-1))*(((1+((1+$C$70)^(1/12)-1))^12-1)/((1+((1+$C$70)^(1/12)-1))-1)))</f>
      </c>
      <c r="Q62">
        <f>IF($C$65&lt;&gt;1,0,IFERROR((((1+($C$70+'Inputs'!$H$112/100))^(1/12)-1)-((1+$C$70)^(1/12)-1))*(P62*(((1+((1+$C$70)^(1/12)-1))^12-1)/((1+((1+$C$70)^(1/12)-1))-1))-J62/12/((1+((1+$C$70)^(1/12)-1))-1)*((1+((1+$C$70)^(1/12)-1))*(((1+((1+$C$70)^(1/12)-1))^12-1)/((1+((1+$C$70)^(1/12)-1))-1))-12)),0))</f>
      </c>
    </row>
    <row r="63" spans="2:17" x14ac:dyDescent="0.25">
      <c r="B63" t="s">
        <v>389</v>
      </c>
      <c r="C63">
        <f>N('Inputs'!$E$90)</f>
      </c>
      <c r="I63">
        <v>3</v>
      </c>
      <c r="J63">
        <f>IF(I63&lt;$C$62,12*$C$63*(1+$C$64)^I63,0)</f>
      </c>
      <c r="P63">
        <f>IF($C$65&lt;&gt;1,0,P62*(1+((1+$C$70)^(1/12)-1))^12-J62/12*(1+((1+$C$70)^(1/12)-1))*(((1+((1+$C$70)^(1/12)-1))^12-1)/((1+((1+$C$70)^(1/12)-1))-1)))</f>
      </c>
      <c r="Q63">
        <f>IF($C$65&lt;&gt;1,0,IFERROR((((1+($C$70+'Inputs'!$H$112/100))^(1/12)-1)-((1+$C$70)^(1/12)-1))*(P63*(((1+((1+$C$70)^(1/12)-1))^12-1)/((1+((1+$C$70)^(1/12)-1))-1))-J63/12/((1+((1+$C$70)^(1/12)-1))-1)*((1+((1+$C$70)^(1/12)-1))*(((1+((1+$C$70)^(1/12)-1))^12-1)/((1+((1+$C$70)^(1/12)-1))-1))-12)),0))</f>
      </c>
    </row>
    <row r="64" spans="2:17" x14ac:dyDescent="0.25">
      <c r="B64" t="s">
        <v>390</v>
      </c>
      <c r="C64">
        <f>IF('Inputs'!$G$90="",'Inputs'!$H$118/100,'Inputs'!$G$90/100)</f>
      </c>
      <c r="I64">
        <v>4</v>
      </c>
      <c r="J64">
        <f>IF(I64&lt;$C$62,12*$C$63*(1+$C$64)^I64,0)</f>
      </c>
      <c r="P64">
        <f>IF($C$65&lt;&gt;1,0,P63*(1+((1+$C$70)^(1/12)-1))^12-J63/12*(1+((1+$C$70)^(1/12)-1))*(((1+((1+$C$70)^(1/12)-1))^12-1)/((1+((1+$C$70)^(1/12)-1))-1)))</f>
      </c>
      <c r="Q64">
        <f>IF($C$65&lt;&gt;1,0,IFERROR((((1+($C$70+'Inputs'!$H$112/100))^(1/12)-1)-((1+$C$70)^(1/12)-1))*(P64*(((1+((1+$C$70)^(1/12)-1))^12-1)/((1+((1+$C$70)^(1/12)-1))-1))-J64/12/((1+((1+$C$70)^(1/12)-1))-1)*((1+((1+$C$70)^(1/12)-1))*(((1+((1+$C$70)^(1/12)-1))^12-1)/((1+((1+$C$70)^(1/12)-1))-1))-12)),0))</f>
      </c>
    </row>
    <row r="65" spans="2:17" x14ac:dyDescent="0.25">
      <c r="B65" t="s">
        <v>391</v>
      </c>
      <c r="C65">
        <f>IF('Inputs'!$H$90="Yes",1,0)</f>
      </c>
      <c r="I65">
        <v>5</v>
      </c>
      <c r="J65">
        <f>IF(I65&lt;$C$62,12*$C$63*(1+$C$64)^I65,0)</f>
      </c>
      <c r="P65">
        <f>IF($C$65&lt;&gt;1,0,P64*(1+((1+$C$70)^(1/12)-1))^12-J64/12*(1+((1+$C$70)^(1/12)-1))*(((1+((1+$C$70)^(1/12)-1))^12-1)/((1+((1+$C$70)^(1/12)-1))-1)))</f>
      </c>
      <c r="Q65">
        <f>IF($C$65&lt;&gt;1,0,IFERROR((((1+($C$70+'Inputs'!$H$112/100))^(1/12)-1)-((1+$C$70)^(1/12)-1))*(P65*(((1+((1+$C$70)^(1/12)-1))^12-1)/((1+((1+$C$70)^(1/12)-1))-1))-J65/12/((1+((1+$C$70)^(1/12)-1))-1)*((1+((1+$C$70)^(1/12)-1))*(((1+((1+$C$70)^(1/12)-1))^12-1)/((1+((1+$C$70)^(1/12)-1))-1))-12)),0))</f>
      </c>
    </row>
    <row r="66" spans="2:17" x14ac:dyDescent="0.25">
      <c r="B66" t="s">
        <v>392</v>
      </c>
      <c r="C66">
        <f>IF($C$58="",0,N('Inputs'!$J$90))</f>
      </c>
      <c r="I66">
        <v>6</v>
      </c>
      <c r="J66">
        <f>IF(I66&lt;$C$62,12*$C$63*(1+$C$64)^I66,0)</f>
      </c>
      <c r="P66">
        <f>IF($C$65&lt;&gt;1,0,P65*(1+((1+$C$70)^(1/12)-1))^12-J65/12*(1+((1+$C$70)^(1/12)-1))*(((1+((1+$C$70)^(1/12)-1))^12-1)/((1+((1+$C$70)^(1/12)-1))-1)))</f>
      </c>
      <c r="Q66">
        <f>IF($C$65&lt;&gt;1,0,IFERROR((((1+($C$70+'Inputs'!$H$112/100))^(1/12)-1)-((1+$C$70)^(1/12)-1))*(P66*(((1+((1+$C$70)^(1/12)-1))^12-1)/((1+((1+$C$70)^(1/12)-1))-1))-J66/12/((1+((1+$C$70)^(1/12)-1))-1)*((1+((1+$C$70)^(1/12)-1))*(((1+((1+$C$70)^(1/12)-1))^12-1)/((1+((1+$C$70)^(1/12)-1))-1))-12)),0))</f>
      </c>
    </row>
    <row r="67" spans="2:17" x14ac:dyDescent="0.25">
      <c r="B67" t="s">
        <v>393</v>
      </c>
      <c r="C67">
        <f>ROUND(Q60,2)</f>
      </c>
      <c r="I67">
        <v>7</v>
      </c>
      <c r="J67">
        <f>IF(I67&lt;$C$62,12*$C$63*(1+$C$64)^I67,0)</f>
      </c>
      <c r="P67">
        <f>IF($C$65&lt;&gt;1,0,P66*(1+((1+$C$70)^(1/12)-1))^12-J66/12*(1+((1+$C$70)^(1/12)-1))*(((1+((1+$C$70)^(1/12)-1))^12-1)/((1+((1+$C$70)^(1/12)-1))-1)))</f>
      </c>
      <c r="Q67">
        <f>IF($C$65&lt;&gt;1,0,IFERROR((((1+($C$70+'Inputs'!$H$112/100))^(1/12)-1)-((1+$C$70)^(1/12)-1))*(P67*(((1+((1+$C$70)^(1/12)-1))^12-1)/((1+((1+$C$70)^(1/12)-1))-1))-J67/12/((1+((1+$C$70)^(1/12)-1))-1)*((1+((1+$C$70)^(1/12)-1))*(((1+((1+$C$70)^(1/12)-1))^12-1)/((1+((1+$C$70)^(1/12)-1))-1))-12)),0))</f>
      </c>
    </row>
    <row r="68" spans="2:17" x14ac:dyDescent="0.25">
      <c r="B68" t="s">
        <v>394</v>
      </c>
      <c r="C68">
        <f>ROUND(SUM($Q$60:$Q$109),2)</f>
      </c>
      <c r="I68">
        <v>8</v>
      </c>
      <c r="J68">
        <f>IF(I68&lt;$C$62,12*$C$63*(1+$C$64)^I68,0)</f>
      </c>
      <c r="P68">
        <f>IF($C$65&lt;&gt;1,0,P67*(1+((1+$C$70)^(1/12)-1))^12-J67/12*(1+((1+$C$70)^(1/12)-1))*(((1+((1+$C$70)^(1/12)-1))^12-1)/((1+((1+$C$70)^(1/12)-1))-1)))</f>
      </c>
      <c r="Q68">
        <f>IF($C$65&lt;&gt;1,0,IFERROR((((1+($C$70+'Inputs'!$H$112/100))^(1/12)-1)-((1+$C$70)^(1/12)-1))*(P68*(((1+((1+$C$70)^(1/12)-1))^12-1)/((1+((1+$C$70)^(1/12)-1))-1))-J68/12/((1+((1+$C$70)^(1/12)-1))-1)*((1+((1+$C$70)^(1/12)-1))*(((1+((1+$C$70)^(1/12)-1))^12-1)/((1+((1+$C$70)^(1/12)-1))-1))-12)),0))</f>
      </c>
    </row>
    <row r="69" spans="2:17" x14ac:dyDescent="0.25">
      <c r="B69" t="s">
        <v>395</v>
      </c>
      <c r="C69">
        <f>IF($C$65&lt;&gt;1,0,ROUND(IF($C$70=0,SUM($J$60:$J$109),(1-(1+$C$70)^-1)/(1-(1+$C$70)^(-1/12))/12*SUMPRODUCT($J$60:$J$109,(1+$C$70)^(-$I$60:$I$109)))-IF(($C$70+'Inputs'!$H$112/100)=0,SUM($J$60:$J$109),(1-(1+($C$70+'Inputs'!$H$112/100))^-1)/(1-(1+($C$70+'Inputs'!$H$112/100))^(-1/12))/12*SUMPRODUCT($J$60:$J$109,(1+($C$70+'Inputs'!$H$112/100))^(-$I$60:$I$109))),2))</f>
      </c>
      <c r="I69">
        <v>9</v>
      </c>
      <c r="J69">
        <f>IF(I69&lt;$C$62,12*$C$63*(1+$C$64)^I69,0)</f>
      </c>
      <c r="P69">
        <f>IF($C$65&lt;&gt;1,0,P68*(1+((1+$C$70)^(1/12)-1))^12-J68/12*(1+((1+$C$70)^(1/12)-1))*(((1+((1+$C$70)^(1/12)-1))^12-1)/((1+((1+$C$70)^(1/12)-1))-1)))</f>
      </c>
      <c r="Q69">
        <f>IF($C$65&lt;&gt;1,0,IFERROR((((1+($C$70+'Inputs'!$H$112/100))^(1/12)-1)-((1+$C$70)^(1/12)-1))*(P69*(((1+((1+$C$70)^(1/12)-1))^12-1)/((1+((1+$C$70)^(1/12)-1))-1))-J69/12/((1+((1+$C$70)^(1/12)-1))-1)*((1+((1+$C$70)^(1/12)-1))*(((1+((1+$C$70)^(1/12)-1))^12-1)/((1+((1+$C$70)^(1/12)-1))-1))-12)),0))</f>
      </c>
    </row>
    <row r="70" spans="2:17" x14ac:dyDescent="0.25">
      <c r="B70" t="s">
        <v>396</v>
      </c>
      <c r="C70">
        <f>IF($C$65=1,'Needs calc'!$C$49,0)</f>
      </c>
      <c r="I70">
        <v>10</v>
      </c>
      <c r="J70">
        <f>IF(I70&lt;$C$62,12*$C$63*(1+$C$64)^I70,0)</f>
      </c>
      <c r="P70">
        <f>IF($C$65&lt;&gt;1,0,P69*(1+((1+$C$70)^(1/12)-1))^12-J69/12*(1+((1+$C$70)^(1/12)-1))*(((1+((1+$C$70)^(1/12)-1))^12-1)/((1+((1+$C$70)^(1/12)-1))-1)))</f>
      </c>
      <c r="Q70">
        <f>IF($C$65&lt;&gt;1,0,IFERROR((((1+($C$70+'Inputs'!$H$112/100))^(1/12)-1)-((1+$C$70)^(1/12)-1))*(P70*(((1+((1+$C$70)^(1/12)-1))^12-1)/((1+((1+$C$70)^(1/12)-1))-1))-J70/12/((1+((1+$C$70)^(1/12)-1))-1)*((1+((1+$C$70)^(1/12)-1))*(((1+((1+$C$70)^(1/12)-1))^12-1)/((1+((1+$C$70)^(1/12)-1))-1))-12)),0))</f>
      </c>
    </row>
    <row r="71" spans="9:17" x14ac:dyDescent="0.25">
      <c r="I71">
        <v>11</v>
      </c>
      <c r="J71">
        <f>IF(I71&lt;$C$62,12*$C$63*(1+$C$64)^I71,0)</f>
      </c>
      <c r="P71">
        <f>IF($C$65&lt;&gt;1,0,P70*(1+((1+$C$70)^(1/12)-1))^12-J70/12*(1+((1+$C$70)^(1/12)-1))*(((1+((1+$C$70)^(1/12)-1))^12-1)/((1+((1+$C$70)^(1/12)-1))-1)))</f>
      </c>
      <c r="Q71">
        <f>IF($C$65&lt;&gt;1,0,IFERROR((((1+($C$70+'Inputs'!$H$112/100))^(1/12)-1)-((1+$C$70)^(1/12)-1))*(P71*(((1+((1+$C$70)^(1/12)-1))^12-1)/((1+((1+$C$70)^(1/12)-1))-1))-J71/12/((1+((1+$C$70)^(1/12)-1))-1)*((1+((1+$C$70)^(1/12)-1))*(((1+((1+$C$70)^(1/12)-1))^12-1)/((1+((1+$C$70)^(1/12)-1))-1))-12)),0))</f>
      </c>
    </row>
    <row r="72" spans="9:17" x14ac:dyDescent="0.25">
      <c r="I72">
        <v>12</v>
      </c>
      <c r="J72">
        <f>IF(I72&lt;$C$62,12*$C$63*(1+$C$64)^I72,0)</f>
      </c>
      <c r="P72">
        <f>IF($C$65&lt;&gt;1,0,P71*(1+((1+$C$70)^(1/12)-1))^12-J71/12*(1+((1+$C$70)^(1/12)-1))*(((1+((1+$C$70)^(1/12)-1))^12-1)/((1+((1+$C$70)^(1/12)-1))-1)))</f>
      </c>
      <c r="Q72">
        <f>IF($C$65&lt;&gt;1,0,IFERROR((((1+($C$70+'Inputs'!$H$112/100))^(1/12)-1)-((1+$C$70)^(1/12)-1))*(P72*(((1+((1+$C$70)^(1/12)-1))^12-1)/((1+((1+$C$70)^(1/12)-1))-1))-J72/12/((1+((1+$C$70)^(1/12)-1))-1)*((1+((1+$C$70)^(1/12)-1))*(((1+((1+$C$70)^(1/12)-1))^12-1)/((1+((1+$C$70)^(1/12)-1))-1))-12)),0))</f>
      </c>
    </row>
    <row r="73" spans="9:17" x14ac:dyDescent="0.25">
      <c r="I73">
        <v>13</v>
      </c>
      <c r="J73">
        <f>IF(I73&lt;$C$62,12*$C$63*(1+$C$64)^I73,0)</f>
      </c>
      <c r="P73">
        <f>IF($C$65&lt;&gt;1,0,P72*(1+((1+$C$70)^(1/12)-1))^12-J72/12*(1+((1+$C$70)^(1/12)-1))*(((1+((1+$C$70)^(1/12)-1))^12-1)/((1+((1+$C$70)^(1/12)-1))-1)))</f>
      </c>
      <c r="Q73">
        <f>IF($C$65&lt;&gt;1,0,IFERROR((((1+($C$70+'Inputs'!$H$112/100))^(1/12)-1)-((1+$C$70)^(1/12)-1))*(P73*(((1+((1+$C$70)^(1/12)-1))^12-1)/((1+((1+$C$70)^(1/12)-1))-1))-J73/12/((1+((1+$C$70)^(1/12)-1))-1)*((1+((1+$C$70)^(1/12)-1))*(((1+((1+$C$70)^(1/12)-1))^12-1)/((1+((1+$C$70)^(1/12)-1))-1))-12)),0))</f>
      </c>
    </row>
    <row r="74" spans="9:17" x14ac:dyDescent="0.25">
      <c r="I74">
        <v>14</v>
      </c>
      <c r="J74">
        <f>IF(I74&lt;$C$62,12*$C$63*(1+$C$64)^I74,0)</f>
      </c>
      <c r="P74">
        <f>IF($C$65&lt;&gt;1,0,P73*(1+((1+$C$70)^(1/12)-1))^12-J73/12*(1+((1+$C$70)^(1/12)-1))*(((1+((1+$C$70)^(1/12)-1))^12-1)/((1+((1+$C$70)^(1/12)-1))-1)))</f>
      </c>
      <c r="Q74">
        <f>IF($C$65&lt;&gt;1,0,IFERROR((((1+($C$70+'Inputs'!$H$112/100))^(1/12)-1)-((1+$C$70)^(1/12)-1))*(P74*(((1+((1+$C$70)^(1/12)-1))^12-1)/((1+((1+$C$70)^(1/12)-1))-1))-J74/12/((1+((1+$C$70)^(1/12)-1))-1)*((1+((1+$C$70)^(1/12)-1))*(((1+((1+$C$70)^(1/12)-1))^12-1)/((1+((1+$C$70)^(1/12)-1))-1))-12)),0))</f>
      </c>
    </row>
    <row r="75" spans="9:17" x14ac:dyDescent="0.25">
      <c r="I75">
        <v>15</v>
      </c>
      <c r="J75">
        <f>IF(I75&lt;$C$62,12*$C$63*(1+$C$64)^I75,0)</f>
      </c>
      <c r="P75">
        <f>IF($C$65&lt;&gt;1,0,P74*(1+((1+$C$70)^(1/12)-1))^12-J74/12*(1+((1+$C$70)^(1/12)-1))*(((1+((1+$C$70)^(1/12)-1))^12-1)/((1+((1+$C$70)^(1/12)-1))-1)))</f>
      </c>
      <c r="Q75">
        <f>IF($C$65&lt;&gt;1,0,IFERROR((((1+($C$70+'Inputs'!$H$112/100))^(1/12)-1)-((1+$C$70)^(1/12)-1))*(P75*(((1+((1+$C$70)^(1/12)-1))^12-1)/((1+((1+$C$70)^(1/12)-1))-1))-J75/12/((1+((1+$C$70)^(1/12)-1))-1)*((1+((1+$C$70)^(1/12)-1))*(((1+((1+$C$70)^(1/12)-1))^12-1)/((1+((1+$C$70)^(1/12)-1))-1))-12)),0))</f>
      </c>
    </row>
    <row r="76" spans="9:17" x14ac:dyDescent="0.25">
      <c r="I76">
        <v>16</v>
      </c>
      <c r="J76">
        <f>IF(I76&lt;$C$62,12*$C$63*(1+$C$64)^I76,0)</f>
      </c>
      <c r="P76">
        <f>IF($C$65&lt;&gt;1,0,P75*(1+((1+$C$70)^(1/12)-1))^12-J75/12*(1+((1+$C$70)^(1/12)-1))*(((1+((1+$C$70)^(1/12)-1))^12-1)/((1+((1+$C$70)^(1/12)-1))-1)))</f>
      </c>
      <c r="Q76">
        <f>IF($C$65&lt;&gt;1,0,IFERROR((((1+($C$70+'Inputs'!$H$112/100))^(1/12)-1)-((1+$C$70)^(1/12)-1))*(P76*(((1+((1+$C$70)^(1/12)-1))^12-1)/((1+((1+$C$70)^(1/12)-1))-1))-J76/12/((1+((1+$C$70)^(1/12)-1))-1)*((1+((1+$C$70)^(1/12)-1))*(((1+((1+$C$70)^(1/12)-1))^12-1)/((1+((1+$C$70)^(1/12)-1))-1))-12)),0))</f>
      </c>
    </row>
    <row r="77" spans="9:17" x14ac:dyDescent="0.25">
      <c r="I77">
        <v>17</v>
      </c>
      <c r="J77">
        <f>IF(I77&lt;$C$62,12*$C$63*(1+$C$64)^I77,0)</f>
      </c>
      <c r="P77">
        <f>IF($C$65&lt;&gt;1,0,P76*(1+((1+$C$70)^(1/12)-1))^12-J76/12*(1+((1+$C$70)^(1/12)-1))*(((1+((1+$C$70)^(1/12)-1))^12-1)/((1+((1+$C$70)^(1/12)-1))-1)))</f>
      </c>
      <c r="Q77">
        <f>IF($C$65&lt;&gt;1,0,IFERROR((((1+($C$70+'Inputs'!$H$112/100))^(1/12)-1)-((1+$C$70)^(1/12)-1))*(P77*(((1+((1+$C$70)^(1/12)-1))^12-1)/((1+((1+$C$70)^(1/12)-1))-1))-J77/12/((1+((1+$C$70)^(1/12)-1))-1)*((1+((1+$C$70)^(1/12)-1))*(((1+((1+$C$70)^(1/12)-1))^12-1)/((1+((1+$C$70)^(1/12)-1))-1))-12)),0))</f>
      </c>
    </row>
    <row r="78" spans="9:17" x14ac:dyDescent="0.25">
      <c r="I78">
        <v>18</v>
      </c>
      <c r="J78">
        <f>IF(I78&lt;$C$62,12*$C$63*(1+$C$64)^I78,0)</f>
      </c>
      <c r="P78">
        <f>IF($C$65&lt;&gt;1,0,P77*(1+((1+$C$70)^(1/12)-1))^12-J77/12*(1+((1+$C$70)^(1/12)-1))*(((1+((1+$C$70)^(1/12)-1))^12-1)/((1+((1+$C$70)^(1/12)-1))-1)))</f>
      </c>
      <c r="Q78">
        <f>IF($C$65&lt;&gt;1,0,IFERROR((((1+($C$70+'Inputs'!$H$112/100))^(1/12)-1)-((1+$C$70)^(1/12)-1))*(P78*(((1+((1+$C$70)^(1/12)-1))^12-1)/((1+((1+$C$70)^(1/12)-1))-1))-J78/12/((1+((1+$C$70)^(1/12)-1))-1)*((1+((1+$C$70)^(1/12)-1))*(((1+((1+$C$70)^(1/12)-1))^12-1)/((1+((1+$C$70)^(1/12)-1))-1))-12)),0))</f>
      </c>
    </row>
    <row r="79" spans="9:17" x14ac:dyDescent="0.25">
      <c r="I79">
        <v>19</v>
      </c>
      <c r="J79">
        <f>IF(I79&lt;$C$62,12*$C$63*(1+$C$64)^I79,0)</f>
      </c>
      <c r="P79">
        <f>IF($C$65&lt;&gt;1,0,P78*(1+((1+$C$70)^(1/12)-1))^12-J78/12*(1+((1+$C$70)^(1/12)-1))*(((1+((1+$C$70)^(1/12)-1))^12-1)/((1+((1+$C$70)^(1/12)-1))-1)))</f>
      </c>
      <c r="Q79">
        <f>IF($C$65&lt;&gt;1,0,IFERROR((((1+($C$70+'Inputs'!$H$112/100))^(1/12)-1)-((1+$C$70)^(1/12)-1))*(P79*(((1+((1+$C$70)^(1/12)-1))^12-1)/((1+((1+$C$70)^(1/12)-1))-1))-J79/12/((1+((1+$C$70)^(1/12)-1))-1)*((1+((1+$C$70)^(1/12)-1))*(((1+((1+$C$70)^(1/12)-1))^12-1)/((1+((1+$C$70)^(1/12)-1))-1))-12)),0))</f>
      </c>
    </row>
    <row r="80" spans="9:17" x14ac:dyDescent="0.25">
      <c r="I80">
        <v>20</v>
      </c>
      <c r="J80">
        <f>IF(I80&lt;$C$62,12*$C$63*(1+$C$64)^I80,0)</f>
      </c>
      <c r="P80">
        <f>IF($C$65&lt;&gt;1,0,P79*(1+((1+$C$70)^(1/12)-1))^12-J79/12*(1+((1+$C$70)^(1/12)-1))*(((1+((1+$C$70)^(1/12)-1))^12-1)/((1+((1+$C$70)^(1/12)-1))-1)))</f>
      </c>
      <c r="Q80">
        <f>IF($C$65&lt;&gt;1,0,IFERROR((((1+($C$70+'Inputs'!$H$112/100))^(1/12)-1)-((1+$C$70)^(1/12)-1))*(P80*(((1+((1+$C$70)^(1/12)-1))^12-1)/((1+((1+$C$70)^(1/12)-1))-1))-J80/12/((1+((1+$C$70)^(1/12)-1))-1)*((1+((1+$C$70)^(1/12)-1))*(((1+((1+$C$70)^(1/12)-1))^12-1)/((1+((1+$C$70)^(1/12)-1))-1))-12)),0))</f>
      </c>
    </row>
    <row r="81" spans="9:17" x14ac:dyDescent="0.25">
      <c r="I81">
        <v>21</v>
      </c>
      <c r="J81">
        <f>IF(I81&lt;$C$62,12*$C$63*(1+$C$64)^I81,0)</f>
      </c>
      <c r="P81">
        <f>IF($C$65&lt;&gt;1,0,P80*(1+((1+$C$70)^(1/12)-1))^12-J80/12*(1+((1+$C$70)^(1/12)-1))*(((1+((1+$C$70)^(1/12)-1))^12-1)/((1+((1+$C$70)^(1/12)-1))-1)))</f>
      </c>
      <c r="Q81">
        <f>IF($C$65&lt;&gt;1,0,IFERROR((((1+($C$70+'Inputs'!$H$112/100))^(1/12)-1)-((1+$C$70)^(1/12)-1))*(P81*(((1+((1+$C$70)^(1/12)-1))^12-1)/((1+((1+$C$70)^(1/12)-1))-1))-J81/12/((1+((1+$C$70)^(1/12)-1))-1)*((1+((1+$C$70)^(1/12)-1))*(((1+((1+$C$70)^(1/12)-1))^12-1)/((1+((1+$C$70)^(1/12)-1))-1))-12)),0))</f>
      </c>
    </row>
    <row r="82" spans="9:17" x14ac:dyDescent="0.25">
      <c r="I82">
        <v>22</v>
      </c>
      <c r="J82">
        <f>IF(I82&lt;$C$62,12*$C$63*(1+$C$64)^I82,0)</f>
      </c>
      <c r="P82">
        <f>IF($C$65&lt;&gt;1,0,P81*(1+((1+$C$70)^(1/12)-1))^12-J81/12*(1+((1+$C$70)^(1/12)-1))*(((1+((1+$C$70)^(1/12)-1))^12-1)/((1+((1+$C$70)^(1/12)-1))-1)))</f>
      </c>
      <c r="Q82">
        <f>IF($C$65&lt;&gt;1,0,IFERROR((((1+($C$70+'Inputs'!$H$112/100))^(1/12)-1)-((1+$C$70)^(1/12)-1))*(P82*(((1+((1+$C$70)^(1/12)-1))^12-1)/((1+((1+$C$70)^(1/12)-1))-1))-J82/12/((1+((1+$C$70)^(1/12)-1))-1)*((1+((1+$C$70)^(1/12)-1))*(((1+((1+$C$70)^(1/12)-1))^12-1)/((1+((1+$C$70)^(1/12)-1))-1))-12)),0))</f>
      </c>
    </row>
    <row r="83" spans="9:17" x14ac:dyDescent="0.25">
      <c r="I83">
        <v>23</v>
      </c>
      <c r="J83">
        <f>IF(I83&lt;$C$62,12*$C$63*(1+$C$64)^I83,0)</f>
      </c>
      <c r="P83">
        <f>IF($C$65&lt;&gt;1,0,P82*(1+((1+$C$70)^(1/12)-1))^12-J82/12*(1+((1+$C$70)^(1/12)-1))*(((1+((1+$C$70)^(1/12)-1))^12-1)/((1+((1+$C$70)^(1/12)-1))-1)))</f>
      </c>
      <c r="Q83">
        <f>IF($C$65&lt;&gt;1,0,IFERROR((((1+($C$70+'Inputs'!$H$112/100))^(1/12)-1)-((1+$C$70)^(1/12)-1))*(P83*(((1+((1+$C$70)^(1/12)-1))^12-1)/((1+((1+$C$70)^(1/12)-1))-1))-J83/12/((1+((1+$C$70)^(1/12)-1))-1)*((1+((1+$C$70)^(1/12)-1))*(((1+((1+$C$70)^(1/12)-1))^12-1)/((1+((1+$C$70)^(1/12)-1))-1))-12)),0))</f>
      </c>
    </row>
    <row r="84" spans="9:17" x14ac:dyDescent="0.25">
      <c r="I84">
        <v>24</v>
      </c>
      <c r="J84">
        <f>IF(I84&lt;$C$62,12*$C$63*(1+$C$64)^I84,0)</f>
      </c>
      <c r="P84">
        <f>IF($C$65&lt;&gt;1,0,P83*(1+((1+$C$70)^(1/12)-1))^12-J83/12*(1+((1+$C$70)^(1/12)-1))*(((1+((1+$C$70)^(1/12)-1))^12-1)/((1+((1+$C$70)^(1/12)-1))-1)))</f>
      </c>
      <c r="Q84">
        <f>IF($C$65&lt;&gt;1,0,IFERROR((((1+($C$70+'Inputs'!$H$112/100))^(1/12)-1)-((1+$C$70)^(1/12)-1))*(P84*(((1+((1+$C$70)^(1/12)-1))^12-1)/((1+((1+$C$70)^(1/12)-1))-1))-J84/12/((1+((1+$C$70)^(1/12)-1))-1)*((1+((1+$C$70)^(1/12)-1))*(((1+((1+$C$70)^(1/12)-1))^12-1)/((1+((1+$C$70)^(1/12)-1))-1))-12)),0))</f>
      </c>
    </row>
    <row r="85" spans="9:17" x14ac:dyDescent="0.25">
      <c r="I85">
        <v>25</v>
      </c>
      <c r="J85">
        <f>IF(I85&lt;$C$62,12*$C$63*(1+$C$64)^I85,0)</f>
      </c>
      <c r="P85">
        <f>IF($C$65&lt;&gt;1,0,P84*(1+((1+$C$70)^(1/12)-1))^12-J84/12*(1+((1+$C$70)^(1/12)-1))*(((1+((1+$C$70)^(1/12)-1))^12-1)/((1+((1+$C$70)^(1/12)-1))-1)))</f>
      </c>
      <c r="Q85">
        <f>IF($C$65&lt;&gt;1,0,IFERROR((((1+($C$70+'Inputs'!$H$112/100))^(1/12)-1)-((1+$C$70)^(1/12)-1))*(P85*(((1+((1+$C$70)^(1/12)-1))^12-1)/((1+((1+$C$70)^(1/12)-1))-1))-J85/12/((1+((1+$C$70)^(1/12)-1))-1)*((1+((1+$C$70)^(1/12)-1))*(((1+((1+$C$70)^(1/12)-1))^12-1)/((1+((1+$C$70)^(1/12)-1))-1))-12)),0))</f>
      </c>
    </row>
    <row r="86" spans="9:17" x14ac:dyDescent="0.25">
      <c r="I86">
        <v>26</v>
      </c>
      <c r="J86">
        <f>IF(I86&lt;$C$62,12*$C$63*(1+$C$64)^I86,0)</f>
      </c>
      <c r="P86">
        <f>IF($C$65&lt;&gt;1,0,P85*(1+((1+$C$70)^(1/12)-1))^12-J85/12*(1+((1+$C$70)^(1/12)-1))*(((1+((1+$C$70)^(1/12)-1))^12-1)/((1+((1+$C$70)^(1/12)-1))-1)))</f>
      </c>
      <c r="Q86">
        <f>IF($C$65&lt;&gt;1,0,IFERROR((((1+($C$70+'Inputs'!$H$112/100))^(1/12)-1)-((1+$C$70)^(1/12)-1))*(P86*(((1+((1+$C$70)^(1/12)-1))^12-1)/((1+((1+$C$70)^(1/12)-1))-1))-J86/12/((1+((1+$C$70)^(1/12)-1))-1)*((1+((1+$C$70)^(1/12)-1))*(((1+((1+$C$70)^(1/12)-1))^12-1)/((1+((1+$C$70)^(1/12)-1))-1))-12)),0))</f>
      </c>
    </row>
    <row r="87" spans="9:17" x14ac:dyDescent="0.25">
      <c r="I87">
        <v>27</v>
      </c>
      <c r="J87">
        <f>IF(I87&lt;$C$62,12*$C$63*(1+$C$64)^I87,0)</f>
      </c>
      <c r="P87">
        <f>IF($C$65&lt;&gt;1,0,P86*(1+((1+$C$70)^(1/12)-1))^12-J86/12*(1+((1+$C$70)^(1/12)-1))*(((1+((1+$C$70)^(1/12)-1))^12-1)/((1+((1+$C$70)^(1/12)-1))-1)))</f>
      </c>
      <c r="Q87">
        <f>IF($C$65&lt;&gt;1,0,IFERROR((((1+($C$70+'Inputs'!$H$112/100))^(1/12)-1)-((1+$C$70)^(1/12)-1))*(P87*(((1+((1+$C$70)^(1/12)-1))^12-1)/((1+((1+$C$70)^(1/12)-1))-1))-J87/12/((1+((1+$C$70)^(1/12)-1))-1)*((1+((1+$C$70)^(1/12)-1))*(((1+((1+$C$70)^(1/12)-1))^12-1)/((1+((1+$C$70)^(1/12)-1))-1))-12)),0))</f>
      </c>
    </row>
    <row r="88" spans="9:17" x14ac:dyDescent="0.25">
      <c r="I88">
        <v>28</v>
      </c>
      <c r="J88">
        <f>IF(I88&lt;$C$62,12*$C$63*(1+$C$64)^I88,0)</f>
      </c>
      <c r="P88">
        <f>IF($C$65&lt;&gt;1,0,P87*(1+((1+$C$70)^(1/12)-1))^12-J87/12*(1+((1+$C$70)^(1/12)-1))*(((1+((1+$C$70)^(1/12)-1))^12-1)/((1+((1+$C$70)^(1/12)-1))-1)))</f>
      </c>
      <c r="Q88">
        <f>IF($C$65&lt;&gt;1,0,IFERROR((((1+($C$70+'Inputs'!$H$112/100))^(1/12)-1)-((1+$C$70)^(1/12)-1))*(P88*(((1+((1+$C$70)^(1/12)-1))^12-1)/((1+((1+$C$70)^(1/12)-1))-1))-J88/12/((1+((1+$C$70)^(1/12)-1))-1)*((1+((1+$C$70)^(1/12)-1))*(((1+((1+$C$70)^(1/12)-1))^12-1)/((1+((1+$C$70)^(1/12)-1))-1))-12)),0))</f>
      </c>
    </row>
    <row r="89" spans="9:17" x14ac:dyDescent="0.25">
      <c r="I89">
        <v>29</v>
      </c>
      <c r="J89">
        <f>IF(I89&lt;$C$62,12*$C$63*(1+$C$64)^I89,0)</f>
      </c>
      <c r="P89">
        <f>IF($C$65&lt;&gt;1,0,P88*(1+((1+$C$70)^(1/12)-1))^12-J88/12*(1+((1+$C$70)^(1/12)-1))*(((1+((1+$C$70)^(1/12)-1))^12-1)/((1+((1+$C$70)^(1/12)-1))-1)))</f>
      </c>
      <c r="Q89">
        <f>IF($C$65&lt;&gt;1,0,IFERROR((((1+($C$70+'Inputs'!$H$112/100))^(1/12)-1)-((1+$C$70)^(1/12)-1))*(P89*(((1+((1+$C$70)^(1/12)-1))^12-1)/((1+((1+$C$70)^(1/12)-1))-1))-J89/12/((1+((1+$C$70)^(1/12)-1))-1)*((1+((1+$C$70)^(1/12)-1))*(((1+((1+$C$70)^(1/12)-1))^12-1)/((1+((1+$C$70)^(1/12)-1))-1))-12)),0))</f>
      </c>
    </row>
    <row r="90" spans="9:17" x14ac:dyDescent="0.25">
      <c r="I90">
        <v>30</v>
      </c>
      <c r="J90">
        <f>IF(I90&lt;$C$62,12*$C$63*(1+$C$64)^I90,0)</f>
      </c>
      <c r="P90">
        <f>IF($C$65&lt;&gt;1,0,P89*(1+((1+$C$70)^(1/12)-1))^12-J89/12*(1+((1+$C$70)^(1/12)-1))*(((1+((1+$C$70)^(1/12)-1))^12-1)/((1+((1+$C$70)^(1/12)-1))-1)))</f>
      </c>
      <c r="Q90">
        <f>IF($C$65&lt;&gt;1,0,IFERROR((((1+($C$70+'Inputs'!$H$112/100))^(1/12)-1)-((1+$C$70)^(1/12)-1))*(P90*(((1+((1+$C$70)^(1/12)-1))^12-1)/((1+((1+$C$70)^(1/12)-1))-1))-J90/12/((1+((1+$C$70)^(1/12)-1))-1)*((1+((1+$C$70)^(1/12)-1))*(((1+((1+$C$70)^(1/12)-1))^12-1)/((1+((1+$C$70)^(1/12)-1))-1))-12)),0))</f>
      </c>
    </row>
    <row r="91" spans="9:17" x14ac:dyDescent="0.25">
      <c r="I91">
        <v>31</v>
      </c>
      <c r="J91">
        <f>IF(I91&lt;$C$62,12*$C$63*(1+$C$64)^I91,0)</f>
      </c>
      <c r="P91">
        <f>IF($C$65&lt;&gt;1,0,P90*(1+((1+$C$70)^(1/12)-1))^12-J90/12*(1+((1+$C$70)^(1/12)-1))*(((1+((1+$C$70)^(1/12)-1))^12-1)/((1+((1+$C$70)^(1/12)-1))-1)))</f>
      </c>
      <c r="Q91">
        <f>IF($C$65&lt;&gt;1,0,IFERROR((((1+($C$70+'Inputs'!$H$112/100))^(1/12)-1)-((1+$C$70)^(1/12)-1))*(P91*(((1+((1+$C$70)^(1/12)-1))^12-1)/((1+((1+$C$70)^(1/12)-1))-1))-J91/12/((1+((1+$C$70)^(1/12)-1))-1)*((1+((1+$C$70)^(1/12)-1))*(((1+((1+$C$70)^(1/12)-1))^12-1)/((1+((1+$C$70)^(1/12)-1))-1))-12)),0))</f>
      </c>
    </row>
    <row r="92" spans="9:17" x14ac:dyDescent="0.25">
      <c r="I92">
        <v>32</v>
      </c>
      <c r="J92">
        <f>IF(I92&lt;$C$62,12*$C$63*(1+$C$64)^I92,0)</f>
      </c>
      <c r="P92">
        <f>IF($C$65&lt;&gt;1,0,P91*(1+((1+$C$70)^(1/12)-1))^12-J91/12*(1+((1+$C$70)^(1/12)-1))*(((1+((1+$C$70)^(1/12)-1))^12-1)/((1+((1+$C$70)^(1/12)-1))-1)))</f>
      </c>
      <c r="Q92">
        <f>IF($C$65&lt;&gt;1,0,IFERROR((((1+($C$70+'Inputs'!$H$112/100))^(1/12)-1)-((1+$C$70)^(1/12)-1))*(P92*(((1+((1+$C$70)^(1/12)-1))^12-1)/((1+((1+$C$70)^(1/12)-1))-1))-J92/12/((1+((1+$C$70)^(1/12)-1))-1)*((1+((1+$C$70)^(1/12)-1))*(((1+((1+$C$70)^(1/12)-1))^12-1)/((1+((1+$C$70)^(1/12)-1))-1))-12)),0))</f>
      </c>
    </row>
    <row r="93" spans="9:17" x14ac:dyDescent="0.25">
      <c r="I93">
        <v>33</v>
      </c>
      <c r="J93">
        <f>IF(I93&lt;$C$62,12*$C$63*(1+$C$64)^I93,0)</f>
      </c>
      <c r="P93">
        <f>IF($C$65&lt;&gt;1,0,P92*(1+((1+$C$70)^(1/12)-1))^12-J92/12*(1+((1+$C$70)^(1/12)-1))*(((1+((1+$C$70)^(1/12)-1))^12-1)/((1+((1+$C$70)^(1/12)-1))-1)))</f>
      </c>
      <c r="Q93">
        <f>IF($C$65&lt;&gt;1,0,IFERROR((((1+($C$70+'Inputs'!$H$112/100))^(1/12)-1)-((1+$C$70)^(1/12)-1))*(P93*(((1+((1+$C$70)^(1/12)-1))^12-1)/((1+((1+$C$70)^(1/12)-1))-1))-J93/12/((1+((1+$C$70)^(1/12)-1))-1)*((1+((1+$C$70)^(1/12)-1))*(((1+((1+$C$70)^(1/12)-1))^12-1)/((1+((1+$C$70)^(1/12)-1))-1))-12)),0))</f>
      </c>
    </row>
    <row r="94" spans="9:17" x14ac:dyDescent="0.25">
      <c r="I94">
        <v>34</v>
      </c>
      <c r="J94">
        <f>IF(I94&lt;$C$62,12*$C$63*(1+$C$64)^I94,0)</f>
      </c>
      <c r="P94">
        <f>IF($C$65&lt;&gt;1,0,P93*(1+((1+$C$70)^(1/12)-1))^12-J93/12*(1+((1+$C$70)^(1/12)-1))*(((1+((1+$C$70)^(1/12)-1))^12-1)/((1+((1+$C$70)^(1/12)-1))-1)))</f>
      </c>
      <c r="Q94">
        <f>IF($C$65&lt;&gt;1,0,IFERROR((((1+($C$70+'Inputs'!$H$112/100))^(1/12)-1)-((1+$C$70)^(1/12)-1))*(P94*(((1+((1+$C$70)^(1/12)-1))^12-1)/((1+((1+$C$70)^(1/12)-1))-1))-J94/12/((1+((1+$C$70)^(1/12)-1))-1)*((1+((1+$C$70)^(1/12)-1))*(((1+((1+$C$70)^(1/12)-1))^12-1)/((1+((1+$C$70)^(1/12)-1))-1))-12)),0))</f>
      </c>
    </row>
    <row r="95" spans="9:17" x14ac:dyDescent="0.25">
      <c r="I95">
        <v>35</v>
      </c>
      <c r="J95">
        <f>IF(I95&lt;$C$62,12*$C$63*(1+$C$64)^I95,0)</f>
      </c>
      <c r="P95">
        <f>IF($C$65&lt;&gt;1,0,P94*(1+((1+$C$70)^(1/12)-1))^12-J94/12*(1+((1+$C$70)^(1/12)-1))*(((1+((1+$C$70)^(1/12)-1))^12-1)/((1+((1+$C$70)^(1/12)-1))-1)))</f>
      </c>
      <c r="Q95">
        <f>IF($C$65&lt;&gt;1,0,IFERROR((((1+($C$70+'Inputs'!$H$112/100))^(1/12)-1)-((1+$C$70)^(1/12)-1))*(P95*(((1+((1+$C$70)^(1/12)-1))^12-1)/((1+((1+$C$70)^(1/12)-1))-1))-J95/12/((1+((1+$C$70)^(1/12)-1))-1)*((1+((1+$C$70)^(1/12)-1))*(((1+((1+$C$70)^(1/12)-1))^12-1)/((1+((1+$C$70)^(1/12)-1))-1))-12)),0))</f>
      </c>
    </row>
    <row r="96" spans="9:17" x14ac:dyDescent="0.25">
      <c r="I96">
        <v>36</v>
      </c>
      <c r="J96">
        <f>IF(I96&lt;$C$62,12*$C$63*(1+$C$64)^I96,0)</f>
      </c>
      <c r="P96">
        <f>IF($C$65&lt;&gt;1,0,P95*(1+((1+$C$70)^(1/12)-1))^12-J95/12*(1+((1+$C$70)^(1/12)-1))*(((1+((1+$C$70)^(1/12)-1))^12-1)/((1+((1+$C$70)^(1/12)-1))-1)))</f>
      </c>
      <c r="Q96">
        <f>IF($C$65&lt;&gt;1,0,IFERROR((((1+($C$70+'Inputs'!$H$112/100))^(1/12)-1)-((1+$C$70)^(1/12)-1))*(P96*(((1+((1+$C$70)^(1/12)-1))^12-1)/((1+((1+$C$70)^(1/12)-1))-1))-J96/12/((1+((1+$C$70)^(1/12)-1))-1)*((1+((1+$C$70)^(1/12)-1))*(((1+((1+$C$70)^(1/12)-1))^12-1)/((1+((1+$C$70)^(1/12)-1))-1))-12)),0))</f>
      </c>
    </row>
    <row r="97" spans="9:17" x14ac:dyDescent="0.25">
      <c r="I97">
        <v>37</v>
      </c>
      <c r="J97">
        <f>IF(I97&lt;$C$62,12*$C$63*(1+$C$64)^I97,0)</f>
      </c>
      <c r="P97">
        <f>IF($C$65&lt;&gt;1,0,P96*(1+((1+$C$70)^(1/12)-1))^12-J96/12*(1+((1+$C$70)^(1/12)-1))*(((1+((1+$C$70)^(1/12)-1))^12-1)/((1+((1+$C$70)^(1/12)-1))-1)))</f>
      </c>
      <c r="Q97">
        <f>IF($C$65&lt;&gt;1,0,IFERROR((((1+($C$70+'Inputs'!$H$112/100))^(1/12)-1)-((1+$C$70)^(1/12)-1))*(P97*(((1+((1+$C$70)^(1/12)-1))^12-1)/((1+((1+$C$70)^(1/12)-1))-1))-J97/12/((1+((1+$C$70)^(1/12)-1))-1)*((1+((1+$C$70)^(1/12)-1))*(((1+((1+$C$70)^(1/12)-1))^12-1)/((1+((1+$C$70)^(1/12)-1))-1))-12)),0))</f>
      </c>
    </row>
    <row r="98" spans="9:17" x14ac:dyDescent="0.25">
      <c r="I98">
        <v>38</v>
      </c>
      <c r="J98">
        <f>IF(I98&lt;$C$62,12*$C$63*(1+$C$64)^I98,0)</f>
      </c>
      <c r="P98">
        <f>IF($C$65&lt;&gt;1,0,P97*(1+((1+$C$70)^(1/12)-1))^12-J97/12*(1+((1+$C$70)^(1/12)-1))*(((1+((1+$C$70)^(1/12)-1))^12-1)/((1+((1+$C$70)^(1/12)-1))-1)))</f>
      </c>
      <c r="Q98">
        <f>IF($C$65&lt;&gt;1,0,IFERROR((((1+($C$70+'Inputs'!$H$112/100))^(1/12)-1)-((1+$C$70)^(1/12)-1))*(P98*(((1+((1+$C$70)^(1/12)-1))^12-1)/((1+((1+$C$70)^(1/12)-1))-1))-J98/12/((1+((1+$C$70)^(1/12)-1))-1)*((1+((1+$C$70)^(1/12)-1))*(((1+((1+$C$70)^(1/12)-1))^12-1)/((1+((1+$C$70)^(1/12)-1))-1))-12)),0))</f>
      </c>
    </row>
    <row r="99" spans="9:17" x14ac:dyDescent="0.25">
      <c r="I99">
        <v>39</v>
      </c>
      <c r="J99">
        <f>IF(I99&lt;$C$62,12*$C$63*(1+$C$64)^I99,0)</f>
      </c>
      <c r="P99">
        <f>IF($C$65&lt;&gt;1,0,P98*(1+((1+$C$70)^(1/12)-1))^12-J98/12*(1+((1+$C$70)^(1/12)-1))*(((1+((1+$C$70)^(1/12)-1))^12-1)/((1+((1+$C$70)^(1/12)-1))-1)))</f>
      </c>
      <c r="Q99">
        <f>IF($C$65&lt;&gt;1,0,IFERROR((((1+($C$70+'Inputs'!$H$112/100))^(1/12)-1)-((1+$C$70)^(1/12)-1))*(P99*(((1+((1+$C$70)^(1/12)-1))^12-1)/((1+((1+$C$70)^(1/12)-1))-1))-J99/12/((1+((1+$C$70)^(1/12)-1))-1)*((1+((1+$C$70)^(1/12)-1))*(((1+((1+$C$70)^(1/12)-1))^12-1)/((1+((1+$C$70)^(1/12)-1))-1))-12)),0))</f>
      </c>
    </row>
    <row r="100" spans="9:17" x14ac:dyDescent="0.25">
      <c r="I100">
        <v>40</v>
      </c>
      <c r="J100">
        <f>IF(I100&lt;$C$62,12*$C$63*(1+$C$64)^I100,0)</f>
      </c>
      <c r="P100">
        <f>IF($C$65&lt;&gt;1,0,P99*(1+((1+$C$70)^(1/12)-1))^12-J99/12*(1+((1+$C$70)^(1/12)-1))*(((1+((1+$C$70)^(1/12)-1))^12-1)/((1+((1+$C$70)^(1/12)-1))-1)))</f>
      </c>
      <c r="Q100">
        <f>IF($C$65&lt;&gt;1,0,IFERROR((((1+($C$70+'Inputs'!$H$112/100))^(1/12)-1)-((1+$C$70)^(1/12)-1))*(P100*(((1+((1+$C$70)^(1/12)-1))^12-1)/((1+((1+$C$70)^(1/12)-1))-1))-J100/12/((1+((1+$C$70)^(1/12)-1))-1)*((1+((1+$C$70)^(1/12)-1))*(((1+((1+$C$70)^(1/12)-1))^12-1)/((1+((1+$C$70)^(1/12)-1))-1))-12)),0))</f>
      </c>
    </row>
    <row r="101" spans="9:17" x14ac:dyDescent="0.25">
      <c r="I101">
        <v>41</v>
      </c>
      <c r="J101">
        <f>IF(I101&lt;$C$62,12*$C$63*(1+$C$64)^I101,0)</f>
      </c>
      <c r="P101">
        <f>IF($C$65&lt;&gt;1,0,P100*(1+((1+$C$70)^(1/12)-1))^12-J100/12*(1+((1+$C$70)^(1/12)-1))*(((1+((1+$C$70)^(1/12)-1))^12-1)/((1+((1+$C$70)^(1/12)-1))-1)))</f>
      </c>
      <c r="Q101">
        <f>IF($C$65&lt;&gt;1,0,IFERROR((((1+($C$70+'Inputs'!$H$112/100))^(1/12)-1)-((1+$C$70)^(1/12)-1))*(P101*(((1+((1+$C$70)^(1/12)-1))^12-1)/((1+((1+$C$70)^(1/12)-1))-1))-J101/12/((1+((1+$C$70)^(1/12)-1))-1)*((1+((1+$C$70)^(1/12)-1))*(((1+((1+$C$70)^(1/12)-1))^12-1)/((1+((1+$C$70)^(1/12)-1))-1))-12)),0))</f>
      </c>
    </row>
    <row r="102" spans="9:17" x14ac:dyDescent="0.25">
      <c r="I102">
        <v>42</v>
      </c>
      <c r="J102">
        <f>IF(I102&lt;$C$62,12*$C$63*(1+$C$64)^I102,0)</f>
      </c>
      <c r="P102">
        <f>IF($C$65&lt;&gt;1,0,P101*(1+((1+$C$70)^(1/12)-1))^12-J101/12*(1+((1+$C$70)^(1/12)-1))*(((1+((1+$C$70)^(1/12)-1))^12-1)/((1+((1+$C$70)^(1/12)-1))-1)))</f>
      </c>
      <c r="Q102">
        <f>IF($C$65&lt;&gt;1,0,IFERROR((((1+($C$70+'Inputs'!$H$112/100))^(1/12)-1)-((1+$C$70)^(1/12)-1))*(P102*(((1+((1+$C$70)^(1/12)-1))^12-1)/((1+((1+$C$70)^(1/12)-1))-1))-J102/12/((1+((1+$C$70)^(1/12)-1))-1)*((1+((1+$C$70)^(1/12)-1))*(((1+((1+$C$70)^(1/12)-1))^12-1)/((1+((1+$C$70)^(1/12)-1))-1))-12)),0))</f>
      </c>
    </row>
    <row r="103" spans="9:17" x14ac:dyDescent="0.25">
      <c r="I103">
        <v>43</v>
      </c>
      <c r="J103">
        <f>IF(I103&lt;$C$62,12*$C$63*(1+$C$64)^I103,0)</f>
      </c>
      <c r="P103">
        <f>IF($C$65&lt;&gt;1,0,P102*(1+((1+$C$70)^(1/12)-1))^12-J102/12*(1+((1+$C$70)^(1/12)-1))*(((1+((1+$C$70)^(1/12)-1))^12-1)/((1+((1+$C$70)^(1/12)-1))-1)))</f>
      </c>
      <c r="Q103">
        <f>IF($C$65&lt;&gt;1,0,IFERROR((((1+($C$70+'Inputs'!$H$112/100))^(1/12)-1)-((1+$C$70)^(1/12)-1))*(P103*(((1+((1+$C$70)^(1/12)-1))^12-1)/((1+((1+$C$70)^(1/12)-1))-1))-J103/12/((1+((1+$C$70)^(1/12)-1))-1)*((1+((1+$C$70)^(1/12)-1))*(((1+((1+$C$70)^(1/12)-1))^12-1)/((1+((1+$C$70)^(1/12)-1))-1))-12)),0))</f>
      </c>
    </row>
    <row r="104" spans="9:17" x14ac:dyDescent="0.25">
      <c r="I104">
        <v>44</v>
      </c>
      <c r="J104">
        <f>IF(I104&lt;$C$62,12*$C$63*(1+$C$64)^I104,0)</f>
      </c>
      <c r="P104">
        <f>IF($C$65&lt;&gt;1,0,P103*(1+((1+$C$70)^(1/12)-1))^12-J103/12*(1+((1+$C$70)^(1/12)-1))*(((1+((1+$C$70)^(1/12)-1))^12-1)/((1+((1+$C$70)^(1/12)-1))-1)))</f>
      </c>
      <c r="Q104">
        <f>IF($C$65&lt;&gt;1,0,IFERROR((((1+($C$70+'Inputs'!$H$112/100))^(1/12)-1)-((1+$C$70)^(1/12)-1))*(P104*(((1+((1+$C$70)^(1/12)-1))^12-1)/((1+((1+$C$70)^(1/12)-1))-1))-J104/12/((1+((1+$C$70)^(1/12)-1))-1)*((1+((1+$C$70)^(1/12)-1))*(((1+((1+$C$70)^(1/12)-1))^12-1)/((1+((1+$C$70)^(1/12)-1))-1))-12)),0))</f>
      </c>
    </row>
    <row r="105" spans="9:17" x14ac:dyDescent="0.25">
      <c r="I105">
        <v>45</v>
      </c>
      <c r="J105">
        <f>IF(I105&lt;$C$62,12*$C$63*(1+$C$64)^I105,0)</f>
      </c>
      <c r="P105">
        <f>IF($C$65&lt;&gt;1,0,P104*(1+((1+$C$70)^(1/12)-1))^12-J104/12*(1+((1+$C$70)^(1/12)-1))*(((1+((1+$C$70)^(1/12)-1))^12-1)/((1+((1+$C$70)^(1/12)-1))-1)))</f>
      </c>
      <c r="Q105">
        <f>IF($C$65&lt;&gt;1,0,IFERROR((((1+($C$70+'Inputs'!$H$112/100))^(1/12)-1)-((1+$C$70)^(1/12)-1))*(P105*(((1+((1+$C$70)^(1/12)-1))^12-1)/((1+((1+$C$70)^(1/12)-1))-1))-J105/12/((1+((1+$C$70)^(1/12)-1))-1)*((1+((1+$C$70)^(1/12)-1))*(((1+((1+$C$70)^(1/12)-1))^12-1)/((1+((1+$C$70)^(1/12)-1))-1))-12)),0))</f>
      </c>
    </row>
    <row r="106" spans="9:17" x14ac:dyDescent="0.25">
      <c r="I106">
        <v>46</v>
      </c>
      <c r="J106">
        <f>IF(I106&lt;$C$62,12*$C$63*(1+$C$64)^I106,0)</f>
      </c>
      <c r="P106">
        <f>IF($C$65&lt;&gt;1,0,P105*(1+((1+$C$70)^(1/12)-1))^12-J105/12*(1+((1+$C$70)^(1/12)-1))*(((1+((1+$C$70)^(1/12)-1))^12-1)/((1+((1+$C$70)^(1/12)-1))-1)))</f>
      </c>
      <c r="Q106">
        <f>IF($C$65&lt;&gt;1,0,IFERROR((((1+($C$70+'Inputs'!$H$112/100))^(1/12)-1)-((1+$C$70)^(1/12)-1))*(P106*(((1+((1+$C$70)^(1/12)-1))^12-1)/((1+((1+$C$70)^(1/12)-1))-1))-J106/12/((1+((1+$C$70)^(1/12)-1))-1)*((1+((1+$C$70)^(1/12)-1))*(((1+((1+$C$70)^(1/12)-1))^12-1)/((1+((1+$C$70)^(1/12)-1))-1))-12)),0))</f>
      </c>
    </row>
    <row r="107" spans="9:17" x14ac:dyDescent="0.25">
      <c r="I107">
        <v>47</v>
      </c>
      <c r="J107">
        <f>IF(I107&lt;$C$62,12*$C$63*(1+$C$64)^I107,0)</f>
      </c>
      <c r="P107">
        <f>IF($C$65&lt;&gt;1,0,P106*(1+((1+$C$70)^(1/12)-1))^12-J106/12*(1+((1+$C$70)^(1/12)-1))*(((1+((1+$C$70)^(1/12)-1))^12-1)/((1+((1+$C$70)^(1/12)-1))-1)))</f>
      </c>
      <c r="Q107">
        <f>IF($C$65&lt;&gt;1,0,IFERROR((((1+($C$70+'Inputs'!$H$112/100))^(1/12)-1)-((1+$C$70)^(1/12)-1))*(P107*(((1+((1+$C$70)^(1/12)-1))^12-1)/((1+((1+$C$70)^(1/12)-1))-1))-J107/12/((1+((1+$C$70)^(1/12)-1))-1)*((1+((1+$C$70)^(1/12)-1))*(((1+((1+$C$70)^(1/12)-1))^12-1)/((1+((1+$C$70)^(1/12)-1))-1))-12)),0))</f>
      </c>
    </row>
    <row r="108" spans="9:17" x14ac:dyDescent="0.25">
      <c r="I108">
        <v>48</v>
      </c>
      <c r="J108">
        <f>IF(I108&lt;$C$62,12*$C$63*(1+$C$64)^I108,0)</f>
      </c>
      <c r="P108">
        <f>IF($C$65&lt;&gt;1,0,P107*(1+((1+$C$70)^(1/12)-1))^12-J107/12*(1+((1+$C$70)^(1/12)-1))*(((1+((1+$C$70)^(1/12)-1))^12-1)/((1+((1+$C$70)^(1/12)-1))-1)))</f>
      </c>
      <c r="Q108">
        <f>IF($C$65&lt;&gt;1,0,IFERROR((((1+($C$70+'Inputs'!$H$112/100))^(1/12)-1)-((1+$C$70)^(1/12)-1))*(P108*(((1+((1+$C$70)^(1/12)-1))^12-1)/((1+((1+$C$70)^(1/12)-1))-1))-J108/12/((1+((1+$C$70)^(1/12)-1))-1)*((1+((1+$C$70)^(1/12)-1))*(((1+((1+$C$70)^(1/12)-1))^12-1)/((1+((1+$C$70)^(1/12)-1))-1))-12)),0))</f>
      </c>
    </row>
    <row r="109" spans="9:17" x14ac:dyDescent="0.25">
      <c r="I109">
        <v>49</v>
      </c>
      <c r="J109">
        <f>IF(I109&lt;$C$62,12*$C$63*(1+$C$64)^I109,0)</f>
      </c>
      <c r="P109">
        <f>IF($C$65&lt;&gt;1,0,P108*(1+((1+$C$70)^(1/12)-1))^12-J108/12*(1+((1+$C$70)^(1/12)-1))*(((1+((1+$C$70)^(1/12)-1))^12-1)/((1+((1+$C$70)^(1/12)-1))-1)))</f>
      </c>
      <c r="Q109">
        <f>IF($C$65&lt;&gt;1,0,IFERROR((((1+($C$70+'Inputs'!$H$112/100))^(1/12)-1)-((1+$C$70)^(1/12)-1))*(P109*(((1+((1+$C$70)^(1/12)-1))^12-1)/((1+((1+$C$70)^(1/12)-1))-1))-J109/12/((1+((1+$C$70)^(1/12)-1))-1)*((1+((1+$C$70)^(1/12)-1))*(((1+((1+$C$70)^(1/12)-1))^12-1)/((1+((1+$C$70)^(1/12)-1))-1))-12)),0))</f>
      </c>
    </row>
    <row r="114" spans="2:3" x14ac:dyDescent="0.25">
      <c r="B114" t="s">
        <v>108</v>
      </c>
      <c r="C114">
        <f>IF('Inputs'!$B$91="","",'Inputs'!$B$91)</f>
      </c>
    </row>
    <row r="115" spans="2:17" x14ac:dyDescent="0.25">
      <c r="B115" t="s">
        <v>110</v>
      </c>
      <c r="C115">
        <f>N('Inputs'!$D$91)</f>
      </c>
      <c r="I115" t="s">
        <v>382</v>
      </c>
      <c r="J115" t="s">
        <v>383</v>
      </c>
      <c r="P115" t="s">
        <v>384</v>
      </c>
      <c r="Q115" t="s">
        <v>385</v>
      </c>
    </row>
    <row r="116" spans="2:17" x14ac:dyDescent="0.25">
      <c r="B116" t="s">
        <v>386</v>
      </c>
      <c r="C116">
        <f>IF($C$115&gt;=75,'Inputs'!$H$120,IF($C$115&gt;=65,'Inputs'!$H$119,'Inputs'!$H$113))</f>
      </c>
      <c r="I116">
        <v>0</v>
      </c>
      <c r="J116">
        <f>IF(I116&lt;$C$118,12*$C$119*(1+$C$120)^I116,0)</f>
      </c>
      <c r="P116">
        <f>IF($C$121&lt;&gt;1,0,IF($C$126=0,SUM($J$116:$J$165),(1-(1+$C$126)^-1)/(1-(1+$C$126)^(-1/12))/12*SUMPRODUCT($J$116:$J$165,(1+$C$126)^(-$I$116:$I$165))))</f>
      </c>
      <c r="Q116">
        <f>IF($C$121&lt;&gt;1,0,IFERROR((((1+($C$126+'Inputs'!$H$112/100))^(1/12)-1)-((1+$C$126)^(1/12)-1))*(P116*(((1+((1+$C$126)^(1/12)-1))^12-1)/((1+((1+$C$126)^(1/12)-1))-1))-J116/12/((1+((1+$C$126)^(1/12)-1))-1)*((1+((1+$C$126)^(1/12)-1))*(((1+((1+$C$126)^(1/12)-1))^12-1)/((1+((1+$C$126)^(1/12)-1))-1))-12)),0))</f>
      </c>
    </row>
    <row r="117" spans="2:17" x14ac:dyDescent="0.25">
      <c r="B117" t="s">
        <v>387</v>
      </c>
      <c r="C117">
        <f>N('Inputs'!$I$91)</f>
      </c>
      <c r="I117">
        <v>1</v>
      </c>
      <c r="J117">
        <f>IF(I117&lt;$C$118,12*$C$119*(1+$C$120)^I117,0)</f>
      </c>
      <c r="P117">
        <f>IF($C$121&lt;&gt;1,0,P116*(1+((1+$C$126)^(1/12)-1))^12-J116/12*(1+((1+$C$126)^(1/12)-1))*(((1+((1+$C$126)^(1/12)-1))^12-1)/((1+((1+$C$126)^(1/12)-1))-1)))</f>
      </c>
      <c r="Q117">
        <f>IF($C$121&lt;&gt;1,0,IFERROR((((1+($C$126+'Inputs'!$H$112/100))^(1/12)-1)-((1+$C$126)^(1/12)-1))*(P117*(((1+((1+$C$126)^(1/12)-1))^12-1)/((1+((1+$C$126)^(1/12)-1))-1))-J117/12/((1+((1+$C$126)^(1/12)-1))-1)*((1+((1+$C$126)^(1/12)-1))*(((1+((1+$C$126)^(1/12)-1))^12-1)/((1+((1+$C$126)^(1/12)-1))-1))-12)),0))</f>
      </c>
    </row>
    <row r="118" spans="2:17" x14ac:dyDescent="0.25">
      <c r="B118" t="s">
        <v>388</v>
      </c>
      <c r="C118">
        <f>IF($C$114="",0,N('Inputs'!$F$91))</f>
      </c>
      <c r="I118">
        <v>2</v>
      </c>
      <c r="J118">
        <f>IF(I118&lt;$C$118,12*$C$119*(1+$C$120)^I118,0)</f>
      </c>
      <c r="P118">
        <f>IF($C$121&lt;&gt;1,0,P117*(1+((1+$C$126)^(1/12)-1))^12-J117/12*(1+((1+$C$126)^(1/12)-1))*(((1+((1+$C$126)^(1/12)-1))^12-1)/((1+((1+$C$126)^(1/12)-1))-1)))</f>
      </c>
      <c r="Q118">
        <f>IF($C$121&lt;&gt;1,0,IFERROR((((1+($C$126+'Inputs'!$H$112/100))^(1/12)-1)-((1+$C$126)^(1/12)-1))*(P118*(((1+((1+$C$126)^(1/12)-1))^12-1)/((1+((1+$C$126)^(1/12)-1))-1))-J118/12/((1+((1+$C$126)^(1/12)-1))-1)*((1+((1+$C$126)^(1/12)-1))*(((1+((1+$C$126)^(1/12)-1))^12-1)/((1+((1+$C$126)^(1/12)-1))-1))-12)),0))</f>
      </c>
    </row>
    <row r="119" spans="2:17" x14ac:dyDescent="0.25">
      <c r="B119" t="s">
        <v>389</v>
      </c>
      <c r="C119">
        <f>N('Inputs'!$E$91)</f>
      </c>
      <c r="I119">
        <v>3</v>
      </c>
      <c r="J119">
        <f>IF(I119&lt;$C$118,12*$C$119*(1+$C$120)^I119,0)</f>
      </c>
      <c r="P119">
        <f>IF($C$121&lt;&gt;1,0,P118*(1+((1+$C$126)^(1/12)-1))^12-J118/12*(1+((1+$C$126)^(1/12)-1))*(((1+((1+$C$126)^(1/12)-1))^12-1)/((1+((1+$C$126)^(1/12)-1))-1)))</f>
      </c>
      <c r="Q119">
        <f>IF($C$121&lt;&gt;1,0,IFERROR((((1+($C$126+'Inputs'!$H$112/100))^(1/12)-1)-((1+$C$126)^(1/12)-1))*(P119*(((1+((1+$C$126)^(1/12)-1))^12-1)/((1+((1+$C$126)^(1/12)-1))-1))-J119/12/((1+((1+$C$126)^(1/12)-1))-1)*((1+((1+$C$126)^(1/12)-1))*(((1+((1+$C$126)^(1/12)-1))^12-1)/((1+((1+$C$126)^(1/12)-1))-1))-12)),0))</f>
      </c>
    </row>
    <row r="120" spans="2:17" x14ac:dyDescent="0.25">
      <c r="B120" t="s">
        <v>390</v>
      </c>
      <c r="C120">
        <f>IF('Inputs'!$G$91="",'Inputs'!$H$118/100,'Inputs'!$G$91/100)</f>
      </c>
      <c r="I120">
        <v>4</v>
      </c>
      <c r="J120">
        <f>IF(I120&lt;$C$118,12*$C$119*(1+$C$120)^I120,0)</f>
      </c>
      <c r="P120">
        <f>IF($C$121&lt;&gt;1,0,P119*(1+((1+$C$126)^(1/12)-1))^12-J119/12*(1+((1+$C$126)^(1/12)-1))*(((1+((1+$C$126)^(1/12)-1))^12-1)/((1+((1+$C$126)^(1/12)-1))-1)))</f>
      </c>
      <c r="Q120">
        <f>IF($C$121&lt;&gt;1,0,IFERROR((((1+($C$126+'Inputs'!$H$112/100))^(1/12)-1)-((1+$C$126)^(1/12)-1))*(P120*(((1+((1+$C$126)^(1/12)-1))^12-1)/((1+((1+$C$126)^(1/12)-1))-1))-J120/12/((1+((1+$C$126)^(1/12)-1))-1)*((1+((1+$C$126)^(1/12)-1))*(((1+((1+$C$126)^(1/12)-1))^12-1)/((1+((1+$C$126)^(1/12)-1))-1))-12)),0))</f>
      </c>
    </row>
    <row r="121" spans="2:17" x14ac:dyDescent="0.25">
      <c r="B121" t="s">
        <v>391</v>
      </c>
      <c r="C121">
        <f>IF('Inputs'!$H$91="Yes",1,0)</f>
      </c>
      <c r="I121">
        <v>5</v>
      </c>
      <c r="J121">
        <f>IF(I121&lt;$C$118,12*$C$119*(1+$C$120)^I121,0)</f>
      </c>
      <c r="P121">
        <f>IF($C$121&lt;&gt;1,0,P120*(1+((1+$C$126)^(1/12)-1))^12-J120/12*(1+((1+$C$126)^(1/12)-1))*(((1+((1+$C$126)^(1/12)-1))^12-1)/((1+((1+$C$126)^(1/12)-1))-1)))</f>
      </c>
      <c r="Q121">
        <f>IF($C$121&lt;&gt;1,0,IFERROR((((1+($C$126+'Inputs'!$H$112/100))^(1/12)-1)-((1+$C$126)^(1/12)-1))*(P121*(((1+((1+$C$126)^(1/12)-1))^12-1)/((1+((1+$C$126)^(1/12)-1))-1))-J121/12/((1+((1+$C$126)^(1/12)-1))-1)*((1+((1+$C$126)^(1/12)-1))*(((1+((1+$C$126)^(1/12)-1))^12-1)/((1+((1+$C$126)^(1/12)-1))-1))-12)),0))</f>
      </c>
    </row>
    <row r="122" spans="2:17" x14ac:dyDescent="0.25">
      <c r="B122" t="s">
        <v>392</v>
      </c>
      <c r="C122">
        <f>IF($C$114="",0,N('Inputs'!$J$91))</f>
      </c>
      <c r="I122">
        <v>6</v>
      </c>
      <c r="J122">
        <f>IF(I122&lt;$C$118,12*$C$119*(1+$C$120)^I122,0)</f>
      </c>
      <c r="P122">
        <f>IF($C$121&lt;&gt;1,0,P121*(1+((1+$C$126)^(1/12)-1))^12-J121/12*(1+((1+$C$126)^(1/12)-1))*(((1+((1+$C$126)^(1/12)-1))^12-1)/((1+((1+$C$126)^(1/12)-1))-1)))</f>
      </c>
      <c r="Q122">
        <f>IF($C$121&lt;&gt;1,0,IFERROR((((1+($C$126+'Inputs'!$H$112/100))^(1/12)-1)-((1+$C$126)^(1/12)-1))*(P122*(((1+((1+$C$126)^(1/12)-1))^12-1)/((1+((1+$C$126)^(1/12)-1))-1))-J122/12/((1+((1+$C$126)^(1/12)-1))-1)*((1+((1+$C$126)^(1/12)-1))*(((1+((1+$C$126)^(1/12)-1))^12-1)/((1+((1+$C$126)^(1/12)-1))-1))-12)),0))</f>
      </c>
    </row>
    <row r="123" spans="2:17" x14ac:dyDescent="0.25">
      <c r="B123" t="s">
        <v>393</v>
      </c>
      <c r="C123">
        <f>ROUND(Q116,2)</f>
      </c>
      <c r="I123">
        <v>7</v>
      </c>
      <c r="J123">
        <f>IF(I123&lt;$C$118,12*$C$119*(1+$C$120)^I123,0)</f>
      </c>
      <c r="P123">
        <f>IF($C$121&lt;&gt;1,0,P122*(1+((1+$C$126)^(1/12)-1))^12-J122/12*(1+((1+$C$126)^(1/12)-1))*(((1+((1+$C$126)^(1/12)-1))^12-1)/((1+((1+$C$126)^(1/12)-1))-1)))</f>
      </c>
      <c r="Q123">
        <f>IF($C$121&lt;&gt;1,0,IFERROR((((1+($C$126+'Inputs'!$H$112/100))^(1/12)-1)-((1+$C$126)^(1/12)-1))*(P123*(((1+((1+$C$126)^(1/12)-1))^12-1)/((1+((1+$C$126)^(1/12)-1))-1))-J123/12/((1+((1+$C$126)^(1/12)-1))-1)*((1+((1+$C$126)^(1/12)-1))*(((1+((1+$C$126)^(1/12)-1))^12-1)/((1+((1+$C$126)^(1/12)-1))-1))-12)),0))</f>
      </c>
    </row>
    <row r="124" spans="2:17" x14ac:dyDescent="0.25">
      <c r="B124" t="s">
        <v>394</v>
      </c>
      <c r="C124">
        <f>ROUND(SUM($Q$116:$Q$165),2)</f>
      </c>
      <c r="I124">
        <v>8</v>
      </c>
      <c r="J124">
        <f>IF(I124&lt;$C$118,12*$C$119*(1+$C$120)^I124,0)</f>
      </c>
      <c r="P124">
        <f>IF($C$121&lt;&gt;1,0,P123*(1+((1+$C$126)^(1/12)-1))^12-J123/12*(1+((1+$C$126)^(1/12)-1))*(((1+((1+$C$126)^(1/12)-1))^12-1)/((1+((1+$C$126)^(1/12)-1))-1)))</f>
      </c>
      <c r="Q124">
        <f>IF($C$121&lt;&gt;1,0,IFERROR((((1+($C$126+'Inputs'!$H$112/100))^(1/12)-1)-((1+$C$126)^(1/12)-1))*(P124*(((1+((1+$C$126)^(1/12)-1))^12-1)/((1+((1+$C$126)^(1/12)-1))-1))-J124/12/((1+((1+$C$126)^(1/12)-1))-1)*((1+((1+$C$126)^(1/12)-1))*(((1+((1+$C$126)^(1/12)-1))^12-1)/((1+((1+$C$126)^(1/12)-1))-1))-12)),0))</f>
      </c>
    </row>
    <row r="125" spans="2:17" x14ac:dyDescent="0.25">
      <c r="B125" t="s">
        <v>395</v>
      </c>
      <c r="C125">
        <f>IF($C$121&lt;&gt;1,0,ROUND(IF($C$126=0,SUM($J$116:$J$165),(1-(1+$C$126)^-1)/(1-(1+$C$126)^(-1/12))/12*SUMPRODUCT($J$116:$J$165,(1+$C$126)^(-$I$116:$I$165)))-IF(($C$126+'Inputs'!$H$112/100)=0,SUM($J$116:$J$165),(1-(1+($C$126+'Inputs'!$H$112/100))^-1)/(1-(1+($C$126+'Inputs'!$H$112/100))^(-1/12))/12*SUMPRODUCT($J$116:$J$165,(1+($C$126+'Inputs'!$H$112/100))^(-$I$116:$I$165))),2))</f>
      </c>
      <c r="I125">
        <v>9</v>
      </c>
      <c r="J125">
        <f>IF(I125&lt;$C$118,12*$C$119*(1+$C$120)^I125,0)</f>
      </c>
      <c r="P125">
        <f>IF($C$121&lt;&gt;1,0,P124*(1+((1+$C$126)^(1/12)-1))^12-J124/12*(1+((1+$C$126)^(1/12)-1))*(((1+((1+$C$126)^(1/12)-1))^12-1)/((1+((1+$C$126)^(1/12)-1))-1)))</f>
      </c>
      <c r="Q125">
        <f>IF($C$121&lt;&gt;1,0,IFERROR((((1+($C$126+'Inputs'!$H$112/100))^(1/12)-1)-((1+$C$126)^(1/12)-1))*(P125*(((1+((1+$C$126)^(1/12)-1))^12-1)/((1+((1+$C$126)^(1/12)-1))-1))-J125/12/((1+((1+$C$126)^(1/12)-1))-1)*((1+((1+$C$126)^(1/12)-1))*(((1+((1+$C$126)^(1/12)-1))^12-1)/((1+((1+$C$126)^(1/12)-1))-1))-12)),0))</f>
      </c>
    </row>
    <row r="126" spans="2:17" x14ac:dyDescent="0.25">
      <c r="B126" t="s">
        <v>396</v>
      </c>
      <c r="C126">
        <f>IF($C$121=1,'Needs calc'!$C$56,0)</f>
      </c>
      <c r="I126">
        <v>10</v>
      </c>
      <c r="J126">
        <f>IF(I126&lt;$C$118,12*$C$119*(1+$C$120)^I126,0)</f>
      </c>
      <c r="P126">
        <f>IF($C$121&lt;&gt;1,0,P125*(1+((1+$C$126)^(1/12)-1))^12-J125/12*(1+((1+$C$126)^(1/12)-1))*(((1+((1+$C$126)^(1/12)-1))^12-1)/((1+((1+$C$126)^(1/12)-1))-1)))</f>
      </c>
      <c r="Q126">
        <f>IF($C$121&lt;&gt;1,0,IFERROR((((1+($C$126+'Inputs'!$H$112/100))^(1/12)-1)-((1+$C$126)^(1/12)-1))*(P126*(((1+((1+$C$126)^(1/12)-1))^12-1)/((1+((1+$C$126)^(1/12)-1))-1))-J126/12/((1+((1+$C$126)^(1/12)-1))-1)*((1+((1+$C$126)^(1/12)-1))*(((1+((1+$C$126)^(1/12)-1))^12-1)/((1+((1+$C$126)^(1/12)-1))-1))-12)),0))</f>
      </c>
    </row>
    <row r="127" spans="9:17" x14ac:dyDescent="0.25">
      <c r="I127">
        <v>11</v>
      </c>
      <c r="J127">
        <f>IF(I127&lt;$C$118,12*$C$119*(1+$C$120)^I127,0)</f>
      </c>
      <c r="P127">
        <f>IF($C$121&lt;&gt;1,0,P126*(1+((1+$C$126)^(1/12)-1))^12-J126/12*(1+((1+$C$126)^(1/12)-1))*(((1+((1+$C$126)^(1/12)-1))^12-1)/((1+((1+$C$126)^(1/12)-1))-1)))</f>
      </c>
      <c r="Q127">
        <f>IF($C$121&lt;&gt;1,0,IFERROR((((1+($C$126+'Inputs'!$H$112/100))^(1/12)-1)-((1+$C$126)^(1/12)-1))*(P127*(((1+((1+$C$126)^(1/12)-1))^12-1)/((1+((1+$C$126)^(1/12)-1))-1))-J127/12/((1+((1+$C$126)^(1/12)-1))-1)*((1+((1+$C$126)^(1/12)-1))*(((1+((1+$C$126)^(1/12)-1))^12-1)/((1+((1+$C$126)^(1/12)-1))-1))-12)),0))</f>
      </c>
    </row>
    <row r="128" spans="9:17" x14ac:dyDescent="0.25">
      <c r="I128">
        <v>12</v>
      </c>
      <c r="J128">
        <f>IF(I128&lt;$C$118,12*$C$119*(1+$C$120)^I128,0)</f>
      </c>
      <c r="P128">
        <f>IF($C$121&lt;&gt;1,0,P127*(1+((1+$C$126)^(1/12)-1))^12-J127/12*(1+((1+$C$126)^(1/12)-1))*(((1+((1+$C$126)^(1/12)-1))^12-1)/((1+((1+$C$126)^(1/12)-1))-1)))</f>
      </c>
      <c r="Q128">
        <f>IF($C$121&lt;&gt;1,0,IFERROR((((1+($C$126+'Inputs'!$H$112/100))^(1/12)-1)-((1+$C$126)^(1/12)-1))*(P128*(((1+((1+$C$126)^(1/12)-1))^12-1)/((1+((1+$C$126)^(1/12)-1))-1))-J128/12/((1+((1+$C$126)^(1/12)-1))-1)*((1+((1+$C$126)^(1/12)-1))*(((1+((1+$C$126)^(1/12)-1))^12-1)/((1+((1+$C$126)^(1/12)-1))-1))-12)),0))</f>
      </c>
    </row>
    <row r="129" spans="9:17" x14ac:dyDescent="0.25">
      <c r="I129">
        <v>13</v>
      </c>
      <c r="J129">
        <f>IF(I129&lt;$C$118,12*$C$119*(1+$C$120)^I129,0)</f>
      </c>
      <c r="P129">
        <f>IF($C$121&lt;&gt;1,0,P128*(1+((1+$C$126)^(1/12)-1))^12-J128/12*(1+((1+$C$126)^(1/12)-1))*(((1+((1+$C$126)^(1/12)-1))^12-1)/((1+((1+$C$126)^(1/12)-1))-1)))</f>
      </c>
      <c r="Q129">
        <f>IF($C$121&lt;&gt;1,0,IFERROR((((1+($C$126+'Inputs'!$H$112/100))^(1/12)-1)-((1+$C$126)^(1/12)-1))*(P129*(((1+((1+$C$126)^(1/12)-1))^12-1)/((1+((1+$C$126)^(1/12)-1))-1))-J129/12/((1+((1+$C$126)^(1/12)-1))-1)*((1+((1+$C$126)^(1/12)-1))*(((1+((1+$C$126)^(1/12)-1))^12-1)/((1+((1+$C$126)^(1/12)-1))-1))-12)),0))</f>
      </c>
    </row>
    <row r="130" spans="9:17" x14ac:dyDescent="0.25">
      <c r="I130">
        <v>14</v>
      </c>
      <c r="J130">
        <f>IF(I130&lt;$C$118,12*$C$119*(1+$C$120)^I130,0)</f>
      </c>
      <c r="P130">
        <f>IF($C$121&lt;&gt;1,0,P129*(1+((1+$C$126)^(1/12)-1))^12-J129/12*(1+((1+$C$126)^(1/12)-1))*(((1+((1+$C$126)^(1/12)-1))^12-1)/((1+((1+$C$126)^(1/12)-1))-1)))</f>
      </c>
      <c r="Q130">
        <f>IF($C$121&lt;&gt;1,0,IFERROR((((1+($C$126+'Inputs'!$H$112/100))^(1/12)-1)-((1+$C$126)^(1/12)-1))*(P130*(((1+((1+$C$126)^(1/12)-1))^12-1)/((1+((1+$C$126)^(1/12)-1))-1))-J130/12/((1+((1+$C$126)^(1/12)-1))-1)*((1+((1+$C$126)^(1/12)-1))*(((1+((1+$C$126)^(1/12)-1))^12-1)/((1+((1+$C$126)^(1/12)-1))-1))-12)),0))</f>
      </c>
    </row>
    <row r="131" spans="9:17" x14ac:dyDescent="0.25">
      <c r="I131">
        <v>15</v>
      </c>
      <c r="J131">
        <f>IF(I131&lt;$C$118,12*$C$119*(1+$C$120)^I131,0)</f>
      </c>
      <c r="P131">
        <f>IF($C$121&lt;&gt;1,0,P130*(1+((1+$C$126)^(1/12)-1))^12-J130/12*(1+((1+$C$126)^(1/12)-1))*(((1+((1+$C$126)^(1/12)-1))^12-1)/((1+((1+$C$126)^(1/12)-1))-1)))</f>
      </c>
      <c r="Q131">
        <f>IF($C$121&lt;&gt;1,0,IFERROR((((1+($C$126+'Inputs'!$H$112/100))^(1/12)-1)-((1+$C$126)^(1/12)-1))*(P131*(((1+((1+$C$126)^(1/12)-1))^12-1)/((1+((1+$C$126)^(1/12)-1))-1))-J131/12/((1+((1+$C$126)^(1/12)-1))-1)*((1+((1+$C$126)^(1/12)-1))*(((1+((1+$C$126)^(1/12)-1))^12-1)/((1+((1+$C$126)^(1/12)-1))-1))-12)),0))</f>
      </c>
    </row>
    <row r="132" spans="9:17" x14ac:dyDescent="0.25">
      <c r="I132">
        <v>16</v>
      </c>
      <c r="J132">
        <f>IF(I132&lt;$C$118,12*$C$119*(1+$C$120)^I132,0)</f>
      </c>
      <c r="P132">
        <f>IF($C$121&lt;&gt;1,0,P131*(1+((1+$C$126)^(1/12)-1))^12-J131/12*(1+((1+$C$126)^(1/12)-1))*(((1+((1+$C$126)^(1/12)-1))^12-1)/((1+((1+$C$126)^(1/12)-1))-1)))</f>
      </c>
      <c r="Q132">
        <f>IF($C$121&lt;&gt;1,0,IFERROR((((1+($C$126+'Inputs'!$H$112/100))^(1/12)-1)-((1+$C$126)^(1/12)-1))*(P132*(((1+((1+$C$126)^(1/12)-1))^12-1)/((1+((1+$C$126)^(1/12)-1))-1))-J132/12/((1+((1+$C$126)^(1/12)-1))-1)*((1+((1+$C$126)^(1/12)-1))*(((1+((1+$C$126)^(1/12)-1))^12-1)/((1+((1+$C$126)^(1/12)-1))-1))-12)),0))</f>
      </c>
    </row>
    <row r="133" spans="9:17" x14ac:dyDescent="0.25">
      <c r="I133">
        <v>17</v>
      </c>
      <c r="J133">
        <f>IF(I133&lt;$C$118,12*$C$119*(1+$C$120)^I133,0)</f>
      </c>
      <c r="P133">
        <f>IF($C$121&lt;&gt;1,0,P132*(1+((1+$C$126)^(1/12)-1))^12-J132/12*(1+((1+$C$126)^(1/12)-1))*(((1+((1+$C$126)^(1/12)-1))^12-1)/((1+((1+$C$126)^(1/12)-1))-1)))</f>
      </c>
      <c r="Q133">
        <f>IF($C$121&lt;&gt;1,0,IFERROR((((1+($C$126+'Inputs'!$H$112/100))^(1/12)-1)-((1+$C$126)^(1/12)-1))*(P133*(((1+((1+$C$126)^(1/12)-1))^12-1)/((1+((1+$C$126)^(1/12)-1))-1))-J133/12/((1+((1+$C$126)^(1/12)-1))-1)*((1+((1+$C$126)^(1/12)-1))*(((1+((1+$C$126)^(1/12)-1))^12-1)/((1+((1+$C$126)^(1/12)-1))-1))-12)),0))</f>
      </c>
    </row>
    <row r="134" spans="9:17" x14ac:dyDescent="0.25">
      <c r="I134">
        <v>18</v>
      </c>
      <c r="J134">
        <f>IF(I134&lt;$C$118,12*$C$119*(1+$C$120)^I134,0)</f>
      </c>
      <c r="P134">
        <f>IF($C$121&lt;&gt;1,0,P133*(1+((1+$C$126)^(1/12)-1))^12-J133/12*(1+((1+$C$126)^(1/12)-1))*(((1+((1+$C$126)^(1/12)-1))^12-1)/((1+((1+$C$126)^(1/12)-1))-1)))</f>
      </c>
      <c r="Q134">
        <f>IF($C$121&lt;&gt;1,0,IFERROR((((1+($C$126+'Inputs'!$H$112/100))^(1/12)-1)-((1+$C$126)^(1/12)-1))*(P134*(((1+((1+$C$126)^(1/12)-1))^12-1)/((1+((1+$C$126)^(1/12)-1))-1))-J134/12/((1+((1+$C$126)^(1/12)-1))-1)*((1+((1+$C$126)^(1/12)-1))*(((1+((1+$C$126)^(1/12)-1))^12-1)/((1+((1+$C$126)^(1/12)-1))-1))-12)),0))</f>
      </c>
    </row>
    <row r="135" spans="9:17" x14ac:dyDescent="0.25">
      <c r="I135">
        <v>19</v>
      </c>
      <c r="J135">
        <f>IF(I135&lt;$C$118,12*$C$119*(1+$C$120)^I135,0)</f>
      </c>
      <c r="P135">
        <f>IF($C$121&lt;&gt;1,0,P134*(1+((1+$C$126)^(1/12)-1))^12-J134/12*(1+((1+$C$126)^(1/12)-1))*(((1+((1+$C$126)^(1/12)-1))^12-1)/((1+((1+$C$126)^(1/12)-1))-1)))</f>
      </c>
      <c r="Q135">
        <f>IF($C$121&lt;&gt;1,0,IFERROR((((1+($C$126+'Inputs'!$H$112/100))^(1/12)-1)-((1+$C$126)^(1/12)-1))*(P135*(((1+((1+$C$126)^(1/12)-1))^12-1)/((1+((1+$C$126)^(1/12)-1))-1))-J135/12/((1+((1+$C$126)^(1/12)-1))-1)*((1+((1+$C$126)^(1/12)-1))*(((1+((1+$C$126)^(1/12)-1))^12-1)/((1+((1+$C$126)^(1/12)-1))-1))-12)),0))</f>
      </c>
    </row>
    <row r="136" spans="9:17" x14ac:dyDescent="0.25">
      <c r="I136">
        <v>20</v>
      </c>
      <c r="J136">
        <f>IF(I136&lt;$C$118,12*$C$119*(1+$C$120)^I136,0)</f>
      </c>
      <c r="P136">
        <f>IF($C$121&lt;&gt;1,0,P135*(1+((1+$C$126)^(1/12)-1))^12-J135/12*(1+((1+$C$126)^(1/12)-1))*(((1+((1+$C$126)^(1/12)-1))^12-1)/((1+((1+$C$126)^(1/12)-1))-1)))</f>
      </c>
      <c r="Q136">
        <f>IF($C$121&lt;&gt;1,0,IFERROR((((1+($C$126+'Inputs'!$H$112/100))^(1/12)-1)-((1+$C$126)^(1/12)-1))*(P136*(((1+((1+$C$126)^(1/12)-1))^12-1)/((1+((1+$C$126)^(1/12)-1))-1))-J136/12/((1+((1+$C$126)^(1/12)-1))-1)*((1+((1+$C$126)^(1/12)-1))*(((1+((1+$C$126)^(1/12)-1))^12-1)/((1+((1+$C$126)^(1/12)-1))-1))-12)),0))</f>
      </c>
    </row>
    <row r="137" spans="9:17" x14ac:dyDescent="0.25">
      <c r="I137">
        <v>21</v>
      </c>
      <c r="J137">
        <f>IF(I137&lt;$C$118,12*$C$119*(1+$C$120)^I137,0)</f>
      </c>
      <c r="P137">
        <f>IF($C$121&lt;&gt;1,0,P136*(1+((1+$C$126)^(1/12)-1))^12-J136/12*(1+((1+$C$126)^(1/12)-1))*(((1+((1+$C$126)^(1/12)-1))^12-1)/((1+((1+$C$126)^(1/12)-1))-1)))</f>
      </c>
      <c r="Q137">
        <f>IF($C$121&lt;&gt;1,0,IFERROR((((1+($C$126+'Inputs'!$H$112/100))^(1/12)-1)-((1+$C$126)^(1/12)-1))*(P137*(((1+((1+$C$126)^(1/12)-1))^12-1)/((1+((1+$C$126)^(1/12)-1))-1))-J137/12/((1+((1+$C$126)^(1/12)-1))-1)*((1+((1+$C$126)^(1/12)-1))*(((1+((1+$C$126)^(1/12)-1))^12-1)/((1+((1+$C$126)^(1/12)-1))-1))-12)),0))</f>
      </c>
    </row>
    <row r="138" spans="9:17" x14ac:dyDescent="0.25">
      <c r="I138">
        <v>22</v>
      </c>
      <c r="J138">
        <f>IF(I138&lt;$C$118,12*$C$119*(1+$C$120)^I138,0)</f>
      </c>
      <c r="P138">
        <f>IF($C$121&lt;&gt;1,0,P137*(1+((1+$C$126)^(1/12)-1))^12-J137/12*(1+((1+$C$126)^(1/12)-1))*(((1+((1+$C$126)^(1/12)-1))^12-1)/((1+((1+$C$126)^(1/12)-1))-1)))</f>
      </c>
      <c r="Q138">
        <f>IF($C$121&lt;&gt;1,0,IFERROR((((1+($C$126+'Inputs'!$H$112/100))^(1/12)-1)-((1+$C$126)^(1/12)-1))*(P138*(((1+((1+$C$126)^(1/12)-1))^12-1)/((1+((1+$C$126)^(1/12)-1))-1))-J138/12/((1+((1+$C$126)^(1/12)-1))-1)*((1+((1+$C$126)^(1/12)-1))*(((1+((1+$C$126)^(1/12)-1))^12-1)/((1+((1+$C$126)^(1/12)-1))-1))-12)),0))</f>
      </c>
    </row>
    <row r="139" spans="9:17" x14ac:dyDescent="0.25">
      <c r="I139">
        <v>23</v>
      </c>
      <c r="J139">
        <f>IF(I139&lt;$C$118,12*$C$119*(1+$C$120)^I139,0)</f>
      </c>
      <c r="P139">
        <f>IF($C$121&lt;&gt;1,0,P138*(1+((1+$C$126)^(1/12)-1))^12-J138/12*(1+((1+$C$126)^(1/12)-1))*(((1+((1+$C$126)^(1/12)-1))^12-1)/((1+((1+$C$126)^(1/12)-1))-1)))</f>
      </c>
      <c r="Q139">
        <f>IF($C$121&lt;&gt;1,0,IFERROR((((1+($C$126+'Inputs'!$H$112/100))^(1/12)-1)-((1+$C$126)^(1/12)-1))*(P139*(((1+((1+$C$126)^(1/12)-1))^12-1)/((1+((1+$C$126)^(1/12)-1))-1))-J139/12/((1+((1+$C$126)^(1/12)-1))-1)*((1+((1+$C$126)^(1/12)-1))*(((1+((1+$C$126)^(1/12)-1))^12-1)/((1+((1+$C$126)^(1/12)-1))-1))-12)),0))</f>
      </c>
    </row>
    <row r="140" spans="9:17" x14ac:dyDescent="0.25">
      <c r="I140">
        <v>24</v>
      </c>
      <c r="J140">
        <f>IF(I140&lt;$C$118,12*$C$119*(1+$C$120)^I140,0)</f>
      </c>
      <c r="P140">
        <f>IF($C$121&lt;&gt;1,0,P139*(1+((1+$C$126)^(1/12)-1))^12-J139/12*(1+((1+$C$126)^(1/12)-1))*(((1+((1+$C$126)^(1/12)-1))^12-1)/((1+((1+$C$126)^(1/12)-1))-1)))</f>
      </c>
      <c r="Q140">
        <f>IF($C$121&lt;&gt;1,0,IFERROR((((1+($C$126+'Inputs'!$H$112/100))^(1/12)-1)-((1+$C$126)^(1/12)-1))*(P140*(((1+((1+$C$126)^(1/12)-1))^12-1)/((1+((1+$C$126)^(1/12)-1))-1))-J140/12/((1+((1+$C$126)^(1/12)-1))-1)*((1+((1+$C$126)^(1/12)-1))*(((1+((1+$C$126)^(1/12)-1))^12-1)/((1+((1+$C$126)^(1/12)-1))-1))-12)),0))</f>
      </c>
    </row>
    <row r="141" spans="9:17" x14ac:dyDescent="0.25">
      <c r="I141">
        <v>25</v>
      </c>
      <c r="J141">
        <f>IF(I141&lt;$C$118,12*$C$119*(1+$C$120)^I141,0)</f>
      </c>
      <c r="P141">
        <f>IF($C$121&lt;&gt;1,0,P140*(1+((1+$C$126)^(1/12)-1))^12-J140/12*(1+((1+$C$126)^(1/12)-1))*(((1+((1+$C$126)^(1/12)-1))^12-1)/((1+((1+$C$126)^(1/12)-1))-1)))</f>
      </c>
      <c r="Q141">
        <f>IF($C$121&lt;&gt;1,0,IFERROR((((1+($C$126+'Inputs'!$H$112/100))^(1/12)-1)-((1+$C$126)^(1/12)-1))*(P141*(((1+((1+$C$126)^(1/12)-1))^12-1)/((1+((1+$C$126)^(1/12)-1))-1))-J141/12/((1+((1+$C$126)^(1/12)-1))-1)*((1+((1+$C$126)^(1/12)-1))*(((1+((1+$C$126)^(1/12)-1))^12-1)/((1+((1+$C$126)^(1/12)-1))-1))-12)),0))</f>
      </c>
    </row>
    <row r="142" spans="9:17" x14ac:dyDescent="0.25">
      <c r="I142">
        <v>26</v>
      </c>
      <c r="J142">
        <f>IF(I142&lt;$C$118,12*$C$119*(1+$C$120)^I142,0)</f>
      </c>
      <c r="P142">
        <f>IF($C$121&lt;&gt;1,0,P141*(1+((1+$C$126)^(1/12)-1))^12-J141/12*(1+((1+$C$126)^(1/12)-1))*(((1+((1+$C$126)^(1/12)-1))^12-1)/((1+((1+$C$126)^(1/12)-1))-1)))</f>
      </c>
      <c r="Q142">
        <f>IF($C$121&lt;&gt;1,0,IFERROR((((1+($C$126+'Inputs'!$H$112/100))^(1/12)-1)-((1+$C$126)^(1/12)-1))*(P142*(((1+((1+$C$126)^(1/12)-1))^12-1)/((1+((1+$C$126)^(1/12)-1))-1))-J142/12/((1+((1+$C$126)^(1/12)-1))-1)*((1+((1+$C$126)^(1/12)-1))*(((1+((1+$C$126)^(1/12)-1))^12-1)/((1+((1+$C$126)^(1/12)-1))-1))-12)),0))</f>
      </c>
    </row>
    <row r="143" spans="9:17" x14ac:dyDescent="0.25">
      <c r="I143">
        <v>27</v>
      </c>
      <c r="J143">
        <f>IF(I143&lt;$C$118,12*$C$119*(1+$C$120)^I143,0)</f>
      </c>
      <c r="P143">
        <f>IF($C$121&lt;&gt;1,0,P142*(1+((1+$C$126)^(1/12)-1))^12-J142/12*(1+((1+$C$126)^(1/12)-1))*(((1+((1+$C$126)^(1/12)-1))^12-1)/((1+((1+$C$126)^(1/12)-1))-1)))</f>
      </c>
      <c r="Q143">
        <f>IF($C$121&lt;&gt;1,0,IFERROR((((1+($C$126+'Inputs'!$H$112/100))^(1/12)-1)-((1+$C$126)^(1/12)-1))*(P143*(((1+((1+$C$126)^(1/12)-1))^12-1)/((1+((1+$C$126)^(1/12)-1))-1))-J143/12/((1+((1+$C$126)^(1/12)-1))-1)*((1+((1+$C$126)^(1/12)-1))*(((1+((1+$C$126)^(1/12)-1))^12-1)/((1+((1+$C$126)^(1/12)-1))-1))-12)),0))</f>
      </c>
    </row>
    <row r="144" spans="9:17" x14ac:dyDescent="0.25">
      <c r="I144">
        <v>28</v>
      </c>
      <c r="J144">
        <f>IF(I144&lt;$C$118,12*$C$119*(1+$C$120)^I144,0)</f>
      </c>
      <c r="P144">
        <f>IF($C$121&lt;&gt;1,0,P143*(1+((1+$C$126)^(1/12)-1))^12-J143/12*(1+((1+$C$126)^(1/12)-1))*(((1+((1+$C$126)^(1/12)-1))^12-1)/((1+((1+$C$126)^(1/12)-1))-1)))</f>
      </c>
      <c r="Q144">
        <f>IF($C$121&lt;&gt;1,0,IFERROR((((1+($C$126+'Inputs'!$H$112/100))^(1/12)-1)-((1+$C$126)^(1/12)-1))*(P144*(((1+((1+$C$126)^(1/12)-1))^12-1)/((1+((1+$C$126)^(1/12)-1))-1))-J144/12/((1+((1+$C$126)^(1/12)-1))-1)*((1+((1+$C$126)^(1/12)-1))*(((1+((1+$C$126)^(1/12)-1))^12-1)/((1+((1+$C$126)^(1/12)-1))-1))-12)),0))</f>
      </c>
    </row>
    <row r="145" spans="9:17" x14ac:dyDescent="0.25">
      <c r="I145">
        <v>29</v>
      </c>
      <c r="J145">
        <f>IF(I145&lt;$C$118,12*$C$119*(1+$C$120)^I145,0)</f>
      </c>
      <c r="P145">
        <f>IF($C$121&lt;&gt;1,0,P144*(1+((1+$C$126)^(1/12)-1))^12-J144/12*(1+((1+$C$126)^(1/12)-1))*(((1+((1+$C$126)^(1/12)-1))^12-1)/((1+((1+$C$126)^(1/12)-1))-1)))</f>
      </c>
      <c r="Q145">
        <f>IF($C$121&lt;&gt;1,0,IFERROR((((1+($C$126+'Inputs'!$H$112/100))^(1/12)-1)-((1+$C$126)^(1/12)-1))*(P145*(((1+((1+$C$126)^(1/12)-1))^12-1)/((1+((1+$C$126)^(1/12)-1))-1))-J145/12/((1+((1+$C$126)^(1/12)-1))-1)*((1+((1+$C$126)^(1/12)-1))*(((1+((1+$C$126)^(1/12)-1))^12-1)/((1+((1+$C$126)^(1/12)-1))-1))-12)),0))</f>
      </c>
    </row>
    <row r="146" spans="9:17" x14ac:dyDescent="0.25">
      <c r="I146">
        <v>30</v>
      </c>
      <c r="J146">
        <f>IF(I146&lt;$C$118,12*$C$119*(1+$C$120)^I146,0)</f>
      </c>
      <c r="P146">
        <f>IF($C$121&lt;&gt;1,0,P145*(1+((1+$C$126)^(1/12)-1))^12-J145/12*(1+((1+$C$126)^(1/12)-1))*(((1+((1+$C$126)^(1/12)-1))^12-1)/((1+((1+$C$126)^(1/12)-1))-1)))</f>
      </c>
      <c r="Q146">
        <f>IF($C$121&lt;&gt;1,0,IFERROR((((1+($C$126+'Inputs'!$H$112/100))^(1/12)-1)-((1+$C$126)^(1/12)-1))*(P146*(((1+((1+$C$126)^(1/12)-1))^12-1)/((1+((1+$C$126)^(1/12)-1))-1))-J146/12/((1+((1+$C$126)^(1/12)-1))-1)*((1+((1+$C$126)^(1/12)-1))*(((1+((1+$C$126)^(1/12)-1))^12-1)/((1+((1+$C$126)^(1/12)-1))-1))-12)),0))</f>
      </c>
    </row>
    <row r="147" spans="9:17" x14ac:dyDescent="0.25">
      <c r="I147">
        <v>31</v>
      </c>
      <c r="J147">
        <f>IF(I147&lt;$C$118,12*$C$119*(1+$C$120)^I147,0)</f>
      </c>
      <c r="P147">
        <f>IF($C$121&lt;&gt;1,0,P146*(1+((1+$C$126)^(1/12)-1))^12-J146/12*(1+((1+$C$126)^(1/12)-1))*(((1+((1+$C$126)^(1/12)-1))^12-1)/((1+((1+$C$126)^(1/12)-1))-1)))</f>
      </c>
      <c r="Q147">
        <f>IF($C$121&lt;&gt;1,0,IFERROR((((1+($C$126+'Inputs'!$H$112/100))^(1/12)-1)-((1+$C$126)^(1/12)-1))*(P147*(((1+((1+$C$126)^(1/12)-1))^12-1)/((1+((1+$C$126)^(1/12)-1))-1))-J147/12/((1+((1+$C$126)^(1/12)-1))-1)*((1+((1+$C$126)^(1/12)-1))*(((1+((1+$C$126)^(1/12)-1))^12-1)/((1+((1+$C$126)^(1/12)-1))-1))-12)),0))</f>
      </c>
    </row>
    <row r="148" spans="9:17" x14ac:dyDescent="0.25">
      <c r="I148">
        <v>32</v>
      </c>
      <c r="J148">
        <f>IF(I148&lt;$C$118,12*$C$119*(1+$C$120)^I148,0)</f>
      </c>
      <c r="P148">
        <f>IF($C$121&lt;&gt;1,0,P147*(1+((1+$C$126)^(1/12)-1))^12-J147/12*(1+((1+$C$126)^(1/12)-1))*(((1+((1+$C$126)^(1/12)-1))^12-1)/((1+((1+$C$126)^(1/12)-1))-1)))</f>
      </c>
      <c r="Q148">
        <f>IF($C$121&lt;&gt;1,0,IFERROR((((1+($C$126+'Inputs'!$H$112/100))^(1/12)-1)-((1+$C$126)^(1/12)-1))*(P148*(((1+((1+$C$126)^(1/12)-1))^12-1)/((1+((1+$C$126)^(1/12)-1))-1))-J148/12/((1+((1+$C$126)^(1/12)-1))-1)*((1+((1+$C$126)^(1/12)-1))*(((1+((1+$C$126)^(1/12)-1))^12-1)/((1+((1+$C$126)^(1/12)-1))-1))-12)),0))</f>
      </c>
    </row>
    <row r="149" spans="9:17" x14ac:dyDescent="0.25">
      <c r="I149">
        <v>33</v>
      </c>
      <c r="J149">
        <f>IF(I149&lt;$C$118,12*$C$119*(1+$C$120)^I149,0)</f>
      </c>
      <c r="P149">
        <f>IF($C$121&lt;&gt;1,0,P148*(1+((1+$C$126)^(1/12)-1))^12-J148/12*(1+((1+$C$126)^(1/12)-1))*(((1+((1+$C$126)^(1/12)-1))^12-1)/((1+((1+$C$126)^(1/12)-1))-1)))</f>
      </c>
      <c r="Q149">
        <f>IF($C$121&lt;&gt;1,0,IFERROR((((1+($C$126+'Inputs'!$H$112/100))^(1/12)-1)-((1+$C$126)^(1/12)-1))*(P149*(((1+((1+$C$126)^(1/12)-1))^12-1)/((1+((1+$C$126)^(1/12)-1))-1))-J149/12/((1+((1+$C$126)^(1/12)-1))-1)*((1+((1+$C$126)^(1/12)-1))*(((1+((1+$C$126)^(1/12)-1))^12-1)/((1+((1+$C$126)^(1/12)-1))-1))-12)),0))</f>
      </c>
    </row>
    <row r="150" spans="9:17" x14ac:dyDescent="0.25">
      <c r="I150">
        <v>34</v>
      </c>
      <c r="J150">
        <f>IF(I150&lt;$C$118,12*$C$119*(1+$C$120)^I150,0)</f>
      </c>
      <c r="P150">
        <f>IF($C$121&lt;&gt;1,0,P149*(1+((1+$C$126)^(1/12)-1))^12-J149/12*(1+((1+$C$126)^(1/12)-1))*(((1+((1+$C$126)^(1/12)-1))^12-1)/((1+((1+$C$126)^(1/12)-1))-1)))</f>
      </c>
      <c r="Q150">
        <f>IF($C$121&lt;&gt;1,0,IFERROR((((1+($C$126+'Inputs'!$H$112/100))^(1/12)-1)-((1+$C$126)^(1/12)-1))*(P150*(((1+((1+$C$126)^(1/12)-1))^12-1)/((1+((1+$C$126)^(1/12)-1))-1))-J150/12/((1+((1+$C$126)^(1/12)-1))-1)*((1+((1+$C$126)^(1/12)-1))*(((1+((1+$C$126)^(1/12)-1))^12-1)/((1+((1+$C$126)^(1/12)-1))-1))-12)),0))</f>
      </c>
    </row>
    <row r="151" spans="9:17" x14ac:dyDescent="0.25">
      <c r="I151">
        <v>35</v>
      </c>
      <c r="J151">
        <f>IF(I151&lt;$C$118,12*$C$119*(1+$C$120)^I151,0)</f>
      </c>
      <c r="P151">
        <f>IF($C$121&lt;&gt;1,0,P150*(1+((1+$C$126)^(1/12)-1))^12-J150/12*(1+((1+$C$126)^(1/12)-1))*(((1+((1+$C$126)^(1/12)-1))^12-1)/((1+((1+$C$126)^(1/12)-1))-1)))</f>
      </c>
      <c r="Q151">
        <f>IF($C$121&lt;&gt;1,0,IFERROR((((1+($C$126+'Inputs'!$H$112/100))^(1/12)-1)-((1+$C$126)^(1/12)-1))*(P151*(((1+((1+$C$126)^(1/12)-1))^12-1)/((1+((1+$C$126)^(1/12)-1))-1))-J151/12/((1+((1+$C$126)^(1/12)-1))-1)*((1+((1+$C$126)^(1/12)-1))*(((1+((1+$C$126)^(1/12)-1))^12-1)/((1+((1+$C$126)^(1/12)-1))-1))-12)),0))</f>
      </c>
    </row>
    <row r="152" spans="9:17" x14ac:dyDescent="0.25">
      <c r="I152">
        <v>36</v>
      </c>
      <c r="J152">
        <f>IF(I152&lt;$C$118,12*$C$119*(1+$C$120)^I152,0)</f>
      </c>
      <c r="P152">
        <f>IF($C$121&lt;&gt;1,0,P151*(1+((1+$C$126)^(1/12)-1))^12-J151/12*(1+((1+$C$126)^(1/12)-1))*(((1+((1+$C$126)^(1/12)-1))^12-1)/((1+((1+$C$126)^(1/12)-1))-1)))</f>
      </c>
      <c r="Q152">
        <f>IF($C$121&lt;&gt;1,0,IFERROR((((1+($C$126+'Inputs'!$H$112/100))^(1/12)-1)-((1+$C$126)^(1/12)-1))*(P152*(((1+((1+$C$126)^(1/12)-1))^12-1)/((1+((1+$C$126)^(1/12)-1))-1))-J152/12/((1+((1+$C$126)^(1/12)-1))-1)*((1+((1+$C$126)^(1/12)-1))*(((1+((1+$C$126)^(1/12)-1))^12-1)/((1+((1+$C$126)^(1/12)-1))-1))-12)),0))</f>
      </c>
    </row>
    <row r="153" spans="9:17" x14ac:dyDescent="0.25">
      <c r="I153">
        <v>37</v>
      </c>
      <c r="J153">
        <f>IF(I153&lt;$C$118,12*$C$119*(1+$C$120)^I153,0)</f>
      </c>
      <c r="P153">
        <f>IF($C$121&lt;&gt;1,0,P152*(1+((1+$C$126)^(1/12)-1))^12-J152/12*(1+((1+$C$126)^(1/12)-1))*(((1+((1+$C$126)^(1/12)-1))^12-1)/((1+((1+$C$126)^(1/12)-1))-1)))</f>
      </c>
      <c r="Q153">
        <f>IF($C$121&lt;&gt;1,0,IFERROR((((1+($C$126+'Inputs'!$H$112/100))^(1/12)-1)-((1+$C$126)^(1/12)-1))*(P153*(((1+((1+$C$126)^(1/12)-1))^12-1)/((1+((1+$C$126)^(1/12)-1))-1))-J153/12/((1+((1+$C$126)^(1/12)-1))-1)*((1+((1+$C$126)^(1/12)-1))*(((1+((1+$C$126)^(1/12)-1))^12-1)/((1+((1+$C$126)^(1/12)-1))-1))-12)),0))</f>
      </c>
    </row>
    <row r="154" spans="9:17" x14ac:dyDescent="0.25">
      <c r="I154">
        <v>38</v>
      </c>
      <c r="J154">
        <f>IF(I154&lt;$C$118,12*$C$119*(1+$C$120)^I154,0)</f>
      </c>
      <c r="P154">
        <f>IF($C$121&lt;&gt;1,0,P153*(1+((1+$C$126)^(1/12)-1))^12-J153/12*(1+((1+$C$126)^(1/12)-1))*(((1+((1+$C$126)^(1/12)-1))^12-1)/((1+((1+$C$126)^(1/12)-1))-1)))</f>
      </c>
      <c r="Q154">
        <f>IF($C$121&lt;&gt;1,0,IFERROR((((1+($C$126+'Inputs'!$H$112/100))^(1/12)-1)-((1+$C$126)^(1/12)-1))*(P154*(((1+((1+$C$126)^(1/12)-1))^12-1)/((1+((1+$C$126)^(1/12)-1))-1))-J154/12/((1+((1+$C$126)^(1/12)-1))-1)*((1+((1+$C$126)^(1/12)-1))*(((1+((1+$C$126)^(1/12)-1))^12-1)/((1+((1+$C$126)^(1/12)-1))-1))-12)),0))</f>
      </c>
    </row>
    <row r="155" spans="9:17" x14ac:dyDescent="0.25">
      <c r="I155">
        <v>39</v>
      </c>
      <c r="J155">
        <f>IF(I155&lt;$C$118,12*$C$119*(1+$C$120)^I155,0)</f>
      </c>
      <c r="P155">
        <f>IF($C$121&lt;&gt;1,0,P154*(1+((1+$C$126)^(1/12)-1))^12-J154/12*(1+((1+$C$126)^(1/12)-1))*(((1+((1+$C$126)^(1/12)-1))^12-1)/((1+((1+$C$126)^(1/12)-1))-1)))</f>
      </c>
      <c r="Q155">
        <f>IF($C$121&lt;&gt;1,0,IFERROR((((1+($C$126+'Inputs'!$H$112/100))^(1/12)-1)-((1+$C$126)^(1/12)-1))*(P155*(((1+((1+$C$126)^(1/12)-1))^12-1)/((1+((1+$C$126)^(1/12)-1))-1))-J155/12/((1+((1+$C$126)^(1/12)-1))-1)*((1+((1+$C$126)^(1/12)-1))*(((1+((1+$C$126)^(1/12)-1))^12-1)/((1+((1+$C$126)^(1/12)-1))-1))-12)),0))</f>
      </c>
    </row>
    <row r="156" spans="9:17" x14ac:dyDescent="0.25">
      <c r="I156">
        <v>40</v>
      </c>
      <c r="J156">
        <f>IF(I156&lt;$C$118,12*$C$119*(1+$C$120)^I156,0)</f>
      </c>
      <c r="P156">
        <f>IF($C$121&lt;&gt;1,0,P155*(1+((1+$C$126)^(1/12)-1))^12-J155/12*(1+((1+$C$126)^(1/12)-1))*(((1+((1+$C$126)^(1/12)-1))^12-1)/((1+((1+$C$126)^(1/12)-1))-1)))</f>
      </c>
      <c r="Q156">
        <f>IF($C$121&lt;&gt;1,0,IFERROR((((1+($C$126+'Inputs'!$H$112/100))^(1/12)-1)-((1+$C$126)^(1/12)-1))*(P156*(((1+((1+$C$126)^(1/12)-1))^12-1)/((1+((1+$C$126)^(1/12)-1))-1))-J156/12/((1+((1+$C$126)^(1/12)-1))-1)*((1+((1+$C$126)^(1/12)-1))*(((1+((1+$C$126)^(1/12)-1))^12-1)/((1+((1+$C$126)^(1/12)-1))-1))-12)),0))</f>
      </c>
    </row>
    <row r="157" spans="9:17" x14ac:dyDescent="0.25">
      <c r="I157">
        <v>41</v>
      </c>
      <c r="J157">
        <f>IF(I157&lt;$C$118,12*$C$119*(1+$C$120)^I157,0)</f>
      </c>
      <c r="P157">
        <f>IF($C$121&lt;&gt;1,0,P156*(1+((1+$C$126)^(1/12)-1))^12-J156/12*(1+((1+$C$126)^(1/12)-1))*(((1+((1+$C$126)^(1/12)-1))^12-1)/((1+((1+$C$126)^(1/12)-1))-1)))</f>
      </c>
      <c r="Q157">
        <f>IF($C$121&lt;&gt;1,0,IFERROR((((1+($C$126+'Inputs'!$H$112/100))^(1/12)-1)-((1+$C$126)^(1/12)-1))*(P157*(((1+((1+$C$126)^(1/12)-1))^12-1)/((1+((1+$C$126)^(1/12)-1))-1))-J157/12/((1+((1+$C$126)^(1/12)-1))-1)*((1+((1+$C$126)^(1/12)-1))*(((1+((1+$C$126)^(1/12)-1))^12-1)/((1+((1+$C$126)^(1/12)-1))-1))-12)),0))</f>
      </c>
    </row>
    <row r="158" spans="9:17" x14ac:dyDescent="0.25">
      <c r="I158">
        <v>42</v>
      </c>
      <c r="J158">
        <f>IF(I158&lt;$C$118,12*$C$119*(1+$C$120)^I158,0)</f>
      </c>
      <c r="P158">
        <f>IF($C$121&lt;&gt;1,0,P157*(1+((1+$C$126)^(1/12)-1))^12-J157/12*(1+((1+$C$126)^(1/12)-1))*(((1+((1+$C$126)^(1/12)-1))^12-1)/((1+((1+$C$126)^(1/12)-1))-1)))</f>
      </c>
      <c r="Q158">
        <f>IF($C$121&lt;&gt;1,0,IFERROR((((1+($C$126+'Inputs'!$H$112/100))^(1/12)-1)-((1+$C$126)^(1/12)-1))*(P158*(((1+((1+$C$126)^(1/12)-1))^12-1)/((1+((1+$C$126)^(1/12)-1))-1))-J158/12/((1+((1+$C$126)^(1/12)-1))-1)*((1+((1+$C$126)^(1/12)-1))*(((1+((1+$C$126)^(1/12)-1))^12-1)/((1+((1+$C$126)^(1/12)-1))-1))-12)),0))</f>
      </c>
    </row>
    <row r="159" spans="9:17" x14ac:dyDescent="0.25">
      <c r="I159">
        <v>43</v>
      </c>
      <c r="J159">
        <f>IF(I159&lt;$C$118,12*$C$119*(1+$C$120)^I159,0)</f>
      </c>
      <c r="P159">
        <f>IF($C$121&lt;&gt;1,0,P158*(1+((1+$C$126)^(1/12)-1))^12-J158/12*(1+((1+$C$126)^(1/12)-1))*(((1+((1+$C$126)^(1/12)-1))^12-1)/((1+((1+$C$126)^(1/12)-1))-1)))</f>
      </c>
      <c r="Q159">
        <f>IF($C$121&lt;&gt;1,0,IFERROR((((1+($C$126+'Inputs'!$H$112/100))^(1/12)-1)-((1+$C$126)^(1/12)-1))*(P159*(((1+((1+$C$126)^(1/12)-1))^12-1)/((1+((1+$C$126)^(1/12)-1))-1))-J159/12/((1+((1+$C$126)^(1/12)-1))-1)*((1+((1+$C$126)^(1/12)-1))*(((1+((1+$C$126)^(1/12)-1))^12-1)/((1+((1+$C$126)^(1/12)-1))-1))-12)),0))</f>
      </c>
    </row>
    <row r="160" spans="9:17" x14ac:dyDescent="0.25">
      <c r="I160">
        <v>44</v>
      </c>
      <c r="J160">
        <f>IF(I160&lt;$C$118,12*$C$119*(1+$C$120)^I160,0)</f>
      </c>
      <c r="P160">
        <f>IF($C$121&lt;&gt;1,0,P159*(1+((1+$C$126)^(1/12)-1))^12-J159/12*(1+((1+$C$126)^(1/12)-1))*(((1+((1+$C$126)^(1/12)-1))^12-1)/((1+((1+$C$126)^(1/12)-1))-1)))</f>
      </c>
      <c r="Q160">
        <f>IF($C$121&lt;&gt;1,0,IFERROR((((1+($C$126+'Inputs'!$H$112/100))^(1/12)-1)-((1+$C$126)^(1/12)-1))*(P160*(((1+((1+$C$126)^(1/12)-1))^12-1)/((1+((1+$C$126)^(1/12)-1))-1))-J160/12/((1+((1+$C$126)^(1/12)-1))-1)*((1+((1+$C$126)^(1/12)-1))*(((1+((1+$C$126)^(1/12)-1))^12-1)/((1+((1+$C$126)^(1/12)-1))-1))-12)),0))</f>
      </c>
    </row>
    <row r="161" spans="9:17" x14ac:dyDescent="0.25">
      <c r="I161">
        <v>45</v>
      </c>
      <c r="J161">
        <f>IF(I161&lt;$C$118,12*$C$119*(1+$C$120)^I161,0)</f>
      </c>
      <c r="P161">
        <f>IF($C$121&lt;&gt;1,0,P160*(1+((1+$C$126)^(1/12)-1))^12-J160/12*(1+((1+$C$126)^(1/12)-1))*(((1+((1+$C$126)^(1/12)-1))^12-1)/((1+((1+$C$126)^(1/12)-1))-1)))</f>
      </c>
      <c r="Q161">
        <f>IF($C$121&lt;&gt;1,0,IFERROR((((1+($C$126+'Inputs'!$H$112/100))^(1/12)-1)-((1+$C$126)^(1/12)-1))*(P161*(((1+((1+$C$126)^(1/12)-1))^12-1)/((1+((1+$C$126)^(1/12)-1))-1))-J161/12/((1+((1+$C$126)^(1/12)-1))-1)*((1+((1+$C$126)^(1/12)-1))*(((1+((1+$C$126)^(1/12)-1))^12-1)/((1+((1+$C$126)^(1/12)-1))-1))-12)),0))</f>
      </c>
    </row>
    <row r="162" spans="9:17" x14ac:dyDescent="0.25">
      <c r="I162">
        <v>46</v>
      </c>
      <c r="J162">
        <f>IF(I162&lt;$C$118,12*$C$119*(1+$C$120)^I162,0)</f>
      </c>
      <c r="P162">
        <f>IF($C$121&lt;&gt;1,0,P161*(1+((1+$C$126)^(1/12)-1))^12-J161/12*(1+((1+$C$126)^(1/12)-1))*(((1+((1+$C$126)^(1/12)-1))^12-1)/((1+((1+$C$126)^(1/12)-1))-1)))</f>
      </c>
      <c r="Q162">
        <f>IF($C$121&lt;&gt;1,0,IFERROR((((1+($C$126+'Inputs'!$H$112/100))^(1/12)-1)-((1+$C$126)^(1/12)-1))*(P162*(((1+((1+$C$126)^(1/12)-1))^12-1)/((1+((1+$C$126)^(1/12)-1))-1))-J162/12/((1+((1+$C$126)^(1/12)-1))-1)*((1+((1+$C$126)^(1/12)-1))*(((1+((1+$C$126)^(1/12)-1))^12-1)/((1+((1+$C$126)^(1/12)-1))-1))-12)),0))</f>
      </c>
    </row>
    <row r="163" spans="9:17" x14ac:dyDescent="0.25">
      <c r="I163">
        <v>47</v>
      </c>
      <c r="J163">
        <f>IF(I163&lt;$C$118,12*$C$119*(1+$C$120)^I163,0)</f>
      </c>
      <c r="P163">
        <f>IF($C$121&lt;&gt;1,0,P162*(1+((1+$C$126)^(1/12)-1))^12-J162/12*(1+((1+$C$126)^(1/12)-1))*(((1+((1+$C$126)^(1/12)-1))^12-1)/((1+((1+$C$126)^(1/12)-1))-1)))</f>
      </c>
      <c r="Q163">
        <f>IF($C$121&lt;&gt;1,0,IFERROR((((1+($C$126+'Inputs'!$H$112/100))^(1/12)-1)-((1+$C$126)^(1/12)-1))*(P163*(((1+((1+$C$126)^(1/12)-1))^12-1)/((1+((1+$C$126)^(1/12)-1))-1))-J163/12/((1+((1+$C$126)^(1/12)-1))-1)*((1+((1+$C$126)^(1/12)-1))*(((1+((1+$C$126)^(1/12)-1))^12-1)/((1+((1+$C$126)^(1/12)-1))-1))-12)),0))</f>
      </c>
    </row>
    <row r="164" spans="9:17" x14ac:dyDescent="0.25">
      <c r="I164">
        <v>48</v>
      </c>
      <c r="J164">
        <f>IF(I164&lt;$C$118,12*$C$119*(1+$C$120)^I164,0)</f>
      </c>
      <c r="P164">
        <f>IF($C$121&lt;&gt;1,0,P163*(1+((1+$C$126)^(1/12)-1))^12-J163/12*(1+((1+$C$126)^(1/12)-1))*(((1+((1+$C$126)^(1/12)-1))^12-1)/((1+((1+$C$126)^(1/12)-1))-1)))</f>
      </c>
      <c r="Q164">
        <f>IF($C$121&lt;&gt;1,0,IFERROR((((1+($C$126+'Inputs'!$H$112/100))^(1/12)-1)-((1+$C$126)^(1/12)-1))*(P164*(((1+((1+$C$126)^(1/12)-1))^12-1)/((1+((1+$C$126)^(1/12)-1))-1))-J164/12/((1+((1+$C$126)^(1/12)-1))-1)*((1+((1+$C$126)^(1/12)-1))*(((1+((1+$C$126)^(1/12)-1))^12-1)/((1+((1+$C$126)^(1/12)-1))-1))-12)),0))</f>
      </c>
    </row>
    <row r="165" spans="9:17" x14ac:dyDescent="0.25">
      <c r="I165">
        <v>49</v>
      </c>
      <c r="J165">
        <f>IF(I165&lt;$C$118,12*$C$119*(1+$C$120)^I165,0)</f>
      </c>
      <c r="P165">
        <f>IF($C$121&lt;&gt;1,0,P164*(1+((1+$C$126)^(1/12)-1))^12-J164/12*(1+((1+$C$126)^(1/12)-1))*(((1+((1+$C$126)^(1/12)-1))^12-1)/((1+((1+$C$126)^(1/12)-1))-1)))</f>
      </c>
      <c r="Q165">
        <f>IF($C$121&lt;&gt;1,0,IFERROR((((1+($C$126+'Inputs'!$H$112/100))^(1/12)-1)-((1+$C$126)^(1/12)-1))*(P165*(((1+((1+$C$126)^(1/12)-1))^12-1)/((1+((1+$C$126)^(1/12)-1))-1))-J165/12/((1+((1+$C$126)^(1/12)-1))-1)*((1+((1+$C$126)^(1/12)-1))*(((1+((1+$C$126)^(1/12)-1))^12-1)/((1+((1+$C$126)^(1/12)-1))-1))-12)),0))</f>
      </c>
    </row>
    <row r="170" spans="2:3" x14ac:dyDescent="0.25">
      <c r="B170" t="s">
        <v>108</v>
      </c>
      <c r="C170">
        <f>IF('Inputs'!$B$92="","",'Inputs'!$B$92)</f>
      </c>
    </row>
    <row r="171" spans="2:17" x14ac:dyDescent="0.25">
      <c r="B171" t="s">
        <v>110</v>
      </c>
      <c r="C171">
        <f>N('Inputs'!$D$92)</f>
      </c>
      <c r="I171" t="s">
        <v>382</v>
      </c>
      <c r="J171" t="s">
        <v>383</v>
      </c>
      <c r="P171" t="s">
        <v>384</v>
      </c>
      <c r="Q171" t="s">
        <v>385</v>
      </c>
    </row>
    <row r="172" spans="2:17" x14ac:dyDescent="0.25">
      <c r="B172" t="s">
        <v>386</v>
      </c>
      <c r="C172">
        <f>IF($C$171&gt;=75,'Inputs'!$H$120,IF($C$171&gt;=65,'Inputs'!$H$119,'Inputs'!$H$113))</f>
      </c>
      <c r="I172">
        <v>0</v>
      </c>
      <c r="J172">
        <f>IF(I172&lt;$C$174,12*$C$175*(1+$C$176)^I172,0)</f>
      </c>
      <c r="P172">
        <f>IF($C$177&lt;&gt;1,0,IF($C$182=0,SUM($J$172:$J$221),(1-(1+$C$182)^-1)/(1-(1+$C$182)^(-1/12))/12*SUMPRODUCT($J$172:$J$221,(1+$C$182)^(-$I$172:$I$221))))</f>
      </c>
      <c r="Q172">
        <f>IF($C$177&lt;&gt;1,0,IFERROR((((1+($C$182+'Inputs'!$H$112/100))^(1/12)-1)-((1+$C$182)^(1/12)-1))*(P172*(((1+((1+$C$182)^(1/12)-1))^12-1)/((1+((1+$C$182)^(1/12)-1))-1))-J172/12/((1+((1+$C$182)^(1/12)-1))-1)*((1+((1+$C$182)^(1/12)-1))*(((1+((1+$C$182)^(1/12)-1))^12-1)/((1+((1+$C$182)^(1/12)-1))-1))-12)),0))</f>
      </c>
    </row>
    <row r="173" spans="2:17" x14ac:dyDescent="0.25">
      <c r="B173" t="s">
        <v>387</v>
      </c>
      <c r="C173">
        <f>N('Inputs'!$I$92)</f>
      </c>
      <c r="I173">
        <v>1</v>
      </c>
      <c r="J173">
        <f>IF(I173&lt;$C$174,12*$C$175*(1+$C$176)^I173,0)</f>
      </c>
      <c r="P173">
        <f>IF($C$177&lt;&gt;1,0,P172*(1+((1+$C$182)^(1/12)-1))^12-J172/12*(1+((1+$C$182)^(1/12)-1))*(((1+((1+$C$182)^(1/12)-1))^12-1)/((1+((1+$C$182)^(1/12)-1))-1)))</f>
      </c>
      <c r="Q173">
        <f>IF($C$177&lt;&gt;1,0,IFERROR((((1+($C$182+'Inputs'!$H$112/100))^(1/12)-1)-((1+$C$182)^(1/12)-1))*(P173*(((1+((1+$C$182)^(1/12)-1))^12-1)/((1+((1+$C$182)^(1/12)-1))-1))-J173/12/((1+((1+$C$182)^(1/12)-1))-1)*((1+((1+$C$182)^(1/12)-1))*(((1+((1+$C$182)^(1/12)-1))^12-1)/((1+((1+$C$182)^(1/12)-1))-1))-12)),0))</f>
      </c>
    </row>
    <row r="174" spans="2:17" x14ac:dyDescent="0.25">
      <c r="B174" t="s">
        <v>388</v>
      </c>
      <c r="C174">
        <f>IF($C$170="",0,N('Inputs'!$F$92))</f>
      </c>
      <c r="I174">
        <v>2</v>
      </c>
      <c r="J174">
        <f>IF(I174&lt;$C$174,12*$C$175*(1+$C$176)^I174,0)</f>
      </c>
      <c r="P174">
        <f>IF($C$177&lt;&gt;1,0,P173*(1+((1+$C$182)^(1/12)-1))^12-J173/12*(1+((1+$C$182)^(1/12)-1))*(((1+((1+$C$182)^(1/12)-1))^12-1)/((1+((1+$C$182)^(1/12)-1))-1)))</f>
      </c>
      <c r="Q174">
        <f>IF($C$177&lt;&gt;1,0,IFERROR((((1+($C$182+'Inputs'!$H$112/100))^(1/12)-1)-((1+$C$182)^(1/12)-1))*(P174*(((1+((1+$C$182)^(1/12)-1))^12-1)/((1+((1+$C$182)^(1/12)-1))-1))-J174/12/((1+((1+$C$182)^(1/12)-1))-1)*((1+((1+$C$182)^(1/12)-1))*(((1+((1+$C$182)^(1/12)-1))^12-1)/((1+((1+$C$182)^(1/12)-1))-1))-12)),0))</f>
      </c>
    </row>
    <row r="175" spans="2:17" x14ac:dyDescent="0.25">
      <c r="B175" t="s">
        <v>389</v>
      </c>
      <c r="C175">
        <f>N('Inputs'!$E$92)</f>
      </c>
      <c r="I175">
        <v>3</v>
      </c>
      <c r="J175">
        <f>IF(I175&lt;$C$174,12*$C$175*(1+$C$176)^I175,0)</f>
      </c>
      <c r="P175">
        <f>IF($C$177&lt;&gt;1,0,P174*(1+((1+$C$182)^(1/12)-1))^12-J174/12*(1+((1+$C$182)^(1/12)-1))*(((1+((1+$C$182)^(1/12)-1))^12-1)/((1+((1+$C$182)^(1/12)-1))-1)))</f>
      </c>
      <c r="Q175">
        <f>IF($C$177&lt;&gt;1,0,IFERROR((((1+($C$182+'Inputs'!$H$112/100))^(1/12)-1)-((1+$C$182)^(1/12)-1))*(P175*(((1+((1+$C$182)^(1/12)-1))^12-1)/((1+((1+$C$182)^(1/12)-1))-1))-J175/12/((1+((1+$C$182)^(1/12)-1))-1)*((1+((1+$C$182)^(1/12)-1))*(((1+((1+$C$182)^(1/12)-1))^12-1)/((1+((1+$C$182)^(1/12)-1))-1))-12)),0))</f>
      </c>
    </row>
    <row r="176" spans="2:17" x14ac:dyDescent="0.25">
      <c r="B176" t="s">
        <v>390</v>
      </c>
      <c r="C176">
        <f>IF('Inputs'!$G$92="",'Inputs'!$H$118/100,'Inputs'!$G$92/100)</f>
      </c>
      <c r="I176">
        <v>4</v>
      </c>
      <c r="J176">
        <f>IF(I176&lt;$C$174,12*$C$175*(1+$C$176)^I176,0)</f>
      </c>
      <c r="P176">
        <f>IF($C$177&lt;&gt;1,0,P175*(1+((1+$C$182)^(1/12)-1))^12-J175/12*(1+((1+$C$182)^(1/12)-1))*(((1+((1+$C$182)^(1/12)-1))^12-1)/((1+((1+$C$182)^(1/12)-1))-1)))</f>
      </c>
      <c r="Q176">
        <f>IF($C$177&lt;&gt;1,0,IFERROR((((1+($C$182+'Inputs'!$H$112/100))^(1/12)-1)-((1+$C$182)^(1/12)-1))*(P176*(((1+((1+$C$182)^(1/12)-1))^12-1)/((1+((1+$C$182)^(1/12)-1))-1))-J176/12/((1+((1+$C$182)^(1/12)-1))-1)*((1+((1+$C$182)^(1/12)-1))*(((1+((1+$C$182)^(1/12)-1))^12-1)/((1+((1+$C$182)^(1/12)-1))-1))-12)),0))</f>
      </c>
    </row>
    <row r="177" spans="2:17" x14ac:dyDescent="0.25">
      <c r="B177" t="s">
        <v>391</v>
      </c>
      <c r="C177">
        <f>IF('Inputs'!$H$92="Yes",1,0)</f>
      </c>
      <c r="I177">
        <v>5</v>
      </c>
      <c r="J177">
        <f>IF(I177&lt;$C$174,12*$C$175*(1+$C$176)^I177,0)</f>
      </c>
      <c r="P177">
        <f>IF($C$177&lt;&gt;1,0,P176*(1+((1+$C$182)^(1/12)-1))^12-J176/12*(1+((1+$C$182)^(1/12)-1))*(((1+((1+$C$182)^(1/12)-1))^12-1)/((1+((1+$C$182)^(1/12)-1))-1)))</f>
      </c>
      <c r="Q177">
        <f>IF($C$177&lt;&gt;1,0,IFERROR((((1+($C$182+'Inputs'!$H$112/100))^(1/12)-1)-((1+$C$182)^(1/12)-1))*(P177*(((1+((1+$C$182)^(1/12)-1))^12-1)/((1+((1+$C$182)^(1/12)-1))-1))-J177/12/((1+((1+$C$182)^(1/12)-1))-1)*((1+((1+$C$182)^(1/12)-1))*(((1+((1+$C$182)^(1/12)-1))^12-1)/((1+((1+$C$182)^(1/12)-1))-1))-12)),0))</f>
      </c>
    </row>
    <row r="178" spans="2:17" x14ac:dyDescent="0.25">
      <c r="B178" t="s">
        <v>392</v>
      </c>
      <c r="C178">
        <f>IF($C$170="",0,N('Inputs'!$J$92))</f>
      </c>
      <c r="I178">
        <v>6</v>
      </c>
      <c r="J178">
        <f>IF(I178&lt;$C$174,12*$C$175*(1+$C$176)^I178,0)</f>
      </c>
      <c r="P178">
        <f>IF($C$177&lt;&gt;1,0,P177*(1+((1+$C$182)^(1/12)-1))^12-J177/12*(1+((1+$C$182)^(1/12)-1))*(((1+((1+$C$182)^(1/12)-1))^12-1)/((1+((1+$C$182)^(1/12)-1))-1)))</f>
      </c>
      <c r="Q178">
        <f>IF($C$177&lt;&gt;1,0,IFERROR((((1+($C$182+'Inputs'!$H$112/100))^(1/12)-1)-((1+$C$182)^(1/12)-1))*(P178*(((1+((1+$C$182)^(1/12)-1))^12-1)/((1+((1+$C$182)^(1/12)-1))-1))-J178/12/((1+((1+$C$182)^(1/12)-1))-1)*((1+((1+$C$182)^(1/12)-1))*(((1+((1+$C$182)^(1/12)-1))^12-1)/((1+((1+$C$182)^(1/12)-1))-1))-12)),0))</f>
      </c>
    </row>
    <row r="179" spans="2:17" x14ac:dyDescent="0.25">
      <c r="B179" t="s">
        <v>393</v>
      </c>
      <c r="C179">
        <f>ROUND(Q172,2)</f>
      </c>
      <c r="I179">
        <v>7</v>
      </c>
      <c r="J179">
        <f>IF(I179&lt;$C$174,12*$C$175*(1+$C$176)^I179,0)</f>
      </c>
      <c r="P179">
        <f>IF($C$177&lt;&gt;1,0,P178*(1+((1+$C$182)^(1/12)-1))^12-J178/12*(1+((1+$C$182)^(1/12)-1))*(((1+((1+$C$182)^(1/12)-1))^12-1)/((1+((1+$C$182)^(1/12)-1))-1)))</f>
      </c>
      <c r="Q179">
        <f>IF($C$177&lt;&gt;1,0,IFERROR((((1+($C$182+'Inputs'!$H$112/100))^(1/12)-1)-((1+$C$182)^(1/12)-1))*(P179*(((1+((1+$C$182)^(1/12)-1))^12-1)/((1+((1+$C$182)^(1/12)-1))-1))-J179/12/((1+((1+$C$182)^(1/12)-1))-1)*((1+((1+$C$182)^(1/12)-1))*(((1+((1+$C$182)^(1/12)-1))^12-1)/((1+((1+$C$182)^(1/12)-1))-1))-12)),0))</f>
      </c>
    </row>
    <row r="180" spans="2:17" x14ac:dyDescent="0.25">
      <c r="B180" t="s">
        <v>394</v>
      </c>
      <c r="C180">
        <f>ROUND(SUM($Q$172:$Q$221),2)</f>
      </c>
      <c r="I180">
        <v>8</v>
      </c>
      <c r="J180">
        <f>IF(I180&lt;$C$174,12*$C$175*(1+$C$176)^I180,0)</f>
      </c>
      <c r="P180">
        <f>IF($C$177&lt;&gt;1,0,P179*(1+((1+$C$182)^(1/12)-1))^12-J179/12*(1+((1+$C$182)^(1/12)-1))*(((1+((1+$C$182)^(1/12)-1))^12-1)/((1+((1+$C$182)^(1/12)-1))-1)))</f>
      </c>
      <c r="Q180">
        <f>IF($C$177&lt;&gt;1,0,IFERROR((((1+($C$182+'Inputs'!$H$112/100))^(1/12)-1)-((1+$C$182)^(1/12)-1))*(P180*(((1+((1+$C$182)^(1/12)-1))^12-1)/((1+((1+$C$182)^(1/12)-1))-1))-J180/12/((1+((1+$C$182)^(1/12)-1))-1)*((1+((1+$C$182)^(1/12)-1))*(((1+((1+$C$182)^(1/12)-1))^12-1)/((1+((1+$C$182)^(1/12)-1))-1))-12)),0))</f>
      </c>
    </row>
    <row r="181" spans="2:17" x14ac:dyDescent="0.25">
      <c r="B181" t="s">
        <v>395</v>
      </c>
      <c r="C181">
        <f>IF($C$177&lt;&gt;1,0,ROUND(IF($C$182=0,SUM($J$172:$J$221),(1-(1+$C$182)^-1)/(1-(1+$C$182)^(-1/12))/12*SUMPRODUCT($J$172:$J$221,(1+$C$182)^(-$I$172:$I$221)))-IF(($C$182+'Inputs'!$H$112/100)=0,SUM($J$172:$J$221),(1-(1+($C$182+'Inputs'!$H$112/100))^-1)/(1-(1+($C$182+'Inputs'!$H$112/100))^(-1/12))/12*SUMPRODUCT($J$172:$J$221,(1+($C$182+'Inputs'!$H$112/100))^(-$I$172:$I$221))),2))</f>
      </c>
      <c r="I181">
        <v>9</v>
      </c>
      <c r="J181">
        <f>IF(I181&lt;$C$174,12*$C$175*(1+$C$176)^I181,0)</f>
      </c>
      <c r="P181">
        <f>IF($C$177&lt;&gt;1,0,P180*(1+((1+$C$182)^(1/12)-1))^12-J180/12*(1+((1+$C$182)^(1/12)-1))*(((1+((1+$C$182)^(1/12)-1))^12-1)/((1+((1+$C$182)^(1/12)-1))-1)))</f>
      </c>
      <c r="Q181">
        <f>IF($C$177&lt;&gt;1,0,IFERROR((((1+($C$182+'Inputs'!$H$112/100))^(1/12)-1)-((1+$C$182)^(1/12)-1))*(P181*(((1+((1+$C$182)^(1/12)-1))^12-1)/((1+((1+$C$182)^(1/12)-1))-1))-J181/12/((1+((1+$C$182)^(1/12)-1))-1)*((1+((1+$C$182)^(1/12)-1))*(((1+((1+$C$182)^(1/12)-1))^12-1)/((1+((1+$C$182)^(1/12)-1))-1))-12)),0))</f>
      </c>
    </row>
    <row r="182" spans="2:17" x14ac:dyDescent="0.25">
      <c r="B182" t="s">
        <v>396</v>
      </c>
      <c r="C182">
        <f>IF($C$177=1,'Needs calc'!$C$63,0)</f>
      </c>
      <c r="I182">
        <v>10</v>
      </c>
      <c r="J182">
        <f>IF(I182&lt;$C$174,12*$C$175*(1+$C$176)^I182,0)</f>
      </c>
      <c r="P182">
        <f>IF($C$177&lt;&gt;1,0,P181*(1+((1+$C$182)^(1/12)-1))^12-J181/12*(1+((1+$C$182)^(1/12)-1))*(((1+((1+$C$182)^(1/12)-1))^12-1)/((1+((1+$C$182)^(1/12)-1))-1)))</f>
      </c>
      <c r="Q182">
        <f>IF($C$177&lt;&gt;1,0,IFERROR((((1+($C$182+'Inputs'!$H$112/100))^(1/12)-1)-((1+$C$182)^(1/12)-1))*(P182*(((1+((1+$C$182)^(1/12)-1))^12-1)/((1+((1+$C$182)^(1/12)-1))-1))-J182/12/((1+((1+$C$182)^(1/12)-1))-1)*((1+((1+$C$182)^(1/12)-1))*(((1+((1+$C$182)^(1/12)-1))^12-1)/((1+((1+$C$182)^(1/12)-1))-1))-12)),0))</f>
      </c>
    </row>
    <row r="183" spans="9:17" x14ac:dyDescent="0.25">
      <c r="I183">
        <v>11</v>
      </c>
      <c r="J183">
        <f>IF(I183&lt;$C$174,12*$C$175*(1+$C$176)^I183,0)</f>
      </c>
      <c r="P183">
        <f>IF($C$177&lt;&gt;1,0,P182*(1+((1+$C$182)^(1/12)-1))^12-J182/12*(1+((1+$C$182)^(1/12)-1))*(((1+((1+$C$182)^(1/12)-1))^12-1)/((1+((1+$C$182)^(1/12)-1))-1)))</f>
      </c>
      <c r="Q183">
        <f>IF($C$177&lt;&gt;1,0,IFERROR((((1+($C$182+'Inputs'!$H$112/100))^(1/12)-1)-((1+$C$182)^(1/12)-1))*(P183*(((1+((1+$C$182)^(1/12)-1))^12-1)/((1+((1+$C$182)^(1/12)-1))-1))-J183/12/((1+((1+$C$182)^(1/12)-1))-1)*((1+((1+$C$182)^(1/12)-1))*(((1+((1+$C$182)^(1/12)-1))^12-1)/((1+((1+$C$182)^(1/12)-1))-1))-12)),0))</f>
      </c>
    </row>
    <row r="184" spans="9:17" x14ac:dyDescent="0.25">
      <c r="I184">
        <v>12</v>
      </c>
      <c r="J184">
        <f>IF(I184&lt;$C$174,12*$C$175*(1+$C$176)^I184,0)</f>
      </c>
      <c r="P184">
        <f>IF($C$177&lt;&gt;1,0,P183*(1+((1+$C$182)^(1/12)-1))^12-J183/12*(1+((1+$C$182)^(1/12)-1))*(((1+((1+$C$182)^(1/12)-1))^12-1)/((1+((1+$C$182)^(1/12)-1))-1)))</f>
      </c>
      <c r="Q184">
        <f>IF($C$177&lt;&gt;1,0,IFERROR((((1+($C$182+'Inputs'!$H$112/100))^(1/12)-1)-((1+$C$182)^(1/12)-1))*(P184*(((1+((1+$C$182)^(1/12)-1))^12-1)/((1+((1+$C$182)^(1/12)-1))-1))-J184/12/((1+((1+$C$182)^(1/12)-1))-1)*((1+((1+$C$182)^(1/12)-1))*(((1+((1+$C$182)^(1/12)-1))^12-1)/((1+((1+$C$182)^(1/12)-1))-1))-12)),0))</f>
      </c>
    </row>
    <row r="185" spans="9:17" x14ac:dyDescent="0.25">
      <c r="I185">
        <v>13</v>
      </c>
      <c r="J185">
        <f>IF(I185&lt;$C$174,12*$C$175*(1+$C$176)^I185,0)</f>
      </c>
      <c r="P185">
        <f>IF($C$177&lt;&gt;1,0,P184*(1+((1+$C$182)^(1/12)-1))^12-J184/12*(1+((1+$C$182)^(1/12)-1))*(((1+((1+$C$182)^(1/12)-1))^12-1)/((1+((1+$C$182)^(1/12)-1))-1)))</f>
      </c>
      <c r="Q185">
        <f>IF($C$177&lt;&gt;1,0,IFERROR((((1+($C$182+'Inputs'!$H$112/100))^(1/12)-1)-((1+$C$182)^(1/12)-1))*(P185*(((1+((1+$C$182)^(1/12)-1))^12-1)/((1+((1+$C$182)^(1/12)-1))-1))-J185/12/((1+((1+$C$182)^(1/12)-1))-1)*((1+((1+$C$182)^(1/12)-1))*(((1+((1+$C$182)^(1/12)-1))^12-1)/((1+((1+$C$182)^(1/12)-1))-1))-12)),0))</f>
      </c>
    </row>
    <row r="186" spans="9:17" x14ac:dyDescent="0.25">
      <c r="I186">
        <v>14</v>
      </c>
      <c r="J186">
        <f>IF(I186&lt;$C$174,12*$C$175*(1+$C$176)^I186,0)</f>
      </c>
      <c r="P186">
        <f>IF($C$177&lt;&gt;1,0,P185*(1+((1+$C$182)^(1/12)-1))^12-J185/12*(1+((1+$C$182)^(1/12)-1))*(((1+((1+$C$182)^(1/12)-1))^12-1)/((1+((1+$C$182)^(1/12)-1))-1)))</f>
      </c>
      <c r="Q186">
        <f>IF($C$177&lt;&gt;1,0,IFERROR((((1+($C$182+'Inputs'!$H$112/100))^(1/12)-1)-((1+$C$182)^(1/12)-1))*(P186*(((1+((1+$C$182)^(1/12)-1))^12-1)/((1+((1+$C$182)^(1/12)-1))-1))-J186/12/((1+((1+$C$182)^(1/12)-1))-1)*((1+((1+$C$182)^(1/12)-1))*(((1+((1+$C$182)^(1/12)-1))^12-1)/((1+((1+$C$182)^(1/12)-1))-1))-12)),0))</f>
      </c>
    </row>
    <row r="187" spans="9:17" x14ac:dyDescent="0.25">
      <c r="I187">
        <v>15</v>
      </c>
      <c r="J187">
        <f>IF(I187&lt;$C$174,12*$C$175*(1+$C$176)^I187,0)</f>
      </c>
      <c r="P187">
        <f>IF($C$177&lt;&gt;1,0,P186*(1+((1+$C$182)^(1/12)-1))^12-J186/12*(1+((1+$C$182)^(1/12)-1))*(((1+((1+$C$182)^(1/12)-1))^12-1)/((1+((1+$C$182)^(1/12)-1))-1)))</f>
      </c>
      <c r="Q187">
        <f>IF($C$177&lt;&gt;1,0,IFERROR((((1+($C$182+'Inputs'!$H$112/100))^(1/12)-1)-((1+$C$182)^(1/12)-1))*(P187*(((1+((1+$C$182)^(1/12)-1))^12-1)/((1+((1+$C$182)^(1/12)-1))-1))-J187/12/((1+((1+$C$182)^(1/12)-1))-1)*((1+((1+$C$182)^(1/12)-1))*(((1+((1+$C$182)^(1/12)-1))^12-1)/((1+((1+$C$182)^(1/12)-1))-1))-12)),0))</f>
      </c>
    </row>
    <row r="188" spans="9:17" x14ac:dyDescent="0.25">
      <c r="I188">
        <v>16</v>
      </c>
      <c r="J188">
        <f>IF(I188&lt;$C$174,12*$C$175*(1+$C$176)^I188,0)</f>
      </c>
      <c r="P188">
        <f>IF($C$177&lt;&gt;1,0,P187*(1+((1+$C$182)^(1/12)-1))^12-J187/12*(1+((1+$C$182)^(1/12)-1))*(((1+((1+$C$182)^(1/12)-1))^12-1)/((1+((1+$C$182)^(1/12)-1))-1)))</f>
      </c>
      <c r="Q188">
        <f>IF($C$177&lt;&gt;1,0,IFERROR((((1+($C$182+'Inputs'!$H$112/100))^(1/12)-1)-((1+$C$182)^(1/12)-1))*(P188*(((1+((1+$C$182)^(1/12)-1))^12-1)/((1+((1+$C$182)^(1/12)-1))-1))-J188/12/((1+((1+$C$182)^(1/12)-1))-1)*((1+((1+$C$182)^(1/12)-1))*(((1+((1+$C$182)^(1/12)-1))^12-1)/((1+((1+$C$182)^(1/12)-1))-1))-12)),0))</f>
      </c>
    </row>
    <row r="189" spans="9:17" x14ac:dyDescent="0.25">
      <c r="I189">
        <v>17</v>
      </c>
      <c r="J189">
        <f>IF(I189&lt;$C$174,12*$C$175*(1+$C$176)^I189,0)</f>
      </c>
      <c r="P189">
        <f>IF($C$177&lt;&gt;1,0,P188*(1+((1+$C$182)^(1/12)-1))^12-J188/12*(1+((1+$C$182)^(1/12)-1))*(((1+((1+$C$182)^(1/12)-1))^12-1)/((1+((1+$C$182)^(1/12)-1))-1)))</f>
      </c>
      <c r="Q189">
        <f>IF($C$177&lt;&gt;1,0,IFERROR((((1+($C$182+'Inputs'!$H$112/100))^(1/12)-1)-((1+$C$182)^(1/12)-1))*(P189*(((1+((1+$C$182)^(1/12)-1))^12-1)/((1+((1+$C$182)^(1/12)-1))-1))-J189/12/((1+((1+$C$182)^(1/12)-1))-1)*((1+((1+$C$182)^(1/12)-1))*(((1+((1+$C$182)^(1/12)-1))^12-1)/((1+((1+$C$182)^(1/12)-1))-1))-12)),0))</f>
      </c>
    </row>
    <row r="190" spans="9:17" x14ac:dyDescent="0.25">
      <c r="I190">
        <v>18</v>
      </c>
      <c r="J190">
        <f>IF(I190&lt;$C$174,12*$C$175*(1+$C$176)^I190,0)</f>
      </c>
      <c r="P190">
        <f>IF($C$177&lt;&gt;1,0,P189*(1+((1+$C$182)^(1/12)-1))^12-J189/12*(1+((1+$C$182)^(1/12)-1))*(((1+((1+$C$182)^(1/12)-1))^12-1)/((1+((1+$C$182)^(1/12)-1))-1)))</f>
      </c>
      <c r="Q190">
        <f>IF($C$177&lt;&gt;1,0,IFERROR((((1+($C$182+'Inputs'!$H$112/100))^(1/12)-1)-((1+$C$182)^(1/12)-1))*(P190*(((1+((1+$C$182)^(1/12)-1))^12-1)/((1+((1+$C$182)^(1/12)-1))-1))-J190/12/((1+((1+$C$182)^(1/12)-1))-1)*((1+((1+$C$182)^(1/12)-1))*(((1+((1+$C$182)^(1/12)-1))^12-1)/((1+((1+$C$182)^(1/12)-1))-1))-12)),0))</f>
      </c>
    </row>
    <row r="191" spans="9:17" x14ac:dyDescent="0.25">
      <c r="I191">
        <v>19</v>
      </c>
      <c r="J191">
        <f>IF(I191&lt;$C$174,12*$C$175*(1+$C$176)^I191,0)</f>
      </c>
      <c r="P191">
        <f>IF($C$177&lt;&gt;1,0,P190*(1+((1+$C$182)^(1/12)-1))^12-J190/12*(1+((1+$C$182)^(1/12)-1))*(((1+((1+$C$182)^(1/12)-1))^12-1)/((1+((1+$C$182)^(1/12)-1))-1)))</f>
      </c>
      <c r="Q191">
        <f>IF($C$177&lt;&gt;1,0,IFERROR((((1+($C$182+'Inputs'!$H$112/100))^(1/12)-1)-((1+$C$182)^(1/12)-1))*(P191*(((1+((1+$C$182)^(1/12)-1))^12-1)/((1+((1+$C$182)^(1/12)-1))-1))-J191/12/((1+((1+$C$182)^(1/12)-1))-1)*((1+((1+$C$182)^(1/12)-1))*(((1+((1+$C$182)^(1/12)-1))^12-1)/((1+((1+$C$182)^(1/12)-1))-1))-12)),0))</f>
      </c>
    </row>
    <row r="192" spans="9:17" x14ac:dyDescent="0.25">
      <c r="I192">
        <v>20</v>
      </c>
      <c r="J192">
        <f>IF(I192&lt;$C$174,12*$C$175*(1+$C$176)^I192,0)</f>
      </c>
      <c r="P192">
        <f>IF($C$177&lt;&gt;1,0,P191*(1+((1+$C$182)^(1/12)-1))^12-J191/12*(1+((1+$C$182)^(1/12)-1))*(((1+((1+$C$182)^(1/12)-1))^12-1)/((1+((1+$C$182)^(1/12)-1))-1)))</f>
      </c>
      <c r="Q192">
        <f>IF($C$177&lt;&gt;1,0,IFERROR((((1+($C$182+'Inputs'!$H$112/100))^(1/12)-1)-((1+$C$182)^(1/12)-1))*(P192*(((1+((1+$C$182)^(1/12)-1))^12-1)/((1+((1+$C$182)^(1/12)-1))-1))-J192/12/((1+((1+$C$182)^(1/12)-1))-1)*((1+((1+$C$182)^(1/12)-1))*(((1+((1+$C$182)^(1/12)-1))^12-1)/((1+((1+$C$182)^(1/12)-1))-1))-12)),0))</f>
      </c>
    </row>
    <row r="193" spans="9:17" x14ac:dyDescent="0.25">
      <c r="I193">
        <v>21</v>
      </c>
      <c r="J193">
        <f>IF(I193&lt;$C$174,12*$C$175*(1+$C$176)^I193,0)</f>
      </c>
      <c r="P193">
        <f>IF($C$177&lt;&gt;1,0,P192*(1+((1+$C$182)^(1/12)-1))^12-J192/12*(1+((1+$C$182)^(1/12)-1))*(((1+((1+$C$182)^(1/12)-1))^12-1)/((1+((1+$C$182)^(1/12)-1))-1)))</f>
      </c>
      <c r="Q193">
        <f>IF($C$177&lt;&gt;1,0,IFERROR((((1+($C$182+'Inputs'!$H$112/100))^(1/12)-1)-((1+$C$182)^(1/12)-1))*(P193*(((1+((1+$C$182)^(1/12)-1))^12-1)/((1+((1+$C$182)^(1/12)-1))-1))-J193/12/((1+((1+$C$182)^(1/12)-1))-1)*((1+((1+$C$182)^(1/12)-1))*(((1+((1+$C$182)^(1/12)-1))^12-1)/((1+((1+$C$182)^(1/12)-1))-1))-12)),0))</f>
      </c>
    </row>
    <row r="194" spans="9:17" x14ac:dyDescent="0.25">
      <c r="I194">
        <v>22</v>
      </c>
      <c r="J194">
        <f>IF(I194&lt;$C$174,12*$C$175*(1+$C$176)^I194,0)</f>
      </c>
      <c r="P194">
        <f>IF($C$177&lt;&gt;1,0,P193*(1+((1+$C$182)^(1/12)-1))^12-J193/12*(1+((1+$C$182)^(1/12)-1))*(((1+((1+$C$182)^(1/12)-1))^12-1)/((1+((1+$C$182)^(1/12)-1))-1)))</f>
      </c>
      <c r="Q194">
        <f>IF($C$177&lt;&gt;1,0,IFERROR((((1+($C$182+'Inputs'!$H$112/100))^(1/12)-1)-((1+$C$182)^(1/12)-1))*(P194*(((1+((1+$C$182)^(1/12)-1))^12-1)/((1+((1+$C$182)^(1/12)-1))-1))-J194/12/((1+((1+$C$182)^(1/12)-1))-1)*((1+((1+$C$182)^(1/12)-1))*(((1+((1+$C$182)^(1/12)-1))^12-1)/((1+((1+$C$182)^(1/12)-1))-1))-12)),0))</f>
      </c>
    </row>
    <row r="195" spans="9:17" x14ac:dyDescent="0.25">
      <c r="I195">
        <v>23</v>
      </c>
      <c r="J195">
        <f>IF(I195&lt;$C$174,12*$C$175*(1+$C$176)^I195,0)</f>
      </c>
      <c r="P195">
        <f>IF($C$177&lt;&gt;1,0,P194*(1+((1+$C$182)^(1/12)-1))^12-J194/12*(1+((1+$C$182)^(1/12)-1))*(((1+((1+$C$182)^(1/12)-1))^12-1)/((1+((1+$C$182)^(1/12)-1))-1)))</f>
      </c>
      <c r="Q195">
        <f>IF($C$177&lt;&gt;1,0,IFERROR((((1+($C$182+'Inputs'!$H$112/100))^(1/12)-1)-((1+$C$182)^(1/12)-1))*(P195*(((1+((1+$C$182)^(1/12)-1))^12-1)/((1+((1+$C$182)^(1/12)-1))-1))-J195/12/((1+((1+$C$182)^(1/12)-1))-1)*((1+((1+$C$182)^(1/12)-1))*(((1+((1+$C$182)^(1/12)-1))^12-1)/((1+((1+$C$182)^(1/12)-1))-1))-12)),0))</f>
      </c>
    </row>
    <row r="196" spans="9:17" x14ac:dyDescent="0.25">
      <c r="I196">
        <v>24</v>
      </c>
      <c r="J196">
        <f>IF(I196&lt;$C$174,12*$C$175*(1+$C$176)^I196,0)</f>
      </c>
      <c r="P196">
        <f>IF($C$177&lt;&gt;1,0,P195*(1+((1+$C$182)^(1/12)-1))^12-J195/12*(1+((1+$C$182)^(1/12)-1))*(((1+((1+$C$182)^(1/12)-1))^12-1)/((1+((1+$C$182)^(1/12)-1))-1)))</f>
      </c>
      <c r="Q196">
        <f>IF($C$177&lt;&gt;1,0,IFERROR((((1+($C$182+'Inputs'!$H$112/100))^(1/12)-1)-((1+$C$182)^(1/12)-1))*(P196*(((1+((1+$C$182)^(1/12)-1))^12-1)/((1+((1+$C$182)^(1/12)-1))-1))-J196/12/((1+((1+$C$182)^(1/12)-1))-1)*((1+((1+$C$182)^(1/12)-1))*(((1+((1+$C$182)^(1/12)-1))^12-1)/((1+((1+$C$182)^(1/12)-1))-1))-12)),0))</f>
      </c>
    </row>
    <row r="197" spans="9:17" x14ac:dyDescent="0.25">
      <c r="I197">
        <v>25</v>
      </c>
      <c r="J197">
        <f>IF(I197&lt;$C$174,12*$C$175*(1+$C$176)^I197,0)</f>
      </c>
      <c r="P197">
        <f>IF($C$177&lt;&gt;1,0,P196*(1+((1+$C$182)^(1/12)-1))^12-J196/12*(1+((1+$C$182)^(1/12)-1))*(((1+((1+$C$182)^(1/12)-1))^12-1)/((1+((1+$C$182)^(1/12)-1))-1)))</f>
      </c>
      <c r="Q197">
        <f>IF($C$177&lt;&gt;1,0,IFERROR((((1+($C$182+'Inputs'!$H$112/100))^(1/12)-1)-((1+$C$182)^(1/12)-1))*(P197*(((1+((1+$C$182)^(1/12)-1))^12-1)/((1+((1+$C$182)^(1/12)-1))-1))-J197/12/((1+((1+$C$182)^(1/12)-1))-1)*((1+((1+$C$182)^(1/12)-1))*(((1+((1+$C$182)^(1/12)-1))^12-1)/((1+((1+$C$182)^(1/12)-1))-1))-12)),0))</f>
      </c>
    </row>
    <row r="198" spans="9:17" x14ac:dyDescent="0.25">
      <c r="I198">
        <v>26</v>
      </c>
      <c r="J198">
        <f>IF(I198&lt;$C$174,12*$C$175*(1+$C$176)^I198,0)</f>
      </c>
      <c r="P198">
        <f>IF($C$177&lt;&gt;1,0,P197*(1+((1+$C$182)^(1/12)-1))^12-J197/12*(1+((1+$C$182)^(1/12)-1))*(((1+((1+$C$182)^(1/12)-1))^12-1)/((1+((1+$C$182)^(1/12)-1))-1)))</f>
      </c>
      <c r="Q198">
        <f>IF($C$177&lt;&gt;1,0,IFERROR((((1+($C$182+'Inputs'!$H$112/100))^(1/12)-1)-((1+$C$182)^(1/12)-1))*(P198*(((1+((1+$C$182)^(1/12)-1))^12-1)/((1+((1+$C$182)^(1/12)-1))-1))-J198/12/((1+((1+$C$182)^(1/12)-1))-1)*((1+((1+$C$182)^(1/12)-1))*(((1+((1+$C$182)^(1/12)-1))^12-1)/((1+((1+$C$182)^(1/12)-1))-1))-12)),0))</f>
      </c>
    </row>
    <row r="199" spans="9:17" x14ac:dyDescent="0.25">
      <c r="I199">
        <v>27</v>
      </c>
      <c r="J199">
        <f>IF(I199&lt;$C$174,12*$C$175*(1+$C$176)^I199,0)</f>
      </c>
      <c r="P199">
        <f>IF($C$177&lt;&gt;1,0,P198*(1+((1+$C$182)^(1/12)-1))^12-J198/12*(1+((1+$C$182)^(1/12)-1))*(((1+((1+$C$182)^(1/12)-1))^12-1)/((1+((1+$C$182)^(1/12)-1))-1)))</f>
      </c>
      <c r="Q199">
        <f>IF($C$177&lt;&gt;1,0,IFERROR((((1+($C$182+'Inputs'!$H$112/100))^(1/12)-1)-((1+$C$182)^(1/12)-1))*(P199*(((1+((1+$C$182)^(1/12)-1))^12-1)/((1+((1+$C$182)^(1/12)-1))-1))-J199/12/((1+((1+$C$182)^(1/12)-1))-1)*((1+((1+$C$182)^(1/12)-1))*(((1+((1+$C$182)^(1/12)-1))^12-1)/((1+((1+$C$182)^(1/12)-1))-1))-12)),0))</f>
      </c>
    </row>
    <row r="200" spans="9:17" x14ac:dyDescent="0.25">
      <c r="I200">
        <v>28</v>
      </c>
      <c r="J200">
        <f>IF(I200&lt;$C$174,12*$C$175*(1+$C$176)^I200,0)</f>
      </c>
      <c r="P200">
        <f>IF($C$177&lt;&gt;1,0,P199*(1+((1+$C$182)^(1/12)-1))^12-J199/12*(1+((1+$C$182)^(1/12)-1))*(((1+((1+$C$182)^(1/12)-1))^12-1)/((1+((1+$C$182)^(1/12)-1))-1)))</f>
      </c>
      <c r="Q200">
        <f>IF($C$177&lt;&gt;1,0,IFERROR((((1+($C$182+'Inputs'!$H$112/100))^(1/12)-1)-((1+$C$182)^(1/12)-1))*(P200*(((1+((1+$C$182)^(1/12)-1))^12-1)/((1+((1+$C$182)^(1/12)-1))-1))-J200/12/((1+((1+$C$182)^(1/12)-1))-1)*((1+((1+$C$182)^(1/12)-1))*(((1+((1+$C$182)^(1/12)-1))^12-1)/((1+((1+$C$182)^(1/12)-1))-1))-12)),0))</f>
      </c>
    </row>
    <row r="201" spans="9:17" x14ac:dyDescent="0.25">
      <c r="I201">
        <v>29</v>
      </c>
      <c r="J201">
        <f>IF(I201&lt;$C$174,12*$C$175*(1+$C$176)^I201,0)</f>
      </c>
      <c r="P201">
        <f>IF($C$177&lt;&gt;1,0,P200*(1+((1+$C$182)^(1/12)-1))^12-J200/12*(1+((1+$C$182)^(1/12)-1))*(((1+((1+$C$182)^(1/12)-1))^12-1)/((1+((1+$C$182)^(1/12)-1))-1)))</f>
      </c>
      <c r="Q201">
        <f>IF($C$177&lt;&gt;1,0,IFERROR((((1+($C$182+'Inputs'!$H$112/100))^(1/12)-1)-((1+$C$182)^(1/12)-1))*(P201*(((1+((1+$C$182)^(1/12)-1))^12-1)/((1+((1+$C$182)^(1/12)-1))-1))-J201/12/((1+((1+$C$182)^(1/12)-1))-1)*((1+((1+$C$182)^(1/12)-1))*(((1+((1+$C$182)^(1/12)-1))^12-1)/((1+((1+$C$182)^(1/12)-1))-1))-12)),0))</f>
      </c>
    </row>
    <row r="202" spans="9:17" x14ac:dyDescent="0.25">
      <c r="I202">
        <v>30</v>
      </c>
      <c r="J202">
        <f>IF(I202&lt;$C$174,12*$C$175*(1+$C$176)^I202,0)</f>
      </c>
      <c r="P202">
        <f>IF($C$177&lt;&gt;1,0,P201*(1+((1+$C$182)^(1/12)-1))^12-J201/12*(1+((1+$C$182)^(1/12)-1))*(((1+((1+$C$182)^(1/12)-1))^12-1)/((1+((1+$C$182)^(1/12)-1))-1)))</f>
      </c>
      <c r="Q202">
        <f>IF($C$177&lt;&gt;1,0,IFERROR((((1+($C$182+'Inputs'!$H$112/100))^(1/12)-1)-((1+$C$182)^(1/12)-1))*(P202*(((1+((1+$C$182)^(1/12)-1))^12-1)/((1+((1+$C$182)^(1/12)-1))-1))-J202/12/((1+((1+$C$182)^(1/12)-1))-1)*((1+((1+$C$182)^(1/12)-1))*(((1+((1+$C$182)^(1/12)-1))^12-1)/((1+((1+$C$182)^(1/12)-1))-1))-12)),0))</f>
      </c>
    </row>
    <row r="203" spans="9:17" x14ac:dyDescent="0.25">
      <c r="I203">
        <v>31</v>
      </c>
      <c r="J203">
        <f>IF(I203&lt;$C$174,12*$C$175*(1+$C$176)^I203,0)</f>
      </c>
      <c r="P203">
        <f>IF($C$177&lt;&gt;1,0,P202*(1+((1+$C$182)^(1/12)-1))^12-J202/12*(1+((1+$C$182)^(1/12)-1))*(((1+((1+$C$182)^(1/12)-1))^12-1)/((1+((1+$C$182)^(1/12)-1))-1)))</f>
      </c>
      <c r="Q203">
        <f>IF($C$177&lt;&gt;1,0,IFERROR((((1+($C$182+'Inputs'!$H$112/100))^(1/12)-1)-((1+$C$182)^(1/12)-1))*(P203*(((1+((1+$C$182)^(1/12)-1))^12-1)/((1+((1+$C$182)^(1/12)-1))-1))-J203/12/((1+((1+$C$182)^(1/12)-1))-1)*((1+((1+$C$182)^(1/12)-1))*(((1+((1+$C$182)^(1/12)-1))^12-1)/((1+((1+$C$182)^(1/12)-1))-1))-12)),0))</f>
      </c>
    </row>
    <row r="204" spans="9:17" x14ac:dyDescent="0.25">
      <c r="I204">
        <v>32</v>
      </c>
      <c r="J204">
        <f>IF(I204&lt;$C$174,12*$C$175*(1+$C$176)^I204,0)</f>
      </c>
      <c r="P204">
        <f>IF($C$177&lt;&gt;1,0,P203*(1+((1+$C$182)^(1/12)-1))^12-J203/12*(1+((1+$C$182)^(1/12)-1))*(((1+((1+$C$182)^(1/12)-1))^12-1)/((1+((1+$C$182)^(1/12)-1))-1)))</f>
      </c>
      <c r="Q204">
        <f>IF($C$177&lt;&gt;1,0,IFERROR((((1+($C$182+'Inputs'!$H$112/100))^(1/12)-1)-((1+$C$182)^(1/12)-1))*(P204*(((1+((1+$C$182)^(1/12)-1))^12-1)/((1+((1+$C$182)^(1/12)-1))-1))-J204/12/((1+((1+$C$182)^(1/12)-1))-1)*((1+((1+$C$182)^(1/12)-1))*(((1+((1+$C$182)^(1/12)-1))^12-1)/((1+((1+$C$182)^(1/12)-1))-1))-12)),0))</f>
      </c>
    </row>
    <row r="205" spans="9:17" x14ac:dyDescent="0.25">
      <c r="I205">
        <v>33</v>
      </c>
      <c r="J205">
        <f>IF(I205&lt;$C$174,12*$C$175*(1+$C$176)^I205,0)</f>
      </c>
      <c r="P205">
        <f>IF($C$177&lt;&gt;1,0,P204*(1+((1+$C$182)^(1/12)-1))^12-J204/12*(1+((1+$C$182)^(1/12)-1))*(((1+((1+$C$182)^(1/12)-1))^12-1)/((1+((1+$C$182)^(1/12)-1))-1)))</f>
      </c>
      <c r="Q205">
        <f>IF($C$177&lt;&gt;1,0,IFERROR((((1+($C$182+'Inputs'!$H$112/100))^(1/12)-1)-((1+$C$182)^(1/12)-1))*(P205*(((1+((1+$C$182)^(1/12)-1))^12-1)/((1+((1+$C$182)^(1/12)-1))-1))-J205/12/((1+((1+$C$182)^(1/12)-1))-1)*((1+((1+$C$182)^(1/12)-1))*(((1+((1+$C$182)^(1/12)-1))^12-1)/((1+((1+$C$182)^(1/12)-1))-1))-12)),0))</f>
      </c>
    </row>
    <row r="206" spans="9:17" x14ac:dyDescent="0.25">
      <c r="I206">
        <v>34</v>
      </c>
      <c r="J206">
        <f>IF(I206&lt;$C$174,12*$C$175*(1+$C$176)^I206,0)</f>
      </c>
      <c r="P206">
        <f>IF($C$177&lt;&gt;1,0,P205*(1+((1+$C$182)^(1/12)-1))^12-J205/12*(1+((1+$C$182)^(1/12)-1))*(((1+((1+$C$182)^(1/12)-1))^12-1)/((1+((1+$C$182)^(1/12)-1))-1)))</f>
      </c>
      <c r="Q206">
        <f>IF($C$177&lt;&gt;1,0,IFERROR((((1+($C$182+'Inputs'!$H$112/100))^(1/12)-1)-((1+$C$182)^(1/12)-1))*(P206*(((1+((1+$C$182)^(1/12)-1))^12-1)/((1+((1+$C$182)^(1/12)-1))-1))-J206/12/((1+((1+$C$182)^(1/12)-1))-1)*((1+((1+$C$182)^(1/12)-1))*(((1+((1+$C$182)^(1/12)-1))^12-1)/((1+((1+$C$182)^(1/12)-1))-1))-12)),0))</f>
      </c>
    </row>
    <row r="207" spans="9:17" x14ac:dyDescent="0.25">
      <c r="I207">
        <v>35</v>
      </c>
      <c r="J207">
        <f>IF(I207&lt;$C$174,12*$C$175*(1+$C$176)^I207,0)</f>
      </c>
      <c r="P207">
        <f>IF($C$177&lt;&gt;1,0,P206*(1+((1+$C$182)^(1/12)-1))^12-J206/12*(1+((1+$C$182)^(1/12)-1))*(((1+((1+$C$182)^(1/12)-1))^12-1)/((1+((1+$C$182)^(1/12)-1))-1)))</f>
      </c>
      <c r="Q207">
        <f>IF($C$177&lt;&gt;1,0,IFERROR((((1+($C$182+'Inputs'!$H$112/100))^(1/12)-1)-((1+$C$182)^(1/12)-1))*(P207*(((1+((1+$C$182)^(1/12)-1))^12-1)/((1+((1+$C$182)^(1/12)-1))-1))-J207/12/((1+((1+$C$182)^(1/12)-1))-1)*((1+((1+$C$182)^(1/12)-1))*(((1+((1+$C$182)^(1/12)-1))^12-1)/((1+((1+$C$182)^(1/12)-1))-1))-12)),0))</f>
      </c>
    </row>
    <row r="208" spans="9:17" x14ac:dyDescent="0.25">
      <c r="I208">
        <v>36</v>
      </c>
      <c r="J208">
        <f>IF(I208&lt;$C$174,12*$C$175*(1+$C$176)^I208,0)</f>
      </c>
      <c r="P208">
        <f>IF($C$177&lt;&gt;1,0,P207*(1+((1+$C$182)^(1/12)-1))^12-J207/12*(1+((1+$C$182)^(1/12)-1))*(((1+((1+$C$182)^(1/12)-1))^12-1)/((1+((1+$C$182)^(1/12)-1))-1)))</f>
      </c>
      <c r="Q208">
        <f>IF($C$177&lt;&gt;1,0,IFERROR((((1+($C$182+'Inputs'!$H$112/100))^(1/12)-1)-((1+$C$182)^(1/12)-1))*(P208*(((1+((1+$C$182)^(1/12)-1))^12-1)/((1+((1+$C$182)^(1/12)-1))-1))-J208/12/((1+((1+$C$182)^(1/12)-1))-1)*((1+((1+$C$182)^(1/12)-1))*(((1+((1+$C$182)^(1/12)-1))^12-1)/((1+((1+$C$182)^(1/12)-1))-1))-12)),0))</f>
      </c>
    </row>
    <row r="209" spans="9:17" x14ac:dyDescent="0.25">
      <c r="I209">
        <v>37</v>
      </c>
      <c r="J209">
        <f>IF(I209&lt;$C$174,12*$C$175*(1+$C$176)^I209,0)</f>
      </c>
      <c r="P209">
        <f>IF($C$177&lt;&gt;1,0,P208*(1+((1+$C$182)^(1/12)-1))^12-J208/12*(1+((1+$C$182)^(1/12)-1))*(((1+((1+$C$182)^(1/12)-1))^12-1)/((1+((1+$C$182)^(1/12)-1))-1)))</f>
      </c>
      <c r="Q209">
        <f>IF($C$177&lt;&gt;1,0,IFERROR((((1+($C$182+'Inputs'!$H$112/100))^(1/12)-1)-((1+$C$182)^(1/12)-1))*(P209*(((1+((1+$C$182)^(1/12)-1))^12-1)/((1+((1+$C$182)^(1/12)-1))-1))-J209/12/((1+((1+$C$182)^(1/12)-1))-1)*((1+((1+$C$182)^(1/12)-1))*(((1+((1+$C$182)^(1/12)-1))^12-1)/((1+((1+$C$182)^(1/12)-1))-1))-12)),0))</f>
      </c>
    </row>
    <row r="210" spans="9:17" x14ac:dyDescent="0.25">
      <c r="I210">
        <v>38</v>
      </c>
      <c r="J210">
        <f>IF(I210&lt;$C$174,12*$C$175*(1+$C$176)^I210,0)</f>
      </c>
      <c r="P210">
        <f>IF($C$177&lt;&gt;1,0,P209*(1+((1+$C$182)^(1/12)-1))^12-J209/12*(1+((1+$C$182)^(1/12)-1))*(((1+((1+$C$182)^(1/12)-1))^12-1)/((1+((1+$C$182)^(1/12)-1))-1)))</f>
      </c>
      <c r="Q210">
        <f>IF($C$177&lt;&gt;1,0,IFERROR((((1+($C$182+'Inputs'!$H$112/100))^(1/12)-1)-((1+$C$182)^(1/12)-1))*(P210*(((1+((1+$C$182)^(1/12)-1))^12-1)/((1+((1+$C$182)^(1/12)-1))-1))-J210/12/((1+((1+$C$182)^(1/12)-1))-1)*((1+((1+$C$182)^(1/12)-1))*(((1+((1+$C$182)^(1/12)-1))^12-1)/((1+((1+$C$182)^(1/12)-1))-1))-12)),0))</f>
      </c>
    </row>
    <row r="211" spans="9:17" x14ac:dyDescent="0.25">
      <c r="I211">
        <v>39</v>
      </c>
      <c r="J211">
        <f>IF(I211&lt;$C$174,12*$C$175*(1+$C$176)^I211,0)</f>
      </c>
      <c r="P211">
        <f>IF($C$177&lt;&gt;1,0,P210*(1+((1+$C$182)^(1/12)-1))^12-J210/12*(1+((1+$C$182)^(1/12)-1))*(((1+((1+$C$182)^(1/12)-1))^12-1)/((1+((1+$C$182)^(1/12)-1))-1)))</f>
      </c>
      <c r="Q211">
        <f>IF($C$177&lt;&gt;1,0,IFERROR((((1+($C$182+'Inputs'!$H$112/100))^(1/12)-1)-((1+$C$182)^(1/12)-1))*(P211*(((1+((1+$C$182)^(1/12)-1))^12-1)/((1+((1+$C$182)^(1/12)-1))-1))-J211/12/((1+((1+$C$182)^(1/12)-1))-1)*((1+((1+$C$182)^(1/12)-1))*(((1+((1+$C$182)^(1/12)-1))^12-1)/((1+((1+$C$182)^(1/12)-1))-1))-12)),0))</f>
      </c>
    </row>
    <row r="212" spans="9:17" x14ac:dyDescent="0.25">
      <c r="I212">
        <v>40</v>
      </c>
      <c r="J212">
        <f>IF(I212&lt;$C$174,12*$C$175*(1+$C$176)^I212,0)</f>
      </c>
      <c r="P212">
        <f>IF($C$177&lt;&gt;1,0,P211*(1+((1+$C$182)^(1/12)-1))^12-J211/12*(1+((1+$C$182)^(1/12)-1))*(((1+((1+$C$182)^(1/12)-1))^12-1)/((1+((1+$C$182)^(1/12)-1))-1)))</f>
      </c>
      <c r="Q212">
        <f>IF($C$177&lt;&gt;1,0,IFERROR((((1+($C$182+'Inputs'!$H$112/100))^(1/12)-1)-((1+$C$182)^(1/12)-1))*(P212*(((1+((1+$C$182)^(1/12)-1))^12-1)/((1+((1+$C$182)^(1/12)-1))-1))-J212/12/((1+((1+$C$182)^(1/12)-1))-1)*((1+((1+$C$182)^(1/12)-1))*(((1+((1+$C$182)^(1/12)-1))^12-1)/((1+((1+$C$182)^(1/12)-1))-1))-12)),0))</f>
      </c>
    </row>
    <row r="213" spans="9:17" x14ac:dyDescent="0.25">
      <c r="I213">
        <v>41</v>
      </c>
      <c r="J213">
        <f>IF(I213&lt;$C$174,12*$C$175*(1+$C$176)^I213,0)</f>
      </c>
      <c r="P213">
        <f>IF($C$177&lt;&gt;1,0,P212*(1+((1+$C$182)^(1/12)-1))^12-J212/12*(1+((1+$C$182)^(1/12)-1))*(((1+((1+$C$182)^(1/12)-1))^12-1)/((1+((1+$C$182)^(1/12)-1))-1)))</f>
      </c>
      <c r="Q213">
        <f>IF($C$177&lt;&gt;1,0,IFERROR((((1+($C$182+'Inputs'!$H$112/100))^(1/12)-1)-((1+$C$182)^(1/12)-1))*(P213*(((1+((1+$C$182)^(1/12)-1))^12-1)/((1+((1+$C$182)^(1/12)-1))-1))-J213/12/((1+((1+$C$182)^(1/12)-1))-1)*((1+((1+$C$182)^(1/12)-1))*(((1+((1+$C$182)^(1/12)-1))^12-1)/((1+((1+$C$182)^(1/12)-1))-1))-12)),0))</f>
      </c>
    </row>
    <row r="214" spans="9:17" x14ac:dyDescent="0.25">
      <c r="I214">
        <v>42</v>
      </c>
      <c r="J214">
        <f>IF(I214&lt;$C$174,12*$C$175*(1+$C$176)^I214,0)</f>
      </c>
      <c r="P214">
        <f>IF($C$177&lt;&gt;1,0,P213*(1+((1+$C$182)^(1/12)-1))^12-J213/12*(1+((1+$C$182)^(1/12)-1))*(((1+((1+$C$182)^(1/12)-1))^12-1)/((1+((1+$C$182)^(1/12)-1))-1)))</f>
      </c>
      <c r="Q214">
        <f>IF($C$177&lt;&gt;1,0,IFERROR((((1+($C$182+'Inputs'!$H$112/100))^(1/12)-1)-((1+$C$182)^(1/12)-1))*(P214*(((1+((1+$C$182)^(1/12)-1))^12-1)/((1+((1+$C$182)^(1/12)-1))-1))-J214/12/((1+((1+$C$182)^(1/12)-1))-1)*((1+((1+$C$182)^(1/12)-1))*(((1+((1+$C$182)^(1/12)-1))^12-1)/((1+((1+$C$182)^(1/12)-1))-1))-12)),0))</f>
      </c>
    </row>
    <row r="215" spans="9:17" x14ac:dyDescent="0.25">
      <c r="I215">
        <v>43</v>
      </c>
      <c r="J215">
        <f>IF(I215&lt;$C$174,12*$C$175*(1+$C$176)^I215,0)</f>
      </c>
      <c r="P215">
        <f>IF($C$177&lt;&gt;1,0,P214*(1+((1+$C$182)^(1/12)-1))^12-J214/12*(1+((1+$C$182)^(1/12)-1))*(((1+((1+$C$182)^(1/12)-1))^12-1)/((1+((1+$C$182)^(1/12)-1))-1)))</f>
      </c>
      <c r="Q215">
        <f>IF($C$177&lt;&gt;1,0,IFERROR((((1+($C$182+'Inputs'!$H$112/100))^(1/12)-1)-((1+$C$182)^(1/12)-1))*(P215*(((1+((1+$C$182)^(1/12)-1))^12-1)/((1+((1+$C$182)^(1/12)-1))-1))-J215/12/((1+((1+$C$182)^(1/12)-1))-1)*((1+((1+$C$182)^(1/12)-1))*(((1+((1+$C$182)^(1/12)-1))^12-1)/((1+((1+$C$182)^(1/12)-1))-1))-12)),0))</f>
      </c>
    </row>
    <row r="216" spans="9:17" x14ac:dyDescent="0.25">
      <c r="I216">
        <v>44</v>
      </c>
      <c r="J216">
        <f>IF(I216&lt;$C$174,12*$C$175*(1+$C$176)^I216,0)</f>
      </c>
      <c r="P216">
        <f>IF($C$177&lt;&gt;1,0,P215*(1+((1+$C$182)^(1/12)-1))^12-J215/12*(1+((1+$C$182)^(1/12)-1))*(((1+((1+$C$182)^(1/12)-1))^12-1)/((1+((1+$C$182)^(1/12)-1))-1)))</f>
      </c>
      <c r="Q216">
        <f>IF($C$177&lt;&gt;1,0,IFERROR((((1+($C$182+'Inputs'!$H$112/100))^(1/12)-1)-((1+$C$182)^(1/12)-1))*(P216*(((1+((1+$C$182)^(1/12)-1))^12-1)/((1+((1+$C$182)^(1/12)-1))-1))-J216/12/((1+((1+$C$182)^(1/12)-1))-1)*((1+((1+$C$182)^(1/12)-1))*(((1+((1+$C$182)^(1/12)-1))^12-1)/((1+((1+$C$182)^(1/12)-1))-1))-12)),0))</f>
      </c>
    </row>
    <row r="217" spans="9:17" x14ac:dyDescent="0.25">
      <c r="I217">
        <v>45</v>
      </c>
      <c r="J217">
        <f>IF(I217&lt;$C$174,12*$C$175*(1+$C$176)^I217,0)</f>
      </c>
      <c r="P217">
        <f>IF($C$177&lt;&gt;1,0,P216*(1+((1+$C$182)^(1/12)-1))^12-J216/12*(1+((1+$C$182)^(1/12)-1))*(((1+((1+$C$182)^(1/12)-1))^12-1)/((1+((1+$C$182)^(1/12)-1))-1)))</f>
      </c>
      <c r="Q217">
        <f>IF($C$177&lt;&gt;1,0,IFERROR((((1+($C$182+'Inputs'!$H$112/100))^(1/12)-1)-((1+$C$182)^(1/12)-1))*(P217*(((1+((1+$C$182)^(1/12)-1))^12-1)/((1+((1+$C$182)^(1/12)-1))-1))-J217/12/((1+((1+$C$182)^(1/12)-1))-1)*((1+((1+$C$182)^(1/12)-1))*(((1+((1+$C$182)^(1/12)-1))^12-1)/((1+((1+$C$182)^(1/12)-1))-1))-12)),0))</f>
      </c>
    </row>
    <row r="218" spans="9:17" x14ac:dyDescent="0.25">
      <c r="I218">
        <v>46</v>
      </c>
      <c r="J218">
        <f>IF(I218&lt;$C$174,12*$C$175*(1+$C$176)^I218,0)</f>
      </c>
      <c r="P218">
        <f>IF($C$177&lt;&gt;1,0,P217*(1+((1+$C$182)^(1/12)-1))^12-J217/12*(1+((1+$C$182)^(1/12)-1))*(((1+((1+$C$182)^(1/12)-1))^12-1)/((1+((1+$C$182)^(1/12)-1))-1)))</f>
      </c>
      <c r="Q218">
        <f>IF($C$177&lt;&gt;1,0,IFERROR((((1+($C$182+'Inputs'!$H$112/100))^(1/12)-1)-((1+$C$182)^(1/12)-1))*(P218*(((1+((1+$C$182)^(1/12)-1))^12-1)/((1+((1+$C$182)^(1/12)-1))-1))-J218/12/((1+((1+$C$182)^(1/12)-1))-1)*((1+((1+$C$182)^(1/12)-1))*(((1+((1+$C$182)^(1/12)-1))^12-1)/((1+((1+$C$182)^(1/12)-1))-1))-12)),0))</f>
      </c>
    </row>
    <row r="219" spans="9:17" x14ac:dyDescent="0.25">
      <c r="I219">
        <v>47</v>
      </c>
      <c r="J219">
        <f>IF(I219&lt;$C$174,12*$C$175*(1+$C$176)^I219,0)</f>
      </c>
      <c r="P219">
        <f>IF($C$177&lt;&gt;1,0,P218*(1+((1+$C$182)^(1/12)-1))^12-J218/12*(1+((1+$C$182)^(1/12)-1))*(((1+((1+$C$182)^(1/12)-1))^12-1)/((1+((1+$C$182)^(1/12)-1))-1)))</f>
      </c>
      <c r="Q219">
        <f>IF($C$177&lt;&gt;1,0,IFERROR((((1+($C$182+'Inputs'!$H$112/100))^(1/12)-1)-((1+$C$182)^(1/12)-1))*(P219*(((1+((1+$C$182)^(1/12)-1))^12-1)/((1+((1+$C$182)^(1/12)-1))-1))-J219/12/((1+((1+$C$182)^(1/12)-1))-1)*((1+((1+$C$182)^(1/12)-1))*(((1+((1+$C$182)^(1/12)-1))^12-1)/((1+((1+$C$182)^(1/12)-1))-1))-12)),0))</f>
      </c>
    </row>
    <row r="220" spans="9:17" x14ac:dyDescent="0.25">
      <c r="I220">
        <v>48</v>
      </c>
      <c r="J220">
        <f>IF(I220&lt;$C$174,12*$C$175*(1+$C$176)^I220,0)</f>
      </c>
      <c r="P220">
        <f>IF($C$177&lt;&gt;1,0,P219*(1+((1+$C$182)^(1/12)-1))^12-J219/12*(1+((1+$C$182)^(1/12)-1))*(((1+((1+$C$182)^(1/12)-1))^12-1)/((1+((1+$C$182)^(1/12)-1))-1)))</f>
      </c>
      <c r="Q220">
        <f>IF($C$177&lt;&gt;1,0,IFERROR((((1+($C$182+'Inputs'!$H$112/100))^(1/12)-1)-((1+$C$182)^(1/12)-1))*(P220*(((1+((1+$C$182)^(1/12)-1))^12-1)/((1+((1+$C$182)^(1/12)-1))-1))-J220/12/((1+((1+$C$182)^(1/12)-1))-1)*((1+((1+$C$182)^(1/12)-1))*(((1+((1+$C$182)^(1/12)-1))^12-1)/((1+((1+$C$182)^(1/12)-1))-1))-12)),0))</f>
      </c>
    </row>
    <row r="221" spans="9:17" x14ac:dyDescent="0.25">
      <c r="I221">
        <v>49</v>
      </c>
      <c r="J221">
        <f>IF(I221&lt;$C$174,12*$C$175*(1+$C$176)^I221,0)</f>
      </c>
      <c r="P221">
        <f>IF($C$177&lt;&gt;1,0,P220*(1+((1+$C$182)^(1/12)-1))^12-J220/12*(1+((1+$C$182)^(1/12)-1))*(((1+((1+$C$182)^(1/12)-1))^12-1)/((1+((1+$C$182)^(1/12)-1))-1)))</f>
      </c>
      <c r="Q221">
        <f>IF($C$177&lt;&gt;1,0,IFERROR((((1+($C$182+'Inputs'!$H$112/100))^(1/12)-1)-((1+$C$182)^(1/12)-1))*(P221*(((1+((1+$C$182)^(1/12)-1))^12-1)/((1+((1+$C$182)^(1/12)-1))-1))-J221/12/((1+((1+$C$182)^(1/12)-1))-1)*((1+((1+$C$182)^(1/12)-1))*(((1+((1+$C$182)^(1/12)-1))^12-1)/((1+((1+$C$182)^(1/12)-1))-1))-12)),0))</f>
      </c>
    </row>
    <row r="226" spans="2:3" x14ac:dyDescent="0.25">
      <c r="B226" t="s">
        <v>108</v>
      </c>
      <c r="C226">
        <f>IF('Inputs'!$B$93="","",'Inputs'!$B$93)</f>
      </c>
    </row>
    <row r="227" spans="2:17" x14ac:dyDescent="0.25">
      <c r="B227" t="s">
        <v>110</v>
      </c>
      <c r="C227">
        <f>N('Inputs'!$D$93)</f>
      </c>
      <c r="I227" t="s">
        <v>382</v>
      </c>
      <c r="J227" t="s">
        <v>383</v>
      </c>
      <c r="P227" t="s">
        <v>384</v>
      </c>
      <c r="Q227" t="s">
        <v>385</v>
      </c>
    </row>
    <row r="228" spans="2:17" x14ac:dyDescent="0.25">
      <c r="B228" t="s">
        <v>386</v>
      </c>
      <c r="C228">
        <f>IF($C$227&gt;=75,'Inputs'!$H$120,IF($C$227&gt;=65,'Inputs'!$H$119,'Inputs'!$H$113))</f>
      </c>
      <c r="I228">
        <v>0</v>
      </c>
      <c r="J228">
        <f>IF(I228&lt;$C$230,12*$C$231*(1+$C$232)^I228,0)</f>
      </c>
      <c r="P228">
        <f>IF($C$233&lt;&gt;1,0,IF($C$238=0,SUM($J$228:$J$277),(1-(1+$C$238)^-1)/(1-(1+$C$238)^(-1/12))/12*SUMPRODUCT($J$228:$J$277,(1+$C$238)^(-$I$228:$I$277))))</f>
      </c>
      <c r="Q228">
        <f>IF($C$233&lt;&gt;1,0,IFERROR((((1+($C$238+'Inputs'!$H$112/100))^(1/12)-1)-((1+$C$238)^(1/12)-1))*(P228*(((1+((1+$C$238)^(1/12)-1))^12-1)/((1+((1+$C$238)^(1/12)-1))-1))-J228/12/((1+((1+$C$238)^(1/12)-1))-1)*((1+((1+$C$238)^(1/12)-1))*(((1+((1+$C$238)^(1/12)-1))^12-1)/((1+((1+$C$238)^(1/12)-1))-1))-12)),0))</f>
      </c>
    </row>
    <row r="229" spans="2:17" x14ac:dyDescent="0.25">
      <c r="B229" t="s">
        <v>387</v>
      </c>
      <c r="C229">
        <f>N('Inputs'!$I$93)</f>
      </c>
      <c r="I229">
        <v>1</v>
      </c>
      <c r="J229">
        <f>IF(I229&lt;$C$230,12*$C$231*(1+$C$232)^I229,0)</f>
      </c>
      <c r="P229">
        <f>IF($C$233&lt;&gt;1,0,P228*(1+((1+$C$238)^(1/12)-1))^12-J228/12*(1+((1+$C$238)^(1/12)-1))*(((1+((1+$C$238)^(1/12)-1))^12-1)/((1+((1+$C$238)^(1/12)-1))-1)))</f>
      </c>
      <c r="Q229">
        <f>IF($C$233&lt;&gt;1,0,IFERROR((((1+($C$238+'Inputs'!$H$112/100))^(1/12)-1)-((1+$C$238)^(1/12)-1))*(P229*(((1+((1+$C$238)^(1/12)-1))^12-1)/((1+((1+$C$238)^(1/12)-1))-1))-J229/12/((1+((1+$C$238)^(1/12)-1))-1)*((1+((1+$C$238)^(1/12)-1))*(((1+((1+$C$238)^(1/12)-1))^12-1)/((1+((1+$C$238)^(1/12)-1))-1))-12)),0))</f>
      </c>
    </row>
    <row r="230" spans="2:17" x14ac:dyDescent="0.25">
      <c r="B230" t="s">
        <v>388</v>
      </c>
      <c r="C230">
        <f>IF($C$226="",0,N('Inputs'!$F$93))</f>
      </c>
      <c r="I230">
        <v>2</v>
      </c>
      <c r="J230">
        <f>IF(I230&lt;$C$230,12*$C$231*(1+$C$232)^I230,0)</f>
      </c>
      <c r="P230">
        <f>IF($C$233&lt;&gt;1,0,P229*(1+((1+$C$238)^(1/12)-1))^12-J229/12*(1+((1+$C$238)^(1/12)-1))*(((1+((1+$C$238)^(1/12)-1))^12-1)/((1+((1+$C$238)^(1/12)-1))-1)))</f>
      </c>
      <c r="Q230">
        <f>IF($C$233&lt;&gt;1,0,IFERROR((((1+($C$238+'Inputs'!$H$112/100))^(1/12)-1)-((1+$C$238)^(1/12)-1))*(P230*(((1+((1+$C$238)^(1/12)-1))^12-1)/((1+((1+$C$238)^(1/12)-1))-1))-J230/12/((1+((1+$C$238)^(1/12)-1))-1)*((1+((1+$C$238)^(1/12)-1))*(((1+((1+$C$238)^(1/12)-1))^12-1)/((1+((1+$C$238)^(1/12)-1))-1))-12)),0))</f>
      </c>
    </row>
    <row r="231" spans="2:17" x14ac:dyDescent="0.25">
      <c r="B231" t="s">
        <v>389</v>
      </c>
      <c r="C231">
        <f>N('Inputs'!$E$93)</f>
      </c>
      <c r="I231">
        <v>3</v>
      </c>
      <c r="J231">
        <f>IF(I231&lt;$C$230,12*$C$231*(1+$C$232)^I231,0)</f>
      </c>
      <c r="P231">
        <f>IF($C$233&lt;&gt;1,0,P230*(1+((1+$C$238)^(1/12)-1))^12-J230/12*(1+((1+$C$238)^(1/12)-1))*(((1+((1+$C$238)^(1/12)-1))^12-1)/((1+((1+$C$238)^(1/12)-1))-1)))</f>
      </c>
      <c r="Q231">
        <f>IF($C$233&lt;&gt;1,0,IFERROR((((1+($C$238+'Inputs'!$H$112/100))^(1/12)-1)-((1+$C$238)^(1/12)-1))*(P231*(((1+((1+$C$238)^(1/12)-1))^12-1)/((1+((1+$C$238)^(1/12)-1))-1))-J231/12/((1+((1+$C$238)^(1/12)-1))-1)*((1+((1+$C$238)^(1/12)-1))*(((1+((1+$C$238)^(1/12)-1))^12-1)/((1+((1+$C$238)^(1/12)-1))-1))-12)),0))</f>
      </c>
    </row>
    <row r="232" spans="2:17" x14ac:dyDescent="0.25">
      <c r="B232" t="s">
        <v>390</v>
      </c>
      <c r="C232">
        <f>IF('Inputs'!$G$93="",'Inputs'!$H$118/100,'Inputs'!$G$93/100)</f>
      </c>
      <c r="I232">
        <v>4</v>
      </c>
      <c r="J232">
        <f>IF(I232&lt;$C$230,12*$C$231*(1+$C$232)^I232,0)</f>
      </c>
      <c r="P232">
        <f>IF($C$233&lt;&gt;1,0,P231*(1+((1+$C$238)^(1/12)-1))^12-J231/12*(1+((1+$C$238)^(1/12)-1))*(((1+((1+$C$238)^(1/12)-1))^12-1)/((1+((1+$C$238)^(1/12)-1))-1)))</f>
      </c>
      <c r="Q232">
        <f>IF($C$233&lt;&gt;1,0,IFERROR((((1+($C$238+'Inputs'!$H$112/100))^(1/12)-1)-((1+$C$238)^(1/12)-1))*(P232*(((1+((1+$C$238)^(1/12)-1))^12-1)/((1+((1+$C$238)^(1/12)-1))-1))-J232/12/((1+((1+$C$238)^(1/12)-1))-1)*((1+((1+$C$238)^(1/12)-1))*(((1+((1+$C$238)^(1/12)-1))^12-1)/((1+((1+$C$238)^(1/12)-1))-1))-12)),0))</f>
      </c>
    </row>
    <row r="233" spans="2:17" x14ac:dyDescent="0.25">
      <c r="B233" t="s">
        <v>391</v>
      </c>
      <c r="C233">
        <f>IF('Inputs'!$H$93="Yes",1,0)</f>
      </c>
      <c r="I233">
        <v>5</v>
      </c>
      <c r="J233">
        <f>IF(I233&lt;$C$230,12*$C$231*(1+$C$232)^I233,0)</f>
      </c>
      <c r="P233">
        <f>IF($C$233&lt;&gt;1,0,P232*(1+((1+$C$238)^(1/12)-1))^12-J232/12*(1+((1+$C$238)^(1/12)-1))*(((1+((1+$C$238)^(1/12)-1))^12-1)/((1+((1+$C$238)^(1/12)-1))-1)))</f>
      </c>
      <c r="Q233">
        <f>IF($C$233&lt;&gt;1,0,IFERROR((((1+($C$238+'Inputs'!$H$112/100))^(1/12)-1)-((1+$C$238)^(1/12)-1))*(P233*(((1+((1+$C$238)^(1/12)-1))^12-1)/((1+((1+$C$238)^(1/12)-1))-1))-J233/12/((1+((1+$C$238)^(1/12)-1))-1)*((1+((1+$C$238)^(1/12)-1))*(((1+((1+$C$238)^(1/12)-1))^12-1)/((1+((1+$C$238)^(1/12)-1))-1))-12)),0))</f>
      </c>
    </row>
    <row r="234" spans="2:17" x14ac:dyDescent="0.25">
      <c r="B234" t="s">
        <v>392</v>
      </c>
      <c r="C234">
        <f>IF($C$226="",0,N('Inputs'!$J$93))</f>
      </c>
      <c r="I234">
        <v>6</v>
      </c>
      <c r="J234">
        <f>IF(I234&lt;$C$230,12*$C$231*(1+$C$232)^I234,0)</f>
      </c>
      <c r="P234">
        <f>IF($C$233&lt;&gt;1,0,P233*(1+((1+$C$238)^(1/12)-1))^12-J233/12*(1+((1+$C$238)^(1/12)-1))*(((1+((1+$C$238)^(1/12)-1))^12-1)/((1+((1+$C$238)^(1/12)-1))-1)))</f>
      </c>
      <c r="Q234">
        <f>IF($C$233&lt;&gt;1,0,IFERROR((((1+($C$238+'Inputs'!$H$112/100))^(1/12)-1)-((1+$C$238)^(1/12)-1))*(P234*(((1+((1+$C$238)^(1/12)-1))^12-1)/((1+((1+$C$238)^(1/12)-1))-1))-J234/12/((1+((1+$C$238)^(1/12)-1))-1)*((1+((1+$C$238)^(1/12)-1))*(((1+((1+$C$238)^(1/12)-1))^12-1)/((1+((1+$C$238)^(1/12)-1))-1))-12)),0))</f>
      </c>
    </row>
    <row r="235" spans="2:17" x14ac:dyDescent="0.25">
      <c r="B235" t="s">
        <v>393</v>
      </c>
      <c r="C235">
        <f>ROUND(Q228,2)</f>
      </c>
      <c r="I235">
        <v>7</v>
      </c>
      <c r="J235">
        <f>IF(I235&lt;$C$230,12*$C$231*(1+$C$232)^I235,0)</f>
      </c>
      <c r="P235">
        <f>IF($C$233&lt;&gt;1,0,P234*(1+((1+$C$238)^(1/12)-1))^12-J234/12*(1+((1+$C$238)^(1/12)-1))*(((1+((1+$C$238)^(1/12)-1))^12-1)/((1+((1+$C$238)^(1/12)-1))-1)))</f>
      </c>
      <c r="Q235">
        <f>IF($C$233&lt;&gt;1,0,IFERROR((((1+($C$238+'Inputs'!$H$112/100))^(1/12)-1)-((1+$C$238)^(1/12)-1))*(P235*(((1+((1+$C$238)^(1/12)-1))^12-1)/((1+((1+$C$238)^(1/12)-1))-1))-J235/12/((1+((1+$C$238)^(1/12)-1))-1)*((1+((1+$C$238)^(1/12)-1))*(((1+((1+$C$238)^(1/12)-1))^12-1)/((1+((1+$C$238)^(1/12)-1))-1))-12)),0))</f>
      </c>
    </row>
    <row r="236" spans="2:17" x14ac:dyDescent="0.25">
      <c r="B236" t="s">
        <v>394</v>
      </c>
      <c r="C236">
        <f>ROUND(SUM($Q$228:$Q$277),2)</f>
      </c>
      <c r="I236">
        <v>8</v>
      </c>
      <c r="J236">
        <f>IF(I236&lt;$C$230,12*$C$231*(1+$C$232)^I236,0)</f>
      </c>
      <c r="P236">
        <f>IF($C$233&lt;&gt;1,0,P235*(1+((1+$C$238)^(1/12)-1))^12-J235/12*(1+((1+$C$238)^(1/12)-1))*(((1+((1+$C$238)^(1/12)-1))^12-1)/((1+((1+$C$238)^(1/12)-1))-1)))</f>
      </c>
      <c r="Q236">
        <f>IF($C$233&lt;&gt;1,0,IFERROR((((1+($C$238+'Inputs'!$H$112/100))^(1/12)-1)-((1+$C$238)^(1/12)-1))*(P236*(((1+((1+$C$238)^(1/12)-1))^12-1)/((1+((1+$C$238)^(1/12)-1))-1))-J236/12/((1+((1+$C$238)^(1/12)-1))-1)*((1+((1+$C$238)^(1/12)-1))*(((1+((1+$C$238)^(1/12)-1))^12-1)/((1+((1+$C$238)^(1/12)-1))-1))-12)),0))</f>
      </c>
    </row>
    <row r="237" spans="2:17" x14ac:dyDescent="0.25">
      <c r="B237" t="s">
        <v>395</v>
      </c>
      <c r="C237">
        <f>IF($C$233&lt;&gt;1,0,ROUND(IF($C$238=0,SUM($J$228:$J$277),(1-(1+$C$238)^-1)/(1-(1+$C$238)^(-1/12))/12*SUMPRODUCT($J$228:$J$277,(1+$C$238)^(-$I$228:$I$277)))-IF(($C$238+'Inputs'!$H$112/100)=0,SUM($J$228:$J$277),(1-(1+($C$238+'Inputs'!$H$112/100))^-1)/(1-(1+($C$238+'Inputs'!$H$112/100))^(-1/12))/12*SUMPRODUCT($J$228:$J$277,(1+($C$238+'Inputs'!$H$112/100))^(-$I$228:$I$277))),2))</f>
      </c>
      <c r="I237">
        <v>9</v>
      </c>
      <c r="J237">
        <f>IF(I237&lt;$C$230,12*$C$231*(1+$C$232)^I237,0)</f>
      </c>
      <c r="P237">
        <f>IF($C$233&lt;&gt;1,0,P236*(1+((1+$C$238)^(1/12)-1))^12-J236/12*(1+((1+$C$238)^(1/12)-1))*(((1+((1+$C$238)^(1/12)-1))^12-1)/((1+((1+$C$238)^(1/12)-1))-1)))</f>
      </c>
      <c r="Q237">
        <f>IF($C$233&lt;&gt;1,0,IFERROR((((1+($C$238+'Inputs'!$H$112/100))^(1/12)-1)-((1+$C$238)^(1/12)-1))*(P237*(((1+((1+$C$238)^(1/12)-1))^12-1)/((1+((1+$C$238)^(1/12)-1))-1))-J237/12/((1+((1+$C$238)^(1/12)-1))-1)*((1+((1+$C$238)^(1/12)-1))*(((1+((1+$C$238)^(1/12)-1))^12-1)/((1+((1+$C$238)^(1/12)-1))-1))-12)),0))</f>
      </c>
    </row>
    <row r="238" spans="2:17" x14ac:dyDescent="0.25">
      <c r="B238" t="s">
        <v>396</v>
      </c>
      <c r="C238">
        <f>IF($C$233=1,'Needs calc'!$C$70,0)</f>
      </c>
      <c r="I238">
        <v>10</v>
      </c>
      <c r="J238">
        <f>IF(I238&lt;$C$230,12*$C$231*(1+$C$232)^I238,0)</f>
      </c>
      <c r="P238">
        <f>IF($C$233&lt;&gt;1,0,P237*(1+((1+$C$238)^(1/12)-1))^12-J237/12*(1+((1+$C$238)^(1/12)-1))*(((1+((1+$C$238)^(1/12)-1))^12-1)/((1+((1+$C$238)^(1/12)-1))-1)))</f>
      </c>
      <c r="Q238">
        <f>IF($C$233&lt;&gt;1,0,IFERROR((((1+($C$238+'Inputs'!$H$112/100))^(1/12)-1)-((1+$C$238)^(1/12)-1))*(P238*(((1+((1+$C$238)^(1/12)-1))^12-1)/((1+((1+$C$238)^(1/12)-1))-1))-J238/12/((1+((1+$C$238)^(1/12)-1))-1)*((1+((1+$C$238)^(1/12)-1))*(((1+((1+$C$238)^(1/12)-1))^12-1)/((1+((1+$C$238)^(1/12)-1))-1))-12)),0))</f>
      </c>
    </row>
    <row r="239" spans="9:17" x14ac:dyDescent="0.25">
      <c r="I239">
        <v>11</v>
      </c>
      <c r="J239">
        <f>IF(I239&lt;$C$230,12*$C$231*(1+$C$232)^I239,0)</f>
      </c>
      <c r="P239">
        <f>IF($C$233&lt;&gt;1,0,P238*(1+((1+$C$238)^(1/12)-1))^12-J238/12*(1+((1+$C$238)^(1/12)-1))*(((1+((1+$C$238)^(1/12)-1))^12-1)/((1+((1+$C$238)^(1/12)-1))-1)))</f>
      </c>
      <c r="Q239">
        <f>IF($C$233&lt;&gt;1,0,IFERROR((((1+($C$238+'Inputs'!$H$112/100))^(1/12)-1)-((1+$C$238)^(1/12)-1))*(P239*(((1+((1+$C$238)^(1/12)-1))^12-1)/((1+((1+$C$238)^(1/12)-1))-1))-J239/12/((1+((1+$C$238)^(1/12)-1))-1)*((1+((1+$C$238)^(1/12)-1))*(((1+((1+$C$238)^(1/12)-1))^12-1)/((1+((1+$C$238)^(1/12)-1))-1))-12)),0))</f>
      </c>
    </row>
    <row r="240" spans="9:17" x14ac:dyDescent="0.25">
      <c r="I240">
        <v>12</v>
      </c>
      <c r="J240">
        <f>IF(I240&lt;$C$230,12*$C$231*(1+$C$232)^I240,0)</f>
      </c>
      <c r="P240">
        <f>IF($C$233&lt;&gt;1,0,P239*(1+((1+$C$238)^(1/12)-1))^12-J239/12*(1+((1+$C$238)^(1/12)-1))*(((1+((1+$C$238)^(1/12)-1))^12-1)/((1+((1+$C$238)^(1/12)-1))-1)))</f>
      </c>
      <c r="Q240">
        <f>IF($C$233&lt;&gt;1,0,IFERROR((((1+($C$238+'Inputs'!$H$112/100))^(1/12)-1)-((1+$C$238)^(1/12)-1))*(P240*(((1+((1+$C$238)^(1/12)-1))^12-1)/((1+((1+$C$238)^(1/12)-1))-1))-J240/12/((1+((1+$C$238)^(1/12)-1))-1)*((1+((1+$C$238)^(1/12)-1))*(((1+((1+$C$238)^(1/12)-1))^12-1)/((1+((1+$C$238)^(1/12)-1))-1))-12)),0))</f>
      </c>
    </row>
    <row r="241" spans="9:17" x14ac:dyDescent="0.25">
      <c r="I241">
        <v>13</v>
      </c>
      <c r="J241">
        <f>IF(I241&lt;$C$230,12*$C$231*(1+$C$232)^I241,0)</f>
      </c>
      <c r="P241">
        <f>IF($C$233&lt;&gt;1,0,P240*(1+((1+$C$238)^(1/12)-1))^12-J240/12*(1+((1+$C$238)^(1/12)-1))*(((1+((1+$C$238)^(1/12)-1))^12-1)/((1+((1+$C$238)^(1/12)-1))-1)))</f>
      </c>
      <c r="Q241">
        <f>IF($C$233&lt;&gt;1,0,IFERROR((((1+($C$238+'Inputs'!$H$112/100))^(1/12)-1)-((1+$C$238)^(1/12)-1))*(P241*(((1+((1+$C$238)^(1/12)-1))^12-1)/((1+((1+$C$238)^(1/12)-1))-1))-J241/12/((1+((1+$C$238)^(1/12)-1))-1)*((1+((1+$C$238)^(1/12)-1))*(((1+((1+$C$238)^(1/12)-1))^12-1)/((1+((1+$C$238)^(1/12)-1))-1))-12)),0))</f>
      </c>
    </row>
    <row r="242" spans="9:17" x14ac:dyDescent="0.25">
      <c r="I242">
        <v>14</v>
      </c>
      <c r="J242">
        <f>IF(I242&lt;$C$230,12*$C$231*(1+$C$232)^I242,0)</f>
      </c>
      <c r="P242">
        <f>IF($C$233&lt;&gt;1,0,P241*(1+((1+$C$238)^(1/12)-1))^12-J241/12*(1+((1+$C$238)^(1/12)-1))*(((1+((1+$C$238)^(1/12)-1))^12-1)/((1+((1+$C$238)^(1/12)-1))-1)))</f>
      </c>
      <c r="Q242">
        <f>IF($C$233&lt;&gt;1,0,IFERROR((((1+($C$238+'Inputs'!$H$112/100))^(1/12)-1)-((1+$C$238)^(1/12)-1))*(P242*(((1+((1+$C$238)^(1/12)-1))^12-1)/((1+((1+$C$238)^(1/12)-1))-1))-J242/12/((1+((1+$C$238)^(1/12)-1))-1)*((1+((1+$C$238)^(1/12)-1))*(((1+((1+$C$238)^(1/12)-1))^12-1)/((1+((1+$C$238)^(1/12)-1))-1))-12)),0))</f>
      </c>
    </row>
    <row r="243" spans="9:17" x14ac:dyDescent="0.25">
      <c r="I243">
        <v>15</v>
      </c>
      <c r="J243">
        <f>IF(I243&lt;$C$230,12*$C$231*(1+$C$232)^I243,0)</f>
      </c>
      <c r="P243">
        <f>IF($C$233&lt;&gt;1,0,P242*(1+((1+$C$238)^(1/12)-1))^12-J242/12*(1+((1+$C$238)^(1/12)-1))*(((1+((1+$C$238)^(1/12)-1))^12-1)/((1+((1+$C$238)^(1/12)-1))-1)))</f>
      </c>
      <c r="Q243">
        <f>IF($C$233&lt;&gt;1,0,IFERROR((((1+($C$238+'Inputs'!$H$112/100))^(1/12)-1)-((1+$C$238)^(1/12)-1))*(P243*(((1+((1+$C$238)^(1/12)-1))^12-1)/((1+((1+$C$238)^(1/12)-1))-1))-J243/12/((1+((1+$C$238)^(1/12)-1))-1)*((1+((1+$C$238)^(1/12)-1))*(((1+((1+$C$238)^(1/12)-1))^12-1)/((1+((1+$C$238)^(1/12)-1))-1))-12)),0))</f>
      </c>
    </row>
    <row r="244" spans="9:17" x14ac:dyDescent="0.25">
      <c r="I244">
        <v>16</v>
      </c>
      <c r="J244">
        <f>IF(I244&lt;$C$230,12*$C$231*(1+$C$232)^I244,0)</f>
      </c>
      <c r="P244">
        <f>IF($C$233&lt;&gt;1,0,P243*(1+((1+$C$238)^(1/12)-1))^12-J243/12*(1+((1+$C$238)^(1/12)-1))*(((1+((1+$C$238)^(1/12)-1))^12-1)/((1+((1+$C$238)^(1/12)-1))-1)))</f>
      </c>
      <c r="Q244">
        <f>IF($C$233&lt;&gt;1,0,IFERROR((((1+($C$238+'Inputs'!$H$112/100))^(1/12)-1)-((1+$C$238)^(1/12)-1))*(P244*(((1+((1+$C$238)^(1/12)-1))^12-1)/((1+((1+$C$238)^(1/12)-1))-1))-J244/12/((1+((1+$C$238)^(1/12)-1))-1)*((1+((1+$C$238)^(1/12)-1))*(((1+((1+$C$238)^(1/12)-1))^12-1)/((1+((1+$C$238)^(1/12)-1))-1))-12)),0))</f>
      </c>
    </row>
    <row r="245" spans="9:17" x14ac:dyDescent="0.25">
      <c r="I245">
        <v>17</v>
      </c>
      <c r="J245">
        <f>IF(I245&lt;$C$230,12*$C$231*(1+$C$232)^I245,0)</f>
      </c>
      <c r="P245">
        <f>IF($C$233&lt;&gt;1,0,P244*(1+((1+$C$238)^(1/12)-1))^12-J244/12*(1+((1+$C$238)^(1/12)-1))*(((1+((1+$C$238)^(1/12)-1))^12-1)/((1+((1+$C$238)^(1/12)-1))-1)))</f>
      </c>
      <c r="Q245">
        <f>IF($C$233&lt;&gt;1,0,IFERROR((((1+($C$238+'Inputs'!$H$112/100))^(1/12)-1)-((1+$C$238)^(1/12)-1))*(P245*(((1+((1+$C$238)^(1/12)-1))^12-1)/((1+((1+$C$238)^(1/12)-1))-1))-J245/12/((1+((1+$C$238)^(1/12)-1))-1)*((1+((1+$C$238)^(1/12)-1))*(((1+((1+$C$238)^(1/12)-1))^12-1)/((1+((1+$C$238)^(1/12)-1))-1))-12)),0))</f>
      </c>
    </row>
    <row r="246" spans="9:17" x14ac:dyDescent="0.25">
      <c r="I246">
        <v>18</v>
      </c>
      <c r="J246">
        <f>IF(I246&lt;$C$230,12*$C$231*(1+$C$232)^I246,0)</f>
      </c>
      <c r="P246">
        <f>IF($C$233&lt;&gt;1,0,P245*(1+((1+$C$238)^(1/12)-1))^12-J245/12*(1+((1+$C$238)^(1/12)-1))*(((1+((1+$C$238)^(1/12)-1))^12-1)/((1+((1+$C$238)^(1/12)-1))-1)))</f>
      </c>
      <c r="Q246">
        <f>IF($C$233&lt;&gt;1,0,IFERROR((((1+($C$238+'Inputs'!$H$112/100))^(1/12)-1)-((1+$C$238)^(1/12)-1))*(P246*(((1+((1+$C$238)^(1/12)-1))^12-1)/((1+((1+$C$238)^(1/12)-1))-1))-J246/12/((1+((1+$C$238)^(1/12)-1))-1)*((1+((1+$C$238)^(1/12)-1))*(((1+((1+$C$238)^(1/12)-1))^12-1)/((1+((1+$C$238)^(1/12)-1))-1))-12)),0))</f>
      </c>
    </row>
    <row r="247" spans="9:17" x14ac:dyDescent="0.25">
      <c r="I247">
        <v>19</v>
      </c>
      <c r="J247">
        <f>IF(I247&lt;$C$230,12*$C$231*(1+$C$232)^I247,0)</f>
      </c>
      <c r="P247">
        <f>IF($C$233&lt;&gt;1,0,P246*(1+((1+$C$238)^(1/12)-1))^12-J246/12*(1+((1+$C$238)^(1/12)-1))*(((1+((1+$C$238)^(1/12)-1))^12-1)/((1+((1+$C$238)^(1/12)-1))-1)))</f>
      </c>
      <c r="Q247">
        <f>IF($C$233&lt;&gt;1,0,IFERROR((((1+($C$238+'Inputs'!$H$112/100))^(1/12)-1)-((1+$C$238)^(1/12)-1))*(P247*(((1+((1+$C$238)^(1/12)-1))^12-1)/((1+((1+$C$238)^(1/12)-1))-1))-J247/12/((1+((1+$C$238)^(1/12)-1))-1)*((1+((1+$C$238)^(1/12)-1))*(((1+((1+$C$238)^(1/12)-1))^12-1)/((1+((1+$C$238)^(1/12)-1))-1))-12)),0))</f>
      </c>
    </row>
    <row r="248" spans="9:17" x14ac:dyDescent="0.25">
      <c r="I248">
        <v>20</v>
      </c>
      <c r="J248">
        <f>IF(I248&lt;$C$230,12*$C$231*(1+$C$232)^I248,0)</f>
      </c>
      <c r="P248">
        <f>IF($C$233&lt;&gt;1,0,P247*(1+((1+$C$238)^(1/12)-1))^12-J247/12*(1+((1+$C$238)^(1/12)-1))*(((1+((1+$C$238)^(1/12)-1))^12-1)/((1+((1+$C$238)^(1/12)-1))-1)))</f>
      </c>
      <c r="Q248">
        <f>IF($C$233&lt;&gt;1,0,IFERROR((((1+($C$238+'Inputs'!$H$112/100))^(1/12)-1)-((1+$C$238)^(1/12)-1))*(P248*(((1+((1+$C$238)^(1/12)-1))^12-1)/((1+((1+$C$238)^(1/12)-1))-1))-J248/12/((1+((1+$C$238)^(1/12)-1))-1)*((1+((1+$C$238)^(1/12)-1))*(((1+((1+$C$238)^(1/12)-1))^12-1)/((1+((1+$C$238)^(1/12)-1))-1))-12)),0))</f>
      </c>
    </row>
    <row r="249" spans="9:17" x14ac:dyDescent="0.25">
      <c r="I249">
        <v>21</v>
      </c>
      <c r="J249">
        <f>IF(I249&lt;$C$230,12*$C$231*(1+$C$232)^I249,0)</f>
      </c>
      <c r="P249">
        <f>IF($C$233&lt;&gt;1,0,P248*(1+((1+$C$238)^(1/12)-1))^12-J248/12*(1+((1+$C$238)^(1/12)-1))*(((1+((1+$C$238)^(1/12)-1))^12-1)/((1+((1+$C$238)^(1/12)-1))-1)))</f>
      </c>
      <c r="Q249">
        <f>IF($C$233&lt;&gt;1,0,IFERROR((((1+($C$238+'Inputs'!$H$112/100))^(1/12)-1)-((1+$C$238)^(1/12)-1))*(P249*(((1+((1+$C$238)^(1/12)-1))^12-1)/((1+((1+$C$238)^(1/12)-1))-1))-J249/12/((1+((1+$C$238)^(1/12)-1))-1)*((1+((1+$C$238)^(1/12)-1))*(((1+((1+$C$238)^(1/12)-1))^12-1)/((1+((1+$C$238)^(1/12)-1))-1))-12)),0))</f>
      </c>
    </row>
    <row r="250" spans="9:17" x14ac:dyDescent="0.25">
      <c r="I250">
        <v>22</v>
      </c>
      <c r="J250">
        <f>IF(I250&lt;$C$230,12*$C$231*(1+$C$232)^I250,0)</f>
      </c>
      <c r="P250">
        <f>IF($C$233&lt;&gt;1,0,P249*(1+((1+$C$238)^(1/12)-1))^12-J249/12*(1+((1+$C$238)^(1/12)-1))*(((1+((1+$C$238)^(1/12)-1))^12-1)/((1+((1+$C$238)^(1/12)-1))-1)))</f>
      </c>
      <c r="Q250">
        <f>IF($C$233&lt;&gt;1,0,IFERROR((((1+($C$238+'Inputs'!$H$112/100))^(1/12)-1)-((1+$C$238)^(1/12)-1))*(P250*(((1+((1+$C$238)^(1/12)-1))^12-1)/((1+((1+$C$238)^(1/12)-1))-1))-J250/12/((1+((1+$C$238)^(1/12)-1))-1)*((1+((1+$C$238)^(1/12)-1))*(((1+((1+$C$238)^(1/12)-1))^12-1)/((1+((1+$C$238)^(1/12)-1))-1))-12)),0))</f>
      </c>
    </row>
    <row r="251" spans="9:17" x14ac:dyDescent="0.25">
      <c r="I251">
        <v>23</v>
      </c>
      <c r="J251">
        <f>IF(I251&lt;$C$230,12*$C$231*(1+$C$232)^I251,0)</f>
      </c>
      <c r="P251">
        <f>IF($C$233&lt;&gt;1,0,P250*(1+((1+$C$238)^(1/12)-1))^12-J250/12*(1+((1+$C$238)^(1/12)-1))*(((1+((1+$C$238)^(1/12)-1))^12-1)/((1+((1+$C$238)^(1/12)-1))-1)))</f>
      </c>
      <c r="Q251">
        <f>IF($C$233&lt;&gt;1,0,IFERROR((((1+($C$238+'Inputs'!$H$112/100))^(1/12)-1)-((1+$C$238)^(1/12)-1))*(P251*(((1+((1+$C$238)^(1/12)-1))^12-1)/((1+((1+$C$238)^(1/12)-1))-1))-J251/12/((1+((1+$C$238)^(1/12)-1))-1)*((1+((1+$C$238)^(1/12)-1))*(((1+((1+$C$238)^(1/12)-1))^12-1)/((1+((1+$C$238)^(1/12)-1))-1))-12)),0))</f>
      </c>
    </row>
    <row r="252" spans="9:17" x14ac:dyDescent="0.25">
      <c r="I252">
        <v>24</v>
      </c>
      <c r="J252">
        <f>IF(I252&lt;$C$230,12*$C$231*(1+$C$232)^I252,0)</f>
      </c>
      <c r="P252">
        <f>IF($C$233&lt;&gt;1,0,P251*(1+((1+$C$238)^(1/12)-1))^12-J251/12*(1+((1+$C$238)^(1/12)-1))*(((1+((1+$C$238)^(1/12)-1))^12-1)/((1+((1+$C$238)^(1/12)-1))-1)))</f>
      </c>
      <c r="Q252">
        <f>IF($C$233&lt;&gt;1,0,IFERROR((((1+($C$238+'Inputs'!$H$112/100))^(1/12)-1)-((1+$C$238)^(1/12)-1))*(P252*(((1+((1+$C$238)^(1/12)-1))^12-1)/((1+((1+$C$238)^(1/12)-1))-1))-J252/12/((1+((1+$C$238)^(1/12)-1))-1)*((1+((1+$C$238)^(1/12)-1))*(((1+((1+$C$238)^(1/12)-1))^12-1)/((1+((1+$C$238)^(1/12)-1))-1))-12)),0))</f>
      </c>
    </row>
    <row r="253" spans="9:17" x14ac:dyDescent="0.25">
      <c r="I253">
        <v>25</v>
      </c>
      <c r="J253">
        <f>IF(I253&lt;$C$230,12*$C$231*(1+$C$232)^I253,0)</f>
      </c>
      <c r="P253">
        <f>IF($C$233&lt;&gt;1,0,P252*(1+((1+$C$238)^(1/12)-1))^12-J252/12*(1+((1+$C$238)^(1/12)-1))*(((1+((1+$C$238)^(1/12)-1))^12-1)/((1+((1+$C$238)^(1/12)-1))-1)))</f>
      </c>
      <c r="Q253">
        <f>IF($C$233&lt;&gt;1,0,IFERROR((((1+($C$238+'Inputs'!$H$112/100))^(1/12)-1)-((1+$C$238)^(1/12)-1))*(P253*(((1+((1+$C$238)^(1/12)-1))^12-1)/((1+((1+$C$238)^(1/12)-1))-1))-J253/12/((1+((1+$C$238)^(1/12)-1))-1)*((1+((1+$C$238)^(1/12)-1))*(((1+((1+$C$238)^(1/12)-1))^12-1)/((1+((1+$C$238)^(1/12)-1))-1))-12)),0))</f>
      </c>
    </row>
    <row r="254" spans="9:17" x14ac:dyDescent="0.25">
      <c r="I254">
        <v>26</v>
      </c>
      <c r="J254">
        <f>IF(I254&lt;$C$230,12*$C$231*(1+$C$232)^I254,0)</f>
      </c>
      <c r="P254">
        <f>IF($C$233&lt;&gt;1,0,P253*(1+((1+$C$238)^(1/12)-1))^12-J253/12*(1+((1+$C$238)^(1/12)-1))*(((1+((1+$C$238)^(1/12)-1))^12-1)/((1+((1+$C$238)^(1/12)-1))-1)))</f>
      </c>
      <c r="Q254">
        <f>IF($C$233&lt;&gt;1,0,IFERROR((((1+($C$238+'Inputs'!$H$112/100))^(1/12)-1)-((1+$C$238)^(1/12)-1))*(P254*(((1+((1+$C$238)^(1/12)-1))^12-1)/((1+((1+$C$238)^(1/12)-1))-1))-J254/12/((1+((1+$C$238)^(1/12)-1))-1)*((1+((1+$C$238)^(1/12)-1))*(((1+((1+$C$238)^(1/12)-1))^12-1)/((1+((1+$C$238)^(1/12)-1))-1))-12)),0))</f>
      </c>
    </row>
    <row r="255" spans="9:17" x14ac:dyDescent="0.25">
      <c r="I255">
        <v>27</v>
      </c>
      <c r="J255">
        <f>IF(I255&lt;$C$230,12*$C$231*(1+$C$232)^I255,0)</f>
      </c>
      <c r="P255">
        <f>IF($C$233&lt;&gt;1,0,P254*(1+((1+$C$238)^(1/12)-1))^12-J254/12*(1+((1+$C$238)^(1/12)-1))*(((1+((1+$C$238)^(1/12)-1))^12-1)/((1+((1+$C$238)^(1/12)-1))-1)))</f>
      </c>
      <c r="Q255">
        <f>IF($C$233&lt;&gt;1,0,IFERROR((((1+($C$238+'Inputs'!$H$112/100))^(1/12)-1)-((1+$C$238)^(1/12)-1))*(P255*(((1+((1+$C$238)^(1/12)-1))^12-1)/((1+((1+$C$238)^(1/12)-1))-1))-J255/12/((1+((1+$C$238)^(1/12)-1))-1)*((1+((1+$C$238)^(1/12)-1))*(((1+((1+$C$238)^(1/12)-1))^12-1)/((1+((1+$C$238)^(1/12)-1))-1))-12)),0))</f>
      </c>
    </row>
    <row r="256" spans="9:17" x14ac:dyDescent="0.25">
      <c r="I256">
        <v>28</v>
      </c>
      <c r="J256">
        <f>IF(I256&lt;$C$230,12*$C$231*(1+$C$232)^I256,0)</f>
      </c>
      <c r="P256">
        <f>IF($C$233&lt;&gt;1,0,P255*(1+((1+$C$238)^(1/12)-1))^12-J255/12*(1+((1+$C$238)^(1/12)-1))*(((1+((1+$C$238)^(1/12)-1))^12-1)/((1+((1+$C$238)^(1/12)-1))-1)))</f>
      </c>
      <c r="Q256">
        <f>IF($C$233&lt;&gt;1,0,IFERROR((((1+($C$238+'Inputs'!$H$112/100))^(1/12)-1)-((1+$C$238)^(1/12)-1))*(P256*(((1+((1+$C$238)^(1/12)-1))^12-1)/((1+((1+$C$238)^(1/12)-1))-1))-J256/12/((1+((1+$C$238)^(1/12)-1))-1)*((1+((1+$C$238)^(1/12)-1))*(((1+((1+$C$238)^(1/12)-1))^12-1)/((1+((1+$C$238)^(1/12)-1))-1))-12)),0))</f>
      </c>
    </row>
    <row r="257" spans="9:17" x14ac:dyDescent="0.25">
      <c r="I257">
        <v>29</v>
      </c>
      <c r="J257">
        <f>IF(I257&lt;$C$230,12*$C$231*(1+$C$232)^I257,0)</f>
      </c>
      <c r="P257">
        <f>IF($C$233&lt;&gt;1,0,P256*(1+((1+$C$238)^(1/12)-1))^12-J256/12*(1+((1+$C$238)^(1/12)-1))*(((1+((1+$C$238)^(1/12)-1))^12-1)/((1+((1+$C$238)^(1/12)-1))-1)))</f>
      </c>
      <c r="Q257">
        <f>IF($C$233&lt;&gt;1,0,IFERROR((((1+($C$238+'Inputs'!$H$112/100))^(1/12)-1)-((1+$C$238)^(1/12)-1))*(P257*(((1+((1+$C$238)^(1/12)-1))^12-1)/((1+((1+$C$238)^(1/12)-1))-1))-J257/12/((1+((1+$C$238)^(1/12)-1))-1)*((1+((1+$C$238)^(1/12)-1))*(((1+((1+$C$238)^(1/12)-1))^12-1)/((1+((1+$C$238)^(1/12)-1))-1))-12)),0))</f>
      </c>
    </row>
    <row r="258" spans="9:17" x14ac:dyDescent="0.25">
      <c r="I258">
        <v>30</v>
      </c>
      <c r="J258">
        <f>IF(I258&lt;$C$230,12*$C$231*(1+$C$232)^I258,0)</f>
      </c>
      <c r="P258">
        <f>IF($C$233&lt;&gt;1,0,P257*(1+((1+$C$238)^(1/12)-1))^12-J257/12*(1+((1+$C$238)^(1/12)-1))*(((1+((1+$C$238)^(1/12)-1))^12-1)/((1+((1+$C$238)^(1/12)-1))-1)))</f>
      </c>
      <c r="Q258">
        <f>IF($C$233&lt;&gt;1,0,IFERROR((((1+($C$238+'Inputs'!$H$112/100))^(1/12)-1)-((1+$C$238)^(1/12)-1))*(P258*(((1+((1+$C$238)^(1/12)-1))^12-1)/((1+((1+$C$238)^(1/12)-1))-1))-J258/12/((1+((1+$C$238)^(1/12)-1))-1)*((1+((1+$C$238)^(1/12)-1))*(((1+((1+$C$238)^(1/12)-1))^12-1)/((1+((1+$C$238)^(1/12)-1))-1))-12)),0))</f>
      </c>
    </row>
    <row r="259" spans="9:17" x14ac:dyDescent="0.25">
      <c r="I259">
        <v>31</v>
      </c>
      <c r="J259">
        <f>IF(I259&lt;$C$230,12*$C$231*(1+$C$232)^I259,0)</f>
      </c>
      <c r="P259">
        <f>IF($C$233&lt;&gt;1,0,P258*(1+((1+$C$238)^(1/12)-1))^12-J258/12*(1+((1+$C$238)^(1/12)-1))*(((1+((1+$C$238)^(1/12)-1))^12-1)/((1+((1+$C$238)^(1/12)-1))-1)))</f>
      </c>
      <c r="Q259">
        <f>IF($C$233&lt;&gt;1,0,IFERROR((((1+($C$238+'Inputs'!$H$112/100))^(1/12)-1)-((1+$C$238)^(1/12)-1))*(P259*(((1+((1+$C$238)^(1/12)-1))^12-1)/((1+((1+$C$238)^(1/12)-1))-1))-J259/12/((1+((1+$C$238)^(1/12)-1))-1)*((1+((1+$C$238)^(1/12)-1))*(((1+((1+$C$238)^(1/12)-1))^12-1)/((1+((1+$C$238)^(1/12)-1))-1))-12)),0))</f>
      </c>
    </row>
    <row r="260" spans="9:17" x14ac:dyDescent="0.25">
      <c r="I260">
        <v>32</v>
      </c>
      <c r="J260">
        <f>IF(I260&lt;$C$230,12*$C$231*(1+$C$232)^I260,0)</f>
      </c>
      <c r="P260">
        <f>IF($C$233&lt;&gt;1,0,P259*(1+((1+$C$238)^(1/12)-1))^12-J259/12*(1+((1+$C$238)^(1/12)-1))*(((1+((1+$C$238)^(1/12)-1))^12-1)/((1+((1+$C$238)^(1/12)-1))-1)))</f>
      </c>
      <c r="Q260">
        <f>IF($C$233&lt;&gt;1,0,IFERROR((((1+($C$238+'Inputs'!$H$112/100))^(1/12)-1)-((1+$C$238)^(1/12)-1))*(P260*(((1+((1+$C$238)^(1/12)-1))^12-1)/((1+((1+$C$238)^(1/12)-1))-1))-J260/12/((1+((1+$C$238)^(1/12)-1))-1)*((1+((1+$C$238)^(1/12)-1))*(((1+((1+$C$238)^(1/12)-1))^12-1)/((1+((1+$C$238)^(1/12)-1))-1))-12)),0))</f>
      </c>
    </row>
    <row r="261" spans="9:17" x14ac:dyDescent="0.25">
      <c r="I261">
        <v>33</v>
      </c>
      <c r="J261">
        <f>IF(I261&lt;$C$230,12*$C$231*(1+$C$232)^I261,0)</f>
      </c>
      <c r="P261">
        <f>IF($C$233&lt;&gt;1,0,P260*(1+((1+$C$238)^(1/12)-1))^12-J260/12*(1+((1+$C$238)^(1/12)-1))*(((1+((1+$C$238)^(1/12)-1))^12-1)/((1+((1+$C$238)^(1/12)-1))-1)))</f>
      </c>
      <c r="Q261">
        <f>IF($C$233&lt;&gt;1,0,IFERROR((((1+($C$238+'Inputs'!$H$112/100))^(1/12)-1)-((1+$C$238)^(1/12)-1))*(P261*(((1+((1+$C$238)^(1/12)-1))^12-1)/((1+((1+$C$238)^(1/12)-1))-1))-J261/12/((1+((1+$C$238)^(1/12)-1))-1)*((1+((1+$C$238)^(1/12)-1))*(((1+((1+$C$238)^(1/12)-1))^12-1)/((1+((1+$C$238)^(1/12)-1))-1))-12)),0))</f>
      </c>
    </row>
    <row r="262" spans="9:17" x14ac:dyDescent="0.25">
      <c r="I262">
        <v>34</v>
      </c>
      <c r="J262">
        <f>IF(I262&lt;$C$230,12*$C$231*(1+$C$232)^I262,0)</f>
      </c>
      <c r="P262">
        <f>IF($C$233&lt;&gt;1,0,P261*(1+((1+$C$238)^(1/12)-1))^12-J261/12*(1+((1+$C$238)^(1/12)-1))*(((1+((1+$C$238)^(1/12)-1))^12-1)/((1+((1+$C$238)^(1/12)-1))-1)))</f>
      </c>
      <c r="Q262">
        <f>IF($C$233&lt;&gt;1,0,IFERROR((((1+($C$238+'Inputs'!$H$112/100))^(1/12)-1)-((1+$C$238)^(1/12)-1))*(P262*(((1+((1+$C$238)^(1/12)-1))^12-1)/((1+((1+$C$238)^(1/12)-1))-1))-J262/12/((1+((1+$C$238)^(1/12)-1))-1)*((1+((1+$C$238)^(1/12)-1))*(((1+((1+$C$238)^(1/12)-1))^12-1)/((1+((1+$C$238)^(1/12)-1))-1))-12)),0))</f>
      </c>
    </row>
    <row r="263" spans="9:17" x14ac:dyDescent="0.25">
      <c r="I263">
        <v>35</v>
      </c>
      <c r="J263">
        <f>IF(I263&lt;$C$230,12*$C$231*(1+$C$232)^I263,0)</f>
      </c>
      <c r="P263">
        <f>IF($C$233&lt;&gt;1,0,P262*(1+((1+$C$238)^(1/12)-1))^12-J262/12*(1+((1+$C$238)^(1/12)-1))*(((1+((1+$C$238)^(1/12)-1))^12-1)/((1+((1+$C$238)^(1/12)-1))-1)))</f>
      </c>
      <c r="Q263">
        <f>IF($C$233&lt;&gt;1,0,IFERROR((((1+($C$238+'Inputs'!$H$112/100))^(1/12)-1)-((1+$C$238)^(1/12)-1))*(P263*(((1+((1+$C$238)^(1/12)-1))^12-1)/((1+((1+$C$238)^(1/12)-1))-1))-J263/12/((1+((1+$C$238)^(1/12)-1))-1)*((1+((1+$C$238)^(1/12)-1))*(((1+((1+$C$238)^(1/12)-1))^12-1)/((1+((1+$C$238)^(1/12)-1))-1))-12)),0))</f>
      </c>
    </row>
    <row r="264" spans="9:17" x14ac:dyDescent="0.25">
      <c r="I264">
        <v>36</v>
      </c>
      <c r="J264">
        <f>IF(I264&lt;$C$230,12*$C$231*(1+$C$232)^I264,0)</f>
      </c>
      <c r="P264">
        <f>IF($C$233&lt;&gt;1,0,P263*(1+((1+$C$238)^(1/12)-1))^12-J263/12*(1+((1+$C$238)^(1/12)-1))*(((1+((1+$C$238)^(1/12)-1))^12-1)/((1+((1+$C$238)^(1/12)-1))-1)))</f>
      </c>
      <c r="Q264">
        <f>IF($C$233&lt;&gt;1,0,IFERROR((((1+($C$238+'Inputs'!$H$112/100))^(1/12)-1)-((1+$C$238)^(1/12)-1))*(P264*(((1+((1+$C$238)^(1/12)-1))^12-1)/((1+((1+$C$238)^(1/12)-1))-1))-J264/12/((1+((1+$C$238)^(1/12)-1))-1)*((1+((1+$C$238)^(1/12)-1))*(((1+((1+$C$238)^(1/12)-1))^12-1)/((1+((1+$C$238)^(1/12)-1))-1))-12)),0))</f>
      </c>
    </row>
    <row r="265" spans="9:17" x14ac:dyDescent="0.25">
      <c r="I265">
        <v>37</v>
      </c>
      <c r="J265">
        <f>IF(I265&lt;$C$230,12*$C$231*(1+$C$232)^I265,0)</f>
      </c>
      <c r="P265">
        <f>IF($C$233&lt;&gt;1,0,P264*(1+((1+$C$238)^(1/12)-1))^12-J264/12*(1+((1+$C$238)^(1/12)-1))*(((1+((1+$C$238)^(1/12)-1))^12-1)/((1+((1+$C$238)^(1/12)-1))-1)))</f>
      </c>
      <c r="Q265">
        <f>IF($C$233&lt;&gt;1,0,IFERROR((((1+($C$238+'Inputs'!$H$112/100))^(1/12)-1)-((1+$C$238)^(1/12)-1))*(P265*(((1+((1+$C$238)^(1/12)-1))^12-1)/((1+((1+$C$238)^(1/12)-1))-1))-J265/12/((1+((1+$C$238)^(1/12)-1))-1)*((1+((1+$C$238)^(1/12)-1))*(((1+((1+$C$238)^(1/12)-1))^12-1)/((1+((1+$C$238)^(1/12)-1))-1))-12)),0))</f>
      </c>
    </row>
    <row r="266" spans="9:17" x14ac:dyDescent="0.25">
      <c r="I266">
        <v>38</v>
      </c>
      <c r="J266">
        <f>IF(I266&lt;$C$230,12*$C$231*(1+$C$232)^I266,0)</f>
      </c>
      <c r="P266">
        <f>IF($C$233&lt;&gt;1,0,P265*(1+((1+$C$238)^(1/12)-1))^12-J265/12*(1+((1+$C$238)^(1/12)-1))*(((1+((1+$C$238)^(1/12)-1))^12-1)/((1+((1+$C$238)^(1/12)-1))-1)))</f>
      </c>
      <c r="Q266">
        <f>IF($C$233&lt;&gt;1,0,IFERROR((((1+($C$238+'Inputs'!$H$112/100))^(1/12)-1)-((1+$C$238)^(1/12)-1))*(P266*(((1+((1+$C$238)^(1/12)-1))^12-1)/((1+((1+$C$238)^(1/12)-1))-1))-J266/12/((1+((1+$C$238)^(1/12)-1))-1)*((1+((1+$C$238)^(1/12)-1))*(((1+((1+$C$238)^(1/12)-1))^12-1)/((1+((1+$C$238)^(1/12)-1))-1))-12)),0))</f>
      </c>
    </row>
    <row r="267" spans="9:17" x14ac:dyDescent="0.25">
      <c r="I267">
        <v>39</v>
      </c>
      <c r="J267">
        <f>IF(I267&lt;$C$230,12*$C$231*(1+$C$232)^I267,0)</f>
      </c>
      <c r="P267">
        <f>IF($C$233&lt;&gt;1,0,P266*(1+((1+$C$238)^(1/12)-1))^12-J266/12*(1+((1+$C$238)^(1/12)-1))*(((1+((1+$C$238)^(1/12)-1))^12-1)/((1+((1+$C$238)^(1/12)-1))-1)))</f>
      </c>
      <c r="Q267">
        <f>IF($C$233&lt;&gt;1,0,IFERROR((((1+($C$238+'Inputs'!$H$112/100))^(1/12)-1)-((1+$C$238)^(1/12)-1))*(P267*(((1+((1+$C$238)^(1/12)-1))^12-1)/((1+((1+$C$238)^(1/12)-1))-1))-J267/12/((1+((1+$C$238)^(1/12)-1))-1)*((1+((1+$C$238)^(1/12)-1))*(((1+((1+$C$238)^(1/12)-1))^12-1)/((1+((1+$C$238)^(1/12)-1))-1))-12)),0))</f>
      </c>
    </row>
    <row r="268" spans="9:17" x14ac:dyDescent="0.25">
      <c r="I268">
        <v>40</v>
      </c>
      <c r="J268">
        <f>IF(I268&lt;$C$230,12*$C$231*(1+$C$232)^I268,0)</f>
      </c>
      <c r="P268">
        <f>IF($C$233&lt;&gt;1,0,P267*(1+((1+$C$238)^(1/12)-1))^12-J267/12*(1+((1+$C$238)^(1/12)-1))*(((1+((1+$C$238)^(1/12)-1))^12-1)/((1+((1+$C$238)^(1/12)-1))-1)))</f>
      </c>
      <c r="Q268">
        <f>IF($C$233&lt;&gt;1,0,IFERROR((((1+($C$238+'Inputs'!$H$112/100))^(1/12)-1)-((1+$C$238)^(1/12)-1))*(P268*(((1+((1+$C$238)^(1/12)-1))^12-1)/((1+((1+$C$238)^(1/12)-1))-1))-J268/12/((1+((1+$C$238)^(1/12)-1))-1)*((1+((1+$C$238)^(1/12)-1))*(((1+((1+$C$238)^(1/12)-1))^12-1)/((1+((1+$C$238)^(1/12)-1))-1))-12)),0))</f>
      </c>
    </row>
    <row r="269" spans="9:17" x14ac:dyDescent="0.25">
      <c r="I269">
        <v>41</v>
      </c>
      <c r="J269">
        <f>IF(I269&lt;$C$230,12*$C$231*(1+$C$232)^I269,0)</f>
      </c>
      <c r="P269">
        <f>IF($C$233&lt;&gt;1,0,P268*(1+((1+$C$238)^(1/12)-1))^12-J268/12*(1+((1+$C$238)^(1/12)-1))*(((1+((1+$C$238)^(1/12)-1))^12-1)/((1+((1+$C$238)^(1/12)-1))-1)))</f>
      </c>
      <c r="Q269">
        <f>IF($C$233&lt;&gt;1,0,IFERROR((((1+($C$238+'Inputs'!$H$112/100))^(1/12)-1)-((1+$C$238)^(1/12)-1))*(P269*(((1+((1+$C$238)^(1/12)-1))^12-1)/((1+((1+$C$238)^(1/12)-1))-1))-J269/12/((1+((1+$C$238)^(1/12)-1))-1)*((1+((1+$C$238)^(1/12)-1))*(((1+((1+$C$238)^(1/12)-1))^12-1)/((1+((1+$C$238)^(1/12)-1))-1))-12)),0))</f>
      </c>
    </row>
    <row r="270" spans="9:17" x14ac:dyDescent="0.25">
      <c r="I270">
        <v>42</v>
      </c>
      <c r="J270">
        <f>IF(I270&lt;$C$230,12*$C$231*(1+$C$232)^I270,0)</f>
      </c>
      <c r="P270">
        <f>IF($C$233&lt;&gt;1,0,P269*(1+((1+$C$238)^(1/12)-1))^12-J269/12*(1+((1+$C$238)^(1/12)-1))*(((1+((1+$C$238)^(1/12)-1))^12-1)/((1+((1+$C$238)^(1/12)-1))-1)))</f>
      </c>
      <c r="Q270">
        <f>IF($C$233&lt;&gt;1,0,IFERROR((((1+($C$238+'Inputs'!$H$112/100))^(1/12)-1)-((1+$C$238)^(1/12)-1))*(P270*(((1+((1+$C$238)^(1/12)-1))^12-1)/((1+((1+$C$238)^(1/12)-1))-1))-J270/12/((1+((1+$C$238)^(1/12)-1))-1)*((1+((1+$C$238)^(1/12)-1))*(((1+((1+$C$238)^(1/12)-1))^12-1)/((1+((1+$C$238)^(1/12)-1))-1))-12)),0))</f>
      </c>
    </row>
    <row r="271" spans="9:17" x14ac:dyDescent="0.25">
      <c r="I271">
        <v>43</v>
      </c>
      <c r="J271">
        <f>IF(I271&lt;$C$230,12*$C$231*(1+$C$232)^I271,0)</f>
      </c>
      <c r="P271">
        <f>IF($C$233&lt;&gt;1,0,P270*(1+((1+$C$238)^(1/12)-1))^12-J270/12*(1+((1+$C$238)^(1/12)-1))*(((1+((1+$C$238)^(1/12)-1))^12-1)/((1+((1+$C$238)^(1/12)-1))-1)))</f>
      </c>
      <c r="Q271">
        <f>IF($C$233&lt;&gt;1,0,IFERROR((((1+($C$238+'Inputs'!$H$112/100))^(1/12)-1)-((1+$C$238)^(1/12)-1))*(P271*(((1+((1+$C$238)^(1/12)-1))^12-1)/((1+((1+$C$238)^(1/12)-1))-1))-J271/12/((1+((1+$C$238)^(1/12)-1))-1)*((1+((1+$C$238)^(1/12)-1))*(((1+((1+$C$238)^(1/12)-1))^12-1)/((1+((1+$C$238)^(1/12)-1))-1))-12)),0))</f>
      </c>
    </row>
    <row r="272" spans="9:17" x14ac:dyDescent="0.25">
      <c r="I272">
        <v>44</v>
      </c>
      <c r="J272">
        <f>IF(I272&lt;$C$230,12*$C$231*(1+$C$232)^I272,0)</f>
      </c>
      <c r="P272">
        <f>IF($C$233&lt;&gt;1,0,P271*(1+((1+$C$238)^(1/12)-1))^12-J271/12*(1+((1+$C$238)^(1/12)-1))*(((1+((1+$C$238)^(1/12)-1))^12-1)/((1+((1+$C$238)^(1/12)-1))-1)))</f>
      </c>
      <c r="Q272">
        <f>IF($C$233&lt;&gt;1,0,IFERROR((((1+($C$238+'Inputs'!$H$112/100))^(1/12)-1)-((1+$C$238)^(1/12)-1))*(P272*(((1+((1+$C$238)^(1/12)-1))^12-1)/((1+((1+$C$238)^(1/12)-1))-1))-J272/12/((1+((1+$C$238)^(1/12)-1))-1)*((1+((1+$C$238)^(1/12)-1))*(((1+((1+$C$238)^(1/12)-1))^12-1)/((1+((1+$C$238)^(1/12)-1))-1))-12)),0))</f>
      </c>
    </row>
    <row r="273" spans="9:17" x14ac:dyDescent="0.25">
      <c r="I273">
        <v>45</v>
      </c>
      <c r="J273">
        <f>IF(I273&lt;$C$230,12*$C$231*(1+$C$232)^I273,0)</f>
      </c>
      <c r="P273">
        <f>IF($C$233&lt;&gt;1,0,P272*(1+((1+$C$238)^(1/12)-1))^12-J272/12*(1+((1+$C$238)^(1/12)-1))*(((1+((1+$C$238)^(1/12)-1))^12-1)/((1+((1+$C$238)^(1/12)-1))-1)))</f>
      </c>
      <c r="Q273">
        <f>IF($C$233&lt;&gt;1,0,IFERROR((((1+($C$238+'Inputs'!$H$112/100))^(1/12)-1)-((1+$C$238)^(1/12)-1))*(P273*(((1+((1+$C$238)^(1/12)-1))^12-1)/((1+((1+$C$238)^(1/12)-1))-1))-J273/12/((1+((1+$C$238)^(1/12)-1))-1)*((1+((1+$C$238)^(1/12)-1))*(((1+((1+$C$238)^(1/12)-1))^12-1)/((1+((1+$C$238)^(1/12)-1))-1))-12)),0))</f>
      </c>
    </row>
    <row r="274" spans="9:17" x14ac:dyDescent="0.25">
      <c r="I274">
        <v>46</v>
      </c>
      <c r="J274">
        <f>IF(I274&lt;$C$230,12*$C$231*(1+$C$232)^I274,0)</f>
      </c>
      <c r="P274">
        <f>IF($C$233&lt;&gt;1,0,P273*(1+((1+$C$238)^(1/12)-1))^12-J273/12*(1+((1+$C$238)^(1/12)-1))*(((1+((1+$C$238)^(1/12)-1))^12-1)/((1+((1+$C$238)^(1/12)-1))-1)))</f>
      </c>
      <c r="Q274">
        <f>IF($C$233&lt;&gt;1,0,IFERROR((((1+($C$238+'Inputs'!$H$112/100))^(1/12)-1)-((1+$C$238)^(1/12)-1))*(P274*(((1+((1+$C$238)^(1/12)-1))^12-1)/((1+((1+$C$238)^(1/12)-1))-1))-J274/12/((1+((1+$C$238)^(1/12)-1))-1)*((1+((1+$C$238)^(1/12)-1))*(((1+((1+$C$238)^(1/12)-1))^12-1)/((1+((1+$C$238)^(1/12)-1))-1))-12)),0))</f>
      </c>
    </row>
    <row r="275" spans="9:17" x14ac:dyDescent="0.25">
      <c r="I275">
        <v>47</v>
      </c>
      <c r="J275">
        <f>IF(I275&lt;$C$230,12*$C$231*(1+$C$232)^I275,0)</f>
      </c>
      <c r="P275">
        <f>IF($C$233&lt;&gt;1,0,P274*(1+((1+$C$238)^(1/12)-1))^12-J274/12*(1+((1+$C$238)^(1/12)-1))*(((1+((1+$C$238)^(1/12)-1))^12-1)/((1+((1+$C$238)^(1/12)-1))-1)))</f>
      </c>
      <c r="Q275">
        <f>IF($C$233&lt;&gt;1,0,IFERROR((((1+($C$238+'Inputs'!$H$112/100))^(1/12)-1)-((1+$C$238)^(1/12)-1))*(P275*(((1+((1+$C$238)^(1/12)-1))^12-1)/((1+((1+$C$238)^(1/12)-1))-1))-J275/12/((1+((1+$C$238)^(1/12)-1))-1)*((1+((1+$C$238)^(1/12)-1))*(((1+((1+$C$238)^(1/12)-1))^12-1)/((1+((1+$C$238)^(1/12)-1))-1))-12)),0))</f>
      </c>
    </row>
    <row r="276" spans="9:17" x14ac:dyDescent="0.25">
      <c r="I276">
        <v>48</v>
      </c>
      <c r="J276">
        <f>IF(I276&lt;$C$230,12*$C$231*(1+$C$232)^I276,0)</f>
      </c>
      <c r="P276">
        <f>IF($C$233&lt;&gt;1,0,P275*(1+((1+$C$238)^(1/12)-1))^12-J275/12*(1+((1+$C$238)^(1/12)-1))*(((1+((1+$C$238)^(1/12)-1))^12-1)/((1+((1+$C$238)^(1/12)-1))-1)))</f>
      </c>
      <c r="Q276">
        <f>IF($C$233&lt;&gt;1,0,IFERROR((((1+($C$238+'Inputs'!$H$112/100))^(1/12)-1)-((1+$C$238)^(1/12)-1))*(P276*(((1+((1+$C$238)^(1/12)-1))^12-1)/((1+((1+$C$238)^(1/12)-1))-1))-J276/12/((1+((1+$C$238)^(1/12)-1))-1)*((1+((1+$C$238)^(1/12)-1))*(((1+((1+$C$238)^(1/12)-1))^12-1)/((1+((1+$C$238)^(1/12)-1))-1))-12)),0))</f>
      </c>
    </row>
    <row r="277" spans="9:17" x14ac:dyDescent="0.25">
      <c r="I277">
        <v>49</v>
      </c>
      <c r="J277">
        <f>IF(I277&lt;$C$230,12*$C$231*(1+$C$232)^I277,0)</f>
      </c>
      <c r="P277">
        <f>IF($C$233&lt;&gt;1,0,P276*(1+((1+$C$238)^(1/12)-1))^12-J276/12*(1+((1+$C$238)^(1/12)-1))*(((1+((1+$C$238)^(1/12)-1))^12-1)/((1+((1+$C$238)^(1/12)-1))-1)))</f>
      </c>
      <c r="Q277">
        <f>IF($C$233&lt;&gt;1,0,IFERROR((((1+($C$238+'Inputs'!$H$112/100))^(1/12)-1)-((1+$C$238)^(1/12)-1))*(P277*(((1+((1+$C$238)^(1/12)-1))^12-1)/((1+((1+$C$238)^(1/12)-1))-1))-J277/12/((1+((1+$C$238)^(1/12)-1))-1)*((1+((1+$C$238)^(1/12)-1))*(((1+((1+$C$238)^(1/12)-1))^12-1)/((1+((1+$C$238)^(1/12)-1))-1))-12)),0))</f>
      </c>
    </row>
    <row r="282" spans="2:3" x14ac:dyDescent="0.25">
      <c r="B282" t="s">
        <v>108</v>
      </c>
      <c r="C282">
        <f>IF('Inputs'!$B$94="","",'Inputs'!$B$94)</f>
      </c>
    </row>
    <row r="283" spans="2:17" x14ac:dyDescent="0.25">
      <c r="B283" t="s">
        <v>110</v>
      </c>
      <c r="C283">
        <f>N('Inputs'!$D$94)</f>
      </c>
      <c r="I283" t="s">
        <v>382</v>
      </c>
      <c r="J283" t="s">
        <v>383</v>
      </c>
      <c r="P283" t="s">
        <v>384</v>
      </c>
      <c r="Q283" t="s">
        <v>385</v>
      </c>
    </row>
    <row r="284" spans="2:17" x14ac:dyDescent="0.25">
      <c r="B284" t="s">
        <v>386</v>
      </c>
      <c r="C284">
        <f>IF($C$283&gt;=75,'Inputs'!$H$120,IF($C$283&gt;=65,'Inputs'!$H$119,'Inputs'!$H$113))</f>
      </c>
      <c r="I284">
        <v>0</v>
      </c>
      <c r="J284">
        <f>IF(I284&lt;$C$286,12*$C$287*(1+$C$288)^I284,0)</f>
      </c>
      <c r="P284">
        <f>IF($C$289&lt;&gt;1,0,IF($C$294=0,SUM($J$284:$J$333),(1-(1+$C$294)^-1)/(1-(1+$C$294)^(-1/12))/12*SUMPRODUCT($J$284:$J$333,(1+$C$294)^(-$I$284:$I$333))))</f>
      </c>
      <c r="Q284">
        <f>IF($C$289&lt;&gt;1,0,IFERROR((((1+($C$294+'Inputs'!$H$112/100))^(1/12)-1)-((1+$C$294)^(1/12)-1))*(P284*(((1+((1+$C$294)^(1/12)-1))^12-1)/((1+((1+$C$294)^(1/12)-1))-1))-J284/12/((1+((1+$C$294)^(1/12)-1))-1)*((1+((1+$C$294)^(1/12)-1))*(((1+((1+$C$294)^(1/12)-1))^12-1)/((1+((1+$C$294)^(1/12)-1))-1))-12)),0))</f>
      </c>
    </row>
    <row r="285" spans="2:17" x14ac:dyDescent="0.25">
      <c r="B285" t="s">
        <v>387</v>
      </c>
      <c r="C285">
        <f>N('Inputs'!$I$94)</f>
      </c>
      <c r="I285">
        <v>1</v>
      </c>
      <c r="J285">
        <f>IF(I285&lt;$C$286,12*$C$287*(1+$C$288)^I285,0)</f>
      </c>
      <c r="P285">
        <f>IF($C$289&lt;&gt;1,0,P284*(1+((1+$C$294)^(1/12)-1))^12-J284/12*(1+((1+$C$294)^(1/12)-1))*(((1+((1+$C$294)^(1/12)-1))^12-1)/((1+((1+$C$294)^(1/12)-1))-1)))</f>
      </c>
      <c r="Q285">
        <f>IF($C$289&lt;&gt;1,0,IFERROR((((1+($C$294+'Inputs'!$H$112/100))^(1/12)-1)-((1+$C$294)^(1/12)-1))*(P285*(((1+((1+$C$294)^(1/12)-1))^12-1)/((1+((1+$C$294)^(1/12)-1))-1))-J285/12/((1+((1+$C$294)^(1/12)-1))-1)*((1+((1+$C$294)^(1/12)-1))*(((1+((1+$C$294)^(1/12)-1))^12-1)/((1+((1+$C$294)^(1/12)-1))-1))-12)),0))</f>
      </c>
    </row>
    <row r="286" spans="2:17" x14ac:dyDescent="0.25">
      <c r="B286" t="s">
        <v>388</v>
      </c>
      <c r="C286">
        <f>IF($C$282="",0,N('Inputs'!$F$94))</f>
      </c>
      <c r="I286">
        <v>2</v>
      </c>
      <c r="J286">
        <f>IF(I286&lt;$C$286,12*$C$287*(1+$C$288)^I286,0)</f>
      </c>
      <c r="P286">
        <f>IF($C$289&lt;&gt;1,0,P285*(1+((1+$C$294)^(1/12)-1))^12-J285/12*(1+((1+$C$294)^(1/12)-1))*(((1+((1+$C$294)^(1/12)-1))^12-1)/((1+((1+$C$294)^(1/12)-1))-1)))</f>
      </c>
      <c r="Q286">
        <f>IF($C$289&lt;&gt;1,0,IFERROR((((1+($C$294+'Inputs'!$H$112/100))^(1/12)-1)-((1+$C$294)^(1/12)-1))*(P286*(((1+((1+$C$294)^(1/12)-1))^12-1)/((1+((1+$C$294)^(1/12)-1))-1))-J286/12/((1+((1+$C$294)^(1/12)-1))-1)*((1+((1+$C$294)^(1/12)-1))*(((1+((1+$C$294)^(1/12)-1))^12-1)/((1+((1+$C$294)^(1/12)-1))-1))-12)),0))</f>
      </c>
    </row>
    <row r="287" spans="2:17" x14ac:dyDescent="0.25">
      <c r="B287" t="s">
        <v>389</v>
      </c>
      <c r="C287">
        <f>N('Inputs'!$E$94)</f>
      </c>
      <c r="I287">
        <v>3</v>
      </c>
      <c r="J287">
        <f>IF(I287&lt;$C$286,12*$C$287*(1+$C$288)^I287,0)</f>
      </c>
      <c r="P287">
        <f>IF($C$289&lt;&gt;1,0,P286*(1+((1+$C$294)^(1/12)-1))^12-J286/12*(1+((1+$C$294)^(1/12)-1))*(((1+((1+$C$294)^(1/12)-1))^12-1)/((1+((1+$C$294)^(1/12)-1))-1)))</f>
      </c>
      <c r="Q287">
        <f>IF($C$289&lt;&gt;1,0,IFERROR((((1+($C$294+'Inputs'!$H$112/100))^(1/12)-1)-((1+$C$294)^(1/12)-1))*(P287*(((1+((1+$C$294)^(1/12)-1))^12-1)/((1+((1+$C$294)^(1/12)-1))-1))-J287/12/((1+((1+$C$294)^(1/12)-1))-1)*((1+((1+$C$294)^(1/12)-1))*(((1+((1+$C$294)^(1/12)-1))^12-1)/((1+((1+$C$294)^(1/12)-1))-1))-12)),0))</f>
      </c>
    </row>
    <row r="288" spans="2:17" x14ac:dyDescent="0.25">
      <c r="B288" t="s">
        <v>390</v>
      </c>
      <c r="C288">
        <f>IF('Inputs'!$G$94="",'Inputs'!$H$118/100,'Inputs'!$G$94/100)</f>
      </c>
      <c r="I288">
        <v>4</v>
      </c>
      <c r="J288">
        <f>IF(I288&lt;$C$286,12*$C$287*(1+$C$288)^I288,0)</f>
      </c>
      <c r="P288">
        <f>IF($C$289&lt;&gt;1,0,P287*(1+((1+$C$294)^(1/12)-1))^12-J287/12*(1+((1+$C$294)^(1/12)-1))*(((1+((1+$C$294)^(1/12)-1))^12-1)/((1+((1+$C$294)^(1/12)-1))-1)))</f>
      </c>
      <c r="Q288">
        <f>IF($C$289&lt;&gt;1,0,IFERROR((((1+($C$294+'Inputs'!$H$112/100))^(1/12)-1)-((1+$C$294)^(1/12)-1))*(P288*(((1+((1+$C$294)^(1/12)-1))^12-1)/((1+((1+$C$294)^(1/12)-1))-1))-J288/12/((1+((1+$C$294)^(1/12)-1))-1)*((1+((1+$C$294)^(1/12)-1))*(((1+((1+$C$294)^(1/12)-1))^12-1)/((1+((1+$C$294)^(1/12)-1))-1))-12)),0))</f>
      </c>
    </row>
    <row r="289" spans="2:17" x14ac:dyDescent="0.25">
      <c r="B289" t="s">
        <v>391</v>
      </c>
      <c r="C289">
        <f>IF('Inputs'!$H$94="Yes",1,0)</f>
      </c>
      <c r="I289">
        <v>5</v>
      </c>
      <c r="J289">
        <f>IF(I289&lt;$C$286,12*$C$287*(1+$C$288)^I289,0)</f>
      </c>
      <c r="P289">
        <f>IF($C$289&lt;&gt;1,0,P288*(1+((1+$C$294)^(1/12)-1))^12-J288/12*(1+((1+$C$294)^(1/12)-1))*(((1+((1+$C$294)^(1/12)-1))^12-1)/((1+((1+$C$294)^(1/12)-1))-1)))</f>
      </c>
      <c r="Q289">
        <f>IF($C$289&lt;&gt;1,0,IFERROR((((1+($C$294+'Inputs'!$H$112/100))^(1/12)-1)-((1+$C$294)^(1/12)-1))*(P289*(((1+((1+$C$294)^(1/12)-1))^12-1)/((1+((1+$C$294)^(1/12)-1))-1))-J289/12/((1+((1+$C$294)^(1/12)-1))-1)*((1+((1+$C$294)^(1/12)-1))*(((1+((1+$C$294)^(1/12)-1))^12-1)/((1+((1+$C$294)^(1/12)-1))-1))-12)),0))</f>
      </c>
    </row>
    <row r="290" spans="2:17" x14ac:dyDescent="0.25">
      <c r="B290" t="s">
        <v>392</v>
      </c>
      <c r="C290">
        <f>IF($C$282="",0,N('Inputs'!$J$94))</f>
      </c>
      <c r="I290">
        <v>6</v>
      </c>
      <c r="J290">
        <f>IF(I290&lt;$C$286,12*$C$287*(1+$C$288)^I290,0)</f>
      </c>
      <c r="P290">
        <f>IF($C$289&lt;&gt;1,0,P289*(1+((1+$C$294)^(1/12)-1))^12-J289/12*(1+((1+$C$294)^(1/12)-1))*(((1+((1+$C$294)^(1/12)-1))^12-1)/((1+((1+$C$294)^(1/12)-1))-1)))</f>
      </c>
      <c r="Q290">
        <f>IF($C$289&lt;&gt;1,0,IFERROR((((1+($C$294+'Inputs'!$H$112/100))^(1/12)-1)-((1+$C$294)^(1/12)-1))*(P290*(((1+((1+$C$294)^(1/12)-1))^12-1)/((1+((1+$C$294)^(1/12)-1))-1))-J290/12/((1+((1+$C$294)^(1/12)-1))-1)*((1+((1+$C$294)^(1/12)-1))*(((1+((1+$C$294)^(1/12)-1))^12-1)/((1+((1+$C$294)^(1/12)-1))-1))-12)),0))</f>
      </c>
    </row>
    <row r="291" spans="2:17" x14ac:dyDescent="0.25">
      <c r="B291" t="s">
        <v>393</v>
      </c>
      <c r="C291">
        <f>ROUND(Q284,2)</f>
      </c>
      <c r="I291">
        <v>7</v>
      </c>
      <c r="J291">
        <f>IF(I291&lt;$C$286,12*$C$287*(1+$C$288)^I291,0)</f>
      </c>
      <c r="P291">
        <f>IF($C$289&lt;&gt;1,0,P290*(1+((1+$C$294)^(1/12)-1))^12-J290/12*(1+((1+$C$294)^(1/12)-1))*(((1+((1+$C$294)^(1/12)-1))^12-1)/((1+((1+$C$294)^(1/12)-1))-1)))</f>
      </c>
      <c r="Q291">
        <f>IF($C$289&lt;&gt;1,0,IFERROR((((1+($C$294+'Inputs'!$H$112/100))^(1/12)-1)-((1+$C$294)^(1/12)-1))*(P291*(((1+((1+$C$294)^(1/12)-1))^12-1)/((1+((1+$C$294)^(1/12)-1))-1))-J291/12/((1+((1+$C$294)^(1/12)-1))-1)*((1+((1+$C$294)^(1/12)-1))*(((1+((1+$C$294)^(1/12)-1))^12-1)/((1+((1+$C$294)^(1/12)-1))-1))-12)),0))</f>
      </c>
    </row>
    <row r="292" spans="2:17" x14ac:dyDescent="0.25">
      <c r="B292" t="s">
        <v>394</v>
      </c>
      <c r="C292">
        <f>ROUND(SUM($Q$284:$Q$333),2)</f>
      </c>
      <c r="I292">
        <v>8</v>
      </c>
      <c r="J292">
        <f>IF(I292&lt;$C$286,12*$C$287*(1+$C$288)^I292,0)</f>
      </c>
      <c r="P292">
        <f>IF($C$289&lt;&gt;1,0,P291*(1+((1+$C$294)^(1/12)-1))^12-J291/12*(1+((1+$C$294)^(1/12)-1))*(((1+((1+$C$294)^(1/12)-1))^12-1)/((1+((1+$C$294)^(1/12)-1))-1)))</f>
      </c>
      <c r="Q292">
        <f>IF($C$289&lt;&gt;1,0,IFERROR((((1+($C$294+'Inputs'!$H$112/100))^(1/12)-1)-((1+$C$294)^(1/12)-1))*(P292*(((1+((1+$C$294)^(1/12)-1))^12-1)/((1+((1+$C$294)^(1/12)-1))-1))-J292/12/((1+((1+$C$294)^(1/12)-1))-1)*((1+((1+$C$294)^(1/12)-1))*(((1+((1+$C$294)^(1/12)-1))^12-1)/((1+((1+$C$294)^(1/12)-1))-1))-12)),0))</f>
      </c>
    </row>
    <row r="293" spans="2:17" x14ac:dyDescent="0.25">
      <c r="B293" t="s">
        <v>395</v>
      </c>
      <c r="C293">
        <f>IF($C$289&lt;&gt;1,0,ROUND(IF($C$294=0,SUM($J$284:$J$333),(1-(1+$C$294)^-1)/(1-(1+$C$294)^(-1/12))/12*SUMPRODUCT($J$284:$J$333,(1+$C$294)^(-$I$284:$I$333)))-IF(($C$294+'Inputs'!$H$112/100)=0,SUM($J$284:$J$333),(1-(1+($C$294+'Inputs'!$H$112/100))^-1)/(1-(1+($C$294+'Inputs'!$H$112/100))^(-1/12))/12*SUMPRODUCT($J$284:$J$333,(1+($C$294+'Inputs'!$H$112/100))^(-$I$284:$I$333))),2))</f>
      </c>
      <c r="I293">
        <v>9</v>
      </c>
      <c r="J293">
        <f>IF(I293&lt;$C$286,12*$C$287*(1+$C$288)^I293,0)</f>
      </c>
      <c r="P293">
        <f>IF($C$289&lt;&gt;1,0,P292*(1+((1+$C$294)^(1/12)-1))^12-J292/12*(1+((1+$C$294)^(1/12)-1))*(((1+((1+$C$294)^(1/12)-1))^12-1)/((1+((1+$C$294)^(1/12)-1))-1)))</f>
      </c>
      <c r="Q293">
        <f>IF($C$289&lt;&gt;1,0,IFERROR((((1+($C$294+'Inputs'!$H$112/100))^(1/12)-1)-((1+$C$294)^(1/12)-1))*(P293*(((1+((1+$C$294)^(1/12)-1))^12-1)/((1+((1+$C$294)^(1/12)-1))-1))-J293/12/((1+((1+$C$294)^(1/12)-1))-1)*((1+((1+$C$294)^(1/12)-1))*(((1+((1+$C$294)^(1/12)-1))^12-1)/((1+((1+$C$294)^(1/12)-1))-1))-12)),0))</f>
      </c>
    </row>
    <row r="294" spans="2:17" x14ac:dyDescent="0.25">
      <c r="B294" t="s">
        <v>396</v>
      </c>
      <c r="C294">
        <f>IF($C$289=1,'Needs calc'!$C$77,0)</f>
      </c>
      <c r="I294">
        <v>10</v>
      </c>
      <c r="J294">
        <f>IF(I294&lt;$C$286,12*$C$287*(1+$C$288)^I294,0)</f>
      </c>
      <c r="P294">
        <f>IF($C$289&lt;&gt;1,0,P293*(1+((1+$C$294)^(1/12)-1))^12-J293/12*(1+((1+$C$294)^(1/12)-1))*(((1+((1+$C$294)^(1/12)-1))^12-1)/((1+((1+$C$294)^(1/12)-1))-1)))</f>
      </c>
      <c r="Q294">
        <f>IF($C$289&lt;&gt;1,0,IFERROR((((1+($C$294+'Inputs'!$H$112/100))^(1/12)-1)-((1+$C$294)^(1/12)-1))*(P294*(((1+((1+$C$294)^(1/12)-1))^12-1)/((1+((1+$C$294)^(1/12)-1))-1))-J294/12/((1+((1+$C$294)^(1/12)-1))-1)*((1+((1+$C$294)^(1/12)-1))*(((1+((1+$C$294)^(1/12)-1))^12-1)/((1+((1+$C$294)^(1/12)-1))-1))-12)),0))</f>
      </c>
    </row>
    <row r="295" spans="9:17" x14ac:dyDescent="0.25">
      <c r="I295">
        <v>11</v>
      </c>
      <c r="J295">
        <f>IF(I295&lt;$C$286,12*$C$287*(1+$C$288)^I295,0)</f>
      </c>
      <c r="P295">
        <f>IF($C$289&lt;&gt;1,0,P294*(1+((1+$C$294)^(1/12)-1))^12-J294/12*(1+((1+$C$294)^(1/12)-1))*(((1+((1+$C$294)^(1/12)-1))^12-1)/((1+((1+$C$294)^(1/12)-1))-1)))</f>
      </c>
      <c r="Q295">
        <f>IF($C$289&lt;&gt;1,0,IFERROR((((1+($C$294+'Inputs'!$H$112/100))^(1/12)-1)-((1+$C$294)^(1/12)-1))*(P295*(((1+((1+$C$294)^(1/12)-1))^12-1)/((1+((1+$C$294)^(1/12)-1))-1))-J295/12/((1+((1+$C$294)^(1/12)-1))-1)*((1+((1+$C$294)^(1/12)-1))*(((1+((1+$C$294)^(1/12)-1))^12-1)/((1+((1+$C$294)^(1/12)-1))-1))-12)),0))</f>
      </c>
    </row>
    <row r="296" spans="9:17" x14ac:dyDescent="0.25">
      <c r="I296">
        <v>12</v>
      </c>
      <c r="J296">
        <f>IF(I296&lt;$C$286,12*$C$287*(1+$C$288)^I296,0)</f>
      </c>
      <c r="P296">
        <f>IF($C$289&lt;&gt;1,0,P295*(1+((1+$C$294)^(1/12)-1))^12-J295/12*(1+((1+$C$294)^(1/12)-1))*(((1+((1+$C$294)^(1/12)-1))^12-1)/((1+((1+$C$294)^(1/12)-1))-1)))</f>
      </c>
      <c r="Q296">
        <f>IF($C$289&lt;&gt;1,0,IFERROR((((1+($C$294+'Inputs'!$H$112/100))^(1/12)-1)-((1+$C$294)^(1/12)-1))*(P296*(((1+((1+$C$294)^(1/12)-1))^12-1)/((1+((1+$C$294)^(1/12)-1))-1))-J296/12/((1+((1+$C$294)^(1/12)-1))-1)*((1+((1+$C$294)^(1/12)-1))*(((1+((1+$C$294)^(1/12)-1))^12-1)/((1+((1+$C$294)^(1/12)-1))-1))-12)),0))</f>
      </c>
    </row>
    <row r="297" spans="9:17" x14ac:dyDescent="0.25">
      <c r="I297">
        <v>13</v>
      </c>
      <c r="J297">
        <f>IF(I297&lt;$C$286,12*$C$287*(1+$C$288)^I297,0)</f>
      </c>
      <c r="P297">
        <f>IF($C$289&lt;&gt;1,0,P296*(1+((1+$C$294)^(1/12)-1))^12-J296/12*(1+((1+$C$294)^(1/12)-1))*(((1+((1+$C$294)^(1/12)-1))^12-1)/((1+((1+$C$294)^(1/12)-1))-1)))</f>
      </c>
      <c r="Q297">
        <f>IF($C$289&lt;&gt;1,0,IFERROR((((1+($C$294+'Inputs'!$H$112/100))^(1/12)-1)-((1+$C$294)^(1/12)-1))*(P297*(((1+((1+$C$294)^(1/12)-1))^12-1)/((1+((1+$C$294)^(1/12)-1))-1))-J297/12/((1+((1+$C$294)^(1/12)-1))-1)*((1+((1+$C$294)^(1/12)-1))*(((1+((1+$C$294)^(1/12)-1))^12-1)/((1+((1+$C$294)^(1/12)-1))-1))-12)),0))</f>
      </c>
    </row>
    <row r="298" spans="9:17" x14ac:dyDescent="0.25">
      <c r="I298">
        <v>14</v>
      </c>
      <c r="J298">
        <f>IF(I298&lt;$C$286,12*$C$287*(1+$C$288)^I298,0)</f>
      </c>
      <c r="P298">
        <f>IF($C$289&lt;&gt;1,0,P297*(1+((1+$C$294)^(1/12)-1))^12-J297/12*(1+((1+$C$294)^(1/12)-1))*(((1+((1+$C$294)^(1/12)-1))^12-1)/((1+((1+$C$294)^(1/12)-1))-1)))</f>
      </c>
      <c r="Q298">
        <f>IF($C$289&lt;&gt;1,0,IFERROR((((1+($C$294+'Inputs'!$H$112/100))^(1/12)-1)-((1+$C$294)^(1/12)-1))*(P298*(((1+((1+$C$294)^(1/12)-1))^12-1)/((1+((1+$C$294)^(1/12)-1))-1))-J298/12/((1+((1+$C$294)^(1/12)-1))-1)*((1+((1+$C$294)^(1/12)-1))*(((1+((1+$C$294)^(1/12)-1))^12-1)/((1+((1+$C$294)^(1/12)-1))-1))-12)),0))</f>
      </c>
    </row>
    <row r="299" spans="9:17" x14ac:dyDescent="0.25">
      <c r="I299">
        <v>15</v>
      </c>
      <c r="J299">
        <f>IF(I299&lt;$C$286,12*$C$287*(1+$C$288)^I299,0)</f>
      </c>
      <c r="P299">
        <f>IF($C$289&lt;&gt;1,0,P298*(1+((1+$C$294)^(1/12)-1))^12-J298/12*(1+((1+$C$294)^(1/12)-1))*(((1+((1+$C$294)^(1/12)-1))^12-1)/((1+((1+$C$294)^(1/12)-1))-1)))</f>
      </c>
      <c r="Q299">
        <f>IF($C$289&lt;&gt;1,0,IFERROR((((1+($C$294+'Inputs'!$H$112/100))^(1/12)-1)-((1+$C$294)^(1/12)-1))*(P299*(((1+((1+$C$294)^(1/12)-1))^12-1)/((1+((1+$C$294)^(1/12)-1))-1))-J299/12/((1+((1+$C$294)^(1/12)-1))-1)*((1+((1+$C$294)^(1/12)-1))*(((1+((1+$C$294)^(1/12)-1))^12-1)/((1+((1+$C$294)^(1/12)-1))-1))-12)),0))</f>
      </c>
    </row>
    <row r="300" spans="9:17" x14ac:dyDescent="0.25">
      <c r="I300">
        <v>16</v>
      </c>
      <c r="J300">
        <f>IF(I300&lt;$C$286,12*$C$287*(1+$C$288)^I300,0)</f>
      </c>
      <c r="P300">
        <f>IF($C$289&lt;&gt;1,0,P299*(1+((1+$C$294)^(1/12)-1))^12-J299/12*(1+((1+$C$294)^(1/12)-1))*(((1+((1+$C$294)^(1/12)-1))^12-1)/((1+((1+$C$294)^(1/12)-1))-1)))</f>
      </c>
      <c r="Q300">
        <f>IF($C$289&lt;&gt;1,0,IFERROR((((1+($C$294+'Inputs'!$H$112/100))^(1/12)-1)-((1+$C$294)^(1/12)-1))*(P300*(((1+((1+$C$294)^(1/12)-1))^12-1)/((1+((1+$C$294)^(1/12)-1))-1))-J300/12/((1+((1+$C$294)^(1/12)-1))-1)*((1+((1+$C$294)^(1/12)-1))*(((1+((1+$C$294)^(1/12)-1))^12-1)/((1+((1+$C$294)^(1/12)-1))-1))-12)),0))</f>
      </c>
    </row>
    <row r="301" spans="9:17" x14ac:dyDescent="0.25">
      <c r="I301">
        <v>17</v>
      </c>
      <c r="J301">
        <f>IF(I301&lt;$C$286,12*$C$287*(1+$C$288)^I301,0)</f>
      </c>
      <c r="P301">
        <f>IF($C$289&lt;&gt;1,0,P300*(1+((1+$C$294)^(1/12)-1))^12-J300/12*(1+((1+$C$294)^(1/12)-1))*(((1+((1+$C$294)^(1/12)-1))^12-1)/((1+((1+$C$294)^(1/12)-1))-1)))</f>
      </c>
      <c r="Q301">
        <f>IF($C$289&lt;&gt;1,0,IFERROR((((1+($C$294+'Inputs'!$H$112/100))^(1/12)-1)-((1+$C$294)^(1/12)-1))*(P301*(((1+((1+$C$294)^(1/12)-1))^12-1)/((1+((1+$C$294)^(1/12)-1))-1))-J301/12/((1+((1+$C$294)^(1/12)-1))-1)*((1+((1+$C$294)^(1/12)-1))*(((1+((1+$C$294)^(1/12)-1))^12-1)/((1+((1+$C$294)^(1/12)-1))-1))-12)),0))</f>
      </c>
    </row>
    <row r="302" spans="9:17" x14ac:dyDescent="0.25">
      <c r="I302">
        <v>18</v>
      </c>
      <c r="J302">
        <f>IF(I302&lt;$C$286,12*$C$287*(1+$C$288)^I302,0)</f>
      </c>
      <c r="P302">
        <f>IF($C$289&lt;&gt;1,0,P301*(1+((1+$C$294)^(1/12)-1))^12-J301/12*(1+((1+$C$294)^(1/12)-1))*(((1+((1+$C$294)^(1/12)-1))^12-1)/((1+((1+$C$294)^(1/12)-1))-1)))</f>
      </c>
      <c r="Q302">
        <f>IF($C$289&lt;&gt;1,0,IFERROR((((1+($C$294+'Inputs'!$H$112/100))^(1/12)-1)-((1+$C$294)^(1/12)-1))*(P302*(((1+((1+$C$294)^(1/12)-1))^12-1)/((1+((1+$C$294)^(1/12)-1))-1))-J302/12/((1+((1+$C$294)^(1/12)-1))-1)*((1+((1+$C$294)^(1/12)-1))*(((1+((1+$C$294)^(1/12)-1))^12-1)/((1+((1+$C$294)^(1/12)-1))-1))-12)),0))</f>
      </c>
    </row>
    <row r="303" spans="9:17" x14ac:dyDescent="0.25">
      <c r="I303">
        <v>19</v>
      </c>
      <c r="J303">
        <f>IF(I303&lt;$C$286,12*$C$287*(1+$C$288)^I303,0)</f>
      </c>
      <c r="P303">
        <f>IF($C$289&lt;&gt;1,0,P302*(1+((1+$C$294)^(1/12)-1))^12-J302/12*(1+((1+$C$294)^(1/12)-1))*(((1+((1+$C$294)^(1/12)-1))^12-1)/((1+((1+$C$294)^(1/12)-1))-1)))</f>
      </c>
      <c r="Q303">
        <f>IF($C$289&lt;&gt;1,0,IFERROR((((1+($C$294+'Inputs'!$H$112/100))^(1/12)-1)-((1+$C$294)^(1/12)-1))*(P303*(((1+((1+$C$294)^(1/12)-1))^12-1)/((1+((1+$C$294)^(1/12)-1))-1))-J303/12/((1+((1+$C$294)^(1/12)-1))-1)*((1+((1+$C$294)^(1/12)-1))*(((1+((1+$C$294)^(1/12)-1))^12-1)/((1+((1+$C$294)^(1/12)-1))-1))-12)),0))</f>
      </c>
    </row>
    <row r="304" spans="9:17" x14ac:dyDescent="0.25">
      <c r="I304">
        <v>20</v>
      </c>
      <c r="J304">
        <f>IF(I304&lt;$C$286,12*$C$287*(1+$C$288)^I304,0)</f>
      </c>
      <c r="P304">
        <f>IF($C$289&lt;&gt;1,0,P303*(1+((1+$C$294)^(1/12)-1))^12-J303/12*(1+((1+$C$294)^(1/12)-1))*(((1+((1+$C$294)^(1/12)-1))^12-1)/((1+((1+$C$294)^(1/12)-1))-1)))</f>
      </c>
      <c r="Q304">
        <f>IF($C$289&lt;&gt;1,0,IFERROR((((1+($C$294+'Inputs'!$H$112/100))^(1/12)-1)-((1+$C$294)^(1/12)-1))*(P304*(((1+((1+$C$294)^(1/12)-1))^12-1)/((1+((1+$C$294)^(1/12)-1))-1))-J304/12/((1+((1+$C$294)^(1/12)-1))-1)*((1+((1+$C$294)^(1/12)-1))*(((1+((1+$C$294)^(1/12)-1))^12-1)/((1+((1+$C$294)^(1/12)-1))-1))-12)),0))</f>
      </c>
    </row>
    <row r="305" spans="9:17" x14ac:dyDescent="0.25">
      <c r="I305">
        <v>21</v>
      </c>
      <c r="J305">
        <f>IF(I305&lt;$C$286,12*$C$287*(1+$C$288)^I305,0)</f>
      </c>
      <c r="P305">
        <f>IF($C$289&lt;&gt;1,0,P304*(1+((1+$C$294)^(1/12)-1))^12-J304/12*(1+((1+$C$294)^(1/12)-1))*(((1+((1+$C$294)^(1/12)-1))^12-1)/((1+((1+$C$294)^(1/12)-1))-1)))</f>
      </c>
      <c r="Q305">
        <f>IF($C$289&lt;&gt;1,0,IFERROR((((1+($C$294+'Inputs'!$H$112/100))^(1/12)-1)-((1+$C$294)^(1/12)-1))*(P305*(((1+((1+$C$294)^(1/12)-1))^12-1)/((1+((1+$C$294)^(1/12)-1))-1))-J305/12/((1+((1+$C$294)^(1/12)-1))-1)*((1+((1+$C$294)^(1/12)-1))*(((1+((1+$C$294)^(1/12)-1))^12-1)/((1+((1+$C$294)^(1/12)-1))-1))-12)),0))</f>
      </c>
    </row>
    <row r="306" spans="9:17" x14ac:dyDescent="0.25">
      <c r="I306">
        <v>22</v>
      </c>
      <c r="J306">
        <f>IF(I306&lt;$C$286,12*$C$287*(1+$C$288)^I306,0)</f>
      </c>
      <c r="P306">
        <f>IF($C$289&lt;&gt;1,0,P305*(1+((1+$C$294)^(1/12)-1))^12-J305/12*(1+((1+$C$294)^(1/12)-1))*(((1+((1+$C$294)^(1/12)-1))^12-1)/((1+((1+$C$294)^(1/12)-1))-1)))</f>
      </c>
      <c r="Q306">
        <f>IF($C$289&lt;&gt;1,0,IFERROR((((1+($C$294+'Inputs'!$H$112/100))^(1/12)-1)-((1+$C$294)^(1/12)-1))*(P306*(((1+((1+$C$294)^(1/12)-1))^12-1)/((1+((1+$C$294)^(1/12)-1))-1))-J306/12/((1+((1+$C$294)^(1/12)-1))-1)*((1+((1+$C$294)^(1/12)-1))*(((1+((1+$C$294)^(1/12)-1))^12-1)/((1+((1+$C$294)^(1/12)-1))-1))-12)),0))</f>
      </c>
    </row>
    <row r="307" spans="9:17" x14ac:dyDescent="0.25">
      <c r="I307">
        <v>23</v>
      </c>
      <c r="J307">
        <f>IF(I307&lt;$C$286,12*$C$287*(1+$C$288)^I307,0)</f>
      </c>
      <c r="P307">
        <f>IF($C$289&lt;&gt;1,0,P306*(1+((1+$C$294)^(1/12)-1))^12-J306/12*(1+((1+$C$294)^(1/12)-1))*(((1+((1+$C$294)^(1/12)-1))^12-1)/((1+((1+$C$294)^(1/12)-1))-1)))</f>
      </c>
      <c r="Q307">
        <f>IF($C$289&lt;&gt;1,0,IFERROR((((1+($C$294+'Inputs'!$H$112/100))^(1/12)-1)-((1+$C$294)^(1/12)-1))*(P307*(((1+((1+$C$294)^(1/12)-1))^12-1)/((1+((1+$C$294)^(1/12)-1))-1))-J307/12/((1+((1+$C$294)^(1/12)-1))-1)*((1+((1+$C$294)^(1/12)-1))*(((1+((1+$C$294)^(1/12)-1))^12-1)/((1+((1+$C$294)^(1/12)-1))-1))-12)),0))</f>
      </c>
    </row>
    <row r="308" spans="9:17" x14ac:dyDescent="0.25">
      <c r="I308">
        <v>24</v>
      </c>
      <c r="J308">
        <f>IF(I308&lt;$C$286,12*$C$287*(1+$C$288)^I308,0)</f>
      </c>
      <c r="P308">
        <f>IF($C$289&lt;&gt;1,0,P307*(1+((1+$C$294)^(1/12)-1))^12-J307/12*(1+((1+$C$294)^(1/12)-1))*(((1+((1+$C$294)^(1/12)-1))^12-1)/((1+((1+$C$294)^(1/12)-1))-1)))</f>
      </c>
      <c r="Q308">
        <f>IF($C$289&lt;&gt;1,0,IFERROR((((1+($C$294+'Inputs'!$H$112/100))^(1/12)-1)-((1+$C$294)^(1/12)-1))*(P308*(((1+((1+$C$294)^(1/12)-1))^12-1)/((1+((1+$C$294)^(1/12)-1))-1))-J308/12/((1+((1+$C$294)^(1/12)-1))-1)*((1+((1+$C$294)^(1/12)-1))*(((1+((1+$C$294)^(1/12)-1))^12-1)/((1+((1+$C$294)^(1/12)-1))-1))-12)),0))</f>
      </c>
    </row>
    <row r="309" spans="9:17" x14ac:dyDescent="0.25">
      <c r="I309">
        <v>25</v>
      </c>
      <c r="J309">
        <f>IF(I309&lt;$C$286,12*$C$287*(1+$C$288)^I309,0)</f>
      </c>
      <c r="P309">
        <f>IF($C$289&lt;&gt;1,0,P308*(1+((1+$C$294)^(1/12)-1))^12-J308/12*(1+((1+$C$294)^(1/12)-1))*(((1+((1+$C$294)^(1/12)-1))^12-1)/((1+((1+$C$294)^(1/12)-1))-1)))</f>
      </c>
      <c r="Q309">
        <f>IF($C$289&lt;&gt;1,0,IFERROR((((1+($C$294+'Inputs'!$H$112/100))^(1/12)-1)-((1+$C$294)^(1/12)-1))*(P309*(((1+((1+$C$294)^(1/12)-1))^12-1)/((1+((1+$C$294)^(1/12)-1))-1))-J309/12/((1+((1+$C$294)^(1/12)-1))-1)*((1+((1+$C$294)^(1/12)-1))*(((1+((1+$C$294)^(1/12)-1))^12-1)/((1+((1+$C$294)^(1/12)-1))-1))-12)),0))</f>
      </c>
    </row>
    <row r="310" spans="9:17" x14ac:dyDescent="0.25">
      <c r="I310">
        <v>26</v>
      </c>
      <c r="J310">
        <f>IF(I310&lt;$C$286,12*$C$287*(1+$C$288)^I310,0)</f>
      </c>
      <c r="P310">
        <f>IF($C$289&lt;&gt;1,0,P309*(1+((1+$C$294)^(1/12)-1))^12-J309/12*(1+((1+$C$294)^(1/12)-1))*(((1+((1+$C$294)^(1/12)-1))^12-1)/((1+((1+$C$294)^(1/12)-1))-1)))</f>
      </c>
      <c r="Q310">
        <f>IF($C$289&lt;&gt;1,0,IFERROR((((1+($C$294+'Inputs'!$H$112/100))^(1/12)-1)-((1+$C$294)^(1/12)-1))*(P310*(((1+((1+$C$294)^(1/12)-1))^12-1)/((1+((1+$C$294)^(1/12)-1))-1))-J310/12/((1+((1+$C$294)^(1/12)-1))-1)*((1+((1+$C$294)^(1/12)-1))*(((1+((1+$C$294)^(1/12)-1))^12-1)/((1+((1+$C$294)^(1/12)-1))-1))-12)),0))</f>
      </c>
    </row>
    <row r="311" spans="9:17" x14ac:dyDescent="0.25">
      <c r="I311">
        <v>27</v>
      </c>
      <c r="J311">
        <f>IF(I311&lt;$C$286,12*$C$287*(1+$C$288)^I311,0)</f>
      </c>
      <c r="P311">
        <f>IF($C$289&lt;&gt;1,0,P310*(1+((1+$C$294)^(1/12)-1))^12-J310/12*(1+((1+$C$294)^(1/12)-1))*(((1+((1+$C$294)^(1/12)-1))^12-1)/((1+((1+$C$294)^(1/12)-1))-1)))</f>
      </c>
      <c r="Q311">
        <f>IF($C$289&lt;&gt;1,0,IFERROR((((1+($C$294+'Inputs'!$H$112/100))^(1/12)-1)-((1+$C$294)^(1/12)-1))*(P311*(((1+((1+$C$294)^(1/12)-1))^12-1)/((1+((1+$C$294)^(1/12)-1))-1))-J311/12/((1+((1+$C$294)^(1/12)-1))-1)*((1+((1+$C$294)^(1/12)-1))*(((1+((1+$C$294)^(1/12)-1))^12-1)/((1+((1+$C$294)^(1/12)-1))-1))-12)),0))</f>
      </c>
    </row>
    <row r="312" spans="9:17" x14ac:dyDescent="0.25">
      <c r="I312">
        <v>28</v>
      </c>
      <c r="J312">
        <f>IF(I312&lt;$C$286,12*$C$287*(1+$C$288)^I312,0)</f>
      </c>
      <c r="P312">
        <f>IF($C$289&lt;&gt;1,0,P311*(1+((1+$C$294)^(1/12)-1))^12-J311/12*(1+((1+$C$294)^(1/12)-1))*(((1+((1+$C$294)^(1/12)-1))^12-1)/((1+((1+$C$294)^(1/12)-1))-1)))</f>
      </c>
      <c r="Q312">
        <f>IF($C$289&lt;&gt;1,0,IFERROR((((1+($C$294+'Inputs'!$H$112/100))^(1/12)-1)-((1+$C$294)^(1/12)-1))*(P312*(((1+((1+$C$294)^(1/12)-1))^12-1)/((1+((1+$C$294)^(1/12)-1))-1))-J312/12/((1+((1+$C$294)^(1/12)-1))-1)*((1+((1+$C$294)^(1/12)-1))*(((1+((1+$C$294)^(1/12)-1))^12-1)/((1+((1+$C$294)^(1/12)-1))-1))-12)),0))</f>
      </c>
    </row>
    <row r="313" spans="9:17" x14ac:dyDescent="0.25">
      <c r="I313">
        <v>29</v>
      </c>
      <c r="J313">
        <f>IF(I313&lt;$C$286,12*$C$287*(1+$C$288)^I313,0)</f>
      </c>
      <c r="P313">
        <f>IF($C$289&lt;&gt;1,0,P312*(1+((1+$C$294)^(1/12)-1))^12-J312/12*(1+((1+$C$294)^(1/12)-1))*(((1+((1+$C$294)^(1/12)-1))^12-1)/((1+((1+$C$294)^(1/12)-1))-1)))</f>
      </c>
      <c r="Q313">
        <f>IF($C$289&lt;&gt;1,0,IFERROR((((1+($C$294+'Inputs'!$H$112/100))^(1/12)-1)-((1+$C$294)^(1/12)-1))*(P313*(((1+((1+$C$294)^(1/12)-1))^12-1)/((1+((1+$C$294)^(1/12)-1))-1))-J313/12/((1+((1+$C$294)^(1/12)-1))-1)*((1+((1+$C$294)^(1/12)-1))*(((1+((1+$C$294)^(1/12)-1))^12-1)/((1+((1+$C$294)^(1/12)-1))-1))-12)),0))</f>
      </c>
    </row>
    <row r="314" spans="9:17" x14ac:dyDescent="0.25">
      <c r="I314">
        <v>30</v>
      </c>
      <c r="J314">
        <f>IF(I314&lt;$C$286,12*$C$287*(1+$C$288)^I314,0)</f>
      </c>
      <c r="P314">
        <f>IF($C$289&lt;&gt;1,0,P313*(1+((1+$C$294)^(1/12)-1))^12-J313/12*(1+((1+$C$294)^(1/12)-1))*(((1+((1+$C$294)^(1/12)-1))^12-1)/((1+((1+$C$294)^(1/12)-1))-1)))</f>
      </c>
      <c r="Q314">
        <f>IF($C$289&lt;&gt;1,0,IFERROR((((1+($C$294+'Inputs'!$H$112/100))^(1/12)-1)-((1+$C$294)^(1/12)-1))*(P314*(((1+((1+$C$294)^(1/12)-1))^12-1)/((1+((1+$C$294)^(1/12)-1))-1))-J314/12/((1+((1+$C$294)^(1/12)-1))-1)*((1+((1+$C$294)^(1/12)-1))*(((1+((1+$C$294)^(1/12)-1))^12-1)/((1+((1+$C$294)^(1/12)-1))-1))-12)),0))</f>
      </c>
    </row>
    <row r="315" spans="9:17" x14ac:dyDescent="0.25">
      <c r="I315">
        <v>31</v>
      </c>
      <c r="J315">
        <f>IF(I315&lt;$C$286,12*$C$287*(1+$C$288)^I315,0)</f>
      </c>
      <c r="P315">
        <f>IF($C$289&lt;&gt;1,0,P314*(1+((1+$C$294)^(1/12)-1))^12-J314/12*(1+((1+$C$294)^(1/12)-1))*(((1+((1+$C$294)^(1/12)-1))^12-1)/((1+((1+$C$294)^(1/12)-1))-1)))</f>
      </c>
      <c r="Q315">
        <f>IF($C$289&lt;&gt;1,0,IFERROR((((1+($C$294+'Inputs'!$H$112/100))^(1/12)-1)-((1+$C$294)^(1/12)-1))*(P315*(((1+((1+$C$294)^(1/12)-1))^12-1)/((1+((1+$C$294)^(1/12)-1))-1))-J315/12/((1+((1+$C$294)^(1/12)-1))-1)*((1+((1+$C$294)^(1/12)-1))*(((1+((1+$C$294)^(1/12)-1))^12-1)/((1+((1+$C$294)^(1/12)-1))-1))-12)),0))</f>
      </c>
    </row>
    <row r="316" spans="9:17" x14ac:dyDescent="0.25">
      <c r="I316">
        <v>32</v>
      </c>
      <c r="J316">
        <f>IF(I316&lt;$C$286,12*$C$287*(1+$C$288)^I316,0)</f>
      </c>
      <c r="P316">
        <f>IF($C$289&lt;&gt;1,0,P315*(1+((1+$C$294)^(1/12)-1))^12-J315/12*(1+((1+$C$294)^(1/12)-1))*(((1+((1+$C$294)^(1/12)-1))^12-1)/((1+((1+$C$294)^(1/12)-1))-1)))</f>
      </c>
      <c r="Q316">
        <f>IF($C$289&lt;&gt;1,0,IFERROR((((1+($C$294+'Inputs'!$H$112/100))^(1/12)-1)-((1+$C$294)^(1/12)-1))*(P316*(((1+((1+$C$294)^(1/12)-1))^12-1)/((1+((1+$C$294)^(1/12)-1))-1))-J316/12/((1+((1+$C$294)^(1/12)-1))-1)*((1+((1+$C$294)^(1/12)-1))*(((1+((1+$C$294)^(1/12)-1))^12-1)/((1+((1+$C$294)^(1/12)-1))-1))-12)),0))</f>
      </c>
    </row>
    <row r="317" spans="9:17" x14ac:dyDescent="0.25">
      <c r="I317">
        <v>33</v>
      </c>
      <c r="J317">
        <f>IF(I317&lt;$C$286,12*$C$287*(1+$C$288)^I317,0)</f>
      </c>
      <c r="P317">
        <f>IF($C$289&lt;&gt;1,0,P316*(1+((1+$C$294)^(1/12)-1))^12-J316/12*(1+((1+$C$294)^(1/12)-1))*(((1+((1+$C$294)^(1/12)-1))^12-1)/((1+((1+$C$294)^(1/12)-1))-1)))</f>
      </c>
      <c r="Q317">
        <f>IF($C$289&lt;&gt;1,0,IFERROR((((1+($C$294+'Inputs'!$H$112/100))^(1/12)-1)-((1+$C$294)^(1/12)-1))*(P317*(((1+((1+$C$294)^(1/12)-1))^12-1)/((1+((1+$C$294)^(1/12)-1))-1))-J317/12/((1+((1+$C$294)^(1/12)-1))-1)*((1+((1+$C$294)^(1/12)-1))*(((1+((1+$C$294)^(1/12)-1))^12-1)/((1+((1+$C$294)^(1/12)-1))-1))-12)),0))</f>
      </c>
    </row>
    <row r="318" spans="9:17" x14ac:dyDescent="0.25">
      <c r="I318">
        <v>34</v>
      </c>
      <c r="J318">
        <f>IF(I318&lt;$C$286,12*$C$287*(1+$C$288)^I318,0)</f>
      </c>
      <c r="P318">
        <f>IF($C$289&lt;&gt;1,0,P317*(1+((1+$C$294)^(1/12)-1))^12-J317/12*(1+((1+$C$294)^(1/12)-1))*(((1+((1+$C$294)^(1/12)-1))^12-1)/((1+((1+$C$294)^(1/12)-1))-1)))</f>
      </c>
      <c r="Q318">
        <f>IF($C$289&lt;&gt;1,0,IFERROR((((1+($C$294+'Inputs'!$H$112/100))^(1/12)-1)-((1+$C$294)^(1/12)-1))*(P318*(((1+((1+$C$294)^(1/12)-1))^12-1)/((1+((1+$C$294)^(1/12)-1))-1))-J318/12/((1+((1+$C$294)^(1/12)-1))-1)*((1+((1+$C$294)^(1/12)-1))*(((1+((1+$C$294)^(1/12)-1))^12-1)/((1+((1+$C$294)^(1/12)-1))-1))-12)),0))</f>
      </c>
    </row>
    <row r="319" spans="9:17" x14ac:dyDescent="0.25">
      <c r="I319">
        <v>35</v>
      </c>
      <c r="J319">
        <f>IF(I319&lt;$C$286,12*$C$287*(1+$C$288)^I319,0)</f>
      </c>
      <c r="P319">
        <f>IF($C$289&lt;&gt;1,0,P318*(1+((1+$C$294)^(1/12)-1))^12-J318/12*(1+((1+$C$294)^(1/12)-1))*(((1+((1+$C$294)^(1/12)-1))^12-1)/((1+((1+$C$294)^(1/12)-1))-1)))</f>
      </c>
      <c r="Q319">
        <f>IF($C$289&lt;&gt;1,0,IFERROR((((1+($C$294+'Inputs'!$H$112/100))^(1/12)-1)-((1+$C$294)^(1/12)-1))*(P319*(((1+((1+$C$294)^(1/12)-1))^12-1)/((1+((1+$C$294)^(1/12)-1))-1))-J319/12/((1+((1+$C$294)^(1/12)-1))-1)*((1+((1+$C$294)^(1/12)-1))*(((1+((1+$C$294)^(1/12)-1))^12-1)/((1+((1+$C$294)^(1/12)-1))-1))-12)),0))</f>
      </c>
    </row>
    <row r="320" spans="9:17" x14ac:dyDescent="0.25">
      <c r="I320">
        <v>36</v>
      </c>
      <c r="J320">
        <f>IF(I320&lt;$C$286,12*$C$287*(1+$C$288)^I320,0)</f>
      </c>
      <c r="P320">
        <f>IF($C$289&lt;&gt;1,0,P319*(1+((1+$C$294)^(1/12)-1))^12-J319/12*(1+((1+$C$294)^(1/12)-1))*(((1+((1+$C$294)^(1/12)-1))^12-1)/((1+((1+$C$294)^(1/12)-1))-1)))</f>
      </c>
      <c r="Q320">
        <f>IF($C$289&lt;&gt;1,0,IFERROR((((1+($C$294+'Inputs'!$H$112/100))^(1/12)-1)-((1+$C$294)^(1/12)-1))*(P320*(((1+((1+$C$294)^(1/12)-1))^12-1)/((1+((1+$C$294)^(1/12)-1))-1))-J320/12/((1+((1+$C$294)^(1/12)-1))-1)*((1+((1+$C$294)^(1/12)-1))*(((1+((1+$C$294)^(1/12)-1))^12-1)/((1+((1+$C$294)^(1/12)-1))-1))-12)),0))</f>
      </c>
    </row>
    <row r="321" spans="9:17" x14ac:dyDescent="0.25">
      <c r="I321">
        <v>37</v>
      </c>
      <c r="J321">
        <f>IF(I321&lt;$C$286,12*$C$287*(1+$C$288)^I321,0)</f>
      </c>
      <c r="P321">
        <f>IF($C$289&lt;&gt;1,0,P320*(1+((1+$C$294)^(1/12)-1))^12-J320/12*(1+((1+$C$294)^(1/12)-1))*(((1+((1+$C$294)^(1/12)-1))^12-1)/((1+((1+$C$294)^(1/12)-1))-1)))</f>
      </c>
      <c r="Q321">
        <f>IF($C$289&lt;&gt;1,0,IFERROR((((1+($C$294+'Inputs'!$H$112/100))^(1/12)-1)-((1+$C$294)^(1/12)-1))*(P321*(((1+((1+$C$294)^(1/12)-1))^12-1)/((1+((1+$C$294)^(1/12)-1))-1))-J321/12/((1+((1+$C$294)^(1/12)-1))-1)*((1+((1+$C$294)^(1/12)-1))*(((1+((1+$C$294)^(1/12)-1))^12-1)/((1+((1+$C$294)^(1/12)-1))-1))-12)),0))</f>
      </c>
    </row>
    <row r="322" spans="9:17" x14ac:dyDescent="0.25">
      <c r="I322">
        <v>38</v>
      </c>
      <c r="J322">
        <f>IF(I322&lt;$C$286,12*$C$287*(1+$C$288)^I322,0)</f>
      </c>
      <c r="P322">
        <f>IF($C$289&lt;&gt;1,0,P321*(1+((1+$C$294)^(1/12)-1))^12-J321/12*(1+((1+$C$294)^(1/12)-1))*(((1+((1+$C$294)^(1/12)-1))^12-1)/((1+((1+$C$294)^(1/12)-1))-1)))</f>
      </c>
      <c r="Q322">
        <f>IF($C$289&lt;&gt;1,0,IFERROR((((1+($C$294+'Inputs'!$H$112/100))^(1/12)-1)-((1+$C$294)^(1/12)-1))*(P322*(((1+((1+$C$294)^(1/12)-1))^12-1)/((1+((1+$C$294)^(1/12)-1))-1))-J322/12/((1+((1+$C$294)^(1/12)-1))-1)*((1+((1+$C$294)^(1/12)-1))*(((1+((1+$C$294)^(1/12)-1))^12-1)/((1+((1+$C$294)^(1/12)-1))-1))-12)),0))</f>
      </c>
    </row>
    <row r="323" spans="9:17" x14ac:dyDescent="0.25">
      <c r="I323">
        <v>39</v>
      </c>
      <c r="J323">
        <f>IF(I323&lt;$C$286,12*$C$287*(1+$C$288)^I323,0)</f>
      </c>
      <c r="P323">
        <f>IF($C$289&lt;&gt;1,0,P322*(1+((1+$C$294)^(1/12)-1))^12-J322/12*(1+((1+$C$294)^(1/12)-1))*(((1+((1+$C$294)^(1/12)-1))^12-1)/((1+((1+$C$294)^(1/12)-1))-1)))</f>
      </c>
      <c r="Q323">
        <f>IF($C$289&lt;&gt;1,0,IFERROR((((1+($C$294+'Inputs'!$H$112/100))^(1/12)-1)-((1+$C$294)^(1/12)-1))*(P323*(((1+((1+$C$294)^(1/12)-1))^12-1)/((1+((1+$C$294)^(1/12)-1))-1))-J323/12/((1+((1+$C$294)^(1/12)-1))-1)*((1+((1+$C$294)^(1/12)-1))*(((1+((1+$C$294)^(1/12)-1))^12-1)/((1+((1+$C$294)^(1/12)-1))-1))-12)),0))</f>
      </c>
    </row>
    <row r="324" spans="9:17" x14ac:dyDescent="0.25">
      <c r="I324">
        <v>40</v>
      </c>
      <c r="J324">
        <f>IF(I324&lt;$C$286,12*$C$287*(1+$C$288)^I324,0)</f>
      </c>
      <c r="P324">
        <f>IF($C$289&lt;&gt;1,0,P323*(1+((1+$C$294)^(1/12)-1))^12-J323/12*(1+((1+$C$294)^(1/12)-1))*(((1+((1+$C$294)^(1/12)-1))^12-1)/((1+((1+$C$294)^(1/12)-1))-1)))</f>
      </c>
      <c r="Q324">
        <f>IF($C$289&lt;&gt;1,0,IFERROR((((1+($C$294+'Inputs'!$H$112/100))^(1/12)-1)-((1+$C$294)^(1/12)-1))*(P324*(((1+((1+$C$294)^(1/12)-1))^12-1)/((1+((1+$C$294)^(1/12)-1))-1))-J324/12/((1+((1+$C$294)^(1/12)-1))-1)*((1+((1+$C$294)^(1/12)-1))*(((1+((1+$C$294)^(1/12)-1))^12-1)/((1+((1+$C$294)^(1/12)-1))-1))-12)),0))</f>
      </c>
    </row>
    <row r="325" spans="9:17" x14ac:dyDescent="0.25">
      <c r="I325">
        <v>41</v>
      </c>
      <c r="J325">
        <f>IF(I325&lt;$C$286,12*$C$287*(1+$C$288)^I325,0)</f>
      </c>
      <c r="P325">
        <f>IF($C$289&lt;&gt;1,0,P324*(1+((1+$C$294)^(1/12)-1))^12-J324/12*(1+((1+$C$294)^(1/12)-1))*(((1+((1+$C$294)^(1/12)-1))^12-1)/((1+((1+$C$294)^(1/12)-1))-1)))</f>
      </c>
      <c r="Q325">
        <f>IF($C$289&lt;&gt;1,0,IFERROR((((1+($C$294+'Inputs'!$H$112/100))^(1/12)-1)-((1+$C$294)^(1/12)-1))*(P325*(((1+((1+$C$294)^(1/12)-1))^12-1)/((1+((1+$C$294)^(1/12)-1))-1))-J325/12/((1+((1+$C$294)^(1/12)-1))-1)*((1+((1+$C$294)^(1/12)-1))*(((1+((1+$C$294)^(1/12)-1))^12-1)/((1+((1+$C$294)^(1/12)-1))-1))-12)),0))</f>
      </c>
    </row>
    <row r="326" spans="9:17" x14ac:dyDescent="0.25">
      <c r="I326">
        <v>42</v>
      </c>
      <c r="J326">
        <f>IF(I326&lt;$C$286,12*$C$287*(1+$C$288)^I326,0)</f>
      </c>
      <c r="P326">
        <f>IF($C$289&lt;&gt;1,0,P325*(1+((1+$C$294)^(1/12)-1))^12-J325/12*(1+((1+$C$294)^(1/12)-1))*(((1+((1+$C$294)^(1/12)-1))^12-1)/((1+((1+$C$294)^(1/12)-1))-1)))</f>
      </c>
      <c r="Q326">
        <f>IF($C$289&lt;&gt;1,0,IFERROR((((1+($C$294+'Inputs'!$H$112/100))^(1/12)-1)-((1+$C$294)^(1/12)-1))*(P326*(((1+((1+$C$294)^(1/12)-1))^12-1)/((1+((1+$C$294)^(1/12)-1))-1))-J326/12/((1+((1+$C$294)^(1/12)-1))-1)*((1+((1+$C$294)^(1/12)-1))*(((1+((1+$C$294)^(1/12)-1))^12-1)/((1+((1+$C$294)^(1/12)-1))-1))-12)),0))</f>
      </c>
    </row>
    <row r="327" spans="9:17" x14ac:dyDescent="0.25">
      <c r="I327">
        <v>43</v>
      </c>
      <c r="J327">
        <f>IF(I327&lt;$C$286,12*$C$287*(1+$C$288)^I327,0)</f>
      </c>
      <c r="P327">
        <f>IF($C$289&lt;&gt;1,0,P326*(1+((1+$C$294)^(1/12)-1))^12-J326/12*(1+((1+$C$294)^(1/12)-1))*(((1+((1+$C$294)^(1/12)-1))^12-1)/((1+((1+$C$294)^(1/12)-1))-1)))</f>
      </c>
      <c r="Q327">
        <f>IF($C$289&lt;&gt;1,0,IFERROR((((1+($C$294+'Inputs'!$H$112/100))^(1/12)-1)-((1+$C$294)^(1/12)-1))*(P327*(((1+((1+$C$294)^(1/12)-1))^12-1)/((1+((1+$C$294)^(1/12)-1))-1))-J327/12/((1+((1+$C$294)^(1/12)-1))-1)*((1+((1+$C$294)^(1/12)-1))*(((1+((1+$C$294)^(1/12)-1))^12-1)/((1+((1+$C$294)^(1/12)-1))-1))-12)),0))</f>
      </c>
    </row>
    <row r="328" spans="9:17" x14ac:dyDescent="0.25">
      <c r="I328">
        <v>44</v>
      </c>
      <c r="J328">
        <f>IF(I328&lt;$C$286,12*$C$287*(1+$C$288)^I328,0)</f>
      </c>
      <c r="P328">
        <f>IF($C$289&lt;&gt;1,0,P327*(1+((1+$C$294)^(1/12)-1))^12-J327/12*(1+((1+$C$294)^(1/12)-1))*(((1+((1+$C$294)^(1/12)-1))^12-1)/((1+((1+$C$294)^(1/12)-1))-1)))</f>
      </c>
      <c r="Q328">
        <f>IF($C$289&lt;&gt;1,0,IFERROR((((1+($C$294+'Inputs'!$H$112/100))^(1/12)-1)-((1+$C$294)^(1/12)-1))*(P328*(((1+((1+$C$294)^(1/12)-1))^12-1)/((1+((1+$C$294)^(1/12)-1))-1))-J328/12/((1+((1+$C$294)^(1/12)-1))-1)*((1+((1+$C$294)^(1/12)-1))*(((1+((1+$C$294)^(1/12)-1))^12-1)/((1+((1+$C$294)^(1/12)-1))-1))-12)),0))</f>
      </c>
    </row>
    <row r="329" spans="9:17" x14ac:dyDescent="0.25">
      <c r="I329">
        <v>45</v>
      </c>
      <c r="J329">
        <f>IF(I329&lt;$C$286,12*$C$287*(1+$C$288)^I329,0)</f>
      </c>
      <c r="P329">
        <f>IF($C$289&lt;&gt;1,0,P328*(1+((1+$C$294)^(1/12)-1))^12-J328/12*(1+((1+$C$294)^(1/12)-1))*(((1+((1+$C$294)^(1/12)-1))^12-1)/((1+((1+$C$294)^(1/12)-1))-1)))</f>
      </c>
      <c r="Q329">
        <f>IF($C$289&lt;&gt;1,0,IFERROR((((1+($C$294+'Inputs'!$H$112/100))^(1/12)-1)-((1+$C$294)^(1/12)-1))*(P329*(((1+((1+$C$294)^(1/12)-1))^12-1)/((1+((1+$C$294)^(1/12)-1))-1))-J329/12/((1+((1+$C$294)^(1/12)-1))-1)*((1+((1+$C$294)^(1/12)-1))*(((1+((1+$C$294)^(1/12)-1))^12-1)/((1+((1+$C$294)^(1/12)-1))-1))-12)),0))</f>
      </c>
    </row>
    <row r="330" spans="9:17" x14ac:dyDescent="0.25">
      <c r="I330">
        <v>46</v>
      </c>
      <c r="J330">
        <f>IF(I330&lt;$C$286,12*$C$287*(1+$C$288)^I330,0)</f>
      </c>
      <c r="P330">
        <f>IF($C$289&lt;&gt;1,0,P329*(1+((1+$C$294)^(1/12)-1))^12-J329/12*(1+((1+$C$294)^(1/12)-1))*(((1+((1+$C$294)^(1/12)-1))^12-1)/((1+((1+$C$294)^(1/12)-1))-1)))</f>
      </c>
      <c r="Q330">
        <f>IF($C$289&lt;&gt;1,0,IFERROR((((1+($C$294+'Inputs'!$H$112/100))^(1/12)-1)-((1+$C$294)^(1/12)-1))*(P330*(((1+((1+$C$294)^(1/12)-1))^12-1)/((1+((1+$C$294)^(1/12)-1))-1))-J330/12/((1+((1+$C$294)^(1/12)-1))-1)*((1+((1+$C$294)^(1/12)-1))*(((1+((1+$C$294)^(1/12)-1))^12-1)/((1+((1+$C$294)^(1/12)-1))-1))-12)),0))</f>
      </c>
    </row>
    <row r="331" spans="9:17" x14ac:dyDescent="0.25">
      <c r="I331">
        <v>47</v>
      </c>
      <c r="J331">
        <f>IF(I331&lt;$C$286,12*$C$287*(1+$C$288)^I331,0)</f>
      </c>
      <c r="P331">
        <f>IF($C$289&lt;&gt;1,0,P330*(1+((1+$C$294)^(1/12)-1))^12-J330/12*(1+((1+$C$294)^(1/12)-1))*(((1+((1+$C$294)^(1/12)-1))^12-1)/((1+((1+$C$294)^(1/12)-1))-1)))</f>
      </c>
      <c r="Q331">
        <f>IF($C$289&lt;&gt;1,0,IFERROR((((1+($C$294+'Inputs'!$H$112/100))^(1/12)-1)-((1+$C$294)^(1/12)-1))*(P331*(((1+((1+$C$294)^(1/12)-1))^12-1)/((1+((1+$C$294)^(1/12)-1))-1))-J331/12/((1+((1+$C$294)^(1/12)-1))-1)*((1+((1+$C$294)^(1/12)-1))*(((1+((1+$C$294)^(1/12)-1))^12-1)/((1+((1+$C$294)^(1/12)-1))-1))-12)),0))</f>
      </c>
    </row>
    <row r="332" spans="9:17" x14ac:dyDescent="0.25">
      <c r="I332">
        <v>48</v>
      </c>
      <c r="J332">
        <f>IF(I332&lt;$C$286,12*$C$287*(1+$C$288)^I332,0)</f>
      </c>
      <c r="P332">
        <f>IF($C$289&lt;&gt;1,0,P331*(1+((1+$C$294)^(1/12)-1))^12-J331/12*(1+((1+$C$294)^(1/12)-1))*(((1+((1+$C$294)^(1/12)-1))^12-1)/((1+((1+$C$294)^(1/12)-1))-1)))</f>
      </c>
      <c r="Q332">
        <f>IF($C$289&lt;&gt;1,0,IFERROR((((1+($C$294+'Inputs'!$H$112/100))^(1/12)-1)-((1+$C$294)^(1/12)-1))*(P332*(((1+((1+$C$294)^(1/12)-1))^12-1)/((1+((1+$C$294)^(1/12)-1))-1))-J332/12/((1+((1+$C$294)^(1/12)-1))-1)*((1+((1+$C$294)^(1/12)-1))*(((1+((1+$C$294)^(1/12)-1))^12-1)/((1+((1+$C$294)^(1/12)-1))-1))-12)),0))</f>
      </c>
    </row>
    <row r="333" spans="9:17" x14ac:dyDescent="0.25">
      <c r="I333">
        <v>49</v>
      </c>
      <c r="J333">
        <f>IF(I333&lt;$C$286,12*$C$287*(1+$C$288)^I333,0)</f>
      </c>
      <c r="P333">
        <f>IF($C$289&lt;&gt;1,0,P332*(1+((1+$C$294)^(1/12)-1))^12-J332/12*(1+((1+$C$294)^(1/12)-1))*(((1+((1+$C$294)^(1/12)-1))^12-1)/((1+((1+$C$294)^(1/12)-1))-1)))</f>
      </c>
      <c r="Q333">
        <f>IF($C$289&lt;&gt;1,0,IFERROR((((1+($C$294+'Inputs'!$H$112/100))^(1/12)-1)-((1+$C$294)^(1/12)-1))*(P333*(((1+((1+$C$294)^(1/12)-1))^12-1)/((1+((1+$C$294)^(1/12)-1))-1))-J333/12/((1+((1+$C$294)^(1/12)-1))-1)*((1+((1+$C$294)^(1/12)-1))*(((1+((1+$C$294)^(1/12)-1))^12-1)/((1+((1+$C$294)^(1/12)-1))-1))-12)),0))</f>
      </c>
    </row>
  </sheetData>
  <sheetProtection sheet="1" formatRows="0"/>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T87"/>
  <sheetFormatPr defaultRowHeight="15" outlineLevelRow="0" outlineLevelCol="0" x14ac:dyDescent="55"/>
  <cols>
    <col min="1" max="1" width="2" customWidth="1"/>
    <col min="2" max="2" width="28" customWidth="1"/>
  </cols>
  <sheetData>
    <row r="2" spans="3:5" x14ac:dyDescent="0.25">
      <c r="C2" t="s">
        <v>295</v>
      </c>
      <c r="E2" t="s">
        <v>296</v>
      </c>
    </row>
    <row r="3" spans="2:20" x14ac:dyDescent="0.25">
      <c r="B3" t="s">
        <v>297</v>
      </c>
      <c r="C3">
        <f>0</f>
      </c>
      <c r="E3">
        <f>1</f>
      </c>
      <c r="F3">
        <f>1</f>
      </c>
      <c r="G3">
        <f>1</f>
      </c>
      <c r="H3">
        <f>1</f>
      </c>
      <c r="I3">
        <f>1</f>
      </c>
      <c r="J3">
        <f>1</f>
      </c>
      <c r="K3">
        <f>1</f>
      </c>
      <c r="L3">
        <f>1</f>
      </c>
      <c r="M3">
        <f>1</f>
      </c>
      <c r="N3">
        <f>1</f>
      </c>
      <c r="O3">
        <f>1</f>
      </c>
      <c r="P3">
        <f>1</f>
      </c>
      <c r="Q3">
        <f>1</f>
      </c>
      <c r="R3">
        <f>1</f>
      </c>
      <c r="S3">
        <f>1</f>
      </c>
      <c r="T3">
        <f>1</f>
      </c>
    </row>
    <row r="4" spans="2:20" x14ac:dyDescent="0.25">
      <c r="B4" t="s">
        <v>298</v>
      </c>
      <c r="C4">
        <f>0</f>
      </c>
      <c r="E4">
        <f>0</f>
      </c>
      <c r="F4">
        <f>E81</f>
      </c>
      <c r="G4">
        <f>F81</f>
      </c>
      <c r="H4">
        <f>G81</f>
      </c>
      <c r="I4">
        <f>H81</f>
      </c>
      <c r="J4">
        <f>I81</f>
      </c>
      <c r="K4">
        <f>J81</f>
      </c>
      <c r="L4">
        <f>K81</f>
      </c>
      <c r="M4">
        <f>L81</f>
      </c>
      <c r="N4">
        <f>M81</f>
      </c>
      <c r="O4">
        <f>N81</f>
      </c>
      <c r="P4">
        <f>O81</f>
      </c>
      <c r="Q4">
        <f>IF(ROUND(P81,2)&gt;0,MAX(0,ROUND(P81,2)-0.01),0)</f>
      </c>
      <c r="R4">
        <f>ROUND(P81,2)</f>
      </c>
      <c r="S4">
        <f>IF(ROUND(P81,2)&gt;0,ROUND(P81,2)+0.01,0)</f>
      </c>
      <c r="T4">
        <f>IF(ROUND(P81,2)=0,0,IF(R44&lt;=0,ROUND(P81,2),IF(S44&lt;=0,ROUND(P81,2)+0.01,ROUND(P81,2)+0.02)))</f>
      </c>
    </row>
    <row r="5" spans="2:20" x14ac:dyDescent="0.25">
      <c r="B5" t="s">
        <v>299</v>
      </c>
      <c r="C5">
        <f>0</f>
      </c>
      <c r="E5">
        <f>0</f>
      </c>
      <c r="F5">
        <f>E82</f>
      </c>
      <c r="G5">
        <f>F82</f>
      </c>
      <c r="H5">
        <f>G82</f>
      </c>
      <c r="I5">
        <f>H82</f>
      </c>
      <c r="J5">
        <f>I82</f>
      </c>
      <c r="K5">
        <f>J82</f>
      </c>
      <c r="L5">
        <f>K82</f>
      </c>
      <c r="M5">
        <f>L82</f>
      </c>
      <c r="N5">
        <f>M82</f>
      </c>
      <c r="O5">
        <f>N82</f>
      </c>
      <c r="P5">
        <f>O82</f>
      </c>
      <c r="Q5">
        <f>IF(ROUND(P82,2)&gt;0,MAX(0,ROUND(P82,2)-0.01),0)</f>
      </c>
      <c r="R5">
        <f>ROUND(P82,2)</f>
      </c>
      <c r="S5">
        <f>IF(ROUND(P82,2)&gt;0,ROUND(P82,2)+0.01,0)</f>
      </c>
      <c r="T5">
        <f>IF(ROUND(P82,2)=0,0,IF(R51&lt;=0,ROUND(P82,2),IF(S51&lt;=0,ROUND(P82,2)+0.01,ROUND(P82,2)+0.02)))</f>
      </c>
    </row>
    <row r="6" spans="2:20" x14ac:dyDescent="0.25">
      <c r="B6" t="s">
        <v>300</v>
      </c>
      <c r="C6">
        <f>0</f>
      </c>
      <c r="E6">
        <f>0</f>
      </c>
      <c r="F6">
        <f>E83</f>
      </c>
      <c r="G6">
        <f>F83</f>
      </c>
      <c r="H6">
        <f>G83</f>
      </c>
      <c r="I6">
        <f>H83</f>
      </c>
      <c r="J6">
        <f>I83</f>
      </c>
      <c r="K6">
        <f>J83</f>
      </c>
      <c r="L6">
        <f>K83</f>
      </c>
      <c r="M6">
        <f>L83</f>
      </c>
      <c r="N6">
        <f>M83</f>
      </c>
      <c r="O6">
        <f>N83</f>
      </c>
      <c r="P6">
        <f>O83</f>
      </c>
      <c r="Q6">
        <f>IF(ROUND(P83,2)&gt;0,MAX(0,ROUND(P83,2)-0.01),0)</f>
      </c>
      <c r="R6">
        <f>ROUND(P83,2)</f>
      </c>
      <c r="S6">
        <f>IF(ROUND(P83,2)&gt;0,ROUND(P83,2)+0.01,0)</f>
      </c>
      <c r="T6">
        <f>IF(ROUND(P83,2)=0,0,IF(R58&lt;=0,ROUND(P83,2),IF(S58&lt;=0,ROUND(P83,2)+0.01,ROUND(P83,2)+0.02)))</f>
      </c>
    </row>
    <row r="7" spans="2:20" x14ac:dyDescent="0.25">
      <c r="B7" t="s">
        <v>301</v>
      </c>
      <c r="C7">
        <f>0</f>
      </c>
      <c r="E7">
        <f>0</f>
      </c>
      <c r="F7">
        <f>E84</f>
      </c>
      <c r="G7">
        <f>F84</f>
      </c>
      <c r="H7">
        <f>G84</f>
      </c>
      <c r="I7">
        <f>H84</f>
      </c>
      <c r="J7">
        <f>I84</f>
      </c>
      <c r="K7">
        <f>J84</f>
      </c>
      <c r="L7">
        <f>K84</f>
      </c>
      <c r="M7">
        <f>L84</f>
      </c>
      <c r="N7">
        <f>M84</f>
      </c>
      <c r="O7">
        <f>N84</f>
      </c>
      <c r="P7">
        <f>O84</f>
      </c>
      <c r="Q7">
        <f>IF(ROUND(P84,2)&gt;0,MAX(0,ROUND(P84,2)-0.01),0)</f>
      </c>
      <c r="R7">
        <f>ROUND(P84,2)</f>
      </c>
      <c r="S7">
        <f>IF(ROUND(P84,2)&gt;0,ROUND(P84,2)+0.01,0)</f>
      </c>
      <c r="T7">
        <f>IF(ROUND(P84,2)=0,0,IF(R65&lt;=0,ROUND(P84,2),IF(S65&lt;=0,ROUND(P84,2)+0.01,ROUND(P84,2)+0.02)))</f>
      </c>
    </row>
    <row r="8" spans="2:20" x14ac:dyDescent="0.25">
      <c r="B8" t="s">
        <v>302</v>
      </c>
      <c r="C8">
        <f>0</f>
      </c>
      <c r="E8">
        <f>0</f>
      </c>
      <c r="F8">
        <f>E85</f>
      </c>
      <c r="G8">
        <f>F85</f>
      </c>
      <c r="H8">
        <f>G85</f>
      </c>
      <c r="I8">
        <f>H85</f>
      </c>
      <c r="J8">
        <f>I85</f>
      </c>
      <c r="K8">
        <f>J85</f>
      </c>
      <c r="L8">
        <f>K85</f>
      </c>
      <c r="M8">
        <f>L85</f>
      </c>
      <c r="N8">
        <f>M85</f>
      </c>
      <c r="O8">
        <f>N85</f>
      </c>
      <c r="P8">
        <f>O85</f>
      </c>
      <c r="Q8">
        <f>IF(ROUND(P85,2)&gt;0,MAX(0,ROUND(P85,2)-0.01),0)</f>
      </c>
      <c r="R8">
        <f>ROUND(P85,2)</f>
      </c>
      <c r="S8">
        <f>IF(ROUND(P85,2)&gt;0,ROUND(P85,2)+0.01,0)</f>
      </c>
      <c r="T8">
        <f>IF(ROUND(P85,2)=0,0,IF(R72&lt;=0,ROUND(P85,2),IF(S72&lt;=0,ROUND(P85,2)+0.01,ROUND(P85,2)+0.02)))</f>
      </c>
    </row>
    <row r="9" spans="2:20" x14ac:dyDescent="0.25">
      <c r="B9" t="s">
        <v>303</v>
      </c>
      <c r="C9">
        <f>0</f>
      </c>
      <c r="E9">
        <f>0</f>
      </c>
      <c r="F9">
        <f>E86</f>
      </c>
      <c r="G9">
        <f>F86</f>
      </c>
      <c r="H9">
        <f>G86</f>
      </c>
      <c r="I9">
        <f>H86</f>
      </c>
      <c r="J9">
        <f>I86</f>
      </c>
      <c r="K9">
        <f>J86</f>
      </c>
      <c r="L9">
        <f>K86</f>
      </c>
      <c r="M9">
        <f>L86</f>
      </c>
      <c r="N9">
        <f>M86</f>
      </c>
      <c r="O9">
        <f>N86</f>
      </c>
      <c r="P9">
        <f>O86</f>
      </c>
      <c r="Q9">
        <f>IF(ROUND(P86,2)&gt;0,MAX(0,ROUND(P86,2)-0.01),0)</f>
      </c>
      <c r="R9">
        <f>ROUND(P86,2)</f>
      </c>
      <c r="S9">
        <f>IF(ROUND(P86,2)&gt;0,ROUND(P86,2)+0.01,0)</f>
      </c>
      <c r="T9">
        <f>IF(ROUND(P86,2)=0,0,IF(R79&lt;=0,ROUND(P86,2),IF(S79&lt;=0,ROUND(P86,2)+0.01,ROUND(P86,2)+0.02)))</f>
      </c>
    </row>
    <row r="10" spans="2:20" x14ac:dyDescent="0.25">
      <c r="B10" t="s">
        <v>304</v>
      </c>
      <c r="C10">
        <f>0</f>
      </c>
      <c r="E10">
        <f>0</f>
      </c>
      <c r="F10">
        <f>E87</f>
      </c>
      <c r="G10">
        <f>F87</f>
      </c>
      <c r="H10">
        <f>G87</f>
      </c>
      <c r="I10">
        <f>H87</f>
      </c>
      <c r="J10">
        <f>I87</f>
      </c>
      <c r="K10">
        <f>J87</f>
      </c>
      <c r="L10">
        <f>K87</f>
      </c>
      <c r="M10">
        <f>L87</f>
      </c>
      <c r="N10">
        <f>M87</f>
      </c>
      <c r="O10">
        <f>N87</f>
      </c>
      <c r="P10">
        <f>O87</f>
      </c>
      <c r="Q10">
        <f>IF(ROUND(P87,2)&gt;0,MAX(0,ROUND(P87,2)-0.01),0)</f>
      </c>
      <c r="R10">
        <f>ROUND(P87,2)</f>
      </c>
      <c r="S10">
        <f>IF(ROUND(P87,2)&gt;0,ROUND(P87,2)+0.01,0)</f>
      </c>
      <c r="T10">
        <f>IF(ROUND(P87,2)=0,0,IF(R26&lt;=0,ROUND(P87,2),IF(S26&lt;=0,ROUND(P87,2)+0.01,ROUND(P87,2)+0.02)))</f>
      </c>
    </row>
    <row r="11" spans="2:20" x14ac:dyDescent="0.25">
      <c r="B11" t="s">
        <v>305</v>
      </c>
      <c r="C11">
        <f>(1-'Inputs'!$T$89)*C4+(1-'Inputs'!$T$90)*C5+(1-'Inputs'!$T$91)*C6+(1-'Inputs'!$T$92)*C7+(1-'Inputs'!$T$93)*C8+(1-'Inputs'!$T$94)*C9</f>
      </c>
      <c r="E11">
        <f>(1-'Inputs'!$T$89)*E4+(1-'Inputs'!$T$90)*E5+(1-'Inputs'!$T$91)*E6+(1-'Inputs'!$T$92)*E7+(1-'Inputs'!$T$93)*E8+(1-'Inputs'!$T$94)*E9</f>
      </c>
      <c r="F11">
        <f>(1-'Inputs'!$T$89)*F4+(1-'Inputs'!$T$90)*F5+(1-'Inputs'!$T$91)*F6+(1-'Inputs'!$T$92)*F7+(1-'Inputs'!$T$93)*F8+(1-'Inputs'!$T$94)*F9</f>
      </c>
      <c r="G11">
        <f>(1-'Inputs'!$T$89)*G4+(1-'Inputs'!$T$90)*G5+(1-'Inputs'!$T$91)*G6+(1-'Inputs'!$T$92)*G7+(1-'Inputs'!$T$93)*G8+(1-'Inputs'!$T$94)*G9</f>
      </c>
      <c r="H11">
        <f>(1-'Inputs'!$T$89)*H4+(1-'Inputs'!$T$90)*H5+(1-'Inputs'!$T$91)*H6+(1-'Inputs'!$T$92)*H7+(1-'Inputs'!$T$93)*H8+(1-'Inputs'!$T$94)*H9</f>
      </c>
      <c r="I11">
        <f>(1-'Inputs'!$T$89)*I4+(1-'Inputs'!$T$90)*I5+(1-'Inputs'!$T$91)*I6+(1-'Inputs'!$T$92)*I7+(1-'Inputs'!$T$93)*I8+(1-'Inputs'!$T$94)*I9</f>
      </c>
      <c r="J11">
        <f>(1-'Inputs'!$T$89)*J4+(1-'Inputs'!$T$90)*J5+(1-'Inputs'!$T$91)*J6+(1-'Inputs'!$T$92)*J7+(1-'Inputs'!$T$93)*J8+(1-'Inputs'!$T$94)*J9</f>
      </c>
      <c r="K11">
        <f>(1-'Inputs'!$T$89)*K4+(1-'Inputs'!$T$90)*K5+(1-'Inputs'!$T$91)*K6+(1-'Inputs'!$T$92)*K7+(1-'Inputs'!$T$93)*K8+(1-'Inputs'!$T$94)*K9</f>
      </c>
      <c r="L11">
        <f>(1-'Inputs'!$T$89)*L4+(1-'Inputs'!$T$90)*L5+(1-'Inputs'!$T$91)*L6+(1-'Inputs'!$T$92)*L7+(1-'Inputs'!$T$93)*L8+(1-'Inputs'!$T$94)*L9</f>
      </c>
      <c r="M11">
        <f>(1-'Inputs'!$T$89)*M4+(1-'Inputs'!$T$90)*M5+(1-'Inputs'!$T$91)*M6+(1-'Inputs'!$T$92)*M7+(1-'Inputs'!$T$93)*M8+(1-'Inputs'!$T$94)*M9</f>
      </c>
      <c r="N11">
        <f>(1-'Inputs'!$T$89)*N4+(1-'Inputs'!$T$90)*N5+(1-'Inputs'!$T$91)*N6+(1-'Inputs'!$T$92)*N7+(1-'Inputs'!$T$93)*N8+(1-'Inputs'!$T$94)*N9</f>
      </c>
      <c r="O11">
        <f>(1-'Inputs'!$T$89)*O4+(1-'Inputs'!$T$90)*O5+(1-'Inputs'!$T$91)*O6+(1-'Inputs'!$T$92)*O7+(1-'Inputs'!$T$93)*O8+(1-'Inputs'!$T$94)*O9</f>
      </c>
      <c r="P11">
        <f>(1-'Inputs'!$T$89)*P4+(1-'Inputs'!$T$90)*P5+(1-'Inputs'!$T$91)*P6+(1-'Inputs'!$T$92)*P7+(1-'Inputs'!$T$93)*P8+(1-'Inputs'!$T$94)*P9</f>
      </c>
      <c r="Q11">
        <f>(1-'Inputs'!$T$89)*Q4+(1-'Inputs'!$T$90)*Q5+(1-'Inputs'!$T$91)*Q6+(1-'Inputs'!$T$92)*Q7+(1-'Inputs'!$T$93)*Q8+(1-'Inputs'!$T$94)*Q9</f>
      </c>
      <c r="R11">
        <f>(1-'Inputs'!$T$89)*R4+(1-'Inputs'!$T$90)*R5+(1-'Inputs'!$T$91)*R6+(1-'Inputs'!$T$92)*R7+(1-'Inputs'!$T$93)*R8+(1-'Inputs'!$T$94)*R9</f>
      </c>
      <c r="S11">
        <f>(1-'Inputs'!$T$89)*S4+(1-'Inputs'!$T$90)*S5+(1-'Inputs'!$T$91)*S6+(1-'Inputs'!$T$92)*S7+(1-'Inputs'!$T$93)*S8+(1-'Inputs'!$T$94)*S9</f>
      </c>
      <c r="T11">
        <f>(1-'Inputs'!$T$89)*T4+(1-'Inputs'!$T$90)*T5+(1-'Inputs'!$T$91)*T6+(1-'Inputs'!$T$92)*T7+(1-'Inputs'!$T$93)*T8+(1-'Inputs'!$T$94)*T9</f>
      </c>
    </row>
    <row r="12" spans="2:20" x14ac:dyDescent="0.25">
      <c r="B12" t="s">
        <v>306</v>
      </c>
      <c r="C12">
        <f>IF(C10&gt;0,ROUND(('Inputs'!$C$109/100*(1+'Inputs'!$C$110/100))*('Workings'!$C$21+C10),2)+'Workings'!$C$28,0)</f>
      </c>
      <c r="E12">
        <f>IF(E10&gt;0,ROUND(('Inputs'!$C$109/100*(1+'Inputs'!$C$110/100))*('Workings'!$C$21+E10),2)+'Workings'!$C$28,0)</f>
      </c>
      <c r="F12">
        <f>IF(F10&gt;0,ROUND(('Inputs'!$C$109/100*(1+'Inputs'!$C$110/100))*('Workings'!$C$21+F10),2)+'Workings'!$C$28,0)</f>
      </c>
      <c r="G12">
        <f>IF(G10&gt;0,ROUND(('Inputs'!$C$109/100*(1+'Inputs'!$C$110/100))*('Workings'!$C$21+G10),2)+'Workings'!$C$28,0)</f>
      </c>
      <c r="H12">
        <f>IF(H10&gt;0,ROUND(('Inputs'!$C$109/100*(1+'Inputs'!$C$110/100))*('Workings'!$C$21+H10),2)+'Workings'!$C$28,0)</f>
      </c>
      <c r="I12">
        <f>IF(I10&gt;0,ROUND(('Inputs'!$C$109/100*(1+'Inputs'!$C$110/100))*('Workings'!$C$21+I10),2)+'Workings'!$C$28,0)</f>
      </c>
      <c r="J12">
        <f>IF(J10&gt;0,ROUND(('Inputs'!$C$109/100*(1+'Inputs'!$C$110/100))*('Workings'!$C$21+J10),2)+'Workings'!$C$28,0)</f>
      </c>
      <c r="K12">
        <f>IF(K10&gt;0,ROUND(('Inputs'!$C$109/100*(1+'Inputs'!$C$110/100))*('Workings'!$C$21+K10),2)+'Workings'!$C$28,0)</f>
      </c>
      <c r="L12">
        <f>IF(L10&gt;0,ROUND(('Inputs'!$C$109/100*(1+'Inputs'!$C$110/100))*('Workings'!$C$21+L10),2)+'Workings'!$C$28,0)</f>
      </c>
      <c r="M12">
        <f>IF(M10&gt;0,ROUND(('Inputs'!$C$109/100*(1+'Inputs'!$C$110/100))*('Workings'!$C$21+M10),2)+'Workings'!$C$28,0)</f>
      </c>
      <c r="N12">
        <f>IF(N10&gt;0,ROUND(('Inputs'!$C$109/100*(1+'Inputs'!$C$110/100))*('Workings'!$C$21+N10),2)+'Workings'!$C$28,0)</f>
      </c>
      <c r="O12">
        <f>IF(O10&gt;0,ROUND(('Inputs'!$C$109/100*(1+'Inputs'!$C$110/100))*('Workings'!$C$21+O10),2)+'Workings'!$C$28,0)</f>
      </c>
      <c r="P12">
        <f>IF(P10&gt;0,ROUND(('Inputs'!$C$109/100*(1+'Inputs'!$C$110/100))*('Workings'!$C$21+P10),2)+'Workings'!$C$28,0)</f>
      </c>
      <c r="Q12">
        <f>IF(Q10&gt;0,ROUND(('Inputs'!$C$109/100*(1+'Inputs'!$C$110/100))*('Workings'!$C$21+Q10),2)+'Workings'!$C$28,0)</f>
      </c>
      <c r="R12">
        <f>IF(R10&gt;0,ROUND(('Inputs'!$C$109/100*(1+'Inputs'!$C$110/100))*('Workings'!$C$21+R10),2)+'Workings'!$C$28,0)</f>
      </c>
      <c r="S12">
        <f>IF(S10&gt;0,ROUND(('Inputs'!$C$109/100*(1+'Inputs'!$C$110/100))*('Workings'!$C$21+S10),2)+'Workings'!$C$28,0)</f>
      </c>
      <c r="T12">
        <f>IF(T10&gt;0,ROUND(('Inputs'!$C$109/100*(1+'Inputs'!$C$110/100))*('Workings'!$C$21+T10),2)+'Workings'!$C$28,0)</f>
      </c>
    </row>
    <row r="13" spans="2:20" x14ac:dyDescent="0.25">
      <c r="B13" t="s">
        <v>307</v>
      </c>
      <c r="C13">
        <f>ROUND('Workings'!$C$32+C10-C12,2)</f>
      </c>
      <c r="E13">
        <f>ROUND('Workings'!$C$32+E10-E12,2)</f>
      </c>
      <c r="F13">
        <f>ROUND('Workings'!$C$32+F10-F12,2)</f>
      </c>
      <c r="G13">
        <f>ROUND('Workings'!$C$32+G10-G12,2)</f>
      </c>
      <c r="H13">
        <f>ROUND('Workings'!$C$32+H10-H12,2)</f>
      </c>
      <c r="I13">
        <f>ROUND('Workings'!$C$32+I10-I12,2)</f>
      </c>
      <c r="J13">
        <f>ROUND('Workings'!$C$32+J10-J12,2)</f>
      </c>
      <c r="K13">
        <f>ROUND('Workings'!$C$32+K10-K12,2)</f>
      </c>
      <c r="L13">
        <f>ROUND('Workings'!$C$32+L10-L12,2)</f>
      </c>
      <c r="M13">
        <f>ROUND('Workings'!$C$32+M10-M12,2)</f>
      </c>
      <c r="N13">
        <f>ROUND('Workings'!$C$32+N10-N12,2)</f>
      </c>
      <c r="O13">
        <f>ROUND('Workings'!$C$32+O10-O12,2)</f>
      </c>
      <c r="P13">
        <f>ROUND('Workings'!$C$32+P10-P12,2)</f>
      </c>
      <c r="Q13">
        <f>ROUND('Workings'!$C$32+Q10-Q12,2)</f>
      </c>
      <c r="R13">
        <f>ROUND('Workings'!$C$32+R10-R12,2)</f>
      </c>
      <c r="S13">
        <f>ROUND('Workings'!$C$32+S10-S12,2)</f>
      </c>
      <c r="T13">
        <f>ROUND('Workings'!$C$32+T10-T12,2)</f>
      </c>
    </row>
    <row r="14" spans="2:20" x14ac:dyDescent="0.25">
      <c r="B14" t="s">
        <v>308</v>
      </c>
      <c r="C14">
        <f>IF(C13&lt;0,IF(SUM('Inputs'!$R$22:$R$39)+SUM('Inputs'!$S$22:$S$39)&gt;0,MAX(0,1+C13/(SUM('Inputs'!$R$22:$R$39)+SUM('Inputs'!$S$22:$S$39))),1),1)</f>
      </c>
      <c r="E14">
        <f>IF(E13&lt;0,IF(SUM('Inputs'!$R$22:$R$39)+SUM('Inputs'!$S$22:$S$39)&gt;0,MAX(0,1+E13/(SUM('Inputs'!$R$22:$R$39)+SUM('Inputs'!$S$22:$S$39))),1),1)</f>
      </c>
      <c r="F14">
        <f>IF(F13&lt;0,IF(SUM('Inputs'!$R$22:$R$39)+SUM('Inputs'!$S$22:$S$39)&gt;0,MAX(0,1+F13/(SUM('Inputs'!$R$22:$R$39)+SUM('Inputs'!$S$22:$S$39))),1),1)</f>
      </c>
      <c r="G14">
        <f>IF(G13&lt;0,IF(SUM('Inputs'!$R$22:$R$39)+SUM('Inputs'!$S$22:$S$39)&gt;0,MAX(0,1+G13/(SUM('Inputs'!$R$22:$R$39)+SUM('Inputs'!$S$22:$S$39))),1),1)</f>
      </c>
      <c r="H14">
        <f>IF(H13&lt;0,IF(SUM('Inputs'!$R$22:$R$39)+SUM('Inputs'!$S$22:$S$39)&gt;0,MAX(0,1+H13/(SUM('Inputs'!$R$22:$R$39)+SUM('Inputs'!$S$22:$S$39))),1),1)</f>
      </c>
      <c r="I14">
        <f>IF(I13&lt;0,IF(SUM('Inputs'!$R$22:$R$39)+SUM('Inputs'!$S$22:$S$39)&gt;0,MAX(0,1+I13/(SUM('Inputs'!$R$22:$R$39)+SUM('Inputs'!$S$22:$S$39))),1),1)</f>
      </c>
      <c r="J14">
        <f>IF(J13&lt;0,IF(SUM('Inputs'!$R$22:$R$39)+SUM('Inputs'!$S$22:$S$39)&gt;0,MAX(0,1+J13/(SUM('Inputs'!$R$22:$R$39)+SUM('Inputs'!$S$22:$S$39))),1),1)</f>
      </c>
      <c r="K14">
        <f>IF(K13&lt;0,IF(SUM('Inputs'!$R$22:$R$39)+SUM('Inputs'!$S$22:$S$39)&gt;0,MAX(0,1+K13/(SUM('Inputs'!$R$22:$R$39)+SUM('Inputs'!$S$22:$S$39))),1),1)</f>
      </c>
      <c r="L14">
        <f>IF(L13&lt;0,IF(SUM('Inputs'!$R$22:$R$39)+SUM('Inputs'!$S$22:$S$39)&gt;0,MAX(0,1+L13/(SUM('Inputs'!$R$22:$R$39)+SUM('Inputs'!$S$22:$S$39))),1),1)</f>
      </c>
      <c r="M14">
        <f>IF(M13&lt;0,IF(SUM('Inputs'!$R$22:$R$39)+SUM('Inputs'!$S$22:$S$39)&gt;0,MAX(0,1+M13/(SUM('Inputs'!$R$22:$R$39)+SUM('Inputs'!$S$22:$S$39))),1),1)</f>
      </c>
      <c r="N14">
        <f>IF(N13&lt;0,IF(SUM('Inputs'!$R$22:$R$39)+SUM('Inputs'!$S$22:$S$39)&gt;0,MAX(0,1+N13/(SUM('Inputs'!$R$22:$R$39)+SUM('Inputs'!$S$22:$S$39))),1),1)</f>
      </c>
      <c r="O14">
        <f>IF(O13&lt;0,IF(SUM('Inputs'!$R$22:$R$39)+SUM('Inputs'!$S$22:$S$39)&gt;0,MAX(0,1+O13/(SUM('Inputs'!$R$22:$R$39)+SUM('Inputs'!$S$22:$S$39))),1),1)</f>
      </c>
      <c r="P14">
        <f>IF(P13&lt;0,IF(SUM('Inputs'!$R$22:$R$39)+SUM('Inputs'!$S$22:$S$39)&gt;0,MAX(0,1+P13/(SUM('Inputs'!$R$22:$R$39)+SUM('Inputs'!$S$22:$S$39))),1),1)</f>
      </c>
      <c r="Q14">
        <f>IF(Q13&lt;0,IF(SUM('Inputs'!$R$22:$R$39)+SUM('Inputs'!$S$22:$S$39)&gt;0,MAX(0,1+Q13/(SUM('Inputs'!$R$22:$R$39)+SUM('Inputs'!$S$22:$S$39))),1),1)</f>
      </c>
      <c r="R14">
        <f>IF(R13&lt;0,IF(SUM('Inputs'!$R$22:$R$39)+SUM('Inputs'!$S$22:$S$39)&gt;0,MAX(0,1+R13/(SUM('Inputs'!$R$22:$R$39)+SUM('Inputs'!$S$22:$S$39))),1),1)</f>
      </c>
      <c r="S14">
        <f>IF(S13&lt;0,IF(SUM('Inputs'!$R$22:$R$39)+SUM('Inputs'!$S$22:$S$39)&gt;0,MAX(0,1+S13/(SUM('Inputs'!$R$22:$R$39)+SUM('Inputs'!$S$22:$S$39))),1),1)</f>
      </c>
      <c r="T14">
        <f>IF(T13&lt;0,IF(SUM('Inputs'!$R$22:$R$39)+SUM('Inputs'!$S$22:$S$39)&gt;0,MAX(0,1+T13/(SUM('Inputs'!$R$22:$R$39)+SUM('Inputs'!$S$22:$S$39))),1),1)</f>
      </c>
    </row>
    <row r="15" spans="2:20" x14ac:dyDescent="0.25">
      <c r="B15" t="s">
        <v>309</v>
      </c>
      <c r="C15">
        <f>SUM('Inputs'!$R$22:$R$39)*C14+SUMIFS('Inputs'!$D$59:$D$70,'Inputs'!$C$59:$C$70,"Spouse",'Inputs'!$E$59:$E$70,"&lt;&gt;No")+IF('Inputs'!$C$14="Spouse",MAX(0,C13),0)</f>
      </c>
      <c r="E15">
        <f>SUM('Inputs'!$R$22:$R$39)*E14+SUMIFS('Inputs'!$D$59:$D$70,'Inputs'!$C$59:$C$70,"Spouse",'Inputs'!$E$59:$E$70,"&lt;&gt;No")+IF('Inputs'!$C$14="Spouse",MAX(0,E13),0)</f>
      </c>
      <c r="F15">
        <f>SUM('Inputs'!$R$22:$R$39)*F14+SUMIFS('Inputs'!$D$59:$D$70,'Inputs'!$C$59:$C$70,"Spouse",'Inputs'!$E$59:$E$70,"&lt;&gt;No")+IF('Inputs'!$C$14="Spouse",MAX(0,F13),0)</f>
      </c>
      <c r="G15">
        <f>SUM('Inputs'!$R$22:$R$39)*G14+SUMIFS('Inputs'!$D$59:$D$70,'Inputs'!$C$59:$C$70,"Spouse",'Inputs'!$E$59:$E$70,"&lt;&gt;No")+IF('Inputs'!$C$14="Spouse",MAX(0,G13),0)</f>
      </c>
      <c r="H15">
        <f>SUM('Inputs'!$R$22:$R$39)*H14+SUMIFS('Inputs'!$D$59:$D$70,'Inputs'!$C$59:$C$70,"Spouse",'Inputs'!$E$59:$E$70,"&lt;&gt;No")+IF('Inputs'!$C$14="Spouse",MAX(0,H13),0)</f>
      </c>
      <c r="I15">
        <f>SUM('Inputs'!$R$22:$R$39)*I14+SUMIFS('Inputs'!$D$59:$D$70,'Inputs'!$C$59:$C$70,"Spouse",'Inputs'!$E$59:$E$70,"&lt;&gt;No")+IF('Inputs'!$C$14="Spouse",MAX(0,I13),0)</f>
      </c>
      <c r="J15">
        <f>SUM('Inputs'!$R$22:$R$39)*J14+SUMIFS('Inputs'!$D$59:$D$70,'Inputs'!$C$59:$C$70,"Spouse",'Inputs'!$E$59:$E$70,"&lt;&gt;No")+IF('Inputs'!$C$14="Spouse",MAX(0,J13),0)</f>
      </c>
      <c r="K15">
        <f>SUM('Inputs'!$R$22:$R$39)*K14+SUMIFS('Inputs'!$D$59:$D$70,'Inputs'!$C$59:$C$70,"Spouse",'Inputs'!$E$59:$E$70,"&lt;&gt;No")+IF('Inputs'!$C$14="Spouse",MAX(0,K13),0)</f>
      </c>
      <c r="L15">
        <f>SUM('Inputs'!$R$22:$R$39)*L14+SUMIFS('Inputs'!$D$59:$D$70,'Inputs'!$C$59:$C$70,"Spouse",'Inputs'!$E$59:$E$70,"&lt;&gt;No")+IF('Inputs'!$C$14="Spouse",MAX(0,L13),0)</f>
      </c>
      <c r="M15">
        <f>SUM('Inputs'!$R$22:$R$39)*M14+SUMIFS('Inputs'!$D$59:$D$70,'Inputs'!$C$59:$C$70,"Spouse",'Inputs'!$E$59:$E$70,"&lt;&gt;No")+IF('Inputs'!$C$14="Spouse",MAX(0,M13),0)</f>
      </c>
      <c r="N15">
        <f>SUM('Inputs'!$R$22:$R$39)*N14+SUMIFS('Inputs'!$D$59:$D$70,'Inputs'!$C$59:$C$70,"Spouse",'Inputs'!$E$59:$E$70,"&lt;&gt;No")+IF('Inputs'!$C$14="Spouse",MAX(0,N13),0)</f>
      </c>
      <c r="O15">
        <f>SUM('Inputs'!$R$22:$R$39)*O14+SUMIFS('Inputs'!$D$59:$D$70,'Inputs'!$C$59:$C$70,"Spouse",'Inputs'!$E$59:$E$70,"&lt;&gt;No")+IF('Inputs'!$C$14="Spouse",MAX(0,O13),0)</f>
      </c>
      <c r="P15">
        <f>SUM('Inputs'!$R$22:$R$39)*P14+SUMIFS('Inputs'!$D$59:$D$70,'Inputs'!$C$59:$C$70,"Spouse",'Inputs'!$E$59:$E$70,"&lt;&gt;No")+IF('Inputs'!$C$14="Spouse",MAX(0,P13),0)</f>
      </c>
      <c r="Q15">
        <f>SUM('Inputs'!$R$22:$R$39)*Q14+SUMIFS('Inputs'!$D$59:$D$70,'Inputs'!$C$59:$C$70,"Spouse",'Inputs'!$E$59:$E$70,"&lt;&gt;No")+IF('Inputs'!$C$14="Spouse",MAX(0,Q13),0)</f>
      </c>
      <c r="R15">
        <f>SUM('Inputs'!$R$22:$R$39)*R14+SUMIFS('Inputs'!$D$59:$D$70,'Inputs'!$C$59:$C$70,"Spouse",'Inputs'!$E$59:$E$70,"&lt;&gt;No")+IF('Inputs'!$C$14="Spouse",MAX(0,R13),0)</f>
      </c>
      <c r="S15">
        <f>SUM('Inputs'!$R$22:$R$39)*S14+SUMIFS('Inputs'!$D$59:$D$70,'Inputs'!$C$59:$C$70,"Spouse",'Inputs'!$E$59:$E$70,"&lt;&gt;No")+IF('Inputs'!$C$14="Spouse",MAX(0,S13),0)</f>
      </c>
      <c r="T15">
        <f>SUM('Inputs'!$R$22:$R$39)*T14+SUMIFS('Inputs'!$D$59:$D$70,'Inputs'!$C$59:$C$70,"Spouse",'Inputs'!$E$59:$E$70,"&lt;&gt;No")+IF('Inputs'!$C$14="Spouse",MAX(0,T13),0)</f>
      </c>
    </row>
    <row r="16" spans="2:20" x14ac:dyDescent="0.25">
      <c r="B16" t="s">
        <v>310</v>
      </c>
      <c r="C16">
        <f>ROUND('Workings'!$C$35+C11+C10-C12-(C15+'Workings'!$C$34),2)</f>
      </c>
      <c r="E16">
        <f>ROUND('Workings'!$C$35+E11+E10-E12-(E15+'Workings'!$C$34),2)</f>
      </c>
      <c r="F16">
        <f>ROUND('Workings'!$C$35+F11+F10-F12-(F15+'Workings'!$C$34),2)</f>
      </c>
      <c r="G16">
        <f>ROUND('Workings'!$C$35+G11+G10-G12-(G15+'Workings'!$C$34),2)</f>
      </c>
      <c r="H16">
        <f>ROUND('Workings'!$C$35+H11+H10-H12-(H15+'Workings'!$C$34),2)</f>
      </c>
      <c r="I16">
        <f>ROUND('Workings'!$C$35+I11+I10-I12-(I15+'Workings'!$C$34),2)</f>
      </c>
      <c r="J16">
        <f>ROUND('Workings'!$C$35+J11+J10-J12-(J15+'Workings'!$C$34),2)</f>
      </c>
      <c r="K16">
        <f>ROUND('Workings'!$C$35+K11+K10-K12-(K15+'Workings'!$C$34),2)</f>
      </c>
      <c r="L16">
        <f>ROUND('Workings'!$C$35+L11+L10-L12-(L15+'Workings'!$C$34),2)</f>
      </c>
      <c r="M16">
        <f>ROUND('Workings'!$C$35+M11+M10-M12-(M15+'Workings'!$C$34),2)</f>
      </c>
      <c r="N16">
        <f>ROUND('Workings'!$C$35+N11+N10-N12-(N15+'Workings'!$C$34),2)</f>
      </c>
      <c r="O16">
        <f>ROUND('Workings'!$C$35+O11+O10-O12-(O15+'Workings'!$C$34),2)</f>
      </c>
      <c r="P16">
        <f>ROUND('Workings'!$C$35+P11+P10-P12-(P15+'Workings'!$C$34),2)</f>
      </c>
      <c r="Q16">
        <f>ROUND('Workings'!$C$35+Q11+Q10-Q12-(Q15+'Workings'!$C$34),2)</f>
      </c>
      <c r="R16">
        <f>ROUND('Workings'!$C$35+R11+R10-R12-(R15+'Workings'!$C$34),2)</f>
      </c>
      <c r="S16">
        <f>ROUND('Workings'!$C$35+S11+S10-S12-(S15+'Workings'!$C$34),2)</f>
      </c>
      <c r="T16">
        <f>ROUND('Workings'!$C$35+T11+T10-T12-(T15+'Workings'!$C$34),2)</f>
      </c>
    </row>
    <row r="17" spans="2:20" x14ac:dyDescent="0.25">
      <c r="B17" t="s">
        <v>311</v>
      </c>
      <c r="C17">
        <f>ROUND(IF(MAX(0,C16-'Inputs'!$C$116)&lt;='Inputs'!$C$118,MAX(0,C16-'Inputs'!$C$116)*'Inputs'!$C$117/100,'Inputs'!$C$118*'Inputs'!$C$117/100+(MAX(0,C16-'Inputs'!$C$116)-'Inputs'!$C$118)*'Inputs'!$C$119/100),2)</f>
      </c>
      <c r="E17">
        <f>ROUND(IF(MAX(0,E16-'Inputs'!$C$116)&lt;='Inputs'!$C$118,MAX(0,E16-'Inputs'!$C$116)*'Inputs'!$C$117/100,'Inputs'!$C$118*'Inputs'!$C$117/100+(MAX(0,E16-'Inputs'!$C$116)-'Inputs'!$C$118)*'Inputs'!$C$119/100),2)</f>
      </c>
      <c r="F17">
        <f>ROUND(IF(MAX(0,F16-'Inputs'!$C$116)&lt;='Inputs'!$C$118,MAX(0,F16-'Inputs'!$C$116)*'Inputs'!$C$117/100,'Inputs'!$C$118*'Inputs'!$C$117/100+(MAX(0,F16-'Inputs'!$C$116)-'Inputs'!$C$118)*'Inputs'!$C$119/100),2)</f>
      </c>
      <c r="G17">
        <f>ROUND(IF(MAX(0,G16-'Inputs'!$C$116)&lt;='Inputs'!$C$118,MAX(0,G16-'Inputs'!$C$116)*'Inputs'!$C$117/100,'Inputs'!$C$118*'Inputs'!$C$117/100+(MAX(0,G16-'Inputs'!$C$116)-'Inputs'!$C$118)*'Inputs'!$C$119/100),2)</f>
      </c>
      <c r="H17">
        <f>ROUND(IF(MAX(0,H16-'Inputs'!$C$116)&lt;='Inputs'!$C$118,MAX(0,H16-'Inputs'!$C$116)*'Inputs'!$C$117/100,'Inputs'!$C$118*'Inputs'!$C$117/100+(MAX(0,H16-'Inputs'!$C$116)-'Inputs'!$C$118)*'Inputs'!$C$119/100),2)</f>
      </c>
      <c r="I17">
        <f>ROUND(IF(MAX(0,I16-'Inputs'!$C$116)&lt;='Inputs'!$C$118,MAX(0,I16-'Inputs'!$C$116)*'Inputs'!$C$117/100,'Inputs'!$C$118*'Inputs'!$C$117/100+(MAX(0,I16-'Inputs'!$C$116)-'Inputs'!$C$118)*'Inputs'!$C$119/100),2)</f>
      </c>
      <c r="J17">
        <f>ROUND(IF(MAX(0,J16-'Inputs'!$C$116)&lt;='Inputs'!$C$118,MAX(0,J16-'Inputs'!$C$116)*'Inputs'!$C$117/100,'Inputs'!$C$118*'Inputs'!$C$117/100+(MAX(0,J16-'Inputs'!$C$116)-'Inputs'!$C$118)*'Inputs'!$C$119/100),2)</f>
      </c>
      <c r="K17">
        <f>ROUND(IF(MAX(0,K16-'Inputs'!$C$116)&lt;='Inputs'!$C$118,MAX(0,K16-'Inputs'!$C$116)*'Inputs'!$C$117/100,'Inputs'!$C$118*'Inputs'!$C$117/100+(MAX(0,K16-'Inputs'!$C$116)-'Inputs'!$C$118)*'Inputs'!$C$119/100),2)</f>
      </c>
      <c r="L17">
        <f>ROUND(IF(MAX(0,L16-'Inputs'!$C$116)&lt;='Inputs'!$C$118,MAX(0,L16-'Inputs'!$C$116)*'Inputs'!$C$117/100,'Inputs'!$C$118*'Inputs'!$C$117/100+(MAX(0,L16-'Inputs'!$C$116)-'Inputs'!$C$118)*'Inputs'!$C$119/100),2)</f>
      </c>
      <c r="M17">
        <f>ROUND(IF(MAX(0,M16-'Inputs'!$C$116)&lt;='Inputs'!$C$118,MAX(0,M16-'Inputs'!$C$116)*'Inputs'!$C$117/100,'Inputs'!$C$118*'Inputs'!$C$117/100+(MAX(0,M16-'Inputs'!$C$116)-'Inputs'!$C$118)*'Inputs'!$C$119/100),2)</f>
      </c>
      <c r="N17">
        <f>ROUND(IF(MAX(0,N16-'Inputs'!$C$116)&lt;='Inputs'!$C$118,MAX(0,N16-'Inputs'!$C$116)*'Inputs'!$C$117/100,'Inputs'!$C$118*'Inputs'!$C$117/100+(MAX(0,N16-'Inputs'!$C$116)-'Inputs'!$C$118)*'Inputs'!$C$119/100),2)</f>
      </c>
      <c r="O17">
        <f>ROUND(IF(MAX(0,O16-'Inputs'!$C$116)&lt;='Inputs'!$C$118,MAX(0,O16-'Inputs'!$C$116)*'Inputs'!$C$117/100,'Inputs'!$C$118*'Inputs'!$C$117/100+(MAX(0,O16-'Inputs'!$C$116)-'Inputs'!$C$118)*'Inputs'!$C$119/100),2)</f>
      </c>
      <c r="P17">
        <f>ROUND(IF(MAX(0,P16-'Inputs'!$C$116)&lt;='Inputs'!$C$118,MAX(0,P16-'Inputs'!$C$116)*'Inputs'!$C$117/100,'Inputs'!$C$118*'Inputs'!$C$117/100+(MAX(0,P16-'Inputs'!$C$116)-'Inputs'!$C$118)*'Inputs'!$C$119/100),2)</f>
      </c>
      <c r="Q17">
        <f>ROUND(IF(MAX(0,Q16-'Inputs'!$C$116)&lt;='Inputs'!$C$118,MAX(0,Q16-'Inputs'!$C$116)*'Inputs'!$C$117/100,'Inputs'!$C$118*'Inputs'!$C$117/100+(MAX(0,Q16-'Inputs'!$C$116)-'Inputs'!$C$118)*'Inputs'!$C$119/100),2)</f>
      </c>
      <c r="R17">
        <f>ROUND(IF(MAX(0,R16-'Inputs'!$C$116)&lt;='Inputs'!$C$118,MAX(0,R16-'Inputs'!$C$116)*'Inputs'!$C$117/100,'Inputs'!$C$118*'Inputs'!$C$117/100+(MAX(0,R16-'Inputs'!$C$116)-'Inputs'!$C$118)*'Inputs'!$C$119/100),2)</f>
      </c>
      <c r="S17">
        <f>ROUND(IF(MAX(0,S16-'Inputs'!$C$116)&lt;='Inputs'!$C$118,MAX(0,S16-'Inputs'!$C$116)*'Inputs'!$C$117/100,'Inputs'!$C$118*'Inputs'!$C$117/100+(MAX(0,S16-'Inputs'!$C$116)-'Inputs'!$C$118)*'Inputs'!$C$119/100),2)</f>
      </c>
      <c r="T17">
        <f>ROUND(IF(MAX(0,T16-'Inputs'!$C$116)&lt;='Inputs'!$C$118,MAX(0,T16-'Inputs'!$C$116)*'Inputs'!$C$117/100,'Inputs'!$C$118*'Inputs'!$C$117/100+(MAX(0,T16-'Inputs'!$C$116)-'Inputs'!$C$118)*'Inputs'!$C$119/100),2)</f>
      </c>
    </row>
    <row r="18" spans="2:20" x14ac:dyDescent="0.25">
      <c r="B18" t="s">
        <v>312</v>
      </c>
      <c r="C18">
        <f>IF(C16&gt;0,C17/C16,0)</f>
      </c>
      <c r="E18">
        <f>IF(E16&gt;0,E17/E16,0)</f>
      </c>
      <c r="F18">
        <f>IF(F16&gt;0,F17/F16,0)</f>
      </c>
      <c r="G18">
        <f>IF(G16&gt;0,G17/G16,0)</f>
      </c>
      <c r="H18">
        <f>IF(H16&gt;0,H17/H16,0)</f>
      </c>
      <c r="I18">
        <f>IF(I16&gt;0,I17/I16,0)</f>
      </c>
      <c r="J18">
        <f>IF(J16&gt;0,J17/J16,0)</f>
      </c>
      <c r="K18">
        <f>IF(K16&gt;0,K17/K16,0)</f>
      </c>
      <c r="L18">
        <f>IF(L16&gt;0,L17/L16,0)</f>
      </c>
      <c r="M18">
        <f>IF(M16&gt;0,M17/M16,0)</f>
      </c>
      <c r="N18">
        <f>IF(N16&gt;0,N17/N16,0)</f>
      </c>
      <c r="O18">
        <f>IF(O16&gt;0,O17/O16,0)</f>
      </c>
      <c r="P18">
        <f>IF(P16&gt;0,P17/P16,0)</f>
      </c>
      <c r="Q18">
        <f>IF(Q16&gt;0,Q17/Q16,0)</f>
      </c>
      <c r="R18">
        <f>IF(R16&gt;0,R17/R16,0)</f>
      </c>
      <c r="S18">
        <f>IF(S16&gt;0,S17/S16,0)</f>
      </c>
      <c r="T18">
        <f>IF(T16&gt;0,T17/T16,0)</f>
      </c>
    </row>
    <row r="19" spans="2:20" x14ac:dyDescent="0.25">
      <c r="B19" t="s">
        <v>313</v>
      </c>
      <c r="C19">
        <f>SUMPRODUCT(ROUND(C18*'Inputs'!$L$59:$L$70,2))</f>
      </c>
      <c r="E19">
        <f>SUMPRODUCT(ROUND(E18*'Inputs'!$L$59:$L$70,2))</f>
      </c>
      <c r="F19">
        <f>SUMPRODUCT(ROUND(F18*'Inputs'!$L$59:$L$70,2))</f>
      </c>
      <c r="G19">
        <f>SUMPRODUCT(ROUND(G18*'Inputs'!$L$59:$L$70,2))</f>
      </c>
      <c r="H19">
        <f>SUMPRODUCT(ROUND(H18*'Inputs'!$L$59:$L$70,2))</f>
      </c>
      <c r="I19">
        <f>SUMPRODUCT(ROUND(I18*'Inputs'!$L$59:$L$70,2))</f>
      </c>
      <c r="J19">
        <f>SUMPRODUCT(ROUND(J18*'Inputs'!$L$59:$L$70,2))</f>
      </c>
      <c r="K19">
        <f>SUMPRODUCT(ROUND(K18*'Inputs'!$L$59:$L$70,2))</f>
      </c>
      <c r="L19">
        <f>SUMPRODUCT(ROUND(L18*'Inputs'!$L$59:$L$70,2))</f>
      </c>
      <c r="M19">
        <f>SUMPRODUCT(ROUND(M18*'Inputs'!$L$59:$L$70,2))</f>
      </c>
      <c r="N19">
        <f>SUMPRODUCT(ROUND(N18*'Inputs'!$L$59:$L$70,2))</f>
      </c>
      <c r="O19">
        <f>SUMPRODUCT(ROUND(O18*'Inputs'!$L$59:$L$70,2))</f>
      </c>
      <c r="P19">
        <f>SUMPRODUCT(ROUND(P18*'Inputs'!$L$59:$L$70,2))</f>
      </c>
      <c r="Q19">
        <f>SUMPRODUCT(ROUND(Q18*'Inputs'!$L$59:$L$70,2))</f>
      </c>
      <c r="R19">
        <f>SUMPRODUCT(ROUND(R18*'Inputs'!$L$59:$L$70,2))</f>
      </c>
      <c r="S19">
        <f>SUMPRODUCT(ROUND(S18*'Inputs'!$L$59:$L$70,2))</f>
      </c>
      <c r="T19">
        <f>SUMPRODUCT(ROUND(T18*'Inputs'!$L$59:$L$70,2))</f>
      </c>
    </row>
    <row r="20" spans="2:20" x14ac:dyDescent="0.25">
      <c r="B20" t="s">
        <v>314</v>
      </c>
      <c r="C20">
        <f>SUMPRODUCT(ROUND(C18*'Inputs'!$S$22:$S$39,2))</f>
      </c>
      <c r="E20">
        <f>SUMPRODUCT(ROUND(E18*'Inputs'!$S$22:$S$39,2))</f>
      </c>
      <c r="F20">
        <f>SUMPRODUCT(ROUND(F18*'Inputs'!$S$22:$S$39,2))</f>
      </c>
      <c r="G20">
        <f>SUMPRODUCT(ROUND(G18*'Inputs'!$S$22:$S$39,2))</f>
      </c>
      <c r="H20">
        <f>SUMPRODUCT(ROUND(H18*'Inputs'!$S$22:$S$39,2))</f>
      </c>
      <c r="I20">
        <f>SUMPRODUCT(ROUND(I18*'Inputs'!$S$22:$S$39,2))</f>
      </c>
      <c r="J20">
        <f>SUMPRODUCT(ROUND(J18*'Inputs'!$S$22:$S$39,2))</f>
      </c>
      <c r="K20">
        <f>SUMPRODUCT(ROUND(K18*'Inputs'!$S$22:$S$39,2))</f>
      </c>
      <c r="L20">
        <f>SUMPRODUCT(ROUND(L18*'Inputs'!$S$22:$S$39,2))</f>
      </c>
      <c r="M20">
        <f>SUMPRODUCT(ROUND(M18*'Inputs'!$S$22:$S$39,2))</f>
      </c>
      <c r="N20">
        <f>SUMPRODUCT(ROUND(N18*'Inputs'!$S$22:$S$39,2))</f>
      </c>
      <c r="O20">
        <f>SUMPRODUCT(ROUND(O18*'Inputs'!$S$22:$S$39,2))</f>
      </c>
      <c r="P20">
        <f>SUMPRODUCT(ROUND(P18*'Inputs'!$S$22:$S$39,2))</f>
      </c>
      <c r="Q20">
        <f>SUMPRODUCT(ROUND(Q18*'Inputs'!$S$22:$S$39,2))</f>
      </c>
      <c r="R20">
        <f>SUMPRODUCT(ROUND(R18*'Inputs'!$S$22:$S$39,2))</f>
      </c>
      <c r="S20">
        <f>SUMPRODUCT(ROUND(S18*'Inputs'!$S$22:$S$39,2))</f>
      </c>
      <c r="T20">
        <f>SUMPRODUCT(ROUND(T18*'Inputs'!$S$22:$S$39,2))</f>
      </c>
    </row>
    <row r="21" spans="2:20" x14ac:dyDescent="0.25">
      <c r="B21" t="s">
        <v>315</v>
      </c>
      <c r="C21">
        <f>(1-'Inputs'!$T$89)*ROUND(C18*C4,2)+(1-'Inputs'!$T$90)*ROUND(C18*C5,2)+(1-'Inputs'!$T$91)*ROUND(C18*C6,2)+(1-'Inputs'!$T$92)*ROUND(C18*C7,2)+(1-'Inputs'!$T$93)*ROUND(C18*C8,2)+(1-'Inputs'!$T$94)*ROUND(C18*C9,2)</f>
      </c>
      <c r="E21">
        <f>(1-'Inputs'!$T$89)*ROUND(E18*E4,2)+(1-'Inputs'!$T$90)*ROUND(E18*E5,2)+(1-'Inputs'!$T$91)*ROUND(E18*E6,2)+(1-'Inputs'!$T$92)*ROUND(E18*E7,2)+(1-'Inputs'!$T$93)*ROUND(E18*E8,2)+(1-'Inputs'!$T$94)*ROUND(E18*E9,2)</f>
      </c>
      <c r="F21">
        <f>(1-'Inputs'!$T$89)*ROUND(F18*F4,2)+(1-'Inputs'!$T$90)*ROUND(F18*F5,2)+(1-'Inputs'!$T$91)*ROUND(F18*F6,2)+(1-'Inputs'!$T$92)*ROUND(F18*F7,2)+(1-'Inputs'!$T$93)*ROUND(F18*F8,2)+(1-'Inputs'!$T$94)*ROUND(F18*F9,2)</f>
      </c>
      <c r="G21">
        <f>(1-'Inputs'!$T$89)*ROUND(G18*G4,2)+(1-'Inputs'!$T$90)*ROUND(G18*G5,2)+(1-'Inputs'!$T$91)*ROUND(G18*G6,2)+(1-'Inputs'!$T$92)*ROUND(G18*G7,2)+(1-'Inputs'!$T$93)*ROUND(G18*G8,2)+(1-'Inputs'!$T$94)*ROUND(G18*G9,2)</f>
      </c>
      <c r="H21">
        <f>(1-'Inputs'!$T$89)*ROUND(H18*H4,2)+(1-'Inputs'!$T$90)*ROUND(H18*H5,2)+(1-'Inputs'!$T$91)*ROUND(H18*H6,2)+(1-'Inputs'!$T$92)*ROUND(H18*H7,2)+(1-'Inputs'!$T$93)*ROUND(H18*H8,2)+(1-'Inputs'!$T$94)*ROUND(H18*H9,2)</f>
      </c>
      <c r="I21">
        <f>(1-'Inputs'!$T$89)*ROUND(I18*I4,2)+(1-'Inputs'!$T$90)*ROUND(I18*I5,2)+(1-'Inputs'!$T$91)*ROUND(I18*I6,2)+(1-'Inputs'!$T$92)*ROUND(I18*I7,2)+(1-'Inputs'!$T$93)*ROUND(I18*I8,2)+(1-'Inputs'!$T$94)*ROUND(I18*I9,2)</f>
      </c>
      <c r="J21">
        <f>(1-'Inputs'!$T$89)*ROUND(J18*J4,2)+(1-'Inputs'!$T$90)*ROUND(J18*J5,2)+(1-'Inputs'!$T$91)*ROUND(J18*J6,2)+(1-'Inputs'!$T$92)*ROUND(J18*J7,2)+(1-'Inputs'!$T$93)*ROUND(J18*J8,2)+(1-'Inputs'!$T$94)*ROUND(J18*J9,2)</f>
      </c>
      <c r="K21">
        <f>(1-'Inputs'!$T$89)*ROUND(K18*K4,2)+(1-'Inputs'!$T$90)*ROUND(K18*K5,2)+(1-'Inputs'!$T$91)*ROUND(K18*K6,2)+(1-'Inputs'!$T$92)*ROUND(K18*K7,2)+(1-'Inputs'!$T$93)*ROUND(K18*K8,2)+(1-'Inputs'!$T$94)*ROUND(K18*K9,2)</f>
      </c>
      <c r="L21">
        <f>(1-'Inputs'!$T$89)*ROUND(L18*L4,2)+(1-'Inputs'!$T$90)*ROUND(L18*L5,2)+(1-'Inputs'!$T$91)*ROUND(L18*L6,2)+(1-'Inputs'!$T$92)*ROUND(L18*L7,2)+(1-'Inputs'!$T$93)*ROUND(L18*L8,2)+(1-'Inputs'!$T$94)*ROUND(L18*L9,2)</f>
      </c>
      <c r="M21">
        <f>(1-'Inputs'!$T$89)*ROUND(M18*M4,2)+(1-'Inputs'!$T$90)*ROUND(M18*M5,2)+(1-'Inputs'!$T$91)*ROUND(M18*M6,2)+(1-'Inputs'!$T$92)*ROUND(M18*M7,2)+(1-'Inputs'!$T$93)*ROUND(M18*M8,2)+(1-'Inputs'!$T$94)*ROUND(M18*M9,2)</f>
      </c>
      <c r="N21">
        <f>(1-'Inputs'!$T$89)*ROUND(N18*N4,2)+(1-'Inputs'!$T$90)*ROUND(N18*N5,2)+(1-'Inputs'!$T$91)*ROUND(N18*N6,2)+(1-'Inputs'!$T$92)*ROUND(N18*N7,2)+(1-'Inputs'!$T$93)*ROUND(N18*N8,2)+(1-'Inputs'!$T$94)*ROUND(N18*N9,2)</f>
      </c>
      <c r="O21">
        <f>(1-'Inputs'!$T$89)*ROUND(O18*O4,2)+(1-'Inputs'!$T$90)*ROUND(O18*O5,2)+(1-'Inputs'!$T$91)*ROUND(O18*O6,2)+(1-'Inputs'!$T$92)*ROUND(O18*O7,2)+(1-'Inputs'!$T$93)*ROUND(O18*O8,2)+(1-'Inputs'!$T$94)*ROUND(O18*O9,2)</f>
      </c>
      <c r="P21">
        <f>(1-'Inputs'!$T$89)*ROUND(P18*P4,2)+(1-'Inputs'!$T$90)*ROUND(P18*P5,2)+(1-'Inputs'!$T$91)*ROUND(P18*P6,2)+(1-'Inputs'!$T$92)*ROUND(P18*P7,2)+(1-'Inputs'!$T$93)*ROUND(P18*P8,2)+(1-'Inputs'!$T$94)*ROUND(P18*P9,2)</f>
      </c>
      <c r="Q21">
        <f>(1-'Inputs'!$T$89)*ROUND(Q18*Q4,2)+(1-'Inputs'!$T$90)*ROUND(Q18*Q5,2)+(1-'Inputs'!$T$91)*ROUND(Q18*Q6,2)+(1-'Inputs'!$T$92)*ROUND(Q18*Q7,2)+(1-'Inputs'!$T$93)*ROUND(Q18*Q8,2)+(1-'Inputs'!$T$94)*ROUND(Q18*Q9,2)</f>
      </c>
      <c r="R21">
        <f>(1-'Inputs'!$T$89)*ROUND(R18*R4,2)+(1-'Inputs'!$T$90)*ROUND(R18*R5,2)+(1-'Inputs'!$T$91)*ROUND(R18*R6,2)+(1-'Inputs'!$T$92)*ROUND(R18*R7,2)+(1-'Inputs'!$T$93)*ROUND(R18*R8,2)+(1-'Inputs'!$T$94)*ROUND(R18*R9,2)</f>
      </c>
      <c r="S21">
        <f>(1-'Inputs'!$T$89)*ROUND(S18*S4,2)+(1-'Inputs'!$T$90)*ROUND(S18*S5,2)+(1-'Inputs'!$T$91)*ROUND(S18*S6,2)+(1-'Inputs'!$T$92)*ROUND(S18*S7,2)+(1-'Inputs'!$T$93)*ROUND(S18*S8,2)+(1-'Inputs'!$T$94)*ROUND(S18*S9,2)</f>
      </c>
      <c r="T21">
        <f>(1-'Inputs'!$T$89)*ROUND(T18*T4,2)+(1-'Inputs'!$T$90)*ROUND(T18*T5,2)+(1-'Inputs'!$T$91)*ROUND(T18*T6,2)+(1-'Inputs'!$T$92)*ROUND(T18*T7,2)+(1-'Inputs'!$T$93)*ROUND(T18*T8,2)+(1-'Inputs'!$T$94)*ROUND(T18*T9,2)</f>
      </c>
    </row>
    <row r="22" spans="2:20" x14ac:dyDescent="0.25">
      <c r="B22" t="s">
        <v>316</v>
      </c>
      <c r="C22">
        <f>ROUND(C17-C19-C20-C21,2)</f>
      </c>
      <c r="E22">
        <f>ROUND(E17-E19-E20-E21,2)</f>
      </c>
      <c r="F22">
        <f>ROUND(F17-F19-F20-F21,2)</f>
      </c>
      <c r="G22">
        <f>ROUND(G17-G19-G20-G21,2)</f>
      </c>
      <c r="H22">
        <f>ROUND(H17-H19-H20-H21,2)</f>
      </c>
      <c r="I22">
        <f>ROUND(I17-I19-I20-I21,2)</f>
      </c>
      <c r="J22">
        <f>ROUND(J17-J19-J20-J21,2)</f>
      </c>
      <c r="K22">
        <f>ROUND(K17-K19-K20-K21,2)</f>
      </c>
      <c r="L22">
        <f>ROUND(L17-L19-L20-L21,2)</f>
      </c>
      <c r="M22">
        <f>ROUND(M17-M19-M20-M21,2)</f>
      </c>
      <c r="N22">
        <f>ROUND(N17-N19-N20-N21,2)</f>
      </c>
      <c r="O22">
        <f>ROUND(O17-O19-O20-O21,2)</f>
      </c>
      <c r="P22">
        <f>ROUND(P17-P19-P20-P21,2)</f>
      </c>
      <c r="Q22">
        <f>ROUND(Q17-Q19-Q20-Q21,2)</f>
      </c>
      <c r="R22">
        <f>ROUND(R17-R19-R20-R21,2)</f>
      </c>
      <c r="S22">
        <f>ROUND(S17-S19-S20-S21,2)</f>
      </c>
      <c r="T22">
        <f>ROUND(T17-T19-T20-T21,2)</f>
      </c>
    </row>
    <row r="23" spans="2:20" x14ac:dyDescent="0.25">
      <c r="B23" t="s">
        <v>317</v>
      </c>
      <c r="C23">
        <f>ROUND('Workings'!$C$62-'Workings'!$C$48+C22+C12,2)</f>
      </c>
      <c r="E23">
        <f>ROUND('Workings'!$C$62-'Workings'!$C$48+E22+E12,2)</f>
      </c>
      <c r="F23">
        <f>ROUND('Workings'!$C$62-'Workings'!$C$48+F22+F12,2)</f>
      </c>
      <c r="G23">
        <f>ROUND('Workings'!$C$62-'Workings'!$C$48+G22+G12,2)</f>
      </c>
      <c r="H23">
        <f>ROUND('Workings'!$C$62-'Workings'!$C$48+H22+H12,2)</f>
      </c>
      <c r="I23">
        <f>ROUND('Workings'!$C$62-'Workings'!$C$48+I22+I12,2)</f>
      </c>
      <c r="J23">
        <f>ROUND('Workings'!$C$62-'Workings'!$C$48+J22+J12,2)</f>
      </c>
      <c r="K23">
        <f>ROUND('Workings'!$C$62-'Workings'!$C$48+K22+K12,2)</f>
      </c>
      <c r="L23">
        <f>ROUND('Workings'!$C$62-'Workings'!$C$48+L22+L12,2)</f>
      </c>
      <c r="M23">
        <f>ROUND('Workings'!$C$62-'Workings'!$C$48+M22+M12,2)</f>
      </c>
      <c r="N23">
        <f>ROUND('Workings'!$C$62-'Workings'!$C$48+N22+N12,2)</f>
      </c>
      <c r="O23">
        <f>ROUND('Workings'!$C$62-'Workings'!$C$48+O22+O12,2)</f>
      </c>
      <c r="P23">
        <f>ROUND('Workings'!$C$62-'Workings'!$C$48+P22+P12,2)</f>
      </c>
      <c r="Q23">
        <f>ROUND('Workings'!$C$62-'Workings'!$C$48+Q22+Q12,2)</f>
      </c>
      <c r="R23">
        <f>ROUND('Workings'!$C$62-'Workings'!$C$48+R22+R12,2)</f>
      </c>
      <c r="S23">
        <f>ROUND('Workings'!$C$62-'Workings'!$C$48+S22+S12,2)</f>
      </c>
      <c r="T23">
        <f>ROUND('Workings'!$C$62-'Workings'!$C$48+T22+T12,2)</f>
      </c>
    </row>
    <row r="24" spans="2:20" x14ac:dyDescent="0.25">
      <c r="B24" t="s">
        <v>318</v>
      </c>
      <c r="C24">
        <f>ROUND('Workings'!$C$65+C10,2)</f>
      </c>
      <c r="E24">
        <f>ROUND('Workings'!$C$65+E10,2)</f>
      </c>
      <c r="F24">
        <f>ROUND('Workings'!$C$65+F10,2)</f>
      </c>
      <c r="G24">
        <f>ROUND('Workings'!$C$65+G10,2)</f>
      </c>
      <c r="H24">
        <f>ROUND('Workings'!$C$65+H10,2)</f>
      </c>
      <c r="I24">
        <f>ROUND('Workings'!$C$65+I10,2)</f>
      </c>
      <c r="J24">
        <f>ROUND('Workings'!$C$65+J10,2)</f>
      </c>
      <c r="K24">
        <f>ROUND('Workings'!$C$65+K10,2)</f>
      </c>
      <c r="L24">
        <f>ROUND('Workings'!$C$65+L10,2)</f>
      </c>
      <c r="M24">
        <f>ROUND('Workings'!$C$65+M10,2)</f>
      </c>
      <c r="N24">
        <f>ROUND('Workings'!$C$65+N10,2)</f>
      </c>
      <c r="O24">
        <f>ROUND('Workings'!$C$65+O10,2)</f>
      </c>
      <c r="P24">
        <f>ROUND('Workings'!$C$65+P10,2)</f>
      </c>
      <c r="Q24">
        <f>ROUND('Workings'!$C$65+Q10,2)</f>
      </c>
      <c r="R24">
        <f>ROUND('Workings'!$C$65+R10,2)</f>
      </c>
      <c r="S24">
        <f>ROUND('Workings'!$C$65+S10,2)</f>
      </c>
      <c r="T24">
        <f>ROUND('Workings'!$C$65+T10,2)</f>
      </c>
    </row>
    <row r="25" spans="2:20" x14ac:dyDescent="0.25">
      <c r="B25" t="s">
        <v>319</v>
      </c>
      <c r="C25">
        <f>ROUND(MAX(0,C24-C23),2)</f>
      </c>
      <c r="E25">
        <f>ROUND(MAX(0,E24-E23),2)</f>
      </c>
      <c r="F25">
        <f>ROUND(MAX(0,F24-F23),2)</f>
      </c>
      <c r="G25">
        <f>ROUND(MAX(0,G24-G23),2)</f>
      </c>
      <c r="H25">
        <f>ROUND(MAX(0,H24-H23),2)</f>
      </c>
      <c r="I25">
        <f>ROUND(MAX(0,I24-I23),2)</f>
      </c>
      <c r="J25">
        <f>ROUND(MAX(0,J24-J23),2)</f>
      </c>
      <c r="K25">
        <f>ROUND(MAX(0,K24-K23),2)</f>
      </c>
      <c r="L25">
        <f>ROUND(MAX(0,L24-L23),2)</f>
      </c>
      <c r="M25">
        <f>ROUND(MAX(0,M24-M23),2)</f>
      </c>
      <c r="N25">
        <f>ROUND(MAX(0,N24-N23),2)</f>
      </c>
      <c r="O25">
        <f>ROUND(MAX(0,O24-O23),2)</f>
      </c>
      <c r="P25">
        <f>ROUND(MAX(0,P24-P23),2)</f>
      </c>
      <c r="Q25">
        <f>ROUND(MAX(0,Q24-Q23),2)</f>
      </c>
      <c r="R25">
        <f>ROUND(MAX(0,R24-R23),2)</f>
      </c>
      <c r="S25">
        <f>ROUND(MAX(0,S24-S23),2)</f>
      </c>
      <c r="T25">
        <f>ROUND(MAX(0,T24-T23),2)</f>
      </c>
    </row>
    <row r="26" spans="2:20" x14ac:dyDescent="0.25">
      <c r="B26" t="s">
        <v>320</v>
      </c>
      <c r="C26">
        <f>ROUND(C23-C24,2)</f>
      </c>
      <c r="E26">
        <f>ROUND(E23-E24,2)</f>
      </c>
      <c r="F26">
        <f>ROUND(F23-F24,2)</f>
      </c>
      <c r="G26">
        <f>ROUND(G23-G24,2)</f>
      </c>
      <c r="H26">
        <f>ROUND(H23-H24,2)</f>
      </c>
      <c r="I26">
        <f>ROUND(I23-I24,2)</f>
      </c>
      <c r="J26">
        <f>ROUND(J23-J24,2)</f>
      </c>
      <c r="K26">
        <f>ROUND(K23-K24,2)</f>
      </c>
      <c r="L26">
        <f>ROUND(L23-L24,2)</f>
      </c>
      <c r="M26">
        <f>ROUND(M23-M24,2)</f>
      </c>
      <c r="N26">
        <f>ROUND(N23-N24,2)</f>
      </c>
      <c r="O26">
        <f>ROUND(O23-O24,2)</f>
      </c>
      <c r="P26">
        <f>ROUND(P23-P24,2)</f>
      </c>
      <c r="Q26">
        <f>ROUND(Q23-Q24,2)</f>
      </c>
      <c r="R26">
        <f>ROUND(R23-R24,2)</f>
      </c>
      <c r="S26">
        <f>ROUND(S23-S24,2)</f>
      </c>
      <c r="T26">
        <f>ROUND(T23-T24,2)</f>
      </c>
    </row>
    <row r="27" spans="2:20" x14ac:dyDescent="0.25">
      <c r="B27" t="s">
        <v>321</v>
      </c>
      <c r="C27">
        <f>ROUND(C25+SUM('Inputs'!$Y$22:$Y$39),2)</f>
      </c>
      <c r="E27">
        <f>ROUND(E25+SUM('Inputs'!$Y$22:$Y$39),2)</f>
      </c>
      <c r="F27">
        <f>ROUND(F25+SUM('Inputs'!$Y$22:$Y$39),2)</f>
      </c>
      <c r="G27">
        <f>ROUND(G25+SUM('Inputs'!$Y$22:$Y$39),2)</f>
      </c>
      <c r="H27">
        <f>ROUND(H25+SUM('Inputs'!$Y$22:$Y$39),2)</f>
      </c>
      <c r="I27">
        <f>ROUND(I25+SUM('Inputs'!$Y$22:$Y$39),2)</f>
      </c>
      <c r="J27">
        <f>ROUND(J25+SUM('Inputs'!$Y$22:$Y$39),2)</f>
      </c>
      <c r="K27">
        <f>ROUND(K25+SUM('Inputs'!$Y$22:$Y$39),2)</f>
      </c>
      <c r="L27">
        <f>ROUND(L25+SUM('Inputs'!$Y$22:$Y$39),2)</f>
      </c>
      <c r="M27">
        <f>ROUND(M25+SUM('Inputs'!$Y$22:$Y$39),2)</f>
      </c>
      <c r="N27">
        <f>ROUND(N25+SUM('Inputs'!$Y$22:$Y$39),2)</f>
      </c>
      <c r="O27">
        <f>ROUND(O25+SUM('Inputs'!$Y$22:$Y$39),2)</f>
      </c>
      <c r="P27">
        <f>ROUND(P25+SUM('Inputs'!$Y$22:$Y$39),2)</f>
      </c>
      <c r="Q27">
        <f>ROUND(Q25+SUM('Inputs'!$Y$22:$Y$39),2)</f>
      </c>
      <c r="R27">
        <f>ROUND(R25+SUM('Inputs'!$Y$22:$Y$39),2)</f>
      </c>
      <c r="S27">
        <f>ROUND(S25+SUM('Inputs'!$Y$22:$Y$39),2)</f>
      </c>
      <c r="T27">
        <f>ROUND(T25+SUM('Inputs'!$Y$22:$Y$39),2)</f>
      </c>
    </row>
    <row r="28" spans="2:20" x14ac:dyDescent="0.25">
      <c r="B28" t="s">
        <v>322</v>
      </c>
      <c r="C28">
        <f>SUM('Inputs'!$L$89:$L$94)</f>
      </c>
      <c r="E28">
        <f>SUM('Inputs'!$L$89:$L$94)</f>
      </c>
      <c r="F28">
        <f>SUM('Inputs'!$L$89:$L$94)</f>
      </c>
      <c r="G28">
        <f>SUM('Inputs'!$L$89:$L$94)</f>
      </c>
      <c r="H28">
        <f>SUM('Inputs'!$L$89:$L$94)</f>
      </c>
      <c r="I28">
        <f>SUM('Inputs'!$L$89:$L$94)</f>
      </c>
      <c r="J28">
        <f>SUM('Inputs'!$L$89:$L$94)</f>
      </c>
      <c r="K28">
        <f>SUM('Inputs'!$L$89:$L$94)</f>
      </c>
      <c r="L28">
        <f>SUM('Inputs'!$L$89:$L$94)</f>
      </c>
      <c r="M28">
        <f>SUM('Inputs'!$L$89:$L$94)</f>
      </c>
      <c r="N28">
        <f>SUM('Inputs'!$L$89:$L$94)</f>
      </c>
      <c r="O28">
        <f>SUM('Inputs'!$L$89:$L$94)</f>
      </c>
      <c r="P28">
        <f>SUM('Inputs'!$L$89:$L$94)</f>
      </c>
      <c r="Q28">
        <f>SUM('Inputs'!$L$89:$L$94)</f>
      </c>
      <c r="R28">
        <f>SUM('Inputs'!$L$89:$L$94)</f>
      </c>
      <c r="S28">
        <f>SUM('Inputs'!$L$89:$L$94)</f>
      </c>
      <c r="T28">
        <f>SUM('Inputs'!$L$89:$L$94)</f>
      </c>
    </row>
    <row r="29" spans="2:20" x14ac:dyDescent="0.25">
      <c r="B29" t="s">
        <v>323</v>
      </c>
      <c r="C29">
        <f>SUM('Inputs'!$Q$89:$Q$94)</f>
      </c>
      <c r="E29">
        <f>SUM('Inputs'!$Q$89:$Q$94)</f>
      </c>
      <c r="F29">
        <f>SUM('Inputs'!$Q$89:$Q$94)</f>
      </c>
      <c r="G29">
        <f>SUM('Inputs'!$Q$89:$Q$94)</f>
      </c>
      <c r="H29">
        <f>SUM('Inputs'!$Q$89:$Q$94)</f>
      </c>
      <c r="I29">
        <f>SUM('Inputs'!$Q$89:$Q$94)</f>
      </c>
      <c r="J29">
        <f>SUM('Inputs'!$Q$89:$Q$94)</f>
      </c>
      <c r="K29">
        <f>SUM('Inputs'!$Q$89:$Q$94)</f>
      </c>
      <c r="L29">
        <f>SUM('Inputs'!$Q$89:$Q$94)</f>
      </c>
      <c r="M29">
        <f>SUM('Inputs'!$Q$89:$Q$94)</f>
      </c>
      <c r="N29">
        <f>SUM('Inputs'!$Q$89:$Q$94)</f>
      </c>
      <c r="O29">
        <f>SUM('Inputs'!$Q$89:$Q$94)</f>
      </c>
      <c r="P29">
        <f>SUM('Inputs'!$Q$89:$Q$94)</f>
      </c>
      <c r="Q29">
        <f>SUM('Inputs'!$Q$89:$Q$94)</f>
      </c>
      <c r="R29">
        <f>SUM('Inputs'!$Q$89:$Q$94)</f>
      </c>
      <c r="S29">
        <f>SUM('Inputs'!$Q$89:$Q$94)</f>
      </c>
      <c r="T29">
        <f>SUM('Inputs'!$Q$89:$Q$94)</f>
      </c>
    </row>
    <row r="30" spans="2:20" x14ac:dyDescent="0.25">
      <c r="B30" t="s">
        <v>324</v>
      </c>
      <c r="C30">
        <f>IF('Inputs'!$C$14="Spouse","S",IF('Inputs'!$C$95="Not to the dependants","N","K"))</f>
      </c>
      <c r="E30">
        <f>IF('Inputs'!$C$14="Spouse","S",IF('Inputs'!$C$95="Not to the dependants","N","K"))</f>
      </c>
      <c r="F30">
        <f>IF('Inputs'!$C$14="Spouse","S",IF('Inputs'!$C$95="Not to the dependants","N","K"))</f>
      </c>
      <c r="G30">
        <f>IF('Inputs'!$C$14="Spouse","S",IF('Inputs'!$C$95="Not to the dependants","N","K"))</f>
      </c>
      <c r="H30">
        <f>IF('Inputs'!$C$14="Spouse","S",IF('Inputs'!$C$95="Not to the dependants","N","K"))</f>
      </c>
      <c r="I30">
        <f>IF('Inputs'!$C$14="Spouse","S",IF('Inputs'!$C$95="Not to the dependants","N","K"))</f>
      </c>
      <c r="J30">
        <f>IF('Inputs'!$C$14="Spouse","S",IF('Inputs'!$C$95="Not to the dependants","N","K"))</f>
      </c>
      <c r="K30">
        <f>IF('Inputs'!$C$14="Spouse","S",IF('Inputs'!$C$95="Not to the dependants","N","K"))</f>
      </c>
      <c r="L30">
        <f>IF('Inputs'!$C$14="Spouse","S",IF('Inputs'!$C$95="Not to the dependants","N","K"))</f>
      </c>
      <c r="M30">
        <f>IF('Inputs'!$C$14="Spouse","S",IF('Inputs'!$C$95="Not to the dependants","N","K"))</f>
      </c>
      <c r="N30">
        <f>IF('Inputs'!$C$14="Spouse","S",IF('Inputs'!$C$95="Not to the dependants","N","K"))</f>
      </c>
      <c r="O30">
        <f>IF('Inputs'!$C$14="Spouse","S",IF('Inputs'!$C$95="Not to the dependants","N","K"))</f>
      </c>
      <c r="P30">
        <f>IF('Inputs'!$C$14="Spouse","S",IF('Inputs'!$C$95="Not to the dependants","N","K"))</f>
      </c>
      <c r="Q30">
        <f>IF('Inputs'!$C$14="Spouse","S",IF('Inputs'!$C$95="Not to the dependants","N","K"))</f>
      </c>
      <c r="R30">
        <f>IF('Inputs'!$C$14="Spouse","S",IF('Inputs'!$C$95="Not to the dependants","N","K"))</f>
      </c>
      <c r="S30">
        <f>IF('Inputs'!$C$14="Spouse","S",IF('Inputs'!$C$95="Not to the dependants","N","K"))</f>
      </c>
      <c r="T30">
        <f>IF('Inputs'!$C$14="Spouse","S",IF('Inputs'!$C$95="Not to the dependants","N","K"))</f>
      </c>
    </row>
    <row r="31" spans="2:20" x14ac:dyDescent="0.25">
      <c r="B31" t="s">
        <v>325</v>
      </c>
      <c r="C31">
        <f>IF(C28=0,0,ROUNDDOWN(C27/C28,2))</f>
      </c>
      <c r="E31">
        <f>IF(E28=0,0,ROUNDDOWN(E27/E28,2))</f>
      </c>
      <c r="F31">
        <f>IF(F28=0,0,ROUNDDOWN(F27/F28,2))</f>
      </c>
      <c r="G31">
        <f>IF(G28=0,0,ROUNDDOWN(G27/G28,2))</f>
      </c>
      <c r="H31">
        <f>IF(H28=0,0,ROUNDDOWN(H27/H28,2))</f>
      </c>
      <c r="I31">
        <f>IF(I28=0,0,ROUNDDOWN(I27/I28,2))</f>
      </c>
      <c r="J31">
        <f>IF(J28=0,0,ROUNDDOWN(J27/J28,2))</f>
      </c>
      <c r="K31">
        <f>IF(K28=0,0,ROUNDDOWN(K27/K28,2))</f>
      </c>
      <c r="L31">
        <f>IF(L28=0,0,ROUNDDOWN(L27/L28,2))</f>
      </c>
      <c r="M31">
        <f>IF(M28=0,0,ROUNDDOWN(M27/M28,2))</f>
      </c>
      <c r="N31">
        <f>IF(N28=0,0,ROUNDDOWN(N27/N28,2))</f>
      </c>
      <c r="O31">
        <f>IF(O28=0,0,ROUNDDOWN(O27/O28,2))</f>
      </c>
      <c r="P31">
        <f>IF(P28=0,0,ROUNDDOWN(P27/P28,2))</f>
      </c>
      <c r="Q31">
        <f>IF(Q28=0,0,ROUNDDOWN(Q27/Q28,2))</f>
      </c>
      <c r="R31">
        <f>IF(R28=0,0,ROUNDDOWN(R27/R28,2))</f>
      </c>
      <c r="S31">
        <f>IF(S28=0,0,ROUNDDOWN(S27/S28,2))</f>
      </c>
      <c r="T31">
        <f>IF(T28=0,0,ROUNDDOWN(T27/T28,2))</f>
      </c>
    </row>
    <row r="32" spans="2:20" x14ac:dyDescent="0.25">
      <c r="B32" t="s">
        <v>326</v>
      </c>
      <c r="C32">
        <f>ROUND(C27-C31*(C28-1),2)</f>
      </c>
      <c r="E32">
        <f>ROUND(E27-E31*(E28-1),2)</f>
      </c>
      <c r="F32">
        <f>ROUND(F27-F31*(F28-1),2)</f>
      </c>
      <c r="G32">
        <f>ROUND(G27-G31*(G28-1),2)</f>
      </c>
      <c r="H32">
        <f>ROUND(H27-H31*(H28-1),2)</f>
      </c>
      <c r="I32">
        <f>ROUND(I27-I31*(I28-1),2)</f>
      </c>
      <c r="J32">
        <f>ROUND(J27-J31*(J28-1),2)</f>
      </c>
      <c r="K32">
        <f>ROUND(K27-K31*(K28-1),2)</f>
      </c>
      <c r="L32">
        <f>ROUND(L27-L31*(L28-1),2)</f>
      </c>
      <c r="M32">
        <f>ROUND(M27-M31*(M28-1),2)</f>
      </c>
      <c r="N32">
        <f>ROUND(N27-N31*(N28-1),2)</f>
      </c>
      <c r="O32">
        <f>ROUND(O27-O31*(O28-1),2)</f>
      </c>
      <c r="P32">
        <f>ROUND(P27-P31*(P28-1),2)</f>
      </c>
      <c r="Q32">
        <f>ROUND(Q27-Q31*(Q28-1),2)</f>
      </c>
      <c r="R32">
        <f>ROUND(R27-R31*(R28-1),2)</f>
      </c>
      <c r="S32">
        <f>ROUND(S27-S31*(S28-1),2)</f>
      </c>
      <c r="T32">
        <f>ROUND(T27-T31*(T28-1),2)</f>
      </c>
    </row>
    <row r="33" spans="2:20" x14ac:dyDescent="0.25">
      <c r="B33" t="s">
        <v>327</v>
      </c>
      <c r="C33">
        <f>IF(C29=0,0,SUMPRODUCT('Inputs'!$Q$59:$Q$70,ROUNDDOWN(('Inputs'!$D$59:$D$70-'Inputs'!$R$59:$R$70*ROUND(C18*'Inputs'!$D$59:$D$70,2))/C29,2)))</f>
      </c>
      <c r="E33">
        <f>IF(E29=0,0,SUMPRODUCT('Inputs'!$Q$59:$Q$70,ROUNDDOWN(('Inputs'!$D$59:$D$70-'Inputs'!$R$59:$R$70*ROUND(E18*'Inputs'!$D$59:$D$70,2))/E29,2)))</f>
      </c>
      <c r="F33">
        <f>IF(F29=0,0,SUMPRODUCT('Inputs'!$Q$59:$Q$70,ROUNDDOWN(('Inputs'!$D$59:$D$70-'Inputs'!$R$59:$R$70*ROUND(F18*'Inputs'!$D$59:$D$70,2))/F29,2)))</f>
      </c>
      <c r="G33">
        <f>IF(G29=0,0,SUMPRODUCT('Inputs'!$Q$59:$Q$70,ROUNDDOWN(('Inputs'!$D$59:$D$70-'Inputs'!$R$59:$R$70*ROUND(G18*'Inputs'!$D$59:$D$70,2))/G29,2)))</f>
      </c>
      <c r="H33">
        <f>IF(H29=0,0,SUMPRODUCT('Inputs'!$Q$59:$Q$70,ROUNDDOWN(('Inputs'!$D$59:$D$70-'Inputs'!$R$59:$R$70*ROUND(H18*'Inputs'!$D$59:$D$70,2))/H29,2)))</f>
      </c>
      <c r="I33">
        <f>IF(I29=0,0,SUMPRODUCT('Inputs'!$Q$59:$Q$70,ROUNDDOWN(('Inputs'!$D$59:$D$70-'Inputs'!$R$59:$R$70*ROUND(I18*'Inputs'!$D$59:$D$70,2))/I29,2)))</f>
      </c>
      <c r="J33">
        <f>IF(J29=0,0,SUMPRODUCT('Inputs'!$Q$59:$Q$70,ROUNDDOWN(('Inputs'!$D$59:$D$70-'Inputs'!$R$59:$R$70*ROUND(J18*'Inputs'!$D$59:$D$70,2))/J29,2)))</f>
      </c>
      <c r="K33">
        <f>IF(K29=0,0,SUMPRODUCT('Inputs'!$Q$59:$Q$70,ROUNDDOWN(('Inputs'!$D$59:$D$70-'Inputs'!$R$59:$R$70*ROUND(K18*'Inputs'!$D$59:$D$70,2))/K29,2)))</f>
      </c>
      <c r="L33">
        <f>IF(L29=0,0,SUMPRODUCT('Inputs'!$Q$59:$Q$70,ROUNDDOWN(('Inputs'!$D$59:$D$70-'Inputs'!$R$59:$R$70*ROUND(L18*'Inputs'!$D$59:$D$70,2))/L29,2)))</f>
      </c>
      <c r="M33">
        <f>IF(M29=0,0,SUMPRODUCT('Inputs'!$Q$59:$Q$70,ROUNDDOWN(('Inputs'!$D$59:$D$70-'Inputs'!$R$59:$R$70*ROUND(M18*'Inputs'!$D$59:$D$70,2))/M29,2)))</f>
      </c>
      <c r="N33">
        <f>IF(N29=0,0,SUMPRODUCT('Inputs'!$Q$59:$Q$70,ROUNDDOWN(('Inputs'!$D$59:$D$70-'Inputs'!$R$59:$R$70*ROUND(N18*'Inputs'!$D$59:$D$70,2))/N29,2)))</f>
      </c>
      <c r="O33">
        <f>IF(O29=0,0,SUMPRODUCT('Inputs'!$Q$59:$Q$70,ROUNDDOWN(('Inputs'!$D$59:$D$70-'Inputs'!$R$59:$R$70*ROUND(O18*'Inputs'!$D$59:$D$70,2))/O29,2)))</f>
      </c>
      <c r="P33">
        <f>IF(P29=0,0,SUMPRODUCT('Inputs'!$Q$59:$Q$70,ROUNDDOWN(('Inputs'!$D$59:$D$70-'Inputs'!$R$59:$R$70*ROUND(P18*'Inputs'!$D$59:$D$70,2))/P29,2)))</f>
      </c>
      <c r="Q33">
        <f>IF(Q29=0,0,SUMPRODUCT('Inputs'!$Q$59:$Q$70,ROUNDDOWN(('Inputs'!$D$59:$D$70-'Inputs'!$R$59:$R$70*ROUND(Q18*'Inputs'!$D$59:$D$70,2))/Q29,2)))</f>
      </c>
      <c r="R33">
        <f>IF(R29=0,0,SUMPRODUCT('Inputs'!$Q$59:$Q$70,ROUNDDOWN(('Inputs'!$D$59:$D$70-'Inputs'!$R$59:$R$70*ROUND(R18*'Inputs'!$D$59:$D$70,2))/R29,2)))</f>
      </c>
      <c r="S33">
        <f>IF(S29=0,0,SUMPRODUCT('Inputs'!$Q$59:$Q$70,ROUNDDOWN(('Inputs'!$D$59:$D$70-'Inputs'!$R$59:$R$70*ROUND(S18*'Inputs'!$D$59:$D$70,2))/S29,2)))</f>
      </c>
      <c r="T33">
        <f>IF(T29=0,0,SUMPRODUCT('Inputs'!$Q$59:$Q$70,ROUNDDOWN(('Inputs'!$D$59:$D$70-'Inputs'!$R$59:$R$70*ROUND(T18*'Inputs'!$D$59:$D$70,2))/T29,2)))</f>
      </c>
    </row>
    <row r="34" spans="2:20" x14ac:dyDescent="0.25">
      <c r="B34" t="s">
        <v>328</v>
      </c>
      <c r="C34">
        <f>IF(C29=0,0,SUMPRODUCT('Inputs'!$Q$59:$Q$70,('Inputs'!$D$59:$D$70-'Inputs'!$R$59:$R$70*ROUND(C18*'Inputs'!$D$59:$D$70,2))-ROUNDDOWN(('Inputs'!$D$59:$D$70-'Inputs'!$R$59:$R$70*ROUND(C18*'Inputs'!$D$59:$D$70,2))/C29,2)*(C29-1)))</f>
      </c>
      <c r="E34">
        <f>IF(E29=0,0,SUMPRODUCT('Inputs'!$Q$59:$Q$70,('Inputs'!$D$59:$D$70-'Inputs'!$R$59:$R$70*ROUND(E18*'Inputs'!$D$59:$D$70,2))-ROUNDDOWN(('Inputs'!$D$59:$D$70-'Inputs'!$R$59:$R$70*ROUND(E18*'Inputs'!$D$59:$D$70,2))/E29,2)*(E29-1)))</f>
      </c>
      <c r="F34">
        <f>IF(F29=0,0,SUMPRODUCT('Inputs'!$Q$59:$Q$70,('Inputs'!$D$59:$D$70-'Inputs'!$R$59:$R$70*ROUND(F18*'Inputs'!$D$59:$D$70,2))-ROUNDDOWN(('Inputs'!$D$59:$D$70-'Inputs'!$R$59:$R$70*ROUND(F18*'Inputs'!$D$59:$D$70,2))/F29,2)*(F29-1)))</f>
      </c>
      <c r="G34">
        <f>IF(G29=0,0,SUMPRODUCT('Inputs'!$Q$59:$Q$70,('Inputs'!$D$59:$D$70-'Inputs'!$R$59:$R$70*ROUND(G18*'Inputs'!$D$59:$D$70,2))-ROUNDDOWN(('Inputs'!$D$59:$D$70-'Inputs'!$R$59:$R$70*ROUND(G18*'Inputs'!$D$59:$D$70,2))/G29,2)*(G29-1)))</f>
      </c>
      <c r="H34">
        <f>IF(H29=0,0,SUMPRODUCT('Inputs'!$Q$59:$Q$70,('Inputs'!$D$59:$D$70-'Inputs'!$R$59:$R$70*ROUND(H18*'Inputs'!$D$59:$D$70,2))-ROUNDDOWN(('Inputs'!$D$59:$D$70-'Inputs'!$R$59:$R$70*ROUND(H18*'Inputs'!$D$59:$D$70,2))/H29,2)*(H29-1)))</f>
      </c>
      <c r="I34">
        <f>IF(I29=0,0,SUMPRODUCT('Inputs'!$Q$59:$Q$70,('Inputs'!$D$59:$D$70-'Inputs'!$R$59:$R$70*ROUND(I18*'Inputs'!$D$59:$D$70,2))-ROUNDDOWN(('Inputs'!$D$59:$D$70-'Inputs'!$R$59:$R$70*ROUND(I18*'Inputs'!$D$59:$D$70,2))/I29,2)*(I29-1)))</f>
      </c>
      <c r="J34">
        <f>IF(J29=0,0,SUMPRODUCT('Inputs'!$Q$59:$Q$70,('Inputs'!$D$59:$D$70-'Inputs'!$R$59:$R$70*ROUND(J18*'Inputs'!$D$59:$D$70,2))-ROUNDDOWN(('Inputs'!$D$59:$D$70-'Inputs'!$R$59:$R$70*ROUND(J18*'Inputs'!$D$59:$D$70,2))/J29,2)*(J29-1)))</f>
      </c>
      <c r="K34">
        <f>IF(K29=0,0,SUMPRODUCT('Inputs'!$Q$59:$Q$70,('Inputs'!$D$59:$D$70-'Inputs'!$R$59:$R$70*ROUND(K18*'Inputs'!$D$59:$D$70,2))-ROUNDDOWN(('Inputs'!$D$59:$D$70-'Inputs'!$R$59:$R$70*ROUND(K18*'Inputs'!$D$59:$D$70,2))/K29,2)*(K29-1)))</f>
      </c>
      <c r="L34">
        <f>IF(L29=0,0,SUMPRODUCT('Inputs'!$Q$59:$Q$70,('Inputs'!$D$59:$D$70-'Inputs'!$R$59:$R$70*ROUND(L18*'Inputs'!$D$59:$D$70,2))-ROUNDDOWN(('Inputs'!$D$59:$D$70-'Inputs'!$R$59:$R$70*ROUND(L18*'Inputs'!$D$59:$D$70,2))/L29,2)*(L29-1)))</f>
      </c>
      <c r="M34">
        <f>IF(M29=0,0,SUMPRODUCT('Inputs'!$Q$59:$Q$70,('Inputs'!$D$59:$D$70-'Inputs'!$R$59:$R$70*ROUND(M18*'Inputs'!$D$59:$D$70,2))-ROUNDDOWN(('Inputs'!$D$59:$D$70-'Inputs'!$R$59:$R$70*ROUND(M18*'Inputs'!$D$59:$D$70,2))/M29,2)*(M29-1)))</f>
      </c>
      <c r="N34">
        <f>IF(N29=0,0,SUMPRODUCT('Inputs'!$Q$59:$Q$70,('Inputs'!$D$59:$D$70-'Inputs'!$R$59:$R$70*ROUND(N18*'Inputs'!$D$59:$D$70,2))-ROUNDDOWN(('Inputs'!$D$59:$D$70-'Inputs'!$R$59:$R$70*ROUND(N18*'Inputs'!$D$59:$D$70,2))/N29,2)*(N29-1)))</f>
      </c>
      <c r="O34">
        <f>IF(O29=0,0,SUMPRODUCT('Inputs'!$Q$59:$Q$70,('Inputs'!$D$59:$D$70-'Inputs'!$R$59:$R$70*ROUND(O18*'Inputs'!$D$59:$D$70,2))-ROUNDDOWN(('Inputs'!$D$59:$D$70-'Inputs'!$R$59:$R$70*ROUND(O18*'Inputs'!$D$59:$D$70,2))/O29,2)*(O29-1)))</f>
      </c>
      <c r="P34">
        <f>IF(P29=0,0,SUMPRODUCT('Inputs'!$Q$59:$Q$70,('Inputs'!$D$59:$D$70-'Inputs'!$R$59:$R$70*ROUND(P18*'Inputs'!$D$59:$D$70,2))-ROUNDDOWN(('Inputs'!$D$59:$D$70-'Inputs'!$R$59:$R$70*ROUND(P18*'Inputs'!$D$59:$D$70,2))/P29,2)*(P29-1)))</f>
      </c>
      <c r="Q34">
        <f>IF(Q29=0,0,SUMPRODUCT('Inputs'!$Q$59:$Q$70,('Inputs'!$D$59:$D$70-'Inputs'!$R$59:$R$70*ROUND(Q18*'Inputs'!$D$59:$D$70,2))-ROUNDDOWN(('Inputs'!$D$59:$D$70-'Inputs'!$R$59:$R$70*ROUND(Q18*'Inputs'!$D$59:$D$70,2))/Q29,2)*(Q29-1)))</f>
      </c>
      <c r="R34">
        <f>IF(R29=0,0,SUMPRODUCT('Inputs'!$Q$59:$Q$70,('Inputs'!$D$59:$D$70-'Inputs'!$R$59:$R$70*ROUND(R18*'Inputs'!$D$59:$D$70,2))-ROUNDDOWN(('Inputs'!$D$59:$D$70-'Inputs'!$R$59:$R$70*ROUND(R18*'Inputs'!$D$59:$D$70,2))/R29,2)*(R29-1)))</f>
      </c>
      <c r="S34">
        <f>IF(S29=0,0,SUMPRODUCT('Inputs'!$Q$59:$Q$70,('Inputs'!$D$59:$D$70-'Inputs'!$R$59:$R$70*ROUND(S18*'Inputs'!$D$59:$D$70,2))-ROUNDDOWN(('Inputs'!$D$59:$D$70-'Inputs'!$R$59:$R$70*ROUND(S18*'Inputs'!$D$59:$D$70,2))/S29,2)*(S29-1)))</f>
      </c>
      <c r="T34">
        <f>IF(T29=0,0,SUMPRODUCT('Inputs'!$Q$59:$Q$70,('Inputs'!$D$59:$D$70-'Inputs'!$R$59:$R$70*ROUND(T18*'Inputs'!$D$59:$D$70,2))-ROUNDDOWN(('Inputs'!$D$59:$D$70-'Inputs'!$R$59:$R$70*ROUND(T18*'Inputs'!$D$59:$D$70,2))/T29,2)*(T29-1)))</f>
      </c>
    </row>
    <row r="35" spans="2:20" x14ac:dyDescent="0.25">
      <c r="B35" t="s">
        <v>329</v>
      </c>
      <c r="C35">
        <f>IF(C29=0,0,SUMPRODUCT(('Inputs'!$F$76:$F$83="The children's trust")*ROUNDDOWN('Inputs'!$J$76:$J$83/C29,2)))</f>
      </c>
      <c r="E35">
        <f>IF(E29=0,0,SUMPRODUCT(('Inputs'!$F$76:$F$83="The children's trust")*ROUNDDOWN('Inputs'!$J$76:$J$83/E29,2)))</f>
      </c>
      <c r="F35">
        <f>IF(F29=0,0,SUMPRODUCT(('Inputs'!$F$76:$F$83="The children's trust")*ROUNDDOWN('Inputs'!$J$76:$J$83/F29,2)))</f>
      </c>
      <c r="G35">
        <f>IF(G29=0,0,SUMPRODUCT(('Inputs'!$F$76:$F$83="The children's trust")*ROUNDDOWN('Inputs'!$J$76:$J$83/G29,2)))</f>
      </c>
      <c r="H35">
        <f>IF(H29=0,0,SUMPRODUCT(('Inputs'!$F$76:$F$83="The children's trust")*ROUNDDOWN('Inputs'!$J$76:$J$83/H29,2)))</f>
      </c>
      <c r="I35">
        <f>IF(I29=0,0,SUMPRODUCT(('Inputs'!$F$76:$F$83="The children's trust")*ROUNDDOWN('Inputs'!$J$76:$J$83/I29,2)))</f>
      </c>
      <c r="J35">
        <f>IF(J29=0,0,SUMPRODUCT(('Inputs'!$F$76:$F$83="The children's trust")*ROUNDDOWN('Inputs'!$J$76:$J$83/J29,2)))</f>
      </c>
      <c r="K35">
        <f>IF(K29=0,0,SUMPRODUCT(('Inputs'!$F$76:$F$83="The children's trust")*ROUNDDOWN('Inputs'!$J$76:$J$83/K29,2)))</f>
      </c>
      <c r="L35">
        <f>IF(L29=0,0,SUMPRODUCT(('Inputs'!$F$76:$F$83="The children's trust")*ROUNDDOWN('Inputs'!$J$76:$J$83/L29,2)))</f>
      </c>
      <c r="M35">
        <f>IF(M29=0,0,SUMPRODUCT(('Inputs'!$F$76:$F$83="The children's trust")*ROUNDDOWN('Inputs'!$J$76:$J$83/M29,2)))</f>
      </c>
      <c r="N35">
        <f>IF(N29=0,0,SUMPRODUCT(('Inputs'!$F$76:$F$83="The children's trust")*ROUNDDOWN('Inputs'!$J$76:$J$83/N29,2)))</f>
      </c>
      <c r="O35">
        <f>IF(O29=0,0,SUMPRODUCT(('Inputs'!$F$76:$F$83="The children's trust")*ROUNDDOWN('Inputs'!$J$76:$J$83/O29,2)))</f>
      </c>
      <c r="P35">
        <f>IF(P29=0,0,SUMPRODUCT(('Inputs'!$F$76:$F$83="The children's trust")*ROUNDDOWN('Inputs'!$J$76:$J$83/P29,2)))</f>
      </c>
      <c r="Q35">
        <f>IF(Q29=0,0,SUMPRODUCT(('Inputs'!$F$76:$F$83="The children's trust")*ROUNDDOWN('Inputs'!$J$76:$J$83/Q29,2)))</f>
      </c>
      <c r="R35">
        <f>IF(R29=0,0,SUMPRODUCT(('Inputs'!$F$76:$F$83="The children's trust")*ROUNDDOWN('Inputs'!$J$76:$J$83/R29,2)))</f>
      </c>
      <c r="S35">
        <f>IF(S29=0,0,SUMPRODUCT(('Inputs'!$F$76:$F$83="The children's trust")*ROUNDDOWN('Inputs'!$J$76:$J$83/S29,2)))</f>
      </c>
      <c r="T35">
        <f>IF(T29=0,0,SUMPRODUCT(('Inputs'!$F$76:$F$83="The children's trust")*ROUNDDOWN('Inputs'!$J$76:$J$83/T29,2)))</f>
      </c>
    </row>
    <row r="36" spans="2:20" x14ac:dyDescent="0.25">
      <c r="B36" t="s">
        <v>330</v>
      </c>
      <c r="C36">
        <f>IF(C29=0,0,SUMPRODUCT(('Inputs'!$F$76:$F$83="The children's trust")*('Inputs'!$J$76:$J$83-ROUNDDOWN('Inputs'!$J$76:$J$83/C29,2)*(C29-1))))</f>
      </c>
      <c r="E36">
        <f>IF(E29=0,0,SUMPRODUCT(('Inputs'!$F$76:$F$83="The children's trust")*('Inputs'!$J$76:$J$83-ROUNDDOWN('Inputs'!$J$76:$J$83/E29,2)*(E29-1))))</f>
      </c>
      <c r="F36">
        <f>IF(F29=0,0,SUMPRODUCT(('Inputs'!$F$76:$F$83="The children's trust")*('Inputs'!$J$76:$J$83-ROUNDDOWN('Inputs'!$J$76:$J$83/F29,2)*(F29-1))))</f>
      </c>
      <c r="G36">
        <f>IF(G29=0,0,SUMPRODUCT(('Inputs'!$F$76:$F$83="The children's trust")*('Inputs'!$J$76:$J$83-ROUNDDOWN('Inputs'!$J$76:$J$83/G29,2)*(G29-1))))</f>
      </c>
      <c r="H36">
        <f>IF(H29=0,0,SUMPRODUCT(('Inputs'!$F$76:$F$83="The children's trust")*('Inputs'!$J$76:$J$83-ROUNDDOWN('Inputs'!$J$76:$J$83/H29,2)*(H29-1))))</f>
      </c>
      <c r="I36">
        <f>IF(I29=0,0,SUMPRODUCT(('Inputs'!$F$76:$F$83="The children's trust")*('Inputs'!$J$76:$J$83-ROUNDDOWN('Inputs'!$J$76:$J$83/I29,2)*(I29-1))))</f>
      </c>
      <c r="J36">
        <f>IF(J29=0,0,SUMPRODUCT(('Inputs'!$F$76:$F$83="The children's trust")*('Inputs'!$J$76:$J$83-ROUNDDOWN('Inputs'!$J$76:$J$83/J29,2)*(J29-1))))</f>
      </c>
      <c r="K36">
        <f>IF(K29=0,0,SUMPRODUCT(('Inputs'!$F$76:$F$83="The children's trust")*('Inputs'!$J$76:$J$83-ROUNDDOWN('Inputs'!$J$76:$J$83/K29,2)*(K29-1))))</f>
      </c>
      <c r="L36">
        <f>IF(L29=0,0,SUMPRODUCT(('Inputs'!$F$76:$F$83="The children's trust")*('Inputs'!$J$76:$J$83-ROUNDDOWN('Inputs'!$J$76:$J$83/L29,2)*(L29-1))))</f>
      </c>
      <c r="M36">
        <f>IF(M29=0,0,SUMPRODUCT(('Inputs'!$F$76:$F$83="The children's trust")*('Inputs'!$J$76:$J$83-ROUNDDOWN('Inputs'!$J$76:$J$83/M29,2)*(M29-1))))</f>
      </c>
      <c r="N36">
        <f>IF(N29=0,0,SUMPRODUCT(('Inputs'!$F$76:$F$83="The children's trust")*('Inputs'!$J$76:$J$83-ROUNDDOWN('Inputs'!$J$76:$J$83/N29,2)*(N29-1))))</f>
      </c>
      <c r="O36">
        <f>IF(O29=0,0,SUMPRODUCT(('Inputs'!$F$76:$F$83="The children's trust")*('Inputs'!$J$76:$J$83-ROUNDDOWN('Inputs'!$J$76:$J$83/O29,2)*(O29-1))))</f>
      </c>
      <c r="P36">
        <f>IF(P29=0,0,SUMPRODUCT(('Inputs'!$F$76:$F$83="The children's trust")*('Inputs'!$J$76:$J$83-ROUNDDOWN('Inputs'!$J$76:$J$83/P29,2)*(P29-1))))</f>
      </c>
      <c r="Q36">
        <f>IF(Q29=0,0,SUMPRODUCT(('Inputs'!$F$76:$F$83="The children's trust")*('Inputs'!$J$76:$J$83-ROUNDDOWN('Inputs'!$J$76:$J$83/Q29,2)*(Q29-1))))</f>
      </c>
      <c r="R36">
        <f>IF(R29=0,0,SUMPRODUCT(('Inputs'!$F$76:$F$83="The children's trust")*('Inputs'!$J$76:$J$83-ROUNDDOWN('Inputs'!$J$76:$J$83/R29,2)*(R29-1))))</f>
      </c>
      <c r="S36">
        <f>IF(S29=0,0,SUMPRODUCT(('Inputs'!$F$76:$F$83="The children's trust")*('Inputs'!$J$76:$J$83-ROUNDDOWN('Inputs'!$J$76:$J$83/S29,2)*(S29-1))))</f>
      </c>
      <c r="T36">
        <f>IF(T29=0,0,SUMPRODUCT(('Inputs'!$F$76:$F$83="The children's trust")*('Inputs'!$J$76:$J$83-ROUNDDOWN('Inputs'!$J$76:$J$83/T29,2)*(T29-1))))</f>
      </c>
    </row>
    <row r="37" spans="2:20" x14ac:dyDescent="0.25">
      <c r="B37" t="s">
        <v>331</v>
      </c>
      <c r="C37">
        <f>SUMPRODUCT('Inputs'!$R$59:$R$70*('Inputs'!$F$59:$F$70=""),'Inputs'!$D$59:$D$70)</f>
      </c>
      <c r="E37">
        <f>SUMPRODUCT('Inputs'!$R$59:$R$70*('Inputs'!$F$59:$F$70=""),'Inputs'!$D$59:$D$70)</f>
      </c>
      <c r="F37">
        <f>SUMPRODUCT('Inputs'!$R$59:$R$70*('Inputs'!$F$59:$F$70=""),'Inputs'!$D$59:$D$70)</f>
      </c>
      <c r="G37">
        <f>SUMPRODUCT('Inputs'!$R$59:$R$70*('Inputs'!$F$59:$F$70=""),'Inputs'!$D$59:$D$70)</f>
      </c>
      <c r="H37">
        <f>SUMPRODUCT('Inputs'!$R$59:$R$70*('Inputs'!$F$59:$F$70=""),'Inputs'!$D$59:$D$70)</f>
      </c>
      <c r="I37">
        <f>SUMPRODUCT('Inputs'!$R$59:$R$70*('Inputs'!$F$59:$F$70=""),'Inputs'!$D$59:$D$70)</f>
      </c>
      <c r="J37">
        <f>SUMPRODUCT('Inputs'!$R$59:$R$70*('Inputs'!$F$59:$F$70=""),'Inputs'!$D$59:$D$70)</f>
      </c>
      <c r="K37">
        <f>SUMPRODUCT('Inputs'!$R$59:$R$70*('Inputs'!$F$59:$F$70=""),'Inputs'!$D$59:$D$70)</f>
      </c>
      <c r="L37">
        <f>SUMPRODUCT('Inputs'!$R$59:$R$70*('Inputs'!$F$59:$F$70=""),'Inputs'!$D$59:$D$70)</f>
      </c>
      <c r="M37">
        <f>SUMPRODUCT('Inputs'!$R$59:$R$70*('Inputs'!$F$59:$F$70=""),'Inputs'!$D$59:$D$70)</f>
      </c>
      <c r="N37">
        <f>SUMPRODUCT('Inputs'!$R$59:$R$70*('Inputs'!$F$59:$F$70=""),'Inputs'!$D$59:$D$70)</f>
      </c>
      <c r="O37">
        <f>SUMPRODUCT('Inputs'!$R$59:$R$70*('Inputs'!$F$59:$F$70=""),'Inputs'!$D$59:$D$70)</f>
      </c>
      <c r="P37">
        <f>SUMPRODUCT('Inputs'!$R$59:$R$70*('Inputs'!$F$59:$F$70=""),'Inputs'!$D$59:$D$70)</f>
      </c>
      <c r="Q37">
        <f>SUMPRODUCT('Inputs'!$R$59:$R$70*('Inputs'!$F$59:$F$70=""),'Inputs'!$D$59:$D$70)</f>
      </c>
      <c r="R37">
        <f>SUMPRODUCT('Inputs'!$R$59:$R$70*('Inputs'!$F$59:$F$70=""),'Inputs'!$D$59:$D$70)</f>
      </c>
      <c r="S37">
        <f>SUMPRODUCT('Inputs'!$R$59:$R$70*('Inputs'!$F$59:$F$70=""),'Inputs'!$D$59:$D$70)</f>
      </c>
      <c r="T37">
        <f>SUMPRODUCT('Inputs'!$R$59:$R$70*('Inputs'!$F$59:$F$70=""),'Inputs'!$D$59:$D$70)</f>
      </c>
    </row>
    <row r="38" spans="2:20" x14ac:dyDescent="0.25">
      <c r="B38" t="s">
        <v>332</v>
      </c>
      <c r="C38">
        <f>SUMPRODUCT('Inputs'!$R$59:$R$70*('Inputs'!$F$59:$F$70=""),ROUND(C18*'Inputs'!$D$59:$D$70,2))</f>
      </c>
      <c r="E38">
        <f>SUMPRODUCT('Inputs'!$R$59:$R$70*('Inputs'!$F$59:$F$70=""),ROUND(E18*'Inputs'!$D$59:$D$70,2))</f>
      </c>
      <c r="F38">
        <f>SUMPRODUCT('Inputs'!$R$59:$R$70*('Inputs'!$F$59:$F$70=""),ROUND(F18*'Inputs'!$D$59:$D$70,2))</f>
      </c>
      <c r="G38">
        <f>SUMPRODUCT('Inputs'!$R$59:$R$70*('Inputs'!$F$59:$F$70=""),ROUND(G18*'Inputs'!$D$59:$D$70,2))</f>
      </c>
      <c r="H38">
        <f>SUMPRODUCT('Inputs'!$R$59:$R$70*('Inputs'!$F$59:$F$70=""),ROUND(H18*'Inputs'!$D$59:$D$70,2))</f>
      </c>
      <c r="I38">
        <f>SUMPRODUCT('Inputs'!$R$59:$R$70*('Inputs'!$F$59:$F$70=""),ROUND(I18*'Inputs'!$D$59:$D$70,2))</f>
      </c>
      <c r="J38">
        <f>SUMPRODUCT('Inputs'!$R$59:$R$70*('Inputs'!$F$59:$F$70=""),ROUND(J18*'Inputs'!$D$59:$D$70,2))</f>
      </c>
      <c r="K38">
        <f>SUMPRODUCT('Inputs'!$R$59:$R$70*('Inputs'!$F$59:$F$70=""),ROUND(K18*'Inputs'!$D$59:$D$70,2))</f>
      </c>
      <c r="L38">
        <f>SUMPRODUCT('Inputs'!$R$59:$R$70*('Inputs'!$F$59:$F$70=""),ROUND(L18*'Inputs'!$D$59:$D$70,2))</f>
      </c>
      <c r="M38">
        <f>SUMPRODUCT('Inputs'!$R$59:$R$70*('Inputs'!$F$59:$F$70=""),ROUND(M18*'Inputs'!$D$59:$D$70,2))</f>
      </c>
      <c r="N38">
        <f>SUMPRODUCT('Inputs'!$R$59:$R$70*('Inputs'!$F$59:$F$70=""),ROUND(N18*'Inputs'!$D$59:$D$70,2))</f>
      </c>
      <c r="O38">
        <f>SUMPRODUCT('Inputs'!$R$59:$R$70*('Inputs'!$F$59:$F$70=""),ROUND(O18*'Inputs'!$D$59:$D$70,2))</f>
      </c>
      <c r="P38">
        <f>SUMPRODUCT('Inputs'!$R$59:$R$70*('Inputs'!$F$59:$F$70=""),ROUND(P18*'Inputs'!$D$59:$D$70,2))</f>
      </c>
      <c r="Q38">
        <f>SUMPRODUCT('Inputs'!$R$59:$R$70*('Inputs'!$F$59:$F$70=""),ROUND(Q18*'Inputs'!$D$59:$D$70,2))</f>
      </c>
      <c r="R38">
        <f>SUMPRODUCT('Inputs'!$R$59:$R$70*('Inputs'!$F$59:$F$70=""),ROUND(R18*'Inputs'!$D$59:$D$70,2))</f>
      </c>
      <c r="S38">
        <f>SUMPRODUCT('Inputs'!$R$59:$R$70*('Inputs'!$F$59:$F$70=""),ROUND(S18*'Inputs'!$D$59:$D$70,2))</f>
      </c>
      <c r="T38">
        <f>SUMPRODUCT('Inputs'!$R$59:$R$70*('Inputs'!$F$59:$F$70=""),ROUND(T18*'Inputs'!$D$59:$D$70,2))</f>
      </c>
    </row>
    <row r="39" spans="2:20" x14ac:dyDescent="0.25">
      <c r="B39" t="s">
        <v>333</v>
      </c>
      <c r="C39">
        <f>IF('Inputs'!$B$89="",0,ROUND(IF(C30="S",'Inputs'!$O$89*C27,IF(C30="K",'Inputs'!$L$89*IF('Inputs'!$N$89=1,C32,C31),0))+'Inputs'!$O$89*ROUND(SUM('Inputs'!$Z$22:$Z$39)*C14,2)+'Inputs'!$Q$89*IF('Inputs'!$S$89=1,C34+C36,C33+C35)+SUMPRODUCT(('Inputs'!$F$59:$F$70='Inputs'!$B$89)*('Inputs'!$C$59:$C$70&lt;&gt;"Estate")*('Inputs'!$C$59:$C$70&lt;&gt;""),('Inputs'!$D$59:$D$70-'Inputs'!$R$59:$R$70*ROUND(C18*'Inputs'!$D$59:$D$70,2)))+SUMPRODUCT(('Inputs'!$F$76:$F$83='Inputs'!$B$89)*'Inputs'!$J$76:$J$83)+C4-(1-'Inputs'!$T$89)*ROUND(C18*C4,2),2))</f>
      </c>
      <c r="E39">
        <f>IF('Inputs'!$B$89="",0,ROUND(IF(E30="S",'Inputs'!$O$89*E27,IF(E30="K",'Inputs'!$L$89*IF('Inputs'!$N$89=1,E32,E31),0))+'Inputs'!$O$89*ROUND(SUM('Inputs'!$Z$22:$Z$39)*E14,2)+'Inputs'!$Q$89*IF('Inputs'!$S$89=1,E34+E36,E33+E35)+SUMPRODUCT(('Inputs'!$F$59:$F$70='Inputs'!$B$89)*('Inputs'!$C$59:$C$70&lt;&gt;"Estate")*('Inputs'!$C$59:$C$70&lt;&gt;""),('Inputs'!$D$59:$D$70-'Inputs'!$R$59:$R$70*ROUND(E18*'Inputs'!$D$59:$D$70,2)))+SUMPRODUCT(('Inputs'!$F$76:$F$83='Inputs'!$B$89)*'Inputs'!$J$76:$J$83)+E4-(1-'Inputs'!$T$89)*ROUND(E18*E4,2),2))</f>
      </c>
      <c r="F39">
        <f>IF('Inputs'!$B$89="",0,ROUND(IF(F30="S",'Inputs'!$O$89*F27,IF(F30="K",'Inputs'!$L$89*IF('Inputs'!$N$89=1,F32,F31),0))+'Inputs'!$O$89*ROUND(SUM('Inputs'!$Z$22:$Z$39)*F14,2)+'Inputs'!$Q$89*IF('Inputs'!$S$89=1,F34+F36,F33+F35)+SUMPRODUCT(('Inputs'!$F$59:$F$70='Inputs'!$B$89)*('Inputs'!$C$59:$C$70&lt;&gt;"Estate")*('Inputs'!$C$59:$C$70&lt;&gt;""),('Inputs'!$D$59:$D$70-'Inputs'!$R$59:$R$70*ROUND(F18*'Inputs'!$D$59:$D$70,2)))+SUMPRODUCT(('Inputs'!$F$76:$F$83='Inputs'!$B$89)*'Inputs'!$J$76:$J$83)+F4-(1-'Inputs'!$T$89)*ROUND(F18*F4,2),2))</f>
      </c>
      <c r="G39">
        <f>IF('Inputs'!$B$89="",0,ROUND(IF(G30="S",'Inputs'!$O$89*G27,IF(G30="K",'Inputs'!$L$89*IF('Inputs'!$N$89=1,G32,G31),0))+'Inputs'!$O$89*ROUND(SUM('Inputs'!$Z$22:$Z$39)*G14,2)+'Inputs'!$Q$89*IF('Inputs'!$S$89=1,G34+G36,G33+G35)+SUMPRODUCT(('Inputs'!$F$59:$F$70='Inputs'!$B$89)*('Inputs'!$C$59:$C$70&lt;&gt;"Estate")*('Inputs'!$C$59:$C$70&lt;&gt;""),('Inputs'!$D$59:$D$70-'Inputs'!$R$59:$R$70*ROUND(G18*'Inputs'!$D$59:$D$70,2)))+SUMPRODUCT(('Inputs'!$F$76:$F$83='Inputs'!$B$89)*'Inputs'!$J$76:$J$83)+G4-(1-'Inputs'!$T$89)*ROUND(G18*G4,2),2))</f>
      </c>
      <c r="H39">
        <f>IF('Inputs'!$B$89="",0,ROUND(IF(H30="S",'Inputs'!$O$89*H27,IF(H30="K",'Inputs'!$L$89*IF('Inputs'!$N$89=1,H32,H31),0))+'Inputs'!$O$89*ROUND(SUM('Inputs'!$Z$22:$Z$39)*H14,2)+'Inputs'!$Q$89*IF('Inputs'!$S$89=1,H34+H36,H33+H35)+SUMPRODUCT(('Inputs'!$F$59:$F$70='Inputs'!$B$89)*('Inputs'!$C$59:$C$70&lt;&gt;"Estate")*('Inputs'!$C$59:$C$70&lt;&gt;""),('Inputs'!$D$59:$D$70-'Inputs'!$R$59:$R$70*ROUND(H18*'Inputs'!$D$59:$D$70,2)))+SUMPRODUCT(('Inputs'!$F$76:$F$83='Inputs'!$B$89)*'Inputs'!$J$76:$J$83)+H4-(1-'Inputs'!$T$89)*ROUND(H18*H4,2),2))</f>
      </c>
      <c r="I39">
        <f>IF('Inputs'!$B$89="",0,ROUND(IF(I30="S",'Inputs'!$O$89*I27,IF(I30="K",'Inputs'!$L$89*IF('Inputs'!$N$89=1,I32,I31),0))+'Inputs'!$O$89*ROUND(SUM('Inputs'!$Z$22:$Z$39)*I14,2)+'Inputs'!$Q$89*IF('Inputs'!$S$89=1,I34+I36,I33+I35)+SUMPRODUCT(('Inputs'!$F$59:$F$70='Inputs'!$B$89)*('Inputs'!$C$59:$C$70&lt;&gt;"Estate")*('Inputs'!$C$59:$C$70&lt;&gt;""),('Inputs'!$D$59:$D$70-'Inputs'!$R$59:$R$70*ROUND(I18*'Inputs'!$D$59:$D$70,2)))+SUMPRODUCT(('Inputs'!$F$76:$F$83='Inputs'!$B$89)*'Inputs'!$J$76:$J$83)+I4-(1-'Inputs'!$T$89)*ROUND(I18*I4,2),2))</f>
      </c>
      <c r="J39">
        <f>IF('Inputs'!$B$89="",0,ROUND(IF(J30="S",'Inputs'!$O$89*J27,IF(J30="K",'Inputs'!$L$89*IF('Inputs'!$N$89=1,J32,J31),0))+'Inputs'!$O$89*ROUND(SUM('Inputs'!$Z$22:$Z$39)*J14,2)+'Inputs'!$Q$89*IF('Inputs'!$S$89=1,J34+J36,J33+J35)+SUMPRODUCT(('Inputs'!$F$59:$F$70='Inputs'!$B$89)*('Inputs'!$C$59:$C$70&lt;&gt;"Estate")*('Inputs'!$C$59:$C$70&lt;&gt;""),('Inputs'!$D$59:$D$70-'Inputs'!$R$59:$R$70*ROUND(J18*'Inputs'!$D$59:$D$70,2)))+SUMPRODUCT(('Inputs'!$F$76:$F$83='Inputs'!$B$89)*'Inputs'!$J$76:$J$83)+J4-(1-'Inputs'!$T$89)*ROUND(J18*J4,2),2))</f>
      </c>
      <c r="K39">
        <f>IF('Inputs'!$B$89="",0,ROUND(IF(K30="S",'Inputs'!$O$89*K27,IF(K30="K",'Inputs'!$L$89*IF('Inputs'!$N$89=1,K32,K31),0))+'Inputs'!$O$89*ROUND(SUM('Inputs'!$Z$22:$Z$39)*K14,2)+'Inputs'!$Q$89*IF('Inputs'!$S$89=1,K34+K36,K33+K35)+SUMPRODUCT(('Inputs'!$F$59:$F$70='Inputs'!$B$89)*('Inputs'!$C$59:$C$70&lt;&gt;"Estate")*('Inputs'!$C$59:$C$70&lt;&gt;""),('Inputs'!$D$59:$D$70-'Inputs'!$R$59:$R$70*ROUND(K18*'Inputs'!$D$59:$D$70,2)))+SUMPRODUCT(('Inputs'!$F$76:$F$83='Inputs'!$B$89)*'Inputs'!$J$76:$J$83)+K4-(1-'Inputs'!$T$89)*ROUND(K18*K4,2),2))</f>
      </c>
      <c r="L39">
        <f>IF('Inputs'!$B$89="",0,ROUND(IF(L30="S",'Inputs'!$O$89*L27,IF(L30="K",'Inputs'!$L$89*IF('Inputs'!$N$89=1,L32,L31),0))+'Inputs'!$O$89*ROUND(SUM('Inputs'!$Z$22:$Z$39)*L14,2)+'Inputs'!$Q$89*IF('Inputs'!$S$89=1,L34+L36,L33+L35)+SUMPRODUCT(('Inputs'!$F$59:$F$70='Inputs'!$B$89)*('Inputs'!$C$59:$C$70&lt;&gt;"Estate")*('Inputs'!$C$59:$C$70&lt;&gt;""),('Inputs'!$D$59:$D$70-'Inputs'!$R$59:$R$70*ROUND(L18*'Inputs'!$D$59:$D$70,2)))+SUMPRODUCT(('Inputs'!$F$76:$F$83='Inputs'!$B$89)*'Inputs'!$J$76:$J$83)+L4-(1-'Inputs'!$T$89)*ROUND(L18*L4,2),2))</f>
      </c>
      <c r="M39">
        <f>IF('Inputs'!$B$89="",0,ROUND(IF(M30="S",'Inputs'!$O$89*M27,IF(M30="K",'Inputs'!$L$89*IF('Inputs'!$N$89=1,M32,M31),0))+'Inputs'!$O$89*ROUND(SUM('Inputs'!$Z$22:$Z$39)*M14,2)+'Inputs'!$Q$89*IF('Inputs'!$S$89=1,M34+M36,M33+M35)+SUMPRODUCT(('Inputs'!$F$59:$F$70='Inputs'!$B$89)*('Inputs'!$C$59:$C$70&lt;&gt;"Estate")*('Inputs'!$C$59:$C$70&lt;&gt;""),('Inputs'!$D$59:$D$70-'Inputs'!$R$59:$R$70*ROUND(M18*'Inputs'!$D$59:$D$70,2)))+SUMPRODUCT(('Inputs'!$F$76:$F$83='Inputs'!$B$89)*'Inputs'!$J$76:$J$83)+M4-(1-'Inputs'!$T$89)*ROUND(M18*M4,2),2))</f>
      </c>
      <c r="N39">
        <f>IF('Inputs'!$B$89="",0,ROUND(IF(N30="S",'Inputs'!$O$89*N27,IF(N30="K",'Inputs'!$L$89*IF('Inputs'!$N$89=1,N32,N31),0))+'Inputs'!$O$89*ROUND(SUM('Inputs'!$Z$22:$Z$39)*N14,2)+'Inputs'!$Q$89*IF('Inputs'!$S$89=1,N34+N36,N33+N35)+SUMPRODUCT(('Inputs'!$F$59:$F$70='Inputs'!$B$89)*('Inputs'!$C$59:$C$70&lt;&gt;"Estate")*('Inputs'!$C$59:$C$70&lt;&gt;""),('Inputs'!$D$59:$D$70-'Inputs'!$R$59:$R$70*ROUND(N18*'Inputs'!$D$59:$D$70,2)))+SUMPRODUCT(('Inputs'!$F$76:$F$83='Inputs'!$B$89)*'Inputs'!$J$76:$J$83)+N4-(1-'Inputs'!$T$89)*ROUND(N18*N4,2),2))</f>
      </c>
      <c r="O39">
        <f>IF('Inputs'!$B$89="",0,ROUND(IF(O30="S",'Inputs'!$O$89*O27,IF(O30="K",'Inputs'!$L$89*IF('Inputs'!$N$89=1,O32,O31),0))+'Inputs'!$O$89*ROUND(SUM('Inputs'!$Z$22:$Z$39)*O14,2)+'Inputs'!$Q$89*IF('Inputs'!$S$89=1,O34+O36,O33+O35)+SUMPRODUCT(('Inputs'!$F$59:$F$70='Inputs'!$B$89)*('Inputs'!$C$59:$C$70&lt;&gt;"Estate")*('Inputs'!$C$59:$C$70&lt;&gt;""),('Inputs'!$D$59:$D$70-'Inputs'!$R$59:$R$70*ROUND(O18*'Inputs'!$D$59:$D$70,2)))+SUMPRODUCT(('Inputs'!$F$76:$F$83='Inputs'!$B$89)*'Inputs'!$J$76:$J$83)+O4-(1-'Inputs'!$T$89)*ROUND(O18*O4,2),2))</f>
      </c>
      <c r="P39">
        <f>IF('Inputs'!$B$89="",0,ROUND(IF(P30="S",'Inputs'!$O$89*P27,IF(P30="K",'Inputs'!$L$89*IF('Inputs'!$N$89=1,P32,P31),0))+'Inputs'!$O$89*ROUND(SUM('Inputs'!$Z$22:$Z$39)*P14,2)+'Inputs'!$Q$89*IF('Inputs'!$S$89=1,P34+P36,P33+P35)+SUMPRODUCT(('Inputs'!$F$59:$F$70='Inputs'!$B$89)*('Inputs'!$C$59:$C$70&lt;&gt;"Estate")*('Inputs'!$C$59:$C$70&lt;&gt;""),('Inputs'!$D$59:$D$70-'Inputs'!$R$59:$R$70*ROUND(P18*'Inputs'!$D$59:$D$70,2)))+SUMPRODUCT(('Inputs'!$F$76:$F$83='Inputs'!$B$89)*'Inputs'!$J$76:$J$83)+P4-(1-'Inputs'!$T$89)*ROUND(P18*P4,2),2))</f>
      </c>
      <c r="Q39">
        <f>IF('Inputs'!$B$89="",0,ROUND(IF(Q30="S",'Inputs'!$O$89*Q27,IF(Q30="K",'Inputs'!$L$89*IF('Inputs'!$N$89=1,Q32,Q31),0))+'Inputs'!$O$89*ROUND(SUM('Inputs'!$Z$22:$Z$39)*Q14,2)+'Inputs'!$Q$89*IF('Inputs'!$S$89=1,Q34+Q36,Q33+Q35)+SUMPRODUCT(('Inputs'!$F$59:$F$70='Inputs'!$B$89)*('Inputs'!$C$59:$C$70&lt;&gt;"Estate")*('Inputs'!$C$59:$C$70&lt;&gt;""),('Inputs'!$D$59:$D$70-'Inputs'!$R$59:$R$70*ROUND(Q18*'Inputs'!$D$59:$D$70,2)))+SUMPRODUCT(('Inputs'!$F$76:$F$83='Inputs'!$B$89)*'Inputs'!$J$76:$J$83)+Q4-(1-'Inputs'!$T$89)*ROUND(Q18*Q4,2),2))</f>
      </c>
      <c r="R39">
        <f>IF('Inputs'!$B$89="",0,ROUND(IF(R30="S",'Inputs'!$O$89*R27,IF(R30="K",'Inputs'!$L$89*IF('Inputs'!$N$89=1,R32,R31),0))+'Inputs'!$O$89*ROUND(SUM('Inputs'!$Z$22:$Z$39)*R14,2)+'Inputs'!$Q$89*IF('Inputs'!$S$89=1,R34+R36,R33+R35)+SUMPRODUCT(('Inputs'!$F$59:$F$70='Inputs'!$B$89)*('Inputs'!$C$59:$C$70&lt;&gt;"Estate")*('Inputs'!$C$59:$C$70&lt;&gt;""),('Inputs'!$D$59:$D$70-'Inputs'!$R$59:$R$70*ROUND(R18*'Inputs'!$D$59:$D$70,2)))+SUMPRODUCT(('Inputs'!$F$76:$F$83='Inputs'!$B$89)*'Inputs'!$J$76:$J$83)+R4-(1-'Inputs'!$T$89)*ROUND(R18*R4,2),2))</f>
      </c>
      <c r="S39">
        <f>IF('Inputs'!$B$89="",0,ROUND(IF(S30="S",'Inputs'!$O$89*S27,IF(S30="K",'Inputs'!$L$89*IF('Inputs'!$N$89=1,S32,S31),0))+'Inputs'!$O$89*ROUND(SUM('Inputs'!$Z$22:$Z$39)*S14,2)+'Inputs'!$Q$89*IF('Inputs'!$S$89=1,S34+S36,S33+S35)+SUMPRODUCT(('Inputs'!$F$59:$F$70='Inputs'!$B$89)*('Inputs'!$C$59:$C$70&lt;&gt;"Estate")*('Inputs'!$C$59:$C$70&lt;&gt;""),('Inputs'!$D$59:$D$70-'Inputs'!$R$59:$R$70*ROUND(S18*'Inputs'!$D$59:$D$70,2)))+SUMPRODUCT(('Inputs'!$F$76:$F$83='Inputs'!$B$89)*'Inputs'!$J$76:$J$83)+S4-(1-'Inputs'!$T$89)*ROUND(S18*S4,2),2))</f>
      </c>
      <c r="T39">
        <f>IF('Inputs'!$B$89="",0,ROUND(IF(T30="S",'Inputs'!$O$89*T27,IF(T30="K",'Inputs'!$L$89*IF('Inputs'!$N$89=1,T32,T31),0))+'Inputs'!$O$89*ROUND(SUM('Inputs'!$Z$22:$Z$39)*T14,2)+'Inputs'!$Q$89*IF('Inputs'!$S$89=1,T34+T36,T33+T35)+SUMPRODUCT(('Inputs'!$F$59:$F$70='Inputs'!$B$89)*('Inputs'!$C$59:$C$70&lt;&gt;"Estate")*('Inputs'!$C$59:$C$70&lt;&gt;""),('Inputs'!$D$59:$D$70-'Inputs'!$R$59:$R$70*ROUND(T18*'Inputs'!$D$59:$D$70,2)))+SUMPRODUCT(('Inputs'!$F$76:$F$83='Inputs'!$B$89)*'Inputs'!$J$76:$J$83)+T4-(1-'Inputs'!$T$89)*ROUND(T18*T4,2),2))</f>
      </c>
    </row>
    <row r="40" spans="2:20" x14ac:dyDescent="0.25">
      <c r="B40" t="s">
        <v>334</v>
      </c>
      <c r="C40">
        <f>'Needs years'!$C$5+MAX(0,C39-'Needs years'!$C$10)*('Inputs'!$H$111/100*('Inputs'!$H$114/100+'Inputs'!$H$109/100*'Inputs'!$H$116/100))</f>
      </c>
      <c r="E40">
        <f>'Needs years'!$C$5+MAX(0,E39-'Needs years'!$C$10)*('Inputs'!$H$111/100*('Inputs'!$H$114/100+'Inputs'!$H$109/100*'Inputs'!$H$116/100))</f>
      </c>
      <c r="F40">
        <f>'Needs years'!$C$5+MAX(0,F39-'Needs years'!$C$10)*('Inputs'!$H$111/100*('Inputs'!$H$114/100+'Inputs'!$H$109/100*'Inputs'!$H$116/100))</f>
      </c>
      <c r="G40">
        <f>'Needs years'!$C$5+MAX(0,G39-'Needs years'!$C$10)*('Inputs'!$H$111/100*('Inputs'!$H$114/100+'Inputs'!$H$109/100*'Inputs'!$H$116/100))</f>
      </c>
      <c r="H40">
        <f>'Needs years'!$C$5+MAX(0,H39-'Needs years'!$C$10)*('Inputs'!$H$111/100*('Inputs'!$H$114/100+'Inputs'!$H$109/100*'Inputs'!$H$116/100))</f>
      </c>
      <c r="I40">
        <f>'Needs years'!$C$5+MAX(0,I39-'Needs years'!$C$10)*('Inputs'!$H$111/100*('Inputs'!$H$114/100+'Inputs'!$H$109/100*'Inputs'!$H$116/100))</f>
      </c>
      <c r="J40">
        <f>'Needs years'!$C$5+MAX(0,J39-'Needs years'!$C$10)*('Inputs'!$H$111/100*('Inputs'!$H$114/100+'Inputs'!$H$109/100*'Inputs'!$H$116/100))</f>
      </c>
      <c r="K40">
        <f>'Needs years'!$C$5+MAX(0,K39-'Needs years'!$C$10)*('Inputs'!$H$111/100*('Inputs'!$H$114/100+'Inputs'!$H$109/100*'Inputs'!$H$116/100))</f>
      </c>
      <c r="L40">
        <f>'Needs years'!$C$5+MAX(0,L39-'Needs years'!$C$10)*('Inputs'!$H$111/100*('Inputs'!$H$114/100+'Inputs'!$H$109/100*'Inputs'!$H$116/100))</f>
      </c>
      <c r="M40">
        <f>'Needs years'!$C$5+MAX(0,M39-'Needs years'!$C$10)*('Inputs'!$H$111/100*('Inputs'!$H$114/100+'Inputs'!$H$109/100*'Inputs'!$H$116/100))</f>
      </c>
      <c r="N40">
        <f>'Needs years'!$C$5+MAX(0,N39-'Needs years'!$C$10)*('Inputs'!$H$111/100*('Inputs'!$H$114/100+'Inputs'!$H$109/100*'Inputs'!$H$116/100))</f>
      </c>
      <c r="O40">
        <f>'Needs years'!$C$5+MAX(0,O39-'Needs years'!$C$10)*('Inputs'!$H$111/100*('Inputs'!$H$114/100+'Inputs'!$H$109/100*'Inputs'!$H$116/100))</f>
      </c>
      <c r="P40">
        <f>'Needs years'!$C$5+MAX(0,P39-'Needs years'!$C$10)*('Inputs'!$H$111/100*('Inputs'!$H$114/100+'Inputs'!$H$109/100*'Inputs'!$H$116/100))</f>
      </c>
      <c r="Q40">
        <f>'Needs years'!$C$5+MAX(0,Q39-'Needs years'!$C$10)*('Inputs'!$H$111/100*('Inputs'!$H$114/100+'Inputs'!$H$109/100*'Inputs'!$H$116/100))</f>
      </c>
      <c r="R40">
        <f>'Needs years'!$C$5+MAX(0,R39-'Needs years'!$C$10)*('Inputs'!$H$111/100*('Inputs'!$H$114/100+'Inputs'!$H$109/100*'Inputs'!$H$116/100))</f>
      </c>
      <c r="S40">
        <f>'Needs years'!$C$5+MAX(0,S39-'Needs years'!$C$10)*('Inputs'!$H$111/100*('Inputs'!$H$114/100+'Inputs'!$H$109/100*'Inputs'!$H$116/100))</f>
      </c>
      <c r="T40">
        <f>'Needs years'!$C$5+MAX(0,T39-'Needs years'!$C$10)*('Inputs'!$H$111/100*('Inputs'!$H$114/100+'Inputs'!$H$109/100*'Inputs'!$H$116/100))</f>
      </c>
    </row>
    <row r="41" spans="2:20" x14ac:dyDescent="0.25">
      <c r="B41" t="s">
        <v>335</v>
      </c>
      <c r="C41">
        <f>IF(C40&lt;='Needs years'!$C$4,0,INDEX('Inputs'!$E$123:$E$129,MATCH(C40,'Inputs'!$C$123:$C$129,1)-IF(COUNTIF('Inputs'!$C$123:$C$129,C40)&gt;0,1,0))/100)</f>
      </c>
      <c r="E41">
        <f>IF(E40&lt;='Needs years'!$C$4,0,INDEX('Inputs'!$E$123:$E$129,MATCH(E40,'Inputs'!$C$123:$C$129,1)-IF(COUNTIF('Inputs'!$C$123:$C$129,E40)&gt;0,1,0))/100)</f>
      </c>
      <c r="F41">
        <f>IF(F40&lt;='Needs years'!$C$4,0,INDEX('Inputs'!$E$123:$E$129,MATCH(F40,'Inputs'!$C$123:$C$129,1)-IF(COUNTIF('Inputs'!$C$123:$C$129,F40)&gt;0,1,0))/100)</f>
      </c>
      <c r="G41">
        <f>IF(G40&lt;='Needs years'!$C$4,0,INDEX('Inputs'!$E$123:$E$129,MATCH(G40,'Inputs'!$C$123:$C$129,1)-IF(COUNTIF('Inputs'!$C$123:$C$129,G40)&gt;0,1,0))/100)</f>
      </c>
      <c r="H41">
        <f>IF(H40&lt;='Needs years'!$C$4,0,INDEX('Inputs'!$E$123:$E$129,MATCH(H40,'Inputs'!$C$123:$C$129,1)-IF(COUNTIF('Inputs'!$C$123:$C$129,H40)&gt;0,1,0))/100)</f>
      </c>
      <c r="I41">
        <f>IF(I40&lt;='Needs years'!$C$4,0,INDEX('Inputs'!$E$123:$E$129,MATCH(I40,'Inputs'!$C$123:$C$129,1)-IF(COUNTIF('Inputs'!$C$123:$C$129,I40)&gt;0,1,0))/100)</f>
      </c>
      <c r="J41">
        <f>IF(J40&lt;='Needs years'!$C$4,0,INDEX('Inputs'!$E$123:$E$129,MATCH(J40,'Inputs'!$C$123:$C$129,1)-IF(COUNTIF('Inputs'!$C$123:$C$129,J40)&gt;0,1,0))/100)</f>
      </c>
      <c r="K41">
        <f>IF(K40&lt;='Needs years'!$C$4,0,INDEX('Inputs'!$E$123:$E$129,MATCH(K40,'Inputs'!$C$123:$C$129,1)-IF(COUNTIF('Inputs'!$C$123:$C$129,K40)&gt;0,1,0))/100)</f>
      </c>
      <c r="L41">
        <f>IF(L40&lt;='Needs years'!$C$4,0,INDEX('Inputs'!$E$123:$E$129,MATCH(L40,'Inputs'!$C$123:$C$129,1)-IF(COUNTIF('Inputs'!$C$123:$C$129,L40)&gt;0,1,0))/100)</f>
      </c>
      <c r="M41">
        <f>IF(M40&lt;='Needs years'!$C$4,0,INDEX('Inputs'!$E$123:$E$129,MATCH(M40,'Inputs'!$C$123:$C$129,1)-IF(COUNTIF('Inputs'!$C$123:$C$129,M40)&gt;0,1,0))/100)</f>
      </c>
      <c r="N41">
        <f>IF(N40&lt;='Needs years'!$C$4,0,INDEX('Inputs'!$E$123:$E$129,MATCH(N40,'Inputs'!$C$123:$C$129,1)-IF(COUNTIF('Inputs'!$C$123:$C$129,N40)&gt;0,1,0))/100)</f>
      </c>
      <c r="O41">
        <f>IF(O40&lt;='Needs years'!$C$4,0,INDEX('Inputs'!$E$123:$E$129,MATCH(O40,'Inputs'!$C$123:$C$129,1)-IF(COUNTIF('Inputs'!$C$123:$C$129,O40)&gt;0,1,0))/100)</f>
      </c>
      <c r="P41">
        <f>IF(P40&lt;='Needs years'!$C$4,0,INDEX('Inputs'!$E$123:$E$129,MATCH(P40,'Inputs'!$C$123:$C$129,1)-IF(COUNTIF('Inputs'!$C$123:$C$129,P40)&gt;0,1,0))/100)</f>
      </c>
      <c r="Q41">
        <f>IF(Q40&lt;='Needs years'!$C$4,0,INDEX('Inputs'!$E$123:$E$129,MATCH(Q40,'Inputs'!$C$123:$C$129,1)-IF(COUNTIF('Inputs'!$C$123:$C$129,Q40)&gt;0,1,0))/100)</f>
      </c>
      <c r="R41">
        <f>IF(R40&lt;='Needs years'!$C$4,0,INDEX('Inputs'!$E$123:$E$129,MATCH(R40,'Inputs'!$C$123:$C$129,1)-IF(COUNTIF('Inputs'!$C$123:$C$129,R40)&gt;0,1,0))/100)</f>
      </c>
      <c r="S41">
        <f>IF(S40&lt;='Needs years'!$C$4,0,INDEX('Inputs'!$E$123:$E$129,MATCH(S40,'Inputs'!$C$123:$C$129,1)-IF(COUNTIF('Inputs'!$C$123:$C$129,S40)&gt;0,1,0))/100)</f>
      </c>
      <c r="T41">
        <f>IF(T40&lt;='Needs years'!$C$4,0,INDEX('Inputs'!$E$123:$E$129,MATCH(T40,'Inputs'!$C$123:$C$129,1)-IF(COUNTIF('Inputs'!$C$123:$C$129,T40)&gt;0,1,0))/100)</f>
      </c>
    </row>
    <row r="42" spans="2:20" x14ac:dyDescent="0.25">
      <c r="B42" t="s">
        <v>336</v>
      </c>
      <c r="C42">
        <f>('Inputs'!$H$111/100*(1-('Inputs'!$H$114/100*C41+'Inputs'!$H$115/100*'Inputs'!$H$117/100+'Inputs'!$H$116/100*'Inputs'!$H$109/100*C41))-IF('Needs years'!$C$9=1,'Inputs'!$H$112/100,0))</f>
      </c>
      <c r="E42">
        <f>('Inputs'!$H$111/100*(1-('Inputs'!$H$114/100*E41+'Inputs'!$H$115/100*'Inputs'!$H$117/100+'Inputs'!$H$116/100*'Inputs'!$H$109/100*E41))-IF('Needs years'!$C$9=1,'Inputs'!$H$112/100,0))</f>
      </c>
      <c r="F42">
        <f>('Inputs'!$H$111/100*(1-('Inputs'!$H$114/100*F41+'Inputs'!$H$115/100*'Inputs'!$H$117/100+'Inputs'!$H$116/100*'Inputs'!$H$109/100*F41))-IF('Needs years'!$C$9=1,'Inputs'!$H$112/100,0))</f>
      </c>
      <c r="G42">
        <f>('Inputs'!$H$111/100*(1-('Inputs'!$H$114/100*G41+'Inputs'!$H$115/100*'Inputs'!$H$117/100+'Inputs'!$H$116/100*'Inputs'!$H$109/100*G41))-IF('Needs years'!$C$9=1,'Inputs'!$H$112/100,0))</f>
      </c>
      <c r="H42">
        <f>('Inputs'!$H$111/100*(1-('Inputs'!$H$114/100*H41+'Inputs'!$H$115/100*'Inputs'!$H$117/100+'Inputs'!$H$116/100*'Inputs'!$H$109/100*H41))-IF('Needs years'!$C$9=1,'Inputs'!$H$112/100,0))</f>
      </c>
      <c r="I42">
        <f>('Inputs'!$H$111/100*(1-('Inputs'!$H$114/100*I41+'Inputs'!$H$115/100*'Inputs'!$H$117/100+'Inputs'!$H$116/100*'Inputs'!$H$109/100*I41))-IF('Needs years'!$C$9=1,'Inputs'!$H$112/100,0))</f>
      </c>
      <c r="J42">
        <f>('Inputs'!$H$111/100*(1-('Inputs'!$H$114/100*J41+'Inputs'!$H$115/100*'Inputs'!$H$117/100+'Inputs'!$H$116/100*'Inputs'!$H$109/100*J41))-IF('Needs years'!$C$9=1,'Inputs'!$H$112/100,0))</f>
      </c>
      <c r="K42">
        <f>('Inputs'!$H$111/100*(1-('Inputs'!$H$114/100*K41+'Inputs'!$H$115/100*'Inputs'!$H$117/100+'Inputs'!$H$116/100*'Inputs'!$H$109/100*K41))-IF('Needs years'!$C$9=1,'Inputs'!$H$112/100,0))</f>
      </c>
      <c r="L42">
        <f>('Inputs'!$H$111/100*(1-('Inputs'!$H$114/100*L41+'Inputs'!$H$115/100*'Inputs'!$H$117/100+'Inputs'!$H$116/100*'Inputs'!$H$109/100*L41))-IF('Needs years'!$C$9=1,'Inputs'!$H$112/100,0))</f>
      </c>
      <c r="M42">
        <f>('Inputs'!$H$111/100*(1-('Inputs'!$H$114/100*M41+'Inputs'!$H$115/100*'Inputs'!$H$117/100+'Inputs'!$H$116/100*'Inputs'!$H$109/100*M41))-IF('Needs years'!$C$9=1,'Inputs'!$H$112/100,0))</f>
      </c>
      <c r="N42">
        <f>('Inputs'!$H$111/100*(1-('Inputs'!$H$114/100*N41+'Inputs'!$H$115/100*'Inputs'!$H$117/100+'Inputs'!$H$116/100*'Inputs'!$H$109/100*N41))-IF('Needs years'!$C$9=1,'Inputs'!$H$112/100,0))</f>
      </c>
      <c r="O42">
        <f>('Inputs'!$H$111/100*(1-('Inputs'!$H$114/100*O41+'Inputs'!$H$115/100*'Inputs'!$H$117/100+'Inputs'!$H$116/100*'Inputs'!$H$109/100*O41))-IF('Needs years'!$C$9=1,'Inputs'!$H$112/100,0))</f>
      </c>
      <c r="P42">
        <f>('Inputs'!$H$111/100*(1-('Inputs'!$H$114/100*P41+'Inputs'!$H$115/100*'Inputs'!$H$117/100+'Inputs'!$H$116/100*'Inputs'!$H$109/100*P41))-IF('Needs years'!$C$9=1,'Inputs'!$H$112/100,0))</f>
      </c>
      <c r="Q42">
        <f>('Inputs'!$H$111/100*(1-('Inputs'!$H$114/100*Q41+'Inputs'!$H$115/100*'Inputs'!$H$117/100+'Inputs'!$H$116/100*'Inputs'!$H$109/100*Q41))-IF('Needs years'!$C$9=1,'Inputs'!$H$112/100,0))</f>
      </c>
      <c r="R42">
        <f>('Inputs'!$H$111/100*(1-('Inputs'!$H$114/100*R41+'Inputs'!$H$115/100*'Inputs'!$H$117/100+'Inputs'!$H$116/100*'Inputs'!$H$109/100*R41))-IF('Needs years'!$C$9=1,'Inputs'!$H$112/100,0))</f>
      </c>
      <c r="S42">
        <f>('Inputs'!$H$111/100*(1-('Inputs'!$H$114/100*S41+'Inputs'!$H$115/100*'Inputs'!$H$117/100+'Inputs'!$H$116/100*'Inputs'!$H$109/100*S41))-IF('Needs years'!$C$9=1,'Inputs'!$H$112/100,0))</f>
      </c>
      <c r="T42">
        <f>('Inputs'!$H$111/100*(1-('Inputs'!$H$114/100*T41+'Inputs'!$H$115/100*'Inputs'!$H$117/100+'Inputs'!$H$116/100*'Inputs'!$H$109/100*T41))-IF('Needs years'!$C$9=1,'Inputs'!$H$112/100,0))</f>
      </c>
    </row>
    <row r="43" spans="2:20" x14ac:dyDescent="0.25">
      <c r="B43" t="s">
        <v>337</v>
      </c>
      <c r="C43">
        <f>IF('Inputs'!$B$89="",0,ROUND('Needs years'!$C$10+ROUND(IF(C42=0,SUM('Needs years'!$J$4:$J$53),(1-(1+C42)^-1)/(1-(1+C42)^(-1/12))/12*SUMPRODUCT('Needs years'!$J$4:$J$53,(1+C42)^(-'Needs years'!$I$4:$I$53))),2),2))</f>
      </c>
      <c r="E43">
        <f>IF('Inputs'!$B$89="",0,ROUND('Needs years'!$C$10+ROUND(IF(E42=0,SUM('Needs years'!$J$4:$J$53),(1-(1+E42)^-1)/(1-(1+E42)^(-1/12))/12*SUMPRODUCT('Needs years'!$J$4:$J$53,(1+E42)^(-'Needs years'!$I$4:$I$53))),2),2))</f>
      </c>
      <c r="F43">
        <f>IF('Inputs'!$B$89="",0,ROUND('Needs years'!$C$10+ROUND(IF(F42=0,SUM('Needs years'!$J$4:$J$53),(1-(1+F42)^-1)/(1-(1+F42)^(-1/12))/12*SUMPRODUCT('Needs years'!$J$4:$J$53,(1+F42)^(-'Needs years'!$I$4:$I$53))),2),2))</f>
      </c>
      <c r="G43">
        <f>IF('Inputs'!$B$89="",0,ROUND('Needs years'!$C$10+ROUND(IF(G42=0,SUM('Needs years'!$J$4:$J$53),(1-(1+G42)^-1)/(1-(1+G42)^(-1/12))/12*SUMPRODUCT('Needs years'!$J$4:$J$53,(1+G42)^(-'Needs years'!$I$4:$I$53))),2),2))</f>
      </c>
      <c r="H43">
        <f>IF('Inputs'!$B$89="",0,ROUND('Needs years'!$C$10+ROUND(IF(H42=0,SUM('Needs years'!$J$4:$J$53),(1-(1+H42)^-1)/(1-(1+H42)^(-1/12))/12*SUMPRODUCT('Needs years'!$J$4:$J$53,(1+H42)^(-'Needs years'!$I$4:$I$53))),2),2))</f>
      </c>
      <c r="I43">
        <f>IF('Inputs'!$B$89="",0,ROUND('Needs years'!$C$10+ROUND(IF(I42=0,SUM('Needs years'!$J$4:$J$53),(1-(1+I42)^-1)/(1-(1+I42)^(-1/12))/12*SUMPRODUCT('Needs years'!$J$4:$J$53,(1+I42)^(-'Needs years'!$I$4:$I$53))),2),2))</f>
      </c>
      <c r="J43">
        <f>IF('Inputs'!$B$89="",0,ROUND('Needs years'!$C$10+ROUND(IF(J42=0,SUM('Needs years'!$J$4:$J$53),(1-(1+J42)^-1)/(1-(1+J42)^(-1/12))/12*SUMPRODUCT('Needs years'!$J$4:$J$53,(1+J42)^(-'Needs years'!$I$4:$I$53))),2),2))</f>
      </c>
      <c r="K43">
        <f>IF('Inputs'!$B$89="",0,ROUND('Needs years'!$C$10+ROUND(IF(K42=0,SUM('Needs years'!$J$4:$J$53),(1-(1+K42)^-1)/(1-(1+K42)^(-1/12))/12*SUMPRODUCT('Needs years'!$J$4:$J$53,(1+K42)^(-'Needs years'!$I$4:$I$53))),2),2))</f>
      </c>
      <c r="L43">
        <f>IF('Inputs'!$B$89="",0,ROUND('Needs years'!$C$10+ROUND(IF(L42=0,SUM('Needs years'!$J$4:$J$53),(1-(1+L42)^-1)/(1-(1+L42)^(-1/12))/12*SUMPRODUCT('Needs years'!$J$4:$J$53,(1+L42)^(-'Needs years'!$I$4:$I$53))),2),2))</f>
      </c>
      <c r="M43">
        <f>IF('Inputs'!$B$89="",0,ROUND('Needs years'!$C$10+ROUND(IF(M42=0,SUM('Needs years'!$J$4:$J$53),(1-(1+M42)^-1)/(1-(1+M42)^(-1/12))/12*SUMPRODUCT('Needs years'!$J$4:$J$53,(1+M42)^(-'Needs years'!$I$4:$I$53))),2),2))</f>
      </c>
      <c r="N43">
        <f>IF('Inputs'!$B$89="",0,ROUND('Needs years'!$C$10+ROUND(IF(N42=0,SUM('Needs years'!$J$4:$J$53),(1-(1+N42)^-1)/(1-(1+N42)^(-1/12))/12*SUMPRODUCT('Needs years'!$J$4:$J$53,(1+N42)^(-'Needs years'!$I$4:$I$53))),2),2))</f>
      </c>
      <c r="O43">
        <f>IF('Inputs'!$B$89="",0,ROUND('Needs years'!$C$10+ROUND(IF(O42=0,SUM('Needs years'!$J$4:$J$53),(1-(1+O42)^-1)/(1-(1+O42)^(-1/12))/12*SUMPRODUCT('Needs years'!$J$4:$J$53,(1+O42)^(-'Needs years'!$I$4:$I$53))),2),2))</f>
      </c>
      <c r="P43">
        <f>IF('Inputs'!$B$89="",0,ROUND('Needs years'!$C$10+ROUND(IF(P42=0,SUM('Needs years'!$J$4:$J$53),(1-(1+P42)^-1)/(1-(1+P42)^(-1/12))/12*SUMPRODUCT('Needs years'!$J$4:$J$53,(1+P42)^(-'Needs years'!$I$4:$I$53))),2),2))</f>
      </c>
      <c r="Q43">
        <f>IF('Inputs'!$B$89="",0,ROUND('Needs years'!$C$10+ROUND(IF(Q42=0,SUM('Needs years'!$J$4:$J$53),(1-(1+Q42)^-1)/(1-(1+Q42)^(-1/12))/12*SUMPRODUCT('Needs years'!$J$4:$J$53,(1+Q42)^(-'Needs years'!$I$4:$I$53))),2),2))</f>
      </c>
      <c r="R43">
        <f>IF('Inputs'!$B$89="",0,ROUND('Needs years'!$C$10+ROUND(IF(R42=0,SUM('Needs years'!$J$4:$J$53),(1-(1+R42)^-1)/(1-(1+R42)^(-1/12))/12*SUMPRODUCT('Needs years'!$J$4:$J$53,(1+R42)^(-'Needs years'!$I$4:$I$53))),2),2))</f>
      </c>
      <c r="S43">
        <f>IF('Inputs'!$B$89="",0,ROUND('Needs years'!$C$10+ROUND(IF(S42=0,SUM('Needs years'!$J$4:$J$53),(1-(1+S42)^-1)/(1-(1+S42)^(-1/12))/12*SUMPRODUCT('Needs years'!$J$4:$J$53,(1+S42)^(-'Needs years'!$I$4:$I$53))),2),2))</f>
      </c>
      <c r="T43">
        <f>IF('Inputs'!$B$89="",0,ROUND('Needs years'!$C$10+ROUND(IF(T42=0,SUM('Needs years'!$J$4:$J$53),(1-(1+T42)^-1)/(1-(1+T42)^(-1/12))/12*SUMPRODUCT('Needs years'!$J$4:$J$53,(1+T42)^(-'Needs years'!$I$4:$I$53))),2),2))</f>
      </c>
    </row>
    <row r="44" spans="2:20" x14ac:dyDescent="0.25">
      <c r="B44" t="s">
        <v>338</v>
      </c>
      <c r="C44">
        <f>IF('Inputs'!$B$89="",0,ROUND(C43-C39,2))</f>
      </c>
      <c r="E44">
        <f>IF('Inputs'!$B$89="",0,ROUND(E43-E39,2))</f>
      </c>
      <c r="F44">
        <f>IF('Inputs'!$B$89="",0,ROUND(F43-F39,2))</f>
      </c>
      <c r="G44">
        <f>IF('Inputs'!$B$89="",0,ROUND(G43-G39,2))</f>
      </c>
      <c r="H44">
        <f>IF('Inputs'!$B$89="",0,ROUND(H43-H39,2))</f>
      </c>
      <c r="I44">
        <f>IF('Inputs'!$B$89="",0,ROUND(I43-I39,2))</f>
      </c>
      <c r="J44">
        <f>IF('Inputs'!$B$89="",0,ROUND(J43-J39,2))</f>
      </c>
      <c r="K44">
        <f>IF('Inputs'!$B$89="",0,ROUND(K43-K39,2))</f>
      </c>
      <c r="L44">
        <f>IF('Inputs'!$B$89="",0,ROUND(L43-L39,2))</f>
      </c>
      <c r="M44">
        <f>IF('Inputs'!$B$89="",0,ROUND(M43-M39,2))</f>
      </c>
      <c r="N44">
        <f>IF('Inputs'!$B$89="",0,ROUND(N43-N39,2))</f>
      </c>
      <c r="O44">
        <f>IF('Inputs'!$B$89="",0,ROUND(O43-O39,2))</f>
      </c>
      <c r="P44">
        <f>IF('Inputs'!$B$89="",0,ROUND(P43-P39,2))</f>
      </c>
      <c r="Q44">
        <f>IF('Inputs'!$B$89="",0,ROUND(Q43-Q39,2))</f>
      </c>
      <c r="R44">
        <f>IF('Inputs'!$B$89="",0,ROUND(R43-R39,2))</f>
      </c>
      <c r="S44">
        <f>IF('Inputs'!$B$89="",0,ROUND(S43-S39,2))</f>
      </c>
      <c r="T44">
        <f>IF('Inputs'!$B$89="",0,ROUND(T43-T39,2))</f>
      </c>
    </row>
    <row r="45" spans="2:20" x14ac:dyDescent="0.25">
      <c r="B45" t="s">
        <v>339</v>
      </c>
      <c r="C45">
        <f>IF('Inputs'!$B$89="",0,IF((C43-'Needs years'!$C$10)&gt;0,MAX(0,C39-'Needs years'!$C$10)/(C43-'Needs years'!$C$10)*'Needs years'!$C$7,0))</f>
      </c>
      <c r="E45">
        <f>IF('Inputs'!$B$89="",0,IF((E43-'Needs years'!$C$10)&gt;0,MAX(0,E39-'Needs years'!$C$10)/(E43-'Needs years'!$C$10)*'Needs years'!$C$7,0))</f>
      </c>
      <c r="F45">
        <f>IF('Inputs'!$B$89="",0,IF((F43-'Needs years'!$C$10)&gt;0,MAX(0,F39-'Needs years'!$C$10)/(F43-'Needs years'!$C$10)*'Needs years'!$C$7,0))</f>
      </c>
      <c r="G45">
        <f>IF('Inputs'!$B$89="",0,IF((G43-'Needs years'!$C$10)&gt;0,MAX(0,G39-'Needs years'!$C$10)/(G43-'Needs years'!$C$10)*'Needs years'!$C$7,0))</f>
      </c>
      <c r="H45">
        <f>IF('Inputs'!$B$89="",0,IF((H43-'Needs years'!$C$10)&gt;0,MAX(0,H39-'Needs years'!$C$10)/(H43-'Needs years'!$C$10)*'Needs years'!$C$7,0))</f>
      </c>
      <c r="I45">
        <f>IF('Inputs'!$B$89="",0,IF((I43-'Needs years'!$C$10)&gt;0,MAX(0,I39-'Needs years'!$C$10)/(I43-'Needs years'!$C$10)*'Needs years'!$C$7,0))</f>
      </c>
      <c r="J45">
        <f>IF('Inputs'!$B$89="",0,IF((J43-'Needs years'!$C$10)&gt;0,MAX(0,J39-'Needs years'!$C$10)/(J43-'Needs years'!$C$10)*'Needs years'!$C$7,0))</f>
      </c>
      <c r="K45">
        <f>IF('Inputs'!$B$89="",0,IF((K43-'Needs years'!$C$10)&gt;0,MAX(0,K39-'Needs years'!$C$10)/(K43-'Needs years'!$C$10)*'Needs years'!$C$7,0))</f>
      </c>
      <c r="L45">
        <f>IF('Inputs'!$B$89="",0,IF((L43-'Needs years'!$C$10)&gt;0,MAX(0,L39-'Needs years'!$C$10)/(L43-'Needs years'!$C$10)*'Needs years'!$C$7,0))</f>
      </c>
      <c r="M45">
        <f>IF('Inputs'!$B$89="",0,IF((M43-'Needs years'!$C$10)&gt;0,MAX(0,M39-'Needs years'!$C$10)/(M43-'Needs years'!$C$10)*'Needs years'!$C$7,0))</f>
      </c>
      <c r="N45">
        <f>IF('Inputs'!$B$89="",0,IF((N43-'Needs years'!$C$10)&gt;0,MAX(0,N39-'Needs years'!$C$10)/(N43-'Needs years'!$C$10)*'Needs years'!$C$7,0))</f>
      </c>
      <c r="O45">
        <f>IF('Inputs'!$B$89="",0,IF((O43-'Needs years'!$C$10)&gt;0,MAX(0,O39-'Needs years'!$C$10)/(O43-'Needs years'!$C$10)*'Needs years'!$C$7,0))</f>
      </c>
      <c r="P45">
        <f>IF('Inputs'!$B$89="",0,IF((P43-'Needs years'!$C$10)&gt;0,MAX(0,P39-'Needs years'!$C$10)/(P43-'Needs years'!$C$10)*'Needs years'!$C$7,0))</f>
      </c>
      <c r="Q45">
        <f>IF('Inputs'!$B$89="",0,IF((Q43-'Needs years'!$C$10)&gt;0,MAX(0,Q39-'Needs years'!$C$10)/(Q43-'Needs years'!$C$10)*'Needs years'!$C$7,0))</f>
      </c>
      <c r="R45">
        <f>IF('Inputs'!$B$89="",0,IF((R43-'Needs years'!$C$10)&gt;0,MAX(0,R39-'Needs years'!$C$10)/(R43-'Needs years'!$C$10)*'Needs years'!$C$7,0))</f>
      </c>
      <c r="S45">
        <f>IF('Inputs'!$B$89="",0,IF((S43-'Needs years'!$C$10)&gt;0,MAX(0,S39-'Needs years'!$C$10)/(S43-'Needs years'!$C$10)*'Needs years'!$C$7,0))</f>
      </c>
      <c r="T45">
        <f>IF('Inputs'!$B$89="",0,IF((T43-'Needs years'!$C$10)&gt;0,MAX(0,T39-'Needs years'!$C$10)/(T43-'Needs years'!$C$10)*'Needs years'!$C$7,0))</f>
      </c>
    </row>
    <row r="46" spans="2:20" x14ac:dyDescent="0.25">
      <c r="B46" t="s">
        <v>340</v>
      </c>
      <c r="C46">
        <f>IF('Inputs'!$B$90="",0,ROUND(IF(C30="S",'Inputs'!$O$90*C27,IF(C30="K",'Inputs'!$L$90*IF('Inputs'!$N$90=1,C32,C31),0))+'Inputs'!$O$90*ROUND(SUM('Inputs'!$Z$22:$Z$39)*C14,2)+'Inputs'!$Q$90*IF('Inputs'!$S$90=1,C34+C36,C33+C35)+SUMPRODUCT(('Inputs'!$F$59:$F$70='Inputs'!$B$90)*('Inputs'!$C$59:$C$70&lt;&gt;"Estate")*('Inputs'!$C$59:$C$70&lt;&gt;""),('Inputs'!$D$59:$D$70-'Inputs'!$R$59:$R$70*ROUND(C18*'Inputs'!$D$59:$D$70,2)))+SUMPRODUCT(('Inputs'!$F$76:$F$83='Inputs'!$B$90)*'Inputs'!$J$76:$J$83)+C5-(1-'Inputs'!$T$90)*ROUND(C18*C5,2),2))</f>
      </c>
      <c r="E46">
        <f>IF('Inputs'!$B$90="",0,ROUND(IF(E30="S",'Inputs'!$O$90*E27,IF(E30="K",'Inputs'!$L$90*IF('Inputs'!$N$90=1,E32,E31),0))+'Inputs'!$O$90*ROUND(SUM('Inputs'!$Z$22:$Z$39)*E14,2)+'Inputs'!$Q$90*IF('Inputs'!$S$90=1,E34+E36,E33+E35)+SUMPRODUCT(('Inputs'!$F$59:$F$70='Inputs'!$B$90)*('Inputs'!$C$59:$C$70&lt;&gt;"Estate")*('Inputs'!$C$59:$C$70&lt;&gt;""),('Inputs'!$D$59:$D$70-'Inputs'!$R$59:$R$70*ROUND(E18*'Inputs'!$D$59:$D$70,2)))+SUMPRODUCT(('Inputs'!$F$76:$F$83='Inputs'!$B$90)*'Inputs'!$J$76:$J$83)+E5-(1-'Inputs'!$T$90)*ROUND(E18*E5,2),2))</f>
      </c>
      <c r="F46">
        <f>IF('Inputs'!$B$90="",0,ROUND(IF(F30="S",'Inputs'!$O$90*F27,IF(F30="K",'Inputs'!$L$90*IF('Inputs'!$N$90=1,F32,F31),0))+'Inputs'!$O$90*ROUND(SUM('Inputs'!$Z$22:$Z$39)*F14,2)+'Inputs'!$Q$90*IF('Inputs'!$S$90=1,F34+F36,F33+F35)+SUMPRODUCT(('Inputs'!$F$59:$F$70='Inputs'!$B$90)*('Inputs'!$C$59:$C$70&lt;&gt;"Estate")*('Inputs'!$C$59:$C$70&lt;&gt;""),('Inputs'!$D$59:$D$70-'Inputs'!$R$59:$R$70*ROUND(F18*'Inputs'!$D$59:$D$70,2)))+SUMPRODUCT(('Inputs'!$F$76:$F$83='Inputs'!$B$90)*'Inputs'!$J$76:$J$83)+F5-(1-'Inputs'!$T$90)*ROUND(F18*F5,2),2))</f>
      </c>
      <c r="G46">
        <f>IF('Inputs'!$B$90="",0,ROUND(IF(G30="S",'Inputs'!$O$90*G27,IF(G30="K",'Inputs'!$L$90*IF('Inputs'!$N$90=1,G32,G31),0))+'Inputs'!$O$90*ROUND(SUM('Inputs'!$Z$22:$Z$39)*G14,2)+'Inputs'!$Q$90*IF('Inputs'!$S$90=1,G34+G36,G33+G35)+SUMPRODUCT(('Inputs'!$F$59:$F$70='Inputs'!$B$90)*('Inputs'!$C$59:$C$70&lt;&gt;"Estate")*('Inputs'!$C$59:$C$70&lt;&gt;""),('Inputs'!$D$59:$D$70-'Inputs'!$R$59:$R$70*ROUND(G18*'Inputs'!$D$59:$D$70,2)))+SUMPRODUCT(('Inputs'!$F$76:$F$83='Inputs'!$B$90)*'Inputs'!$J$76:$J$83)+G5-(1-'Inputs'!$T$90)*ROUND(G18*G5,2),2))</f>
      </c>
      <c r="H46">
        <f>IF('Inputs'!$B$90="",0,ROUND(IF(H30="S",'Inputs'!$O$90*H27,IF(H30="K",'Inputs'!$L$90*IF('Inputs'!$N$90=1,H32,H31),0))+'Inputs'!$O$90*ROUND(SUM('Inputs'!$Z$22:$Z$39)*H14,2)+'Inputs'!$Q$90*IF('Inputs'!$S$90=1,H34+H36,H33+H35)+SUMPRODUCT(('Inputs'!$F$59:$F$70='Inputs'!$B$90)*('Inputs'!$C$59:$C$70&lt;&gt;"Estate")*('Inputs'!$C$59:$C$70&lt;&gt;""),('Inputs'!$D$59:$D$70-'Inputs'!$R$59:$R$70*ROUND(H18*'Inputs'!$D$59:$D$70,2)))+SUMPRODUCT(('Inputs'!$F$76:$F$83='Inputs'!$B$90)*'Inputs'!$J$76:$J$83)+H5-(1-'Inputs'!$T$90)*ROUND(H18*H5,2),2))</f>
      </c>
      <c r="I46">
        <f>IF('Inputs'!$B$90="",0,ROUND(IF(I30="S",'Inputs'!$O$90*I27,IF(I30="K",'Inputs'!$L$90*IF('Inputs'!$N$90=1,I32,I31),0))+'Inputs'!$O$90*ROUND(SUM('Inputs'!$Z$22:$Z$39)*I14,2)+'Inputs'!$Q$90*IF('Inputs'!$S$90=1,I34+I36,I33+I35)+SUMPRODUCT(('Inputs'!$F$59:$F$70='Inputs'!$B$90)*('Inputs'!$C$59:$C$70&lt;&gt;"Estate")*('Inputs'!$C$59:$C$70&lt;&gt;""),('Inputs'!$D$59:$D$70-'Inputs'!$R$59:$R$70*ROUND(I18*'Inputs'!$D$59:$D$70,2)))+SUMPRODUCT(('Inputs'!$F$76:$F$83='Inputs'!$B$90)*'Inputs'!$J$76:$J$83)+I5-(1-'Inputs'!$T$90)*ROUND(I18*I5,2),2))</f>
      </c>
      <c r="J46">
        <f>IF('Inputs'!$B$90="",0,ROUND(IF(J30="S",'Inputs'!$O$90*J27,IF(J30="K",'Inputs'!$L$90*IF('Inputs'!$N$90=1,J32,J31),0))+'Inputs'!$O$90*ROUND(SUM('Inputs'!$Z$22:$Z$39)*J14,2)+'Inputs'!$Q$90*IF('Inputs'!$S$90=1,J34+J36,J33+J35)+SUMPRODUCT(('Inputs'!$F$59:$F$70='Inputs'!$B$90)*('Inputs'!$C$59:$C$70&lt;&gt;"Estate")*('Inputs'!$C$59:$C$70&lt;&gt;""),('Inputs'!$D$59:$D$70-'Inputs'!$R$59:$R$70*ROUND(J18*'Inputs'!$D$59:$D$70,2)))+SUMPRODUCT(('Inputs'!$F$76:$F$83='Inputs'!$B$90)*'Inputs'!$J$76:$J$83)+J5-(1-'Inputs'!$T$90)*ROUND(J18*J5,2),2))</f>
      </c>
      <c r="K46">
        <f>IF('Inputs'!$B$90="",0,ROUND(IF(K30="S",'Inputs'!$O$90*K27,IF(K30="K",'Inputs'!$L$90*IF('Inputs'!$N$90=1,K32,K31),0))+'Inputs'!$O$90*ROUND(SUM('Inputs'!$Z$22:$Z$39)*K14,2)+'Inputs'!$Q$90*IF('Inputs'!$S$90=1,K34+K36,K33+K35)+SUMPRODUCT(('Inputs'!$F$59:$F$70='Inputs'!$B$90)*('Inputs'!$C$59:$C$70&lt;&gt;"Estate")*('Inputs'!$C$59:$C$70&lt;&gt;""),('Inputs'!$D$59:$D$70-'Inputs'!$R$59:$R$70*ROUND(K18*'Inputs'!$D$59:$D$70,2)))+SUMPRODUCT(('Inputs'!$F$76:$F$83='Inputs'!$B$90)*'Inputs'!$J$76:$J$83)+K5-(1-'Inputs'!$T$90)*ROUND(K18*K5,2),2))</f>
      </c>
      <c r="L46">
        <f>IF('Inputs'!$B$90="",0,ROUND(IF(L30="S",'Inputs'!$O$90*L27,IF(L30="K",'Inputs'!$L$90*IF('Inputs'!$N$90=1,L32,L31),0))+'Inputs'!$O$90*ROUND(SUM('Inputs'!$Z$22:$Z$39)*L14,2)+'Inputs'!$Q$90*IF('Inputs'!$S$90=1,L34+L36,L33+L35)+SUMPRODUCT(('Inputs'!$F$59:$F$70='Inputs'!$B$90)*('Inputs'!$C$59:$C$70&lt;&gt;"Estate")*('Inputs'!$C$59:$C$70&lt;&gt;""),('Inputs'!$D$59:$D$70-'Inputs'!$R$59:$R$70*ROUND(L18*'Inputs'!$D$59:$D$70,2)))+SUMPRODUCT(('Inputs'!$F$76:$F$83='Inputs'!$B$90)*'Inputs'!$J$76:$J$83)+L5-(1-'Inputs'!$T$90)*ROUND(L18*L5,2),2))</f>
      </c>
      <c r="M46">
        <f>IF('Inputs'!$B$90="",0,ROUND(IF(M30="S",'Inputs'!$O$90*M27,IF(M30="K",'Inputs'!$L$90*IF('Inputs'!$N$90=1,M32,M31),0))+'Inputs'!$O$90*ROUND(SUM('Inputs'!$Z$22:$Z$39)*M14,2)+'Inputs'!$Q$90*IF('Inputs'!$S$90=1,M34+M36,M33+M35)+SUMPRODUCT(('Inputs'!$F$59:$F$70='Inputs'!$B$90)*('Inputs'!$C$59:$C$70&lt;&gt;"Estate")*('Inputs'!$C$59:$C$70&lt;&gt;""),('Inputs'!$D$59:$D$70-'Inputs'!$R$59:$R$70*ROUND(M18*'Inputs'!$D$59:$D$70,2)))+SUMPRODUCT(('Inputs'!$F$76:$F$83='Inputs'!$B$90)*'Inputs'!$J$76:$J$83)+M5-(1-'Inputs'!$T$90)*ROUND(M18*M5,2),2))</f>
      </c>
      <c r="N46">
        <f>IF('Inputs'!$B$90="",0,ROUND(IF(N30="S",'Inputs'!$O$90*N27,IF(N30="K",'Inputs'!$L$90*IF('Inputs'!$N$90=1,N32,N31),0))+'Inputs'!$O$90*ROUND(SUM('Inputs'!$Z$22:$Z$39)*N14,2)+'Inputs'!$Q$90*IF('Inputs'!$S$90=1,N34+N36,N33+N35)+SUMPRODUCT(('Inputs'!$F$59:$F$70='Inputs'!$B$90)*('Inputs'!$C$59:$C$70&lt;&gt;"Estate")*('Inputs'!$C$59:$C$70&lt;&gt;""),('Inputs'!$D$59:$D$70-'Inputs'!$R$59:$R$70*ROUND(N18*'Inputs'!$D$59:$D$70,2)))+SUMPRODUCT(('Inputs'!$F$76:$F$83='Inputs'!$B$90)*'Inputs'!$J$76:$J$83)+N5-(1-'Inputs'!$T$90)*ROUND(N18*N5,2),2))</f>
      </c>
      <c r="O46">
        <f>IF('Inputs'!$B$90="",0,ROUND(IF(O30="S",'Inputs'!$O$90*O27,IF(O30="K",'Inputs'!$L$90*IF('Inputs'!$N$90=1,O32,O31),0))+'Inputs'!$O$90*ROUND(SUM('Inputs'!$Z$22:$Z$39)*O14,2)+'Inputs'!$Q$90*IF('Inputs'!$S$90=1,O34+O36,O33+O35)+SUMPRODUCT(('Inputs'!$F$59:$F$70='Inputs'!$B$90)*('Inputs'!$C$59:$C$70&lt;&gt;"Estate")*('Inputs'!$C$59:$C$70&lt;&gt;""),('Inputs'!$D$59:$D$70-'Inputs'!$R$59:$R$70*ROUND(O18*'Inputs'!$D$59:$D$70,2)))+SUMPRODUCT(('Inputs'!$F$76:$F$83='Inputs'!$B$90)*'Inputs'!$J$76:$J$83)+O5-(1-'Inputs'!$T$90)*ROUND(O18*O5,2),2))</f>
      </c>
      <c r="P46">
        <f>IF('Inputs'!$B$90="",0,ROUND(IF(P30="S",'Inputs'!$O$90*P27,IF(P30="K",'Inputs'!$L$90*IF('Inputs'!$N$90=1,P32,P31),0))+'Inputs'!$O$90*ROUND(SUM('Inputs'!$Z$22:$Z$39)*P14,2)+'Inputs'!$Q$90*IF('Inputs'!$S$90=1,P34+P36,P33+P35)+SUMPRODUCT(('Inputs'!$F$59:$F$70='Inputs'!$B$90)*('Inputs'!$C$59:$C$70&lt;&gt;"Estate")*('Inputs'!$C$59:$C$70&lt;&gt;""),('Inputs'!$D$59:$D$70-'Inputs'!$R$59:$R$70*ROUND(P18*'Inputs'!$D$59:$D$70,2)))+SUMPRODUCT(('Inputs'!$F$76:$F$83='Inputs'!$B$90)*'Inputs'!$J$76:$J$83)+P5-(1-'Inputs'!$T$90)*ROUND(P18*P5,2),2))</f>
      </c>
      <c r="Q46">
        <f>IF('Inputs'!$B$90="",0,ROUND(IF(Q30="S",'Inputs'!$O$90*Q27,IF(Q30="K",'Inputs'!$L$90*IF('Inputs'!$N$90=1,Q32,Q31),0))+'Inputs'!$O$90*ROUND(SUM('Inputs'!$Z$22:$Z$39)*Q14,2)+'Inputs'!$Q$90*IF('Inputs'!$S$90=1,Q34+Q36,Q33+Q35)+SUMPRODUCT(('Inputs'!$F$59:$F$70='Inputs'!$B$90)*('Inputs'!$C$59:$C$70&lt;&gt;"Estate")*('Inputs'!$C$59:$C$70&lt;&gt;""),('Inputs'!$D$59:$D$70-'Inputs'!$R$59:$R$70*ROUND(Q18*'Inputs'!$D$59:$D$70,2)))+SUMPRODUCT(('Inputs'!$F$76:$F$83='Inputs'!$B$90)*'Inputs'!$J$76:$J$83)+Q5-(1-'Inputs'!$T$90)*ROUND(Q18*Q5,2),2))</f>
      </c>
      <c r="R46">
        <f>IF('Inputs'!$B$90="",0,ROUND(IF(R30="S",'Inputs'!$O$90*R27,IF(R30="K",'Inputs'!$L$90*IF('Inputs'!$N$90=1,R32,R31),0))+'Inputs'!$O$90*ROUND(SUM('Inputs'!$Z$22:$Z$39)*R14,2)+'Inputs'!$Q$90*IF('Inputs'!$S$90=1,R34+R36,R33+R35)+SUMPRODUCT(('Inputs'!$F$59:$F$70='Inputs'!$B$90)*('Inputs'!$C$59:$C$70&lt;&gt;"Estate")*('Inputs'!$C$59:$C$70&lt;&gt;""),('Inputs'!$D$59:$D$70-'Inputs'!$R$59:$R$70*ROUND(R18*'Inputs'!$D$59:$D$70,2)))+SUMPRODUCT(('Inputs'!$F$76:$F$83='Inputs'!$B$90)*'Inputs'!$J$76:$J$83)+R5-(1-'Inputs'!$T$90)*ROUND(R18*R5,2),2))</f>
      </c>
      <c r="S46">
        <f>IF('Inputs'!$B$90="",0,ROUND(IF(S30="S",'Inputs'!$O$90*S27,IF(S30="K",'Inputs'!$L$90*IF('Inputs'!$N$90=1,S32,S31),0))+'Inputs'!$O$90*ROUND(SUM('Inputs'!$Z$22:$Z$39)*S14,2)+'Inputs'!$Q$90*IF('Inputs'!$S$90=1,S34+S36,S33+S35)+SUMPRODUCT(('Inputs'!$F$59:$F$70='Inputs'!$B$90)*('Inputs'!$C$59:$C$70&lt;&gt;"Estate")*('Inputs'!$C$59:$C$70&lt;&gt;""),('Inputs'!$D$59:$D$70-'Inputs'!$R$59:$R$70*ROUND(S18*'Inputs'!$D$59:$D$70,2)))+SUMPRODUCT(('Inputs'!$F$76:$F$83='Inputs'!$B$90)*'Inputs'!$J$76:$J$83)+S5-(1-'Inputs'!$T$90)*ROUND(S18*S5,2),2))</f>
      </c>
      <c r="T46">
        <f>IF('Inputs'!$B$90="",0,ROUND(IF(T30="S",'Inputs'!$O$90*T27,IF(T30="K",'Inputs'!$L$90*IF('Inputs'!$N$90=1,T32,T31),0))+'Inputs'!$O$90*ROUND(SUM('Inputs'!$Z$22:$Z$39)*T14,2)+'Inputs'!$Q$90*IF('Inputs'!$S$90=1,T34+T36,T33+T35)+SUMPRODUCT(('Inputs'!$F$59:$F$70='Inputs'!$B$90)*('Inputs'!$C$59:$C$70&lt;&gt;"Estate")*('Inputs'!$C$59:$C$70&lt;&gt;""),('Inputs'!$D$59:$D$70-'Inputs'!$R$59:$R$70*ROUND(T18*'Inputs'!$D$59:$D$70,2)))+SUMPRODUCT(('Inputs'!$F$76:$F$83='Inputs'!$B$90)*'Inputs'!$J$76:$J$83)+T5-(1-'Inputs'!$T$90)*ROUND(T18*T5,2),2))</f>
      </c>
    </row>
    <row r="47" spans="2:20" x14ac:dyDescent="0.25">
      <c r="B47" t="s">
        <v>341</v>
      </c>
      <c r="C47">
        <f>'Needs years'!$C$61+MAX(0,C46-'Needs years'!$C$66)*('Inputs'!$H$111/100*('Inputs'!$H$114/100+'Inputs'!$H$109/100*'Inputs'!$H$116/100))</f>
      </c>
      <c r="E47">
        <f>'Needs years'!$C$61+MAX(0,E46-'Needs years'!$C$66)*('Inputs'!$H$111/100*('Inputs'!$H$114/100+'Inputs'!$H$109/100*'Inputs'!$H$116/100))</f>
      </c>
      <c r="F47">
        <f>'Needs years'!$C$61+MAX(0,F46-'Needs years'!$C$66)*('Inputs'!$H$111/100*('Inputs'!$H$114/100+'Inputs'!$H$109/100*'Inputs'!$H$116/100))</f>
      </c>
      <c r="G47">
        <f>'Needs years'!$C$61+MAX(0,G46-'Needs years'!$C$66)*('Inputs'!$H$111/100*('Inputs'!$H$114/100+'Inputs'!$H$109/100*'Inputs'!$H$116/100))</f>
      </c>
      <c r="H47">
        <f>'Needs years'!$C$61+MAX(0,H46-'Needs years'!$C$66)*('Inputs'!$H$111/100*('Inputs'!$H$114/100+'Inputs'!$H$109/100*'Inputs'!$H$116/100))</f>
      </c>
      <c r="I47">
        <f>'Needs years'!$C$61+MAX(0,I46-'Needs years'!$C$66)*('Inputs'!$H$111/100*('Inputs'!$H$114/100+'Inputs'!$H$109/100*'Inputs'!$H$116/100))</f>
      </c>
      <c r="J47">
        <f>'Needs years'!$C$61+MAX(0,J46-'Needs years'!$C$66)*('Inputs'!$H$111/100*('Inputs'!$H$114/100+'Inputs'!$H$109/100*'Inputs'!$H$116/100))</f>
      </c>
      <c r="K47">
        <f>'Needs years'!$C$61+MAX(0,K46-'Needs years'!$C$66)*('Inputs'!$H$111/100*('Inputs'!$H$114/100+'Inputs'!$H$109/100*'Inputs'!$H$116/100))</f>
      </c>
      <c r="L47">
        <f>'Needs years'!$C$61+MAX(0,L46-'Needs years'!$C$66)*('Inputs'!$H$111/100*('Inputs'!$H$114/100+'Inputs'!$H$109/100*'Inputs'!$H$116/100))</f>
      </c>
      <c r="M47">
        <f>'Needs years'!$C$61+MAX(0,M46-'Needs years'!$C$66)*('Inputs'!$H$111/100*('Inputs'!$H$114/100+'Inputs'!$H$109/100*'Inputs'!$H$116/100))</f>
      </c>
      <c r="N47">
        <f>'Needs years'!$C$61+MAX(0,N46-'Needs years'!$C$66)*('Inputs'!$H$111/100*('Inputs'!$H$114/100+'Inputs'!$H$109/100*'Inputs'!$H$116/100))</f>
      </c>
      <c r="O47">
        <f>'Needs years'!$C$61+MAX(0,O46-'Needs years'!$C$66)*('Inputs'!$H$111/100*('Inputs'!$H$114/100+'Inputs'!$H$109/100*'Inputs'!$H$116/100))</f>
      </c>
      <c r="P47">
        <f>'Needs years'!$C$61+MAX(0,P46-'Needs years'!$C$66)*('Inputs'!$H$111/100*('Inputs'!$H$114/100+'Inputs'!$H$109/100*'Inputs'!$H$116/100))</f>
      </c>
      <c r="Q47">
        <f>'Needs years'!$C$61+MAX(0,Q46-'Needs years'!$C$66)*('Inputs'!$H$111/100*('Inputs'!$H$114/100+'Inputs'!$H$109/100*'Inputs'!$H$116/100))</f>
      </c>
      <c r="R47">
        <f>'Needs years'!$C$61+MAX(0,R46-'Needs years'!$C$66)*('Inputs'!$H$111/100*('Inputs'!$H$114/100+'Inputs'!$H$109/100*'Inputs'!$H$116/100))</f>
      </c>
      <c r="S47">
        <f>'Needs years'!$C$61+MAX(0,S46-'Needs years'!$C$66)*('Inputs'!$H$111/100*('Inputs'!$H$114/100+'Inputs'!$H$109/100*'Inputs'!$H$116/100))</f>
      </c>
      <c r="T47">
        <f>'Needs years'!$C$61+MAX(0,T46-'Needs years'!$C$66)*('Inputs'!$H$111/100*('Inputs'!$H$114/100+'Inputs'!$H$109/100*'Inputs'!$H$116/100))</f>
      </c>
    </row>
    <row r="48" spans="2:20" x14ac:dyDescent="0.25">
      <c r="B48" t="s">
        <v>342</v>
      </c>
      <c r="C48">
        <f>IF(C47&lt;='Needs years'!$C$60,0,INDEX('Inputs'!$E$123:$E$129,MATCH(C47,'Inputs'!$C$123:$C$129,1)-IF(COUNTIF('Inputs'!$C$123:$C$129,C47)&gt;0,1,0))/100)</f>
      </c>
      <c r="E48">
        <f>IF(E47&lt;='Needs years'!$C$60,0,INDEX('Inputs'!$E$123:$E$129,MATCH(E47,'Inputs'!$C$123:$C$129,1)-IF(COUNTIF('Inputs'!$C$123:$C$129,E47)&gt;0,1,0))/100)</f>
      </c>
      <c r="F48">
        <f>IF(F47&lt;='Needs years'!$C$60,0,INDEX('Inputs'!$E$123:$E$129,MATCH(F47,'Inputs'!$C$123:$C$129,1)-IF(COUNTIF('Inputs'!$C$123:$C$129,F47)&gt;0,1,0))/100)</f>
      </c>
      <c r="G48">
        <f>IF(G47&lt;='Needs years'!$C$60,0,INDEX('Inputs'!$E$123:$E$129,MATCH(G47,'Inputs'!$C$123:$C$129,1)-IF(COUNTIF('Inputs'!$C$123:$C$129,G47)&gt;0,1,0))/100)</f>
      </c>
      <c r="H48">
        <f>IF(H47&lt;='Needs years'!$C$60,0,INDEX('Inputs'!$E$123:$E$129,MATCH(H47,'Inputs'!$C$123:$C$129,1)-IF(COUNTIF('Inputs'!$C$123:$C$129,H47)&gt;0,1,0))/100)</f>
      </c>
      <c r="I48">
        <f>IF(I47&lt;='Needs years'!$C$60,0,INDEX('Inputs'!$E$123:$E$129,MATCH(I47,'Inputs'!$C$123:$C$129,1)-IF(COUNTIF('Inputs'!$C$123:$C$129,I47)&gt;0,1,0))/100)</f>
      </c>
      <c r="J48">
        <f>IF(J47&lt;='Needs years'!$C$60,0,INDEX('Inputs'!$E$123:$E$129,MATCH(J47,'Inputs'!$C$123:$C$129,1)-IF(COUNTIF('Inputs'!$C$123:$C$129,J47)&gt;0,1,0))/100)</f>
      </c>
      <c r="K48">
        <f>IF(K47&lt;='Needs years'!$C$60,0,INDEX('Inputs'!$E$123:$E$129,MATCH(K47,'Inputs'!$C$123:$C$129,1)-IF(COUNTIF('Inputs'!$C$123:$C$129,K47)&gt;0,1,0))/100)</f>
      </c>
      <c r="L48">
        <f>IF(L47&lt;='Needs years'!$C$60,0,INDEX('Inputs'!$E$123:$E$129,MATCH(L47,'Inputs'!$C$123:$C$129,1)-IF(COUNTIF('Inputs'!$C$123:$C$129,L47)&gt;0,1,0))/100)</f>
      </c>
      <c r="M48">
        <f>IF(M47&lt;='Needs years'!$C$60,0,INDEX('Inputs'!$E$123:$E$129,MATCH(M47,'Inputs'!$C$123:$C$129,1)-IF(COUNTIF('Inputs'!$C$123:$C$129,M47)&gt;0,1,0))/100)</f>
      </c>
      <c r="N48">
        <f>IF(N47&lt;='Needs years'!$C$60,0,INDEX('Inputs'!$E$123:$E$129,MATCH(N47,'Inputs'!$C$123:$C$129,1)-IF(COUNTIF('Inputs'!$C$123:$C$129,N47)&gt;0,1,0))/100)</f>
      </c>
      <c r="O48">
        <f>IF(O47&lt;='Needs years'!$C$60,0,INDEX('Inputs'!$E$123:$E$129,MATCH(O47,'Inputs'!$C$123:$C$129,1)-IF(COUNTIF('Inputs'!$C$123:$C$129,O47)&gt;0,1,0))/100)</f>
      </c>
      <c r="P48">
        <f>IF(P47&lt;='Needs years'!$C$60,0,INDEX('Inputs'!$E$123:$E$129,MATCH(P47,'Inputs'!$C$123:$C$129,1)-IF(COUNTIF('Inputs'!$C$123:$C$129,P47)&gt;0,1,0))/100)</f>
      </c>
      <c r="Q48">
        <f>IF(Q47&lt;='Needs years'!$C$60,0,INDEX('Inputs'!$E$123:$E$129,MATCH(Q47,'Inputs'!$C$123:$C$129,1)-IF(COUNTIF('Inputs'!$C$123:$C$129,Q47)&gt;0,1,0))/100)</f>
      </c>
      <c r="R48">
        <f>IF(R47&lt;='Needs years'!$C$60,0,INDEX('Inputs'!$E$123:$E$129,MATCH(R47,'Inputs'!$C$123:$C$129,1)-IF(COUNTIF('Inputs'!$C$123:$C$129,R47)&gt;0,1,0))/100)</f>
      </c>
      <c r="S48">
        <f>IF(S47&lt;='Needs years'!$C$60,0,INDEX('Inputs'!$E$123:$E$129,MATCH(S47,'Inputs'!$C$123:$C$129,1)-IF(COUNTIF('Inputs'!$C$123:$C$129,S47)&gt;0,1,0))/100)</f>
      </c>
      <c r="T48">
        <f>IF(T47&lt;='Needs years'!$C$60,0,INDEX('Inputs'!$E$123:$E$129,MATCH(T47,'Inputs'!$C$123:$C$129,1)-IF(COUNTIF('Inputs'!$C$123:$C$129,T47)&gt;0,1,0))/100)</f>
      </c>
    </row>
    <row r="49" spans="2:20" x14ac:dyDescent="0.25">
      <c r="B49" t="s">
        <v>343</v>
      </c>
      <c r="C49">
        <f>('Inputs'!$H$111/100*(1-('Inputs'!$H$114/100*C48+'Inputs'!$H$115/100*'Inputs'!$H$117/100+'Inputs'!$H$116/100*'Inputs'!$H$109/100*C48))-IF('Needs years'!$C$65=1,'Inputs'!$H$112/100,0))</f>
      </c>
      <c r="E49">
        <f>('Inputs'!$H$111/100*(1-('Inputs'!$H$114/100*E48+'Inputs'!$H$115/100*'Inputs'!$H$117/100+'Inputs'!$H$116/100*'Inputs'!$H$109/100*E48))-IF('Needs years'!$C$65=1,'Inputs'!$H$112/100,0))</f>
      </c>
      <c r="F49">
        <f>('Inputs'!$H$111/100*(1-('Inputs'!$H$114/100*F48+'Inputs'!$H$115/100*'Inputs'!$H$117/100+'Inputs'!$H$116/100*'Inputs'!$H$109/100*F48))-IF('Needs years'!$C$65=1,'Inputs'!$H$112/100,0))</f>
      </c>
      <c r="G49">
        <f>('Inputs'!$H$111/100*(1-('Inputs'!$H$114/100*G48+'Inputs'!$H$115/100*'Inputs'!$H$117/100+'Inputs'!$H$116/100*'Inputs'!$H$109/100*G48))-IF('Needs years'!$C$65=1,'Inputs'!$H$112/100,0))</f>
      </c>
      <c r="H49">
        <f>('Inputs'!$H$111/100*(1-('Inputs'!$H$114/100*H48+'Inputs'!$H$115/100*'Inputs'!$H$117/100+'Inputs'!$H$116/100*'Inputs'!$H$109/100*H48))-IF('Needs years'!$C$65=1,'Inputs'!$H$112/100,0))</f>
      </c>
      <c r="I49">
        <f>('Inputs'!$H$111/100*(1-('Inputs'!$H$114/100*I48+'Inputs'!$H$115/100*'Inputs'!$H$117/100+'Inputs'!$H$116/100*'Inputs'!$H$109/100*I48))-IF('Needs years'!$C$65=1,'Inputs'!$H$112/100,0))</f>
      </c>
      <c r="J49">
        <f>('Inputs'!$H$111/100*(1-('Inputs'!$H$114/100*J48+'Inputs'!$H$115/100*'Inputs'!$H$117/100+'Inputs'!$H$116/100*'Inputs'!$H$109/100*J48))-IF('Needs years'!$C$65=1,'Inputs'!$H$112/100,0))</f>
      </c>
      <c r="K49">
        <f>('Inputs'!$H$111/100*(1-('Inputs'!$H$114/100*K48+'Inputs'!$H$115/100*'Inputs'!$H$117/100+'Inputs'!$H$116/100*'Inputs'!$H$109/100*K48))-IF('Needs years'!$C$65=1,'Inputs'!$H$112/100,0))</f>
      </c>
      <c r="L49">
        <f>('Inputs'!$H$111/100*(1-('Inputs'!$H$114/100*L48+'Inputs'!$H$115/100*'Inputs'!$H$117/100+'Inputs'!$H$116/100*'Inputs'!$H$109/100*L48))-IF('Needs years'!$C$65=1,'Inputs'!$H$112/100,0))</f>
      </c>
      <c r="M49">
        <f>('Inputs'!$H$111/100*(1-('Inputs'!$H$114/100*M48+'Inputs'!$H$115/100*'Inputs'!$H$117/100+'Inputs'!$H$116/100*'Inputs'!$H$109/100*M48))-IF('Needs years'!$C$65=1,'Inputs'!$H$112/100,0))</f>
      </c>
      <c r="N49">
        <f>('Inputs'!$H$111/100*(1-('Inputs'!$H$114/100*N48+'Inputs'!$H$115/100*'Inputs'!$H$117/100+'Inputs'!$H$116/100*'Inputs'!$H$109/100*N48))-IF('Needs years'!$C$65=1,'Inputs'!$H$112/100,0))</f>
      </c>
      <c r="O49">
        <f>('Inputs'!$H$111/100*(1-('Inputs'!$H$114/100*O48+'Inputs'!$H$115/100*'Inputs'!$H$117/100+'Inputs'!$H$116/100*'Inputs'!$H$109/100*O48))-IF('Needs years'!$C$65=1,'Inputs'!$H$112/100,0))</f>
      </c>
      <c r="P49">
        <f>('Inputs'!$H$111/100*(1-('Inputs'!$H$114/100*P48+'Inputs'!$H$115/100*'Inputs'!$H$117/100+'Inputs'!$H$116/100*'Inputs'!$H$109/100*P48))-IF('Needs years'!$C$65=1,'Inputs'!$H$112/100,0))</f>
      </c>
      <c r="Q49">
        <f>('Inputs'!$H$111/100*(1-('Inputs'!$H$114/100*Q48+'Inputs'!$H$115/100*'Inputs'!$H$117/100+'Inputs'!$H$116/100*'Inputs'!$H$109/100*Q48))-IF('Needs years'!$C$65=1,'Inputs'!$H$112/100,0))</f>
      </c>
      <c r="R49">
        <f>('Inputs'!$H$111/100*(1-('Inputs'!$H$114/100*R48+'Inputs'!$H$115/100*'Inputs'!$H$117/100+'Inputs'!$H$116/100*'Inputs'!$H$109/100*R48))-IF('Needs years'!$C$65=1,'Inputs'!$H$112/100,0))</f>
      </c>
      <c r="S49">
        <f>('Inputs'!$H$111/100*(1-('Inputs'!$H$114/100*S48+'Inputs'!$H$115/100*'Inputs'!$H$117/100+'Inputs'!$H$116/100*'Inputs'!$H$109/100*S48))-IF('Needs years'!$C$65=1,'Inputs'!$H$112/100,0))</f>
      </c>
      <c r="T49">
        <f>('Inputs'!$H$111/100*(1-('Inputs'!$H$114/100*T48+'Inputs'!$H$115/100*'Inputs'!$H$117/100+'Inputs'!$H$116/100*'Inputs'!$H$109/100*T48))-IF('Needs years'!$C$65=1,'Inputs'!$H$112/100,0))</f>
      </c>
    </row>
    <row r="50" spans="2:20" x14ac:dyDescent="0.25">
      <c r="B50" t="s">
        <v>344</v>
      </c>
      <c r="C50">
        <f>IF('Inputs'!$B$90="",0,ROUND('Needs years'!$C$66+ROUND(IF(C49=0,SUM('Needs years'!$J$60:$J$109),(1-(1+C49)^-1)/(1-(1+C49)^(-1/12))/12*SUMPRODUCT('Needs years'!$J$60:$J$109,(1+C49)^(-'Needs years'!$I$60:$I$109))),2),2))</f>
      </c>
      <c r="E50">
        <f>IF('Inputs'!$B$90="",0,ROUND('Needs years'!$C$66+ROUND(IF(E49=0,SUM('Needs years'!$J$60:$J$109),(1-(1+E49)^-1)/(1-(1+E49)^(-1/12))/12*SUMPRODUCT('Needs years'!$J$60:$J$109,(1+E49)^(-'Needs years'!$I$60:$I$109))),2),2))</f>
      </c>
      <c r="F50">
        <f>IF('Inputs'!$B$90="",0,ROUND('Needs years'!$C$66+ROUND(IF(F49=0,SUM('Needs years'!$J$60:$J$109),(1-(1+F49)^-1)/(1-(1+F49)^(-1/12))/12*SUMPRODUCT('Needs years'!$J$60:$J$109,(1+F49)^(-'Needs years'!$I$60:$I$109))),2),2))</f>
      </c>
      <c r="G50">
        <f>IF('Inputs'!$B$90="",0,ROUND('Needs years'!$C$66+ROUND(IF(G49=0,SUM('Needs years'!$J$60:$J$109),(1-(1+G49)^-1)/(1-(1+G49)^(-1/12))/12*SUMPRODUCT('Needs years'!$J$60:$J$109,(1+G49)^(-'Needs years'!$I$60:$I$109))),2),2))</f>
      </c>
      <c r="H50">
        <f>IF('Inputs'!$B$90="",0,ROUND('Needs years'!$C$66+ROUND(IF(H49=0,SUM('Needs years'!$J$60:$J$109),(1-(1+H49)^-1)/(1-(1+H49)^(-1/12))/12*SUMPRODUCT('Needs years'!$J$60:$J$109,(1+H49)^(-'Needs years'!$I$60:$I$109))),2),2))</f>
      </c>
      <c r="I50">
        <f>IF('Inputs'!$B$90="",0,ROUND('Needs years'!$C$66+ROUND(IF(I49=0,SUM('Needs years'!$J$60:$J$109),(1-(1+I49)^-1)/(1-(1+I49)^(-1/12))/12*SUMPRODUCT('Needs years'!$J$60:$J$109,(1+I49)^(-'Needs years'!$I$60:$I$109))),2),2))</f>
      </c>
      <c r="J50">
        <f>IF('Inputs'!$B$90="",0,ROUND('Needs years'!$C$66+ROUND(IF(J49=0,SUM('Needs years'!$J$60:$J$109),(1-(1+J49)^-1)/(1-(1+J49)^(-1/12))/12*SUMPRODUCT('Needs years'!$J$60:$J$109,(1+J49)^(-'Needs years'!$I$60:$I$109))),2),2))</f>
      </c>
      <c r="K50">
        <f>IF('Inputs'!$B$90="",0,ROUND('Needs years'!$C$66+ROUND(IF(K49=0,SUM('Needs years'!$J$60:$J$109),(1-(1+K49)^-1)/(1-(1+K49)^(-1/12))/12*SUMPRODUCT('Needs years'!$J$60:$J$109,(1+K49)^(-'Needs years'!$I$60:$I$109))),2),2))</f>
      </c>
      <c r="L50">
        <f>IF('Inputs'!$B$90="",0,ROUND('Needs years'!$C$66+ROUND(IF(L49=0,SUM('Needs years'!$J$60:$J$109),(1-(1+L49)^-1)/(1-(1+L49)^(-1/12))/12*SUMPRODUCT('Needs years'!$J$60:$J$109,(1+L49)^(-'Needs years'!$I$60:$I$109))),2),2))</f>
      </c>
      <c r="M50">
        <f>IF('Inputs'!$B$90="",0,ROUND('Needs years'!$C$66+ROUND(IF(M49=0,SUM('Needs years'!$J$60:$J$109),(1-(1+M49)^-1)/(1-(1+M49)^(-1/12))/12*SUMPRODUCT('Needs years'!$J$60:$J$109,(1+M49)^(-'Needs years'!$I$60:$I$109))),2),2))</f>
      </c>
      <c r="N50">
        <f>IF('Inputs'!$B$90="",0,ROUND('Needs years'!$C$66+ROUND(IF(N49=0,SUM('Needs years'!$J$60:$J$109),(1-(1+N49)^-1)/(1-(1+N49)^(-1/12))/12*SUMPRODUCT('Needs years'!$J$60:$J$109,(1+N49)^(-'Needs years'!$I$60:$I$109))),2),2))</f>
      </c>
      <c r="O50">
        <f>IF('Inputs'!$B$90="",0,ROUND('Needs years'!$C$66+ROUND(IF(O49=0,SUM('Needs years'!$J$60:$J$109),(1-(1+O49)^-1)/(1-(1+O49)^(-1/12))/12*SUMPRODUCT('Needs years'!$J$60:$J$109,(1+O49)^(-'Needs years'!$I$60:$I$109))),2),2))</f>
      </c>
      <c r="P50">
        <f>IF('Inputs'!$B$90="",0,ROUND('Needs years'!$C$66+ROUND(IF(P49=0,SUM('Needs years'!$J$60:$J$109),(1-(1+P49)^-1)/(1-(1+P49)^(-1/12))/12*SUMPRODUCT('Needs years'!$J$60:$J$109,(1+P49)^(-'Needs years'!$I$60:$I$109))),2),2))</f>
      </c>
      <c r="Q50">
        <f>IF('Inputs'!$B$90="",0,ROUND('Needs years'!$C$66+ROUND(IF(Q49=0,SUM('Needs years'!$J$60:$J$109),(1-(1+Q49)^-1)/(1-(1+Q49)^(-1/12))/12*SUMPRODUCT('Needs years'!$J$60:$J$109,(1+Q49)^(-'Needs years'!$I$60:$I$109))),2),2))</f>
      </c>
      <c r="R50">
        <f>IF('Inputs'!$B$90="",0,ROUND('Needs years'!$C$66+ROUND(IF(R49=0,SUM('Needs years'!$J$60:$J$109),(1-(1+R49)^-1)/(1-(1+R49)^(-1/12))/12*SUMPRODUCT('Needs years'!$J$60:$J$109,(1+R49)^(-'Needs years'!$I$60:$I$109))),2),2))</f>
      </c>
      <c r="S50">
        <f>IF('Inputs'!$B$90="",0,ROUND('Needs years'!$C$66+ROUND(IF(S49=0,SUM('Needs years'!$J$60:$J$109),(1-(1+S49)^-1)/(1-(1+S49)^(-1/12))/12*SUMPRODUCT('Needs years'!$J$60:$J$109,(1+S49)^(-'Needs years'!$I$60:$I$109))),2),2))</f>
      </c>
      <c r="T50">
        <f>IF('Inputs'!$B$90="",0,ROUND('Needs years'!$C$66+ROUND(IF(T49=0,SUM('Needs years'!$J$60:$J$109),(1-(1+T49)^-1)/(1-(1+T49)^(-1/12))/12*SUMPRODUCT('Needs years'!$J$60:$J$109,(1+T49)^(-'Needs years'!$I$60:$I$109))),2),2))</f>
      </c>
    </row>
    <row r="51" spans="2:20" x14ac:dyDescent="0.25">
      <c r="B51" t="s">
        <v>345</v>
      </c>
      <c r="C51">
        <f>IF('Inputs'!$B$90="",0,ROUND(C50-C46,2))</f>
      </c>
      <c r="E51">
        <f>IF('Inputs'!$B$90="",0,ROUND(E50-E46,2))</f>
      </c>
      <c r="F51">
        <f>IF('Inputs'!$B$90="",0,ROUND(F50-F46,2))</f>
      </c>
      <c r="G51">
        <f>IF('Inputs'!$B$90="",0,ROUND(G50-G46,2))</f>
      </c>
      <c r="H51">
        <f>IF('Inputs'!$B$90="",0,ROUND(H50-H46,2))</f>
      </c>
      <c r="I51">
        <f>IF('Inputs'!$B$90="",0,ROUND(I50-I46,2))</f>
      </c>
      <c r="J51">
        <f>IF('Inputs'!$B$90="",0,ROUND(J50-J46,2))</f>
      </c>
      <c r="K51">
        <f>IF('Inputs'!$B$90="",0,ROUND(K50-K46,2))</f>
      </c>
      <c r="L51">
        <f>IF('Inputs'!$B$90="",0,ROUND(L50-L46,2))</f>
      </c>
      <c r="M51">
        <f>IF('Inputs'!$B$90="",0,ROUND(M50-M46,2))</f>
      </c>
      <c r="N51">
        <f>IF('Inputs'!$B$90="",0,ROUND(N50-N46,2))</f>
      </c>
      <c r="O51">
        <f>IF('Inputs'!$B$90="",0,ROUND(O50-O46,2))</f>
      </c>
      <c r="P51">
        <f>IF('Inputs'!$B$90="",0,ROUND(P50-P46,2))</f>
      </c>
      <c r="Q51">
        <f>IF('Inputs'!$B$90="",0,ROUND(Q50-Q46,2))</f>
      </c>
      <c r="R51">
        <f>IF('Inputs'!$B$90="",0,ROUND(R50-R46,2))</f>
      </c>
      <c r="S51">
        <f>IF('Inputs'!$B$90="",0,ROUND(S50-S46,2))</f>
      </c>
      <c r="T51">
        <f>IF('Inputs'!$B$90="",0,ROUND(T50-T46,2))</f>
      </c>
    </row>
    <row r="52" spans="2:20" x14ac:dyDescent="0.25">
      <c r="B52" t="s">
        <v>346</v>
      </c>
      <c r="C52">
        <f>IF('Inputs'!$B$90="",0,IF((C50-'Needs years'!$C$66)&gt;0,MAX(0,C46-'Needs years'!$C$66)/(C50-'Needs years'!$C$66)*'Needs years'!$C$63,0))</f>
      </c>
      <c r="E52">
        <f>IF('Inputs'!$B$90="",0,IF((E50-'Needs years'!$C$66)&gt;0,MAX(0,E46-'Needs years'!$C$66)/(E50-'Needs years'!$C$66)*'Needs years'!$C$63,0))</f>
      </c>
      <c r="F52">
        <f>IF('Inputs'!$B$90="",0,IF((F50-'Needs years'!$C$66)&gt;0,MAX(0,F46-'Needs years'!$C$66)/(F50-'Needs years'!$C$66)*'Needs years'!$C$63,0))</f>
      </c>
      <c r="G52">
        <f>IF('Inputs'!$B$90="",0,IF((G50-'Needs years'!$C$66)&gt;0,MAX(0,G46-'Needs years'!$C$66)/(G50-'Needs years'!$C$66)*'Needs years'!$C$63,0))</f>
      </c>
      <c r="H52">
        <f>IF('Inputs'!$B$90="",0,IF((H50-'Needs years'!$C$66)&gt;0,MAX(0,H46-'Needs years'!$C$66)/(H50-'Needs years'!$C$66)*'Needs years'!$C$63,0))</f>
      </c>
      <c r="I52">
        <f>IF('Inputs'!$B$90="",0,IF((I50-'Needs years'!$C$66)&gt;0,MAX(0,I46-'Needs years'!$C$66)/(I50-'Needs years'!$C$66)*'Needs years'!$C$63,0))</f>
      </c>
      <c r="J52">
        <f>IF('Inputs'!$B$90="",0,IF((J50-'Needs years'!$C$66)&gt;0,MAX(0,J46-'Needs years'!$C$66)/(J50-'Needs years'!$C$66)*'Needs years'!$C$63,0))</f>
      </c>
      <c r="K52">
        <f>IF('Inputs'!$B$90="",0,IF((K50-'Needs years'!$C$66)&gt;0,MAX(0,K46-'Needs years'!$C$66)/(K50-'Needs years'!$C$66)*'Needs years'!$C$63,0))</f>
      </c>
      <c r="L52">
        <f>IF('Inputs'!$B$90="",0,IF((L50-'Needs years'!$C$66)&gt;0,MAX(0,L46-'Needs years'!$C$66)/(L50-'Needs years'!$C$66)*'Needs years'!$C$63,0))</f>
      </c>
      <c r="M52">
        <f>IF('Inputs'!$B$90="",0,IF((M50-'Needs years'!$C$66)&gt;0,MAX(0,M46-'Needs years'!$C$66)/(M50-'Needs years'!$C$66)*'Needs years'!$C$63,0))</f>
      </c>
      <c r="N52">
        <f>IF('Inputs'!$B$90="",0,IF((N50-'Needs years'!$C$66)&gt;0,MAX(0,N46-'Needs years'!$C$66)/(N50-'Needs years'!$C$66)*'Needs years'!$C$63,0))</f>
      </c>
      <c r="O52">
        <f>IF('Inputs'!$B$90="",0,IF((O50-'Needs years'!$C$66)&gt;0,MAX(0,O46-'Needs years'!$C$66)/(O50-'Needs years'!$C$66)*'Needs years'!$C$63,0))</f>
      </c>
      <c r="P52">
        <f>IF('Inputs'!$B$90="",0,IF((P50-'Needs years'!$C$66)&gt;0,MAX(0,P46-'Needs years'!$C$66)/(P50-'Needs years'!$C$66)*'Needs years'!$C$63,0))</f>
      </c>
      <c r="Q52">
        <f>IF('Inputs'!$B$90="",0,IF((Q50-'Needs years'!$C$66)&gt;0,MAX(0,Q46-'Needs years'!$C$66)/(Q50-'Needs years'!$C$66)*'Needs years'!$C$63,0))</f>
      </c>
      <c r="R52">
        <f>IF('Inputs'!$B$90="",0,IF((R50-'Needs years'!$C$66)&gt;0,MAX(0,R46-'Needs years'!$C$66)/(R50-'Needs years'!$C$66)*'Needs years'!$C$63,0))</f>
      </c>
      <c r="S52">
        <f>IF('Inputs'!$B$90="",0,IF((S50-'Needs years'!$C$66)&gt;0,MAX(0,S46-'Needs years'!$C$66)/(S50-'Needs years'!$C$66)*'Needs years'!$C$63,0))</f>
      </c>
      <c r="T52">
        <f>IF('Inputs'!$B$90="",0,IF((T50-'Needs years'!$C$66)&gt;0,MAX(0,T46-'Needs years'!$C$66)/(T50-'Needs years'!$C$66)*'Needs years'!$C$63,0))</f>
      </c>
    </row>
    <row r="53" spans="2:20" x14ac:dyDescent="0.25">
      <c r="B53" t="s">
        <v>347</v>
      </c>
      <c r="C53">
        <f>IF('Inputs'!$B$91="",0,ROUND(IF(C30="S",'Inputs'!$O$91*C27,IF(C30="K",'Inputs'!$L$91*IF('Inputs'!$N$91=1,C32,C31),0))+'Inputs'!$O$91*ROUND(SUM('Inputs'!$Z$22:$Z$39)*C14,2)+'Inputs'!$Q$91*IF('Inputs'!$S$91=1,C34+C36,C33+C35)+SUMPRODUCT(('Inputs'!$F$59:$F$70='Inputs'!$B$91)*('Inputs'!$C$59:$C$70&lt;&gt;"Estate")*('Inputs'!$C$59:$C$70&lt;&gt;""),('Inputs'!$D$59:$D$70-'Inputs'!$R$59:$R$70*ROUND(C18*'Inputs'!$D$59:$D$70,2)))+SUMPRODUCT(('Inputs'!$F$76:$F$83='Inputs'!$B$91)*'Inputs'!$J$76:$J$83)+C6-(1-'Inputs'!$T$91)*ROUND(C18*C6,2),2))</f>
      </c>
      <c r="E53">
        <f>IF('Inputs'!$B$91="",0,ROUND(IF(E30="S",'Inputs'!$O$91*E27,IF(E30="K",'Inputs'!$L$91*IF('Inputs'!$N$91=1,E32,E31),0))+'Inputs'!$O$91*ROUND(SUM('Inputs'!$Z$22:$Z$39)*E14,2)+'Inputs'!$Q$91*IF('Inputs'!$S$91=1,E34+E36,E33+E35)+SUMPRODUCT(('Inputs'!$F$59:$F$70='Inputs'!$B$91)*('Inputs'!$C$59:$C$70&lt;&gt;"Estate")*('Inputs'!$C$59:$C$70&lt;&gt;""),('Inputs'!$D$59:$D$70-'Inputs'!$R$59:$R$70*ROUND(E18*'Inputs'!$D$59:$D$70,2)))+SUMPRODUCT(('Inputs'!$F$76:$F$83='Inputs'!$B$91)*'Inputs'!$J$76:$J$83)+E6-(1-'Inputs'!$T$91)*ROUND(E18*E6,2),2))</f>
      </c>
      <c r="F53">
        <f>IF('Inputs'!$B$91="",0,ROUND(IF(F30="S",'Inputs'!$O$91*F27,IF(F30="K",'Inputs'!$L$91*IF('Inputs'!$N$91=1,F32,F31),0))+'Inputs'!$O$91*ROUND(SUM('Inputs'!$Z$22:$Z$39)*F14,2)+'Inputs'!$Q$91*IF('Inputs'!$S$91=1,F34+F36,F33+F35)+SUMPRODUCT(('Inputs'!$F$59:$F$70='Inputs'!$B$91)*('Inputs'!$C$59:$C$70&lt;&gt;"Estate")*('Inputs'!$C$59:$C$70&lt;&gt;""),('Inputs'!$D$59:$D$70-'Inputs'!$R$59:$R$70*ROUND(F18*'Inputs'!$D$59:$D$70,2)))+SUMPRODUCT(('Inputs'!$F$76:$F$83='Inputs'!$B$91)*'Inputs'!$J$76:$J$83)+F6-(1-'Inputs'!$T$91)*ROUND(F18*F6,2),2))</f>
      </c>
      <c r="G53">
        <f>IF('Inputs'!$B$91="",0,ROUND(IF(G30="S",'Inputs'!$O$91*G27,IF(G30="K",'Inputs'!$L$91*IF('Inputs'!$N$91=1,G32,G31),0))+'Inputs'!$O$91*ROUND(SUM('Inputs'!$Z$22:$Z$39)*G14,2)+'Inputs'!$Q$91*IF('Inputs'!$S$91=1,G34+G36,G33+G35)+SUMPRODUCT(('Inputs'!$F$59:$F$70='Inputs'!$B$91)*('Inputs'!$C$59:$C$70&lt;&gt;"Estate")*('Inputs'!$C$59:$C$70&lt;&gt;""),('Inputs'!$D$59:$D$70-'Inputs'!$R$59:$R$70*ROUND(G18*'Inputs'!$D$59:$D$70,2)))+SUMPRODUCT(('Inputs'!$F$76:$F$83='Inputs'!$B$91)*'Inputs'!$J$76:$J$83)+G6-(1-'Inputs'!$T$91)*ROUND(G18*G6,2),2))</f>
      </c>
      <c r="H53">
        <f>IF('Inputs'!$B$91="",0,ROUND(IF(H30="S",'Inputs'!$O$91*H27,IF(H30="K",'Inputs'!$L$91*IF('Inputs'!$N$91=1,H32,H31),0))+'Inputs'!$O$91*ROUND(SUM('Inputs'!$Z$22:$Z$39)*H14,2)+'Inputs'!$Q$91*IF('Inputs'!$S$91=1,H34+H36,H33+H35)+SUMPRODUCT(('Inputs'!$F$59:$F$70='Inputs'!$B$91)*('Inputs'!$C$59:$C$70&lt;&gt;"Estate")*('Inputs'!$C$59:$C$70&lt;&gt;""),('Inputs'!$D$59:$D$70-'Inputs'!$R$59:$R$70*ROUND(H18*'Inputs'!$D$59:$D$70,2)))+SUMPRODUCT(('Inputs'!$F$76:$F$83='Inputs'!$B$91)*'Inputs'!$J$76:$J$83)+H6-(1-'Inputs'!$T$91)*ROUND(H18*H6,2),2))</f>
      </c>
      <c r="I53">
        <f>IF('Inputs'!$B$91="",0,ROUND(IF(I30="S",'Inputs'!$O$91*I27,IF(I30="K",'Inputs'!$L$91*IF('Inputs'!$N$91=1,I32,I31),0))+'Inputs'!$O$91*ROUND(SUM('Inputs'!$Z$22:$Z$39)*I14,2)+'Inputs'!$Q$91*IF('Inputs'!$S$91=1,I34+I36,I33+I35)+SUMPRODUCT(('Inputs'!$F$59:$F$70='Inputs'!$B$91)*('Inputs'!$C$59:$C$70&lt;&gt;"Estate")*('Inputs'!$C$59:$C$70&lt;&gt;""),('Inputs'!$D$59:$D$70-'Inputs'!$R$59:$R$70*ROUND(I18*'Inputs'!$D$59:$D$70,2)))+SUMPRODUCT(('Inputs'!$F$76:$F$83='Inputs'!$B$91)*'Inputs'!$J$76:$J$83)+I6-(1-'Inputs'!$T$91)*ROUND(I18*I6,2),2))</f>
      </c>
      <c r="J53">
        <f>IF('Inputs'!$B$91="",0,ROUND(IF(J30="S",'Inputs'!$O$91*J27,IF(J30="K",'Inputs'!$L$91*IF('Inputs'!$N$91=1,J32,J31),0))+'Inputs'!$O$91*ROUND(SUM('Inputs'!$Z$22:$Z$39)*J14,2)+'Inputs'!$Q$91*IF('Inputs'!$S$91=1,J34+J36,J33+J35)+SUMPRODUCT(('Inputs'!$F$59:$F$70='Inputs'!$B$91)*('Inputs'!$C$59:$C$70&lt;&gt;"Estate")*('Inputs'!$C$59:$C$70&lt;&gt;""),('Inputs'!$D$59:$D$70-'Inputs'!$R$59:$R$70*ROUND(J18*'Inputs'!$D$59:$D$70,2)))+SUMPRODUCT(('Inputs'!$F$76:$F$83='Inputs'!$B$91)*'Inputs'!$J$76:$J$83)+J6-(1-'Inputs'!$T$91)*ROUND(J18*J6,2),2))</f>
      </c>
      <c r="K53">
        <f>IF('Inputs'!$B$91="",0,ROUND(IF(K30="S",'Inputs'!$O$91*K27,IF(K30="K",'Inputs'!$L$91*IF('Inputs'!$N$91=1,K32,K31),0))+'Inputs'!$O$91*ROUND(SUM('Inputs'!$Z$22:$Z$39)*K14,2)+'Inputs'!$Q$91*IF('Inputs'!$S$91=1,K34+K36,K33+K35)+SUMPRODUCT(('Inputs'!$F$59:$F$70='Inputs'!$B$91)*('Inputs'!$C$59:$C$70&lt;&gt;"Estate")*('Inputs'!$C$59:$C$70&lt;&gt;""),('Inputs'!$D$59:$D$70-'Inputs'!$R$59:$R$70*ROUND(K18*'Inputs'!$D$59:$D$70,2)))+SUMPRODUCT(('Inputs'!$F$76:$F$83='Inputs'!$B$91)*'Inputs'!$J$76:$J$83)+K6-(1-'Inputs'!$T$91)*ROUND(K18*K6,2),2))</f>
      </c>
      <c r="L53">
        <f>IF('Inputs'!$B$91="",0,ROUND(IF(L30="S",'Inputs'!$O$91*L27,IF(L30="K",'Inputs'!$L$91*IF('Inputs'!$N$91=1,L32,L31),0))+'Inputs'!$O$91*ROUND(SUM('Inputs'!$Z$22:$Z$39)*L14,2)+'Inputs'!$Q$91*IF('Inputs'!$S$91=1,L34+L36,L33+L35)+SUMPRODUCT(('Inputs'!$F$59:$F$70='Inputs'!$B$91)*('Inputs'!$C$59:$C$70&lt;&gt;"Estate")*('Inputs'!$C$59:$C$70&lt;&gt;""),('Inputs'!$D$59:$D$70-'Inputs'!$R$59:$R$70*ROUND(L18*'Inputs'!$D$59:$D$70,2)))+SUMPRODUCT(('Inputs'!$F$76:$F$83='Inputs'!$B$91)*'Inputs'!$J$76:$J$83)+L6-(1-'Inputs'!$T$91)*ROUND(L18*L6,2),2))</f>
      </c>
      <c r="M53">
        <f>IF('Inputs'!$B$91="",0,ROUND(IF(M30="S",'Inputs'!$O$91*M27,IF(M30="K",'Inputs'!$L$91*IF('Inputs'!$N$91=1,M32,M31),0))+'Inputs'!$O$91*ROUND(SUM('Inputs'!$Z$22:$Z$39)*M14,2)+'Inputs'!$Q$91*IF('Inputs'!$S$91=1,M34+M36,M33+M35)+SUMPRODUCT(('Inputs'!$F$59:$F$70='Inputs'!$B$91)*('Inputs'!$C$59:$C$70&lt;&gt;"Estate")*('Inputs'!$C$59:$C$70&lt;&gt;""),('Inputs'!$D$59:$D$70-'Inputs'!$R$59:$R$70*ROUND(M18*'Inputs'!$D$59:$D$70,2)))+SUMPRODUCT(('Inputs'!$F$76:$F$83='Inputs'!$B$91)*'Inputs'!$J$76:$J$83)+M6-(1-'Inputs'!$T$91)*ROUND(M18*M6,2),2))</f>
      </c>
      <c r="N53">
        <f>IF('Inputs'!$B$91="",0,ROUND(IF(N30="S",'Inputs'!$O$91*N27,IF(N30="K",'Inputs'!$L$91*IF('Inputs'!$N$91=1,N32,N31),0))+'Inputs'!$O$91*ROUND(SUM('Inputs'!$Z$22:$Z$39)*N14,2)+'Inputs'!$Q$91*IF('Inputs'!$S$91=1,N34+N36,N33+N35)+SUMPRODUCT(('Inputs'!$F$59:$F$70='Inputs'!$B$91)*('Inputs'!$C$59:$C$70&lt;&gt;"Estate")*('Inputs'!$C$59:$C$70&lt;&gt;""),('Inputs'!$D$59:$D$70-'Inputs'!$R$59:$R$70*ROUND(N18*'Inputs'!$D$59:$D$70,2)))+SUMPRODUCT(('Inputs'!$F$76:$F$83='Inputs'!$B$91)*'Inputs'!$J$76:$J$83)+N6-(1-'Inputs'!$T$91)*ROUND(N18*N6,2),2))</f>
      </c>
      <c r="O53">
        <f>IF('Inputs'!$B$91="",0,ROUND(IF(O30="S",'Inputs'!$O$91*O27,IF(O30="K",'Inputs'!$L$91*IF('Inputs'!$N$91=1,O32,O31),0))+'Inputs'!$O$91*ROUND(SUM('Inputs'!$Z$22:$Z$39)*O14,2)+'Inputs'!$Q$91*IF('Inputs'!$S$91=1,O34+O36,O33+O35)+SUMPRODUCT(('Inputs'!$F$59:$F$70='Inputs'!$B$91)*('Inputs'!$C$59:$C$70&lt;&gt;"Estate")*('Inputs'!$C$59:$C$70&lt;&gt;""),('Inputs'!$D$59:$D$70-'Inputs'!$R$59:$R$70*ROUND(O18*'Inputs'!$D$59:$D$70,2)))+SUMPRODUCT(('Inputs'!$F$76:$F$83='Inputs'!$B$91)*'Inputs'!$J$76:$J$83)+O6-(1-'Inputs'!$T$91)*ROUND(O18*O6,2),2))</f>
      </c>
      <c r="P53">
        <f>IF('Inputs'!$B$91="",0,ROUND(IF(P30="S",'Inputs'!$O$91*P27,IF(P30="K",'Inputs'!$L$91*IF('Inputs'!$N$91=1,P32,P31),0))+'Inputs'!$O$91*ROUND(SUM('Inputs'!$Z$22:$Z$39)*P14,2)+'Inputs'!$Q$91*IF('Inputs'!$S$91=1,P34+P36,P33+P35)+SUMPRODUCT(('Inputs'!$F$59:$F$70='Inputs'!$B$91)*('Inputs'!$C$59:$C$70&lt;&gt;"Estate")*('Inputs'!$C$59:$C$70&lt;&gt;""),('Inputs'!$D$59:$D$70-'Inputs'!$R$59:$R$70*ROUND(P18*'Inputs'!$D$59:$D$70,2)))+SUMPRODUCT(('Inputs'!$F$76:$F$83='Inputs'!$B$91)*'Inputs'!$J$76:$J$83)+P6-(1-'Inputs'!$T$91)*ROUND(P18*P6,2),2))</f>
      </c>
      <c r="Q53">
        <f>IF('Inputs'!$B$91="",0,ROUND(IF(Q30="S",'Inputs'!$O$91*Q27,IF(Q30="K",'Inputs'!$L$91*IF('Inputs'!$N$91=1,Q32,Q31),0))+'Inputs'!$O$91*ROUND(SUM('Inputs'!$Z$22:$Z$39)*Q14,2)+'Inputs'!$Q$91*IF('Inputs'!$S$91=1,Q34+Q36,Q33+Q35)+SUMPRODUCT(('Inputs'!$F$59:$F$70='Inputs'!$B$91)*('Inputs'!$C$59:$C$70&lt;&gt;"Estate")*('Inputs'!$C$59:$C$70&lt;&gt;""),('Inputs'!$D$59:$D$70-'Inputs'!$R$59:$R$70*ROUND(Q18*'Inputs'!$D$59:$D$70,2)))+SUMPRODUCT(('Inputs'!$F$76:$F$83='Inputs'!$B$91)*'Inputs'!$J$76:$J$83)+Q6-(1-'Inputs'!$T$91)*ROUND(Q18*Q6,2),2))</f>
      </c>
      <c r="R53">
        <f>IF('Inputs'!$B$91="",0,ROUND(IF(R30="S",'Inputs'!$O$91*R27,IF(R30="K",'Inputs'!$L$91*IF('Inputs'!$N$91=1,R32,R31),0))+'Inputs'!$O$91*ROUND(SUM('Inputs'!$Z$22:$Z$39)*R14,2)+'Inputs'!$Q$91*IF('Inputs'!$S$91=1,R34+R36,R33+R35)+SUMPRODUCT(('Inputs'!$F$59:$F$70='Inputs'!$B$91)*('Inputs'!$C$59:$C$70&lt;&gt;"Estate")*('Inputs'!$C$59:$C$70&lt;&gt;""),('Inputs'!$D$59:$D$70-'Inputs'!$R$59:$R$70*ROUND(R18*'Inputs'!$D$59:$D$70,2)))+SUMPRODUCT(('Inputs'!$F$76:$F$83='Inputs'!$B$91)*'Inputs'!$J$76:$J$83)+R6-(1-'Inputs'!$T$91)*ROUND(R18*R6,2),2))</f>
      </c>
      <c r="S53">
        <f>IF('Inputs'!$B$91="",0,ROUND(IF(S30="S",'Inputs'!$O$91*S27,IF(S30="K",'Inputs'!$L$91*IF('Inputs'!$N$91=1,S32,S31),0))+'Inputs'!$O$91*ROUND(SUM('Inputs'!$Z$22:$Z$39)*S14,2)+'Inputs'!$Q$91*IF('Inputs'!$S$91=1,S34+S36,S33+S35)+SUMPRODUCT(('Inputs'!$F$59:$F$70='Inputs'!$B$91)*('Inputs'!$C$59:$C$70&lt;&gt;"Estate")*('Inputs'!$C$59:$C$70&lt;&gt;""),('Inputs'!$D$59:$D$70-'Inputs'!$R$59:$R$70*ROUND(S18*'Inputs'!$D$59:$D$70,2)))+SUMPRODUCT(('Inputs'!$F$76:$F$83='Inputs'!$B$91)*'Inputs'!$J$76:$J$83)+S6-(1-'Inputs'!$T$91)*ROUND(S18*S6,2),2))</f>
      </c>
      <c r="T53">
        <f>IF('Inputs'!$B$91="",0,ROUND(IF(T30="S",'Inputs'!$O$91*T27,IF(T30="K",'Inputs'!$L$91*IF('Inputs'!$N$91=1,T32,T31),0))+'Inputs'!$O$91*ROUND(SUM('Inputs'!$Z$22:$Z$39)*T14,2)+'Inputs'!$Q$91*IF('Inputs'!$S$91=1,T34+T36,T33+T35)+SUMPRODUCT(('Inputs'!$F$59:$F$70='Inputs'!$B$91)*('Inputs'!$C$59:$C$70&lt;&gt;"Estate")*('Inputs'!$C$59:$C$70&lt;&gt;""),('Inputs'!$D$59:$D$70-'Inputs'!$R$59:$R$70*ROUND(T18*'Inputs'!$D$59:$D$70,2)))+SUMPRODUCT(('Inputs'!$F$76:$F$83='Inputs'!$B$91)*'Inputs'!$J$76:$J$83)+T6-(1-'Inputs'!$T$91)*ROUND(T18*T6,2),2))</f>
      </c>
    </row>
    <row r="54" spans="2:20" x14ac:dyDescent="0.25">
      <c r="B54" t="s">
        <v>348</v>
      </c>
      <c r="C54">
        <f>'Needs years'!$C$117+MAX(0,C53-'Needs years'!$C$122)*('Inputs'!$H$111/100*('Inputs'!$H$114/100+'Inputs'!$H$109/100*'Inputs'!$H$116/100))</f>
      </c>
      <c r="E54">
        <f>'Needs years'!$C$117+MAX(0,E53-'Needs years'!$C$122)*('Inputs'!$H$111/100*('Inputs'!$H$114/100+'Inputs'!$H$109/100*'Inputs'!$H$116/100))</f>
      </c>
      <c r="F54">
        <f>'Needs years'!$C$117+MAX(0,F53-'Needs years'!$C$122)*('Inputs'!$H$111/100*('Inputs'!$H$114/100+'Inputs'!$H$109/100*'Inputs'!$H$116/100))</f>
      </c>
      <c r="G54">
        <f>'Needs years'!$C$117+MAX(0,G53-'Needs years'!$C$122)*('Inputs'!$H$111/100*('Inputs'!$H$114/100+'Inputs'!$H$109/100*'Inputs'!$H$116/100))</f>
      </c>
      <c r="H54">
        <f>'Needs years'!$C$117+MAX(0,H53-'Needs years'!$C$122)*('Inputs'!$H$111/100*('Inputs'!$H$114/100+'Inputs'!$H$109/100*'Inputs'!$H$116/100))</f>
      </c>
      <c r="I54">
        <f>'Needs years'!$C$117+MAX(0,I53-'Needs years'!$C$122)*('Inputs'!$H$111/100*('Inputs'!$H$114/100+'Inputs'!$H$109/100*'Inputs'!$H$116/100))</f>
      </c>
      <c r="J54">
        <f>'Needs years'!$C$117+MAX(0,J53-'Needs years'!$C$122)*('Inputs'!$H$111/100*('Inputs'!$H$114/100+'Inputs'!$H$109/100*'Inputs'!$H$116/100))</f>
      </c>
      <c r="K54">
        <f>'Needs years'!$C$117+MAX(0,K53-'Needs years'!$C$122)*('Inputs'!$H$111/100*('Inputs'!$H$114/100+'Inputs'!$H$109/100*'Inputs'!$H$116/100))</f>
      </c>
      <c r="L54">
        <f>'Needs years'!$C$117+MAX(0,L53-'Needs years'!$C$122)*('Inputs'!$H$111/100*('Inputs'!$H$114/100+'Inputs'!$H$109/100*'Inputs'!$H$116/100))</f>
      </c>
      <c r="M54">
        <f>'Needs years'!$C$117+MAX(0,M53-'Needs years'!$C$122)*('Inputs'!$H$111/100*('Inputs'!$H$114/100+'Inputs'!$H$109/100*'Inputs'!$H$116/100))</f>
      </c>
      <c r="N54">
        <f>'Needs years'!$C$117+MAX(0,N53-'Needs years'!$C$122)*('Inputs'!$H$111/100*('Inputs'!$H$114/100+'Inputs'!$H$109/100*'Inputs'!$H$116/100))</f>
      </c>
      <c r="O54">
        <f>'Needs years'!$C$117+MAX(0,O53-'Needs years'!$C$122)*('Inputs'!$H$111/100*('Inputs'!$H$114/100+'Inputs'!$H$109/100*'Inputs'!$H$116/100))</f>
      </c>
      <c r="P54">
        <f>'Needs years'!$C$117+MAX(0,P53-'Needs years'!$C$122)*('Inputs'!$H$111/100*('Inputs'!$H$114/100+'Inputs'!$H$109/100*'Inputs'!$H$116/100))</f>
      </c>
      <c r="Q54">
        <f>'Needs years'!$C$117+MAX(0,Q53-'Needs years'!$C$122)*('Inputs'!$H$111/100*('Inputs'!$H$114/100+'Inputs'!$H$109/100*'Inputs'!$H$116/100))</f>
      </c>
      <c r="R54">
        <f>'Needs years'!$C$117+MAX(0,R53-'Needs years'!$C$122)*('Inputs'!$H$111/100*('Inputs'!$H$114/100+'Inputs'!$H$109/100*'Inputs'!$H$116/100))</f>
      </c>
      <c r="S54">
        <f>'Needs years'!$C$117+MAX(0,S53-'Needs years'!$C$122)*('Inputs'!$H$111/100*('Inputs'!$H$114/100+'Inputs'!$H$109/100*'Inputs'!$H$116/100))</f>
      </c>
      <c r="T54">
        <f>'Needs years'!$C$117+MAX(0,T53-'Needs years'!$C$122)*('Inputs'!$H$111/100*('Inputs'!$H$114/100+'Inputs'!$H$109/100*'Inputs'!$H$116/100))</f>
      </c>
    </row>
    <row r="55" spans="2:20" x14ac:dyDescent="0.25">
      <c r="B55" t="s">
        <v>349</v>
      </c>
      <c r="C55">
        <f>IF(C54&lt;='Needs years'!$C$116,0,INDEX('Inputs'!$E$123:$E$129,MATCH(C54,'Inputs'!$C$123:$C$129,1)-IF(COUNTIF('Inputs'!$C$123:$C$129,C54)&gt;0,1,0))/100)</f>
      </c>
      <c r="E55">
        <f>IF(E54&lt;='Needs years'!$C$116,0,INDEX('Inputs'!$E$123:$E$129,MATCH(E54,'Inputs'!$C$123:$C$129,1)-IF(COUNTIF('Inputs'!$C$123:$C$129,E54)&gt;0,1,0))/100)</f>
      </c>
      <c r="F55">
        <f>IF(F54&lt;='Needs years'!$C$116,0,INDEX('Inputs'!$E$123:$E$129,MATCH(F54,'Inputs'!$C$123:$C$129,1)-IF(COUNTIF('Inputs'!$C$123:$C$129,F54)&gt;0,1,0))/100)</f>
      </c>
      <c r="G55">
        <f>IF(G54&lt;='Needs years'!$C$116,0,INDEX('Inputs'!$E$123:$E$129,MATCH(G54,'Inputs'!$C$123:$C$129,1)-IF(COUNTIF('Inputs'!$C$123:$C$129,G54)&gt;0,1,0))/100)</f>
      </c>
      <c r="H55">
        <f>IF(H54&lt;='Needs years'!$C$116,0,INDEX('Inputs'!$E$123:$E$129,MATCH(H54,'Inputs'!$C$123:$C$129,1)-IF(COUNTIF('Inputs'!$C$123:$C$129,H54)&gt;0,1,0))/100)</f>
      </c>
      <c r="I55">
        <f>IF(I54&lt;='Needs years'!$C$116,0,INDEX('Inputs'!$E$123:$E$129,MATCH(I54,'Inputs'!$C$123:$C$129,1)-IF(COUNTIF('Inputs'!$C$123:$C$129,I54)&gt;0,1,0))/100)</f>
      </c>
      <c r="J55">
        <f>IF(J54&lt;='Needs years'!$C$116,0,INDEX('Inputs'!$E$123:$E$129,MATCH(J54,'Inputs'!$C$123:$C$129,1)-IF(COUNTIF('Inputs'!$C$123:$C$129,J54)&gt;0,1,0))/100)</f>
      </c>
      <c r="K55">
        <f>IF(K54&lt;='Needs years'!$C$116,0,INDEX('Inputs'!$E$123:$E$129,MATCH(K54,'Inputs'!$C$123:$C$129,1)-IF(COUNTIF('Inputs'!$C$123:$C$129,K54)&gt;0,1,0))/100)</f>
      </c>
      <c r="L55">
        <f>IF(L54&lt;='Needs years'!$C$116,0,INDEX('Inputs'!$E$123:$E$129,MATCH(L54,'Inputs'!$C$123:$C$129,1)-IF(COUNTIF('Inputs'!$C$123:$C$129,L54)&gt;0,1,0))/100)</f>
      </c>
      <c r="M55">
        <f>IF(M54&lt;='Needs years'!$C$116,0,INDEX('Inputs'!$E$123:$E$129,MATCH(M54,'Inputs'!$C$123:$C$129,1)-IF(COUNTIF('Inputs'!$C$123:$C$129,M54)&gt;0,1,0))/100)</f>
      </c>
      <c r="N55">
        <f>IF(N54&lt;='Needs years'!$C$116,0,INDEX('Inputs'!$E$123:$E$129,MATCH(N54,'Inputs'!$C$123:$C$129,1)-IF(COUNTIF('Inputs'!$C$123:$C$129,N54)&gt;0,1,0))/100)</f>
      </c>
      <c r="O55">
        <f>IF(O54&lt;='Needs years'!$C$116,0,INDEX('Inputs'!$E$123:$E$129,MATCH(O54,'Inputs'!$C$123:$C$129,1)-IF(COUNTIF('Inputs'!$C$123:$C$129,O54)&gt;0,1,0))/100)</f>
      </c>
      <c r="P55">
        <f>IF(P54&lt;='Needs years'!$C$116,0,INDEX('Inputs'!$E$123:$E$129,MATCH(P54,'Inputs'!$C$123:$C$129,1)-IF(COUNTIF('Inputs'!$C$123:$C$129,P54)&gt;0,1,0))/100)</f>
      </c>
      <c r="Q55">
        <f>IF(Q54&lt;='Needs years'!$C$116,0,INDEX('Inputs'!$E$123:$E$129,MATCH(Q54,'Inputs'!$C$123:$C$129,1)-IF(COUNTIF('Inputs'!$C$123:$C$129,Q54)&gt;0,1,0))/100)</f>
      </c>
      <c r="R55">
        <f>IF(R54&lt;='Needs years'!$C$116,0,INDEX('Inputs'!$E$123:$E$129,MATCH(R54,'Inputs'!$C$123:$C$129,1)-IF(COUNTIF('Inputs'!$C$123:$C$129,R54)&gt;0,1,0))/100)</f>
      </c>
      <c r="S55">
        <f>IF(S54&lt;='Needs years'!$C$116,0,INDEX('Inputs'!$E$123:$E$129,MATCH(S54,'Inputs'!$C$123:$C$129,1)-IF(COUNTIF('Inputs'!$C$123:$C$129,S54)&gt;0,1,0))/100)</f>
      </c>
      <c r="T55">
        <f>IF(T54&lt;='Needs years'!$C$116,0,INDEX('Inputs'!$E$123:$E$129,MATCH(T54,'Inputs'!$C$123:$C$129,1)-IF(COUNTIF('Inputs'!$C$123:$C$129,T54)&gt;0,1,0))/100)</f>
      </c>
    </row>
    <row r="56" spans="2:20" x14ac:dyDescent="0.25">
      <c r="B56" t="s">
        <v>350</v>
      </c>
      <c r="C56">
        <f>('Inputs'!$H$111/100*(1-('Inputs'!$H$114/100*C55+'Inputs'!$H$115/100*'Inputs'!$H$117/100+'Inputs'!$H$116/100*'Inputs'!$H$109/100*C55))-IF('Needs years'!$C$121=1,'Inputs'!$H$112/100,0))</f>
      </c>
      <c r="E56">
        <f>('Inputs'!$H$111/100*(1-('Inputs'!$H$114/100*E55+'Inputs'!$H$115/100*'Inputs'!$H$117/100+'Inputs'!$H$116/100*'Inputs'!$H$109/100*E55))-IF('Needs years'!$C$121=1,'Inputs'!$H$112/100,0))</f>
      </c>
      <c r="F56">
        <f>('Inputs'!$H$111/100*(1-('Inputs'!$H$114/100*F55+'Inputs'!$H$115/100*'Inputs'!$H$117/100+'Inputs'!$H$116/100*'Inputs'!$H$109/100*F55))-IF('Needs years'!$C$121=1,'Inputs'!$H$112/100,0))</f>
      </c>
      <c r="G56">
        <f>('Inputs'!$H$111/100*(1-('Inputs'!$H$114/100*G55+'Inputs'!$H$115/100*'Inputs'!$H$117/100+'Inputs'!$H$116/100*'Inputs'!$H$109/100*G55))-IF('Needs years'!$C$121=1,'Inputs'!$H$112/100,0))</f>
      </c>
      <c r="H56">
        <f>('Inputs'!$H$111/100*(1-('Inputs'!$H$114/100*H55+'Inputs'!$H$115/100*'Inputs'!$H$117/100+'Inputs'!$H$116/100*'Inputs'!$H$109/100*H55))-IF('Needs years'!$C$121=1,'Inputs'!$H$112/100,0))</f>
      </c>
      <c r="I56">
        <f>('Inputs'!$H$111/100*(1-('Inputs'!$H$114/100*I55+'Inputs'!$H$115/100*'Inputs'!$H$117/100+'Inputs'!$H$116/100*'Inputs'!$H$109/100*I55))-IF('Needs years'!$C$121=1,'Inputs'!$H$112/100,0))</f>
      </c>
      <c r="J56">
        <f>('Inputs'!$H$111/100*(1-('Inputs'!$H$114/100*J55+'Inputs'!$H$115/100*'Inputs'!$H$117/100+'Inputs'!$H$116/100*'Inputs'!$H$109/100*J55))-IF('Needs years'!$C$121=1,'Inputs'!$H$112/100,0))</f>
      </c>
      <c r="K56">
        <f>('Inputs'!$H$111/100*(1-('Inputs'!$H$114/100*K55+'Inputs'!$H$115/100*'Inputs'!$H$117/100+'Inputs'!$H$116/100*'Inputs'!$H$109/100*K55))-IF('Needs years'!$C$121=1,'Inputs'!$H$112/100,0))</f>
      </c>
      <c r="L56">
        <f>('Inputs'!$H$111/100*(1-('Inputs'!$H$114/100*L55+'Inputs'!$H$115/100*'Inputs'!$H$117/100+'Inputs'!$H$116/100*'Inputs'!$H$109/100*L55))-IF('Needs years'!$C$121=1,'Inputs'!$H$112/100,0))</f>
      </c>
      <c r="M56">
        <f>('Inputs'!$H$111/100*(1-('Inputs'!$H$114/100*M55+'Inputs'!$H$115/100*'Inputs'!$H$117/100+'Inputs'!$H$116/100*'Inputs'!$H$109/100*M55))-IF('Needs years'!$C$121=1,'Inputs'!$H$112/100,0))</f>
      </c>
      <c r="N56">
        <f>('Inputs'!$H$111/100*(1-('Inputs'!$H$114/100*N55+'Inputs'!$H$115/100*'Inputs'!$H$117/100+'Inputs'!$H$116/100*'Inputs'!$H$109/100*N55))-IF('Needs years'!$C$121=1,'Inputs'!$H$112/100,0))</f>
      </c>
      <c r="O56">
        <f>('Inputs'!$H$111/100*(1-('Inputs'!$H$114/100*O55+'Inputs'!$H$115/100*'Inputs'!$H$117/100+'Inputs'!$H$116/100*'Inputs'!$H$109/100*O55))-IF('Needs years'!$C$121=1,'Inputs'!$H$112/100,0))</f>
      </c>
      <c r="P56">
        <f>('Inputs'!$H$111/100*(1-('Inputs'!$H$114/100*P55+'Inputs'!$H$115/100*'Inputs'!$H$117/100+'Inputs'!$H$116/100*'Inputs'!$H$109/100*P55))-IF('Needs years'!$C$121=1,'Inputs'!$H$112/100,0))</f>
      </c>
      <c r="Q56">
        <f>('Inputs'!$H$111/100*(1-('Inputs'!$H$114/100*Q55+'Inputs'!$H$115/100*'Inputs'!$H$117/100+'Inputs'!$H$116/100*'Inputs'!$H$109/100*Q55))-IF('Needs years'!$C$121=1,'Inputs'!$H$112/100,0))</f>
      </c>
      <c r="R56">
        <f>('Inputs'!$H$111/100*(1-('Inputs'!$H$114/100*R55+'Inputs'!$H$115/100*'Inputs'!$H$117/100+'Inputs'!$H$116/100*'Inputs'!$H$109/100*R55))-IF('Needs years'!$C$121=1,'Inputs'!$H$112/100,0))</f>
      </c>
      <c r="S56">
        <f>('Inputs'!$H$111/100*(1-('Inputs'!$H$114/100*S55+'Inputs'!$H$115/100*'Inputs'!$H$117/100+'Inputs'!$H$116/100*'Inputs'!$H$109/100*S55))-IF('Needs years'!$C$121=1,'Inputs'!$H$112/100,0))</f>
      </c>
      <c r="T56">
        <f>('Inputs'!$H$111/100*(1-('Inputs'!$H$114/100*T55+'Inputs'!$H$115/100*'Inputs'!$H$117/100+'Inputs'!$H$116/100*'Inputs'!$H$109/100*T55))-IF('Needs years'!$C$121=1,'Inputs'!$H$112/100,0))</f>
      </c>
    </row>
    <row r="57" spans="2:20" x14ac:dyDescent="0.25">
      <c r="B57" t="s">
        <v>351</v>
      </c>
      <c r="C57">
        <f>IF('Inputs'!$B$91="",0,ROUND('Needs years'!$C$122+ROUND(IF(C56=0,SUM('Needs years'!$J$116:$J$165),(1-(1+C56)^-1)/(1-(1+C56)^(-1/12))/12*SUMPRODUCT('Needs years'!$J$116:$J$165,(1+C56)^(-'Needs years'!$I$116:$I$165))),2),2))</f>
      </c>
      <c r="E57">
        <f>IF('Inputs'!$B$91="",0,ROUND('Needs years'!$C$122+ROUND(IF(E56=0,SUM('Needs years'!$J$116:$J$165),(1-(1+E56)^-1)/(1-(1+E56)^(-1/12))/12*SUMPRODUCT('Needs years'!$J$116:$J$165,(1+E56)^(-'Needs years'!$I$116:$I$165))),2),2))</f>
      </c>
      <c r="F57">
        <f>IF('Inputs'!$B$91="",0,ROUND('Needs years'!$C$122+ROUND(IF(F56=0,SUM('Needs years'!$J$116:$J$165),(1-(1+F56)^-1)/(1-(1+F56)^(-1/12))/12*SUMPRODUCT('Needs years'!$J$116:$J$165,(1+F56)^(-'Needs years'!$I$116:$I$165))),2),2))</f>
      </c>
      <c r="G57">
        <f>IF('Inputs'!$B$91="",0,ROUND('Needs years'!$C$122+ROUND(IF(G56=0,SUM('Needs years'!$J$116:$J$165),(1-(1+G56)^-1)/(1-(1+G56)^(-1/12))/12*SUMPRODUCT('Needs years'!$J$116:$J$165,(1+G56)^(-'Needs years'!$I$116:$I$165))),2),2))</f>
      </c>
      <c r="H57">
        <f>IF('Inputs'!$B$91="",0,ROUND('Needs years'!$C$122+ROUND(IF(H56=0,SUM('Needs years'!$J$116:$J$165),(1-(1+H56)^-1)/(1-(1+H56)^(-1/12))/12*SUMPRODUCT('Needs years'!$J$116:$J$165,(1+H56)^(-'Needs years'!$I$116:$I$165))),2),2))</f>
      </c>
      <c r="I57">
        <f>IF('Inputs'!$B$91="",0,ROUND('Needs years'!$C$122+ROUND(IF(I56=0,SUM('Needs years'!$J$116:$J$165),(1-(1+I56)^-1)/(1-(1+I56)^(-1/12))/12*SUMPRODUCT('Needs years'!$J$116:$J$165,(1+I56)^(-'Needs years'!$I$116:$I$165))),2),2))</f>
      </c>
      <c r="J57">
        <f>IF('Inputs'!$B$91="",0,ROUND('Needs years'!$C$122+ROUND(IF(J56=0,SUM('Needs years'!$J$116:$J$165),(1-(1+J56)^-1)/(1-(1+J56)^(-1/12))/12*SUMPRODUCT('Needs years'!$J$116:$J$165,(1+J56)^(-'Needs years'!$I$116:$I$165))),2),2))</f>
      </c>
      <c r="K57">
        <f>IF('Inputs'!$B$91="",0,ROUND('Needs years'!$C$122+ROUND(IF(K56=0,SUM('Needs years'!$J$116:$J$165),(1-(1+K56)^-1)/(1-(1+K56)^(-1/12))/12*SUMPRODUCT('Needs years'!$J$116:$J$165,(1+K56)^(-'Needs years'!$I$116:$I$165))),2),2))</f>
      </c>
      <c r="L57">
        <f>IF('Inputs'!$B$91="",0,ROUND('Needs years'!$C$122+ROUND(IF(L56=0,SUM('Needs years'!$J$116:$J$165),(1-(1+L56)^-1)/(1-(1+L56)^(-1/12))/12*SUMPRODUCT('Needs years'!$J$116:$J$165,(1+L56)^(-'Needs years'!$I$116:$I$165))),2),2))</f>
      </c>
      <c r="M57">
        <f>IF('Inputs'!$B$91="",0,ROUND('Needs years'!$C$122+ROUND(IF(M56=0,SUM('Needs years'!$J$116:$J$165),(1-(1+M56)^-1)/(1-(1+M56)^(-1/12))/12*SUMPRODUCT('Needs years'!$J$116:$J$165,(1+M56)^(-'Needs years'!$I$116:$I$165))),2),2))</f>
      </c>
      <c r="N57">
        <f>IF('Inputs'!$B$91="",0,ROUND('Needs years'!$C$122+ROUND(IF(N56=0,SUM('Needs years'!$J$116:$J$165),(1-(1+N56)^-1)/(1-(1+N56)^(-1/12))/12*SUMPRODUCT('Needs years'!$J$116:$J$165,(1+N56)^(-'Needs years'!$I$116:$I$165))),2),2))</f>
      </c>
      <c r="O57">
        <f>IF('Inputs'!$B$91="",0,ROUND('Needs years'!$C$122+ROUND(IF(O56=0,SUM('Needs years'!$J$116:$J$165),(1-(1+O56)^-1)/(1-(1+O56)^(-1/12))/12*SUMPRODUCT('Needs years'!$J$116:$J$165,(1+O56)^(-'Needs years'!$I$116:$I$165))),2),2))</f>
      </c>
      <c r="P57">
        <f>IF('Inputs'!$B$91="",0,ROUND('Needs years'!$C$122+ROUND(IF(P56=0,SUM('Needs years'!$J$116:$J$165),(1-(1+P56)^-1)/(1-(1+P56)^(-1/12))/12*SUMPRODUCT('Needs years'!$J$116:$J$165,(1+P56)^(-'Needs years'!$I$116:$I$165))),2),2))</f>
      </c>
      <c r="Q57">
        <f>IF('Inputs'!$B$91="",0,ROUND('Needs years'!$C$122+ROUND(IF(Q56=0,SUM('Needs years'!$J$116:$J$165),(1-(1+Q56)^-1)/(1-(1+Q56)^(-1/12))/12*SUMPRODUCT('Needs years'!$J$116:$J$165,(1+Q56)^(-'Needs years'!$I$116:$I$165))),2),2))</f>
      </c>
      <c r="R57">
        <f>IF('Inputs'!$B$91="",0,ROUND('Needs years'!$C$122+ROUND(IF(R56=0,SUM('Needs years'!$J$116:$J$165),(1-(1+R56)^-1)/(1-(1+R56)^(-1/12))/12*SUMPRODUCT('Needs years'!$J$116:$J$165,(1+R56)^(-'Needs years'!$I$116:$I$165))),2),2))</f>
      </c>
      <c r="S57">
        <f>IF('Inputs'!$B$91="",0,ROUND('Needs years'!$C$122+ROUND(IF(S56=0,SUM('Needs years'!$J$116:$J$165),(1-(1+S56)^-1)/(1-(1+S56)^(-1/12))/12*SUMPRODUCT('Needs years'!$J$116:$J$165,(1+S56)^(-'Needs years'!$I$116:$I$165))),2),2))</f>
      </c>
      <c r="T57">
        <f>IF('Inputs'!$B$91="",0,ROUND('Needs years'!$C$122+ROUND(IF(T56=0,SUM('Needs years'!$J$116:$J$165),(1-(1+T56)^-1)/(1-(1+T56)^(-1/12))/12*SUMPRODUCT('Needs years'!$J$116:$J$165,(1+T56)^(-'Needs years'!$I$116:$I$165))),2),2))</f>
      </c>
    </row>
    <row r="58" spans="2:20" x14ac:dyDescent="0.25">
      <c r="B58" t="s">
        <v>352</v>
      </c>
      <c r="C58">
        <f>IF('Inputs'!$B$91="",0,ROUND(C57-C53,2))</f>
      </c>
      <c r="E58">
        <f>IF('Inputs'!$B$91="",0,ROUND(E57-E53,2))</f>
      </c>
      <c r="F58">
        <f>IF('Inputs'!$B$91="",0,ROUND(F57-F53,2))</f>
      </c>
      <c r="G58">
        <f>IF('Inputs'!$B$91="",0,ROUND(G57-G53,2))</f>
      </c>
      <c r="H58">
        <f>IF('Inputs'!$B$91="",0,ROUND(H57-H53,2))</f>
      </c>
      <c r="I58">
        <f>IF('Inputs'!$B$91="",0,ROUND(I57-I53,2))</f>
      </c>
      <c r="J58">
        <f>IF('Inputs'!$B$91="",0,ROUND(J57-J53,2))</f>
      </c>
      <c r="K58">
        <f>IF('Inputs'!$B$91="",0,ROUND(K57-K53,2))</f>
      </c>
      <c r="L58">
        <f>IF('Inputs'!$B$91="",0,ROUND(L57-L53,2))</f>
      </c>
      <c r="M58">
        <f>IF('Inputs'!$B$91="",0,ROUND(M57-M53,2))</f>
      </c>
      <c r="N58">
        <f>IF('Inputs'!$B$91="",0,ROUND(N57-N53,2))</f>
      </c>
      <c r="O58">
        <f>IF('Inputs'!$B$91="",0,ROUND(O57-O53,2))</f>
      </c>
      <c r="P58">
        <f>IF('Inputs'!$B$91="",0,ROUND(P57-P53,2))</f>
      </c>
      <c r="Q58">
        <f>IF('Inputs'!$B$91="",0,ROUND(Q57-Q53,2))</f>
      </c>
      <c r="R58">
        <f>IF('Inputs'!$B$91="",0,ROUND(R57-R53,2))</f>
      </c>
      <c r="S58">
        <f>IF('Inputs'!$B$91="",0,ROUND(S57-S53,2))</f>
      </c>
      <c r="T58">
        <f>IF('Inputs'!$B$91="",0,ROUND(T57-T53,2))</f>
      </c>
    </row>
    <row r="59" spans="2:20" x14ac:dyDescent="0.25">
      <c r="B59" t="s">
        <v>353</v>
      </c>
      <c r="C59">
        <f>IF('Inputs'!$B$91="",0,IF((C57-'Needs years'!$C$122)&gt;0,MAX(0,C53-'Needs years'!$C$122)/(C57-'Needs years'!$C$122)*'Needs years'!$C$119,0))</f>
      </c>
      <c r="E59">
        <f>IF('Inputs'!$B$91="",0,IF((E57-'Needs years'!$C$122)&gt;0,MAX(0,E53-'Needs years'!$C$122)/(E57-'Needs years'!$C$122)*'Needs years'!$C$119,0))</f>
      </c>
      <c r="F59">
        <f>IF('Inputs'!$B$91="",0,IF((F57-'Needs years'!$C$122)&gt;0,MAX(0,F53-'Needs years'!$C$122)/(F57-'Needs years'!$C$122)*'Needs years'!$C$119,0))</f>
      </c>
      <c r="G59">
        <f>IF('Inputs'!$B$91="",0,IF((G57-'Needs years'!$C$122)&gt;0,MAX(0,G53-'Needs years'!$C$122)/(G57-'Needs years'!$C$122)*'Needs years'!$C$119,0))</f>
      </c>
      <c r="H59">
        <f>IF('Inputs'!$B$91="",0,IF((H57-'Needs years'!$C$122)&gt;0,MAX(0,H53-'Needs years'!$C$122)/(H57-'Needs years'!$C$122)*'Needs years'!$C$119,0))</f>
      </c>
      <c r="I59">
        <f>IF('Inputs'!$B$91="",0,IF((I57-'Needs years'!$C$122)&gt;0,MAX(0,I53-'Needs years'!$C$122)/(I57-'Needs years'!$C$122)*'Needs years'!$C$119,0))</f>
      </c>
      <c r="J59">
        <f>IF('Inputs'!$B$91="",0,IF((J57-'Needs years'!$C$122)&gt;0,MAX(0,J53-'Needs years'!$C$122)/(J57-'Needs years'!$C$122)*'Needs years'!$C$119,0))</f>
      </c>
      <c r="K59">
        <f>IF('Inputs'!$B$91="",0,IF((K57-'Needs years'!$C$122)&gt;0,MAX(0,K53-'Needs years'!$C$122)/(K57-'Needs years'!$C$122)*'Needs years'!$C$119,0))</f>
      </c>
      <c r="L59">
        <f>IF('Inputs'!$B$91="",0,IF((L57-'Needs years'!$C$122)&gt;0,MAX(0,L53-'Needs years'!$C$122)/(L57-'Needs years'!$C$122)*'Needs years'!$C$119,0))</f>
      </c>
      <c r="M59">
        <f>IF('Inputs'!$B$91="",0,IF((M57-'Needs years'!$C$122)&gt;0,MAX(0,M53-'Needs years'!$C$122)/(M57-'Needs years'!$C$122)*'Needs years'!$C$119,0))</f>
      </c>
      <c r="N59">
        <f>IF('Inputs'!$B$91="",0,IF((N57-'Needs years'!$C$122)&gt;0,MAX(0,N53-'Needs years'!$C$122)/(N57-'Needs years'!$C$122)*'Needs years'!$C$119,0))</f>
      </c>
      <c r="O59">
        <f>IF('Inputs'!$B$91="",0,IF((O57-'Needs years'!$C$122)&gt;0,MAX(0,O53-'Needs years'!$C$122)/(O57-'Needs years'!$C$122)*'Needs years'!$C$119,0))</f>
      </c>
      <c r="P59">
        <f>IF('Inputs'!$B$91="",0,IF((P57-'Needs years'!$C$122)&gt;0,MAX(0,P53-'Needs years'!$C$122)/(P57-'Needs years'!$C$122)*'Needs years'!$C$119,0))</f>
      </c>
      <c r="Q59">
        <f>IF('Inputs'!$B$91="",0,IF((Q57-'Needs years'!$C$122)&gt;0,MAX(0,Q53-'Needs years'!$C$122)/(Q57-'Needs years'!$C$122)*'Needs years'!$C$119,0))</f>
      </c>
      <c r="R59">
        <f>IF('Inputs'!$B$91="",0,IF((R57-'Needs years'!$C$122)&gt;0,MAX(0,R53-'Needs years'!$C$122)/(R57-'Needs years'!$C$122)*'Needs years'!$C$119,0))</f>
      </c>
      <c r="S59">
        <f>IF('Inputs'!$B$91="",0,IF((S57-'Needs years'!$C$122)&gt;0,MAX(0,S53-'Needs years'!$C$122)/(S57-'Needs years'!$C$122)*'Needs years'!$C$119,0))</f>
      </c>
      <c r="T59">
        <f>IF('Inputs'!$B$91="",0,IF((T57-'Needs years'!$C$122)&gt;0,MAX(0,T53-'Needs years'!$C$122)/(T57-'Needs years'!$C$122)*'Needs years'!$C$119,0))</f>
      </c>
    </row>
    <row r="60" spans="2:20" x14ac:dyDescent="0.25">
      <c r="B60" t="s">
        <v>354</v>
      </c>
      <c r="C60">
        <f>IF('Inputs'!$B$92="",0,ROUND(IF(C30="S",'Inputs'!$O$92*C27,IF(C30="K",'Inputs'!$L$92*IF('Inputs'!$N$92=1,C32,C31),0))+'Inputs'!$O$92*ROUND(SUM('Inputs'!$Z$22:$Z$39)*C14,2)+'Inputs'!$Q$92*IF('Inputs'!$S$92=1,C34+C36,C33+C35)+SUMPRODUCT(('Inputs'!$F$59:$F$70='Inputs'!$B$92)*('Inputs'!$C$59:$C$70&lt;&gt;"Estate")*('Inputs'!$C$59:$C$70&lt;&gt;""),('Inputs'!$D$59:$D$70-'Inputs'!$R$59:$R$70*ROUND(C18*'Inputs'!$D$59:$D$70,2)))+SUMPRODUCT(('Inputs'!$F$76:$F$83='Inputs'!$B$92)*'Inputs'!$J$76:$J$83)+C7-(1-'Inputs'!$T$92)*ROUND(C18*C7,2),2))</f>
      </c>
      <c r="E60">
        <f>IF('Inputs'!$B$92="",0,ROUND(IF(E30="S",'Inputs'!$O$92*E27,IF(E30="K",'Inputs'!$L$92*IF('Inputs'!$N$92=1,E32,E31),0))+'Inputs'!$O$92*ROUND(SUM('Inputs'!$Z$22:$Z$39)*E14,2)+'Inputs'!$Q$92*IF('Inputs'!$S$92=1,E34+E36,E33+E35)+SUMPRODUCT(('Inputs'!$F$59:$F$70='Inputs'!$B$92)*('Inputs'!$C$59:$C$70&lt;&gt;"Estate")*('Inputs'!$C$59:$C$70&lt;&gt;""),('Inputs'!$D$59:$D$70-'Inputs'!$R$59:$R$70*ROUND(E18*'Inputs'!$D$59:$D$70,2)))+SUMPRODUCT(('Inputs'!$F$76:$F$83='Inputs'!$B$92)*'Inputs'!$J$76:$J$83)+E7-(1-'Inputs'!$T$92)*ROUND(E18*E7,2),2))</f>
      </c>
      <c r="F60">
        <f>IF('Inputs'!$B$92="",0,ROUND(IF(F30="S",'Inputs'!$O$92*F27,IF(F30="K",'Inputs'!$L$92*IF('Inputs'!$N$92=1,F32,F31),0))+'Inputs'!$O$92*ROUND(SUM('Inputs'!$Z$22:$Z$39)*F14,2)+'Inputs'!$Q$92*IF('Inputs'!$S$92=1,F34+F36,F33+F35)+SUMPRODUCT(('Inputs'!$F$59:$F$70='Inputs'!$B$92)*('Inputs'!$C$59:$C$70&lt;&gt;"Estate")*('Inputs'!$C$59:$C$70&lt;&gt;""),('Inputs'!$D$59:$D$70-'Inputs'!$R$59:$R$70*ROUND(F18*'Inputs'!$D$59:$D$70,2)))+SUMPRODUCT(('Inputs'!$F$76:$F$83='Inputs'!$B$92)*'Inputs'!$J$76:$J$83)+F7-(1-'Inputs'!$T$92)*ROUND(F18*F7,2),2))</f>
      </c>
      <c r="G60">
        <f>IF('Inputs'!$B$92="",0,ROUND(IF(G30="S",'Inputs'!$O$92*G27,IF(G30="K",'Inputs'!$L$92*IF('Inputs'!$N$92=1,G32,G31),0))+'Inputs'!$O$92*ROUND(SUM('Inputs'!$Z$22:$Z$39)*G14,2)+'Inputs'!$Q$92*IF('Inputs'!$S$92=1,G34+G36,G33+G35)+SUMPRODUCT(('Inputs'!$F$59:$F$70='Inputs'!$B$92)*('Inputs'!$C$59:$C$70&lt;&gt;"Estate")*('Inputs'!$C$59:$C$70&lt;&gt;""),('Inputs'!$D$59:$D$70-'Inputs'!$R$59:$R$70*ROUND(G18*'Inputs'!$D$59:$D$70,2)))+SUMPRODUCT(('Inputs'!$F$76:$F$83='Inputs'!$B$92)*'Inputs'!$J$76:$J$83)+G7-(1-'Inputs'!$T$92)*ROUND(G18*G7,2),2))</f>
      </c>
      <c r="H60">
        <f>IF('Inputs'!$B$92="",0,ROUND(IF(H30="S",'Inputs'!$O$92*H27,IF(H30="K",'Inputs'!$L$92*IF('Inputs'!$N$92=1,H32,H31),0))+'Inputs'!$O$92*ROUND(SUM('Inputs'!$Z$22:$Z$39)*H14,2)+'Inputs'!$Q$92*IF('Inputs'!$S$92=1,H34+H36,H33+H35)+SUMPRODUCT(('Inputs'!$F$59:$F$70='Inputs'!$B$92)*('Inputs'!$C$59:$C$70&lt;&gt;"Estate")*('Inputs'!$C$59:$C$70&lt;&gt;""),('Inputs'!$D$59:$D$70-'Inputs'!$R$59:$R$70*ROUND(H18*'Inputs'!$D$59:$D$70,2)))+SUMPRODUCT(('Inputs'!$F$76:$F$83='Inputs'!$B$92)*'Inputs'!$J$76:$J$83)+H7-(1-'Inputs'!$T$92)*ROUND(H18*H7,2),2))</f>
      </c>
      <c r="I60">
        <f>IF('Inputs'!$B$92="",0,ROUND(IF(I30="S",'Inputs'!$O$92*I27,IF(I30="K",'Inputs'!$L$92*IF('Inputs'!$N$92=1,I32,I31),0))+'Inputs'!$O$92*ROUND(SUM('Inputs'!$Z$22:$Z$39)*I14,2)+'Inputs'!$Q$92*IF('Inputs'!$S$92=1,I34+I36,I33+I35)+SUMPRODUCT(('Inputs'!$F$59:$F$70='Inputs'!$B$92)*('Inputs'!$C$59:$C$70&lt;&gt;"Estate")*('Inputs'!$C$59:$C$70&lt;&gt;""),('Inputs'!$D$59:$D$70-'Inputs'!$R$59:$R$70*ROUND(I18*'Inputs'!$D$59:$D$70,2)))+SUMPRODUCT(('Inputs'!$F$76:$F$83='Inputs'!$B$92)*'Inputs'!$J$76:$J$83)+I7-(1-'Inputs'!$T$92)*ROUND(I18*I7,2),2))</f>
      </c>
      <c r="J60">
        <f>IF('Inputs'!$B$92="",0,ROUND(IF(J30="S",'Inputs'!$O$92*J27,IF(J30="K",'Inputs'!$L$92*IF('Inputs'!$N$92=1,J32,J31),0))+'Inputs'!$O$92*ROUND(SUM('Inputs'!$Z$22:$Z$39)*J14,2)+'Inputs'!$Q$92*IF('Inputs'!$S$92=1,J34+J36,J33+J35)+SUMPRODUCT(('Inputs'!$F$59:$F$70='Inputs'!$B$92)*('Inputs'!$C$59:$C$70&lt;&gt;"Estate")*('Inputs'!$C$59:$C$70&lt;&gt;""),('Inputs'!$D$59:$D$70-'Inputs'!$R$59:$R$70*ROUND(J18*'Inputs'!$D$59:$D$70,2)))+SUMPRODUCT(('Inputs'!$F$76:$F$83='Inputs'!$B$92)*'Inputs'!$J$76:$J$83)+J7-(1-'Inputs'!$T$92)*ROUND(J18*J7,2),2))</f>
      </c>
      <c r="K60">
        <f>IF('Inputs'!$B$92="",0,ROUND(IF(K30="S",'Inputs'!$O$92*K27,IF(K30="K",'Inputs'!$L$92*IF('Inputs'!$N$92=1,K32,K31),0))+'Inputs'!$O$92*ROUND(SUM('Inputs'!$Z$22:$Z$39)*K14,2)+'Inputs'!$Q$92*IF('Inputs'!$S$92=1,K34+K36,K33+K35)+SUMPRODUCT(('Inputs'!$F$59:$F$70='Inputs'!$B$92)*('Inputs'!$C$59:$C$70&lt;&gt;"Estate")*('Inputs'!$C$59:$C$70&lt;&gt;""),('Inputs'!$D$59:$D$70-'Inputs'!$R$59:$R$70*ROUND(K18*'Inputs'!$D$59:$D$70,2)))+SUMPRODUCT(('Inputs'!$F$76:$F$83='Inputs'!$B$92)*'Inputs'!$J$76:$J$83)+K7-(1-'Inputs'!$T$92)*ROUND(K18*K7,2),2))</f>
      </c>
      <c r="L60">
        <f>IF('Inputs'!$B$92="",0,ROUND(IF(L30="S",'Inputs'!$O$92*L27,IF(L30="K",'Inputs'!$L$92*IF('Inputs'!$N$92=1,L32,L31),0))+'Inputs'!$O$92*ROUND(SUM('Inputs'!$Z$22:$Z$39)*L14,2)+'Inputs'!$Q$92*IF('Inputs'!$S$92=1,L34+L36,L33+L35)+SUMPRODUCT(('Inputs'!$F$59:$F$70='Inputs'!$B$92)*('Inputs'!$C$59:$C$70&lt;&gt;"Estate")*('Inputs'!$C$59:$C$70&lt;&gt;""),('Inputs'!$D$59:$D$70-'Inputs'!$R$59:$R$70*ROUND(L18*'Inputs'!$D$59:$D$70,2)))+SUMPRODUCT(('Inputs'!$F$76:$F$83='Inputs'!$B$92)*'Inputs'!$J$76:$J$83)+L7-(1-'Inputs'!$T$92)*ROUND(L18*L7,2),2))</f>
      </c>
      <c r="M60">
        <f>IF('Inputs'!$B$92="",0,ROUND(IF(M30="S",'Inputs'!$O$92*M27,IF(M30="K",'Inputs'!$L$92*IF('Inputs'!$N$92=1,M32,M31),0))+'Inputs'!$O$92*ROUND(SUM('Inputs'!$Z$22:$Z$39)*M14,2)+'Inputs'!$Q$92*IF('Inputs'!$S$92=1,M34+M36,M33+M35)+SUMPRODUCT(('Inputs'!$F$59:$F$70='Inputs'!$B$92)*('Inputs'!$C$59:$C$70&lt;&gt;"Estate")*('Inputs'!$C$59:$C$70&lt;&gt;""),('Inputs'!$D$59:$D$70-'Inputs'!$R$59:$R$70*ROUND(M18*'Inputs'!$D$59:$D$70,2)))+SUMPRODUCT(('Inputs'!$F$76:$F$83='Inputs'!$B$92)*'Inputs'!$J$76:$J$83)+M7-(1-'Inputs'!$T$92)*ROUND(M18*M7,2),2))</f>
      </c>
      <c r="N60">
        <f>IF('Inputs'!$B$92="",0,ROUND(IF(N30="S",'Inputs'!$O$92*N27,IF(N30="K",'Inputs'!$L$92*IF('Inputs'!$N$92=1,N32,N31),0))+'Inputs'!$O$92*ROUND(SUM('Inputs'!$Z$22:$Z$39)*N14,2)+'Inputs'!$Q$92*IF('Inputs'!$S$92=1,N34+N36,N33+N35)+SUMPRODUCT(('Inputs'!$F$59:$F$70='Inputs'!$B$92)*('Inputs'!$C$59:$C$70&lt;&gt;"Estate")*('Inputs'!$C$59:$C$70&lt;&gt;""),('Inputs'!$D$59:$D$70-'Inputs'!$R$59:$R$70*ROUND(N18*'Inputs'!$D$59:$D$70,2)))+SUMPRODUCT(('Inputs'!$F$76:$F$83='Inputs'!$B$92)*'Inputs'!$J$76:$J$83)+N7-(1-'Inputs'!$T$92)*ROUND(N18*N7,2),2))</f>
      </c>
      <c r="O60">
        <f>IF('Inputs'!$B$92="",0,ROUND(IF(O30="S",'Inputs'!$O$92*O27,IF(O30="K",'Inputs'!$L$92*IF('Inputs'!$N$92=1,O32,O31),0))+'Inputs'!$O$92*ROUND(SUM('Inputs'!$Z$22:$Z$39)*O14,2)+'Inputs'!$Q$92*IF('Inputs'!$S$92=1,O34+O36,O33+O35)+SUMPRODUCT(('Inputs'!$F$59:$F$70='Inputs'!$B$92)*('Inputs'!$C$59:$C$70&lt;&gt;"Estate")*('Inputs'!$C$59:$C$70&lt;&gt;""),('Inputs'!$D$59:$D$70-'Inputs'!$R$59:$R$70*ROUND(O18*'Inputs'!$D$59:$D$70,2)))+SUMPRODUCT(('Inputs'!$F$76:$F$83='Inputs'!$B$92)*'Inputs'!$J$76:$J$83)+O7-(1-'Inputs'!$T$92)*ROUND(O18*O7,2),2))</f>
      </c>
      <c r="P60">
        <f>IF('Inputs'!$B$92="",0,ROUND(IF(P30="S",'Inputs'!$O$92*P27,IF(P30="K",'Inputs'!$L$92*IF('Inputs'!$N$92=1,P32,P31),0))+'Inputs'!$O$92*ROUND(SUM('Inputs'!$Z$22:$Z$39)*P14,2)+'Inputs'!$Q$92*IF('Inputs'!$S$92=1,P34+P36,P33+P35)+SUMPRODUCT(('Inputs'!$F$59:$F$70='Inputs'!$B$92)*('Inputs'!$C$59:$C$70&lt;&gt;"Estate")*('Inputs'!$C$59:$C$70&lt;&gt;""),('Inputs'!$D$59:$D$70-'Inputs'!$R$59:$R$70*ROUND(P18*'Inputs'!$D$59:$D$70,2)))+SUMPRODUCT(('Inputs'!$F$76:$F$83='Inputs'!$B$92)*'Inputs'!$J$76:$J$83)+P7-(1-'Inputs'!$T$92)*ROUND(P18*P7,2),2))</f>
      </c>
      <c r="Q60">
        <f>IF('Inputs'!$B$92="",0,ROUND(IF(Q30="S",'Inputs'!$O$92*Q27,IF(Q30="K",'Inputs'!$L$92*IF('Inputs'!$N$92=1,Q32,Q31),0))+'Inputs'!$O$92*ROUND(SUM('Inputs'!$Z$22:$Z$39)*Q14,2)+'Inputs'!$Q$92*IF('Inputs'!$S$92=1,Q34+Q36,Q33+Q35)+SUMPRODUCT(('Inputs'!$F$59:$F$70='Inputs'!$B$92)*('Inputs'!$C$59:$C$70&lt;&gt;"Estate")*('Inputs'!$C$59:$C$70&lt;&gt;""),('Inputs'!$D$59:$D$70-'Inputs'!$R$59:$R$70*ROUND(Q18*'Inputs'!$D$59:$D$70,2)))+SUMPRODUCT(('Inputs'!$F$76:$F$83='Inputs'!$B$92)*'Inputs'!$J$76:$J$83)+Q7-(1-'Inputs'!$T$92)*ROUND(Q18*Q7,2),2))</f>
      </c>
      <c r="R60">
        <f>IF('Inputs'!$B$92="",0,ROUND(IF(R30="S",'Inputs'!$O$92*R27,IF(R30="K",'Inputs'!$L$92*IF('Inputs'!$N$92=1,R32,R31),0))+'Inputs'!$O$92*ROUND(SUM('Inputs'!$Z$22:$Z$39)*R14,2)+'Inputs'!$Q$92*IF('Inputs'!$S$92=1,R34+R36,R33+R35)+SUMPRODUCT(('Inputs'!$F$59:$F$70='Inputs'!$B$92)*('Inputs'!$C$59:$C$70&lt;&gt;"Estate")*('Inputs'!$C$59:$C$70&lt;&gt;""),('Inputs'!$D$59:$D$70-'Inputs'!$R$59:$R$70*ROUND(R18*'Inputs'!$D$59:$D$70,2)))+SUMPRODUCT(('Inputs'!$F$76:$F$83='Inputs'!$B$92)*'Inputs'!$J$76:$J$83)+R7-(1-'Inputs'!$T$92)*ROUND(R18*R7,2),2))</f>
      </c>
      <c r="S60">
        <f>IF('Inputs'!$B$92="",0,ROUND(IF(S30="S",'Inputs'!$O$92*S27,IF(S30="K",'Inputs'!$L$92*IF('Inputs'!$N$92=1,S32,S31),0))+'Inputs'!$O$92*ROUND(SUM('Inputs'!$Z$22:$Z$39)*S14,2)+'Inputs'!$Q$92*IF('Inputs'!$S$92=1,S34+S36,S33+S35)+SUMPRODUCT(('Inputs'!$F$59:$F$70='Inputs'!$B$92)*('Inputs'!$C$59:$C$70&lt;&gt;"Estate")*('Inputs'!$C$59:$C$70&lt;&gt;""),('Inputs'!$D$59:$D$70-'Inputs'!$R$59:$R$70*ROUND(S18*'Inputs'!$D$59:$D$70,2)))+SUMPRODUCT(('Inputs'!$F$76:$F$83='Inputs'!$B$92)*'Inputs'!$J$76:$J$83)+S7-(1-'Inputs'!$T$92)*ROUND(S18*S7,2),2))</f>
      </c>
      <c r="T60">
        <f>IF('Inputs'!$B$92="",0,ROUND(IF(T30="S",'Inputs'!$O$92*T27,IF(T30="K",'Inputs'!$L$92*IF('Inputs'!$N$92=1,T32,T31),0))+'Inputs'!$O$92*ROUND(SUM('Inputs'!$Z$22:$Z$39)*T14,2)+'Inputs'!$Q$92*IF('Inputs'!$S$92=1,T34+T36,T33+T35)+SUMPRODUCT(('Inputs'!$F$59:$F$70='Inputs'!$B$92)*('Inputs'!$C$59:$C$70&lt;&gt;"Estate")*('Inputs'!$C$59:$C$70&lt;&gt;""),('Inputs'!$D$59:$D$70-'Inputs'!$R$59:$R$70*ROUND(T18*'Inputs'!$D$59:$D$70,2)))+SUMPRODUCT(('Inputs'!$F$76:$F$83='Inputs'!$B$92)*'Inputs'!$J$76:$J$83)+T7-(1-'Inputs'!$T$92)*ROUND(T18*T7,2),2))</f>
      </c>
    </row>
    <row r="61" spans="2:20" x14ac:dyDescent="0.25">
      <c r="B61" t="s">
        <v>355</v>
      </c>
      <c r="C61">
        <f>'Needs years'!$C$173+MAX(0,C60-'Needs years'!$C$178)*('Inputs'!$H$111/100*('Inputs'!$H$114/100+'Inputs'!$H$109/100*'Inputs'!$H$116/100))</f>
      </c>
      <c r="E61">
        <f>'Needs years'!$C$173+MAX(0,E60-'Needs years'!$C$178)*('Inputs'!$H$111/100*('Inputs'!$H$114/100+'Inputs'!$H$109/100*'Inputs'!$H$116/100))</f>
      </c>
      <c r="F61">
        <f>'Needs years'!$C$173+MAX(0,F60-'Needs years'!$C$178)*('Inputs'!$H$111/100*('Inputs'!$H$114/100+'Inputs'!$H$109/100*'Inputs'!$H$116/100))</f>
      </c>
      <c r="G61">
        <f>'Needs years'!$C$173+MAX(0,G60-'Needs years'!$C$178)*('Inputs'!$H$111/100*('Inputs'!$H$114/100+'Inputs'!$H$109/100*'Inputs'!$H$116/100))</f>
      </c>
      <c r="H61">
        <f>'Needs years'!$C$173+MAX(0,H60-'Needs years'!$C$178)*('Inputs'!$H$111/100*('Inputs'!$H$114/100+'Inputs'!$H$109/100*'Inputs'!$H$116/100))</f>
      </c>
      <c r="I61">
        <f>'Needs years'!$C$173+MAX(0,I60-'Needs years'!$C$178)*('Inputs'!$H$111/100*('Inputs'!$H$114/100+'Inputs'!$H$109/100*'Inputs'!$H$116/100))</f>
      </c>
      <c r="J61">
        <f>'Needs years'!$C$173+MAX(0,J60-'Needs years'!$C$178)*('Inputs'!$H$111/100*('Inputs'!$H$114/100+'Inputs'!$H$109/100*'Inputs'!$H$116/100))</f>
      </c>
      <c r="K61">
        <f>'Needs years'!$C$173+MAX(0,K60-'Needs years'!$C$178)*('Inputs'!$H$111/100*('Inputs'!$H$114/100+'Inputs'!$H$109/100*'Inputs'!$H$116/100))</f>
      </c>
      <c r="L61">
        <f>'Needs years'!$C$173+MAX(0,L60-'Needs years'!$C$178)*('Inputs'!$H$111/100*('Inputs'!$H$114/100+'Inputs'!$H$109/100*'Inputs'!$H$116/100))</f>
      </c>
      <c r="M61">
        <f>'Needs years'!$C$173+MAX(0,M60-'Needs years'!$C$178)*('Inputs'!$H$111/100*('Inputs'!$H$114/100+'Inputs'!$H$109/100*'Inputs'!$H$116/100))</f>
      </c>
      <c r="N61">
        <f>'Needs years'!$C$173+MAX(0,N60-'Needs years'!$C$178)*('Inputs'!$H$111/100*('Inputs'!$H$114/100+'Inputs'!$H$109/100*'Inputs'!$H$116/100))</f>
      </c>
      <c r="O61">
        <f>'Needs years'!$C$173+MAX(0,O60-'Needs years'!$C$178)*('Inputs'!$H$111/100*('Inputs'!$H$114/100+'Inputs'!$H$109/100*'Inputs'!$H$116/100))</f>
      </c>
      <c r="P61">
        <f>'Needs years'!$C$173+MAX(0,P60-'Needs years'!$C$178)*('Inputs'!$H$111/100*('Inputs'!$H$114/100+'Inputs'!$H$109/100*'Inputs'!$H$116/100))</f>
      </c>
      <c r="Q61">
        <f>'Needs years'!$C$173+MAX(0,Q60-'Needs years'!$C$178)*('Inputs'!$H$111/100*('Inputs'!$H$114/100+'Inputs'!$H$109/100*'Inputs'!$H$116/100))</f>
      </c>
      <c r="R61">
        <f>'Needs years'!$C$173+MAX(0,R60-'Needs years'!$C$178)*('Inputs'!$H$111/100*('Inputs'!$H$114/100+'Inputs'!$H$109/100*'Inputs'!$H$116/100))</f>
      </c>
      <c r="S61">
        <f>'Needs years'!$C$173+MAX(0,S60-'Needs years'!$C$178)*('Inputs'!$H$111/100*('Inputs'!$H$114/100+'Inputs'!$H$109/100*'Inputs'!$H$116/100))</f>
      </c>
      <c r="T61">
        <f>'Needs years'!$C$173+MAX(0,T60-'Needs years'!$C$178)*('Inputs'!$H$111/100*('Inputs'!$H$114/100+'Inputs'!$H$109/100*'Inputs'!$H$116/100))</f>
      </c>
    </row>
    <row r="62" spans="2:20" x14ac:dyDescent="0.25">
      <c r="B62" t="s">
        <v>356</v>
      </c>
      <c r="C62">
        <f>IF(C61&lt;='Needs years'!$C$172,0,INDEX('Inputs'!$E$123:$E$129,MATCH(C61,'Inputs'!$C$123:$C$129,1)-IF(COUNTIF('Inputs'!$C$123:$C$129,C61)&gt;0,1,0))/100)</f>
      </c>
      <c r="E62">
        <f>IF(E61&lt;='Needs years'!$C$172,0,INDEX('Inputs'!$E$123:$E$129,MATCH(E61,'Inputs'!$C$123:$C$129,1)-IF(COUNTIF('Inputs'!$C$123:$C$129,E61)&gt;0,1,0))/100)</f>
      </c>
      <c r="F62">
        <f>IF(F61&lt;='Needs years'!$C$172,0,INDEX('Inputs'!$E$123:$E$129,MATCH(F61,'Inputs'!$C$123:$C$129,1)-IF(COUNTIF('Inputs'!$C$123:$C$129,F61)&gt;0,1,0))/100)</f>
      </c>
      <c r="G62">
        <f>IF(G61&lt;='Needs years'!$C$172,0,INDEX('Inputs'!$E$123:$E$129,MATCH(G61,'Inputs'!$C$123:$C$129,1)-IF(COUNTIF('Inputs'!$C$123:$C$129,G61)&gt;0,1,0))/100)</f>
      </c>
      <c r="H62">
        <f>IF(H61&lt;='Needs years'!$C$172,0,INDEX('Inputs'!$E$123:$E$129,MATCH(H61,'Inputs'!$C$123:$C$129,1)-IF(COUNTIF('Inputs'!$C$123:$C$129,H61)&gt;0,1,0))/100)</f>
      </c>
      <c r="I62">
        <f>IF(I61&lt;='Needs years'!$C$172,0,INDEX('Inputs'!$E$123:$E$129,MATCH(I61,'Inputs'!$C$123:$C$129,1)-IF(COUNTIF('Inputs'!$C$123:$C$129,I61)&gt;0,1,0))/100)</f>
      </c>
      <c r="J62">
        <f>IF(J61&lt;='Needs years'!$C$172,0,INDEX('Inputs'!$E$123:$E$129,MATCH(J61,'Inputs'!$C$123:$C$129,1)-IF(COUNTIF('Inputs'!$C$123:$C$129,J61)&gt;0,1,0))/100)</f>
      </c>
      <c r="K62">
        <f>IF(K61&lt;='Needs years'!$C$172,0,INDEX('Inputs'!$E$123:$E$129,MATCH(K61,'Inputs'!$C$123:$C$129,1)-IF(COUNTIF('Inputs'!$C$123:$C$129,K61)&gt;0,1,0))/100)</f>
      </c>
      <c r="L62">
        <f>IF(L61&lt;='Needs years'!$C$172,0,INDEX('Inputs'!$E$123:$E$129,MATCH(L61,'Inputs'!$C$123:$C$129,1)-IF(COUNTIF('Inputs'!$C$123:$C$129,L61)&gt;0,1,0))/100)</f>
      </c>
      <c r="M62">
        <f>IF(M61&lt;='Needs years'!$C$172,0,INDEX('Inputs'!$E$123:$E$129,MATCH(M61,'Inputs'!$C$123:$C$129,1)-IF(COUNTIF('Inputs'!$C$123:$C$129,M61)&gt;0,1,0))/100)</f>
      </c>
      <c r="N62">
        <f>IF(N61&lt;='Needs years'!$C$172,0,INDEX('Inputs'!$E$123:$E$129,MATCH(N61,'Inputs'!$C$123:$C$129,1)-IF(COUNTIF('Inputs'!$C$123:$C$129,N61)&gt;0,1,0))/100)</f>
      </c>
      <c r="O62">
        <f>IF(O61&lt;='Needs years'!$C$172,0,INDEX('Inputs'!$E$123:$E$129,MATCH(O61,'Inputs'!$C$123:$C$129,1)-IF(COUNTIF('Inputs'!$C$123:$C$129,O61)&gt;0,1,0))/100)</f>
      </c>
      <c r="P62">
        <f>IF(P61&lt;='Needs years'!$C$172,0,INDEX('Inputs'!$E$123:$E$129,MATCH(P61,'Inputs'!$C$123:$C$129,1)-IF(COUNTIF('Inputs'!$C$123:$C$129,P61)&gt;0,1,0))/100)</f>
      </c>
      <c r="Q62">
        <f>IF(Q61&lt;='Needs years'!$C$172,0,INDEX('Inputs'!$E$123:$E$129,MATCH(Q61,'Inputs'!$C$123:$C$129,1)-IF(COUNTIF('Inputs'!$C$123:$C$129,Q61)&gt;0,1,0))/100)</f>
      </c>
      <c r="R62">
        <f>IF(R61&lt;='Needs years'!$C$172,0,INDEX('Inputs'!$E$123:$E$129,MATCH(R61,'Inputs'!$C$123:$C$129,1)-IF(COUNTIF('Inputs'!$C$123:$C$129,R61)&gt;0,1,0))/100)</f>
      </c>
      <c r="S62">
        <f>IF(S61&lt;='Needs years'!$C$172,0,INDEX('Inputs'!$E$123:$E$129,MATCH(S61,'Inputs'!$C$123:$C$129,1)-IF(COUNTIF('Inputs'!$C$123:$C$129,S61)&gt;0,1,0))/100)</f>
      </c>
      <c r="T62">
        <f>IF(T61&lt;='Needs years'!$C$172,0,INDEX('Inputs'!$E$123:$E$129,MATCH(T61,'Inputs'!$C$123:$C$129,1)-IF(COUNTIF('Inputs'!$C$123:$C$129,T61)&gt;0,1,0))/100)</f>
      </c>
    </row>
    <row r="63" spans="2:20" x14ac:dyDescent="0.25">
      <c r="B63" t="s">
        <v>357</v>
      </c>
      <c r="C63">
        <f>('Inputs'!$H$111/100*(1-('Inputs'!$H$114/100*C62+'Inputs'!$H$115/100*'Inputs'!$H$117/100+'Inputs'!$H$116/100*'Inputs'!$H$109/100*C62))-IF('Needs years'!$C$177=1,'Inputs'!$H$112/100,0))</f>
      </c>
      <c r="E63">
        <f>('Inputs'!$H$111/100*(1-('Inputs'!$H$114/100*E62+'Inputs'!$H$115/100*'Inputs'!$H$117/100+'Inputs'!$H$116/100*'Inputs'!$H$109/100*E62))-IF('Needs years'!$C$177=1,'Inputs'!$H$112/100,0))</f>
      </c>
      <c r="F63">
        <f>('Inputs'!$H$111/100*(1-('Inputs'!$H$114/100*F62+'Inputs'!$H$115/100*'Inputs'!$H$117/100+'Inputs'!$H$116/100*'Inputs'!$H$109/100*F62))-IF('Needs years'!$C$177=1,'Inputs'!$H$112/100,0))</f>
      </c>
      <c r="G63">
        <f>('Inputs'!$H$111/100*(1-('Inputs'!$H$114/100*G62+'Inputs'!$H$115/100*'Inputs'!$H$117/100+'Inputs'!$H$116/100*'Inputs'!$H$109/100*G62))-IF('Needs years'!$C$177=1,'Inputs'!$H$112/100,0))</f>
      </c>
      <c r="H63">
        <f>('Inputs'!$H$111/100*(1-('Inputs'!$H$114/100*H62+'Inputs'!$H$115/100*'Inputs'!$H$117/100+'Inputs'!$H$116/100*'Inputs'!$H$109/100*H62))-IF('Needs years'!$C$177=1,'Inputs'!$H$112/100,0))</f>
      </c>
      <c r="I63">
        <f>('Inputs'!$H$111/100*(1-('Inputs'!$H$114/100*I62+'Inputs'!$H$115/100*'Inputs'!$H$117/100+'Inputs'!$H$116/100*'Inputs'!$H$109/100*I62))-IF('Needs years'!$C$177=1,'Inputs'!$H$112/100,0))</f>
      </c>
      <c r="J63">
        <f>('Inputs'!$H$111/100*(1-('Inputs'!$H$114/100*J62+'Inputs'!$H$115/100*'Inputs'!$H$117/100+'Inputs'!$H$116/100*'Inputs'!$H$109/100*J62))-IF('Needs years'!$C$177=1,'Inputs'!$H$112/100,0))</f>
      </c>
      <c r="K63">
        <f>('Inputs'!$H$111/100*(1-('Inputs'!$H$114/100*K62+'Inputs'!$H$115/100*'Inputs'!$H$117/100+'Inputs'!$H$116/100*'Inputs'!$H$109/100*K62))-IF('Needs years'!$C$177=1,'Inputs'!$H$112/100,0))</f>
      </c>
      <c r="L63">
        <f>('Inputs'!$H$111/100*(1-('Inputs'!$H$114/100*L62+'Inputs'!$H$115/100*'Inputs'!$H$117/100+'Inputs'!$H$116/100*'Inputs'!$H$109/100*L62))-IF('Needs years'!$C$177=1,'Inputs'!$H$112/100,0))</f>
      </c>
      <c r="M63">
        <f>('Inputs'!$H$111/100*(1-('Inputs'!$H$114/100*M62+'Inputs'!$H$115/100*'Inputs'!$H$117/100+'Inputs'!$H$116/100*'Inputs'!$H$109/100*M62))-IF('Needs years'!$C$177=1,'Inputs'!$H$112/100,0))</f>
      </c>
      <c r="N63">
        <f>('Inputs'!$H$111/100*(1-('Inputs'!$H$114/100*N62+'Inputs'!$H$115/100*'Inputs'!$H$117/100+'Inputs'!$H$116/100*'Inputs'!$H$109/100*N62))-IF('Needs years'!$C$177=1,'Inputs'!$H$112/100,0))</f>
      </c>
      <c r="O63">
        <f>('Inputs'!$H$111/100*(1-('Inputs'!$H$114/100*O62+'Inputs'!$H$115/100*'Inputs'!$H$117/100+'Inputs'!$H$116/100*'Inputs'!$H$109/100*O62))-IF('Needs years'!$C$177=1,'Inputs'!$H$112/100,0))</f>
      </c>
      <c r="P63">
        <f>('Inputs'!$H$111/100*(1-('Inputs'!$H$114/100*P62+'Inputs'!$H$115/100*'Inputs'!$H$117/100+'Inputs'!$H$116/100*'Inputs'!$H$109/100*P62))-IF('Needs years'!$C$177=1,'Inputs'!$H$112/100,0))</f>
      </c>
      <c r="Q63">
        <f>('Inputs'!$H$111/100*(1-('Inputs'!$H$114/100*Q62+'Inputs'!$H$115/100*'Inputs'!$H$117/100+'Inputs'!$H$116/100*'Inputs'!$H$109/100*Q62))-IF('Needs years'!$C$177=1,'Inputs'!$H$112/100,0))</f>
      </c>
      <c r="R63">
        <f>('Inputs'!$H$111/100*(1-('Inputs'!$H$114/100*R62+'Inputs'!$H$115/100*'Inputs'!$H$117/100+'Inputs'!$H$116/100*'Inputs'!$H$109/100*R62))-IF('Needs years'!$C$177=1,'Inputs'!$H$112/100,0))</f>
      </c>
      <c r="S63">
        <f>('Inputs'!$H$111/100*(1-('Inputs'!$H$114/100*S62+'Inputs'!$H$115/100*'Inputs'!$H$117/100+'Inputs'!$H$116/100*'Inputs'!$H$109/100*S62))-IF('Needs years'!$C$177=1,'Inputs'!$H$112/100,0))</f>
      </c>
      <c r="T63">
        <f>('Inputs'!$H$111/100*(1-('Inputs'!$H$114/100*T62+'Inputs'!$H$115/100*'Inputs'!$H$117/100+'Inputs'!$H$116/100*'Inputs'!$H$109/100*T62))-IF('Needs years'!$C$177=1,'Inputs'!$H$112/100,0))</f>
      </c>
    </row>
    <row r="64" spans="2:20" x14ac:dyDescent="0.25">
      <c r="B64" t="s">
        <v>358</v>
      </c>
      <c r="C64">
        <f>IF('Inputs'!$B$92="",0,ROUND('Needs years'!$C$178+ROUND(IF(C63=0,SUM('Needs years'!$J$172:$J$221),(1-(1+C63)^-1)/(1-(1+C63)^(-1/12))/12*SUMPRODUCT('Needs years'!$J$172:$J$221,(1+C63)^(-'Needs years'!$I$172:$I$221))),2),2))</f>
      </c>
      <c r="E64">
        <f>IF('Inputs'!$B$92="",0,ROUND('Needs years'!$C$178+ROUND(IF(E63=0,SUM('Needs years'!$J$172:$J$221),(1-(1+E63)^-1)/(1-(1+E63)^(-1/12))/12*SUMPRODUCT('Needs years'!$J$172:$J$221,(1+E63)^(-'Needs years'!$I$172:$I$221))),2),2))</f>
      </c>
      <c r="F64">
        <f>IF('Inputs'!$B$92="",0,ROUND('Needs years'!$C$178+ROUND(IF(F63=0,SUM('Needs years'!$J$172:$J$221),(1-(1+F63)^-1)/(1-(1+F63)^(-1/12))/12*SUMPRODUCT('Needs years'!$J$172:$J$221,(1+F63)^(-'Needs years'!$I$172:$I$221))),2),2))</f>
      </c>
      <c r="G64">
        <f>IF('Inputs'!$B$92="",0,ROUND('Needs years'!$C$178+ROUND(IF(G63=0,SUM('Needs years'!$J$172:$J$221),(1-(1+G63)^-1)/(1-(1+G63)^(-1/12))/12*SUMPRODUCT('Needs years'!$J$172:$J$221,(1+G63)^(-'Needs years'!$I$172:$I$221))),2),2))</f>
      </c>
      <c r="H64">
        <f>IF('Inputs'!$B$92="",0,ROUND('Needs years'!$C$178+ROUND(IF(H63=0,SUM('Needs years'!$J$172:$J$221),(1-(1+H63)^-1)/(1-(1+H63)^(-1/12))/12*SUMPRODUCT('Needs years'!$J$172:$J$221,(1+H63)^(-'Needs years'!$I$172:$I$221))),2),2))</f>
      </c>
      <c r="I64">
        <f>IF('Inputs'!$B$92="",0,ROUND('Needs years'!$C$178+ROUND(IF(I63=0,SUM('Needs years'!$J$172:$J$221),(1-(1+I63)^-1)/(1-(1+I63)^(-1/12))/12*SUMPRODUCT('Needs years'!$J$172:$J$221,(1+I63)^(-'Needs years'!$I$172:$I$221))),2),2))</f>
      </c>
      <c r="J64">
        <f>IF('Inputs'!$B$92="",0,ROUND('Needs years'!$C$178+ROUND(IF(J63=0,SUM('Needs years'!$J$172:$J$221),(1-(1+J63)^-1)/(1-(1+J63)^(-1/12))/12*SUMPRODUCT('Needs years'!$J$172:$J$221,(1+J63)^(-'Needs years'!$I$172:$I$221))),2),2))</f>
      </c>
      <c r="K64">
        <f>IF('Inputs'!$B$92="",0,ROUND('Needs years'!$C$178+ROUND(IF(K63=0,SUM('Needs years'!$J$172:$J$221),(1-(1+K63)^-1)/(1-(1+K63)^(-1/12))/12*SUMPRODUCT('Needs years'!$J$172:$J$221,(1+K63)^(-'Needs years'!$I$172:$I$221))),2),2))</f>
      </c>
      <c r="L64">
        <f>IF('Inputs'!$B$92="",0,ROUND('Needs years'!$C$178+ROUND(IF(L63=0,SUM('Needs years'!$J$172:$J$221),(1-(1+L63)^-1)/(1-(1+L63)^(-1/12))/12*SUMPRODUCT('Needs years'!$J$172:$J$221,(1+L63)^(-'Needs years'!$I$172:$I$221))),2),2))</f>
      </c>
      <c r="M64">
        <f>IF('Inputs'!$B$92="",0,ROUND('Needs years'!$C$178+ROUND(IF(M63=0,SUM('Needs years'!$J$172:$J$221),(1-(1+M63)^-1)/(1-(1+M63)^(-1/12))/12*SUMPRODUCT('Needs years'!$J$172:$J$221,(1+M63)^(-'Needs years'!$I$172:$I$221))),2),2))</f>
      </c>
      <c r="N64">
        <f>IF('Inputs'!$B$92="",0,ROUND('Needs years'!$C$178+ROUND(IF(N63=0,SUM('Needs years'!$J$172:$J$221),(1-(1+N63)^-1)/(1-(1+N63)^(-1/12))/12*SUMPRODUCT('Needs years'!$J$172:$J$221,(1+N63)^(-'Needs years'!$I$172:$I$221))),2),2))</f>
      </c>
      <c r="O64">
        <f>IF('Inputs'!$B$92="",0,ROUND('Needs years'!$C$178+ROUND(IF(O63=0,SUM('Needs years'!$J$172:$J$221),(1-(1+O63)^-1)/(1-(1+O63)^(-1/12))/12*SUMPRODUCT('Needs years'!$J$172:$J$221,(1+O63)^(-'Needs years'!$I$172:$I$221))),2),2))</f>
      </c>
      <c r="P64">
        <f>IF('Inputs'!$B$92="",0,ROUND('Needs years'!$C$178+ROUND(IF(P63=0,SUM('Needs years'!$J$172:$J$221),(1-(1+P63)^-1)/(1-(1+P63)^(-1/12))/12*SUMPRODUCT('Needs years'!$J$172:$J$221,(1+P63)^(-'Needs years'!$I$172:$I$221))),2),2))</f>
      </c>
      <c r="Q64">
        <f>IF('Inputs'!$B$92="",0,ROUND('Needs years'!$C$178+ROUND(IF(Q63=0,SUM('Needs years'!$J$172:$J$221),(1-(1+Q63)^-1)/(1-(1+Q63)^(-1/12))/12*SUMPRODUCT('Needs years'!$J$172:$J$221,(1+Q63)^(-'Needs years'!$I$172:$I$221))),2),2))</f>
      </c>
      <c r="R64">
        <f>IF('Inputs'!$B$92="",0,ROUND('Needs years'!$C$178+ROUND(IF(R63=0,SUM('Needs years'!$J$172:$J$221),(1-(1+R63)^-1)/(1-(1+R63)^(-1/12))/12*SUMPRODUCT('Needs years'!$J$172:$J$221,(1+R63)^(-'Needs years'!$I$172:$I$221))),2),2))</f>
      </c>
      <c r="S64">
        <f>IF('Inputs'!$B$92="",0,ROUND('Needs years'!$C$178+ROUND(IF(S63=0,SUM('Needs years'!$J$172:$J$221),(1-(1+S63)^-1)/(1-(1+S63)^(-1/12))/12*SUMPRODUCT('Needs years'!$J$172:$J$221,(1+S63)^(-'Needs years'!$I$172:$I$221))),2),2))</f>
      </c>
      <c r="T64">
        <f>IF('Inputs'!$B$92="",0,ROUND('Needs years'!$C$178+ROUND(IF(T63=0,SUM('Needs years'!$J$172:$J$221),(1-(1+T63)^-1)/(1-(1+T63)^(-1/12))/12*SUMPRODUCT('Needs years'!$J$172:$J$221,(1+T63)^(-'Needs years'!$I$172:$I$221))),2),2))</f>
      </c>
    </row>
    <row r="65" spans="2:20" x14ac:dyDescent="0.25">
      <c r="B65" t="s">
        <v>359</v>
      </c>
      <c r="C65">
        <f>IF('Inputs'!$B$92="",0,ROUND(C64-C60,2))</f>
      </c>
      <c r="E65">
        <f>IF('Inputs'!$B$92="",0,ROUND(E64-E60,2))</f>
      </c>
      <c r="F65">
        <f>IF('Inputs'!$B$92="",0,ROUND(F64-F60,2))</f>
      </c>
      <c r="G65">
        <f>IF('Inputs'!$B$92="",0,ROUND(G64-G60,2))</f>
      </c>
      <c r="H65">
        <f>IF('Inputs'!$B$92="",0,ROUND(H64-H60,2))</f>
      </c>
      <c r="I65">
        <f>IF('Inputs'!$B$92="",0,ROUND(I64-I60,2))</f>
      </c>
      <c r="J65">
        <f>IF('Inputs'!$B$92="",0,ROUND(J64-J60,2))</f>
      </c>
      <c r="K65">
        <f>IF('Inputs'!$B$92="",0,ROUND(K64-K60,2))</f>
      </c>
      <c r="L65">
        <f>IF('Inputs'!$B$92="",0,ROUND(L64-L60,2))</f>
      </c>
      <c r="M65">
        <f>IF('Inputs'!$B$92="",0,ROUND(M64-M60,2))</f>
      </c>
      <c r="N65">
        <f>IF('Inputs'!$B$92="",0,ROUND(N64-N60,2))</f>
      </c>
      <c r="O65">
        <f>IF('Inputs'!$B$92="",0,ROUND(O64-O60,2))</f>
      </c>
      <c r="P65">
        <f>IF('Inputs'!$B$92="",0,ROUND(P64-P60,2))</f>
      </c>
      <c r="Q65">
        <f>IF('Inputs'!$B$92="",0,ROUND(Q64-Q60,2))</f>
      </c>
      <c r="R65">
        <f>IF('Inputs'!$B$92="",0,ROUND(R64-R60,2))</f>
      </c>
      <c r="S65">
        <f>IF('Inputs'!$B$92="",0,ROUND(S64-S60,2))</f>
      </c>
      <c r="T65">
        <f>IF('Inputs'!$B$92="",0,ROUND(T64-T60,2))</f>
      </c>
    </row>
    <row r="66" spans="2:20" x14ac:dyDescent="0.25">
      <c r="B66" t="s">
        <v>360</v>
      </c>
      <c r="C66">
        <f>IF('Inputs'!$B$92="",0,IF((C64-'Needs years'!$C$178)&gt;0,MAX(0,C60-'Needs years'!$C$178)/(C64-'Needs years'!$C$178)*'Needs years'!$C$175,0))</f>
      </c>
      <c r="E66">
        <f>IF('Inputs'!$B$92="",0,IF((E64-'Needs years'!$C$178)&gt;0,MAX(0,E60-'Needs years'!$C$178)/(E64-'Needs years'!$C$178)*'Needs years'!$C$175,0))</f>
      </c>
      <c r="F66">
        <f>IF('Inputs'!$B$92="",0,IF((F64-'Needs years'!$C$178)&gt;0,MAX(0,F60-'Needs years'!$C$178)/(F64-'Needs years'!$C$178)*'Needs years'!$C$175,0))</f>
      </c>
      <c r="G66">
        <f>IF('Inputs'!$B$92="",0,IF((G64-'Needs years'!$C$178)&gt;0,MAX(0,G60-'Needs years'!$C$178)/(G64-'Needs years'!$C$178)*'Needs years'!$C$175,0))</f>
      </c>
      <c r="H66">
        <f>IF('Inputs'!$B$92="",0,IF((H64-'Needs years'!$C$178)&gt;0,MAX(0,H60-'Needs years'!$C$178)/(H64-'Needs years'!$C$178)*'Needs years'!$C$175,0))</f>
      </c>
      <c r="I66">
        <f>IF('Inputs'!$B$92="",0,IF((I64-'Needs years'!$C$178)&gt;0,MAX(0,I60-'Needs years'!$C$178)/(I64-'Needs years'!$C$178)*'Needs years'!$C$175,0))</f>
      </c>
      <c r="J66">
        <f>IF('Inputs'!$B$92="",0,IF((J64-'Needs years'!$C$178)&gt;0,MAX(0,J60-'Needs years'!$C$178)/(J64-'Needs years'!$C$178)*'Needs years'!$C$175,0))</f>
      </c>
      <c r="K66">
        <f>IF('Inputs'!$B$92="",0,IF((K64-'Needs years'!$C$178)&gt;0,MAX(0,K60-'Needs years'!$C$178)/(K64-'Needs years'!$C$178)*'Needs years'!$C$175,0))</f>
      </c>
      <c r="L66">
        <f>IF('Inputs'!$B$92="",0,IF((L64-'Needs years'!$C$178)&gt;0,MAX(0,L60-'Needs years'!$C$178)/(L64-'Needs years'!$C$178)*'Needs years'!$C$175,0))</f>
      </c>
      <c r="M66">
        <f>IF('Inputs'!$B$92="",0,IF((M64-'Needs years'!$C$178)&gt;0,MAX(0,M60-'Needs years'!$C$178)/(M64-'Needs years'!$C$178)*'Needs years'!$C$175,0))</f>
      </c>
      <c r="N66">
        <f>IF('Inputs'!$B$92="",0,IF((N64-'Needs years'!$C$178)&gt;0,MAX(0,N60-'Needs years'!$C$178)/(N64-'Needs years'!$C$178)*'Needs years'!$C$175,0))</f>
      </c>
      <c r="O66">
        <f>IF('Inputs'!$B$92="",0,IF((O64-'Needs years'!$C$178)&gt;0,MAX(0,O60-'Needs years'!$C$178)/(O64-'Needs years'!$C$178)*'Needs years'!$C$175,0))</f>
      </c>
      <c r="P66">
        <f>IF('Inputs'!$B$92="",0,IF((P64-'Needs years'!$C$178)&gt;0,MAX(0,P60-'Needs years'!$C$178)/(P64-'Needs years'!$C$178)*'Needs years'!$C$175,0))</f>
      </c>
      <c r="Q66">
        <f>IF('Inputs'!$B$92="",0,IF((Q64-'Needs years'!$C$178)&gt;0,MAX(0,Q60-'Needs years'!$C$178)/(Q64-'Needs years'!$C$178)*'Needs years'!$C$175,0))</f>
      </c>
      <c r="R66">
        <f>IF('Inputs'!$B$92="",0,IF((R64-'Needs years'!$C$178)&gt;0,MAX(0,R60-'Needs years'!$C$178)/(R64-'Needs years'!$C$178)*'Needs years'!$C$175,0))</f>
      </c>
      <c r="S66">
        <f>IF('Inputs'!$B$92="",0,IF((S64-'Needs years'!$C$178)&gt;0,MAX(0,S60-'Needs years'!$C$178)/(S64-'Needs years'!$C$178)*'Needs years'!$C$175,0))</f>
      </c>
      <c r="T66">
        <f>IF('Inputs'!$B$92="",0,IF((T64-'Needs years'!$C$178)&gt;0,MAX(0,T60-'Needs years'!$C$178)/(T64-'Needs years'!$C$178)*'Needs years'!$C$175,0))</f>
      </c>
    </row>
    <row r="67" spans="2:20" x14ac:dyDescent="0.25">
      <c r="B67" t="s">
        <v>361</v>
      </c>
      <c r="C67">
        <f>IF('Inputs'!$B$93="",0,ROUND(IF(C30="S",'Inputs'!$O$93*C27,IF(C30="K",'Inputs'!$L$93*IF('Inputs'!$N$93=1,C32,C31),0))+'Inputs'!$O$93*ROUND(SUM('Inputs'!$Z$22:$Z$39)*C14,2)+'Inputs'!$Q$93*IF('Inputs'!$S$93=1,C34+C36,C33+C35)+SUMPRODUCT(('Inputs'!$F$59:$F$70='Inputs'!$B$93)*('Inputs'!$C$59:$C$70&lt;&gt;"Estate")*('Inputs'!$C$59:$C$70&lt;&gt;""),('Inputs'!$D$59:$D$70-'Inputs'!$R$59:$R$70*ROUND(C18*'Inputs'!$D$59:$D$70,2)))+SUMPRODUCT(('Inputs'!$F$76:$F$83='Inputs'!$B$93)*'Inputs'!$J$76:$J$83)+C8-(1-'Inputs'!$T$93)*ROUND(C18*C8,2),2))</f>
      </c>
      <c r="E67">
        <f>IF('Inputs'!$B$93="",0,ROUND(IF(E30="S",'Inputs'!$O$93*E27,IF(E30="K",'Inputs'!$L$93*IF('Inputs'!$N$93=1,E32,E31),0))+'Inputs'!$O$93*ROUND(SUM('Inputs'!$Z$22:$Z$39)*E14,2)+'Inputs'!$Q$93*IF('Inputs'!$S$93=1,E34+E36,E33+E35)+SUMPRODUCT(('Inputs'!$F$59:$F$70='Inputs'!$B$93)*('Inputs'!$C$59:$C$70&lt;&gt;"Estate")*('Inputs'!$C$59:$C$70&lt;&gt;""),('Inputs'!$D$59:$D$70-'Inputs'!$R$59:$R$70*ROUND(E18*'Inputs'!$D$59:$D$70,2)))+SUMPRODUCT(('Inputs'!$F$76:$F$83='Inputs'!$B$93)*'Inputs'!$J$76:$J$83)+E8-(1-'Inputs'!$T$93)*ROUND(E18*E8,2),2))</f>
      </c>
      <c r="F67">
        <f>IF('Inputs'!$B$93="",0,ROUND(IF(F30="S",'Inputs'!$O$93*F27,IF(F30="K",'Inputs'!$L$93*IF('Inputs'!$N$93=1,F32,F31),0))+'Inputs'!$O$93*ROUND(SUM('Inputs'!$Z$22:$Z$39)*F14,2)+'Inputs'!$Q$93*IF('Inputs'!$S$93=1,F34+F36,F33+F35)+SUMPRODUCT(('Inputs'!$F$59:$F$70='Inputs'!$B$93)*('Inputs'!$C$59:$C$70&lt;&gt;"Estate")*('Inputs'!$C$59:$C$70&lt;&gt;""),('Inputs'!$D$59:$D$70-'Inputs'!$R$59:$R$70*ROUND(F18*'Inputs'!$D$59:$D$70,2)))+SUMPRODUCT(('Inputs'!$F$76:$F$83='Inputs'!$B$93)*'Inputs'!$J$76:$J$83)+F8-(1-'Inputs'!$T$93)*ROUND(F18*F8,2),2))</f>
      </c>
      <c r="G67">
        <f>IF('Inputs'!$B$93="",0,ROUND(IF(G30="S",'Inputs'!$O$93*G27,IF(G30="K",'Inputs'!$L$93*IF('Inputs'!$N$93=1,G32,G31),0))+'Inputs'!$O$93*ROUND(SUM('Inputs'!$Z$22:$Z$39)*G14,2)+'Inputs'!$Q$93*IF('Inputs'!$S$93=1,G34+G36,G33+G35)+SUMPRODUCT(('Inputs'!$F$59:$F$70='Inputs'!$B$93)*('Inputs'!$C$59:$C$70&lt;&gt;"Estate")*('Inputs'!$C$59:$C$70&lt;&gt;""),('Inputs'!$D$59:$D$70-'Inputs'!$R$59:$R$70*ROUND(G18*'Inputs'!$D$59:$D$70,2)))+SUMPRODUCT(('Inputs'!$F$76:$F$83='Inputs'!$B$93)*'Inputs'!$J$76:$J$83)+G8-(1-'Inputs'!$T$93)*ROUND(G18*G8,2),2))</f>
      </c>
      <c r="H67">
        <f>IF('Inputs'!$B$93="",0,ROUND(IF(H30="S",'Inputs'!$O$93*H27,IF(H30="K",'Inputs'!$L$93*IF('Inputs'!$N$93=1,H32,H31),0))+'Inputs'!$O$93*ROUND(SUM('Inputs'!$Z$22:$Z$39)*H14,2)+'Inputs'!$Q$93*IF('Inputs'!$S$93=1,H34+H36,H33+H35)+SUMPRODUCT(('Inputs'!$F$59:$F$70='Inputs'!$B$93)*('Inputs'!$C$59:$C$70&lt;&gt;"Estate")*('Inputs'!$C$59:$C$70&lt;&gt;""),('Inputs'!$D$59:$D$70-'Inputs'!$R$59:$R$70*ROUND(H18*'Inputs'!$D$59:$D$70,2)))+SUMPRODUCT(('Inputs'!$F$76:$F$83='Inputs'!$B$93)*'Inputs'!$J$76:$J$83)+H8-(1-'Inputs'!$T$93)*ROUND(H18*H8,2),2))</f>
      </c>
      <c r="I67">
        <f>IF('Inputs'!$B$93="",0,ROUND(IF(I30="S",'Inputs'!$O$93*I27,IF(I30="K",'Inputs'!$L$93*IF('Inputs'!$N$93=1,I32,I31),0))+'Inputs'!$O$93*ROUND(SUM('Inputs'!$Z$22:$Z$39)*I14,2)+'Inputs'!$Q$93*IF('Inputs'!$S$93=1,I34+I36,I33+I35)+SUMPRODUCT(('Inputs'!$F$59:$F$70='Inputs'!$B$93)*('Inputs'!$C$59:$C$70&lt;&gt;"Estate")*('Inputs'!$C$59:$C$70&lt;&gt;""),('Inputs'!$D$59:$D$70-'Inputs'!$R$59:$R$70*ROUND(I18*'Inputs'!$D$59:$D$70,2)))+SUMPRODUCT(('Inputs'!$F$76:$F$83='Inputs'!$B$93)*'Inputs'!$J$76:$J$83)+I8-(1-'Inputs'!$T$93)*ROUND(I18*I8,2),2))</f>
      </c>
      <c r="J67">
        <f>IF('Inputs'!$B$93="",0,ROUND(IF(J30="S",'Inputs'!$O$93*J27,IF(J30="K",'Inputs'!$L$93*IF('Inputs'!$N$93=1,J32,J31),0))+'Inputs'!$O$93*ROUND(SUM('Inputs'!$Z$22:$Z$39)*J14,2)+'Inputs'!$Q$93*IF('Inputs'!$S$93=1,J34+J36,J33+J35)+SUMPRODUCT(('Inputs'!$F$59:$F$70='Inputs'!$B$93)*('Inputs'!$C$59:$C$70&lt;&gt;"Estate")*('Inputs'!$C$59:$C$70&lt;&gt;""),('Inputs'!$D$59:$D$70-'Inputs'!$R$59:$R$70*ROUND(J18*'Inputs'!$D$59:$D$70,2)))+SUMPRODUCT(('Inputs'!$F$76:$F$83='Inputs'!$B$93)*'Inputs'!$J$76:$J$83)+J8-(1-'Inputs'!$T$93)*ROUND(J18*J8,2),2))</f>
      </c>
      <c r="K67">
        <f>IF('Inputs'!$B$93="",0,ROUND(IF(K30="S",'Inputs'!$O$93*K27,IF(K30="K",'Inputs'!$L$93*IF('Inputs'!$N$93=1,K32,K31),0))+'Inputs'!$O$93*ROUND(SUM('Inputs'!$Z$22:$Z$39)*K14,2)+'Inputs'!$Q$93*IF('Inputs'!$S$93=1,K34+K36,K33+K35)+SUMPRODUCT(('Inputs'!$F$59:$F$70='Inputs'!$B$93)*('Inputs'!$C$59:$C$70&lt;&gt;"Estate")*('Inputs'!$C$59:$C$70&lt;&gt;""),('Inputs'!$D$59:$D$70-'Inputs'!$R$59:$R$70*ROUND(K18*'Inputs'!$D$59:$D$70,2)))+SUMPRODUCT(('Inputs'!$F$76:$F$83='Inputs'!$B$93)*'Inputs'!$J$76:$J$83)+K8-(1-'Inputs'!$T$93)*ROUND(K18*K8,2),2))</f>
      </c>
      <c r="L67">
        <f>IF('Inputs'!$B$93="",0,ROUND(IF(L30="S",'Inputs'!$O$93*L27,IF(L30="K",'Inputs'!$L$93*IF('Inputs'!$N$93=1,L32,L31),0))+'Inputs'!$O$93*ROUND(SUM('Inputs'!$Z$22:$Z$39)*L14,2)+'Inputs'!$Q$93*IF('Inputs'!$S$93=1,L34+L36,L33+L35)+SUMPRODUCT(('Inputs'!$F$59:$F$70='Inputs'!$B$93)*('Inputs'!$C$59:$C$70&lt;&gt;"Estate")*('Inputs'!$C$59:$C$70&lt;&gt;""),('Inputs'!$D$59:$D$70-'Inputs'!$R$59:$R$70*ROUND(L18*'Inputs'!$D$59:$D$70,2)))+SUMPRODUCT(('Inputs'!$F$76:$F$83='Inputs'!$B$93)*'Inputs'!$J$76:$J$83)+L8-(1-'Inputs'!$T$93)*ROUND(L18*L8,2),2))</f>
      </c>
      <c r="M67">
        <f>IF('Inputs'!$B$93="",0,ROUND(IF(M30="S",'Inputs'!$O$93*M27,IF(M30="K",'Inputs'!$L$93*IF('Inputs'!$N$93=1,M32,M31),0))+'Inputs'!$O$93*ROUND(SUM('Inputs'!$Z$22:$Z$39)*M14,2)+'Inputs'!$Q$93*IF('Inputs'!$S$93=1,M34+M36,M33+M35)+SUMPRODUCT(('Inputs'!$F$59:$F$70='Inputs'!$B$93)*('Inputs'!$C$59:$C$70&lt;&gt;"Estate")*('Inputs'!$C$59:$C$70&lt;&gt;""),('Inputs'!$D$59:$D$70-'Inputs'!$R$59:$R$70*ROUND(M18*'Inputs'!$D$59:$D$70,2)))+SUMPRODUCT(('Inputs'!$F$76:$F$83='Inputs'!$B$93)*'Inputs'!$J$76:$J$83)+M8-(1-'Inputs'!$T$93)*ROUND(M18*M8,2),2))</f>
      </c>
      <c r="N67">
        <f>IF('Inputs'!$B$93="",0,ROUND(IF(N30="S",'Inputs'!$O$93*N27,IF(N30="K",'Inputs'!$L$93*IF('Inputs'!$N$93=1,N32,N31),0))+'Inputs'!$O$93*ROUND(SUM('Inputs'!$Z$22:$Z$39)*N14,2)+'Inputs'!$Q$93*IF('Inputs'!$S$93=1,N34+N36,N33+N35)+SUMPRODUCT(('Inputs'!$F$59:$F$70='Inputs'!$B$93)*('Inputs'!$C$59:$C$70&lt;&gt;"Estate")*('Inputs'!$C$59:$C$70&lt;&gt;""),('Inputs'!$D$59:$D$70-'Inputs'!$R$59:$R$70*ROUND(N18*'Inputs'!$D$59:$D$70,2)))+SUMPRODUCT(('Inputs'!$F$76:$F$83='Inputs'!$B$93)*'Inputs'!$J$76:$J$83)+N8-(1-'Inputs'!$T$93)*ROUND(N18*N8,2),2))</f>
      </c>
      <c r="O67">
        <f>IF('Inputs'!$B$93="",0,ROUND(IF(O30="S",'Inputs'!$O$93*O27,IF(O30="K",'Inputs'!$L$93*IF('Inputs'!$N$93=1,O32,O31),0))+'Inputs'!$O$93*ROUND(SUM('Inputs'!$Z$22:$Z$39)*O14,2)+'Inputs'!$Q$93*IF('Inputs'!$S$93=1,O34+O36,O33+O35)+SUMPRODUCT(('Inputs'!$F$59:$F$70='Inputs'!$B$93)*('Inputs'!$C$59:$C$70&lt;&gt;"Estate")*('Inputs'!$C$59:$C$70&lt;&gt;""),('Inputs'!$D$59:$D$70-'Inputs'!$R$59:$R$70*ROUND(O18*'Inputs'!$D$59:$D$70,2)))+SUMPRODUCT(('Inputs'!$F$76:$F$83='Inputs'!$B$93)*'Inputs'!$J$76:$J$83)+O8-(1-'Inputs'!$T$93)*ROUND(O18*O8,2),2))</f>
      </c>
      <c r="P67">
        <f>IF('Inputs'!$B$93="",0,ROUND(IF(P30="S",'Inputs'!$O$93*P27,IF(P30="K",'Inputs'!$L$93*IF('Inputs'!$N$93=1,P32,P31),0))+'Inputs'!$O$93*ROUND(SUM('Inputs'!$Z$22:$Z$39)*P14,2)+'Inputs'!$Q$93*IF('Inputs'!$S$93=1,P34+P36,P33+P35)+SUMPRODUCT(('Inputs'!$F$59:$F$70='Inputs'!$B$93)*('Inputs'!$C$59:$C$70&lt;&gt;"Estate")*('Inputs'!$C$59:$C$70&lt;&gt;""),('Inputs'!$D$59:$D$70-'Inputs'!$R$59:$R$70*ROUND(P18*'Inputs'!$D$59:$D$70,2)))+SUMPRODUCT(('Inputs'!$F$76:$F$83='Inputs'!$B$93)*'Inputs'!$J$76:$J$83)+P8-(1-'Inputs'!$T$93)*ROUND(P18*P8,2),2))</f>
      </c>
      <c r="Q67">
        <f>IF('Inputs'!$B$93="",0,ROUND(IF(Q30="S",'Inputs'!$O$93*Q27,IF(Q30="K",'Inputs'!$L$93*IF('Inputs'!$N$93=1,Q32,Q31),0))+'Inputs'!$O$93*ROUND(SUM('Inputs'!$Z$22:$Z$39)*Q14,2)+'Inputs'!$Q$93*IF('Inputs'!$S$93=1,Q34+Q36,Q33+Q35)+SUMPRODUCT(('Inputs'!$F$59:$F$70='Inputs'!$B$93)*('Inputs'!$C$59:$C$70&lt;&gt;"Estate")*('Inputs'!$C$59:$C$70&lt;&gt;""),('Inputs'!$D$59:$D$70-'Inputs'!$R$59:$R$70*ROUND(Q18*'Inputs'!$D$59:$D$70,2)))+SUMPRODUCT(('Inputs'!$F$76:$F$83='Inputs'!$B$93)*'Inputs'!$J$76:$J$83)+Q8-(1-'Inputs'!$T$93)*ROUND(Q18*Q8,2),2))</f>
      </c>
      <c r="R67">
        <f>IF('Inputs'!$B$93="",0,ROUND(IF(R30="S",'Inputs'!$O$93*R27,IF(R30="K",'Inputs'!$L$93*IF('Inputs'!$N$93=1,R32,R31),0))+'Inputs'!$O$93*ROUND(SUM('Inputs'!$Z$22:$Z$39)*R14,2)+'Inputs'!$Q$93*IF('Inputs'!$S$93=1,R34+R36,R33+R35)+SUMPRODUCT(('Inputs'!$F$59:$F$70='Inputs'!$B$93)*('Inputs'!$C$59:$C$70&lt;&gt;"Estate")*('Inputs'!$C$59:$C$70&lt;&gt;""),('Inputs'!$D$59:$D$70-'Inputs'!$R$59:$R$70*ROUND(R18*'Inputs'!$D$59:$D$70,2)))+SUMPRODUCT(('Inputs'!$F$76:$F$83='Inputs'!$B$93)*'Inputs'!$J$76:$J$83)+R8-(1-'Inputs'!$T$93)*ROUND(R18*R8,2),2))</f>
      </c>
      <c r="S67">
        <f>IF('Inputs'!$B$93="",0,ROUND(IF(S30="S",'Inputs'!$O$93*S27,IF(S30="K",'Inputs'!$L$93*IF('Inputs'!$N$93=1,S32,S31),0))+'Inputs'!$O$93*ROUND(SUM('Inputs'!$Z$22:$Z$39)*S14,2)+'Inputs'!$Q$93*IF('Inputs'!$S$93=1,S34+S36,S33+S35)+SUMPRODUCT(('Inputs'!$F$59:$F$70='Inputs'!$B$93)*('Inputs'!$C$59:$C$70&lt;&gt;"Estate")*('Inputs'!$C$59:$C$70&lt;&gt;""),('Inputs'!$D$59:$D$70-'Inputs'!$R$59:$R$70*ROUND(S18*'Inputs'!$D$59:$D$70,2)))+SUMPRODUCT(('Inputs'!$F$76:$F$83='Inputs'!$B$93)*'Inputs'!$J$76:$J$83)+S8-(1-'Inputs'!$T$93)*ROUND(S18*S8,2),2))</f>
      </c>
      <c r="T67">
        <f>IF('Inputs'!$B$93="",0,ROUND(IF(T30="S",'Inputs'!$O$93*T27,IF(T30="K",'Inputs'!$L$93*IF('Inputs'!$N$93=1,T32,T31),0))+'Inputs'!$O$93*ROUND(SUM('Inputs'!$Z$22:$Z$39)*T14,2)+'Inputs'!$Q$93*IF('Inputs'!$S$93=1,T34+T36,T33+T35)+SUMPRODUCT(('Inputs'!$F$59:$F$70='Inputs'!$B$93)*('Inputs'!$C$59:$C$70&lt;&gt;"Estate")*('Inputs'!$C$59:$C$70&lt;&gt;""),('Inputs'!$D$59:$D$70-'Inputs'!$R$59:$R$70*ROUND(T18*'Inputs'!$D$59:$D$70,2)))+SUMPRODUCT(('Inputs'!$F$76:$F$83='Inputs'!$B$93)*'Inputs'!$J$76:$J$83)+T8-(1-'Inputs'!$T$93)*ROUND(T18*T8,2),2))</f>
      </c>
    </row>
    <row r="68" spans="2:20" x14ac:dyDescent="0.25">
      <c r="B68" t="s">
        <v>362</v>
      </c>
      <c r="C68">
        <f>'Needs years'!$C$229+MAX(0,C67-'Needs years'!$C$234)*('Inputs'!$H$111/100*('Inputs'!$H$114/100+'Inputs'!$H$109/100*'Inputs'!$H$116/100))</f>
      </c>
      <c r="E68">
        <f>'Needs years'!$C$229+MAX(0,E67-'Needs years'!$C$234)*('Inputs'!$H$111/100*('Inputs'!$H$114/100+'Inputs'!$H$109/100*'Inputs'!$H$116/100))</f>
      </c>
      <c r="F68">
        <f>'Needs years'!$C$229+MAX(0,F67-'Needs years'!$C$234)*('Inputs'!$H$111/100*('Inputs'!$H$114/100+'Inputs'!$H$109/100*'Inputs'!$H$116/100))</f>
      </c>
      <c r="G68">
        <f>'Needs years'!$C$229+MAX(0,G67-'Needs years'!$C$234)*('Inputs'!$H$111/100*('Inputs'!$H$114/100+'Inputs'!$H$109/100*'Inputs'!$H$116/100))</f>
      </c>
      <c r="H68">
        <f>'Needs years'!$C$229+MAX(0,H67-'Needs years'!$C$234)*('Inputs'!$H$111/100*('Inputs'!$H$114/100+'Inputs'!$H$109/100*'Inputs'!$H$116/100))</f>
      </c>
      <c r="I68">
        <f>'Needs years'!$C$229+MAX(0,I67-'Needs years'!$C$234)*('Inputs'!$H$111/100*('Inputs'!$H$114/100+'Inputs'!$H$109/100*'Inputs'!$H$116/100))</f>
      </c>
      <c r="J68">
        <f>'Needs years'!$C$229+MAX(0,J67-'Needs years'!$C$234)*('Inputs'!$H$111/100*('Inputs'!$H$114/100+'Inputs'!$H$109/100*'Inputs'!$H$116/100))</f>
      </c>
      <c r="K68">
        <f>'Needs years'!$C$229+MAX(0,K67-'Needs years'!$C$234)*('Inputs'!$H$111/100*('Inputs'!$H$114/100+'Inputs'!$H$109/100*'Inputs'!$H$116/100))</f>
      </c>
      <c r="L68">
        <f>'Needs years'!$C$229+MAX(0,L67-'Needs years'!$C$234)*('Inputs'!$H$111/100*('Inputs'!$H$114/100+'Inputs'!$H$109/100*'Inputs'!$H$116/100))</f>
      </c>
      <c r="M68">
        <f>'Needs years'!$C$229+MAX(0,M67-'Needs years'!$C$234)*('Inputs'!$H$111/100*('Inputs'!$H$114/100+'Inputs'!$H$109/100*'Inputs'!$H$116/100))</f>
      </c>
      <c r="N68">
        <f>'Needs years'!$C$229+MAX(0,N67-'Needs years'!$C$234)*('Inputs'!$H$111/100*('Inputs'!$H$114/100+'Inputs'!$H$109/100*'Inputs'!$H$116/100))</f>
      </c>
      <c r="O68">
        <f>'Needs years'!$C$229+MAX(0,O67-'Needs years'!$C$234)*('Inputs'!$H$111/100*('Inputs'!$H$114/100+'Inputs'!$H$109/100*'Inputs'!$H$116/100))</f>
      </c>
      <c r="P68">
        <f>'Needs years'!$C$229+MAX(0,P67-'Needs years'!$C$234)*('Inputs'!$H$111/100*('Inputs'!$H$114/100+'Inputs'!$H$109/100*'Inputs'!$H$116/100))</f>
      </c>
      <c r="Q68">
        <f>'Needs years'!$C$229+MAX(0,Q67-'Needs years'!$C$234)*('Inputs'!$H$111/100*('Inputs'!$H$114/100+'Inputs'!$H$109/100*'Inputs'!$H$116/100))</f>
      </c>
      <c r="R68">
        <f>'Needs years'!$C$229+MAX(0,R67-'Needs years'!$C$234)*('Inputs'!$H$111/100*('Inputs'!$H$114/100+'Inputs'!$H$109/100*'Inputs'!$H$116/100))</f>
      </c>
      <c r="S68">
        <f>'Needs years'!$C$229+MAX(0,S67-'Needs years'!$C$234)*('Inputs'!$H$111/100*('Inputs'!$H$114/100+'Inputs'!$H$109/100*'Inputs'!$H$116/100))</f>
      </c>
      <c r="T68">
        <f>'Needs years'!$C$229+MAX(0,T67-'Needs years'!$C$234)*('Inputs'!$H$111/100*('Inputs'!$H$114/100+'Inputs'!$H$109/100*'Inputs'!$H$116/100))</f>
      </c>
    </row>
    <row r="69" spans="2:20" x14ac:dyDescent="0.25">
      <c r="B69" t="s">
        <v>363</v>
      </c>
      <c r="C69">
        <f>IF(C68&lt;='Needs years'!$C$228,0,INDEX('Inputs'!$E$123:$E$129,MATCH(C68,'Inputs'!$C$123:$C$129,1)-IF(COUNTIF('Inputs'!$C$123:$C$129,C68)&gt;0,1,0))/100)</f>
      </c>
      <c r="E69">
        <f>IF(E68&lt;='Needs years'!$C$228,0,INDEX('Inputs'!$E$123:$E$129,MATCH(E68,'Inputs'!$C$123:$C$129,1)-IF(COUNTIF('Inputs'!$C$123:$C$129,E68)&gt;0,1,0))/100)</f>
      </c>
      <c r="F69">
        <f>IF(F68&lt;='Needs years'!$C$228,0,INDEX('Inputs'!$E$123:$E$129,MATCH(F68,'Inputs'!$C$123:$C$129,1)-IF(COUNTIF('Inputs'!$C$123:$C$129,F68)&gt;0,1,0))/100)</f>
      </c>
      <c r="G69">
        <f>IF(G68&lt;='Needs years'!$C$228,0,INDEX('Inputs'!$E$123:$E$129,MATCH(G68,'Inputs'!$C$123:$C$129,1)-IF(COUNTIF('Inputs'!$C$123:$C$129,G68)&gt;0,1,0))/100)</f>
      </c>
      <c r="H69">
        <f>IF(H68&lt;='Needs years'!$C$228,0,INDEX('Inputs'!$E$123:$E$129,MATCH(H68,'Inputs'!$C$123:$C$129,1)-IF(COUNTIF('Inputs'!$C$123:$C$129,H68)&gt;0,1,0))/100)</f>
      </c>
      <c r="I69">
        <f>IF(I68&lt;='Needs years'!$C$228,0,INDEX('Inputs'!$E$123:$E$129,MATCH(I68,'Inputs'!$C$123:$C$129,1)-IF(COUNTIF('Inputs'!$C$123:$C$129,I68)&gt;0,1,0))/100)</f>
      </c>
      <c r="J69">
        <f>IF(J68&lt;='Needs years'!$C$228,0,INDEX('Inputs'!$E$123:$E$129,MATCH(J68,'Inputs'!$C$123:$C$129,1)-IF(COUNTIF('Inputs'!$C$123:$C$129,J68)&gt;0,1,0))/100)</f>
      </c>
      <c r="K69">
        <f>IF(K68&lt;='Needs years'!$C$228,0,INDEX('Inputs'!$E$123:$E$129,MATCH(K68,'Inputs'!$C$123:$C$129,1)-IF(COUNTIF('Inputs'!$C$123:$C$129,K68)&gt;0,1,0))/100)</f>
      </c>
      <c r="L69">
        <f>IF(L68&lt;='Needs years'!$C$228,0,INDEX('Inputs'!$E$123:$E$129,MATCH(L68,'Inputs'!$C$123:$C$129,1)-IF(COUNTIF('Inputs'!$C$123:$C$129,L68)&gt;0,1,0))/100)</f>
      </c>
      <c r="M69">
        <f>IF(M68&lt;='Needs years'!$C$228,0,INDEX('Inputs'!$E$123:$E$129,MATCH(M68,'Inputs'!$C$123:$C$129,1)-IF(COUNTIF('Inputs'!$C$123:$C$129,M68)&gt;0,1,0))/100)</f>
      </c>
      <c r="N69">
        <f>IF(N68&lt;='Needs years'!$C$228,0,INDEX('Inputs'!$E$123:$E$129,MATCH(N68,'Inputs'!$C$123:$C$129,1)-IF(COUNTIF('Inputs'!$C$123:$C$129,N68)&gt;0,1,0))/100)</f>
      </c>
      <c r="O69">
        <f>IF(O68&lt;='Needs years'!$C$228,0,INDEX('Inputs'!$E$123:$E$129,MATCH(O68,'Inputs'!$C$123:$C$129,1)-IF(COUNTIF('Inputs'!$C$123:$C$129,O68)&gt;0,1,0))/100)</f>
      </c>
      <c r="P69">
        <f>IF(P68&lt;='Needs years'!$C$228,0,INDEX('Inputs'!$E$123:$E$129,MATCH(P68,'Inputs'!$C$123:$C$129,1)-IF(COUNTIF('Inputs'!$C$123:$C$129,P68)&gt;0,1,0))/100)</f>
      </c>
      <c r="Q69">
        <f>IF(Q68&lt;='Needs years'!$C$228,0,INDEX('Inputs'!$E$123:$E$129,MATCH(Q68,'Inputs'!$C$123:$C$129,1)-IF(COUNTIF('Inputs'!$C$123:$C$129,Q68)&gt;0,1,0))/100)</f>
      </c>
      <c r="R69">
        <f>IF(R68&lt;='Needs years'!$C$228,0,INDEX('Inputs'!$E$123:$E$129,MATCH(R68,'Inputs'!$C$123:$C$129,1)-IF(COUNTIF('Inputs'!$C$123:$C$129,R68)&gt;0,1,0))/100)</f>
      </c>
      <c r="S69">
        <f>IF(S68&lt;='Needs years'!$C$228,0,INDEX('Inputs'!$E$123:$E$129,MATCH(S68,'Inputs'!$C$123:$C$129,1)-IF(COUNTIF('Inputs'!$C$123:$C$129,S68)&gt;0,1,0))/100)</f>
      </c>
      <c r="T69">
        <f>IF(T68&lt;='Needs years'!$C$228,0,INDEX('Inputs'!$E$123:$E$129,MATCH(T68,'Inputs'!$C$123:$C$129,1)-IF(COUNTIF('Inputs'!$C$123:$C$129,T68)&gt;0,1,0))/100)</f>
      </c>
    </row>
    <row r="70" spans="2:20" x14ac:dyDescent="0.25">
      <c r="B70" t="s">
        <v>364</v>
      </c>
      <c r="C70">
        <f>('Inputs'!$H$111/100*(1-('Inputs'!$H$114/100*C69+'Inputs'!$H$115/100*'Inputs'!$H$117/100+'Inputs'!$H$116/100*'Inputs'!$H$109/100*C69))-IF('Needs years'!$C$233=1,'Inputs'!$H$112/100,0))</f>
      </c>
      <c r="E70">
        <f>('Inputs'!$H$111/100*(1-('Inputs'!$H$114/100*E69+'Inputs'!$H$115/100*'Inputs'!$H$117/100+'Inputs'!$H$116/100*'Inputs'!$H$109/100*E69))-IF('Needs years'!$C$233=1,'Inputs'!$H$112/100,0))</f>
      </c>
      <c r="F70">
        <f>('Inputs'!$H$111/100*(1-('Inputs'!$H$114/100*F69+'Inputs'!$H$115/100*'Inputs'!$H$117/100+'Inputs'!$H$116/100*'Inputs'!$H$109/100*F69))-IF('Needs years'!$C$233=1,'Inputs'!$H$112/100,0))</f>
      </c>
      <c r="G70">
        <f>('Inputs'!$H$111/100*(1-('Inputs'!$H$114/100*G69+'Inputs'!$H$115/100*'Inputs'!$H$117/100+'Inputs'!$H$116/100*'Inputs'!$H$109/100*G69))-IF('Needs years'!$C$233=1,'Inputs'!$H$112/100,0))</f>
      </c>
      <c r="H70">
        <f>('Inputs'!$H$111/100*(1-('Inputs'!$H$114/100*H69+'Inputs'!$H$115/100*'Inputs'!$H$117/100+'Inputs'!$H$116/100*'Inputs'!$H$109/100*H69))-IF('Needs years'!$C$233=1,'Inputs'!$H$112/100,0))</f>
      </c>
      <c r="I70">
        <f>('Inputs'!$H$111/100*(1-('Inputs'!$H$114/100*I69+'Inputs'!$H$115/100*'Inputs'!$H$117/100+'Inputs'!$H$116/100*'Inputs'!$H$109/100*I69))-IF('Needs years'!$C$233=1,'Inputs'!$H$112/100,0))</f>
      </c>
      <c r="J70">
        <f>('Inputs'!$H$111/100*(1-('Inputs'!$H$114/100*J69+'Inputs'!$H$115/100*'Inputs'!$H$117/100+'Inputs'!$H$116/100*'Inputs'!$H$109/100*J69))-IF('Needs years'!$C$233=1,'Inputs'!$H$112/100,0))</f>
      </c>
      <c r="K70">
        <f>('Inputs'!$H$111/100*(1-('Inputs'!$H$114/100*K69+'Inputs'!$H$115/100*'Inputs'!$H$117/100+'Inputs'!$H$116/100*'Inputs'!$H$109/100*K69))-IF('Needs years'!$C$233=1,'Inputs'!$H$112/100,0))</f>
      </c>
      <c r="L70">
        <f>('Inputs'!$H$111/100*(1-('Inputs'!$H$114/100*L69+'Inputs'!$H$115/100*'Inputs'!$H$117/100+'Inputs'!$H$116/100*'Inputs'!$H$109/100*L69))-IF('Needs years'!$C$233=1,'Inputs'!$H$112/100,0))</f>
      </c>
      <c r="M70">
        <f>('Inputs'!$H$111/100*(1-('Inputs'!$H$114/100*M69+'Inputs'!$H$115/100*'Inputs'!$H$117/100+'Inputs'!$H$116/100*'Inputs'!$H$109/100*M69))-IF('Needs years'!$C$233=1,'Inputs'!$H$112/100,0))</f>
      </c>
      <c r="N70">
        <f>('Inputs'!$H$111/100*(1-('Inputs'!$H$114/100*N69+'Inputs'!$H$115/100*'Inputs'!$H$117/100+'Inputs'!$H$116/100*'Inputs'!$H$109/100*N69))-IF('Needs years'!$C$233=1,'Inputs'!$H$112/100,0))</f>
      </c>
      <c r="O70">
        <f>('Inputs'!$H$111/100*(1-('Inputs'!$H$114/100*O69+'Inputs'!$H$115/100*'Inputs'!$H$117/100+'Inputs'!$H$116/100*'Inputs'!$H$109/100*O69))-IF('Needs years'!$C$233=1,'Inputs'!$H$112/100,0))</f>
      </c>
      <c r="P70">
        <f>('Inputs'!$H$111/100*(1-('Inputs'!$H$114/100*P69+'Inputs'!$H$115/100*'Inputs'!$H$117/100+'Inputs'!$H$116/100*'Inputs'!$H$109/100*P69))-IF('Needs years'!$C$233=1,'Inputs'!$H$112/100,0))</f>
      </c>
      <c r="Q70">
        <f>('Inputs'!$H$111/100*(1-('Inputs'!$H$114/100*Q69+'Inputs'!$H$115/100*'Inputs'!$H$117/100+'Inputs'!$H$116/100*'Inputs'!$H$109/100*Q69))-IF('Needs years'!$C$233=1,'Inputs'!$H$112/100,0))</f>
      </c>
      <c r="R70">
        <f>('Inputs'!$H$111/100*(1-('Inputs'!$H$114/100*R69+'Inputs'!$H$115/100*'Inputs'!$H$117/100+'Inputs'!$H$116/100*'Inputs'!$H$109/100*R69))-IF('Needs years'!$C$233=1,'Inputs'!$H$112/100,0))</f>
      </c>
      <c r="S70">
        <f>('Inputs'!$H$111/100*(1-('Inputs'!$H$114/100*S69+'Inputs'!$H$115/100*'Inputs'!$H$117/100+'Inputs'!$H$116/100*'Inputs'!$H$109/100*S69))-IF('Needs years'!$C$233=1,'Inputs'!$H$112/100,0))</f>
      </c>
      <c r="T70">
        <f>('Inputs'!$H$111/100*(1-('Inputs'!$H$114/100*T69+'Inputs'!$H$115/100*'Inputs'!$H$117/100+'Inputs'!$H$116/100*'Inputs'!$H$109/100*T69))-IF('Needs years'!$C$233=1,'Inputs'!$H$112/100,0))</f>
      </c>
    </row>
    <row r="71" spans="2:20" x14ac:dyDescent="0.25">
      <c r="B71" t="s">
        <v>365</v>
      </c>
      <c r="C71">
        <f>IF('Inputs'!$B$93="",0,ROUND('Needs years'!$C$234+ROUND(IF(C70=0,SUM('Needs years'!$J$228:$J$277),(1-(1+C70)^-1)/(1-(1+C70)^(-1/12))/12*SUMPRODUCT('Needs years'!$J$228:$J$277,(1+C70)^(-'Needs years'!$I$228:$I$277))),2),2))</f>
      </c>
      <c r="E71">
        <f>IF('Inputs'!$B$93="",0,ROUND('Needs years'!$C$234+ROUND(IF(E70=0,SUM('Needs years'!$J$228:$J$277),(1-(1+E70)^-1)/(1-(1+E70)^(-1/12))/12*SUMPRODUCT('Needs years'!$J$228:$J$277,(1+E70)^(-'Needs years'!$I$228:$I$277))),2),2))</f>
      </c>
      <c r="F71">
        <f>IF('Inputs'!$B$93="",0,ROUND('Needs years'!$C$234+ROUND(IF(F70=0,SUM('Needs years'!$J$228:$J$277),(1-(1+F70)^-1)/(1-(1+F70)^(-1/12))/12*SUMPRODUCT('Needs years'!$J$228:$J$277,(1+F70)^(-'Needs years'!$I$228:$I$277))),2),2))</f>
      </c>
      <c r="G71">
        <f>IF('Inputs'!$B$93="",0,ROUND('Needs years'!$C$234+ROUND(IF(G70=0,SUM('Needs years'!$J$228:$J$277),(1-(1+G70)^-1)/(1-(1+G70)^(-1/12))/12*SUMPRODUCT('Needs years'!$J$228:$J$277,(1+G70)^(-'Needs years'!$I$228:$I$277))),2),2))</f>
      </c>
      <c r="H71">
        <f>IF('Inputs'!$B$93="",0,ROUND('Needs years'!$C$234+ROUND(IF(H70=0,SUM('Needs years'!$J$228:$J$277),(1-(1+H70)^-1)/(1-(1+H70)^(-1/12))/12*SUMPRODUCT('Needs years'!$J$228:$J$277,(1+H70)^(-'Needs years'!$I$228:$I$277))),2),2))</f>
      </c>
      <c r="I71">
        <f>IF('Inputs'!$B$93="",0,ROUND('Needs years'!$C$234+ROUND(IF(I70=0,SUM('Needs years'!$J$228:$J$277),(1-(1+I70)^-1)/(1-(1+I70)^(-1/12))/12*SUMPRODUCT('Needs years'!$J$228:$J$277,(1+I70)^(-'Needs years'!$I$228:$I$277))),2),2))</f>
      </c>
      <c r="J71">
        <f>IF('Inputs'!$B$93="",0,ROUND('Needs years'!$C$234+ROUND(IF(J70=0,SUM('Needs years'!$J$228:$J$277),(1-(1+J70)^-1)/(1-(1+J70)^(-1/12))/12*SUMPRODUCT('Needs years'!$J$228:$J$277,(1+J70)^(-'Needs years'!$I$228:$I$277))),2),2))</f>
      </c>
      <c r="K71">
        <f>IF('Inputs'!$B$93="",0,ROUND('Needs years'!$C$234+ROUND(IF(K70=0,SUM('Needs years'!$J$228:$J$277),(1-(1+K70)^-1)/(1-(1+K70)^(-1/12))/12*SUMPRODUCT('Needs years'!$J$228:$J$277,(1+K70)^(-'Needs years'!$I$228:$I$277))),2),2))</f>
      </c>
      <c r="L71">
        <f>IF('Inputs'!$B$93="",0,ROUND('Needs years'!$C$234+ROUND(IF(L70=0,SUM('Needs years'!$J$228:$J$277),(1-(1+L70)^-1)/(1-(1+L70)^(-1/12))/12*SUMPRODUCT('Needs years'!$J$228:$J$277,(1+L70)^(-'Needs years'!$I$228:$I$277))),2),2))</f>
      </c>
      <c r="M71">
        <f>IF('Inputs'!$B$93="",0,ROUND('Needs years'!$C$234+ROUND(IF(M70=0,SUM('Needs years'!$J$228:$J$277),(1-(1+M70)^-1)/(1-(1+M70)^(-1/12))/12*SUMPRODUCT('Needs years'!$J$228:$J$277,(1+M70)^(-'Needs years'!$I$228:$I$277))),2),2))</f>
      </c>
      <c r="N71">
        <f>IF('Inputs'!$B$93="",0,ROUND('Needs years'!$C$234+ROUND(IF(N70=0,SUM('Needs years'!$J$228:$J$277),(1-(1+N70)^-1)/(1-(1+N70)^(-1/12))/12*SUMPRODUCT('Needs years'!$J$228:$J$277,(1+N70)^(-'Needs years'!$I$228:$I$277))),2),2))</f>
      </c>
      <c r="O71">
        <f>IF('Inputs'!$B$93="",0,ROUND('Needs years'!$C$234+ROUND(IF(O70=0,SUM('Needs years'!$J$228:$J$277),(1-(1+O70)^-1)/(1-(1+O70)^(-1/12))/12*SUMPRODUCT('Needs years'!$J$228:$J$277,(1+O70)^(-'Needs years'!$I$228:$I$277))),2),2))</f>
      </c>
      <c r="P71">
        <f>IF('Inputs'!$B$93="",0,ROUND('Needs years'!$C$234+ROUND(IF(P70=0,SUM('Needs years'!$J$228:$J$277),(1-(1+P70)^-1)/(1-(1+P70)^(-1/12))/12*SUMPRODUCT('Needs years'!$J$228:$J$277,(1+P70)^(-'Needs years'!$I$228:$I$277))),2),2))</f>
      </c>
      <c r="Q71">
        <f>IF('Inputs'!$B$93="",0,ROUND('Needs years'!$C$234+ROUND(IF(Q70=0,SUM('Needs years'!$J$228:$J$277),(1-(1+Q70)^-1)/(1-(1+Q70)^(-1/12))/12*SUMPRODUCT('Needs years'!$J$228:$J$277,(1+Q70)^(-'Needs years'!$I$228:$I$277))),2),2))</f>
      </c>
      <c r="R71">
        <f>IF('Inputs'!$B$93="",0,ROUND('Needs years'!$C$234+ROUND(IF(R70=0,SUM('Needs years'!$J$228:$J$277),(1-(1+R70)^-1)/(1-(1+R70)^(-1/12))/12*SUMPRODUCT('Needs years'!$J$228:$J$277,(1+R70)^(-'Needs years'!$I$228:$I$277))),2),2))</f>
      </c>
      <c r="S71">
        <f>IF('Inputs'!$B$93="",0,ROUND('Needs years'!$C$234+ROUND(IF(S70=0,SUM('Needs years'!$J$228:$J$277),(1-(1+S70)^-1)/(1-(1+S70)^(-1/12))/12*SUMPRODUCT('Needs years'!$J$228:$J$277,(1+S70)^(-'Needs years'!$I$228:$I$277))),2),2))</f>
      </c>
      <c r="T71">
        <f>IF('Inputs'!$B$93="",0,ROUND('Needs years'!$C$234+ROUND(IF(T70=0,SUM('Needs years'!$J$228:$J$277),(1-(1+T70)^-1)/(1-(1+T70)^(-1/12))/12*SUMPRODUCT('Needs years'!$J$228:$J$277,(1+T70)^(-'Needs years'!$I$228:$I$277))),2),2))</f>
      </c>
    </row>
    <row r="72" spans="2:20" x14ac:dyDescent="0.25">
      <c r="B72" t="s">
        <v>366</v>
      </c>
      <c r="C72">
        <f>IF('Inputs'!$B$93="",0,ROUND(C71-C67,2))</f>
      </c>
      <c r="E72">
        <f>IF('Inputs'!$B$93="",0,ROUND(E71-E67,2))</f>
      </c>
      <c r="F72">
        <f>IF('Inputs'!$B$93="",0,ROUND(F71-F67,2))</f>
      </c>
      <c r="G72">
        <f>IF('Inputs'!$B$93="",0,ROUND(G71-G67,2))</f>
      </c>
      <c r="H72">
        <f>IF('Inputs'!$B$93="",0,ROUND(H71-H67,2))</f>
      </c>
      <c r="I72">
        <f>IF('Inputs'!$B$93="",0,ROUND(I71-I67,2))</f>
      </c>
      <c r="J72">
        <f>IF('Inputs'!$B$93="",0,ROUND(J71-J67,2))</f>
      </c>
      <c r="K72">
        <f>IF('Inputs'!$B$93="",0,ROUND(K71-K67,2))</f>
      </c>
      <c r="L72">
        <f>IF('Inputs'!$B$93="",0,ROUND(L71-L67,2))</f>
      </c>
      <c r="M72">
        <f>IF('Inputs'!$B$93="",0,ROUND(M71-M67,2))</f>
      </c>
      <c r="N72">
        <f>IF('Inputs'!$B$93="",0,ROUND(N71-N67,2))</f>
      </c>
      <c r="O72">
        <f>IF('Inputs'!$B$93="",0,ROUND(O71-O67,2))</f>
      </c>
      <c r="P72">
        <f>IF('Inputs'!$B$93="",0,ROUND(P71-P67,2))</f>
      </c>
      <c r="Q72">
        <f>IF('Inputs'!$B$93="",0,ROUND(Q71-Q67,2))</f>
      </c>
      <c r="R72">
        <f>IF('Inputs'!$B$93="",0,ROUND(R71-R67,2))</f>
      </c>
      <c r="S72">
        <f>IF('Inputs'!$B$93="",0,ROUND(S71-S67,2))</f>
      </c>
      <c r="T72">
        <f>IF('Inputs'!$B$93="",0,ROUND(T71-T67,2))</f>
      </c>
    </row>
    <row r="73" spans="2:20" x14ac:dyDescent="0.25">
      <c r="B73" t="s">
        <v>367</v>
      </c>
      <c r="C73">
        <f>IF('Inputs'!$B$93="",0,IF((C71-'Needs years'!$C$234)&gt;0,MAX(0,C67-'Needs years'!$C$234)/(C71-'Needs years'!$C$234)*'Needs years'!$C$231,0))</f>
      </c>
      <c r="E73">
        <f>IF('Inputs'!$B$93="",0,IF((E71-'Needs years'!$C$234)&gt;0,MAX(0,E67-'Needs years'!$C$234)/(E71-'Needs years'!$C$234)*'Needs years'!$C$231,0))</f>
      </c>
      <c r="F73">
        <f>IF('Inputs'!$B$93="",0,IF((F71-'Needs years'!$C$234)&gt;0,MAX(0,F67-'Needs years'!$C$234)/(F71-'Needs years'!$C$234)*'Needs years'!$C$231,0))</f>
      </c>
      <c r="G73">
        <f>IF('Inputs'!$B$93="",0,IF((G71-'Needs years'!$C$234)&gt;0,MAX(0,G67-'Needs years'!$C$234)/(G71-'Needs years'!$C$234)*'Needs years'!$C$231,0))</f>
      </c>
      <c r="H73">
        <f>IF('Inputs'!$B$93="",0,IF((H71-'Needs years'!$C$234)&gt;0,MAX(0,H67-'Needs years'!$C$234)/(H71-'Needs years'!$C$234)*'Needs years'!$C$231,0))</f>
      </c>
      <c r="I73">
        <f>IF('Inputs'!$B$93="",0,IF((I71-'Needs years'!$C$234)&gt;0,MAX(0,I67-'Needs years'!$C$234)/(I71-'Needs years'!$C$234)*'Needs years'!$C$231,0))</f>
      </c>
      <c r="J73">
        <f>IF('Inputs'!$B$93="",0,IF((J71-'Needs years'!$C$234)&gt;0,MAX(0,J67-'Needs years'!$C$234)/(J71-'Needs years'!$C$234)*'Needs years'!$C$231,0))</f>
      </c>
      <c r="K73">
        <f>IF('Inputs'!$B$93="",0,IF((K71-'Needs years'!$C$234)&gt;0,MAX(0,K67-'Needs years'!$C$234)/(K71-'Needs years'!$C$234)*'Needs years'!$C$231,0))</f>
      </c>
      <c r="L73">
        <f>IF('Inputs'!$B$93="",0,IF((L71-'Needs years'!$C$234)&gt;0,MAX(0,L67-'Needs years'!$C$234)/(L71-'Needs years'!$C$234)*'Needs years'!$C$231,0))</f>
      </c>
      <c r="M73">
        <f>IF('Inputs'!$B$93="",0,IF((M71-'Needs years'!$C$234)&gt;0,MAX(0,M67-'Needs years'!$C$234)/(M71-'Needs years'!$C$234)*'Needs years'!$C$231,0))</f>
      </c>
      <c r="N73">
        <f>IF('Inputs'!$B$93="",0,IF((N71-'Needs years'!$C$234)&gt;0,MAX(0,N67-'Needs years'!$C$234)/(N71-'Needs years'!$C$234)*'Needs years'!$C$231,0))</f>
      </c>
      <c r="O73">
        <f>IF('Inputs'!$B$93="",0,IF((O71-'Needs years'!$C$234)&gt;0,MAX(0,O67-'Needs years'!$C$234)/(O71-'Needs years'!$C$234)*'Needs years'!$C$231,0))</f>
      </c>
      <c r="P73">
        <f>IF('Inputs'!$B$93="",0,IF((P71-'Needs years'!$C$234)&gt;0,MAX(0,P67-'Needs years'!$C$234)/(P71-'Needs years'!$C$234)*'Needs years'!$C$231,0))</f>
      </c>
      <c r="Q73">
        <f>IF('Inputs'!$B$93="",0,IF((Q71-'Needs years'!$C$234)&gt;0,MAX(0,Q67-'Needs years'!$C$234)/(Q71-'Needs years'!$C$234)*'Needs years'!$C$231,0))</f>
      </c>
      <c r="R73">
        <f>IF('Inputs'!$B$93="",0,IF((R71-'Needs years'!$C$234)&gt;0,MAX(0,R67-'Needs years'!$C$234)/(R71-'Needs years'!$C$234)*'Needs years'!$C$231,0))</f>
      </c>
      <c r="S73">
        <f>IF('Inputs'!$B$93="",0,IF((S71-'Needs years'!$C$234)&gt;0,MAX(0,S67-'Needs years'!$C$234)/(S71-'Needs years'!$C$234)*'Needs years'!$C$231,0))</f>
      </c>
      <c r="T73">
        <f>IF('Inputs'!$B$93="",0,IF((T71-'Needs years'!$C$234)&gt;0,MAX(0,T67-'Needs years'!$C$234)/(T71-'Needs years'!$C$234)*'Needs years'!$C$231,0))</f>
      </c>
    </row>
    <row r="74" spans="2:20" x14ac:dyDescent="0.25">
      <c r="B74" t="s">
        <v>368</v>
      </c>
      <c r="C74">
        <f>IF('Inputs'!$B$94="",0,ROUND(IF(C30="S",'Inputs'!$O$94*C27,IF(C30="K",'Inputs'!$L$94*IF('Inputs'!$N$94=1,C32,C31),0))+'Inputs'!$O$94*ROUND(SUM('Inputs'!$Z$22:$Z$39)*C14,2)+'Inputs'!$Q$94*IF('Inputs'!$S$94=1,C34+C36,C33+C35)+SUMPRODUCT(('Inputs'!$F$59:$F$70='Inputs'!$B$94)*('Inputs'!$C$59:$C$70&lt;&gt;"Estate")*('Inputs'!$C$59:$C$70&lt;&gt;""),('Inputs'!$D$59:$D$70-'Inputs'!$R$59:$R$70*ROUND(C18*'Inputs'!$D$59:$D$70,2)))+SUMPRODUCT(('Inputs'!$F$76:$F$83='Inputs'!$B$94)*'Inputs'!$J$76:$J$83)+C9-(1-'Inputs'!$T$94)*ROUND(C18*C9,2),2))</f>
      </c>
      <c r="E74">
        <f>IF('Inputs'!$B$94="",0,ROUND(IF(E30="S",'Inputs'!$O$94*E27,IF(E30="K",'Inputs'!$L$94*IF('Inputs'!$N$94=1,E32,E31),0))+'Inputs'!$O$94*ROUND(SUM('Inputs'!$Z$22:$Z$39)*E14,2)+'Inputs'!$Q$94*IF('Inputs'!$S$94=1,E34+E36,E33+E35)+SUMPRODUCT(('Inputs'!$F$59:$F$70='Inputs'!$B$94)*('Inputs'!$C$59:$C$70&lt;&gt;"Estate")*('Inputs'!$C$59:$C$70&lt;&gt;""),('Inputs'!$D$59:$D$70-'Inputs'!$R$59:$R$70*ROUND(E18*'Inputs'!$D$59:$D$70,2)))+SUMPRODUCT(('Inputs'!$F$76:$F$83='Inputs'!$B$94)*'Inputs'!$J$76:$J$83)+E9-(1-'Inputs'!$T$94)*ROUND(E18*E9,2),2))</f>
      </c>
      <c r="F74">
        <f>IF('Inputs'!$B$94="",0,ROUND(IF(F30="S",'Inputs'!$O$94*F27,IF(F30="K",'Inputs'!$L$94*IF('Inputs'!$N$94=1,F32,F31),0))+'Inputs'!$O$94*ROUND(SUM('Inputs'!$Z$22:$Z$39)*F14,2)+'Inputs'!$Q$94*IF('Inputs'!$S$94=1,F34+F36,F33+F35)+SUMPRODUCT(('Inputs'!$F$59:$F$70='Inputs'!$B$94)*('Inputs'!$C$59:$C$70&lt;&gt;"Estate")*('Inputs'!$C$59:$C$70&lt;&gt;""),('Inputs'!$D$59:$D$70-'Inputs'!$R$59:$R$70*ROUND(F18*'Inputs'!$D$59:$D$70,2)))+SUMPRODUCT(('Inputs'!$F$76:$F$83='Inputs'!$B$94)*'Inputs'!$J$76:$J$83)+F9-(1-'Inputs'!$T$94)*ROUND(F18*F9,2),2))</f>
      </c>
      <c r="G74">
        <f>IF('Inputs'!$B$94="",0,ROUND(IF(G30="S",'Inputs'!$O$94*G27,IF(G30="K",'Inputs'!$L$94*IF('Inputs'!$N$94=1,G32,G31),0))+'Inputs'!$O$94*ROUND(SUM('Inputs'!$Z$22:$Z$39)*G14,2)+'Inputs'!$Q$94*IF('Inputs'!$S$94=1,G34+G36,G33+G35)+SUMPRODUCT(('Inputs'!$F$59:$F$70='Inputs'!$B$94)*('Inputs'!$C$59:$C$70&lt;&gt;"Estate")*('Inputs'!$C$59:$C$70&lt;&gt;""),('Inputs'!$D$59:$D$70-'Inputs'!$R$59:$R$70*ROUND(G18*'Inputs'!$D$59:$D$70,2)))+SUMPRODUCT(('Inputs'!$F$76:$F$83='Inputs'!$B$94)*'Inputs'!$J$76:$J$83)+G9-(1-'Inputs'!$T$94)*ROUND(G18*G9,2),2))</f>
      </c>
      <c r="H74">
        <f>IF('Inputs'!$B$94="",0,ROUND(IF(H30="S",'Inputs'!$O$94*H27,IF(H30="K",'Inputs'!$L$94*IF('Inputs'!$N$94=1,H32,H31),0))+'Inputs'!$O$94*ROUND(SUM('Inputs'!$Z$22:$Z$39)*H14,2)+'Inputs'!$Q$94*IF('Inputs'!$S$94=1,H34+H36,H33+H35)+SUMPRODUCT(('Inputs'!$F$59:$F$70='Inputs'!$B$94)*('Inputs'!$C$59:$C$70&lt;&gt;"Estate")*('Inputs'!$C$59:$C$70&lt;&gt;""),('Inputs'!$D$59:$D$70-'Inputs'!$R$59:$R$70*ROUND(H18*'Inputs'!$D$59:$D$70,2)))+SUMPRODUCT(('Inputs'!$F$76:$F$83='Inputs'!$B$94)*'Inputs'!$J$76:$J$83)+H9-(1-'Inputs'!$T$94)*ROUND(H18*H9,2),2))</f>
      </c>
      <c r="I74">
        <f>IF('Inputs'!$B$94="",0,ROUND(IF(I30="S",'Inputs'!$O$94*I27,IF(I30="K",'Inputs'!$L$94*IF('Inputs'!$N$94=1,I32,I31),0))+'Inputs'!$O$94*ROUND(SUM('Inputs'!$Z$22:$Z$39)*I14,2)+'Inputs'!$Q$94*IF('Inputs'!$S$94=1,I34+I36,I33+I35)+SUMPRODUCT(('Inputs'!$F$59:$F$70='Inputs'!$B$94)*('Inputs'!$C$59:$C$70&lt;&gt;"Estate")*('Inputs'!$C$59:$C$70&lt;&gt;""),('Inputs'!$D$59:$D$70-'Inputs'!$R$59:$R$70*ROUND(I18*'Inputs'!$D$59:$D$70,2)))+SUMPRODUCT(('Inputs'!$F$76:$F$83='Inputs'!$B$94)*'Inputs'!$J$76:$J$83)+I9-(1-'Inputs'!$T$94)*ROUND(I18*I9,2),2))</f>
      </c>
      <c r="J74">
        <f>IF('Inputs'!$B$94="",0,ROUND(IF(J30="S",'Inputs'!$O$94*J27,IF(J30="K",'Inputs'!$L$94*IF('Inputs'!$N$94=1,J32,J31),0))+'Inputs'!$O$94*ROUND(SUM('Inputs'!$Z$22:$Z$39)*J14,2)+'Inputs'!$Q$94*IF('Inputs'!$S$94=1,J34+J36,J33+J35)+SUMPRODUCT(('Inputs'!$F$59:$F$70='Inputs'!$B$94)*('Inputs'!$C$59:$C$70&lt;&gt;"Estate")*('Inputs'!$C$59:$C$70&lt;&gt;""),('Inputs'!$D$59:$D$70-'Inputs'!$R$59:$R$70*ROUND(J18*'Inputs'!$D$59:$D$70,2)))+SUMPRODUCT(('Inputs'!$F$76:$F$83='Inputs'!$B$94)*'Inputs'!$J$76:$J$83)+J9-(1-'Inputs'!$T$94)*ROUND(J18*J9,2),2))</f>
      </c>
      <c r="K74">
        <f>IF('Inputs'!$B$94="",0,ROUND(IF(K30="S",'Inputs'!$O$94*K27,IF(K30="K",'Inputs'!$L$94*IF('Inputs'!$N$94=1,K32,K31),0))+'Inputs'!$O$94*ROUND(SUM('Inputs'!$Z$22:$Z$39)*K14,2)+'Inputs'!$Q$94*IF('Inputs'!$S$94=1,K34+K36,K33+K35)+SUMPRODUCT(('Inputs'!$F$59:$F$70='Inputs'!$B$94)*('Inputs'!$C$59:$C$70&lt;&gt;"Estate")*('Inputs'!$C$59:$C$70&lt;&gt;""),('Inputs'!$D$59:$D$70-'Inputs'!$R$59:$R$70*ROUND(K18*'Inputs'!$D$59:$D$70,2)))+SUMPRODUCT(('Inputs'!$F$76:$F$83='Inputs'!$B$94)*'Inputs'!$J$76:$J$83)+K9-(1-'Inputs'!$T$94)*ROUND(K18*K9,2),2))</f>
      </c>
      <c r="L74">
        <f>IF('Inputs'!$B$94="",0,ROUND(IF(L30="S",'Inputs'!$O$94*L27,IF(L30="K",'Inputs'!$L$94*IF('Inputs'!$N$94=1,L32,L31),0))+'Inputs'!$O$94*ROUND(SUM('Inputs'!$Z$22:$Z$39)*L14,2)+'Inputs'!$Q$94*IF('Inputs'!$S$94=1,L34+L36,L33+L35)+SUMPRODUCT(('Inputs'!$F$59:$F$70='Inputs'!$B$94)*('Inputs'!$C$59:$C$70&lt;&gt;"Estate")*('Inputs'!$C$59:$C$70&lt;&gt;""),('Inputs'!$D$59:$D$70-'Inputs'!$R$59:$R$70*ROUND(L18*'Inputs'!$D$59:$D$70,2)))+SUMPRODUCT(('Inputs'!$F$76:$F$83='Inputs'!$B$94)*'Inputs'!$J$76:$J$83)+L9-(1-'Inputs'!$T$94)*ROUND(L18*L9,2),2))</f>
      </c>
      <c r="M74">
        <f>IF('Inputs'!$B$94="",0,ROUND(IF(M30="S",'Inputs'!$O$94*M27,IF(M30="K",'Inputs'!$L$94*IF('Inputs'!$N$94=1,M32,M31),0))+'Inputs'!$O$94*ROUND(SUM('Inputs'!$Z$22:$Z$39)*M14,2)+'Inputs'!$Q$94*IF('Inputs'!$S$94=1,M34+M36,M33+M35)+SUMPRODUCT(('Inputs'!$F$59:$F$70='Inputs'!$B$94)*('Inputs'!$C$59:$C$70&lt;&gt;"Estate")*('Inputs'!$C$59:$C$70&lt;&gt;""),('Inputs'!$D$59:$D$70-'Inputs'!$R$59:$R$70*ROUND(M18*'Inputs'!$D$59:$D$70,2)))+SUMPRODUCT(('Inputs'!$F$76:$F$83='Inputs'!$B$94)*'Inputs'!$J$76:$J$83)+M9-(1-'Inputs'!$T$94)*ROUND(M18*M9,2),2))</f>
      </c>
      <c r="N74">
        <f>IF('Inputs'!$B$94="",0,ROUND(IF(N30="S",'Inputs'!$O$94*N27,IF(N30="K",'Inputs'!$L$94*IF('Inputs'!$N$94=1,N32,N31),0))+'Inputs'!$O$94*ROUND(SUM('Inputs'!$Z$22:$Z$39)*N14,2)+'Inputs'!$Q$94*IF('Inputs'!$S$94=1,N34+N36,N33+N35)+SUMPRODUCT(('Inputs'!$F$59:$F$70='Inputs'!$B$94)*('Inputs'!$C$59:$C$70&lt;&gt;"Estate")*('Inputs'!$C$59:$C$70&lt;&gt;""),('Inputs'!$D$59:$D$70-'Inputs'!$R$59:$R$70*ROUND(N18*'Inputs'!$D$59:$D$70,2)))+SUMPRODUCT(('Inputs'!$F$76:$F$83='Inputs'!$B$94)*'Inputs'!$J$76:$J$83)+N9-(1-'Inputs'!$T$94)*ROUND(N18*N9,2),2))</f>
      </c>
      <c r="O74">
        <f>IF('Inputs'!$B$94="",0,ROUND(IF(O30="S",'Inputs'!$O$94*O27,IF(O30="K",'Inputs'!$L$94*IF('Inputs'!$N$94=1,O32,O31),0))+'Inputs'!$O$94*ROUND(SUM('Inputs'!$Z$22:$Z$39)*O14,2)+'Inputs'!$Q$94*IF('Inputs'!$S$94=1,O34+O36,O33+O35)+SUMPRODUCT(('Inputs'!$F$59:$F$70='Inputs'!$B$94)*('Inputs'!$C$59:$C$70&lt;&gt;"Estate")*('Inputs'!$C$59:$C$70&lt;&gt;""),('Inputs'!$D$59:$D$70-'Inputs'!$R$59:$R$70*ROUND(O18*'Inputs'!$D$59:$D$70,2)))+SUMPRODUCT(('Inputs'!$F$76:$F$83='Inputs'!$B$94)*'Inputs'!$J$76:$J$83)+O9-(1-'Inputs'!$T$94)*ROUND(O18*O9,2),2))</f>
      </c>
      <c r="P74">
        <f>IF('Inputs'!$B$94="",0,ROUND(IF(P30="S",'Inputs'!$O$94*P27,IF(P30="K",'Inputs'!$L$94*IF('Inputs'!$N$94=1,P32,P31),0))+'Inputs'!$O$94*ROUND(SUM('Inputs'!$Z$22:$Z$39)*P14,2)+'Inputs'!$Q$94*IF('Inputs'!$S$94=1,P34+P36,P33+P35)+SUMPRODUCT(('Inputs'!$F$59:$F$70='Inputs'!$B$94)*('Inputs'!$C$59:$C$70&lt;&gt;"Estate")*('Inputs'!$C$59:$C$70&lt;&gt;""),('Inputs'!$D$59:$D$70-'Inputs'!$R$59:$R$70*ROUND(P18*'Inputs'!$D$59:$D$70,2)))+SUMPRODUCT(('Inputs'!$F$76:$F$83='Inputs'!$B$94)*'Inputs'!$J$76:$J$83)+P9-(1-'Inputs'!$T$94)*ROUND(P18*P9,2),2))</f>
      </c>
      <c r="Q74">
        <f>IF('Inputs'!$B$94="",0,ROUND(IF(Q30="S",'Inputs'!$O$94*Q27,IF(Q30="K",'Inputs'!$L$94*IF('Inputs'!$N$94=1,Q32,Q31),0))+'Inputs'!$O$94*ROUND(SUM('Inputs'!$Z$22:$Z$39)*Q14,2)+'Inputs'!$Q$94*IF('Inputs'!$S$94=1,Q34+Q36,Q33+Q35)+SUMPRODUCT(('Inputs'!$F$59:$F$70='Inputs'!$B$94)*('Inputs'!$C$59:$C$70&lt;&gt;"Estate")*('Inputs'!$C$59:$C$70&lt;&gt;""),('Inputs'!$D$59:$D$70-'Inputs'!$R$59:$R$70*ROUND(Q18*'Inputs'!$D$59:$D$70,2)))+SUMPRODUCT(('Inputs'!$F$76:$F$83='Inputs'!$B$94)*'Inputs'!$J$76:$J$83)+Q9-(1-'Inputs'!$T$94)*ROUND(Q18*Q9,2),2))</f>
      </c>
      <c r="R74">
        <f>IF('Inputs'!$B$94="",0,ROUND(IF(R30="S",'Inputs'!$O$94*R27,IF(R30="K",'Inputs'!$L$94*IF('Inputs'!$N$94=1,R32,R31),0))+'Inputs'!$O$94*ROUND(SUM('Inputs'!$Z$22:$Z$39)*R14,2)+'Inputs'!$Q$94*IF('Inputs'!$S$94=1,R34+R36,R33+R35)+SUMPRODUCT(('Inputs'!$F$59:$F$70='Inputs'!$B$94)*('Inputs'!$C$59:$C$70&lt;&gt;"Estate")*('Inputs'!$C$59:$C$70&lt;&gt;""),('Inputs'!$D$59:$D$70-'Inputs'!$R$59:$R$70*ROUND(R18*'Inputs'!$D$59:$D$70,2)))+SUMPRODUCT(('Inputs'!$F$76:$F$83='Inputs'!$B$94)*'Inputs'!$J$76:$J$83)+R9-(1-'Inputs'!$T$94)*ROUND(R18*R9,2),2))</f>
      </c>
      <c r="S74">
        <f>IF('Inputs'!$B$94="",0,ROUND(IF(S30="S",'Inputs'!$O$94*S27,IF(S30="K",'Inputs'!$L$94*IF('Inputs'!$N$94=1,S32,S31),0))+'Inputs'!$O$94*ROUND(SUM('Inputs'!$Z$22:$Z$39)*S14,2)+'Inputs'!$Q$94*IF('Inputs'!$S$94=1,S34+S36,S33+S35)+SUMPRODUCT(('Inputs'!$F$59:$F$70='Inputs'!$B$94)*('Inputs'!$C$59:$C$70&lt;&gt;"Estate")*('Inputs'!$C$59:$C$70&lt;&gt;""),('Inputs'!$D$59:$D$70-'Inputs'!$R$59:$R$70*ROUND(S18*'Inputs'!$D$59:$D$70,2)))+SUMPRODUCT(('Inputs'!$F$76:$F$83='Inputs'!$B$94)*'Inputs'!$J$76:$J$83)+S9-(1-'Inputs'!$T$94)*ROUND(S18*S9,2),2))</f>
      </c>
      <c r="T74">
        <f>IF('Inputs'!$B$94="",0,ROUND(IF(T30="S",'Inputs'!$O$94*T27,IF(T30="K",'Inputs'!$L$94*IF('Inputs'!$N$94=1,T32,T31),0))+'Inputs'!$O$94*ROUND(SUM('Inputs'!$Z$22:$Z$39)*T14,2)+'Inputs'!$Q$94*IF('Inputs'!$S$94=1,T34+T36,T33+T35)+SUMPRODUCT(('Inputs'!$F$59:$F$70='Inputs'!$B$94)*('Inputs'!$C$59:$C$70&lt;&gt;"Estate")*('Inputs'!$C$59:$C$70&lt;&gt;""),('Inputs'!$D$59:$D$70-'Inputs'!$R$59:$R$70*ROUND(T18*'Inputs'!$D$59:$D$70,2)))+SUMPRODUCT(('Inputs'!$F$76:$F$83='Inputs'!$B$94)*'Inputs'!$J$76:$J$83)+T9-(1-'Inputs'!$T$94)*ROUND(T18*T9,2),2))</f>
      </c>
    </row>
    <row r="75" spans="2:20" x14ac:dyDescent="0.25">
      <c r="B75" t="s">
        <v>369</v>
      </c>
      <c r="C75">
        <f>'Needs years'!$C$285+MAX(0,C74-'Needs years'!$C$290)*('Inputs'!$H$111/100*('Inputs'!$H$114/100+'Inputs'!$H$109/100*'Inputs'!$H$116/100))</f>
      </c>
      <c r="E75">
        <f>'Needs years'!$C$285+MAX(0,E74-'Needs years'!$C$290)*('Inputs'!$H$111/100*('Inputs'!$H$114/100+'Inputs'!$H$109/100*'Inputs'!$H$116/100))</f>
      </c>
      <c r="F75">
        <f>'Needs years'!$C$285+MAX(0,F74-'Needs years'!$C$290)*('Inputs'!$H$111/100*('Inputs'!$H$114/100+'Inputs'!$H$109/100*'Inputs'!$H$116/100))</f>
      </c>
      <c r="G75">
        <f>'Needs years'!$C$285+MAX(0,G74-'Needs years'!$C$290)*('Inputs'!$H$111/100*('Inputs'!$H$114/100+'Inputs'!$H$109/100*'Inputs'!$H$116/100))</f>
      </c>
      <c r="H75">
        <f>'Needs years'!$C$285+MAX(0,H74-'Needs years'!$C$290)*('Inputs'!$H$111/100*('Inputs'!$H$114/100+'Inputs'!$H$109/100*'Inputs'!$H$116/100))</f>
      </c>
      <c r="I75">
        <f>'Needs years'!$C$285+MAX(0,I74-'Needs years'!$C$290)*('Inputs'!$H$111/100*('Inputs'!$H$114/100+'Inputs'!$H$109/100*'Inputs'!$H$116/100))</f>
      </c>
      <c r="J75">
        <f>'Needs years'!$C$285+MAX(0,J74-'Needs years'!$C$290)*('Inputs'!$H$111/100*('Inputs'!$H$114/100+'Inputs'!$H$109/100*'Inputs'!$H$116/100))</f>
      </c>
      <c r="K75">
        <f>'Needs years'!$C$285+MAX(0,K74-'Needs years'!$C$290)*('Inputs'!$H$111/100*('Inputs'!$H$114/100+'Inputs'!$H$109/100*'Inputs'!$H$116/100))</f>
      </c>
      <c r="L75">
        <f>'Needs years'!$C$285+MAX(0,L74-'Needs years'!$C$290)*('Inputs'!$H$111/100*('Inputs'!$H$114/100+'Inputs'!$H$109/100*'Inputs'!$H$116/100))</f>
      </c>
      <c r="M75">
        <f>'Needs years'!$C$285+MAX(0,M74-'Needs years'!$C$290)*('Inputs'!$H$111/100*('Inputs'!$H$114/100+'Inputs'!$H$109/100*'Inputs'!$H$116/100))</f>
      </c>
      <c r="N75">
        <f>'Needs years'!$C$285+MAX(0,N74-'Needs years'!$C$290)*('Inputs'!$H$111/100*('Inputs'!$H$114/100+'Inputs'!$H$109/100*'Inputs'!$H$116/100))</f>
      </c>
      <c r="O75">
        <f>'Needs years'!$C$285+MAX(0,O74-'Needs years'!$C$290)*('Inputs'!$H$111/100*('Inputs'!$H$114/100+'Inputs'!$H$109/100*'Inputs'!$H$116/100))</f>
      </c>
      <c r="P75">
        <f>'Needs years'!$C$285+MAX(0,P74-'Needs years'!$C$290)*('Inputs'!$H$111/100*('Inputs'!$H$114/100+'Inputs'!$H$109/100*'Inputs'!$H$116/100))</f>
      </c>
      <c r="Q75">
        <f>'Needs years'!$C$285+MAX(0,Q74-'Needs years'!$C$290)*('Inputs'!$H$111/100*('Inputs'!$H$114/100+'Inputs'!$H$109/100*'Inputs'!$H$116/100))</f>
      </c>
      <c r="R75">
        <f>'Needs years'!$C$285+MAX(0,R74-'Needs years'!$C$290)*('Inputs'!$H$111/100*('Inputs'!$H$114/100+'Inputs'!$H$109/100*'Inputs'!$H$116/100))</f>
      </c>
      <c r="S75">
        <f>'Needs years'!$C$285+MAX(0,S74-'Needs years'!$C$290)*('Inputs'!$H$111/100*('Inputs'!$H$114/100+'Inputs'!$H$109/100*'Inputs'!$H$116/100))</f>
      </c>
      <c r="T75">
        <f>'Needs years'!$C$285+MAX(0,T74-'Needs years'!$C$290)*('Inputs'!$H$111/100*('Inputs'!$H$114/100+'Inputs'!$H$109/100*'Inputs'!$H$116/100))</f>
      </c>
    </row>
    <row r="76" spans="2:20" x14ac:dyDescent="0.25">
      <c r="B76" t="s">
        <v>370</v>
      </c>
      <c r="C76">
        <f>IF(C75&lt;='Needs years'!$C$284,0,INDEX('Inputs'!$E$123:$E$129,MATCH(C75,'Inputs'!$C$123:$C$129,1)-IF(COUNTIF('Inputs'!$C$123:$C$129,C75)&gt;0,1,0))/100)</f>
      </c>
      <c r="E76">
        <f>IF(E75&lt;='Needs years'!$C$284,0,INDEX('Inputs'!$E$123:$E$129,MATCH(E75,'Inputs'!$C$123:$C$129,1)-IF(COUNTIF('Inputs'!$C$123:$C$129,E75)&gt;0,1,0))/100)</f>
      </c>
      <c r="F76">
        <f>IF(F75&lt;='Needs years'!$C$284,0,INDEX('Inputs'!$E$123:$E$129,MATCH(F75,'Inputs'!$C$123:$C$129,1)-IF(COUNTIF('Inputs'!$C$123:$C$129,F75)&gt;0,1,0))/100)</f>
      </c>
      <c r="G76">
        <f>IF(G75&lt;='Needs years'!$C$284,0,INDEX('Inputs'!$E$123:$E$129,MATCH(G75,'Inputs'!$C$123:$C$129,1)-IF(COUNTIF('Inputs'!$C$123:$C$129,G75)&gt;0,1,0))/100)</f>
      </c>
      <c r="H76">
        <f>IF(H75&lt;='Needs years'!$C$284,0,INDEX('Inputs'!$E$123:$E$129,MATCH(H75,'Inputs'!$C$123:$C$129,1)-IF(COUNTIF('Inputs'!$C$123:$C$129,H75)&gt;0,1,0))/100)</f>
      </c>
      <c r="I76">
        <f>IF(I75&lt;='Needs years'!$C$284,0,INDEX('Inputs'!$E$123:$E$129,MATCH(I75,'Inputs'!$C$123:$C$129,1)-IF(COUNTIF('Inputs'!$C$123:$C$129,I75)&gt;0,1,0))/100)</f>
      </c>
      <c r="J76">
        <f>IF(J75&lt;='Needs years'!$C$284,0,INDEX('Inputs'!$E$123:$E$129,MATCH(J75,'Inputs'!$C$123:$C$129,1)-IF(COUNTIF('Inputs'!$C$123:$C$129,J75)&gt;0,1,0))/100)</f>
      </c>
      <c r="K76">
        <f>IF(K75&lt;='Needs years'!$C$284,0,INDEX('Inputs'!$E$123:$E$129,MATCH(K75,'Inputs'!$C$123:$C$129,1)-IF(COUNTIF('Inputs'!$C$123:$C$129,K75)&gt;0,1,0))/100)</f>
      </c>
      <c r="L76">
        <f>IF(L75&lt;='Needs years'!$C$284,0,INDEX('Inputs'!$E$123:$E$129,MATCH(L75,'Inputs'!$C$123:$C$129,1)-IF(COUNTIF('Inputs'!$C$123:$C$129,L75)&gt;0,1,0))/100)</f>
      </c>
      <c r="M76">
        <f>IF(M75&lt;='Needs years'!$C$284,0,INDEX('Inputs'!$E$123:$E$129,MATCH(M75,'Inputs'!$C$123:$C$129,1)-IF(COUNTIF('Inputs'!$C$123:$C$129,M75)&gt;0,1,0))/100)</f>
      </c>
      <c r="N76">
        <f>IF(N75&lt;='Needs years'!$C$284,0,INDEX('Inputs'!$E$123:$E$129,MATCH(N75,'Inputs'!$C$123:$C$129,1)-IF(COUNTIF('Inputs'!$C$123:$C$129,N75)&gt;0,1,0))/100)</f>
      </c>
      <c r="O76">
        <f>IF(O75&lt;='Needs years'!$C$284,0,INDEX('Inputs'!$E$123:$E$129,MATCH(O75,'Inputs'!$C$123:$C$129,1)-IF(COUNTIF('Inputs'!$C$123:$C$129,O75)&gt;0,1,0))/100)</f>
      </c>
      <c r="P76">
        <f>IF(P75&lt;='Needs years'!$C$284,0,INDEX('Inputs'!$E$123:$E$129,MATCH(P75,'Inputs'!$C$123:$C$129,1)-IF(COUNTIF('Inputs'!$C$123:$C$129,P75)&gt;0,1,0))/100)</f>
      </c>
      <c r="Q76">
        <f>IF(Q75&lt;='Needs years'!$C$284,0,INDEX('Inputs'!$E$123:$E$129,MATCH(Q75,'Inputs'!$C$123:$C$129,1)-IF(COUNTIF('Inputs'!$C$123:$C$129,Q75)&gt;0,1,0))/100)</f>
      </c>
      <c r="R76">
        <f>IF(R75&lt;='Needs years'!$C$284,0,INDEX('Inputs'!$E$123:$E$129,MATCH(R75,'Inputs'!$C$123:$C$129,1)-IF(COUNTIF('Inputs'!$C$123:$C$129,R75)&gt;0,1,0))/100)</f>
      </c>
      <c r="S76">
        <f>IF(S75&lt;='Needs years'!$C$284,0,INDEX('Inputs'!$E$123:$E$129,MATCH(S75,'Inputs'!$C$123:$C$129,1)-IF(COUNTIF('Inputs'!$C$123:$C$129,S75)&gt;0,1,0))/100)</f>
      </c>
      <c r="T76">
        <f>IF(T75&lt;='Needs years'!$C$284,0,INDEX('Inputs'!$E$123:$E$129,MATCH(T75,'Inputs'!$C$123:$C$129,1)-IF(COUNTIF('Inputs'!$C$123:$C$129,T75)&gt;0,1,0))/100)</f>
      </c>
    </row>
    <row r="77" spans="2:20" x14ac:dyDescent="0.25">
      <c r="B77" t="s">
        <v>371</v>
      </c>
      <c r="C77">
        <f>('Inputs'!$H$111/100*(1-('Inputs'!$H$114/100*C76+'Inputs'!$H$115/100*'Inputs'!$H$117/100+'Inputs'!$H$116/100*'Inputs'!$H$109/100*C76))-IF('Needs years'!$C$289=1,'Inputs'!$H$112/100,0))</f>
      </c>
      <c r="E77">
        <f>('Inputs'!$H$111/100*(1-('Inputs'!$H$114/100*E76+'Inputs'!$H$115/100*'Inputs'!$H$117/100+'Inputs'!$H$116/100*'Inputs'!$H$109/100*E76))-IF('Needs years'!$C$289=1,'Inputs'!$H$112/100,0))</f>
      </c>
      <c r="F77">
        <f>('Inputs'!$H$111/100*(1-('Inputs'!$H$114/100*F76+'Inputs'!$H$115/100*'Inputs'!$H$117/100+'Inputs'!$H$116/100*'Inputs'!$H$109/100*F76))-IF('Needs years'!$C$289=1,'Inputs'!$H$112/100,0))</f>
      </c>
      <c r="G77">
        <f>('Inputs'!$H$111/100*(1-('Inputs'!$H$114/100*G76+'Inputs'!$H$115/100*'Inputs'!$H$117/100+'Inputs'!$H$116/100*'Inputs'!$H$109/100*G76))-IF('Needs years'!$C$289=1,'Inputs'!$H$112/100,0))</f>
      </c>
      <c r="H77">
        <f>('Inputs'!$H$111/100*(1-('Inputs'!$H$114/100*H76+'Inputs'!$H$115/100*'Inputs'!$H$117/100+'Inputs'!$H$116/100*'Inputs'!$H$109/100*H76))-IF('Needs years'!$C$289=1,'Inputs'!$H$112/100,0))</f>
      </c>
      <c r="I77">
        <f>('Inputs'!$H$111/100*(1-('Inputs'!$H$114/100*I76+'Inputs'!$H$115/100*'Inputs'!$H$117/100+'Inputs'!$H$116/100*'Inputs'!$H$109/100*I76))-IF('Needs years'!$C$289=1,'Inputs'!$H$112/100,0))</f>
      </c>
      <c r="J77">
        <f>('Inputs'!$H$111/100*(1-('Inputs'!$H$114/100*J76+'Inputs'!$H$115/100*'Inputs'!$H$117/100+'Inputs'!$H$116/100*'Inputs'!$H$109/100*J76))-IF('Needs years'!$C$289=1,'Inputs'!$H$112/100,0))</f>
      </c>
      <c r="K77">
        <f>('Inputs'!$H$111/100*(1-('Inputs'!$H$114/100*K76+'Inputs'!$H$115/100*'Inputs'!$H$117/100+'Inputs'!$H$116/100*'Inputs'!$H$109/100*K76))-IF('Needs years'!$C$289=1,'Inputs'!$H$112/100,0))</f>
      </c>
      <c r="L77">
        <f>('Inputs'!$H$111/100*(1-('Inputs'!$H$114/100*L76+'Inputs'!$H$115/100*'Inputs'!$H$117/100+'Inputs'!$H$116/100*'Inputs'!$H$109/100*L76))-IF('Needs years'!$C$289=1,'Inputs'!$H$112/100,0))</f>
      </c>
      <c r="M77">
        <f>('Inputs'!$H$111/100*(1-('Inputs'!$H$114/100*M76+'Inputs'!$H$115/100*'Inputs'!$H$117/100+'Inputs'!$H$116/100*'Inputs'!$H$109/100*M76))-IF('Needs years'!$C$289=1,'Inputs'!$H$112/100,0))</f>
      </c>
      <c r="N77">
        <f>('Inputs'!$H$111/100*(1-('Inputs'!$H$114/100*N76+'Inputs'!$H$115/100*'Inputs'!$H$117/100+'Inputs'!$H$116/100*'Inputs'!$H$109/100*N76))-IF('Needs years'!$C$289=1,'Inputs'!$H$112/100,0))</f>
      </c>
      <c r="O77">
        <f>('Inputs'!$H$111/100*(1-('Inputs'!$H$114/100*O76+'Inputs'!$H$115/100*'Inputs'!$H$117/100+'Inputs'!$H$116/100*'Inputs'!$H$109/100*O76))-IF('Needs years'!$C$289=1,'Inputs'!$H$112/100,0))</f>
      </c>
      <c r="P77">
        <f>('Inputs'!$H$111/100*(1-('Inputs'!$H$114/100*P76+'Inputs'!$H$115/100*'Inputs'!$H$117/100+'Inputs'!$H$116/100*'Inputs'!$H$109/100*P76))-IF('Needs years'!$C$289=1,'Inputs'!$H$112/100,0))</f>
      </c>
      <c r="Q77">
        <f>('Inputs'!$H$111/100*(1-('Inputs'!$H$114/100*Q76+'Inputs'!$H$115/100*'Inputs'!$H$117/100+'Inputs'!$H$116/100*'Inputs'!$H$109/100*Q76))-IF('Needs years'!$C$289=1,'Inputs'!$H$112/100,0))</f>
      </c>
      <c r="R77">
        <f>('Inputs'!$H$111/100*(1-('Inputs'!$H$114/100*R76+'Inputs'!$H$115/100*'Inputs'!$H$117/100+'Inputs'!$H$116/100*'Inputs'!$H$109/100*R76))-IF('Needs years'!$C$289=1,'Inputs'!$H$112/100,0))</f>
      </c>
      <c r="S77">
        <f>('Inputs'!$H$111/100*(1-('Inputs'!$H$114/100*S76+'Inputs'!$H$115/100*'Inputs'!$H$117/100+'Inputs'!$H$116/100*'Inputs'!$H$109/100*S76))-IF('Needs years'!$C$289=1,'Inputs'!$H$112/100,0))</f>
      </c>
      <c r="T77">
        <f>('Inputs'!$H$111/100*(1-('Inputs'!$H$114/100*T76+'Inputs'!$H$115/100*'Inputs'!$H$117/100+'Inputs'!$H$116/100*'Inputs'!$H$109/100*T76))-IF('Needs years'!$C$289=1,'Inputs'!$H$112/100,0))</f>
      </c>
    </row>
    <row r="78" spans="2:20" x14ac:dyDescent="0.25">
      <c r="B78" t="s">
        <v>372</v>
      </c>
      <c r="C78">
        <f>IF('Inputs'!$B$94="",0,ROUND('Needs years'!$C$290+ROUND(IF(C77=0,SUM('Needs years'!$J$284:$J$333),(1-(1+C77)^-1)/(1-(1+C77)^(-1/12))/12*SUMPRODUCT('Needs years'!$J$284:$J$333,(1+C77)^(-'Needs years'!$I$284:$I$333))),2),2))</f>
      </c>
      <c r="E78">
        <f>IF('Inputs'!$B$94="",0,ROUND('Needs years'!$C$290+ROUND(IF(E77=0,SUM('Needs years'!$J$284:$J$333),(1-(1+E77)^-1)/(1-(1+E77)^(-1/12))/12*SUMPRODUCT('Needs years'!$J$284:$J$333,(1+E77)^(-'Needs years'!$I$284:$I$333))),2),2))</f>
      </c>
      <c r="F78">
        <f>IF('Inputs'!$B$94="",0,ROUND('Needs years'!$C$290+ROUND(IF(F77=0,SUM('Needs years'!$J$284:$J$333),(1-(1+F77)^-1)/(1-(1+F77)^(-1/12))/12*SUMPRODUCT('Needs years'!$J$284:$J$333,(1+F77)^(-'Needs years'!$I$284:$I$333))),2),2))</f>
      </c>
      <c r="G78">
        <f>IF('Inputs'!$B$94="",0,ROUND('Needs years'!$C$290+ROUND(IF(G77=0,SUM('Needs years'!$J$284:$J$333),(1-(1+G77)^-1)/(1-(1+G77)^(-1/12))/12*SUMPRODUCT('Needs years'!$J$284:$J$333,(1+G77)^(-'Needs years'!$I$284:$I$333))),2),2))</f>
      </c>
      <c r="H78">
        <f>IF('Inputs'!$B$94="",0,ROUND('Needs years'!$C$290+ROUND(IF(H77=0,SUM('Needs years'!$J$284:$J$333),(1-(1+H77)^-1)/(1-(1+H77)^(-1/12))/12*SUMPRODUCT('Needs years'!$J$284:$J$333,(1+H77)^(-'Needs years'!$I$284:$I$333))),2),2))</f>
      </c>
      <c r="I78">
        <f>IF('Inputs'!$B$94="",0,ROUND('Needs years'!$C$290+ROUND(IF(I77=0,SUM('Needs years'!$J$284:$J$333),(1-(1+I77)^-1)/(1-(1+I77)^(-1/12))/12*SUMPRODUCT('Needs years'!$J$284:$J$333,(1+I77)^(-'Needs years'!$I$284:$I$333))),2),2))</f>
      </c>
      <c r="J78">
        <f>IF('Inputs'!$B$94="",0,ROUND('Needs years'!$C$290+ROUND(IF(J77=0,SUM('Needs years'!$J$284:$J$333),(1-(1+J77)^-1)/(1-(1+J77)^(-1/12))/12*SUMPRODUCT('Needs years'!$J$284:$J$333,(1+J77)^(-'Needs years'!$I$284:$I$333))),2),2))</f>
      </c>
      <c r="K78">
        <f>IF('Inputs'!$B$94="",0,ROUND('Needs years'!$C$290+ROUND(IF(K77=0,SUM('Needs years'!$J$284:$J$333),(1-(1+K77)^-1)/(1-(1+K77)^(-1/12))/12*SUMPRODUCT('Needs years'!$J$284:$J$333,(1+K77)^(-'Needs years'!$I$284:$I$333))),2),2))</f>
      </c>
      <c r="L78">
        <f>IF('Inputs'!$B$94="",0,ROUND('Needs years'!$C$290+ROUND(IF(L77=0,SUM('Needs years'!$J$284:$J$333),(1-(1+L77)^-1)/(1-(1+L77)^(-1/12))/12*SUMPRODUCT('Needs years'!$J$284:$J$333,(1+L77)^(-'Needs years'!$I$284:$I$333))),2),2))</f>
      </c>
      <c r="M78">
        <f>IF('Inputs'!$B$94="",0,ROUND('Needs years'!$C$290+ROUND(IF(M77=0,SUM('Needs years'!$J$284:$J$333),(1-(1+M77)^-1)/(1-(1+M77)^(-1/12))/12*SUMPRODUCT('Needs years'!$J$284:$J$333,(1+M77)^(-'Needs years'!$I$284:$I$333))),2),2))</f>
      </c>
      <c r="N78">
        <f>IF('Inputs'!$B$94="",0,ROUND('Needs years'!$C$290+ROUND(IF(N77=0,SUM('Needs years'!$J$284:$J$333),(1-(1+N77)^-1)/(1-(1+N77)^(-1/12))/12*SUMPRODUCT('Needs years'!$J$284:$J$333,(1+N77)^(-'Needs years'!$I$284:$I$333))),2),2))</f>
      </c>
      <c r="O78">
        <f>IF('Inputs'!$B$94="",0,ROUND('Needs years'!$C$290+ROUND(IF(O77=0,SUM('Needs years'!$J$284:$J$333),(1-(1+O77)^-1)/(1-(1+O77)^(-1/12))/12*SUMPRODUCT('Needs years'!$J$284:$J$333,(1+O77)^(-'Needs years'!$I$284:$I$333))),2),2))</f>
      </c>
      <c r="P78">
        <f>IF('Inputs'!$B$94="",0,ROUND('Needs years'!$C$290+ROUND(IF(P77=0,SUM('Needs years'!$J$284:$J$333),(1-(1+P77)^-1)/(1-(1+P77)^(-1/12))/12*SUMPRODUCT('Needs years'!$J$284:$J$333,(1+P77)^(-'Needs years'!$I$284:$I$333))),2),2))</f>
      </c>
      <c r="Q78">
        <f>IF('Inputs'!$B$94="",0,ROUND('Needs years'!$C$290+ROUND(IF(Q77=0,SUM('Needs years'!$J$284:$J$333),(1-(1+Q77)^-1)/(1-(1+Q77)^(-1/12))/12*SUMPRODUCT('Needs years'!$J$284:$J$333,(1+Q77)^(-'Needs years'!$I$284:$I$333))),2),2))</f>
      </c>
      <c r="R78">
        <f>IF('Inputs'!$B$94="",0,ROUND('Needs years'!$C$290+ROUND(IF(R77=0,SUM('Needs years'!$J$284:$J$333),(1-(1+R77)^-1)/(1-(1+R77)^(-1/12))/12*SUMPRODUCT('Needs years'!$J$284:$J$333,(1+R77)^(-'Needs years'!$I$284:$I$333))),2),2))</f>
      </c>
      <c r="S78">
        <f>IF('Inputs'!$B$94="",0,ROUND('Needs years'!$C$290+ROUND(IF(S77=0,SUM('Needs years'!$J$284:$J$333),(1-(1+S77)^-1)/(1-(1+S77)^(-1/12))/12*SUMPRODUCT('Needs years'!$J$284:$J$333,(1+S77)^(-'Needs years'!$I$284:$I$333))),2),2))</f>
      </c>
      <c r="T78">
        <f>IF('Inputs'!$B$94="",0,ROUND('Needs years'!$C$290+ROUND(IF(T77=0,SUM('Needs years'!$J$284:$J$333),(1-(1+T77)^-1)/(1-(1+T77)^(-1/12))/12*SUMPRODUCT('Needs years'!$J$284:$J$333,(1+T77)^(-'Needs years'!$I$284:$I$333))),2),2))</f>
      </c>
    </row>
    <row r="79" spans="2:20" x14ac:dyDescent="0.25">
      <c r="B79" t="s">
        <v>373</v>
      </c>
      <c r="C79">
        <f>IF('Inputs'!$B$94="",0,ROUND(C78-C74,2))</f>
      </c>
      <c r="E79">
        <f>IF('Inputs'!$B$94="",0,ROUND(E78-E74,2))</f>
      </c>
      <c r="F79">
        <f>IF('Inputs'!$B$94="",0,ROUND(F78-F74,2))</f>
      </c>
      <c r="G79">
        <f>IF('Inputs'!$B$94="",0,ROUND(G78-G74,2))</f>
      </c>
      <c r="H79">
        <f>IF('Inputs'!$B$94="",0,ROUND(H78-H74,2))</f>
      </c>
      <c r="I79">
        <f>IF('Inputs'!$B$94="",0,ROUND(I78-I74,2))</f>
      </c>
      <c r="J79">
        <f>IF('Inputs'!$B$94="",0,ROUND(J78-J74,2))</f>
      </c>
      <c r="K79">
        <f>IF('Inputs'!$B$94="",0,ROUND(K78-K74,2))</f>
      </c>
      <c r="L79">
        <f>IF('Inputs'!$B$94="",0,ROUND(L78-L74,2))</f>
      </c>
      <c r="M79">
        <f>IF('Inputs'!$B$94="",0,ROUND(M78-M74,2))</f>
      </c>
      <c r="N79">
        <f>IF('Inputs'!$B$94="",0,ROUND(N78-N74,2))</f>
      </c>
      <c r="O79">
        <f>IF('Inputs'!$B$94="",0,ROUND(O78-O74,2))</f>
      </c>
      <c r="P79">
        <f>IF('Inputs'!$B$94="",0,ROUND(P78-P74,2))</f>
      </c>
      <c r="Q79">
        <f>IF('Inputs'!$B$94="",0,ROUND(Q78-Q74,2))</f>
      </c>
      <c r="R79">
        <f>IF('Inputs'!$B$94="",0,ROUND(R78-R74,2))</f>
      </c>
      <c r="S79">
        <f>IF('Inputs'!$B$94="",0,ROUND(S78-S74,2))</f>
      </c>
      <c r="T79">
        <f>IF('Inputs'!$B$94="",0,ROUND(T78-T74,2))</f>
      </c>
    </row>
    <row r="80" spans="2:20" x14ac:dyDescent="0.25">
      <c r="B80" t="s">
        <v>374</v>
      </c>
      <c r="C80">
        <f>IF('Inputs'!$B$94="",0,IF((C78-'Needs years'!$C$290)&gt;0,MAX(0,C74-'Needs years'!$C$290)/(C78-'Needs years'!$C$290)*'Needs years'!$C$287,0))</f>
      </c>
      <c r="E80">
        <f>IF('Inputs'!$B$94="",0,IF((E78-'Needs years'!$C$290)&gt;0,MAX(0,E74-'Needs years'!$C$290)/(E78-'Needs years'!$C$290)*'Needs years'!$C$287,0))</f>
      </c>
      <c r="F80">
        <f>IF('Inputs'!$B$94="",0,IF((F78-'Needs years'!$C$290)&gt;0,MAX(0,F74-'Needs years'!$C$290)/(F78-'Needs years'!$C$290)*'Needs years'!$C$287,0))</f>
      </c>
      <c r="G80">
        <f>IF('Inputs'!$B$94="",0,IF((G78-'Needs years'!$C$290)&gt;0,MAX(0,G74-'Needs years'!$C$290)/(G78-'Needs years'!$C$290)*'Needs years'!$C$287,0))</f>
      </c>
      <c r="H80">
        <f>IF('Inputs'!$B$94="",0,IF((H78-'Needs years'!$C$290)&gt;0,MAX(0,H74-'Needs years'!$C$290)/(H78-'Needs years'!$C$290)*'Needs years'!$C$287,0))</f>
      </c>
      <c r="I80">
        <f>IF('Inputs'!$B$94="",0,IF((I78-'Needs years'!$C$290)&gt;0,MAX(0,I74-'Needs years'!$C$290)/(I78-'Needs years'!$C$290)*'Needs years'!$C$287,0))</f>
      </c>
      <c r="J80">
        <f>IF('Inputs'!$B$94="",0,IF((J78-'Needs years'!$C$290)&gt;0,MAX(0,J74-'Needs years'!$C$290)/(J78-'Needs years'!$C$290)*'Needs years'!$C$287,0))</f>
      </c>
      <c r="K80">
        <f>IF('Inputs'!$B$94="",0,IF((K78-'Needs years'!$C$290)&gt;0,MAX(0,K74-'Needs years'!$C$290)/(K78-'Needs years'!$C$290)*'Needs years'!$C$287,0))</f>
      </c>
      <c r="L80">
        <f>IF('Inputs'!$B$94="",0,IF((L78-'Needs years'!$C$290)&gt;0,MAX(0,L74-'Needs years'!$C$290)/(L78-'Needs years'!$C$290)*'Needs years'!$C$287,0))</f>
      </c>
      <c r="M80">
        <f>IF('Inputs'!$B$94="",0,IF((M78-'Needs years'!$C$290)&gt;0,MAX(0,M74-'Needs years'!$C$290)/(M78-'Needs years'!$C$290)*'Needs years'!$C$287,0))</f>
      </c>
      <c r="N80">
        <f>IF('Inputs'!$B$94="",0,IF((N78-'Needs years'!$C$290)&gt;0,MAX(0,N74-'Needs years'!$C$290)/(N78-'Needs years'!$C$290)*'Needs years'!$C$287,0))</f>
      </c>
      <c r="O80">
        <f>IF('Inputs'!$B$94="",0,IF((O78-'Needs years'!$C$290)&gt;0,MAX(0,O74-'Needs years'!$C$290)/(O78-'Needs years'!$C$290)*'Needs years'!$C$287,0))</f>
      </c>
      <c r="P80">
        <f>IF('Inputs'!$B$94="",0,IF((P78-'Needs years'!$C$290)&gt;0,MAX(0,P74-'Needs years'!$C$290)/(P78-'Needs years'!$C$290)*'Needs years'!$C$287,0))</f>
      </c>
      <c r="Q80">
        <f>IF('Inputs'!$B$94="",0,IF((Q78-'Needs years'!$C$290)&gt;0,MAX(0,Q74-'Needs years'!$C$290)/(Q78-'Needs years'!$C$290)*'Needs years'!$C$287,0))</f>
      </c>
      <c r="R80">
        <f>IF('Inputs'!$B$94="",0,IF((R78-'Needs years'!$C$290)&gt;0,MAX(0,R74-'Needs years'!$C$290)/(R78-'Needs years'!$C$290)*'Needs years'!$C$287,0))</f>
      </c>
      <c r="S80">
        <f>IF('Inputs'!$B$94="",0,IF((S78-'Needs years'!$C$290)&gt;0,MAX(0,S74-'Needs years'!$C$290)/(S78-'Needs years'!$C$290)*'Needs years'!$C$287,0))</f>
      </c>
      <c r="T80">
        <f>IF('Inputs'!$B$94="",0,IF((T78-'Needs years'!$C$290)&gt;0,MAX(0,T74-'Needs years'!$C$290)/(T78-'Needs years'!$C$290)*'Needs years'!$C$287,0))</f>
      </c>
    </row>
    <row r="81" spans="2:20" x14ac:dyDescent="0.25">
      <c r="B81" t="s">
        <v>375</v>
      </c>
      <c r="C81">
        <f>IF(C3=1,IF(AND(C4=0,C44&lt;=0),0,MAX(0,C4+C44/(1-(1-'Inputs'!$T$89)*C18))),0)</f>
      </c>
      <c r="E81">
        <f>IF(E3=1,IF(AND(E4=0,E44&lt;=0),0,MAX(0,E4+E44/(1-(1-'Inputs'!$T$89)*E18))),0)</f>
      </c>
      <c r="F81">
        <f>IF(F3=1,IF(AND(F4=0,F44&lt;=0),0,MAX(0,F4+F44/(1-(1-'Inputs'!$T$89)*F18))),0)</f>
      </c>
      <c r="G81">
        <f>IF(G3=1,IF(AND(G4=0,G44&lt;=0),0,MAX(0,G4+G44/(1-(1-'Inputs'!$T$89)*G18))),0)</f>
      </c>
      <c r="H81">
        <f>IF(H3=1,IF(AND(H4=0,H44&lt;=0),0,MAX(0,H4+H44/(1-(1-'Inputs'!$T$89)*H18))),0)</f>
      </c>
      <c r="I81">
        <f>IF(I3=1,IF(AND(I4=0,I44&lt;=0),0,MAX(0,I4+I44/(1-(1-'Inputs'!$T$89)*I18))),0)</f>
      </c>
      <c r="J81">
        <f>IF(J3=1,IF(AND(J4=0,J44&lt;=0),0,MAX(0,J4+J44/(1-(1-'Inputs'!$T$89)*J18))),0)</f>
      </c>
      <c r="K81">
        <f>IF(K3=1,IF(AND(K4=0,K44&lt;=0),0,MAX(0,K4+K44/(1-(1-'Inputs'!$T$89)*K18))),0)</f>
      </c>
      <c r="L81">
        <f>IF(L3=1,IF(AND(L4=0,L44&lt;=0),0,MAX(0,L4+L44/(1-(1-'Inputs'!$T$89)*L18))),0)</f>
      </c>
      <c r="M81">
        <f>IF(M3=1,IF(AND(M4=0,M44&lt;=0),0,MAX(0,M4+M44/(1-(1-'Inputs'!$T$89)*M18))),0)</f>
      </c>
      <c r="N81">
        <f>IF(N3=1,IF(AND(N4=0,N44&lt;=0),0,MAX(0,N4+N44/(1-(1-'Inputs'!$T$89)*N18))),0)</f>
      </c>
      <c r="O81">
        <f>IF(O3=1,IF(AND(O4=0,O44&lt;=0),0,MAX(0,O4+O44/(1-(1-'Inputs'!$T$89)*O18))),0)</f>
      </c>
      <c r="P81">
        <f>IF(P3=1,IF(AND(P4=0,P44&lt;=0),0,MAX(0,P4+P44/(1-(1-'Inputs'!$T$89)*P18))),0)</f>
      </c>
      <c r="Q81">
        <f>IF(Q3=1,IF(AND(Q4=0,Q44&lt;=0),0,MAX(0,Q4+Q44/(1-(1-'Inputs'!$T$89)*Q18))),0)</f>
      </c>
      <c r="R81">
        <f>IF(R3=1,IF(AND(R4=0,R44&lt;=0),0,MAX(0,R4+R44/(1-(1-'Inputs'!$T$89)*R18))),0)</f>
      </c>
      <c r="S81">
        <f>IF(S3=1,IF(AND(S4=0,S44&lt;=0),0,MAX(0,S4+S44/(1-(1-'Inputs'!$T$89)*S18))),0)</f>
      </c>
      <c r="T81">
        <f>IF(T3=1,IF(AND(T4=0,T44&lt;=0),0,MAX(0,T4+T44/(1-(1-'Inputs'!$T$89)*T18))),0)</f>
      </c>
    </row>
    <row r="82" spans="2:20" x14ac:dyDescent="0.25">
      <c r="B82" t="s">
        <v>376</v>
      </c>
      <c r="C82">
        <f>IF(C3=1,IF(AND(C5=0,C51&lt;=0),0,MAX(0,C5+C51/(1-(1-'Inputs'!$T$90)*C18))),0)</f>
      </c>
      <c r="E82">
        <f>IF(E3=1,IF(AND(E5=0,E51&lt;=0),0,MAX(0,E5+E51/(1-(1-'Inputs'!$T$90)*E18))),0)</f>
      </c>
      <c r="F82">
        <f>IF(F3=1,IF(AND(F5=0,F51&lt;=0),0,MAX(0,F5+F51/(1-(1-'Inputs'!$T$90)*F18))),0)</f>
      </c>
      <c r="G82">
        <f>IF(G3=1,IF(AND(G5=0,G51&lt;=0),0,MAX(0,G5+G51/(1-(1-'Inputs'!$T$90)*G18))),0)</f>
      </c>
      <c r="H82">
        <f>IF(H3=1,IF(AND(H5=0,H51&lt;=0),0,MAX(0,H5+H51/(1-(1-'Inputs'!$T$90)*H18))),0)</f>
      </c>
      <c r="I82">
        <f>IF(I3=1,IF(AND(I5=0,I51&lt;=0),0,MAX(0,I5+I51/(1-(1-'Inputs'!$T$90)*I18))),0)</f>
      </c>
      <c r="J82">
        <f>IF(J3=1,IF(AND(J5=0,J51&lt;=0),0,MAX(0,J5+J51/(1-(1-'Inputs'!$T$90)*J18))),0)</f>
      </c>
      <c r="K82">
        <f>IF(K3=1,IF(AND(K5=0,K51&lt;=0),0,MAX(0,K5+K51/(1-(1-'Inputs'!$T$90)*K18))),0)</f>
      </c>
      <c r="L82">
        <f>IF(L3=1,IF(AND(L5=0,L51&lt;=0),0,MAX(0,L5+L51/(1-(1-'Inputs'!$T$90)*L18))),0)</f>
      </c>
      <c r="M82">
        <f>IF(M3=1,IF(AND(M5=0,M51&lt;=0),0,MAX(0,M5+M51/(1-(1-'Inputs'!$T$90)*M18))),0)</f>
      </c>
      <c r="N82">
        <f>IF(N3=1,IF(AND(N5=0,N51&lt;=0),0,MAX(0,N5+N51/(1-(1-'Inputs'!$T$90)*N18))),0)</f>
      </c>
      <c r="O82">
        <f>IF(O3=1,IF(AND(O5=0,O51&lt;=0),0,MAX(0,O5+O51/(1-(1-'Inputs'!$T$90)*O18))),0)</f>
      </c>
      <c r="P82">
        <f>IF(P3=1,IF(AND(P5=0,P51&lt;=0),0,MAX(0,P5+P51/(1-(1-'Inputs'!$T$90)*P18))),0)</f>
      </c>
      <c r="Q82">
        <f>IF(Q3=1,IF(AND(Q5=0,Q51&lt;=0),0,MAX(0,Q5+Q51/(1-(1-'Inputs'!$T$90)*Q18))),0)</f>
      </c>
      <c r="R82">
        <f>IF(R3=1,IF(AND(R5=0,R51&lt;=0),0,MAX(0,R5+R51/(1-(1-'Inputs'!$T$90)*R18))),0)</f>
      </c>
      <c r="S82">
        <f>IF(S3=1,IF(AND(S5=0,S51&lt;=0),0,MAX(0,S5+S51/(1-(1-'Inputs'!$T$90)*S18))),0)</f>
      </c>
      <c r="T82">
        <f>IF(T3=1,IF(AND(T5=0,T51&lt;=0),0,MAX(0,T5+T51/(1-(1-'Inputs'!$T$90)*T18))),0)</f>
      </c>
    </row>
    <row r="83" spans="2:20" x14ac:dyDescent="0.25">
      <c r="B83" t="s">
        <v>377</v>
      </c>
      <c r="C83">
        <f>IF(C3=1,IF(AND(C6=0,C58&lt;=0),0,MAX(0,C6+C58/(1-(1-'Inputs'!$T$91)*C18))),0)</f>
      </c>
      <c r="E83">
        <f>IF(E3=1,IF(AND(E6=0,E58&lt;=0),0,MAX(0,E6+E58/(1-(1-'Inputs'!$T$91)*E18))),0)</f>
      </c>
      <c r="F83">
        <f>IF(F3=1,IF(AND(F6=0,F58&lt;=0),0,MAX(0,F6+F58/(1-(1-'Inputs'!$T$91)*F18))),0)</f>
      </c>
      <c r="G83">
        <f>IF(G3=1,IF(AND(G6=0,G58&lt;=0),0,MAX(0,G6+G58/(1-(1-'Inputs'!$T$91)*G18))),0)</f>
      </c>
      <c r="H83">
        <f>IF(H3=1,IF(AND(H6=0,H58&lt;=0),0,MAX(0,H6+H58/(1-(1-'Inputs'!$T$91)*H18))),0)</f>
      </c>
      <c r="I83">
        <f>IF(I3=1,IF(AND(I6=0,I58&lt;=0),0,MAX(0,I6+I58/(1-(1-'Inputs'!$T$91)*I18))),0)</f>
      </c>
      <c r="J83">
        <f>IF(J3=1,IF(AND(J6=0,J58&lt;=0),0,MAX(0,J6+J58/(1-(1-'Inputs'!$T$91)*J18))),0)</f>
      </c>
      <c r="K83">
        <f>IF(K3=1,IF(AND(K6=0,K58&lt;=0),0,MAX(0,K6+K58/(1-(1-'Inputs'!$T$91)*K18))),0)</f>
      </c>
      <c r="L83">
        <f>IF(L3=1,IF(AND(L6=0,L58&lt;=0),0,MAX(0,L6+L58/(1-(1-'Inputs'!$T$91)*L18))),0)</f>
      </c>
      <c r="M83">
        <f>IF(M3=1,IF(AND(M6=0,M58&lt;=0),0,MAX(0,M6+M58/(1-(1-'Inputs'!$T$91)*M18))),0)</f>
      </c>
      <c r="N83">
        <f>IF(N3=1,IF(AND(N6=0,N58&lt;=0),0,MAX(0,N6+N58/(1-(1-'Inputs'!$T$91)*N18))),0)</f>
      </c>
      <c r="O83">
        <f>IF(O3=1,IF(AND(O6=0,O58&lt;=0),0,MAX(0,O6+O58/(1-(1-'Inputs'!$T$91)*O18))),0)</f>
      </c>
      <c r="P83">
        <f>IF(P3=1,IF(AND(P6=0,P58&lt;=0),0,MAX(0,P6+P58/(1-(1-'Inputs'!$T$91)*P18))),0)</f>
      </c>
      <c r="Q83">
        <f>IF(Q3=1,IF(AND(Q6=0,Q58&lt;=0),0,MAX(0,Q6+Q58/(1-(1-'Inputs'!$T$91)*Q18))),0)</f>
      </c>
      <c r="R83">
        <f>IF(R3=1,IF(AND(R6=0,R58&lt;=0),0,MAX(0,R6+R58/(1-(1-'Inputs'!$T$91)*R18))),0)</f>
      </c>
      <c r="S83">
        <f>IF(S3=1,IF(AND(S6=0,S58&lt;=0),0,MAX(0,S6+S58/(1-(1-'Inputs'!$T$91)*S18))),0)</f>
      </c>
      <c r="T83">
        <f>IF(T3=1,IF(AND(T6=0,T58&lt;=0),0,MAX(0,T6+T58/(1-(1-'Inputs'!$T$91)*T18))),0)</f>
      </c>
    </row>
    <row r="84" spans="2:20" x14ac:dyDescent="0.25">
      <c r="B84" t="s">
        <v>378</v>
      </c>
      <c r="C84">
        <f>IF(C3=1,IF(AND(C7=0,C65&lt;=0),0,MAX(0,C7+C65/(1-(1-'Inputs'!$T$92)*C18))),0)</f>
      </c>
      <c r="E84">
        <f>IF(E3=1,IF(AND(E7=0,E65&lt;=0),0,MAX(0,E7+E65/(1-(1-'Inputs'!$T$92)*E18))),0)</f>
      </c>
      <c r="F84">
        <f>IF(F3=1,IF(AND(F7=0,F65&lt;=0),0,MAX(0,F7+F65/(1-(1-'Inputs'!$T$92)*F18))),0)</f>
      </c>
      <c r="G84">
        <f>IF(G3=1,IF(AND(G7=0,G65&lt;=0),0,MAX(0,G7+G65/(1-(1-'Inputs'!$T$92)*G18))),0)</f>
      </c>
      <c r="H84">
        <f>IF(H3=1,IF(AND(H7=0,H65&lt;=0),0,MAX(0,H7+H65/(1-(1-'Inputs'!$T$92)*H18))),0)</f>
      </c>
      <c r="I84">
        <f>IF(I3=1,IF(AND(I7=0,I65&lt;=0),0,MAX(0,I7+I65/(1-(1-'Inputs'!$T$92)*I18))),0)</f>
      </c>
      <c r="J84">
        <f>IF(J3=1,IF(AND(J7=0,J65&lt;=0),0,MAX(0,J7+J65/(1-(1-'Inputs'!$T$92)*J18))),0)</f>
      </c>
      <c r="K84">
        <f>IF(K3=1,IF(AND(K7=0,K65&lt;=0),0,MAX(0,K7+K65/(1-(1-'Inputs'!$T$92)*K18))),0)</f>
      </c>
      <c r="L84">
        <f>IF(L3=1,IF(AND(L7=0,L65&lt;=0),0,MAX(0,L7+L65/(1-(1-'Inputs'!$T$92)*L18))),0)</f>
      </c>
      <c r="M84">
        <f>IF(M3=1,IF(AND(M7=0,M65&lt;=0),0,MAX(0,M7+M65/(1-(1-'Inputs'!$T$92)*M18))),0)</f>
      </c>
      <c r="N84">
        <f>IF(N3=1,IF(AND(N7=0,N65&lt;=0),0,MAX(0,N7+N65/(1-(1-'Inputs'!$T$92)*N18))),0)</f>
      </c>
      <c r="O84">
        <f>IF(O3=1,IF(AND(O7=0,O65&lt;=0),0,MAX(0,O7+O65/(1-(1-'Inputs'!$T$92)*O18))),0)</f>
      </c>
      <c r="P84">
        <f>IF(P3=1,IF(AND(P7=0,P65&lt;=0),0,MAX(0,P7+P65/(1-(1-'Inputs'!$T$92)*P18))),0)</f>
      </c>
      <c r="Q84">
        <f>IF(Q3=1,IF(AND(Q7=0,Q65&lt;=0),0,MAX(0,Q7+Q65/(1-(1-'Inputs'!$T$92)*Q18))),0)</f>
      </c>
      <c r="R84">
        <f>IF(R3=1,IF(AND(R7=0,R65&lt;=0),0,MAX(0,R7+R65/(1-(1-'Inputs'!$T$92)*R18))),0)</f>
      </c>
      <c r="S84">
        <f>IF(S3=1,IF(AND(S7=0,S65&lt;=0),0,MAX(0,S7+S65/(1-(1-'Inputs'!$T$92)*S18))),0)</f>
      </c>
      <c r="T84">
        <f>IF(T3=1,IF(AND(T7=0,T65&lt;=0),0,MAX(0,T7+T65/(1-(1-'Inputs'!$T$92)*T18))),0)</f>
      </c>
    </row>
    <row r="85" spans="2:20" x14ac:dyDescent="0.25">
      <c r="B85" t="s">
        <v>379</v>
      </c>
      <c r="C85">
        <f>IF(C3=1,IF(AND(C8=0,C72&lt;=0),0,MAX(0,C8+C72/(1-(1-'Inputs'!$T$93)*C18))),0)</f>
      </c>
      <c r="E85">
        <f>IF(E3=1,IF(AND(E8=0,E72&lt;=0),0,MAX(0,E8+E72/(1-(1-'Inputs'!$T$93)*E18))),0)</f>
      </c>
      <c r="F85">
        <f>IF(F3=1,IF(AND(F8=0,F72&lt;=0),0,MAX(0,F8+F72/(1-(1-'Inputs'!$T$93)*F18))),0)</f>
      </c>
      <c r="G85">
        <f>IF(G3=1,IF(AND(G8=0,G72&lt;=0),0,MAX(0,G8+G72/(1-(1-'Inputs'!$T$93)*G18))),0)</f>
      </c>
      <c r="H85">
        <f>IF(H3=1,IF(AND(H8=0,H72&lt;=0),0,MAX(0,H8+H72/(1-(1-'Inputs'!$T$93)*H18))),0)</f>
      </c>
      <c r="I85">
        <f>IF(I3=1,IF(AND(I8=0,I72&lt;=0),0,MAX(0,I8+I72/(1-(1-'Inputs'!$T$93)*I18))),0)</f>
      </c>
      <c r="J85">
        <f>IF(J3=1,IF(AND(J8=0,J72&lt;=0),0,MAX(0,J8+J72/(1-(1-'Inputs'!$T$93)*J18))),0)</f>
      </c>
      <c r="K85">
        <f>IF(K3=1,IF(AND(K8=0,K72&lt;=0),0,MAX(0,K8+K72/(1-(1-'Inputs'!$T$93)*K18))),0)</f>
      </c>
      <c r="L85">
        <f>IF(L3=1,IF(AND(L8=0,L72&lt;=0),0,MAX(0,L8+L72/(1-(1-'Inputs'!$T$93)*L18))),0)</f>
      </c>
      <c r="M85">
        <f>IF(M3=1,IF(AND(M8=0,M72&lt;=0),0,MAX(0,M8+M72/(1-(1-'Inputs'!$T$93)*M18))),0)</f>
      </c>
      <c r="N85">
        <f>IF(N3=1,IF(AND(N8=0,N72&lt;=0),0,MAX(0,N8+N72/(1-(1-'Inputs'!$T$93)*N18))),0)</f>
      </c>
      <c r="O85">
        <f>IF(O3=1,IF(AND(O8=0,O72&lt;=0),0,MAX(0,O8+O72/(1-(1-'Inputs'!$T$93)*O18))),0)</f>
      </c>
      <c r="P85">
        <f>IF(P3=1,IF(AND(P8=0,P72&lt;=0),0,MAX(0,P8+P72/(1-(1-'Inputs'!$T$93)*P18))),0)</f>
      </c>
      <c r="Q85">
        <f>IF(Q3=1,IF(AND(Q8=0,Q72&lt;=0),0,MAX(0,Q8+Q72/(1-(1-'Inputs'!$T$93)*Q18))),0)</f>
      </c>
      <c r="R85">
        <f>IF(R3=1,IF(AND(R8=0,R72&lt;=0),0,MAX(0,R8+R72/(1-(1-'Inputs'!$T$93)*R18))),0)</f>
      </c>
      <c r="S85">
        <f>IF(S3=1,IF(AND(S8=0,S72&lt;=0),0,MAX(0,S8+S72/(1-(1-'Inputs'!$T$93)*S18))),0)</f>
      </c>
      <c r="T85">
        <f>IF(T3=1,IF(AND(T8=0,T72&lt;=0),0,MAX(0,T8+T72/(1-(1-'Inputs'!$T$93)*T18))),0)</f>
      </c>
    </row>
    <row r="86" spans="2:20" x14ac:dyDescent="0.25">
      <c r="B86" t="s">
        <v>380</v>
      </c>
      <c r="C86">
        <f>IF(C3=1,IF(AND(C9=0,C79&lt;=0),0,MAX(0,C9+C79/(1-(1-'Inputs'!$T$94)*C18))),0)</f>
      </c>
      <c r="E86">
        <f>IF(E3=1,IF(AND(E9=0,E79&lt;=0),0,MAX(0,E9+E79/(1-(1-'Inputs'!$T$94)*E18))),0)</f>
      </c>
      <c r="F86">
        <f>IF(F3=1,IF(AND(F9=0,F79&lt;=0),0,MAX(0,F9+F79/(1-(1-'Inputs'!$T$94)*F18))),0)</f>
      </c>
      <c r="G86">
        <f>IF(G3=1,IF(AND(G9=0,G79&lt;=0),0,MAX(0,G9+G79/(1-(1-'Inputs'!$T$94)*G18))),0)</f>
      </c>
      <c r="H86">
        <f>IF(H3=1,IF(AND(H9=0,H79&lt;=0),0,MAX(0,H9+H79/(1-(1-'Inputs'!$T$94)*H18))),0)</f>
      </c>
      <c r="I86">
        <f>IF(I3=1,IF(AND(I9=0,I79&lt;=0),0,MAX(0,I9+I79/(1-(1-'Inputs'!$T$94)*I18))),0)</f>
      </c>
      <c r="J86">
        <f>IF(J3=1,IF(AND(J9=0,J79&lt;=0),0,MAX(0,J9+J79/(1-(1-'Inputs'!$T$94)*J18))),0)</f>
      </c>
      <c r="K86">
        <f>IF(K3=1,IF(AND(K9=0,K79&lt;=0),0,MAX(0,K9+K79/(1-(1-'Inputs'!$T$94)*K18))),0)</f>
      </c>
      <c r="L86">
        <f>IF(L3=1,IF(AND(L9=0,L79&lt;=0),0,MAX(0,L9+L79/(1-(1-'Inputs'!$T$94)*L18))),0)</f>
      </c>
      <c r="M86">
        <f>IF(M3=1,IF(AND(M9=0,M79&lt;=0),0,MAX(0,M9+M79/(1-(1-'Inputs'!$T$94)*M18))),0)</f>
      </c>
      <c r="N86">
        <f>IF(N3=1,IF(AND(N9=0,N79&lt;=0),0,MAX(0,N9+N79/(1-(1-'Inputs'!$T$94)*N18))),0)</f>
      </c>
      <c r="O86">
        <f>IF(O3=1,IF(AND(O9=0,O79&lt;=0),0,MAX(0,O9+O79/(1-(1-'Inputs'!$T$94)*O18))),0)</f>
      </c>
      <c r="P86">
        <f>IF(P3=1,IF(AND(P9=0,P79&lt;=0),0,MAX(0,P9+P79/(1-(1-'Inputs'!$T$94)*P18))),0)</f>
      </c>
      <c r="Q86">
        <f>IF(Q3=1,IF(AND(Q9=0,Q79&lt;=0),0,MAX(0,Q9+Q79/(1-(1-'Inputs'!$T$94)*Q18))),0)</f>
      </c>
      <c r="R86">
        <f>IF(R3=1,IF(AND(R9=0,R79&lt;=0),0,MAX(0,R9+R79/(1-(1-'Inputs'!$T$94)*R18))),0)</f>
      </c>
      <c r="S86">
        <f>IF(S3=1,IF(AND(S9=0,S79&lt;=0),0,MAX(0,S9+S79/(1-(1-'Inputs'!$T$94)*S18))),0)</f>
      </c>
      <c r="T86">
        <f>IF(T3=1,IF(AND(T9=0,T79&lt;=0),0,MAX(0,T9+T79/(1-(1-'Inputs'!$T$94)*T18))),0)</f>
      </c>
    </row>
    <row r="87" spans="2:20" x14ac:dyDescent="0.25">
      <c r="B87" t="s">
        <v>381</v>
      </c>
      <c r="C87">
        <f>IF(C3=1,IF(AND(C10=0,C26&lt;=0),0,MAX(0,C10+C26/((1-('Inputs'!$C$109/100*(1+'Inputs'!$C$110/100)))*(1-IF('Inputs'!$C$14="Spouse",0,C18))))),0)</f>
      </c>
      <c r="E87">
        <f>IF(E3=1,IF(AND(E10=0,E26&lt;=0),0,MAX(0,E10+E26/((1-('Inputs'!$C$109/100*(1+'Inputs'!$C$110/100)))*(1-IF('Inputs'!$C$14="Spouse",0,E18))))),0)</f>
      </c>
      <c r="F87">
        <f>IF(F3=1,IF(AND(F10=0,F26&lt;=0),0,MAX(0,F10+F26/((1-('Inputs'!$C$109/100*(1+'Inputs'!$C$110/100)))*(1-IF('Inputs'!$C$14="Spouse",0,F18))))),0)</f>
      </c>
      <c r="G87">
        <f>IF(G3=1,IF(AND(G10=0,G26&lt;=0),0,MAX(0,G10+G26/((1-('Inputs'!$C$109/100*(1+'Inputs'!$C$110/100)))*(1-IF('Inputs'!$C$14="Spouse",0,G18))))),0)</f>
      </c>
      <c r="H87">
        <f>IF(H3=1,IF(AND(H10=0,H26&lt;=0),0,MAX(0,H10+H26/((1-('Inputs'!$C$109/100*(1+'Inputs'!$C$110/100)))*(1-IF('Inputs'!$C$14="Spouse",0,H18))))),0)</f>
      </c>
      <c r="I87">
        <f>IF(I3=1,IF(AND(I10=0,I26&lt;=0),0,MAX(0,I10+I26/((1-('Inputs'!$C$109/100*(1+'Inputs'!$C$110/100)))*(1-IF('Inputs'!$C$14="Spouse",0,I18))))),0)</f>
      </c>
      <c r="J87">
        <f>IF(J3=1,IF(AND(J10=0,J26&lt;=0),0,MAX(0,J10+J26/((1-('Inputs'!$C$109/100*(1+'Inputs'!$C$110/100)))*(1-IF('Inputs'!$C$14="Spouse",0,J18))))),0)</f>
      </c>
      <c r="K87">
        <f>IF(K3=1,IF(AND(K10=0,K26&lt;=0),0,MAX(0,K10+K26/((1-('Inputs'!$C$109/100*(1+'Inputs'!$C$110/100)))*(1-IF('Inputs'!$C$14="Spouse",0,K18))))),0)</f>
      </c>
      <c r="L87">
        <f>IF(L3=1,IF(AND(L10=0,L26&lt;=0),0,MAX(0,L10+L26/((1-('Inputs'!$C$109/100*(1+'Inputs'!$C$110/100)))*(1-IF('Inputs'!$C$14="Spouse",0,L18))))),0)</f>
      </c>
      <c r="M87">
        <f>IF(M3=1,IF(AND(M10=0,M26&lt;=0),0,MAX(0,M10+M26/((1-('Inputs'!$C$109/100*(1+'Inputs'!$C$110/100)))*(1-IF('Inputs'!$C$14="Spouse",0,M18))))),0)</f>
      </c>
      <c r="N87">
        <f>IF(N3=1,IF(AND(N10=0,N26&lt;=0),0,MAX(0,N10+N26/((1-('Inputs'!$C$109/100*(1+'Inputs'!$C$110/100)))*(1-IF('Inputs'!$C$14="Spouse",0,N18))))),0)</f>
      </c>
      <c r="O87">
        <f>IF(O3=1,IF(AND(O10=0,O26&lt;=0),0,MAX(0,O10+O26/((1-('Inputs'!$C$109/100*(1+'Inputs'!$C$110/100)))*(1-IF('Inputs'!$C$14="Spouse",0,O18))))),0)</f>
      </c>
      <c r="P87">
        <f>IF(P3=1,IF(AND(P10=0,P26&lt;=0),0,MAX(0,P10+P26/((1-('Inputs'!$C$109/100*(1+'Inputs'!$C$110/100)))*(1-IF('Inputs'!$C$14="Spouse",0,P18))))),0)</f>
      </c>
      <c r="Q87">
        <f>IF(Q3=1,IF(AND(Q10=0,Q26&lt;=0),0,MAX(0,Q10+Q26/((1-('Inputs'!$C$109/100*(1+'Inputs'!$C$110/100)))*(1-IF('Inputs'!$C$14="Spouse",0,Q18))))),0)</f>
      </c>
      <c r="R87">
        <f>IF(R3=1,IF(AND(R10=0,R26&lt;=0),0,MAX(0,R10+R26/((1-('Inputs'!$C$109/100*(1+'Inputs'!$C$110/100)))*(1-IF('Inputs'!$C$14="Spouse",0,R18))))),0)</f>
      </c>
      <c r="S87">
        <f>IF(S3=1,IF(AND(S10=0,S26&lt;=0),0,MAX(0,S10+S26/((1-('Inputs'!$C$109/100*(1+'Inputs'!$C$110/100)))*(1-IF('Inputs'!$C$14="Spouse",0,S18))))),0)</f>
      </c>
      <c r="T87">
        <f>IF(T3=1,IF(AND(T10=0,T26&lt;=0),0,MAX(0,T10+T26/((1-('Inputs'!$C$109/100*(1+'Inputs'!$C$110/100)))*(1-IF('Inputs'!$C$14="Spouse",0,T18))))),0)</f>
      </c>
    </row>
  </sheetData>
  <sheetProtection sheet="1" formatRows="0"/>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I43"/>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8" width="15" customWidth="1"/>
    <col min="9" max="9" width="2" customWidth="1"/>
  </cols>
  <sheetData>
    <row r="1" ht="21.75" customHeight="1" spans="2:9" x14ac:dyDescent="0.25">
      <c r="B1" s="1" t="s">
        <v>49</v>
      </c>
      <c r="C1" s="1"/>
      <c r="D1" s="1"/>
      <c r="E1" s="1"/>
      <c r="F1" s="1"/>
      <c r="G1" s="1"/>
      <c r="H1" s="1"/>
      <c r="I1" s="1"/>
    </row>
    <row r="2" ht="15" customHeight="1" spans="2:9" x14ac:dyDescent="0.25">
      <c r="B2" s="2" t="s">
        <v>50</v>
      </c>
      <c r="C2" s="2"/>
      <c r="D2" s="2"/>
      <c r="E2" s="2"/>
      <c r="F2" s="2"/>
      <c r="G2" s="2"/>
      <c r="H2" s="2"/>
      <c r="I2" s="2"/>
    </row>
    <row r="4" ht="20" customHeight="1" spans="2:2" x14ac:dyDescent="0.25">
      <c r="B4" s="3" t="s">
        <v>265</v>
      </c>
    </row>
    <row r="5" spans="2:2" x14ac:dyDescent="0.25">
      <c r="B5" s="4" t="s">
        <v>266</v>
      </c>
    </row>
    <row r="6" ht="18" customHeight="1" spans="2:9" x14ac:dyDescent="0.25">
      <c r="B6" s="5" t="s">
        <v>267</v>
      </c>
      <c r="C6" s="6"/>
      <c r="D6" s="6"/>
      <c r="E6" s="6"/>
      <c r="F6" s="6"/>
      <c r="G6" s="6"/>
      <c r="H6" s="6"/>
      <c r="I6" s="6"/>
    </row>
    <row r="7" ht="20" customHeight="1" spans="2:8" x14ac:dyDescent="0.25">
      <c r="B7" s="12" t="s">
        <v>163</v>
      </c>
      <c r="C7" s="13">
        <f>IF('Inputs'!$B$89="","",'Inputs'!$B$89)</f>
      </c>
      <c r="D7" s="13">
        <f>IF('Inputs'!$B$90="","",'Inputs'!$B$90)</f>
      </c>
      <c r="E7" s="13">
        <f>IF('Inputs'!$B$91="","",'Inputs'!$B$91)</f>
      </c>
      <c r="F7" s="13">
        <f>IF('Inputs'!$B$92="","",'Inputs'!$B$92)</f>
      </c>
      <c r="G7" s="13">
        <f>IF('Inputs'!$B$93="","",'Inputs'!$B$93)</f>
      </c>
      <c r="H7" s="13">
        <f>IF('Inputs'!$B$94="","",'Inputs'!$B$94)</f>
      </c>
    </row>
    <row r="8" spans="2:8" x14ac:dyDescent="0.25">
      <c r="B8" s="7" t="s">
        <v>268</v>
      </c>
      <c r="C8" s="41">
        <f>IF('Inputs'!$B$89="","",N('Inputs'!$E$89))</f>
      </c>
      <c r="D8" s="41">
        <f>IF('Inputs'!$B$90="","",N('Inputs'!$E$90))</f>
      </c>
      <c r="E8" s="41">
        <f>IF('Inputs'!$B$91="","",N('Inputs'!$E$91))</f>
      </c>
      <c r="F8" s="41">
        <f>IF('Inputs'!$B$92="","",N('Inputs'!$E$92))</f>
      </c>
      <c r="G8" s="41">
        <f>IF('Inputs'!$B$93="","",N('Inputs'!$E$93))</f>
      </c>
      <c r="H8" s="41">
        <f>IF('Inputs'!$B$94="","",N('Inputs'!$E$94))</f>
      </c>
    </row>
    <row r="9" spans="2:8" x14ac:dyDescent="0.25">
      <c r="B9" s="7" t="s">
        <v>112</v>
      </c>
      <c r="C9" s="45">
        <f>IF('Inputs'!$B$89="","",IF('Needs years'!$C$6=0,"",'Needs years'!$C$6))</f>
      </c>
      <c r="D9" s="45">
        <f>IF('Inputs'!$B$90="","",IF('Needs years'!$C$62=0,"",'Needs years'!$C$62))</f>
      </c>
      <c r="E9" s="45">
        <f>IF('Inputs'!$B$91="","",IF('Needs years'!$C$118=0,"",'Needs years'!$C$118))</f>
      </c>
      <c r="F9" s="45">
        <f>IF('Inputs'!$B$92="","",IF('Needs years'!$C$174=0,"",'Needs years'!$C$174))</f>
      </c>
      <c r="G9" s="45">
        <f>IF('Inputs'!$B$93="","",IF('Needs years'!$C$230=0,"",'Needs years'!$C$230))</f>
      </c>
      <c r="H9" s="45">
        <f>IF('Inputs'!$B$94="","",IF('Needs years'!$C$286=0,"",'Needs years'!$C$286))</f>
      </c>
    </row>
    <row r="10" spans="2:8" x14ac:dyDescent="0.25">
      <c r="B10" s="7" t="s">
        <v>185</v>
      </c>
      <c r="C10" s="46">
        <f>IF('Inputs'!$B$89="","",IF('Needs years'!$C$6=0,"",'Needs years'!$C$8))</f>
      </c>
      <c r="D10" s="46">
        <f>IF('Inputs'!$B$90="","",IF('Needs years'!$C$62=0,"",'Needs years'!$C$64))</f>
      </c>
      <c r="E10" s="46">
        <f>IF('Inputs'!$B$91="","",IF('Needs years'!$C$118=0,"",'Needs years'!$C$120))</f>
      </c>
      <c r="F10" s="46">
        <f>IF('Inputs'!$B$92="","",IF('Needs years'!$C$174=0,"",'Needs years'!$C$176))</f>
      </c>
      <c r="G10" s="46">
        <f>IF('Inputs'!$B$93="","",IF('Needs years'!$C$230=0,"",'Needs years'!$C$232))</f>
      </c>
      <c r="H10" s="46">
        <f>IF('Inputs'!$B$94="","",IF('Needs years'!$C$286=0,"",'Needs years'!$C$288))</f>
      </c>
    </row>
    <row r="11" spans="2:8" x14ac:dyDescent="0.25">
      <c r="B11" s="7" t="s">
        <v>269</v>
      </c>
      <c r="C11" s="41">
        <f>IF('Inputs'!$B$89="","",'Needs years'!$C$10)</f>
      </c>
      <c r="D11" s="41">
        <f>IF('Inputs'!$B$90="","",'Needs years'!$C$66)</f>
      </c>
      <c r="E11" s="41">
        <f>IF('Inputs'!$B$91="","",'Needs years'!$C$122)</f>
      </c>
      <c r="F11" s="41">
        <f>IF('Inputs'!$B$92="","",'Needs years'!$C$178)</f>
      </c>
      <c r="G11" s="41">
        <f>IF('Inputs'!$B$93="","",'Needs years'!$C$234)</f>
      </c>
      <c r="H11" s="41">
        <f>IF('Inputs'!$B$94="","",'Needs years'!$C$290)</f>
      </c>
    </row>
    <row r="12" spans="2:8" x14ac:dyDescent="0.25">
      <c r="B12" s="29" t="s">
        <v>270</v>
      </c>
      <c r="C12" s="42">
        <f>IF('Inputs'!$B$89="","",'Needs calc'!$C$39)</f>
      </c>
      <c r="D12" s="42">
        <f>IF('Inputs'!$B$90="","",'Needs calc'!$C$46)</f>
      </c>
      <c r="E12" s="42">
        <f>IF('Inputs'!$B$91="","",'Needs calc'!$C$53)</f>
      </c>
      <c r="F12" s="42">
        <f>IF('Inputs'!$B$92="","",'Needs calc'!$C$60)</f>
      </c>
      <c r="G12" s="42">
        <f>IF('Inputs'!$B$93="","",'Needs calc'!$C$67)</f>
      </c>
      <c r="H12" s="42">
        <f>IF('Inputs'!$B$94="","",'Needs calc'!$C$74)</f>
      </c>
    </row>
    <row r="13" spans="2:8" x14ac:dyDescent="0.25">
      <c r="B13" s="7" t="s">
        <v>271</v>
      </c>
      <c r="C13" s="37">
        <f>IF('Inputs'!$B$89="","",'Needs calc'!$C$41)</f>
      </c>
      <c r="D13" s="37">
        <f>IF('Inputs'!$B$90="","",'Needs calc'!$C$48)</f>
      </c>
      <c r="E13" s="37">
        <f>IF('Inputs'!$B$91="","",'Needs calc'!$C$55)</f>
      </c>
      <c r="F13" s="37">
        <f>IF('Inputs'!$B$92="","",'Needs calc'!$C$62)</f>
      </c>
      <c r="G13" s="37">
        <f>IF('Inputs'!$B$93="","",'Needs calc'!$C$69)</f>
      </c>
      <c r="H13" s="37">
        <f>IF('Inputs'!$B$94="","",'Needs calc'!$C$76)</f>
      </c>
    </row>
    <row r="14" spans="2:8" x14ac:dyDescent="0.25">
      <c r="B14" s="7" t="s">
        <v>272</v>
      </c>
      <c r="C14" s="46">
        <f>IF('Inputs'!$B$89="","",'Needs calc'!$C$42)</f>
      </c>
      <c r="D14" s="46">
        <f>IF('Inputs'!$B$90="","",'Needs calc'!$C$49)</f>
      </c>
      <c r="E14" s="46">
        <f>IF('Inputs'!$B$91="","",'Needs calc'!$C$56)</f>
      </c>
      <c r="F14" s="46">
        <f>IF('Inputs'!$B$92="","",'Needs calc'!$C$63)</f>
      </c>
      <c r="G14" s="46">
        <f>IF('Inputs'!$B$93="","",'Needs calc'!$C$70)</f>
      </c>
      <c r="H14" s="46">
        <f>IF('Inputs'!$B$94="","",'Needs calc'!$C$77)</f>
      </c>
    </row>
    <row r="15" spans="2:8" x14ac:dyDescent="0.25">
      <c r="B15" s="29" t="s">
        <v>273</v>
      </c>
      <c r="C15" s="42">
        <f>IF('Inputs'!$B$89="","",'Needs calc'!$C$43)</f>
      </c>
      <c r="D15" s="42">
        <f>IF('Inputs'!$B$90="","",'Needs calc'!$C$50)</f>
      </c>
      <c r="E15" s="42">
        <f>IF('Inputs'!$B$91="","",'Needs calc'!$C$57)</f>
      </c>
      <c r="F15" s="42">
        <f>IF('Inputs'!$B$92="","",'Needs calc'!$C$64)</f>
      </c>
      <c r="G15" s="42">
        <f>IF('Inputs'!$B$93="","",'Needs calc'!$C$71)</f>
      </c>
      <c r="H15" s="42">
        <f>IF('Inputs'!$B$94="","",'Needs calc'!$C$78)</f>
      </c>
    </row>
    <row r="16" spans="2:8" x14ac:dyDescent="0.25">
      <c r="B16" s="29" t="s">
        <v>274</v>
      </c>
      <c r="C16" s="42">
        <f>IF('Inputs'!$B$89="","",'Needs calc'!$C$44)</f>
      </c>
      <c r="D16" s="42">
        <f>IF('Inputs'!$B$90="","",'Needs calc'!$C$51)</f>
      </c>
      <c r="E16" s="42">
        <f>IF('Inputs'!$B$91="","",'Needs calc'!$C$58)</f>
      </c>
      <c r="F16" s="42">
        <f>IF('Inputs'!$B$92="","",'Needs calc'!$C$65)</f>
      </c>
      <c r="G16" s="42">
        <f>IF('Inputs'!$B$93="","",'Needs calc'!$C$72)</f>
      </c>
      <c r="H16" s="42">
        <f>IF('Inputs'!$B$94="","",'Needs calc'!$C$79)</f>
      </c>
    </row>
    <row r="17" spans="2:8" x14ac:dyDescent="0.25">
      <c r="B17" s="7" t="s">
        <v>275</v>
      </c>
      <c r="C17" s="41">
        <f>IF('Inputs'!$B$89="","",'Needs calc'!$C$45)</f>
      </c>
      <c r="D17" s="41">
        <f>IF('Inputs'!$B$90="","",'Needs calc'!$C$52)</f>
      </c>
      <c r="E17" s="41">
        <f>IF('Inputs'!$B$91="","",'Needs calc'!$C$59)</f>
      </c>
      <c r="F17" s="41">
        <f>IF('Inputs'!$B$92="","",'Needs calc'!$C$66)</f>
      </c>
      <c r="G17" s="41">
        <f>IF('Inputs'!$B$93="","",'Needs calc'!$C$73)</f>
      </c>
      <c r="H17" s="41">
        <f>IF('Inputs'!$B$94="","",'Needs calc'!$C$80)</f>
      </c>
    </row>
    <row r="19" ht="18" customHeight="1" spans="2:9" x14ac:dyDescent="0.25">
      <c r="B19" s="5" t="s">
        <v>276</v>
      </c>
      <c r="C19" s="6"/>
      <c r="D19" s="6"/>
      <c r="E19" s="6"/>
      <c r="F19" s="6"/>
      <c r="G19" s="6"/>
      <c r="H19" s="6"/>
      <c r="I19" s="6"/>
    </row>
    <row r="20" ht="20" customHeight="1" spans="2:8" x14ac:dyDescent="0.25">
      <c r="B20" s="12" t="s">
        <v>163</v>
      </c>
      <c r="C20" s="13">
        <f>IF('Inputs'!$B$89="","",'Inputs'!$B$89)</f>
      </c>
      <c r="D20" s="13">
        <f>IF('Inputs'!$B$90="","",'Inputs'!$B$90)</f>
      </c>
      <c r="E20" s="13">
        <f>IF('Inputs'!$B$91="","",'Inputs'!$B$91)</f>
      </c>
      <c r="F20" s="13">
        <f>IF('Inputs'!$B$92="","",'Inputs'!$B$92)</f>
      </c>
      <c r="G20" s="13">
        <f>IF('Inputs'!$B$93="","",'Inputs'!$B$93)</f>
      </c>
      <c r="H20" s="13">
        <f>IF('Inputs'!$B$94="","",'Inputs'!$B$94)</f>
      </c>
    </row>
    <row r="21" spans="2:8" x14ac:dyDescent="0.25">
      <c r="B21" s="29" t="s">
        <v>277</v>
      </c>
      <c r="C21" s="42">
        <f>IF('Inputs'!$B$89="","",'Needs calc'!$T$4)</f>
      </c>
      <c r="D21" s="42">
        <f>IF('Inputs'!$B$90="","",'Needs calc'!$T$5)</f>
      </c>
      <c r="E21" s="42">
        <f>IF('Inputs'!$B$91="","",'Needs calc'!$T$6)</f>
      </c>
      <c r="F21" s="42">
        <f>IF('Inputs'!$B$92="","",'Needs calc'!$T$7)</f>
      </c>
      <c r="G21" s="42">
        <f>IF('Inputs'!$B$93="","",'Needs calc'!$T$8)</f>
      </c>
      <c r="H21" s="42">
        <f>IF('Inputs'!$B$94="","",'Needs calc'!$T$9)</f>
      </c>
    </row>
    <row r="22" spans="2:8" x14ac:dyDescent="0.25">
      <c r="B22" s="7" t="s">
        <v>278</v>
      </c>
      <c r="C22" s="41">
        <f>IF('Inputs'!$B$89="","",IF('Needs calc'!$T$4=0,"",IF('Inputs'!$T$89=1,"spouse, no duty",IF('Inputs'!$Q$89=1,"the trust","them"))))</f>
      </c>
      <c r="D22" s="41">
        <f>IF('Inputs'!$B$90="","",IF('Needs calc'!$T$5=0,"",IF('Inputs'!$T$90=1,"spouse, no duty",IF('Inputs'!$Q$90=1,"the trust","them"))))</f>
      </c>
      <c r="E22" s="41">
        <f>IF('Inputs'!$B$91="","",IF('Needs calc'!$T$6=0,"",IF('Inputs'!$T$91=1,"spouse, no duty",IF('Inputs'!$Q$91=1,"the trust","them"))))</f>
      </c>
      <c r="F22" s="41">
        <f>IF('Inputs'!$B$92="","",IF('Needs calc'!$T$7=0,"",IF('Inputs'!$T$92=1,"spouse, no duty",IF('Inputs'!$Q$92=1,"the trust","them"))))</f>
      </c>
      <c r="G22" s="41">
        <f>IF('Inputs'!$B$93="","",IF('Needs calc'!$T$8=0,"",IF('Inputs'!$T$93=1,"spouse, no duty",IF('Inputs'!$Q$93=1,"the trust","them"))))</f>
      </c>
      <c r="H22" s="41">
        <f>IF('Inputs'!$B$94="","",IF('Needs calc'!$T$9=0,"",IF('Inputs'!$T$94=1,"spouse, no duty",IF('Inputs'!$Q$94=1,"the trust","them"))))</f>
      </c>
    </row>
    <row r="23" spans="2:8" x14ac:dyDescent="0.25">
      <c r="B23" s="7" t="s">
        <v>279</v>
      </c>
      <c r="C23" s="41">
        <f>IF('Inputs'!$B$89="","",'Needs calc'!$T$39)</f>
      </c>
      <c r="D23" s="41">
        <f>IF('Inputs'!$B$90="","",'Needs calc'!$T$46)</f>
      </c>
      <c r="E23" s="41">
        <f>IF('Inputs'!$B$91="","",'Needs calc'!$T$53)</f>
      </c>
      <c r="F23" s="41">
        <f>IF('Inputs'!$B$92="","",'Needs calc'!$T$60)</f>
      </c>
      <c r="G23" s="41">
        <f>IF('Inputs'!$B$93="","",'Needs calc'!$T$67)</f>
      </c>
      <c r="H23" s="41">
        <f>IF('Inputs'!$B$94="","",'Needs calc'!$T$74)</f>
      </c>
    </row>
    <row r="24" spans="2:8" x14ac:dyDescent="0.25">
      <c r="B24" s="7" t="s">
        <v>280</v>
      </c>
      <c r="C24" s="37">
        <f>IF('Inputs'!$B$89="","",'Needs calc'!$T$41)</f>
      </c>
      <c r="D24" s="37">
        <f>IF('Inputs'!$B$90="","",'Needs calc'!$T$48)</f>
      </c>
      <c r="E24" s="37">
        <f>IF('Inputs'!$B$91="","",'Needs calc'!$T$55)</f>
      </c>
      <c r="F24" s="37">
        <f>IF('Inputs'!$B$92="","",'Needs calc'!$T$62)</f>
      </c>
      <c r="G24" s="37">
        <f>IF('Inputs'!$B$93="","",'Needs calc'!$T$69)</f>
      </c>
      <c r="H24" s="37">
        <f>IF('Inputs'!$B$94="","",'Needs calc'!$T$76)</f>
      </c>
    </row>
    <row r="25" spans="2:8" x14ac:dyDescent="0.25">
      <c r="B25" s="7" t="s">
        <v>281</v>
      </c>
      <c r="C25" s="41">
        <f>IF('Inputs'!$B$89="","",'Needs calc'!$T$43)</f>
      </c>
      <c r="D25" s="41">
        <f>IF('Inputs'!$B$90="","",'Needs calc'!$T$50)</f>
      </c>
      <c r="E25" s="41">
        <f>IF('Inputs'!$B$91="","",'Needs calc'!$T$57)</f>
      </c>
      <c r="F25" s="41">
        <f>IF('Inputs'!$B$92="","",'Needs calc'!$T$64)</f>
      </c>
      <c r="G25" s="41">
        <f>IF('Inputs'!$B$93="","",'Needs calc'!$T$71)</f>
      </c>
      <c r="H25" s="41">
        <f>IF('Inputs'!$B$94="","",'Needs calc'!$T$78)</f>
      </c>
    </row>
    <row r="26" spans="2:8" x14ac:dyDescent="0.25">
      <c r="B26" s="7" t="s">
        <v>282</v>
      </c>
      <c r="C26" s="41">
        <f>IF('Inputs'!$B$89="","",'Needs calc'!$T$44)</f>
      </c>
      <c r="D26" s="41">
        <f>IF('Inputs'!$B$90="","",'Needs calc'!$T$51)</f>
      </c>
      <c r="E26" s="41">
        <f>IF('Inputs'!$B$91="","",'Needs calc'!$T$58)</f>
      </c>
      <c r="F26" s="41">
        <f>IF('Inputs'!$B$92="","",'Needs calc'!$T$65)</f>
      </c>
      <c r="G26" s="41">
        <f>IF('Inputs'!$B$93="","",'Needs calc'!$T$72)</f>
      </c>
      <c r="H26" s="41">
        <f>IF('Inputs'!$B$94="","",'Needs calc'!$T$79)</f>
      </c>
    </row>
    <row r="28" spans="2:3" x14ac:dyDescent="0.25">
      <c r="B28" s="7" t="s">
        <v>283</v>
      </c>
      <c r="C28" s="41">
        <f>'Workings'!$C$66</f>
      </c>
    </row>
    <row r="29" ht="27" customHeight="1" spans="2:3" x14ac:dyDescent="0.25">
      <c r="B29" s="7" t="s">
        <v>284</v>
      </c>
      <c r="C29" s="41">
        <f>'Needs calc'!$T$10</f>
      </c>
    </row>
    <row r="30" spans="2:3" x14ac:dyDescent="0.25">
      <c r="B30" s="7" t="s">
        <v>285</v>
      </c>
      <c r="C30" s="41">
        <f>'Needs calc'!$T$26</f>
      </c>
    </row>
    <row r="31" ht="27" customHeight="1" spans="2:3" x14ac:dyDescent="0.25">
      <c r="B31" s="7" t="s">
        <v>286</v>
      </c>
      <c r="C31" s="41">
        <f>IF(AND(OR(LEFT('Inputs'!$C$13,7)="Married",'Inputs'!$C$13="Life partner",'Inputs'!$C$13="Civil Union"),'Workings'!$C$66&gt;0),'Workings'!$C$66,0)</f>
      </c>
    </row>
    <row r="32" spans="2:3" x14ac:dyDescent="0.25">
      <c r="B32" s="7" t="s">
        <v>287</v>
      </c>
      <c r="C32" s="41">
        <f>'Needs calc'!$T$17</f>
      </c>
    </row>
    <row r="33" spans="2:3" x14ac:dyDescent="0.25">
      <c r="B33" s="7" t="s">
        <v>288</v>
      </c>
      <c r="C33" s="44">
        <f>'Needs calc'!$T$18</f>
      </c>
    </row>
    <row r="34" spans="2:3" x14ac:dyDescent="0.25">
      <c r="B34" s="7" t="s">
        <v>289</v>
      </c>
      <c r="C34" s="41">
        <f>'Needs calc'!$T$25</f>
      </c>
    </row>
    <row r="35" spans="2:3" x14ac:dyDescent="0.25">
      <c r="B35" s="29" t="s">
        <v>290</v>
      </c>
      <c r="C35" s="42">
        <f>('Needs calc'!$T$10+('Needs calc'!$T$4+'Needs calc'!$T$5+'Needs calc'!$T$6+'Needs calc'!$T$7+'Needs calc'!$T$8+'Needs calc'!$T$9))</f>
      </c>
    </row>
    <row r="37" ht="18" customHeight="1" spans="2:9" x14ac:dyDescent="0.25">
      <c r="B37" s="5" t="s">
        <v>291</v>
      </c>
      <c r="C37" s="6"/>
      <c r="D37" s="6"/>
      <c r="E37" s="6"/>
      <c r="F37" s="6"/>
      <c r="G37" s="6"/>
      <c r="H37" s="6"/>
      <c r="I37" s="6"/>
    </row>
    <row r="38" ht="20" customHeight="1" spans="2:8" x14ac:dyDescent="0.25">
      <c r="B38" s="12" t="s">
        <v>163</v>
      </c>
      <c r="C38" s="13">
        <f>IF('Inputs'!$B$89="","",'Inputs'!$B$89)</f>
      </c>
      <c r="D38" s="13">
        <f>IF('Inputs'!$B$90="","",'Inputs'!$B$90)</f>
      </c>
      <c r="E38" s="13">
        <f>IF('Inputs'!$B$91="","",'Inputs'!$B$91)</f>
      </c>
      <c r="F38" s="13">
        <f>IF('Inputs'!$B$92="","",'Inputs'!$B$92)</f>
      </c>
      <c r="G38" s="13">
        <f>IF('Inputs'!$B$93="","",'Inputs'!$B$93)</f>
      </c>
      <c r="H38" s="13">
        <f>IF('Inputs'!$B$94="","",'Inputs'!$B$94)</f>
      </c>
    </row>
    <row r="39" spans="2:8" x14ac:dyDescent="0.25">
      <c r="B39" s="7" t="s">
        <v>292</v>
      </c>
      <c r="C39" s="41">
        <f>IF('Inputs'!$B$89="","",'Needs years'!$C$11)</f>
      </c>
      <c r="D39" s="41">
        <f>IF('Inputs'!$B$90="","",'Needs years'!$C$67)</f>
      </c>
      <c r="E39" s="41">
        <f>IF('Inputs'!$B$91="","",'Needs years'!$C$123)</f>
      </c>
      <c r="F39" s="41">
        <f>IF('Inputs'!$B$92="","",'Needs years'!$C$179)</f>
      </c>
      <c r="G39" s="41">
        <f>IF('Inputs'!$B$93="","",'Needs years'!$C$235)</f>
      </c>
      <c r="H39" s="41">
        <f>IF('Inputs'!$B$94="","",'Needs years'!$C$291)</f>
      </c>
    </row>
    <row r="40" spans="2:8" x14ac:dyDescent="0.25">
      <c r="B40" s="7" t="s">
        <v>293</v>
      </c>
      <c r="C40" s="41">
        <f>IF('Inputs'!$B$89="","",'Needs years'!$C$12)</f>
      </c>
      <c r="D40" s="41">
        <f>IF('Inputs'!$B$90="","",'Needs years'!$C$68)</f>
      </c>
      <c r="E40" s="41">
        <f>IF('Inputs'!$B$91="","",'Needs years'!$C$124)</f>
      </c>
      <c r="F40" s="41">
        <f>IF('Inputs'!$B$92="","",'Needs years'!$C$180)</f>
      </c>
      <c r="G40" s="41">
        <f>IF('Inputs'!$B$93="","",'Needs years'!$C$236)</f>
      </c>
      <c r="H40" s="41">
        <f>IF('Inputs'!$B$94="","",'Needs years'!$C$292)</f>
      </c>
    </row>
    <row r="41" spans="2:8" x14ac:dyDescent="0.25">
      <c r="B41" s="7" t="s">
        <v>294</v>
      </c>
      <c r="C41" s="41">
        <f>IF('Inputs'!$B$89="","",'Needs years'!$C$13)</f>
      </c>
      <c r="D41" s="41">
        <f>IF('Inputs'!$B$90="","",'Needs years'!$C$69)</f>
      </c>
      <c r="E41" s="41">
        <f>IF('Inputs'!$B$91="","",'Needs years'!$C$125)</f>
      </c>
      <c r="F41" s="41">
        <f>IF('Inputs'!$B$92="","",'Needs years'!$C$181)</f>
      </c>
      <c r="G41" s="41">
        <f>IF('Inputs'!$B$93="","",'Needs years'!$C$237)</f>
      </c>
      <c r="H41" s="41">
        <f>IF('Inputs'!$B$94="","",'Needs years'!$C$293)</f>
      </c>
    </row>
    <row r="43" ht="80" customHeight="1" spans="2:9" x14ac:dyDescent="0.25">
      <c r="B43" s="35">
        <f>"Basis: monthly needs are net, paid monthly in advance from the date of death and rising at each anniversary. Capital for a person earns "&amp;FIXED('Inputs'!$H$111,1)&amp;"% a year before tax as a unit trust, taxed in their hands at their marginal rate m (their own income plus the taxable part of what the capital earns): E(m) = "&amp;FIXED('Inputs'!$H$114,2)&amp;"% x m + "&amp;FIXED('Inputs'!$H$115,2)&amp;"% x "&amp;FIXED('Inputs'!$H$117,0)&amp;"% + "&amp;FIXED('Inputs'!$H$116,2)&amp;"% x "&amp;FIXED('Inputs'!$H$109,0)&amp;"% x m, less trustee fees of "&amp;FIXED('Inputs'!$H$112,1)&amp;"% a year while in a trust. A once-off need is spent at death, so it is not invested or taxed. Retirement money is paid out in cash, taxed in the deceased's hands as a death benefit lump sum on the total of the funds. New cover for a person carries its share of estate duty at the average rate, except cover nominated to the spouse (s.4(q)). Cover paid to the estate is charged executor's fees and, unless the residue goes to the spouse, estate duty. Rebates, the interest exemption and the annual capital gains exclusion are left out of the unit trust tax, so it is slightly overstated: an estimate."</f>
      </c>
      <c r="C43" s="35"/>
      <c r="D43" s="35"/>
      <c r="E43" s="35"/>
      <c r="F43" s="35"/>
      <c r="G43" s="35"/>
      <c r="H43" s="35"/>
      <c r="I43" s="35"/>
    </row>
  </sheetData>
  <sheetProtection sheet="1" formatRows="0"/>
  <mergeCells count="3">
    <mergeCell ref="B1:I1"/>
    <mergeCell ref="B2:I2"/>
    <mergeCell ref="B43:I43"/>
  </mergeCell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Life cover need workings&amp;R&amp;8&amp;"Arial"&amp;A  ·  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46"/>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6" width="18" customWidth="1"/>
  </cols>
  <sheetData>
    <row r="1" ht="21.75" customHeight="1" spans="2:6" x14ac:dyDescent="0.25">
      <c r="B1" s="1" t="s">
        <v>49</v>
      </c>
      <c r="C1" s="1"/>
      <c r="D1" s="1"/>
      <c r="E1" s="1"/>
      <c r="F1" s="1"/>
    </row>
    <row r="2" ht="15" customHeight="1" spans="2:6" x14ac:dyDescent="0.25">
      <c r="B2" s="2" t="s">
        <v>50</v>
      </c>
      <c r="C2" s="2"/>
      <c r="D2" s="2"/>
      <c r="E2" s="2"/>
      <c r="F2" s="2"/>
    </row>
    <row r="3" spans="2:6" x14ac:dyDescent="0.25">
      <c r="B3" s="23">
        <f>IF(OR(COUNTIF('Inputs'!$B$141:$B$154,"✗ Full FNA*")&gt;0,LEFT('Inputs'!$B$136,1)="✗"),"NOT FOR THE CLIENT: this case needs the full FNA (see Checks on Inputs)","")</f>
      </c>
      <c r="C3" s="23"/>
      <c r="D3" s="23"/>
      <c r="E3" s="23"/>
      <c r="F3" s="23"/>
    </row>
    <row r="4" ht="20" customHeight="1" spans="2:2" x14ac:dyDescent="0.25">
      <c r="B4" s="3" t="s">
        <v>177</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46" customHeight="1" spans="2:6" x14ac:dyDescent="0.25">
      <c r="B7" s="24">
        <f>IF(COUNTIF('Inputs'!$B$89:$B$94,"?*")=0,"No one who depends on you is recorded, so there is no need for them to cover.",TRIM("If you died today, "&amp;IF((('Needs calc'!$C$44&gt;0)+('Needs calc'!$C$51&gt;0)+('Needs calc'!$C$58&gt;0)+('Needs calc'!$C$65&gt;0)+('Needs calc'!$C$72&gt;0)+('Needs calc'!$C$79&gt;0))=0,"everyone who depends on you would have what you want for them.",IF('Needs calc'!$C$44&gt;0,IF(N('Inputs'!$E$89)&gt;0,IF('Needs years'!$C$10&lt;=0,'Inputs'!$B$89&amp;" would have about R "&amp;FIXED(ROUND('Needs calc'!$C$45,-2),0)&amp;" a month of the R "&amp;FIXED(ROUND('Inputs'!$E$89,-2),0)&amp;" you want. ",IF('Needs calc'!$C$39&gt;='Needs years'!$C$10,'Inputs'!$B$89&amp;" would have about R "&amp;FIXED(ROUND('Needs calc'!$C$45,-2),0)&amp;" a month of the R "&amp;FIXED(ROUND('Inputs'!$E$89,-2),0)&amp;" you want, after the R "&amp;FIXED(ROUND('Needs years'!$C$10,-3),0)&amp;" once-off. ",'Inputs'!$B$89&amp;" would have "&amp;IF('Needs calc'!$C$39&lt;=0,"nothing","about R "&amp;FIXED(ROUND('Needs calc'!$C$39,-3),0))&amp;" of the R "&amp;FIXED(ROUND('Needs years'!$C$10,-3),0)&amp;" once-off you want for them, and about R "&amp;FIXED(ROUND('Needs calc'!$C$45,-2),0)&amp;" a month of the R "&amp;FIXED(ROUND('Inputs'!$E$89,-2),0)&amp;". ")),'Inputs'!$B$89&amp;" would have "&amp;IF('Needs calc'!$C$39&lt;=0,"nothing","about R "&amp;FIXED(ROUND('Needs calc'!$C$39,-3),0))&amp;" of the R "&amp;FIXED(ROUND('Needs years'!$C$10,-3),0)&amp;" you want to leave them. "),"")&amp;IF('Needs calc'!$C$51&gt;0,IF(N('Inputs'!$E$90)&gt;0,IF('Needs years'!$C$66&lt;=0,'Inputs'!$B$90&amp;" would have about R "&amp;FIXED(ROUND('Needs calc'!$C$52,-2),0)&amp;" a month of the R "&amp;FIXED(ROUND('Inputs'!$E$90,-2),0)&amp;" you want. ",IF('Needs calc'!$C$46&gt;='Needs years'!$C$66,'Inputs'!$B$90&amp;" would have about R "&amp;FIXED(ROUND('Needs calc'!$C$52,-2),0)&amp;" a month of the R "&amp;FIXED(ROUND('Inputs'!$E$90,-2),0)&amp;" you want, after the R "&amp;FIXED(ROUND('Needs years'!$C$66,-3),0)&amp;" once-off. ",'Inputs'!$B$90&amp;" would have "&amp;IF('Needs calc'!$C$46&lt;=0,"nothing","about R "&amp;FIXED(ROUND('Needs calc'!$C$46,-3),0))&amp;" of the R "&amp;FIXED(ROUND('Needs years'!$C$66,-3),0)&amp;" once-off you want for them, and about R "&amp;FIXED(ROUND('Needs calc'!$C$52,-2),0)&amp;" a month of the R "&amp;FIXED(ROUND('Inputs'!$E$90,-2),0)&amp;". ")),'Inputs'!$B$90&amp;" would have "&amp;IF('Needs calc'!$C$46&lt;=0,"nothing","about R "&amp;FIXED(ROUND('Needs calc'!$C$46,-3),0))&amp;" of the R "&amp;FIXED(ROUND('Needs years'!$C$66,-3),0)&amp;" you want to leave them. "),"")&amp;IF('Needs calc'!$C$58&gt;0,IF(N('Inputs'!$E$91)&gt;0,IF('Needs years'!$C$122&lt;=0,'Inputs'!$B$91&amp;" would have about R "&amp;FIXED(ROUND('Needs calc'!$C$59,-2),0)&amp;" a month of the R "&amp;FIXED(ROUND('Inputs'!$E$91,-2),0)&amp;" you want. ",IF('Needs calc'!$C$53&gt;='Needs years'!$C$122,'Inputs'!$B$91&amp;" would have about R "&amp;FIXED(ROUND('Needs calc'!$C$59,-2),0)&amp;" a month of the R "&amp;FIXED(ROUND('Inputs'!$E$91,-2),0)&amp;" you want, after the R "&amp;FIXED(ROUND('Needs years'!$C$122,-3),0)&amp;" once-off. ",'Inputs'!$B$91&amp;" would have "&amp;IF('Needs calc'!$C$53&lt;=0,"nothing","about R "&amp;FIXED(ROUND('Needs calc'!$C$53,-3),0))&amp;" of the R "&amp;FIXED(ROUND('Needs years'!$C$122,-3),0)&amp;" once-off you want for them, and about R "&amp;FIXED(ROUND('Needs calc'!$C$59,-2),0)&amp;" a month of the R "&amp;FIXED(ROUND('Inputs'!$E$91,-2),0)&amp;". ")),'Inputs'!$B$91&amp;" would have "&amp;IF('Needs calc'!$C$53&lt;=0,"nothing","about R "&amp;FIXED(ROUND('Needs calc'!$C$53,-3),0))&amp;" of the R "&amp;FIXED(ROUND('Needs years'!$C$122,-3),0)&amp;" you want to leave them. "),"")&amp;IF('Needs calc'!$C$65&gt;0,IF(N('Inputs'!$E$92)&gt;0,IF('Needs years'!$C$178&lt;=0,'Inputs'!$B$92&amp;" would have about R "&amp;FIXED(ROUND('Needs calc'!$C$66,-2),0)&amp;" a month of the R "&amp;FIXED(ROUND('Inputs'!$E$92,-2),0)&amp;" you want. ",IF('Needs calc'!$C$60&gt;='Needs years'!$C$178,'Inputs'!$B$92&amp;" would have about R "&amp;FIXED(ROUND('Needs calc'!$C$66,-2),0)&amp;" a month of the R "&amp;FIXED(ROUND('Inputs'!$E$92,-2),0)&amp;" you want, after the R "&amp;FIXED(ROUND('Needs years'!$C$178,-3),0)&amp;" once-off. ",'Inputs'!$B$92&amp;" would have "&amp;IF('Needs calc'!$C$60&lt;=0,"nothing","about R "&amp;FIXED(ROUND('Needs calc'!$C$60,-3),0))&amp;" of the R "&amp;FIXED(ROUND('Needs years'!$C$178,-3),0)&amp;" once-off you want for them, and about R "&amp;FIXED(ROUND('Needs calc'!$C$66,-2),0)&amp;" a month of the R "&amp;FIXED(ROUND('Inputs'!$E$92,-2),0)&amp;". ")),'Inputs'!$B$92&amp;" would have "&amp;IF('Needs calc'!$C$60&lt;=0,"nothing","about R "&amp;FIXED(ROUND('Needs calc'!$C$60,-3),0))&amp;" of the R "&amp;FIXED(ROUND('Needs years'!$C$178,-3),0)&amp;" you want to leave them. "),"")&amp;IF('Needs calc'!$C$72&gt;0,IF(N('Inputs'!$E$93)&gt;0,IF('Needs years'!$C$234&lt;=0,'Inputs'!$B$93&amp;" would have about R "&amp;FIXED(ROUND('Needs calc'!$C$73,-2),0)&amp;" a month of the R "&amp;FIXED(ROUND('Inputs'!$E$93,-2),0)&amp;" you want. ",IF('Needs calc'!$C$67&gt;='Needs years'!$C$234,'Inputs'!$B$93&amp;" would have about R "&amp;FIXED(ROUND('Needs calc'!$C$73,-2),0)&amp;" a month of the R "&amp;FIXED(ROUND('Inputs'!$E$93,-2),0)&amp;" you want, after the R "&amp;FIXED(ROUND('Needs years'!$C$234,-3),0)&amp;" once-off. ",'Inputs'!$B$93&amp;" would have "&amp;IF('Needs calc'!$C$67&lt;=0,"nothing","about R "&amp;FIXED(ROUND('Needs calc'!$C$67,-3),0))&amp;" of the R "&amp;FIXED(ROUND('Needs years'!$C$234,-3),0)&amp;" once-off you want for them, and about R "&amp;FIXED(ROUND('Needs calc'!$C$73,-2),0)&amp;" a month of the R "&amp;FIXED(ROUND('Inputs'!$E$93,-2),0)&amp;". ")),'Inputs'!$B$93&amp;" would have "&amp;IF('Needs calc'!$C$67&lt;=0,"nothing","about R "&amp;FIXED(ROUND('Needs calc'!$C$67,-3),0))&amp;" of the R "&amp;FIXED(ROUND('Needs years'!$C$234,-3),0)&amp;" you want to leave them. "),"")&amp;IF('Needs calc'!$C$79&gt;0,IF(N('Inputs'!$E$94)&gt;0,IF('Needs years'!$C$290&lt;=0,'Inputs'!$B$94&amp;" would have about R "&amp;FIXED(ROUND('Needs calc'!$C$80,-2),0)&amp;" a month of the R "&amp;FIXED(ROUND('Inputs'!$E$94,-2),0)&amp;" you want. ",IF('Needs calc'!$C$74&gt;='Needs years'!$C$290,'Inputs'!$B$94&amp;" would have about R "&amp;FIXED(ROUND('Needs calc'!$C$80,-2),0)&amp;" a month of the R "&amp;FIXED(ROUND('Inputs'!$E$94,-2),0)&amp;" you want, after the R "&amp;FIXED(ROUND('Needs years'!$C$290,-3),0)&amp;" once-off. ",'Inputs'!$B$94&amp;" would have "&amp;IF('Needs calc'!$C$74&lt;=0,"nothing","about R "&amp;FIXED(ROUND('Needs calc'!$C$74,-3),0))&amp;" of the R "&amp;FIXED(ROUND('Needs years'!$C$290,-3),0)&amp;" once-off you want for them, and about R "&amp;FIXED(ROUND('Needs calc'!$C$80,-2),0)&amp;" a month of the R "&amp;FIXED(ROUND('Inputs'!$E$94,-2),0)&amp;". ")),'Inputs'!$B$94&amp;" would have "&amp;IF('Needs calc'!$C$74&lt;=0,"nothing","about R "&amp;FIXED(ROUND('Needs calc'!$C$74,-3),0))&amp;" of the R "&amp;FIXED(ROUND('Needs years'!$C$290,-3),0)&amp;" you want to leave them. "),"")&amp;IF((('Needs calc'!$C$44&gt;0)+('Needs calc'!$C$51&gt;0)+('Needs calc'!$C$58&gt;0)+('Needs calc'!$C$65&gt;0)+('Needs calc'!$C$72&gt;0)+('Needs calc'!$C$79&gt;0))&lt;COUNTIF('Inputs'!$B$89:$B$94,"?*"),"Everyone else is provided for.",""))))</f>
      </c>
      <c r="C7" s="24"/>
      <c r="D7" s="24"/>
      <c r="E7" s="24"/>
      <c r="F7" s="24"/>
    </row>
    <row r="8" ht="30" customHeight="1" spans="2:6" x14ac:dyDescent="0.25">
      <c r="B8" s="24">
        <f>IF('Workings'!$C$66&gt;0,"Your estate itself would be short of cash by about R "&amp;FIXED(ROUND('Workings'!$C$66,-3),0)&amp;" to pay its debts and costs.","Your estate itself has enough cash to pay its debts and costs, with about R "&amp;FIXED(ROUND('Workings'!$C$67,-3),0)&amp;" left over for your heirs.")</f>
      </c>
      <c r="C8" s="24"/>
      <c r="D8" s="24"/>
      <c r="E8" s="24"/>
      <c r="F8" s="24"/>
    </row>
    <row r="10" spans="2:6" x14ac:dyDescent="0.25">
      <c r="B10" s="25">
        <f>IF(('Needs calc'!$T$10+('Needs calc'!$T$4+'Needs calc'!$T$5+'Needs calc'!$T$6+'Needs calc'!$T$7+'Needs calc'!$T$8+'Needs calc'!$T$9))&gt;0,"TOTAL LIFE COVER NEEDED","NO NEW LIFE COVER NEEDED")</f>
      </c>
      <c r="C10" s="25"/>
      <c r="D10" s="25"/>
      <c r="E10" s="25"/>
      <c r="F10" s="25"/>
    </row>
    <row r="11" ht="28" customHeight="1" spans="2:6" x14ac:dyDescent="0.25">
      <c r="B11" s="26">
        <f>IF(('Needs calc'!$T$10+('Needs calc'!$T$4+'Needs calc'!$T$5+'Needs calc'!$T$6+'Needs calc'!$T$7+'Needs calc'!$T$8+'Needs calc'!$T$9))&gt;0,"R "&amp;FIXED(ROUND(('Needs calc'!$T$10+('Needs calc'!$T$4+'Needs calc'!$T$5+'Needs calc'!$T$6+'Needs calc'!$T$7+'Needs calc'!$T$8+'Needs calc'!$T$9)),-3),0),"Everyone is provided for")</f>
      </c>
      <c r="C11" s="26"/>
      <c r="D11" s="26"/>
      <c r="E11" s="26"/>
      <c r="F11" s="26"/>
    </row>
    <row r="12" spans="2:6" x14ac:dyDescent="0.25">
      <c r="B12" s="27">
        <f>IF(('Needs calc'!$T$10+('Needs calc'!$T$4+'Needs calc'!$T$5+'Needs calc'!$T$6+'Needs calc'!$T$7+'Needs calc'!$T$8+'Needs calc'!$T$9))&gt;0,IF('Needs calc'!$T$10&gt;0,"R "&amp;FIXED(ROUND('Needs calc'!$T$10,-3),0)&amp;" for your estate and R "&amp;FIXED(ROUND(('Needs calc'!$T$4+'Needs calc'!$T$5+'Needs calc'!$T$6+'Needs calc'!$T$7+'Needs calc'!$T$8+'Needs calc'!$T$9),-3),0)&amp;" for the people who depend on you","for the people who depend on you")&amp;IF('Needs calc'!$T$17&gt;'Needs calc'!$C$17+0.005,", after the estate duty it brings",""),"on the needs you gave us, as your policies and will instructions stand today")</f>
      </c>
      <c r="C12" s="27"/>
      <c r="D12" s="27"/>
      <c r="E12" s="27"/>
      <c r="F12" s="27"/>
    </row>
    <row r="14" spans="2:6" x14ac:dyDescent="0.25">
      <c r="B14" s="12" t="s">
        <v>178</v>
      </c>
      <c r="C14" s="12" t="s">
        <v>163</v>
      </c>
      <c r="D14" s="12"/>
      <c r="E14" s="12"/>
      <c r="F14" s="12"/>
    </row>
    <row r="15" spans="2:6" x14ac:dyDescent="0.25">
      <c r="B15" s="7" t="s">
        <v>179</v>
      </c>
      <c r="C15" s="15">
        <f>'Workings'!$C$62</f>
      </c>
      <c r="D15" s="15"/>
      <c r="E15" s="15"/>
      <c r="F15" s="15"/>
    </row>
    <row r="16" spans="2:6" x14ac:dyDescent="0.25">
      <c r="B16" s="7" t="s">
        <v>180</v>
      </c>
      <c r="C16" s="15">
        <f>'Workings'!$C$65</f>
      </c>
      <c r="D16" s="15"/>
      <c r="E16" s="15"/>
      <c r="F16" s="15"/>
    </row>
    <row r="17" ht="30" customHeight="1" spans="2:6" x14ac:dyDescent="0.25">
      <c r="B17" s="7" t="s">
        <v>181</v>
      </c>
      <c r="C17" s="36">
        <f>IF('Workings'!$C$66&gt;0,"Short R "&amp;FIXED(ROUND('Workings'!$C$66,-3),0)&amp;". Cover paid to your estate to close it: R "&amp;FIXED(ROUND('Needs calc'!$T$10,-3),0)&amp;IF(OR(LEFT('Inputs'!$C$13,7)="Married",'Inputs'!$C$13="Life partner",'Inputs'!$C$13="Civil Union")," (or R "&amp;FIXED(ROUND('Workings'!$C$66,-3),0)&amp;" nominated to your spouse, who pays it in)","")&amp;".","Covered: R "&amp;FIXED(ROUND('Workings'!$C$67,-3),0)&amp;" left for your heirs")</f>
      </c>
      <c r="D17" s="36"/>
      <c r="E17" s="36"/>
      <c r="F17" s="36"/>
    </row>
    <row r="19" ht="20" customHeight="1" spans="2:6" x14ac:dyDescent="0.25">
      <c r="B19" s="12" t="s">
        <v>182</v>
      </c>
      <c r="C19" s="13">
        <f>IF('Inputs'!$B$89="","",'Inputs'!$B$89)</f>
      </c>
      <c r="D19" s="13">
        <f>IF('Inputs'!$B$90="","",'Inputs'!$B$90)</f>
      </c>
      <c r="E19" s="13">
        <f>IF('Inputs'!$B$91="","",'Inputs'!$B$91)</f>
      </c>
      <c r="F19" s="13">
        <f>IF('Inputs'!$B$92="","",'Inputs'!$B$92)</f>
      </c>
    </row>
    <row r="20" spans="2:6" x14ac:dyDescent="0.25">
      <c r="B20" s="7" t="s">
        <v>183</v>
      </c>
      <c r="C20" s="15">
        <f>IF('Inputs'!$B$89="","",N('Inputs'!$E$89))</f>
      </c>
      <c r="D20" s="15">
        <f>IF('Inputs'!$B$90="","",N('Inputs'!$E$90))</f>
      </c>
      <c r="E20" s="15">
        <f>IF('Inputs'!$B$91="","",N('Inputs'!$E$91))</f>
      </c>
      <c r="F20" s="15">
        <f>IF('Inputs'!$B$92="","",N('Inputs'!$E$92))</f>
      </c>
    </row>
    <row r="21" spans="2:6" x14ac:dyDescent="0.25">
      <c r="B21" s="7" t="s">
        <v>184</v>
      </c>
      <c r="C21" s="33">
        <f>IF('Inputs'!$B$89="","",IF('Needs years'!$C$6=0,"",'Needs years'!$C$6&amp;" years"))</f>
      </c>
      <c r="D21" s="33">
        <f>IF('Inputs'!$B$90="","",IF('Needs years'!$C$62=0,"",'Needs years'!$C$62&amp;" years"))</f>
      </c>
      <c r="E21" s="33">
        <f>IF('Inputs'!$B$91="","",IF('Needs years'!$C$118=0,"",'Needs years'!$C$118&amp;" years"))</f>
      </c>
      <c r="F21" s="33">
        <f>IF('Inputs'!$B$92="","",IF('Needs years'!$C$174=0,"",'Needs years'!$C$174&amp;" years"))</f>
      </c>
    </row>
    <row r="22" spans="2:6" x14ac:dyDescent="0.25">
      <c r="B22" s="7" t="s">
        <v>185</v>
      </c>
      <c r="C22" s="37">
        <f>IF('Inputs'!$B$89="","",IF('Needs years'!$C$6=0,"",'Needs years'!$C$8))</f>
      </c>
      <c r="D22" s="37">
        <f>IF('Inputs'!$B$90="","",IF('Needs years'!$C$62=0,"",'Needs years'!$C$64))</f>
      </c>
      <c r="E22" s="37">
        <f>IF('Inputs'!$B$91="","",IF('Needs years'!$C$118=0,"",'Needs years'!$C$120))</f>
      </c>
      <c r="F22" s="37">
        <f>IF('Inputs'!$B$92="","",IF('Needs years'!$C$174=0,"",'Needs years'!$C$176))</f>
      </c>
    </row>
    <row r="23" spans="2:6" x14ac:dyDescent="0.25">
      <c r="B23" s="7" t="s">
        <v>186</v>
      </c>
      <c r="C23" s="15">
        <f>IF('Inputs'!$B$89="","",'Needs years'!$C$10)</f>
      </c>
      <c r="D23" s="15">
        <f>IF('Inputs'!$B$90="","",'Needs years'!$C$66)</f>
      </c>
      <c r="E23" s="15">
        <f>IF('Inputs'!$B$91="","",'Needs years'!$C$122)</f>
      </c>
      <c r="F23" s="15">
        <f>IF('Inputs'!$B$92="","",'Needs years'!$C$178)</f>
      </c>
    </row>
    <row r="24" spans="2:6" x14ac:dyDescent="0.25">
      <c r="B24" s="29" t="s">
        <v>187</v>
      </c>
      <c r="C24" s="30">
        <f>IF('Inputs'!$B$89="","",'Needs calc'!$C$43)</f>
      </c>
      <c r="D24" s="30">
        <f>IF('Inputs'!$B$90="","",'Needs calc'!$C$50)</f>
      </c>
      <c r="E24" s="30">
        <f>IF('Inputs'!$B$91="","",'Needs calc'!$C$57)</f>
      </c>
      <c r="F24" s="30">
        <f>IF('Inputs'!$B$92="","",'Needs calc'!$C$64)</f>
      </c>
    </row>
    <row r="25" spans="2:6" x14ac:dyDescent="0.25">
      <c r="B25" s="7" t="s">
        <v>188</v>
      </c>
      <c r="C25" s="15">
        <f>IF('Inputs'!$B$89="","",'Needs calc'!$C$39)</f>
      </c>
      <c r="D25" s="15">
        <f>IF('Inputs'!$B$90="","",'Needs calc'!$C$46)</f>
      </c>
      <c r="E25" s="15">
        <f>IF('Inputs'!$B$91="","",'Needs calc'!$C$53)</f>
      </c>
      <c r="F25" s="15">
        <f>IF('Inputs'!$B$92="","",'Needs calc'!$C$60)</f>
      </c>
    </row>
    <row r="26" spans="2:6" x14ac:dyDescent="0.25">
      <c r="B26" s="7" t="s">
        <v>189</v>
      </c>
      <c r="C26" s="15">
        <f>IF('Inputs'!$B$89="","",'Needs calc'!$C$45)</f>
      </c>
      <c r="D26" s="15">
        <f>IF('Inputs'!$B$90="","",'Needs calc'!$C$52)</f>
      </c>
      <c r="E26" s="15">
        <f>IF('Inputs'!$B$91="","",'Needs calc'!$C$59)</f>
      </c>
      <c r="F26" s="15">
        <f>IF('Inputs'!$B$92="","",'Needs calc'!$C$66)</f>
      </c>
    </row>
    <row r="27" spans="2:6" x14ac:dyDescent="0.25">
      <c r="B27" s="20" t="s">
        <v>190</v>
      </c>
      <c r="C27" s="31">
        <f>IF('Inputs'!$B$89="","",IF('Needs calc'!$C$44&gt;0,"Short R "&amp;FIXED(ROUND('Needs calc'!$C$44,-3),0),IF('Needs calc'!$C$44&lt;0,"R "&amp;FIXED(ROUND(-'Needs calc'!$C$44,-3),0)&amp;" over","Covered")))</f>
      </c>
      <c r="D27" s="31">
        <f>IF('Inputs'!$B$90="","",IF('Needs calc'!$C$51&gt;0,"Short R "&amp;FIXED(ROUND('Needs calc'!$C$51,-3),0),IF('Needs calc'!$C$51&lt;0,"R "&amp;FIXED(ROUND(-'Needs calc'!$C$51,-3),0)&amp;" over","Covered")))</f>
      </c>
      <c r="E27" s="31">
        <f>IF('Inputs'!$B$91="","",IF('Needs calc'!$C$58&gt;0,"Short R "&amp;FIXED(ROUND('Needs calc'!$C$58,-3),0),IF('Needs calc'!$C$58&lt;0,"R "&amp;FIXED(ROUND(-'Needs calc'!$C$58,-3),0)&amp;" over","Covered")))</f>
      </c>
      <c r="F27" s="31">
        <f>IF('Inputs'!$B$92="","",IF('Needs calc'!$C$65&gt;0,"Short R "&amp;FIXED(ROUND('Needs calc'!$C$65,-3),0),IF('Needs calc'!$C$65&lt;0,"R "&amp;FIXED(ROUND(-'Needs calc'!$C$65,-3),0)&amp;" over","Covered")))</f>
      </c>
    </row>
    <row r="28" spans="2:6" x14ac:dyDescent="0.25">
      <c r="B28" s="29" t="s">
        <v>191</v>
      </c>
      <c r="C28" s="30">
        <f>IF('Inputs'!$B$89="","",IF('Needs calc'!$T$4&gt;0,'Needs calc'!$T$4,"None needed"))</f>
      </c>
      <c r="D28" s="30">
        <f>IF('Inputs'!$B$90="","",IF('Needs calc'!$T$5&gt;0,'Needs calc'!$T$5,"None needed"))</f>
      </c>
      <c r="E28" s="30">
        <f>IF('Inputs'!$B$91="","",IF('Needs calc'!$T$6&gt;0,'Needs calc'!$T$6,"None needed"))</f>
      </c>
      <c r="F28" s="30">
        <f>IF('Inputs'!$B$92="","",IF('Needs calc'!$T$7&gt;0,'Needs calc'!$T$7,"None needed"))</f>
      </c>
    </row>
    <row r="29" ht="30" customHeight="1" spans="2:6" x14ac:dyDescent="0.25">
      <c r="B29" s="38">
        <f>TRIM(IF(COUNTIF('Inputs'!$B$89:$B$94,"?*")&gt;4,"The others who depend on you are on the workings page. ","")&amp;IF('Needs calc'!$C$37&gt;0,"Life cover of R "&amp;FIXED(ROUND('Needs calc'!$C$37,-3),0)&amp;" is paid directly to "&amp;IF(SUMPRODUCT('Inputs'!$R$59:$R$70*('Inputs'!$F$59:$F$70="")*('Inputs'!$D$59:$D$70&gt;0))=1,"someone who is","people who are")&amp;" not recorded as depending on you"&amp;IF('Needs calc'!$C$38&gt;0,"; they pay R "&amp;FIXED(ROUND('Needs calc'!$C$38,-3),0)&amp;" of the estate duty on it today","")&amp;", and it is not counted for anyone above. ","")&amp;IF(SUMPRODUCT(('Inputs'!$T$89:$T$94=1)*1)&gt;0,"New cover for your spouse is nominated to them, so it carries no estate duty.",""))</f>
      </c>
      <c r="C29" s="38"/>
      <c r="D29" s="38"/>
      <c r="E29" s="38"/>
      <c r="F29" s="38"/>
    </row>
    <row r="31" spans="2:6" x14ac:dyDescent="0.25">
      <c r="B31" s="12" t="s">
        <v>192</v>
      </c>
      <c r="C31" s="12" t="s">
        <v>163</v>
      </c>
      <c r="D31" s="12"/>
      <c r="E31" s="12"/>
      <c r="F31" s="12"/>
    </row>
    <row r="32" spans="2:6" x14ac:dyDescent="0.25">
      <c r="B32" s="7" t="s">
        <v>193</v>
      </c>
      <c r="C32" s="15">
        <f>'Needs calc'!$T$10</f>
      </c>
      <c r="D32" s="15"/>
      <c r="E32" s="15"/>
      <c r="F32" s="15"/>
    </row>
    <row r="33" spans="2:6" x14ac:dyDescent="0.25">
      <c r="B33" s="7" t="s">
        <v>194</v>
      </c>
      <c r="C33" s="15">
        <f>('Needs calc'!$T$4+'Needs calc'!$T$5+'Needs calc'!$T$6+'Needs calc'!$T$7+'Needs calc'!$T$8+'Needs calc'!$T$9)</f>
      </c>
      <c r="D33" s="15"/>
      <c r="E33" s="15"/>
      <c r="F33" s="15"/>
    </row>
    <row r="34" spans="2:6" x14ac:dyDescent="0.25">
      <c r="B34" s="29" t="s">
        <v>195</v>
      </c>
      <c r="C34" s="30">
        <f>('Needs calc'!$T$10+('Needs calc'!$T$4+'Needs calc'!$T$5+'Needs calc'!$T$6+'Needs calc'!$T$7+'Needs calc'!$T$8+'Needs calc'!$T$9))</f>
      </c>
      <c r="D34" s="30"/>
      <c r="E34" s="30"/>
      <c r="F34" s="30"/>
    </row>
    <row r="36" spans="2:6" x14ac:dyDescent="0.25">
      <c r="B36" s="12">
        <f>IF(SUMPRODUCT(('Inputs'!$H$89:$H$94="Yes")*('Inputs'!$B$89:$B$94&lt;&gt;""))&gt;0,"What the trust will cost (trustee fees of "&amp;IF(ROUND('Inputs'!$H$112,0)='Inputs'!$H$112,FIXED('Inputs'!$H$112,0),IF(ROUND('Inputs'!$H$112,1)='Inputs'!$H$112,FIXED('Inputs'!$H$112,1),FIXED('Inputs'!$H$112,2)))&amp;"%"&amp;" a year)","")</f>
      </c>
      <c r="C36" s="13">
        <f>IF('Inputs'!$H$89="Yes",'Inputs'!$B$89,"")</f>
      </c>
      <c r="D36" s="13">
        <f>IF('Inputs'!$H$90="Yes",'Inputs'!$B$90,"")</f>
      </c>
      <c r="E36" s="13">
        <f>IF('Inputs'!$H$91="Yes",'Inputs'!$B$91,"")</f>
      </c>
      <c r="F36" s="13">
        <f>IF('Inputs'!$H$92="Yes",'Inputs'!$B$92,"")</f>
      </c>
    </row>
    <row r="37" spans="2:6" x14ac:dyDescent="0.25">
      <c r="B37" s="39">
        <f>IF(SUMPRODUCT(('Inputs'!$H$89:$H$94="Yes")*('Inputs'!$B$89:$B$94&lt;&gt;""))&gt;0,"First year","")</f>
      </c>
      <c r="C37" s="15">
        <f>IF('Inputs'!$H$89="Yes",'Needs years'!$C$11,"")</f>
      </c>
      <c r="D37" s="15">
        <f>IF('Inputs'!$H$90="Yes",'Needs years'!$C$67,"")</f>
      </c>
      <c r="E37" s="15">
        <f>IF('Inputs'!$H$91="Yes",'Needs years'!$C$123,"")</f>
      </c>
      <c r="F37" s="15">
        <f>IF('Inputs'!$H$92="Yes",'Needs years'!$C$179,"")</f>
      </c>
    </row>
    <row r="38" spans="2:6" x14ac:dyDescent="0.25">
      <c r="B38" s="39">
        <f>IF(SUMPRODUCT(('Inputs'!$H$89:$H$94="Yes")*('Inputs'!$B$89:$B$94&lt;&gt;""))&gt;0,"Over the whole period","")</f>
      </c>
      <c r="C38" s="15">
        <f>IF('Inputs'!$H$89="Yes",'Needs years'!$C$12,"")</f>
      </c>
      <c r="D38" s="15">
        <f>IF('Inputs'!$H$90="Yes",'Needs years'!$C$68,"")</f>
      </c>
      <c r="E38" s="15">
        <f>IF('Inputs'!$H$91="Yes",'Needs years'!$C$124,"")</f>
      </c>
      <c r="F38" s="15">
        <f>IF('Inputs'!$H$92="Yes",'Needs years'!$C$180,"")</f>
      </c>
    </row>
    <row r="39" spans="2:6" x14ac:dyDescent="0.25">
      <c r="B39" s="39">
        <f>IF(SUMPRODUCT(('Inputs'!$H$89:$H$94="Yes")*('Inputs'!$B$89:$B$94&lt;&gt;""))&gt;0,"Extra capital it needs today (already in the need)","")</f>
      </c>
      <c r="C39" s="15">
        <f>IF('Inputs'!$H$89="Yes",'Needs years'!$C$13,"")</f>
      </c>
      <c r="D39" s="15">
        <f>IF('Inputs'!$H$90="Yes",'Needs years'!$C$69,"")</f>
      </c>
      <c r="E39" s="15">
        <f>IF('Inputs'!$H$91="Yes",'Needs years'!$C$125,"")</f>
      </c>
      <c r="F39" s="15">
        <f>IF('Inputs'!$H$92="Yes",'Needs years'!$C$181,"")</f>
      </c>
    </row>
    <row r="41" ht="18" customHeight="1" spans="2:6" x14ac:dyDescent="0.25">
      <c r="B41" s="5" t="s">
        <v>176</v>
      </c>
      <c r="C41" s="6"/>
      <c r="D41" s="6"/>
      <c r="E41" s="6"/>
      <c r="F41" s="6"/>
    </row>
    <row r="42" ht="27" customHeight="1" spans="2:6" x14ac:dyDescent="0.25">
      <c r="B42" s="34">
        <f>"1.  "&amp;IF(('Needs calc'!$T$10+('Needs calc'!$T$4+'Needs calc'!$T$5+'Needs calc'!$T$6+'Needs calc'!$T$7+'Needs calc'!$T$8+'Needs calc'!$T$9))&gt;0,"New life cover of R "&amp;FIXED(ROUND(('Needs calc'!$T$10+('Needs calc'!$T$4+'Needs calc'!$T$5+'Needs calc'!$T$6+'Needs calc'!$T$7+'Needs calc'!$T$8+'Needs calc'!$T$9)),-3),0)&amp;IF('Needs calc'!$T$10&gt;0,": R "&amp;FIXED(ROUND('Needs calc'!$T$10,-3),0)&amp;" paid to your estate, and the rest nominated for each person as shown",", nominated for each person as shown")&amp;".","Keep your nominations and will instructions as they are: they provide for everyone today.")</f>
      </c>
      <c r="C42" s="34"/>
      <c r="D42" s="34"/>
      <c r="E42" s="34"/>
      <c r="F42" s="34"/>
    </row>
    <row r="43" ht="27" customHeight="1" spans="2:6" x14ac:dyDescent="0.25">
      <c r="B43" s="34" t="s">
        <v>196</v>
      </c>
      <c r="C43" s="34"/>
      <c r="D43" s="34"/>
      <c r="E43" s="34"/>
      <c r="F43" s="34"/>
    </row>
    <row r="44" ht="27" customHeight="1" spans="2:6" x14ac:dyDescent="0.25">
      <c r="B44" s="34">
        <f>"3.  "&amp;IF(SUMPRODUCT(('Inputs'!$H$89:$H$94="Yes")*('Inputs'!$B$89:$B$94&lt;&gt;""))&gt;0,"Make sure your will sets up the trust that receives the children's money, and names the trustees.","Sign a will that says who inherits, so the law does not decide it for you.")</f>
      </c>
      <c r="C44" s="34"/>
      <c r="D44" s="34"/>
      <c r="E44" s="34"/>
      <c r="F44" s="34"/>
    </row>
    <row r="46" ht="44" customHeight="1" spans="2:6" x14ac:dyDescent="0.25">
      <c r="B46" s="35">
        <f>"Basis: indicative, on the needs you gave us and your policies and will instructions as they stand. Capital for a person is invested at "&amp;FIXED('Inputs'!$H$111,0)&amp;"% a year before tax as a unit trust, less their tax"&amp;IF(SUMPRODUCT(('Inputs'!$H$89:$H$94="Yes")*('Inputs'!$B$89:$B$94&lt;&gt;""))&gt;0," and trustee fees of "&amp;IF(ROUND('Inputs'!$H$112,0)='Inputs'!$H$112,FIXED('Inputs'!$H$112,0),IF(ROUND('Inputs'!$H$112,1)='Inputs'!$H$112,FIXED('Inputs'!$H$112,1),FIXED('Inputs'!$H$112,2)))&amp;"%"&amp;" a year while it is in the trust","")&amp;". Once-off needs are in today's money. Retirement money is paid out in cash, after the lump sum tax on death benefits. Each need rises as you asked. Not legal or tax advice."</f>
      </c>
      <c r="C46" s="35"/>
      <c r="D46" s="35"/>
      <c r="E46" s="35"/>
      <c r="F46" s="35"/>
    </row>
  </sheetData>
  <sheetProtection sheet="1" formatRows="0"/>
  <mergeCells count="21">
    <mergeCell ref="B1:F1"/>
    <mergeCell ref="B2:F2"/>
    <mergeCell ref="B3:F3"/>
    <mergeCell ref="B7:F7"/>
    <mergeCell ref="B8:F8"/>
    <mergeCell ref="B10:F10"/>
    <mergeCell ref="B11:F11"/>
    <mergeCell ref="B12:F12"/>
    <mergeCell ref="C14:F14"/>
    <mergeCell ref="C15:F15"/>
    <mergeCell ref="C16:F16"/>
    <mergeCell ref="C17:F17"/>
    <mergeCell ref="B29:F29"/>
    <mergeCell ref="C31:F31"/>
    <mergeCell ref="C32:F32"/>
    <mergeCell ref="C33:F33"/>
    <mergeCell ref="C34:F34"/>
    <mergeCell ref="B42:F42"/>
    <mergeCell ref="B43:F43"/>
    <mergeCell ref="B44:F44"/>
    <mergeCell ref="B46:F46"/>
  </mergeCells>
  <conditionalFormatting sqref="B10:F12">
    <cfRule type="expression" dxfId="22" priority="1">
      <formula>('Needs calc'!$T$10+('Needs calc'!$T$4+'Needs calc'!$T$5+'Needs calc'!$T$6+'Needs calc'!$T$7+'Needs calc'!$T$8+'Needs calc'!$T$9))=0</formula>
    </cfRule>
  </conditionalFormatting>
  <conditionalFormatting sqref="C27:F27">
    <cfRule type="expression" dxfId="23" priority="2">
      <formula>LEFT(C27,5)="Short"</formula>
    </cfRule>
    <cfRule type="expression" dxfId="24" priority="3">
      <formula>OR(LEFT(C27,7)="Covered",RIGHT(C27,4)="over")</formula>
    </cfRule>
  </conditionalFormatting>
  <conditionalFormatting sqref="C20:F28">
    <cfRule type="expression" dxfId="25" priority="4">
      <formula>C$19=""</formula>
    </cfRule>
  </conditionalFormatting>
  <printOptions horizontalCentered="1"/>
  <pageMargins left="0.4" right="0.4" top="0.45" bottom="0.6" header="0.25" footer="0.3"/>
  <pageSetup paperSize="9" orientation="portrait" horizontalDpi="4294967295" verticalDpi="4294967295" scale="100" fitToWidth="1" fitToHeight="0"/>
  <headerFooter>
    <oddFooter>&amp;L&amp;8&amp;"Arial"Duwalcoe Financial Consultants CC  ·  FSP 9978  ·  Life cover need&amp;R&amp;8&amp;"Arial"&amp;A  ·  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Lists</vt:lpstr>
      <vt:lpstr>Inputs</vt:lpstr>
      <vt:lpstr>Summary</vt:lpstr>
      <vt:lpstr>Life cover need</vt:lpstr>
      <vt:lpstr>Figures for quoting</vt:lpstr>
      <vt:lpstr>Workings</vt:lpstr>
      <vt:lpstr>Needs workings</vt:lpstr>
      <vt:lpstr>Needs calc</vt:lpstr>
      <vt:lpstr>Needs years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2026-10-15T17:25:33Z</dcterms:created>
  <dcterms:modified xsi:type="dcterms:W3CDTF">2026-10-15T17:25:33Z</dcterms:modified>
</cp:coreProperties>
</file>