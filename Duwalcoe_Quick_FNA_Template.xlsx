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9" name="Life cover need" state="visible" r:id="rId7"/>
    <sheet sheetId="4" name="Figures for quoting" state="visible" r:id="rId8"/>
    <sheet sheetId="5" name="Workings" state="visible" r:id="rId9"/>
    <sheet sheetId="8" name="Needs workings" state="visible" r:id="rId10"/>
    <sheet sheetId="7" name="Needs calc" state="hidden" r:id="rId11"/>
    <sheet sheetId="6" name="Needs years" state="hidden" r:id="rId12"/>
  </sheets>
  <definedNames>
    <definedName name="QF_M_ClientID">Lists!$L$1</definedName>
    <definedName name="QF_M_ClientName">Lists!$L$2</definedName>
    <definedName name="QF_M_Version">Lists!$L$3</definedName>
    <definedName name="QF_M_ExportedAt">Lists!$L$4</definedName>
    <definedName name="QF_M_ExportedBy">Lists!$L$5</definedName>
    <definedName name="QF_M_TemplateVersion">Lists!$L$6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dinc">Inputs!$B$74:$I$74</definedName>
    <definedName name="QF_T_dinc">Inputs!$B$76:$I$81</definedName>
    <definedName name="QF_K_funds">Inputs!$B$85:$I$85</definedName>
    <definedName name="QF_T_funds">Inputs!$B$87:$I$94</definedName>
    <definedName name="QF_K_deps">Inputs!$B$98:$J$98</definedName>
    <definedName name="QF_T_deps">Inputs!$B$100:$J$105</definedName>
    <definedName name="QF_L_whom">Inputs!$Z$99:$Z$105</definedName>
    <definedName name="QF_L_dep">Inputs!$Z$100:$Z$105</definedName>
    <definedName name="QF_KidsShare">Inputs!$C$106</definedName>
    <definedName name="QF_SpouseCover">Inputs!$C$107</definedName>
    <definedName name="QF_QuoteNo">Inputs!$C$111</definedName>
    <definedName name="QF_CLFee">Inputs!$C$112</definedName>
    <definedName name="QF_CLConv">Inputs!$C$113</definedName>
    <definedName name="QF_CLPays">Inputs!$C$114</definedName>
    <definedName name="QF_CLLimit">Inputs!$C$115</definedName>
    <definedName name="QF_CLPrem">Inputs!$C$116</definedName>
    <definedName name="QF_A_ExecFee">Inputs!$C$120</definedName>
    <definedName name="QF_A_VAT">Inputs!$C$121</definedName>
    <definedName name="QF_A_Master">Inputs!$C$122</definedName>
    <definedName name="QF_A_Funeral">Inputs!$C$123</definedName>
    <definedName name="QF_A_Sundries">Inputs!$C$124</definedName>
    <definedName name="QF_A_PropCost">Inputs!$C$125</definedName>
    <definedName name="QF_A_Agent">Inputs!$C$126</definedName>
    <definedName name="QF_A_Abatement">Inputs!$C$127</definedName>
    <definedName name="QF_A_DutyRate">Inputs!$C$128</definedName>
    <definedName name="QF_A_DutyBand">Inputs!$C$129</definedName>
    <definedName name="QF_A_DutyHigh">Inputs!$C$130</definedName>
    <definedName name="QF_A_CGTExcl">Inputs!$C$131</definedName>
    <definedName name="QF_A_Inclusion">Inputs!$H$120</definedName>
    <definedName name="QF_A_PRExcl">Inputs!$H$121</definedName>
    <definedName name="QF_A_Gross">Inputs!$H$122</definedName>
    <definedName name="QF_A_TrustFee">Inputs!$H$123</definedName>
    <definedName name="QF_A_Threshold">Inputs!$H$124</definedName>
    <definedName name="QF_A_Interest">Inputs!$H$125</definedName>
    <definedName name="QF_A_Dividends">Inputs!$H$126</definedName>
    <definedName name="QF_A_Growth">Inputs!$H$127</definedName>
    <definedName name="QF_A_DivTax">Inputs!$H$128</definedName>
    <definedName name="QF_A_CPI">Inputs!$H$129</definedName>
    <definedName name="QF_A_Thr65">Inputs!$H$130</definedName>
    <definedName name="QF_A_Thr75">Inputs!$H$131</definedName>
    <definedName name="QF_A_TaxTable">Inputs!$C$134:$E$140</definedName>
    <definedName name="QF_A_LumpTable">Inputs!$G$134:$I$137</definedName>
    <definedName name="QF_K_checks">Inputs!$B$153</definedName>
    <definedName name="QF_T_checks">Inputs!$B$154:$B$167</definedName>
    <definedName name="QF_W_cost">Workings!$C$59</definedName>
    <definedName name="_xlnm.Print_Area" localSheetId="1">'Inputs'!$A1:$J167</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need'!$A1:$F48</definedName>
    <definedName name="_xlnm.Print_Titles" localSheetId="3">'Life cover need'!$1:$2</definedName>
    <definedName name="_xlnm.Print_Area" localSheetId="4">'Figures for quoting'!$A1:$D36</definedName>
    <definedName name="_xlnm.Print_Titles" localSheetId="4">'Figures for quoting'!$1:$2</definedName>
    <definedName name="_xlnm.Print_Area" localSheetId="5">'Workings'!$A1:$D71</definedName>
    <definedName name="_xlnm.Print_Titles" localSheetId="5">'Workings'!$1:$2</definedName>
    <definedName name="_xlnm.Print_Area" localSheetId="6">'Needs workings'!$A1:$I45</definedName>
    <definedName name="_xlnm.Print_Titles" localSheetId="6">'Needs workings'!$1:$2</definedName>
  </definedNames>
  <calcPr calcId="171027" fullCalcOnLoad="1"/>
</workbook>
</file>

<file path=xl/sharedStrings.xml><?xml version="1.0" encoding="utf-8"?>
<sst xmlns="http://schemas.openxmlformats.org/spreadsheetml/2006/main" count="623" uniqueCount="422">
  <si>
    <t>kind</t>
  </si>
  <si>
    <t>passes</t>
  </si>
  <si>
    <t>paidTo</t>
  </si>
  <si>
    <t>yesno</t>
  </si>
  <si>
    <t>residue</t>
  </si>
  <si>
    <t>rel</t>
  </si>
  <si>
    <t>kidsShare</t>
  </si>
  <si>
    <t>spouseCover</t>
  </si>
  <si>
    <t>marital</t>
  </si>
  <si>
    <t>ClientID</t>
  </si>
  <si>
    <t>Property</t>
  </si>
  <si>
    <t>Estate (residue)</t>
  </si>
  <si>
    <t>Estate</t>
  </si>
  <si>
    <t>Yes</t>
  </si>
  <si>
    <t>Heirs (people)</t>
  </si>
  <si>
    <t>Spouse</t>
  </si>
  <si>
    <t>In equal shares</t>
  </si>
  <si>
    <t>The spouse</t>
  </si>
  <si>
    <t>Single</t>
  </si>
  <si>
    <t>ClientName</t>
  </si>
  <si>
    <t>Cash and deposits</t>
  </si>
  <si>
    <t>No</t>
  </si>
  <si>
    <t>Child</t>
  </si>
  <si>
    <t>Not to the dependants</t>
  </si>
  <si>
    <t>A trust for the spouse</t>
  </si>
  <si>
    <t>Engaged</t>
  </si>
  <si>
    <t>Version</t>
  </si>
  <si>
    <t>2.2</t>
  </si>
  <si>
    <t>Shares and unit trusts</t>
  </si>
  <si>
    <t>Named heir</t>
  </si>
  <si>
    <t>Named person</t>
  </si>
  <si>
    <t>Other</t>
  </si>
  <si>
    <t>Married - ANC with accrual</t>
  </si>
  <si>
    <t>ExportedAt</t>
  </si>
  <si>
    <t>Other investment</t>
  </si>
  <si>
    <t>Married - ANC without accrual</t>
  </si>
  <si>
    <t>ExportedBy</t>
  </si>
  <si>
    <t>Tax-free investment</t>
  </si>
  <si>
    <t>Married in COP</t>
  </si>
  <si>
    <t>TemplateVersion</t>
  </si>
  <si>
    <t>Loan account</t>
  </si>
  <si>
    <t>Life partner</t>
  </si>
  <si>
    <t>Vehicle or contents</t>
  </si>
  <si>
    <t>Divorced</t>
  </si>
  <si>
    <t>Business interest</t>
  </si>
  <si>
    <t>Widowed</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</si>
  <si>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</si>
  <si>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</si>
  <si>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</si>
  <si>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</si>
  <si>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</si>
  <si>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</si>
  <si>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</si>
  <si>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</si>
  <si>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</si>
  <si>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</si>
  <si>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</si>
  <si>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</si>
  <si>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</si>
  <si>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</si>
  <si>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</si>
  <si>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</si>
  <si>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</si>
  <si>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</si>
  <si>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</si>
  <si>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</si>
  <si>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</si>
  <si>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</si>
  <si>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</si>
  <si>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</si>
  <si>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</si>
  <si>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</si>
  <si>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</si>
  <si>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</si>
  <si>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</si>
  <si>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</si>
  <si>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</si>
  <si>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</si>
  <si>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</si>
  <si>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</si>
  <si>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Base cost: leave it blank only if it is not known; capital gains tax is then worked out on the full value (the worst case) and flagged below. Joint assets: enter your client's share.</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</si>
  <si>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</si>
  <si>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</si>
  <si>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</si>
  <si>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</si>
  <si>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</si>
  <si>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</si>
  <si>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</si>
  <si>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</si>
  <si>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</si>
  <si>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</si>
  <si>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</si>
  <si>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</si>
  <si>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</si>
  <si>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4b. Death income: paid each month after death</t>
  </si>
  <si>
    <t>pm</t>
  </si>
  <si>
    <t>esc</t>
  </si>
  <si>
    <t>months</t>
  </si>
  <si>
    <t>Death income benefit</t>
  </si>
  <si>
    <t>A month (R)</t>
  </si>
  <si>
    <t>Rising each year once it pays (%)</t>
  </si>
  <si>
    <t>Months it pays, from the death</t>
  </si>
  <si>
    <t>For whom (a person in section 6)</t>
  </si>
  <si>
    <t>Insurer's value for estate duty (R), if you have it</t>
  </si>
  <si>
    <t>Counted for estate duty (R)</t>
  </si>
  <si>
    <t>5. Retirement funds and annuities (not in the estate, no estate duty)</t>
  </si>
  <si>
    <t>creditTo</t>
  </si>
  <si>
    <t>Retirement fund or annuity</t>
  </si>
  <si>
    <t>Credited to (the fund trustees decide, s.37C)</t>
  </si>
  <si>
    <t>Paid out, after lump sum tax</t>
  </si>
  <si>
    <t>Credited to: who the fund trustees are expected to pay. They must look after dependants first (s.37C), so where the nominee is not a dependant the CRM proposes the children. Blank: not counted for any dependant. Paid out in cash, taxed as a death benefit lump sum on the total of all the funds (the first R 550,000 free).</t>
  </si>
  <si>
    <t>6. The people who depend on your client</t>
  </si>
  <si>
    <t>age</t>
  </si>
  <si>
    <t>needPM</t>
  </si>
  <si>
    <t>years</t>
  </si>
  <si>
    <t>trust</t>
  </si>
  <si>
    <t>other</t>
  </si>
  <si>
    <t>lump</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</si>
  <si>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</si>
  <si>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</si>
  <si>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</si>
  <si>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</si>
  <si>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</si>
  <si>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</si>
  <si>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</si>
  <si>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</si>
  <si>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</si>
  <si>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The children's trust</t>
  </si>
  <si>
    <t>When the residue goes to heirs (not the spouse), the children receive it</t>
  </si>
  <si>
    <t>New life cover for the spouse is nominated to</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</si>
  <si>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</si>
  <si>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</si>
  <si>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</si>
  <si>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</si>
  <si>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</si>
  <si>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</si>
  <si>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</si>
  <si>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</si>
  <si>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</si>
  <si>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</si>
  <si>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</si>
  <si>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Capital gains inclusion rate (%)</t>
  </si>
  <si>
    <t>VAT (%)</t>
  </si>
  <si>
    <t>Primary residence exclusion (R)</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</si>
  <si>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</si>
  <si>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</si>
  <si>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</si>
  <si>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</si>
  <si>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</si>
  <si>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</si>
  <si>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</si>
  <si>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</si>
  <si>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</si>
  <si>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</si>
  <si>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</si>
  <si>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</si>
  <si>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</si>
  <si>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</si>
  <si>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</si>
  <si>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</si>
  <si>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</si>
  <si>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</si>
  <si>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</si>
  <si>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</si>
  <si>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</si>
  <si>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</si>
  <si>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</si>
  <si>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</si>
  <si>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</si>
  <si>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</si>
  <si>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</si>
  <si>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</si>
  <si>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</si>
  <si>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</si>
  <si>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</si>
  <si>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</si>
  <si>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</si>
  <si>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</si>
  <si>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</si>
  <si>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</si>
  <si>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</si>
  <si>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</si>
  <si>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</si>
  <si>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</si>
  <si>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</si>
  <si>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</si>
  <si>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</si>
  <si>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</si>
  <si>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1. Your estate (the cost of dying)</t>
  </si>
  <si>
    <t>Cash the executor needs</t>
  </si>
  <si>
    <t>Cash the executor has</t>
  </si>
  <si>
    <t>Result</t>
  </si>
  <si>
    <t>2. The people who depend on you</t>
  </si>
  <si>
    <t>You want for them, a month</t>
  </si>
  <si>
    <t>For</t>
  </si>
  <si>
    <t>Rising each year by</t>
  </si>
  <si>
    <t>Once-off needs (in today's money)</t>
  </si>
  <si>
    <t>From a death income benefit, a month</t>
  </si>
  <si>
    <t>Estate duty they pay on that income</t>
  </si>
  <si>
    <t>Capital needed today</t>
  </si>
  <si>
    <t>Capital already reaching them</t>
  </si>
  <si>
    <t>Monthly income they would have</t>
  </si>
  <si>
    <t>Shortfall, or over</t>
  </si>
  <si>
    <t>New life cover for them</t>
  </si>
  <si>
    <t>3. Total life cover needed</t>
  </si>
  <si>
    <t>For your estate</t>
  </si>
  <si>
    <t>For the people who depend on you</t>
  </si>
  <si>
    <t>Total</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</si>
  <si>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</si>
  <si>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</si>
  <si>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</si>
  <si>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</si>
  <si>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</si>
  <si>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</si>
  <si>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</si>
  <si>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</si>
  <si>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(tax-free, loan accounts, business interests)</t>
  </si>
  <si>
    <t>Life assurance paid into the estate</t>
  </si>
  <si>
    <t>Total in the estate</t>
  </si>
  <si>
    <t>OUTSIDE THE ESTATE: NO EXECUTOR'S FEES</t>
  </si>
  <si>
    <t>Policies paid to a named person or spouse (counted for estate duty)</t>
  </si>
  <si>
    <t>Death income benefits, at their value (counted for estate duty)</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</si>
  <si>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</si>
  <si>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</si>
  <si>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</si>
  <si>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</si>
  <si>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</si>
  <si>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</si>
  <si>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</si>
  <si>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</si>
  <si>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</si>
  <si>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</si>
  <si>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</si>
  <si>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</si>
  <si>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</si>
  <si>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</si>
  <si>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</si>
  <si>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</si>
  <si>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</si>
  <si>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</si>
  <si>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</si>
  <si>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and other investments</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</si>
  <si>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</si>
  <si>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</si>
  <si>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</si>
  <si>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</si>
  <si>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</si>
  <si>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</si>
  <si>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</si>
  <si>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</si>
  <si>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</si>
  <si>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</si>
  <si>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or spouse, counted for estate duty</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</si>
  <si>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</si>
  <si>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</si>
  <si>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</si>
  <si>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</si>
  <si>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</si>
  <si>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</si>
  <si>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</si>
  <si>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</si>
  <si>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</si>
  <si>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</si>
  <si>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everything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</si>
  <si>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</si>
  <si>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</si>
  <si>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</si>
  <si>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</si>
  <si>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</si>
  <si>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death income and bequests)</t>
  </si>
  <si>
    <t>If the executor cannot recover it from them, the estate pays it.</t>
  </si>
  <si>
    <t>3. Does the estate have enough cash?</t>
  </si>
  <si>
    <t>Property transfer costs / conveyancing</t>
  </si>
  <si>
    <t>Paid by the estate</t>
  </si>
  <si>
    <t>Cash and deposits, and investments the executor cashes in</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</si>
  <si>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</si>
  <si>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</si>
  <si>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</si>
  <si>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</si>
  <si>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</si>
  <si>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</si>
  <si>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</si>
  <si>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Once-off needs at death (today's money)</t>
  </si>
  <si>
    <t>Death income paid to them, first month (set against the need while it pays)</t>
  </si>
  <si>
    <t>Estate duty they pay on that death income (taken off their capital)</t>
  </si>
  <si>
    <t>Capital reaching them (residue, policies, retirement money, the trust)</t>
  </si>
  <si>
    <t>Their marginal tax rate on what it earns</t>
  </si>
  <si>
    <t>What it earns after tax and trustee fees</t>
  </si>
  <si>
    <t>Capital needed (once-off plus the monthly need)</t>
  </si>
  <si>
    <t>Shortfall (negative: over)</t>
  </si>
  <si>
    <t>Monthly income now (what the capital pays, plus any death income counted)</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</si>
  <si>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</si>
  <si>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</si>
  <si>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</si>
  <si>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</si>
  <si>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</si>
  <si>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</si>
  <si>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</si>
  <si>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</si>
  <si>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</si>
  <si>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</si>
  <si>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</si>
  <si>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</si>
  <si>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</si>
  <si>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</si>
  <si>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</si>
  <si>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</si>
  <si>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</si>
  <si>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</si>
  <si>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</si>
  <si>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</si>
  <si>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</si>
  <si>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</si>
  <si>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</si>
  <si>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</si>
  <si>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</si>
  <si>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</si>
  <si>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</si>
  <si>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</si>
  <si>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</si>
  <si>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</si>
  <si>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</si>
  <si>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</si>
  <si>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</si>
  <si>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</si>
  <si>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</si>
  <si>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</si>
  <si>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</si>
  <si>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</si>
  <si>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</si>
  <si>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</si>
  <si>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dInc</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</si>
  <si>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</si>
  <si>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</si>
  <si>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</si>
  <si>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</si>
  <si>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</si>
  <si>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</si>
  <si>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</si>
  <si>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</si>
  <si>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</si>
  <si>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</si>
  <si>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</si>
  <si>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</si>
  <si>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</si>
  <si>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</si>
  <si>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</si>
  <si>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</si>
  <si>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</si>
  <si>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</si>
  <si>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</si>
  <si>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</si>
  <si>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</si>
  <si>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</si>
  <si>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</si>
  <si>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</si>
  <si>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2: cap</t>
  </si>
  <si>
    <t>dependant 2: ti</t>
  </si>
  <si>
    <t>dependant 2: m</t>
  </si>
  <si>
    <t>dependant 2: r</t>
  </si>
  <si>
    <t>dependant 2: need</t>
  </si>
  <si>
    <t>dependant 2: gap</t>
  </si>
  <si>
    <t>dependant 2: inc</t>
  </si>
  <si>
    <t>dependant 3: cap</t>
  </si>
  <si>
    <t>dependant 3: ti</t>
  </si>
  <si>
    <t>dependant 3: m</t>
  </si>
  <si>
    <t>dependant 3: r</t>
  </si>
  <si>
    <t>dependant 3: need</t>
  </si>
  <si>
    <t>dependant 3: gap</t>
  </si>
  <si>
    <t>dependant 3: inc</t>
  </si>
  <si>
    <t>dependant 4: cap</t>
  </si>
  <si>
    <t>dependant 4: ti</t>
  </si>
  <si>
    <t>dependant 4: m</t>
  </si>
  <si>
    <t>dependant 4: r</t>
  </si>
  <si>
    <t>dependant 4: need</t>
  </si>
  <si>
    <t>dependant 4: gap</t>
  </si>
  <si>
    <t>dependant 4: inc</t>
  </si>
  <si>
    <t>dependant 5: cap</t>
  </si>
  <si>
    <t>dependant 5: ti</t>
  </si>
  <si>
    <t>dependant 5: m</t>
  </si>
  <si>
    <t>dependant 5: r</t>
  </si>
  <si>
    <t>dependant 5: need</t>
  </si>
  <si>
    <t>dependant 5: gap</t>
  </si>
  <si>
    <t>dependant 5: inc</t>
  </si>
  <si>
    <t>dependant 6: cap</t>
  </si>
  <si>
    <t>dependant 6: ti</t>
  </si>
  <si>
    <t>dependant 6: m</t>
  </si>
  <si>
    <t>dependant 6: r</t>
  </si>
  <si>
    <t>dependant 6: need</t>
  </si>
  <si>
    <t>dependant 6: gap</t>
  </si>
  <si>
    <t>dependant 6: inc</t>
  </si>
  <si>
    <t>next extra 1</t>
  </si>
  <si>
    <t>next extra 2</t>
  </si>
  <si>
    <t>next extra 3</t>
  </si>
  <si>
    <t>next extra 4</t>
  </si>
  <si>
    <t>next extra 5</t>
  </si>
  <si>
    <t>next extra 6</t>
  </si>
  <si>
    <t>next extra for the estate</t>
  </si>
  <si>
    <t>y</t>
  </si>
  <si>
    <t>need for the year, less death income</t>
  </si>
  <si>
    <t>death income in the year</t>
  </si>
  <si>
    <t>need left (1/0)</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</si>
  <si>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</si>
  <si>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</si>
  <si>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</si>
  <si>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</si>
  <si>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</si>
  <si>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</si>
  <si>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</si>
  <si>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</si>
  <si>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</si>
  <si>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</si>
  <si>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</si>
  <si>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</si>
  <si>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</si>
  <si>
    <t>Death income, first month (R)</t>
  </si>
  <si>
    <t>Death income counted in year 1, a month (R)</t>
  </si>
  <si>
    <t>Death income, months the longest one pays</t>
  </si>
  <si>
    <t>Need left after the death income, all years (R)</t>
  </si>
  <si>
    <t>Lead sentence on the client page</t>
  </si>
  <si>
    <t>Years fully covered by the death income from the start</t>
  </si>
  <si>
    <t>Estate duty they pay on their death income, today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</si>
</sst>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1"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8">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2" fontId="7" fillId="3" borderId="2" xfId="0" applyNumberFormat="1" applyFont="1" applyFill="1" applyBorder="1" applyAlignment="1" applyProtection="1">
      <alignment horizontal="right" vertical="top"/>
      <protection locked="0"/>
    </xf>
    <xf numFmtId="1" fontId="7" fillId="3" borderId="2" xfId="0" applyNumberFormat="1" applyFont="1" applyFill="1" applyBorder="1" applyAlignment="1" applyProtection="1">
      <alignment horizontal="right" vertical="top"/>
      <protection locked="0"/>
    </xf>
    <xf numFmtId="165" fontId="6" fillId="4" borderId="2" xfId="0" applyNumberFormat="1" applyFont="1" applyFill="1" applyBorder="1" applyAlignment="1">
      <alignment horizontal="right" vertical="top"/>
    </xf>
    <xf numFmtId="165" fontId="10" fillId="0" borderId="0" xfId="0" applyNumberFormat="1" applyFont="1"/>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4" borderId="2" xfId="0" applyFont="1" applyFill="1" applyBorder="1" applyAlignment="1">
      <alignment horizontal="left" vertical="top" wrapText="1"/>
    </xf>
    <xf numFmtId="9" fontId="6" fillId="4" borderId="2" xfId="0" applyNumberFormat="1" applyFont="1" applyFill="1" applyBorder="1" applyAlignment="1">
      <alignment horizontal="right" vertical="top"/>
    </xf>
    <xf numFmtId="0" fontId="11" fillId="4" borderId="2" xfId="0" applyFont="1" applyFill="1" applyBorder="1" applyAlignment="1">
      <alignment horizontal="right" vertical="top"/>
    </xf>
    <xf numFmtId="0" fontId="19" fillId="0" borderId="0" xfId="0" applyFont="1" applyAlignment="1">
      <alignment vertical="top" wrapText="1"/>
    </xf>
    <xf numFmtId="0" fontId="7" fillId="0" borderId="2" xfId="0" applyFont="1" applyBorder="1"/>
    <xf numFmtId="0" fontId="20" fillId="4" borderId="0" xfId="0" applyFont="1" applyFill="1"/>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cellXfs>
  <cellStyles count="1">
    <cellStyle name="Normal" xfId="0" builtinId="0"/>
  </cellStyles>
  <dxfs count="27">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9.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8.xml"/><Relationship Id="rId11" Type="http://schemas.openxmlformats.org/officeDocument/2006/relationships/worksheet" Target="worksheets/sheet7.xml"/><Relationship Id="rId12"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FormatPr defaultRowHeight="15" outlineLevelRow="0" outlineLevelCol="0" x14ac:dyDescent="55"/>
  <sheetData>
    <row r="1" spans="1:11" x14ac:dyDescent="0.25">
      <c r="A1" t="s">
        <v>0</v>
      </c>
      <c r="B1" t="s">
        <v>1</v>
      </c>
      <c r="C1" t="s">
        <v>2</v>
      </c>
      <c r="D1" t="s">
        <v>3</v>
      </c>
      <c r="E1" t="s">
        <v>4</v>
      </c>
      <c r="F1" t="s">
        <v>5</v>
      </c>
      <c r="G1" t="s">
        <v>6</v>
      </c>
      <c r="H1" t="s">
        <v>7</v>
      </c>
      <c r="I1" t="s">
        <v>8</v>
      </c>
      <c r="K1" t="s">
        <v>9</v>
      </c>
    </row>
    <row r="2" spans="1:11" x14ac:dyDescent="0.25">
      <c r="A2" t="s">
        <v>10</v>
      </c>
      <c r="B2" t="s">
        <v>11</v>
      </c>
      <c r="C2" t="s">
        <v>12</v>
      </c>
      <c r="D2" t="s">
        <v>13</v>
      </c>
      <c r="E2" t="s">
        <v>14</v>
      </c>
      <c r="F2" t="s">
        <v>15</v>
      </c>
      <c r="G2" t="s">
        <v>16</v>
      </c>
      <c r="H2" t="s">
        <v>17</v>
      </c>
      <c r="I2" t="s">
        <v>18</v>
      </c>
      <c r="K2" t="s">
        <v>19</v>
      </c>
    </row>
    <row r="3" spans="1:12" x14ac:dyDescent="0.25">
      <c r="A3" t="s">
        <v>20</v>
      </c>
      <c r="B3" t="s">
        <v>15</v>
      </c>
      <c r="C3" t="s">
        <v>15</v>
      </c>
      <c r="D3" t="s">
        <v>21</v>
      </c>
      <c r="E3" t="s">
        <v>15</v>
      </c>
      <c r="F3" t="s">
        <v>22</v>
      </c>
      <c r="G3" t="s">
        <v>23</v>
      </c>
      <c r="H3" t="s">
        <v>24</v>
      </c>
      <c r="I3" t="s">
        <v>25</v>
      </c>
      <c r="K3" t="s">
        <v>26</v>
      </c>
      <c r="L3" t="s">
        <v>27</v>
      </c>
    </row>
    <row r="4" spans="1:11" x14ac:dyDescent="0.25">
      <c r="A4" t="s">
        <v>28</v>
      </c>
      <c r="B4" t="s">
        <v>29</v>
      </c>
      <c r="C4" t="s">
        <v>30</v>
      </c>
      <c r="F4" t="s">
        <v>31</v>
      </c>
      <c r="I4" t="s">
        <v>32</v>
      </c>
      <c r="K4" t="s">
        <v>33</v>
      </c>
    </row>
    <row r="5" spans="1:11" x14ac:dyDescent="0.25">
      <c r="A5" t="s">
        <v>34</v>
      </c>
      <c r="I5" t="s">
        <v>35</v>
      </c>
      <c r="K5" t="s">
        <v>36</v>
      </c>
    </row>
    <row r="6" spans="1:12" x14ac:dyDescent="0.25">
      <c r="A6" t="s">
        <v>37</v>
      </c>
      <c r="I6" t="s">
        <v>38</v>
      </c>
      <c r="K6" t="s">
        <v>39</v>
      </c>
      <c r="L6" t="s">
        <v>27</v>
      </c>
    </row>
    <row r="7" spans="1:9" x14ac:dyDescent="0.25">
      <c r="A7" t="s">
        <v>40</v>
      </c>
      <c r="I7" t="s">
        <v>41</v>
      </c>
    </row>
    <row r="8" spans="1:9" x14ac:dyDescent="0.25">
      <c r="A8" t="s">
        <v>42</v>
      </c>
      <c r="I8" t="s">
        <v>43</v>
      </c>
    </row>
    <row r="9" spans="1:9" x14ac:dyDescent="0.25">
      <c r="A9" t="s">
        <v>44</v>
      </c>
      <c r="I9" t="s">
        <v>45</v>
      </c>
    </row>
    <row r="10" spans="9:9" x14ac:dyDescent="0.25">
      <c r="I10" t="s">
        <v>46</v>
      </c>
    </row>
    <row r="11" spans="9:9" x14ac:dyDescent="0.25">
      <c r="I11" t="s">
        <v>47</v>
      </c>
    </row>
    <row r="12" spans="9:9" x14ac:dyDescent="0.25">
      <c r="I12" t="s">
        <v>48</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6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s>
  <sheetData>
    <row r="1" ht="21.75" customHeight="1" spans="2:10" x14ac:dyDescent="0.25">
      <c r="B1" s="1" t="s">
        <v>49</v>
      </c>
      <c r="C1" s="1"/>
      <c r="D1" s="1"/>
      <c r="E1" s="1"/>
      <c r="F1" s="1"/>
      <c r="G1" s="1"/>
      <c r="H1" s="1"/>
      <c r="I1" s="1"/>
      <c r="J1" s="1"/>
    </row>
    <row r="2" ht="15" customHeight="1" spans="2:10" x14ac:dyDescent="0.25">
      <c r="B2" s="2" t="s">
        <v>50</v>
      </c>
      <c r="C2" s="2"/>
      <c r="D2" s="2"/>
      <c r="E2" s="2"/>
      <c r="F2" s="2"/>
      <c r="G2" s="2"/>
      <c r="H2" s="2"/>
      <c r="I2" s="2"/>
      <c r="J2" s="2"/>
    </row>
    <row r="4" ht="20" customHeight="1" spans="2:2" x14ac:dyDescent="0.25">
      <c r="B4" s="3" t="s">
        <v>51</v>
      </c>
    </row>
    <row r="5" spans="2:2" x14ac:dyDescent="0.25">
      <c r="B5" s="4" t="s">
        <v>52</v>
      </c>
    </row>
    <row r="7" ht="18" customHeight="1" spans="2:10" x14ac:dyDescent="0.25">
      <c r="B7" s="5" t="s">
        <v>53</v>
      </c>
      <c r="C7" s="6"/>
      <c r="D7" s="6"/>
      <c r="E7" s="6"/>
      <c r="F7" s="6"/>
      <c r="G7" s="6"/>
      <c r="H7" s="6"/>
      <c r="I7" s="6"/>
      <c r="J7" s="6"/>
    </row>
    <row r="8" spans="2:5" x14ac:dyDescent="0.25">
      <c r="B8" s="7" t="s">
        <v>54</v>
      </c>
      <c r="C8" s="8"/>
      <c r="D8" s="8"/>
      <c r="E8" s="8"/>
    </row>
    <row r="9" spans="2:5" x14ac:dyDescent="0.25">
      <c r="B9" s="7" t="s">
        <v>55</v>
      </c>
      <c r="C9" s="8"/>
      <c r="D9" s="8"/>
      <c r="E9" s="8"/>
    </row>
    <row r="10" spans="2:5" x14ac:dyDescent="0.25">
      <c r="B10" s="7" t="s">
        <v>56</v>
      </c>
      <c r="C10" s="8"/>
      <c r="D10" s="8"/>
      <c r="E10" s="8"/>
    </row>
    <row r="11" spans="2:5" x14ac:dyDescent="0.25">
      <c r="B11" s="7" t="s">
        <v>57</v>
      </c>
      <c r="C11" s="9"/>
      <c r="D11" s="9"/>
      <c r="E11" s="9"/>
    </row>
    <row r="12" spans="2:5" x14ac:dyDescent="0.25">
      <c r="B12" s="7" t="s">
        <v>58</v>
      </c>
      <c r="C12" s="9"/>
      <c r="D12" s="9"/>
      <c r="E12" s="9"/>
    </row>
    <row r="13" spans="2:5" x14ac:dyDescent="0.25">
      <c r="B13" s="7" t="s">
        <v>59</v>
      </c>
      <c r="C13" s="10"/>
      <c r="D13" s="10"/>
      <c r="E13" s="10"/>
    </row>
    <row r="14" spans="2:5" x14ac:dyDescent="0.25">
      <c r="B14" s="7" t="s">
        <v>60</v>
      </c>
      <c r="C14" s="10"/>
      <c r="D14" s="10"/>
      <c r="E14" s="10"/>
    </row>
    <row r="15" ht="27" customHeight="1" spans="2:9" x14ac:dyDescent="0.25">
      <c r="B15" s="7" t="s">
        <v>61</v>
      </c>
      <c r="C15" s="8"/>
      <c r="D15" s="8"/>
      <c r="E15" s="8"/>
      <c r="F15" s="8"/>
      <c r="G15" s="8"/>
      <c r="H15" s="8"/>
      <c r="I15" s="8"/>
    </row>
    <row r="16" spans="2:5" x14ac:dyDescent="0.25">
      <c r="B16" s="7" t="s">
        <v>62</v>
      </c>
      <c r="C16" s="11"/>
      <c r="D16" s="11"/>
      <c r="E16" s="11"/>
    </row>
    <row r="17" ht="27" customHeight="1" spans="2:9" x14ac:dyDescent="0.25">
      <c r="B17" s="7" t="s">
        <v>63</v>
      </c>
      <c r="C17" s="8"/>
      <c r="D17" s="8"/>
      <c r="E17" s="8"/>
      <c r="F17" s="8"/>
      <c r="G17" s="8"/>
      <c r="H17" s="8"/>
      <c r="I17" s="8"/>
    </row>
    <row r="19" ht="18" customHeight="1" spans="2:10" x14ac:dyDescent="0.25">
      <c r="B19" s="5" t="s">
        <v>64</v>
      </c>
      <c r="C19" s="6"/>
      <c r="D19" s="6"/>
      <c r="E19" s="6"/>
      <c r="F19" s="6"/>
      <c r="G19" s="6"/>
      <c r="H19" s="6"/>
      <c r="I19" s="6"/>
      <c r="J19" s="6"/>
    </row>
    <row r="20" hidden="1" spans="2:9" x14ac:dyDescent="0.25">
      <c r="B20" t="s">
        <v>65</v>
      </c>
      <c r="C20" t="s">
        <v>0</v>
      </c>
      <c r="D20" t="s">
        <v>66</v>
      </c>
      <c r="E20" t="s">
        <v>67</v>
      </c>
      <c r="F20" t="s">
        <v>68</v>
      </c>
      <c r="G20" t="s">
        <v>1</v>
      </c>
      <c r="H20" t="s">
        <v>69</v>
      </c>
      <c r="I20" t="s">
        <v>70</v>
      </c>
    </row>
    <row r="21" ht="30" customHeight="1" spans="2:10" x14ac:dyDescent="0.25">
      <c r="B21" s="12" t="s">
        <v>71</v>
      </c>
      <c r="C21" s="12" t="s">
        <v>72</v>
      </c>
      <c r="D21" s="13" t="s">
        <v>73</v>
      </c>
      <c r="E21" s="13" t="s">
        <v>74</v>
      </c>
      <c r="F21" s="12" t="s">
        <v>75</v>
      </c>
      <c r="G21" s="12" t="s">
        <v>76</v>
      </c>
      <c r="H21" s="12" t="s">
        <v>77</v>
      </c>
      <c r="I21" s="12" t="s">
        <v>78</v>
      </c>
      <c r="J21" s="13" t="s">
        <v>79</v>
      </c>
    </row>
    <row r="22" ht="15" customHeight="1" spans="2:26" x14ac:dyDescent="0.25">
      <c r="B22" s="8"/>
      <c r="C22" s="10"/>
      <c r="D22" s="11"/>
      <c r="E22" s="11"/>
      <c r="F22" s="10"/>
      <c r="G22" s="10"/>
      <c r="H22" s="10"/>
      <c r="I22" s="14"/>
      <c r="J22" s="15">
        <f>IF(L22=1,M22-N22,"")</f>
      </c>
      <c r="L22">
        <f>IF(AND(OR(C22="Property",C22="Shares and unit trusts",C22="Other investment",C22="Business interest"),NOT(AND(OR(G22="Spouse",AND(G22="Estate (residue)",'Inputs'!$C$14="Spouse")),H22&lt;&gt;"Yes"))),1,0)</f>
      </c>
      <c r="M22">
        <f>IF(L22=1,N(D22)-N(E22),0)</f>
      </c>
      <c r="N22">
        <f>IF(AND(L22=1,F22="Yes",M22&gt;0),MIN(M22,'Inputs'!$H$121),0)</f>
      </c>
      <c r="O22">
        <f>IF(OR(C22="Cash and deposits",H22="Yes"),N(D22),0)</f>
      </c>
      <c r="P22">
        <f>IF(C22="Property",ROUND('Inputs'!$C$125/100*N(D22),2),0)</f>
      </c>
      <c r="Q22">
        <f>IF(AND(C22="Property",H22="Yes"),ROUND('Inputs'!$C$126/100*(1+'Inputs'!$C$121/100)*N(D22),2),0)</f>
      </c>
      <c r="R22">
        <f>IF(G22="Spouse",N(D22),0)</f>
      </c>
      <c r="S22">
        <f>IF(G22="Named heir",N(D22),0)</f>
      </c>
      <c r="T22">
        <f>IF(AND(L22=1,N(D22)&gt;0,E22=""),1,0)</f>
      </c>
      <c r="U22">
        <f>ROUND('Workings'!$C$40*S22,2)</f>
      </c>
      <c r="V22">
        <f>ROUND('Workings'!$D$40*S22,2)</f>
      </c>
      <c r="W22">
        <f>IF(AND(B22="",N(D22)=0),0,IF(OR(C22="",G22=""),1,0))</f>
      </c>
      <c r="X22">
        <f>IF(S22&gt;0,COUNTIF(S$22:S22,"&gt;0"),0)</f>
      </c>
      <c r="Y22">
        <f>IF(AND(G22="Estate (residue)",H22&lt;&gt;"Yes",OR(C22="Shares and unit trusts",C22="Other investment",C22="Tax-free investment")),N(D22),0)</f>
      </c>
      <c r="Z22">
        <f>IF(AND(G22="Spouse",H22&lt;&gt;"Yes",OR(C22="Shares and unit trusts",C22="Other investment",C22="Tax-free investment")),N(D22),0)</f>
      </c>
    </row>
    <row r="23" ht="15" customHeight="1" spans="2:26" x14ac:dyDescent="0.25">
      <c r="B23" s="8"/>
      <c r="C23" s="10"/>
      <c r="D23" s="11"/>
      <c r="E23" s="11"/>
      <c r="F23" s="10"/>
      <c r="G23" s="10"/>
      <c r="H23" s="10"/>
      <c r="I23" s="14"/>
      <c r="J23" s="15">
        <f>IF(L23=1,M23-N23,"")</f>
      </c>
      <c r="L23">
        <f>IF(AND(OR(C23="Property",C23="Shares and unit trusts",C23="Other investment",C23="Business interest"),NOT(AND(OR(G23="Spouse",AND(G23="Estate (residue)",'Inputs'!$C$14="Spouse")),H23&lt;&gt;"Yes"))),1,0)</f>
      </c>
      <c r="M23">
        <f>IF(L23=1,N(D23)-N(E23),0)</f>
      </c>
      <c r="N23">
        <f>IF(AND(L23=1,F23="Yes",M23&gt;0),MIN(M23,'Inputs'!$H$121),0)</f>
      </c>
      <c r="O23">
        <f>IF(OR(C23="Cash and deposits",H23="Yes"),N(D23),0)</f>
      </c>
      <c r="P23">
        <f>IF(C23="Property",ROUND('Inputs'!$C$125/100*N(D23),2),0)</f>
      </c>
      <c r="Q23">
        <f>IF(AND(C23="Property",H23="Yes"),ROUND('Inputs'!$C$126/100*(1+'Inputs'!$C$121/100)*N(D23),2),0)</f>
      </c>
      <c r="R23">
        <f>IF(G23="Spouse",N(D23),0)</f>
      </c>
      <c r="S23">
        <f>IF(G23="Named heir",N(D23),0)</f>
      </c>
      <c r="T23">
        <f>IF(AND(L23=1,N(D23)&gt;0,E23=""),1,0)</f>
      </c>
      <c r="U23">
        <f>ROUND('Workings'!$C$40*S23,2)</f>
      </c>
      <c r="V23">
        <f>ROUND('Workings'!$D$40*S23,2)</f>
      </c>
      <c r="W23">
        <f>IF(AND(B23="",N(D23)=0),0,IF(OR(C23="",G23=""),1,0))</f>
      </c>
      <c r="X23">
        <f>IF(S23&gt;0,COUNTIF(S$22:S23,"&gt;0"),0)</f>
      </c>
      <c r="Y23">
        <f>IF(AND(G23="Estate (residue)",H23&lt;&gt;"Yes",OR(C23="Shares and unit trusts",C23="Other investment",C23="Tax-free investment")),N(D23),0)</f>
      </c>
      <c r="Z23">
        <f>IF(AND(G23="Spouse",H23&lt;&gt;"Yes",OR(C23="Shares and unit trusts",C23="Other investment",C23="Tax-free investment")),N(D23),0)</f>
      </c>
    </row>
    <row r="24" ht="15" customHeight="1" spans="2:26" x14ac:dyDescent="0.25">
      <c r="B24" s="8"/>
      <c r="C24" s="10"/>
      <c r="D24" s="11"/>
      <c r="E24" s="11"/>
      <c r="F24" s="10"/>
      <c r="G24" s="10"/>
      <c r="H24" s="10"/>
      <c r="I24" s="14"/>
      <c r="J24" s="15">
        <f>IF(L24=1,M24-N24,"")</f>
      </c>
      <c r="L24">
        <f>IF(AND(OR(C24="Property",C24="Shares and unit trusts",C24="Other investment",C24="Business interest"),NOT(AND(OR(G24="Spouse",AND(G24="Estate (residue)",'Inputs'!$C$14="Spouse")),H24&lt;&gt;"Yes"))),1,0)</f>
      </c>
      <c r="M24">
        <f>IF(L24=1,N(D24)-N(E24),0)</f>
      </c>
      <c r="N24">
        <f>IF(AND(L24=1,F24="Yes",M24&gt;0),MIN(M24,'Inputs'!$H$121),0)</f>
      </c>
      <c r="O24">
        <f>IF(OR(C24="Cash and deposits",H24="Yes"),N(D24),0)</f>
      </c>
      <c r="P24">
        <f>IF(C24="Property",ROUND('Inputs'!$C$125/100*N(D24),2),0)</f>
      </c>
      <c r="Q24">
        <f>IF(AND(C24="Property",H24="Yes"),ROUND('Inputs'!$C$126/100*(1+'Inputs'!$C$121/100)*N(D24),2),0)</f>
      </c>
      <c r="R24">
        <f>IF(G24="Spouse",N(D24),0)</f>
      </c>
      <c r="S24">
        <f>IF(G24="Named heir",N(D24),0)</f>
      </c>
      <c r="T24">
        <f>IF(AND(L24=1,N(D24)&gt;0,E24=""),1,0)</f>
      </c>
      <c r="U24">
        <f>ROUND('Workings'!$C$40*S24,2)</f>
      </c>
      <c r="V24">
        <f>ROUND('Workings'!$D$40*S24,2)</f>
      </c>
      <c r="W24">
        <f>IF(AND(B24="",N(D24)=0),0,IF(OR(C24="",G24=""),1,0))</f>
      </c>
      <c r="X24">
        <f>IF(S24&gt;0,COUNTIF(S$22:S24,"&gt;0"),0)</f>
      </c>
      <c r="Y24">
        <f>IF(AND(G24="Estate (residue)",H24&lt;&gt;"Yes",OR(C24="Shares and unit trusts",C24="Other investment",C24="Tax-free investment")),N(D24),0)</f>
      </c>
      <c r="Z24">
        <f>IF(AND(G24="Spouse",H24&lt;&gt;"Yes",OR(C24="Shares and unit trusts",C24="Other investment",C24="Tax-free investment")),N(D24),0)</f>
      </c>
    </row>
    <row r="25" ht="15" customHeight="1" spans="2:26" x14ac:dyDescent="0.25">
      <c r="B25" s="8"/>
      <c r="C25" s="10"/>
      <c r="D25" s="11"/>
      <c r="E25" s="11"/>
      <c r="F25" s="10"/>
      <c r="G25" s="10"/>
      <c r="H25" s="10"/>
      <c r="I25" s="14"/>
      <c r="J25" s="15">
        <f>IF(L25=1,M25-N25,"")</f>
      </c>
      <c r="L25">
        <f>IF(AND(OR(C25="Property",C25="Shares and unit trusts",C25="Other investment",C25="Business interest"),NOT(AND(OR(G25="Spouse",AND(G25="Estate (residue)",'Inputs'!$C$14="Spouse")),H25&lt;&gt;"Yes"))),1,0)</f>
      </c>
      <c r="M25">
        <f>IF(L25=1,N(D25)-N(E25),0)</f>
      </c>
      <c r="N25">
        <f>IF(AND(L25=1,F25="Yes",M25&gt;0),MIN(M25,'Inputs'!$H$121),0)</f>
      </c>
      <c r="O25">
        <f>IF(OR(C25="Cash and deposits",H25="Yes"),N(D25),0)</f>
      </c>
      <c r="P25">
        <f>IF(C25="Property",ROUND('Inputs'!$C$125/100*N(D25),2),0)</f>
      </c>
      <c r="Q25">
        <f>IF(AND(C25="Property",H25="Yes"),ROUND('Inputs'!$C$126/100*(1+'Inputs'!$C$121/100)*N(D25),2),0)</f>
      </c>
      <c r="R25">
        <f>IF(G25="Spouse",N(D25),0)</f>
      </c>
      <c r="S25">
        <f>IF(G25="Named heir",N(D25),0)</f>
      </c>
      <c r="T25">
        <f>IF(AND(L25=1,N(D25)&gt;0,E25=""),1,0)</f>
      </c>
      <c r="U25">
        <f>ROUND('Workings'!$C$40*S25,2)</f>
      </c>
      <c r="V25">
        <f>ROUND('Workings'!$D$40*S25,2)</f>
      </c>
      <c r="W25">
        <f>IF(AND(B25="",N(D25)=0),0,IF(OR(C25="",G25=""),1,0))</f>
      </c>
      <c r="X25">
        <f>IF(S25&gt;0,COUNTIF(S$22:S25,"&gt;0"),0)</f>
      </c>
      <c r="Y25">
        <f>IF(AND(G25="Estate (residue)",H25&lt;&gt;"Yes",OR(C25="Shares and unit trusts",C25="Other investment",C25="Tax-free investment")),N(D25),0)</f>
      </c>
      <c r="Z25">
        <f>IF(AND(G25="Spouse",H25&lt;&gt;"Yes",OR(C25="Shares and unit trusts",C25="Other investment",C25="Tax-free investment")),N(D25),0)</f>
      </c>
    </row>
    <row r="26" ht="15" customHeight="1" spans="2:26" x14ac:dyDescent="0.25">
      <c r="B26" s="8"/>
      <c r="C26" s="10"/>
      <c r="D26" s="11"/>
      <c r="E26" s="11"/>
      <c r="F26" s="10"/>
      <c r="G26" s="10"/>
      <c r="H26" s="10"/>
      <c r="I26" s="14"/>
      <c r="J26" s="15">
        <f>IF(L26=1,M26-N26,"")</f>
      </c>
      <c r="L26">
        <f>IF(AND(OR(C26="Property",C26="Shares and unit trusts",C26="Other investment",C26="Business interest"),NOT(AND(OR(G26="Spouse",AND(G26="Estate (residue)",'Inputs'!$C$14="Spouse")),H26&lt;&gt;"Yes"))),1,0)</f>
      </c>
      <c r="M26">
        <f>IF(L26=1,N(D26)-N(E26),0)</f>
      </c>
      <c r="N26">
        <f>IF(AND(L26=1,F26="Yes",M26&gt;0),MIN(M26,'Inputs'!$H$121),0)</f>
      </c>
      <c r="O26">
        <f>IF(OR(C26="Cash and deposits",H26="Yes"),N(D26),0)</f>
      </c>
      <c r="P26">
        <f>IF(C26="Property",ROUND('Inputs'!$C$125/100*N(D26),2),0)</f>
      </c>
      <c r="Q26">
        <f>IF(AND(C26="Property",H26="Yes"),ROUND('Inputs'!$C$126/100*(1+'Inputs'!$C$121/100)*N(D26),2),0)</f>
      </c>
      <c r="R26">
        <f>IF(G26="Spouse",N(D26),0)</f>
      </c>
      <c r="S26">
        <f>IF(G26="Named heir",N(D26),0)</f>
      </c>
      <c r="T26">
        <f>IF(AND(L26=1,N(D26)&gt;0,E26=""),1,0)</f>
      </c>
      <c r="U26">
        <f>ROUND('Workings'!$C$40*S26,2)</f>
      </c>
      <c r="V26">
        <f>ROUND('Workings'!$D$40*S26,2)</f>
      </c>
      <c r="W26">
        <f>IF(AND(B26="",N(D26)=0),0,IF(OR(C26="",G26=""),1,0))</f>
      </c>
      <c r="X26">
        <f>IF(S26&gt;0,COUNTIF(S$22:S26,"&gt;0"),0)</f>
      </c>
      <c r="Y26">
        <f>IF(AND(G26="Estate (residue)",H26&lt;&gt;"Yes",OR(C26="Shares and unit trusts",C26="Other investment",C26="Tax-free investment")),N(D26),0)</f>
      </c>
      <c r="Z26">
        <f>IF(AND(G26="Spouse",H26&lt;&gt;"Yes",OR(C26="Shares and unit trusts",C26="Other investment",C26="Tax-free investment")),N(D26),0)</f>
      </c>
    </row>
    <row r="27" ht="15" customHeight="1" spans="2:26" x14ac:dyDescent="0.25">
      <c r="B27" s="8"/>
      <c r="C27" s="10"/>
      <c r="D27" s="11"/>
      <c r="E27" s="11"/>
      <c r="F27" s="10"/>
      <c r="G27" s="10"/>
      <c r="H27" s="10"/>
      <c r="I27" s="14"/>
      <c r="J27" s="15">
        <f>IF(L27=1,M27-N27,"")</f>
      </c>
      <c r="L27">
        <f>IF(AND(OR(C27="Property",C27="Shares and unit trusts",C27="Other investment",C27="Business interest"),NOT(AND(OR(G27="Spouse",AND(G27="Estate (residue)",'Inputs'!$C$14="Spouse")),H27&lt;&gt;"Yes"))),1,0)</f>
      </c>
      <c r="M27">
        <f>IF(L27=1,N(D27)-N(E27),0)</f>
      </c>
      <c r="N27">
        <f>IF(AND(L27=1,F27="Yes",M27&gt;0),MIN(M27,'Inputs'!$H$121),0)</f>
      </c>
      <c r="O27">
        <f>IF(OR(C27="Cash and deposits",H27="Yes"),N(D27),0)</f>
      </c>
      <c r="P27">
        <f>IF(C27="Property",ROUND('Inputs'!$C$125/100*N(D27),2),0)</f>
      </c>
      <c r="Q27">
        <f>IF(AND(C27="Property",H27="Yes"),ROUND('Inputs'!$C$126/100*(1+'Inputs'!$C$121/100)*N(D27),2),0)</f>
      </c>
      <c r="R27">
        <f>IF(G27="Spouse",N(D27),0)</f>
      </c>
      <c r="S27">
        <f>IF(G27="Named heir",N(D27),0)</f>
      </c>
      <c r="T27">
        <f>IF(AND(L27=1,N(D27)&gt;0,E27=""),1,0)</f>
      </c>
      <c r="U27">
        <f>ROUND('Workings'!$C$40*S27,2)</f>
      </c>
      <c r="V27">
        <f>ROUND('Workings'!$D$40*S27,2)</f>
      </c>
      <c r="W27">
        <f>IF(AND(B27="",N(D27)=0),0,IF(OR(C27="",G27=""),1,0))</f>
      </c>
      <c r="X27">
        <f>IF(S27&gt;0,COUNTIF(S$22:S27,"&gt;0"),0)</f>
      </c>
      <c r="Y27">
        <f>IF(AND(G27="Estate (residue)",H27&lt;&gt;"Yes",OR(C27="Shares and unit trusts",C27="Other investment",C27="Tax-free investment")),N(D27),0)</f>
      </c>
      <c r="Z27">
        <f>IF(AND(G27="Spouse",H27&lt;&gt;"Yes",OR(C27="Shares and unit trusts",C27="Other investment",C27="Tax-free investment")),N(D27),0)</f>
      </c>
    </row>
    <row r="28" ht="15" customHeight="1" spans="2:26" x14ac:dyDescent="0.25">
      <c r="B28" s="8"/>
      <c r="C28" s="10"/>
      <c r="D28" s="11"/>
      <c r="E28" s="11"/>
      <c r="F28" s="10"/>
      <c r="G28" s="10"/>
      <c r="H28" s="10"/>
      <c r="I28" s="14"/>
      <c r="J28" s="15">
        <f>IF(L28=1,M28-N28,"")</f>
      </c>
      <c r="L28">
        <f>IF(AND(OR(C28="Property",C28="Shares and unit trusts",C28="Other investment",C28="Business interest"),NOT(AND(OR(G28="Spouse",AND(G28="Estate (residue)",'Inputs'!$C$14="Spouse")),H28&lt;&gt;"Yes"))),1,0)</f>
      </c>
      <c r="M28">
        <f>IF(L28=1,N(D28)-N(E28),0)</f>
      </c>
      <c r="N28">
        <f>IF(AND(L28=1,F28="Yes",M28&gt;0),MIN(M28,'Inputs'!$H$121),0)</f>
      </c>
      <c r="O28">
        <f>IF(OR(C28="Cash and deposits",H28="Yes"),N(D28),0)</f>
      </c>
      <c r="P28">
        <f>IF(C28="Property",ROUND('Inputs'!$C$125/100*N(D28),2),0)</f>
      </c>
      <c r="Q28">
        <f>IF(AND(C28="Property",H28="Yes"),ROUND('Inputs'!$C$126/100*(1+'Inputs'!$C$121/100)*N(D28),2),0)</f>
      </c>
      <c r="R28">
        <f>IF(G28="Spouse",N(D28),0)</f>
      </c>
      <c r="S28">
        <f>IF(G28="Named heir",N(D28),0)</f>
      </c>
      <c r="T28">
        <f>IF(AND(L28=1,N(D28)&gt;0,E28=""),1,0)</f>
      </c>
      <c r="U28">
        <f>ROUND('Workings'!$C$40*S28,2)</f>
      </c>
      <c r="V28">
        <f>ROUND('Workings'!$D$40*S28,2)</f>
      </c>
      <c r="W28">
        <f>IF(AND(B28="",N(D28)=0),0,IF(OR(C28="",G28=""),1,0))</f>
      </c>
      <c r="X28">
        <f>IF(S28&gt;0,COUNTIF(S$22:S28,"&gt;0"),0)</f>
      </c>
      <c r="Y28">
        <f>IF(AND(G28="Estate (residue)",H28&lt;&gt;"Yes",OR(C28="Shares and unit trusts",C28="Other investment",C28="Tax-free investment")),N(D28),0)</f>
      </c>
      <c r="Z28">
        <f>IF(AND(G28="Spouse",H28&lt;&gt;"Yes",OR(C28="Shares and unit trusts",C28="Other investment",C28="Tax-free investment")),N(D28),0)</f>
      </c>
    </row>
    <row r="29" ht="15" customHeight="1" spans="2:26" x14ac:dyDescent="0.25">
      <c r="B29" s="8"/>
      <c r="C29" s="10"/>
      <c r="D29" s="11"/>
      <c r="E29" s="11"/>
      <c r="F29" s="10"/>
      <c r="G29" s="10"/>
      <c r="H29" s="10"/>
      <c r="I29" s="14"/>
      <c r="J29" s="15">
        <f>IF(L29=1,M29-N29,"")</f>
      </c>
      <c r="L29">
        <f>IF(AND(OR(C29="Property",C29="Shares and unit trusts",C29="Other investment",C29="Business interest"),NOT(AND(OR(G29="Spouse",AND(G29="Estate (residue)",'Inputs'!$C$14="Spouse")),H29&lt;&gt;"Yes"))),1,0)</f>
      </c>
      <c r="M29">
        <f>IF(L29=1,N(D29)-N(E29),0)</f>
      </c>
      <c r="N29">
        <f>IF(AND(L29=1,F29="Yes",M29&gt;0),MIN(M29,'Inputs'!$H$121),0)</f>
      </c>
      <c r="O29">
        <f>IF(OR(C29="Cash and deposits",H29="Yes"),N(D29),0)</f>
      </c>
      <c r="P29">
        <f>IF(C29="Property",ROUND('Inputs'!$C$125/100*N(D29),2),0)</f>
      </c>
      <c r="Q29">
        <f>IF(AND(C29="Property",H29="Yes"),ROUND('Inputs'!$C$126/100*(1+'Inputs'!$C$121/100)*N(D29),2),0)</f>
      </c>
      <c r="R29">
        <f>IF(G29="Spouse",N(D29),0)</f>
      </c>
      <c r="S29">
        <f>IF(G29="Named heir",N(D29),0)</f>
      </c>
      <c r="T29">
        <f>IF(AND(L29=1,N(D29)&gt;0,E29=""),1,0)</f>
      </c>
      <c r="U29">
        <f>ROUND('Workings'!$C$40*S29,2)</f>
      </c>
      <c r="V29">
        <f>ROUND('Workings'!$D$40*S29,2)</f>
      </c>
      <c r="W29">
        <f>IF(AND(B29="",N(D29)=0),0,IF(OR(C29="",G29=""),1,0))</f>
      </c>
      <c r="X29">
        <f>IF(S29&gt;0,COUNTIF(S$22:S29,"&gt;0"),0)</f>
      </c>
      <c r="Y29">
        <f>IF(AND(G29="Estate (residue)",H29&lt;&gt;"Yes",OR(C29="Shares and unit trusts",C29="Other investment",C29="Tax-free investment")),N(D29),0)</f>
      </c>
      <c r="Z29">
        <f>IF(AND(G29="Spouse",H29&lt;&gt;"Yes",OR(C29="Shares and unit trusts",C29="Other investment",C29="Tax-free investment")),N(D29),0)</f>
      </c>
    </row>
    <row r="30" ht="15" customHeight="1" spans="2:26" x14ac:dyDescent="0.25">
      <c r="B30" s="8"/>
      <c r="C30" s="10"/>
      <c r="D30" s="11"/>
      <c r="E30" s="11"/>
      <c r="F30" s="10"/>
      <c r="G30" s="10"/>
      <c r="H30" s="10"/>
      <c r="I30" s="14"/>
      <c r="J30" s="15">
        <f>IF(L30=1,M30-N30,"")</f>
      </c>
      <c r="L30">
        <f>IF(AND(OR(C30="Property",C30="Shares and unit trusts",C30="Other investment",C30="Business interest"),NOT(AND(OR(G30="Spouse",AND(G30="Estate (residue)",'Inputs'!$C$14="Spouse")),H30&lt;&gt;"Yes"))),1,0)</f>
      </c>
      <c r="M30">
        <f>IF(L30=1,N(D30)-N(E30),0)</f>
      </c>
      <c r="N30">
        <f>IF(AND(L30=1,F30="Yes",M30&gt;0),MIN(M30,'Inputs'!$H$121),0)</f>
      </c>
      <c r="O30">
        <f>IF(OR(C30="Cash and deposits",H30="Yes"),N(D30),0)</f>
      </c>
      <c r="P30">
        <f>IF(C30="Property",ROUND('Inputs'!$C$125/100*N(D30),2),0)</f>
      </c>
      <c r="Q30">
        <f>IF(AND(C30="Property",H30="Yes"),ROUND('Inputs'!$C$126/100*(1+'Inputs'!$C$121/100)*N(D30),2),0)</f>
      </c>
      <c r="R30">
        <f>IF(G30="Spouse",N(D30),0)</f>
      </c>
      <c r="S30">
        <f>IF(G30="Named heir",N(D30),0)</f>
      </c>
      <c r="T30">
        <f>IF(AND(L30=1,N(D30)&gt;0,E30=""),1,0)</f>
      </c>
      <c r="U30">
        <f>ROUND('Workings'!$C$40*S30,2)</f>
      </c>
      <c r="V30">
        <f>ROUND('Workings'!$D$40*S30,2)</f>
      </c>
      <c r="W30">
        <f>IF(AND(B30="",N(D30)=0),0,IF(OR(C30="",G30=""),1,0))</f>
      </c>
      <c r="X30">
        <f>IF(S30&gt;0,COUNTIF(S$22:S30,"&gt;0"),0)</f>
      </c>
      <c r="Y30">
        <f>IF(AND(G30="Estate (residue)",H30&lt;&gt;"Yes",OR(C30="Shares and unit trusts",C30="Other investment",C30="Tax-free investment")),N(D30),0)</f>
      </c>
      <c r="Z30">
        <f>IF(AND(G30="Spouse",H30&lt;&gt;"Yes",OR(C30="Shares and unit trusts",C30="Other investment",C30="Tax-free investment")),N(D30),0)</f>
      </c>
    </row>
    <row r="31" ht="15" customHeight="1" spans="2:26" x14ac:dyDescent="0.25">
      <c r="B31" s="8"/>
      <c r="C31" s="10"/>
      <c r="D31" s="11"/>
      <c r="E31" s="11"/>
      <c r="F31" s="10"/>
      <c r="G31" s="10"/>
      <c r="H31" s="10"/>
      <c r="I31" s="14"/>
      <c r="J31" s="15">
        <f>IF(L31=1,M31-N31,"")</f>
      </c>
      <c r="L31">
        <f>IF(AND(OR(C31="Property",C31="Shares and unit trusts",C31="Other investment",C31="Business interest"),NOT(AND(OR(G31="Spouse",AND(G31="Estate (residue)",'Inputs'!$C$14="Spouse")),H31&lt;&gt;"Yes"))),1,0)</f>
      </c>
      <c r="M31">
        <f>IF(L31=1,N(D31)-N(E31),0)</f>
      </c>
      <c r="N31">
        <f>IF(AND(L31=1,F31="Yes",M31&gt;0),MIN(M31,'Inputs'!$H$121),0)</f>
      </c>
      <c r="O31">
        <f>IF(OR(C31="Cash and deposits",H31="Yes"),N(D31),0)</f>
      </c>
      <c r="P31">
        <f>IF(C31="Property",ROUND('Inputs'!$C$125/100*N(D31),2),0)</f>
      </c>
      <c r="Q31">
        <f>IF(AND(C31="Property",H31="Yes"),ROUND('Inputs'!$C$126/100*(1+'Inputs'!$C$121/100)*N(D31),2),0)</f>
      </c>
      <c r="R31">
        <f>IF(G31="Spouse",N(D31),0)</f>
      </c>
      <c r="S31">
        <f>IF(G31="Named heir",N(D31),0)</f>
      </c>
      <c r="T31">
        <f>IF(AND(L31=1,N(D31)&gt;0,E31=""),1,0)</f>
      </c>
      <c r="U31">
        <f>ROUND('Workings'!$C$40*S31,2)</f>
      </c>
      <c r="V31">
        <f>ROUND('Workings'!$D$40*S31,2)</f>
      </c>
      <c r="W31">
        <f>IF(AND(B31="",N(D31)=0),0,IF(OR(C31="",G31=""),1,0))</f>
      </c>
      <c r="X31">
        <f>IF(S31&gt;0,COUNTIF(S$22:S31,"&gt;0"),0)</f>
      </c>
      <c r="Y31">
        <f>IF(AND(G31="Estate (residue)",H31&lt;&gt;"Yes",OR(C31="Shares and unit trusts",C31="Other investment",C31="Tax-free investment")),N(D31),0)</f>
      </c>
      <c r="Z31">
        <f>IF(AND(G31="Spouse",H31&lt;&gt;"Yes",OR(C31="Shares and unit trusts",C31="Other investment",C31="Tax-free investment")),N(D31),0)</f>
      </c>
    </row>
    <row r="32" ht="15" customHeight="1" spans="2:26" x14ac:dyDescent="0.25">
      <c r="B32" s="8"/>
      <c r="C32" s="10"/>
      <c r="D32" s="11"/>
      <c r="E32" s="11"/>
      <c r="F32" s="10"/>
      <c r="G32" s="10"/>
      <c r="H32" s="10"/>
      <c r="I32" s="14"/>
      <c r="J32" s="15">
        <f>IF(L32=1,M32-N32,"")</f>
      </c>
      <c r="L32">
        <f>IF(AND(OR(C32="Property",C32="Shares and unit trusts",C32="Other investment",C32="Business interest"),NOT(AND(OR(G32="Spouse",AND(G32="Estate (residue)",'Inputs'!$C$14="Spouse")),H32&lt;&gt;"Yes"))),1,0)</f>
      </c>
      <c r="M32">
        <f>IF(L32=1,N(D32)-N(E32),0)</f>
      </c>
      <c r="N32">
        <f>IF(AND(L32=1,F32="Yes",M32&gt;0),MIN(M32,'Inputs'!$H$121),0)</f>
      </c>
      <c r="O32">
        <f>IF(OR(C32="Cash and deposits",H32="Yes"),N(D32),0)</f>
      </c>
      <c r="P32">
        <f>IF(C32="Property",ROUND('Inputs'!$C$125/100*N(D32),2),0)</f>
      </c>
      <c r="Q32">
        <f>IF(AND(C32="Property",H32="Yes"),ROUND('Inputs'!$C$126/100*(1+'Inputs'!$C$121/100)*N(D32),2),0)</f>
      </c>
      <c r="R32">
        <f>IF(G32="Spouse",N(D32),0)</f>
      </c>
      <c r="S32">
        <f>IF(G32="Named heir",N(D32),0)</f>
      </c>
      <c r="T32">
        <f>IF(AND(L32=1,N(D32)&gt;0,E32=""),1,0)</f>
      </c>
      <c r="U32">
        <f>ROUND('Workings'!$C$40*S32,2)</f>
      </c>
      <c r="V32">
        <f>ROUND('Workings'!$D$40*S32,2)</f>
      </c>
      <c r="W32">
        <f>IF(AND(B32="",N(D32)=0),0,IF(OR(C32="",G32=""),1,0))</f>
      </c>
      <c r="X32">
        <f>IF(S32&gt;0,COUNTIF(S$22:S32,"&gt;0"),0)</f>
      </c>
      <c r="Y32">
        <f>IF(AND(G32="Estate (residue)",H32&lt;&gt;"Yes",OR(C32="Shares and unit trusts",C32="Other investment",C32="Tax-free investment")),N(D32),0)</f>
      </c>
      <c r="Z32">
        <f>IF(AND(G32="Spouse",H32&lt;&gt;"Yes",OR(C32="Shares and unit trusts",C32="Other investment",C32="Tax-free investment")),N(D32),0)</f>
      </c>
    </row>
    <row r="33" ht="15" customHeight="1" spans="2:26" x14ac:dyDescent="0.25">
      <c r="B33" s="8"/>
      <c r="C33" s="10"/>
      <c r="D33" s="11"/>
      <c r="E33" s="11"/>
      <c r="F33" s="10"/>
      <c r="G33" s="10"/>
      <c r="H33" s="10"/>
      <c r="I33" s="14"/>
      <c r="J33" s="15">
        <f>IF(L33=1,M33-N33,"")</f>
      </c>
      <c r="L33">
        <f>IF(AND(OR(C33="Property",C33="Shares and unit trusts",C33="Other investment",C33="Business interest"),NOT(AND(OR(G33="Spouse",AND(G33="Estate (residue)",'Inputs'!$C$14="Spouse")),H33&lt;&gt;"Yes"))),1,0)</f>
      </c>
      <c r="M33">
        <f>IF(L33=1,N(D33)-N(E33),0)</f>
      </c>
      <c r="N33">
        <f>IF(AND(L33=1,F33="Yes",M33&gt;0),MIN(M33,'Inputs'!$H$121),0)</f>
      </c>
      <c r="O33">
        <f>IF(OR(C33="Cash and deposits",H33="Yes"),N(D33),0)</f>
      </c>
      <c r="P33">
        <f>IF(C33="Property",ROUND('Inputs'!$C$125/100*N(D33),2),0)</f>
      </c>
      <c r="Q33">
        <f>IF(AND(C33="Property",H33="Yes"),ROUND('Inputs'!$C$126/100*(1+'Inputs'!$C$121/100)*N(D33),2),0)</f>
      </c>
      <c r="R33">
        <f>IF(G33="Spouse",N(D33),0)</f>
      </c>
      <c r="S33">
        <f>IF(G33="Named heir",N(D33),0)</f>
      </c>
      <c r="T33">
        <f>IF(AND(L33=1,N(D33)&gt;0,E33=""),1,0)</f>
      </c>
      <c r="U33">
        <f>ROUND('Workings'!$C$40*S33,2)</f>
      </c>
      <c r="V33">
        <f>ROUND('Workings'!$D$40*S33,2)</f>
      </c>
      <c r="W33">
        <f>IF(AND(B33="",N(D33)=0),0,IF(OR(C33="",G33=""),1,0))</f>
      </c>
      <c r="X33">
        <f>IF(S33&gt;0,COUNTIF(S$22:S33,"&gt;0"),0)</f>
      </c>
      <c r="Y33">
        <f>IF(AND(G33="Estate (residue)",H33&lt;&gt;"Yes",OR(C33="Shares and unit trusts",C33="Other investment",C33="Tax-free investment")),N(D33),0)</f>
      </c>
      <c r="Z33">
        <f>IF(AND(G33="Spouse",H33&lt;&gt;"Yes",OR(C33="Shares and unit trusts",C33="Other investment",C33="Tax-free investment")),N(D33),0)</f>
      </c>
    </row>
    <row r="34" ht="15" customHeight="1" spans="2:26" x14ac:dyDescent="0.25">
      <c r="B34" s="8"/>
      <c r="C34" s="10"/>
      <c r="D34" s="11"/>
      <c r="E34" s="11"/>
      <c r="F34" s="10"/>
      <c r="G34" s="10"/>
      <c r="H34" s="10"/>
      <c r="I34" s="14"/>
      <c r="J34" s="15">
        <f>IF(L34=1,M34-N34,"")</f>
      </c>
      <c r="L34">
        <f>IF(AND(OR(C34="Property",C34="Shares and unit trusts",C34="Other investment",C34="Business interest"),NOT(AND(OR(G34="Spouse",AND(G34="Estate (residue)",'Inputs'!$C$14="Spouse")),H34&lt;&gt;"Yes"))),1,0)</f>
      </c>
      <c r="M34">
        <f>IF(L34=1,N(D34)-N(E34),0)</f>
      </c>
      <c r="N34">
        <f>IF(AND(L34=1,F34="Yes",M34&gt;0),MIN(M34,'Inputs'!$H$121),0)</f>
      </c>
      <c r="O34">
        <f>IF(OR(C34="Cash and deposits",H34="Yes"),N(D34),0)</f>
      </c>
      <c r="P34">
        <f>IF(C34="Property",ROUND('Inputs'!$C$125/100*N(D34),2),0)</f>
      </c>
      <c r="Q34">
        <f>IF(AND(C34="Property",H34="Yes"),ROUND('Inputs'!$C$126/100*(1+'Inputs'!$C$121/100)*N(D34),2),0)</f>
      </c>
      <c r="R34">
        <f>IF(G34="Spouse",N(D34),0)</f>
      </c>
      <c r="S34">
        <f>IF(G34="Named heir",N(D34),0)</f>
      </c>
      <c r="T34">
        <f>IF(AND(L34=1,N(D34)&gt;0,E34=""),1,0)</f>
      </c>
      <c r="U34">
        <f>ROUND('Workings'!$C$40*S34,2)</f>
      </c>
      <c r="V34">
        <f>ROUND('Workings'!$D$40*S34,2)</f>
      </c>
      <c r="W34">
        <f>IF(AND(B34="",N(D34)=0),0,IF(OR(C34="",G34=""),1,0))</f>
      </c>
      <c r="X34">
        <f>IF(S34&gt;0,COUNTIF(S$22:S34,"&gt;0"),0)</f>
      </c>
      <c r="Y34">
        <f>IF(AND(G34="Estate (residue)",H34&lt;&gt;"Yes",OR(C34="Shares and unit trusts",C34="Other investment",C34="Tax-free investment")),N(D34),0)</f>
      </c>
      <c r="Z34">
        <f>IF(AND(G34="Spouse",H34&lt;&gt;"Yes",OR(C34="Shares and unit trusts",C34="Other investment",C34="Tax-free investment")),N(D34),0)</f>
      </c>
    </row>
    <row r="35" ht="15" customHeight="1" spans="2:26" x14ac:dyDescent="0.25">
      <c r="B35" s="8"/>
      <c r="C35" s="10"/>
      <c r="D35" s="11"/>
      <c r="E35" s="11"/>
      <c r="F35" s="10"/>
      <c r="G35" s="10"/>
      <c r="H35" s="10"/>
      <c r="I35" s="14"/>
      <c r="J35" s="15">
        <f>IF(L35=1,M35-N35,"")</f>
      </c>
      <c r="L35">
        <f>IF(AND(OR(C35="Property",C35="Shares and unit trusts",C35="Other investment",C35="Business interest"),NOT(AND(OR(G35="Spouse",AND(G35="Estate (residue)",'Inputs'!$C$14="Spouse")),H35&lt;&gt;"Yes"))),1,0)</f>
      </c>
      <c r="M35">
        <f>IF(L35=1,N(D35)-N(E35),0)</f>
      </c>
      <c r="N35">
        <f>IF(AND(L35=1,F35="Yes",M35&gt;0),MIN(M35,'Inputs'!$H$121),0)</f>
      </c>
      <c r="O35">
        <f>IF(OR(C35="Cash and deposits",H35="Yes"),N(D35),0)</f>
      </c>
      <c r="P35">
        <f>IF(C35="Property",ROUND('Inputs'!$C$125/100*N(D35),2),0)</f>
      </c>
      <c r="Q35">
        <f>IF(AND(C35="Property",H35="Yes"),ROUND('Inputs'!$C$126/100*(1+'Inputs'!$C$121/100)*N(D35),2),0)</f>
      </c>
      <c r="R35">
        <f>IF(G35="Spouse",N(D35),0)</f>
      </c>
      <c r="S35">
        <f>IF(G35="Named heir",N(D35),0)</f>
      </c>
      <c r="T35">
        <f>IF(AND(L35=1,N(D35)&gt;0,E35=""),1,0)</f>
      </c>
      <c r="U35">
        <f>ROUND('Workings'!$C$40*S35,2)</f>
      </c>
      <c r="V35">
        <f>ROUND('Workings'!$D$40*S35,2)</f>
      </c>
      <c r="W35">
        <f>IF(AND(B35="",N(D35)=0),0,IF(OR(C35="",G35=""),1,0))</f>
      </c>
      <c r="X35">
        <f>IF(S35&gt;0,COUNTIF(S$22:S35,"&gt;0"),0)</f>
      </c>
      <c r="Y35">
        <f>IF(AND(G35="Estate (residue)",H35&lt;&gt;"Yes",OR(C35="Shares and unit trusts",C35="Other investment",C35="Tax-free investment")),N(D35),0)</f>
      </c>
      <c r="Z35">
        <f>IF(AND(G35="Spouse",H35&lt;&gt;"Yes",OR(C35="Shares and unit trusts",C35="Other investment",C35="Tax-free investment")),N(D35),0)</f>
      </c>
    </row>
    <row r="36" ht="15" customHeight="1" spans="2:26" x14ac:dyDescent="0.25">
      <c r="B36" s="8"/>
      <c r="C36" s="10"/>
      <c r="D36" s="11"/>
      <c r="E36" s="11"/>
      <c r="F36" s="10"/>
      <c r="G36" s="10"/>
      <c r="H36" s="10"/>
      <c r="I36" s="14"/>
      <c r="J36" s="15">
        <f>IF(L36=1,M36-N36,"")</f>
      </c>
      <c r="L36">
        <f>IF(AND(OR(C36="Property",C36="Shares and unit trusts",C36="Other investment",C36="Business interest"),NOT(AND(OR(G36="Spouse",AND(G36="Estate (residue)",'Inputs'!$C$14="Spouse")),H36&lt;&gt;"Yes"))),1,0)</f>
      </c>
      <c r="M36">
        <f>IF(L36=1,N(D36)-N(E36),0)</f>
      </c>
      <c r="N36">
        <f>IF(AND(L36=1,F36="Yes",M36&gt;0),MIN(M36,'Inputs'!$H$121),0)</f>
      </c>
      <c r="O36">
        <f>IF(OR(C36="Cash and deposits",H36="Yes"),N(D36),0)</f>
      </c>
      <c r="P36">
        <f>IF(C36="Property",ROUND('Inputs'!$C$125/100*N(D36),2),0)</f>
      </c>
      <c r="Q36">
        <f>IF(AND(C36="Property",H36="Yes"),ROUND('Inputs'!$C$126/100*(1+'Inputs'!$C$121/100)*N(D36),2),0)</f>
      </c>
      <c r="R36">
        <f>IF(G36="Spouse",N(D36),0)</f>
      </c>
      <c r="S36">
        <f>IF(G36="Named heir",N(D36),0)</f>
      </c>
      <c r="T36">
        <f>IF(AND(L36=1,N(D36)&gt;0,E36=""),1,0)</f>
      </c>
      <c r="U36">
        <f>ROUND('Workings'!$C$40*S36,2)</f>
      </c>
      <c r="V36">
        <f>ROUND('Workings'!$D$40*S36,2)</f>
      </c>
      <c r="W36">
        <f>IF(AND(B36="",N(D36)=0),0,IF(OR(C36="",G36=""),1,0))</f>
      </c>
      <c r="X36">
        <f>IF(S36&gt;0,COUNTIF(S$22:S36,"&gt;0"),0)</f>
      </c>
      <c r="Y36">
        <f>IF(AND(G36="Estate (residue)",H36&lt;&gt;"Yes",OR(C36="Shares and unit trusts",C36="Other investment",C36="Tax-free investment")),N(D36),0)</f>
      </c>
      <c r="Z36">
        <f>IF(AND(G36="Spouse",H36&lt;&gt;"Yes",OR(C36="Shares and unit trusts",C36="Other investment",C36="Tax-free investment")),N(D36),0)</f>
      </c>
    </row>
    <row r="37" ht="15" customHeight="1" spans="2:26" x14ac:dyDescent="0.25">
      <c r="B37" s="8"/>
      <c r="C37" s="10"/>
      <c r="D37" s="11"/>
      <c r="E37" s="11"/>
      <c r="F37" s="10"/>
      <c r="G37" s="10"/>
      <c r="H37" s="10"/>
      <c r="I37" s="14"/>
      <c r="J37" s="15">
        <f>IF(L37=1,M37-N37,"")</f>
      </c>
      <c r="L37">
        <f>IF(AND(OR(C37="Property",C37="Shares and unit trusts",C37="Other investment",C37="Business interest"),NOT(AND(OR(G37="Spouse",AND(G37="Estate (residue)",'Inputs'!$C$14="Spouse")),H37&lt;&gt;"Yes"))),1,0)</f>
      </c>
      <c r="M37">
        <f>IF(L37=1,N(D37)-N(E37),0)</f>
      </c>
      <c r="N37">
        <f>IF(AND(L37=1,F37="Yes",M37&gt;0),MIN(M37,'Inputs'!$H$121),0)</f>
      </c>
      <c r="O37">
        <f>IF(OR(C37="Cash and deposits",H37="Yes"),N(D37),0)</f>
      </c>
      <c r="P37">
        <f>IF(C37="Property",ROUND('Inputs'!$C$125/100*N(D37),2),0)</f>
      </c>
      <c r="Q37">
        <f>IF(AND(C37="Property",H37="Yes"),ROUND('Inputs'!$C$126/100*(1+'Inputs'!$C$121/100)*N(D37),2),0)</f>
      </c>
      <c r="R37">
        <f>IF(G37="Spouse",N(D37),0)</f>
      </c>
      <c r="S37">
        <f>IF(G37="Named heir",N(D37),0)</f>
      </c>
      <c r="T37">
        <f>IF(AND(L37=1,N(D37)&gt;0,E37=""),1,0)</f>
      </c>
      <c r="U37">
        <f>ROUND('Workings'!$C$40*S37,2)</f>
      </c>
      <c r="V37">
        <f>ROUND('Workings'!$D$40*S37,2)</f>
      </c>
      <c r="W37">
        <f>IF(AND(B37="",N(D37)=0),0,IF(OR(C37="",G37=""),1,0))</f>
      </c>
      <c r="X37">
        <f>IF(S37&gt;0,COUNTIF(S$22:S37,"&gt;0"),0)</f>
      </c>
      <c r="Y37">
        <f>IF(AND(G37="Estate (residue)",H37&lt;&gt;"Yes",OR(C37="Shares and unit trusts",C37="Other investment",C37="Tax-free investment")),N(D37),0)</f>
      </c>
      <c r="Z37">
        <f>IF(AND(G37="Spouse",H37&lt;&gt;"Yes",OR(C37="Shares and unit trusts",C37="Other investment",C37="Tax-free investment")),N(D37),0)</f>
      </c>
    </row>
    <row r="38" ht="15" customHeight="1" spans="2:26" x14ac:dyDescent="0.25">
      <c r="B38" s="8"/>
      <c r="C38" s="10"/>
      <c r="D38" s="11"/>
      <c r="E38" s="11"/>
      <c r="F38" s="10"/>
      <c r="G38" s="10"/>
      <c r="H38" s="10"/>
      <c r="I38" s="14"/>
      <c r="J38" s="15">
        <f>IF(L38=1,M38-N38,"")</f>
      </c>
      <c r="L38">
        <f>IF(AND(OR(C38="Property",C38="Shares and unit trusts",C38="Other investment",C38="Business interest"),NOT(AND(OR(G38="Spouse",AND(G38="Estate (residue)",'Inputs'!$C$14="Spouse")),H38&lt;&gt;"Yes"))),1,0)</f>
      </c>
      <c r="M38">
        <f>IF(L38=1,N(D38)-N(E38),0)</f>
      </c>
      <c r="N38">
        <f>IF(AND(L38=1,F38="Yes",M38&gt;0),MIN(M38,'Inputs'!$H$121),0)</f>
      </c>
      <c r="O38">
        <f>IF(OR(C38="Cash and deposits",H38="Yes"),N(D38),0)</f>
      </c>
      <c r="P38">
        <f>IF(C38="Property",ROUND('Inputs'!$C$125/100*N(D38),2),0)</f>
      </c>
      <c r="Q38">
        <f>IF(AND(C38="Property",H38="Yes"),ROUND('Inputs'!$C$126/100*(1+'Inputs'!$C$121/100)*N(D38),2),0)</f>
      </c>
      <c r="R38">
        <f>IF(G38="Spouse",N(D38),0)</f>
      </c>
      <c r="S38">
        <f>IF(G38="Named heir",N(D38),0)</f>
      </c>
      <c r="T38">
        <f>IF(AND(L38=1,N(D38)&gt;0,E38=""),1,0)</f>
      </c>
      <c r="U38">
        <f>ROUND('Workings'!$C$40*S38,2)</f>
      </c>
      <c r="V38">
        <f>ROUND('Workings'!$D$40*S38,2)</f>
      </c>
      <c r="W38">
        <f>IF(AND(B38="",N(D38)=0),0,IF(OR(C38="",G38=""),1,0))</f>
      </c>
      <c r="X38">
        <f>IF(S38&gt;0,COUNTIF(S$22:S38,"&gt;0"),0)</f>
      </c>
      <c r="Y38">
        <f>IF(AND(G38="Estate (residue)",H38&lt;&gt;"Yes",OR(C38="Shares and unit trusts",C38="Other investment",C38="Tax-free investment")),N(D38),0)</f>
      </c>
      <c r="Z38">
        <f>IF(AND(G38="Spouse",H38&lt;&gt;"Yes",OR(C38="Shares and unit trusts",C38="Other investment",C38="Tax-free investment")),N(D38),0)</f>
      </c>
    </row>
    <row r="39" ht="15" customHeight="1" spans="2:26" x14ac:dyDescent="0.25">
      <c r="B39" s="8"/>
      <c r="C39" s="10"/>
      <c r="D39" s="11"/>
      <c r="E39" s="11"/>
      <c r="F39" s="10"/>
      <c r="G39" s="10"/>
      <c r="H39" s="10"/>
      <c r="I39" s="14"/>
      <c r="J39" s="15">
        <f>IF(L39=1,M39-N39,"")</f>
      </c>
      <c r="L39">
        <f>IF(AND(OR(C39="Property",C39="Shares and unit trusts",C39="Other investment",C39="Business interest"),NOT(AND(OR(G39="Spouse",AND(G39="Estate (residue)",'Inputs'!$C$14="Spouse")),H39&lt;&gt;"Yes"))),1,0)</f>
      </c>
      <c r="M39">
        <f>IF(L39=1,N(D39)-N(E39),0)</f>
      </c>
      <c r="N39">
        <f>IF(AND(L39=1,F39="Yes",M39&gt;0),MIN(M39,'Inputs'!$H$121),0)</f>
      </c>
      <c r="O39">
        <f>IF(OR(C39="Cash and deposits",H39="Yes"),N(D39),0)</f>
      </c>
      <c r="P39">
        <f>IF(C39="Property",ROUND('Inputs'!$C$125/100*N(D39),2),0)</f>
      </c>
      <c r="Q39">
        <f>IF(AND(C39="Property",H39="Yes"),ROUND('Inputs'!$C$126/100*(1+'Inputs'!$C$121/100)*N(D39),2),0)</f>
      </c>
      <c r="R39">
        <f>IF(G39="Spouse",N(D39),0)</f>
      </c>
      <c r="S39">
        <f>IF(G39="Named heir",N(D39),0)</f>
      </c>
      <c r="T39">
        <f>IF(AND(L39=1,N(D39)&gt;0,E39=""),1,0)</f>
      </c>
      <c r="U39">
        <f>ROUND('Workings'!$C$40*S39,2)</f>
      </c>
      <c r="V39">
        <f>ROUND('Workings'!$D$40*S39,2)</f>
      </c>
      <c r="W39">
        <f>IF(AND(B39="",N(D39)=0),0,IF(OR(C39="",G39=""),1,0))</f>
      </c>
      <c r="X39">
        <f>IF(S39&gt;0,COUNTIF(S$22:S39,"&gt;0"),0)</f>
      </c>
      <c r="Y39">
        <f>IF(AND(G39="Estate (residue)",H39&lt;&gt;"Yes",OR(C39="Shares and unit trusts",C39="Other investment",C39="Tax-free investment")),N(D39),0)</f>
      </c>
      <c r="Z39">
        <f>IF(AND(G39="Spouse",H39&lt;&gt;"Yes",OR(C39="Shares and unit trusts",C39="Other investment",C39="Tax-free investment")),N(D39),0)</f>
      </c>
    </row>
    <row r="40" ht="26" customHeight="1" spans="2:10" x14ac:dyDescent="0.25">
      <c r="B40" s="16" t="s">
        <v>80</v>
      </c>
      <c r="C40" s="16"/>
      <c r="D40" s="16"/>
      <c r="E40" s="16"/>
      <c r="F40" s="16"/>
      <c r="G40" s="16"/>
      <c r="H40" s="16"/>
      <c r="I40" s="16"/>
      <c r="J40" s="16"/>
    </row>
    <row r="42" ht="18" customHeight="1" spans="2:10" x14ac:dyDescent="0.25">
      <c r="B42" s="5" t="s">
        <v>81</v>
      </c>
      <c r="C42" s="6"/>
      <c r="D42" s="6"/>
      <c r="E42" s="6"/>
      <c r="F42" s="6"/>
      <c r="G42" s="6"/>
      <c r="H42" s="6"/>
      <c r="I42" s="6"/>
      <c r="J42" s="6"/>
    </row>
    <row r="43" hidden="1" spans="2:9" x14ac:dyDescent="0.25">
      <c r="B43" t="s">
        <v>65</v>
      </c>
      <c r="D43" t="s">
        <v>82</v>
      </c>
      <c r="I43" t="s">
        <v>70</v>
      </c>
    </row>
    <row r="44" ht="22" customHeight="1" spans="2:9" x14ac:dyDescent="0.25">
      <c r="B44" s="12" t="s">
        <v>83</v>
      </c>
      <c r="D44" s="13" t="s">
        <v>84</v>
      </c>
      <c r="I44" s="12" t="s">
        <v>78</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0" x14ac:dyDescent="0.25">
      <c r="B56" s="5" t="s">
        <v>85</v>
      </c>
      <c r="C56" s="6"/>
      <c r="D56" s="6"/>
      <c r="E56" s="6"/>
      <c r="F56" s="6"/>
      <c r="G56" s="6"/>
      <c r="H56" s="6"/>
      <c r="I56" s="6"/>
      <c r="J56" s="6"/>
    </row>
    <row r="57" hidden="1" spans="2:9" x14ac:dyDescent="0.25">
      <c r="B57" t="s">
        <v>65</v>
      </c>
      <c r="C57" t="s">
        <v>2</v>
      </c>
      <c r="D57" t="s">
        <v>82</v>
      </c>
      <c r="E57" t="s">
        <v>86</v>
      </c>
      <c r="F57" t="s">
        <v>87</v>
      </c>
      <c r="I57" t="s">
        <v>70</v>
      </c>
    </row>
    <row r="58" ht="30" customHeight="1" spans="2:9" x14ac:dyDescent="0.25">
      <c r="B58" s="12" t="s">
        <v>88</v>
      </c>
      <c r="C58" s="12" t="s">
        <v>89</v>
      </c>
      <c r="D58" s="13" t="s">
        <v>90</v>
      </c>
      <c r="E58" s="12" t="s">
        <v>91</v>
      </c>
      <c r="F58" s="12" t="s">
        <v>92</v>
      </c>
      <c r="G58" s="12"/>
      <c r="H58" s="12"/>
      <c r="I58" s="12" t="s">
        <v>78</v>
      </c>
    </row>
    <row r="59" spans="2:18" x14ac:dyDescent="0.25">
      <c r="B59" s="8"/>
      <c r="C59" s="10"/>
      <c r="D59" s="11"/>
      <c r="E59" s="10"/>
      <c r="F59" s="14"/>
      <c r="G59" s="14"/>
      <c r="H59" s="14"/>
      <c r="I59" s="14"/>
      <c r="L59">
        <f>IF(AND(C59="Named person",E59&lt;&gt;"No"),N(D59),0)</f>
      </c>
      <c r="M59">
        <f>ROUND('Workings'!$C$40*L59,2)</f>
      </c>
      <c r="N59">
        <f>ROUND('Workings'!$D$40*L59,2)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ROUND('Workings'!$C$40*L60,2)</f>
      </c>
      <c r="N60">
        <f>ROUND('Workings'!$D$40*L60,2)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ROUND('Workings'!$C$40*L61,2)</f>
      </c>
      <c r="N61">
        <f>ROUND('Workings'!$D$40*L61,2)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ROUND('Workings'!$C$40*L62,2)</f>
      </c>
      <c r="N62">
        <f>ROUND('Workings'!$D$40*L62,2)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ROUND('Workings'!$C$40*L63,2)</f>
      </c>
      <c r="N63">
        <f>ROUND('Workings'!$D$40*L63,2)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ROUND('Workings'!$C$40*L64,2)</f>
      </c>
      <c r="N64">
        <f>ROUND('Workings'!$D$40*L64,2)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ROUND('Workings'!$C$40*L65,2)</f>
      </c>
      <c r="N65">
        <f>ROUND('Workings'!$D$40*L65,2)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ROUND('Workings'!$C$40*L66,2)</f>
      </c>
      <c r="N66">
        <f>ROUND('Workings'!$D$40*L66,2)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ROUND('Workings'!$C$40*L67,2)</f>
      </c>
      <c r="N67">
        <f>ROUND('Workings'!$D$40*L67,2)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ROUND('Workings'!$C$40*L68,2)</f>
      </c>
      <c r="N68">
        <f>ROUND('Workings'!$D$40*L68,2)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ROUND('Workings'!$C$40*L69,2)</f>
      </c>
      <c r="N69">
        <f>ROUND('Workings'!$D$40*L69,2)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ROUND('Workings'!$C$40*L70,2)</f>
      </c>
      <c r="N70">
        <f>ROUND('Workings'!$D$40*L70,2)</f>
      </c>
      <c r="O70">
        <f>IF(L70&gt;0,COUNTIF(S$22:S$39,"&gt;0")+COUNTIF(L$59:L70,"&gt;0"),0)</f>
      </c>
      <c r="P70">
        <v>12</v>
      </c>
      <c r="Q70">
        <f>IF(AND(F70="The children's trust",C70&lt;&gt;"Estate",C70&lt;&gt;""),1,0)</f>
      </c>
      <c r="R70">
        <f>IF(L70&gt;0,1,0)</f>
      </c>
    </row>
    <row r="71" ht="39" customHeight="1" spans="2:10" x14ac:dyDescent="0.25">
      <c r="B71" s="16" t="s">
        <v>93</v>
      </c>
      <c r="C71" s="16"/>
      <c r="D71" s="16"/>
      <c r="E71" s="16"/>
      <c r="F71" s="16"/>
      <c r="G71" s="16"/>
      <c r="H71" s="16"/>
      <c r="I71" s="16"/>
      <c r="J71" s="16"/>
    </row>
    <row r="73" ht="18" customHeight="1" spans="2:10" x14ac:dyDescent="0.25">
      <c r="B73" s="5" t="s">
        <v>94</v>
      </c>
      <c r="C73" s="6"/>
      <c r="D73" s="6"/>
      <c r="E73" s="6"/>
      <c r="F73" s="6"/>
      <c r="G73" s="6"/>
      <c r="H73" s="6"/>
      <c r="I73" s="6"/>
      <c r="J73" s="6"/>
    </row>
    <row r="74" hidden="1" spans="2:9" x14ac:dyDescent="0.25">
      <c r="B74" t="s">
        <v>65</v>
      </c>
      <c r="C74" t="s">
        <v>2</v>
      </c>
      <c r="D74" t="s">
        <v>95</v>
      </c>
      <c r="E74" t="s">
        <v>96</v>
      </c>
      <c r="F74" t="s">
        <v>97</v>
      </c>
      <c r="G74" t="s">
        <v>87</v>
      </c>
      <c r="H74" t="s">
        <v>66</v>
      </c>
      <c r="I74" t="s">
        <v>70</v>
      </c>
    </row>
    <row r="75" ht="42" customHeight="1" spans="2:10" x14ac:dyDescent="0.25">
      <c r="B75" s="12" t="s">
        <v>98</v>
      </c>
      <c r="C75" s="12" t="s">
        <v>89</v>
      </c>
      <c r="D75" s="13" t="s">
        <v>99</v>
      </c>
      <c r="E75" s="13" t="s">
        <v>100</v>
      </c>
      <c r="F75" s="13" t="s">
        <v>101</v>
      </c>
      <c r="G75" s="12" t="s">
        <v>102</v>
      </c>
      <c r="H75" s="13" t="s">
        <v>103</v>
      </c>
      <c r="I75" s="12" t="s">
        <v>78</v>
      </c>
      <c r="J75" s="13" t="s">
        <v>104</v>
      </c>
    </row>
    <row r="76" ht="27" customHeight="1" spans="2:20" x14ac:dyDescent="0.25">
      <c r="B76" s="8"/>
      <c r="C76" s="10"/>
      <c r="D76" s="11"/>
      <c r="E76" s="17"/>
      <c r="F76" s="18"/>
      <c r="G76" s="8"/>
      <c r="H76" s="11"/>
      <c r="I76" s="14"/>
      <c r="J76" s="19">
        <f>IF(N(D76)&gt;0,M76,"")</f>
      </c>
      <c r="L76">
        <f>IF(OR(N(D76)&lt;=0,N(F76)&lt;=0),0,ROUND(N(D76)*(IF(('Inputs'!$H$122/100)=0,12,(1-(1+('Inputs'!$H$122/100))^(-(12)/12))/(1-(1+('Inputs'!$H$122/100))^(-1/12)))*IF(ABS(((1+N(E76)/100)/(1+('Inputs'!$H$122/100)))-1)&lt;1E-12,INT(N(F76)/12),(1-((1+N(E76)/100)/(1+('Inputs'!$H$122/100)))^INT(N(F76)/12))/(1-((1+N(E76)/100)/(1+('Inputs'!$H$122/100)))))+((1+N(E76)/100)/(1+('Inputs'!$H$122/100)))^INT(N(F76)/12)*IF(('Inputs'!$H$122/100)=0,(N(F76)-12*INT(N(F76)/12)),(1-(1+('Inputs'!$H$122/100))^(-((N(F76)-12*INT(N(F76)/12)))/12))/(1-(1+('Inputs'!$H$122/100))^(-1/12)))),2))</f>
      </c>
      <c r="M76">
        <f>IF(N(D76)&lt;=0,0,IF(ISNUMBER(H76),H76,L76))</f>
      </c>
      <c r="N76">
        <f>IF(M76=0,0,IF(OR(C76="Spouse",AND(G76&lt;&gt;"",COUNTIFS($B$100:$B$105,G76,$C$100:$C$105,"Spouse")&gt;0)),1,0))</f>
      </c>
      <c r="O76">
        <f>IF(N76=1,0,M76)</f>
      </c>
      <c r="P76">
        <f>ROUND('Workings'!$C$40*O76,2)</f>
      </c>
      <c r="Q76">
        <f>ROUND('Workings'!$D$40*O76,2)</f>
      </c>
      <c r="R76">
        <f>IF(O76&gt;0,COUNTIF(S$22:S$39,"&gt;0")+COUNTIF(L$59:L$70,"&gt;0")+COUNTIF(O$76:O76,"&gt;0"),0)</f>
      </c>
      <c r="S76">
        <f>IF(N76=1,M76,0)</f>
      </c>
      <c r="T76">
        <f>IF(AND(B76="",N(D76)=0),0,IF(OR(C76="",N(D76)&lt;=0,N(F76)&lt;=0,N(F76)&lt;&gt;INT(N(F76)),AND(C76="Estate",G76=""),AND(G76&lt;&gt;"",COUNTIF($B$100:$B$105,G76)=0)),1,0))</f>
      </c>
    </row>
    <row r="77" ht="27" customHeight="1" spans="2:20" x14ac:dyDescent="0.25">
      <c r="B77" s="8"/>
      <c r="C77" s="10"/>
      <c r="D77" s="11"/>
      <c r="E77" s="17"/>
      <c r="F77" s="18"/>
      <c r="G77" s="8"/>
      <c r="H77" s="11"/>
      <c r="I77" s="14"/>
      <c r="J77" s="19">
        <f>IF(N(D77)&gt;0,M77,"")</f>
      </c>
      <c r="L77">
        <f>IF(OR(N(D77)&lt;=0,N(F77)&lt;=0),0,ROUND(N(D77)*(IF(('Inputs'!$H$122/100)=0,12,(1-(1+('Inputs'!$H$122/100))^(-(12)/12))/(1-(1+('Inputs'!$H$122/100))^(-1/12)))*IF(ABS(((1+N(E77)/100)/(1+('Inputs'!$H$122/100)))-1)&lt;1E-12,INT(N(F77)/12),(1-((1+N(E77)/100)/(1+('Inputs'!$H$122/100)))^INT(N(F77)/12))/(1-((1+N(E77)/100)/(1+('Inputs'!$H$122/100)))))+((1+N(E77)/100)/(1+('Inputs'!$H$122/100)))^INT(N(F77)/12)*IF(('Inputs'!$H$122/100)=0,(N(F77)-12*INT(N(F77)/12)),(1-(1+('Inputs'!$H$122/100))^(-((N(F77)-12*INT(N(F77)/12)))/12))/(1-(1+('Inputs'!$H$122/100))^(-1/12)))),2))</f>
      </c>
      <c r="M77">
        <f>IF(N(D77)&lt;=0,0,IF(ISNUMBER(H77),H77,L77))</f>
      </c>
      <c r="N77">
        <f>IF(M77=0,0,IF(OR(C77="Spouse",AND(G77&lt;&gt;"",COUNTIFS($B$100:$B$105,G77,$C$100:$C$105,"Spouse")&gt;0)),1,0))</f>
      </c>
      <c r="O77">
        <f>IF(N77=1,0,M77)</f>
      </c>
      <c r="P77">
        <f>ROUND('Workings'!$C$40*O77,2)</f>
      </c>
      <c r="Q77">
        <f>ROUND('Workings'!$D$40*O77,2)</f>
      </c>
      <c r="R77">
        <f>IF(O77&gt;0,COUNTIF(S$22:S$39,"&gt;0")+COUNTIF(L$59:L$70,"&gt;0")+COUNTIF(O$76:O77,"&gt;0"),0)</f>
      </c>
      <c r="S77">
        <f>IF(N77=1,M77,0)</f>
      </c>
      <c r="T77">
        <f>IF(AND(B77="",N(D77)=0),0,IF(OR(C77="",N(D77)&lt;=0,N(F77)&lt;=0,N(F77)&lt;&gt;INT(N(F77)),AND(C77="Estate",G77=""),AND(G77&lt;&gt;"",COUNTIF($B$100:$B$105,G77)=0)),1,0))</f>
      </c>
    </row>
    <row r="78" ht="27" customHeight="1" spans="2:20" x14ac:dyDescent="0.25">
      <c r="B78" s="8"/>
      <c r="C78" s="10"/>
      <c r="D78" s="11"/>
      <c r="E78" s="17"/>
      <c r="F78" s="18"/>
      <c r="G78" s="8"/>
      <c r="H78" s="11"/>
      <c r="I78" s="14"/>
      <c r="J78" s="19">
        <f>IF(N(D78)&gt;0,M78,"")</f>
      </c>
      <c r="L78">
        <f>IF(OR(N(D78)&lt;=0,N(F78)&lt;=0),0,ROUND(N(D78)*(IF(('Inputs'!$H$122/100)=0,12,(1-(1+('Inputs'!$H$122/100))^(-(12)/12))/(1-(1+('Inputs'!$H$122/100))^(-1/12)))*IF(ABS(((1+N(E78)/100)/(1+('Inputs'!$H$122/100)))-1)&lt;1E-12,INT(N(F78)/12),(1-((1+N(E78)/100)/(1+('Inputs'!$H$122/100)))^INT(N(F78)/12))/(1-((1+N(E78)/100)/(1+('Inputs'!$H$122/100)))))+((1+N(E78)/100)/(1+('Inputs'!$H$122/100)))^INT(N(F78)/12)*IF(('Inputs'!$H$122/100)=0,(N(F78)-12*INT(N(F78)/12)),(1-(1+('Inputs'!$H$122/100))^(-((N(F78)-12*INT(N(F78)/12)))/12))/(1-(1+('Inputs'!$H$122/100))^(-1/12)))),2))</f>
      </c>
      <c r="M78">
        <f>IF(N(D78)&lt;=0,0,IF(ISNUMBER(H78),H78,L78))</f>
      </c>
      <c r="N78">
        <f>IF(M78=0,0,IF(OR(C78="Spouse",AND(G78&lt;&gt;"",COUNTIFS($B$100:$B$105,G78,$C$100:$C$105,"Spouse")&gt;0)),1,0))</f>
      </c>
      <c r="O78">
        <f>IF(N78=1,0,M78)</f>
      </c>
      <c r="P78">
        <f>ROUND('Workings'!$C$40*O78,2)</f>
      </c>
      <c r="Q78">
        <f>ROUND('Workings'!$D$40*O78,2)</f>
      </c>
      <c r="R78">
        <f>IF(O78&gt;0,COUNTIF(S$22:S$39,"&gt;0")+COUNTIF(L$59:L$70,"&gt;0")+COUNTIF(O$76:O78,"&gt;0"),0)</f>
      </c>
      <c r="S78">
        <f>IF(N78=1,M78,0)</f>
      </c>
      <c r="T78">
        <f>IF(AND(B78="",N(D78)=0),0,IF(OR(C78="",N(D78)&lt;=0,N(F78)&lt;=0,N(F78)&lt;&gt;INT(N(F78)),AND(C78="Estate",G78=""),AND(G78&lt;&gt;"",COUNTIF($B$100:$B$105,G78)=0)),1,0))</f>
      </c>
    </row>
    <row r="79" ht="27" customHeight="1" spans="2:20" x14ac:dyDescent="0.25">
      <c r="B79" s="8"/>
      <c r="C79" s="10"/>
      <c r="D79" s="11"/>
      <c r="E79" s="17"/>
      <c r="F79" s="18"/>
      <c r="G79" s="8"/>
      <c r="H79" s="11"/>
      <c r="I79" s="14"/>
      <c r="J79" s="19">
        <f>IF(N(D79)&gt;0,M79,"")</f>
      </c>
      <c r="L79">
        <f>IF(OR(N(D79)&lt;=0,N(F79)&lt;=0),0,ROUND(N(D79)*(IF(('Inputs'!$H$122/100)=0,12,(1-(1+('Inputs'!$H$122/100))^(-(12)/12))/(1-(1+('Inputs'!$H$122/100))^(-1/12)))*IF(ABS(((1+N(E79)/100)/(1+('Inputs'!$H$122/100)))-1)&lt;1E-12,INT(N(F79)/12),(1-((1+N(E79)/100)/(1+('Inputs'!$H$122/100)))^INT(N(F79)/12))/(1-((1+N(E79)/100)/(1+('Inputs'!$H$122/100)))))+((1+N(E79)/100)/(1+('Inputs'!$H$122/100)))^INT(N(F79)/12)*IF(('Inputs'!$H$122/100)=0,(N(F79)-12*INT(N(F79)/12)),(1-(1+('Inputs'!$H$122/100))^(-((N(F79)-12*INT(N(F79)/12)))/12))/(1-(1+('Inputs'!$H$122/100))^(-1/12)))),2))</f>
      </c>
      <c r="M79">
        <f>IF(N(D79)&lt;=0,0,IF(ISNUMBER(H79),H79,L79))</f>
      </c>
      <c r="N79">
        <f>IF(M79=0,0,IF(OR(C79="Spouse",AND(G79&lt;&gt;"",COUNTIFS($B$100:$B$105,G79,$C$100:$C$105,"Spouse")&gt;0)),1,0))</f>
      </c>
      <c r="O79">
        <f>IF(N79=1,0,M79)</f>
      </c>
      <c r="P79">
        <f>ROUND('Workings'!$C$40*O79,2)</f>
      </c>
      <c r="Q79">
        <f>ROUND('Workings'!$D$40*O79,2)</f>
      </c>
      <c r="R79">
        <f>IF(O79&gt;0,COUNTIF(S$22:S$39,"&gt;0")+COUNTIF(L$59:L$70,"&gt;0")+COUNTIF(O$76:O79,"&gt;0"),0)</f>
      </c>
      <c r="S79">
        <f>IF(N79=1,M79,0)</f>
      </c>
      <c r="T79">
        <f>IF(AND(B79="",N(D79)=0),0,IF(OR(C79="",N(D79)&lt;=0,N(F79)&lt;=0,N(F79)&lt;&gt;INT(N(F79)),AND(C79="Estate",G79=""),AND(G79&lt;&gt;"",COUNTIF($B$100:$B$105,G79)=0)),1,0))</f>
      </c>
    </row>
    <row r="80" ht="27" customHeight="1" spans="2:20" x14ac:dyDescent="0.25">
      <c r="B80" s="8"/>
      <c r="C80" s="10"/>
      <c r="D80" s="11"/>
      <c r="E80" s="17"/>
      <c r="F80" s="18"/>
      <c r="G80" s="8"/>
      <c r="H80" s="11"/>
      <c r="I80" s="14"/>
      <c r="J80" s="19">
        <f>IF(N(D80)&gt;0,M80,"")</f>
      </c>
      <c r="L80">
        <f>IF(OR(N(D80)&lt;=0,N(F80)&lt;=0),0,ROUND(N(D80)*(IF(('Inputs'!$H$122/100)=0,12,(1-(1+('Inputs'!$H$122/100))^(-(12)/12))/(1-(1+('Inputs'!$H$122/100))^(-1/12)))*IF(ABS(((1+N(E80)/100)/(1+('Inputs'!$H$122/100)))-1)&lt;1E-12,INT(N(F80)/12),(1-((1+N(E80)/100)/(1+('Inputs'!$H$122/100)))^INT(N(F80)/12))/(1-((1+N(E80)/100)/(1+('Inputs'!$H$122/100)))))+((1+N(E80)/100)/(1+('Inputs'!$H$122/100)))^INT(N(F80)/12)*IF(('Inputs'!$H$122/100)=0,(N(F80)-12*INT(N(F80)/12)),(1-(1+('Inputs'!$H$122/100))^(-((N(F80)-12*INT(N(F80)/12)))/12))/(1-(1+('Inputs'!$H$122/100))^(-1/12)))),2))</f>
      </c>
      <c r="M80">
        <f>IF(N(D80)&lt;=0,0,IF(ISNUMBER(H80),H80,L80))</f>
      </c>
      <c r="N80">
        <f>IF(M80=0,0,IF(OR(C80="Spouse",AND(G80&lt;&gt;"",COUNTIFS($B$100:$B$105,G80,$C$100:$C$105,"Spouse")&gt;0)),1,0))</f>
      </c>
      <c r="O80">
        <f>IF(N80=1,0,M80)</f>
      </c>
      <c r="P80">
        <f>ROUND('Workings'!$C$40*O80,2)</f>
      </c>
      <c r="Q80">
        <f>ROUND('Workings'!$D$40*O80,2)</f>
      </c>
      <c r="R80">
        <f>IF(O80&gt;0,COUNTIF(S$22:S$39,"&gt;0")+COUNTIF(L$59:L$70,"&gt;0")+COUNTIF(O$76:O80,"&gt;0"),0)</f>
      </c>
      <c r="S80">
        <f>IF(N80=1,M80,0)</f>
      </c>
      <c r="T80">
        <f>IF(AND(B80="",N(D80)=0),0,IF(OR(C80="",N(D80)&lt;=0,N(F80)&lt;=0,N(F80)&lt;&gt;INT(N(F80)),AND(C80="Estate",G80=""),AND(G80&lt;&gt;"",COUNTIF($B$100:$B$105,G80)=0)),1,0))</f>
      </c>
    </row>
    <row r="81" ht="27" customHeight="1" spans="2:20" x14ac:dyDescent="0.25">
      <c r="B81" s="8"/>
      <c r="C81" s="10"/>
      <c r="D81" s="11"/>
      <c r="E81" s="17"/>
      <c r="F81" s="18"/>
      <c r="G81" s="8"/>
      <c r="H81" s="11"/>
      <c r="I81" s="14"/>
      <c r="J81" s="19">
        <f>IF(N(D81)&gt;0,M81,"")</f>
      </c>
      <c r="L81">
        <f>IF(OR(N(D81)&lt;=0,N(F81)&lt;=0),0,ROUND(N(D81)*(IF(('Inputs'!$H$122/100)=0,12,(1-(1+('Inputs'!$H$122/100))^(-(12)/12))/(1-(1+('Inputs'!$H$122/100))^(-1/12)))*IF(ABS(((1+N(E81)/100)/(1+('Inputs'!$H$122/100)))-1)&lt;1E-12,INT(N(F81)/12),(1-((1+N(E81)/100)/(1+('Inputs'!$H$122/100)))^INT(N(F81)/12))/(1-((1+N(E81)/100)/(1+('Inputs'!$H$122/100)))))+((1+N(E81)/100)/(1+('Inputs'!$H$122/100)))^INT(N(F81)/12)*IF(('Inputs'!$H$122/100)=0,(N(F81)-12*INT(N(F81)/12)),(1-(1+('Inputs'!$H$122/100))^(-((N(F81)-12*INT(N(F81)/12)))/12))/(1-(1+('Inputs'!$H$122/100))^(-1/12)))),2))</f>
      </c>
      <c r="M81">
        <f>IF(N(D81)&lt;=0,0,IF(ISNUMBER(H81),H81,L81))</f>
      </c>
      <c r="N81">
        <f>IF(M81=0,0,IF(OR(C81="Spouse",AND(G81&lt;&gt;"",COUNTIFS($B$100:$B$105,G81,$C$100:$C$105,"Spouse")&gt;0)),1,0))</f>
      </c>
      <c r="O81">
        <f>IF(N81=1,0,M81)</f>
      </c>
      <c r="P81">
        <f>ROUND('Workings'!$C$40*O81,2)</f>
      </c>
      <c r="Q81">
        <f>ROUND('Workings'!$D$40*O81,2)</f>
      </c>
      <c r="R81">
        <f>IF(O81&gt;0,COUNTIF(S$22:S$39,"&gt;0")+COUNTIF(L$59:L$70,"&gt;0")+COUNTIF(O$76:O81,"&gt;0"),0)</f>
      </c>
      <c r="S81">
        <f>IF(N81=1,M81,0)</f>
      </c>
      <c r="T81">
        <f>IF(AND(B81="",N(D81)=0),0,IF(OR(C81="",N(D81)&lt;=0,N(F81)&lt;=0,N(F81)&lt;&gt;INT(N(F81)),AND(C81="Estate",G81=""),AND(G81&lt;&gt;"",COUNTIF($B$100:$B$105,G81)=0)),1,0))</f>
      </c>
    </row>
    <row r="82" ht="39" customHeight="1" spans="2:10" x14ac:dyDescent="0.25">
      <c r="B82" s="16">
        <f>"An income paid each month after death (a death income or family income benefit), one row for each person it is paid to. It is set against that person's need in each year it pays (any excess in a year is not counted). For estate duty it is counted at the insurer's value, or if that is blank, at its value worked out at "&amp;FIXED('Inputs'!$H$122,1)&amp;"% a year (column J); the person it is for pays the duty on it, unless it goes to the spouse (s.4(q)). Paid to the estate: choose the person it is for (the will's trust for a child, say); it is not cash for the executor and no executor's fee is charged on it."</f>
      </c>
      <c r="C82" s="16"/>
      <c r="D82" s="16"/>
      <c r="E82" s="16"/>
      <c r="F82" s="16"/>
      <c r="G82" s="16"/>
      <c r="H82" s="16"/>
      <c r="I82" s="16"/>
      <c r="J82" s="16"/>
    </row>
    <row r="84" ht="18" customHeight="1" spans="2:10" x14ac:dyDescent="0.25">
      <c r="B84" s="5" t="s">
        <v>105</v>
      </c>
      <c r="C84" s="6"/>
      <c r="D84" s="6"/>
      <c r="E84" s="6"/>
      <c r="F84" s="6"/>
      <c r="G84" s="6"/>
      <c r="H84" s="6"/>
      <c r="I84" s="6"/>
      <c r="J84" s="6"/>
    </row>
    <row r="85" hidden="1" spans="2:9" x14ac:dyDescent="0.25">
      <c r="B85" t="s">
        <v>65</v>
      </c>
      <c r="D85" t="s">
        <v>66</v>
      </c>
      <c r="F85" t="s">
        <v>106</v>
      </c>
      <c r="I85" t="s">
        <v>70</v>
      </c>
    </row>
    <row r="86" ht="30" customHeight="1" spans="2:10" x14ac:dyDescent="0.25">
      <c r="B86" s="12" t="s">
        <v>107</v>
      </c>
      <c r="D86" s="13" t="s">
        <v>73</v>
      </c>
      <c r="F86" s="12" t="s">
        <v>108</v>
      </c>
      <c r="G86" s="12"/>
      <c r="H86" s="12"/>
      <c r="I86" s="12" t="s">
        <v>78</v>
      </c>
      <c r="J86" s="13" t="s">
        <v>109</v>
      </c>
    </row>
    <row r="87" spans="2:10" x14ac:dyDescent="0.25">
      <c r="B87" s="8"/>
      <c r="D87" s="11"/>
      <c r="F87" s="14"/>
      <c r="G87" s="14"/>
      <c r="H87" s="14"/>
      <c r="I87" s="14"/>
      <c r="J87" s="20">
        <f>IF(N(D87)&gt;0,N(D87)-ROUND((INDEX('Inputs'!$H$134:$H$137,MATCH(SUM('Inputs'!$D$87:$D$94),'Inputs'!$G$134:$G$137,1))+INDEX('Inputs'!$I$134:$I$137,MATCH(SUM('Inputs'!$D$87:$D$94),'Inputs'!$G$134:$G$137,1))/100*((SUM('Inputs'!$D$87:$D$94))-INDEX('Inputs'!$G$134:$G$137,MATCH(SUM('Inputs'!$D$87:$D$94),'Inputs'!$G$134:$G$137,1))))*N(D87)/SUM('Inputs'!$D$87:$D$94),2),0)</f>
      </c>
    </row>
    <row r="88" spans="2:10" x14ac:dyDescent="0.25">
      <c r="B88" s="8"/>
      <c r="D88" s="11"/>
      <c r="F88" s="14"/>
      <c r="G88" s="14"/>
      <c r="H88" s="14"/>
      <c r="I88" s="14"/>
      <c r="J88" s="20">
        <f>IF(N(D88)&gt;0,N(D88)-ROUND((INDEX('Inputs'!$H$134:$H$137,MATCH(SUM('Inputs'!$D$87:$D$94),'Inputs'!$G$134:$G$137,1))+INDEX('Inputs'!$I$134:$I$137,MATCH(SUM('Inputs'!$D$87:$D$94),'Inputs'!$G$134:$G$137,1))/100*((SUM('Inputs'!$D$87:$D$94))-INDEX('Inputs'!$G$134:$G$137,MATCH(SUM('Inputs'!$D$87:$D$94),'Inputs'!$G$134:$G$137,1))))*N(D88)/SUM('Inputs'!$D$87:$D$94),2),0)</f>
      </c>
    </row>
    <row r="89" spans="2:10" x14ac:dyDescent="0.25">
      <c r="B89" s="8"/>
      <c r="D89" s="11"/>
      <c r="F89" s="14"/>
      <c r="G89" s="14"/>
      <c r="H89" s="14"/>
      <c r="I89" s="14"/>
      <c r="J89" s="20">
        <f>IF(N(D89)&gt;0,N(D89)-ROUND((INDEX('Inputs'!$H$134:$H$137,MATCH(SUM('Inputs'!$D$87:$D$94),'Inputs'!$G$134:$G$137,1))+INDEX('Inputs'!$I$134:$I$137,MATCH(SUM('Inputs'!$D$87:$D$94),'Inputs'!$G$134:$G$137,1))/100*((SUM('Inputs'!$D$87:$D$94))-INDEX('Inputs'!$G$134:$G$137,MATCH(SUM('Inputs'!$D$87:$D$94),'Inputs'!$G$134:$G$137,1))))*N(D89)/SUM('Inputs'!$D$87:$D$94),2),0)</f>
      </c>
    </row>
    <row r="90" spans="2:10" x14ac:dyDescent="0.25">
      <c r="B90" s="8"/>
      <c r="D90" s="11"/>
      <c r="F90" s="14"/>
      <c r="G90" s="14"/>
      <c r="H90" s="14"/>
      <c r="I90" s="14"/>
      <c r="J90" s="20">
        <f>IF(N(D90)&gt;0,N(D90)-ROUND((INDEX('Inputs'!$H$134:$H$137,MATCH(SUM('Inputs'!$D$87:$D$94),'Inputs'!$G$134:$G$137,1))+INDEX('Inputs'!$I$134:$I$137,MATCH(SUM('Inputs'!$D$87:$D$94),'Inputs'!$G$134:$G$137,1))/100*((SUM('Inputs'!$D$87:$D$94))-INDEX('Inputs'!$G$134:$G$137,MATCH(SUM('Inputs'!$D$87:$D$94),'Inputs'!$G$134:$G$137,1))))*N(D90)/SUM('Inputs'!$D$87:$D$94),2),0)</f>
      </c>
    </row>
    <row r="91" spans="2:10" x14ac:dyDescent="0.25">
      <c r="B91" s="8"/>
      <c r="D91" s="11"/>
      <c r="F91" s="14"/>
      <c r="G91" s="14"/>
      <c r="H91" s="14"/>
      <c r="I91" s="14"/>
      <c r="J91" s="20">
        <f>IF(N(D91)&gt;0,N(D91)-ROUND((INDEX('Inputs'!$H$134:$H$137,MATCH(SUM('Inputs'!$D$87:$D$94),'Inputs'!$G$134:$G$137,1))+INDEX('Inputs'!$I$134:$I$137,MATCH(SUM('Inputs'!$D$87:$D$94),'Inputs'!$G$134:$G$137,1))/100*((SUM('Inputs'!$D$87:$D$94))-INDEX('Inputs'!$G$134:$G$137,MATCH(SUM('Inputs'!$D$87:$D$94),'Inputs'!$G$134:$G$137,1))))*N(D91)/SUM('Inputs'!$D$87:$D$94),2),0)</f>
      </c>
    </row>
    <row r="92" spans="2:10" x14ac:dyDescent="0.25">
      <c r="B92" s="8"/>
      <c r="D92" s="11"/>
      <c r="F92" s="14"/>
      <c r="G92" s="14"/>
      <c r="H92" s="14"/>
      <c r="I92" s="14"/>
      <c r="J92" s="20">
        <f>IF(N(D92)&gt;0,N(D92)-ROUND((INDEX('Inputs'!$H$134:$H$137,MATCH(SUM('Inputs'!$D$87:$D$94),'Inputs'!$G$134:$G$137,1))+INDEX('Inputs'!$I$134:$I$137,MATCH(SUM('Inputs'!$D$87:$D$94),'Inputs'!$G$134:$G$137,1))/100*((SUM('Inputs'!$D$87:$D$94))-INDEX('Inputs'!$G$134:$G$137,MATCH(SUM('Inputs'!$D$87:$D$94),'Inputs'!$G$134:$G$137,1))))*N(D92)/SUM('Inputs'!$D$87:$D$94),2),0)</f>
      </c>
    </row>
    <row r="93" spans="2:10" x14ac:dyDescent="0.25">
      <c r="B93" s="8"/>
      <c r="D93" s="11"/>
      <c r="F93" s="14"/>
      <c r="G93" s="14"/>
      <c r="H93" s="14"/>
      <c r="I93" s="14"/>
      <c r="J93" s="20">
        <f>IF(N(D93)&gt;0,N(D93)-ROUND((INDEX('Inputs'!$H$134:$H$137,MATCH(SUM('Inputs'!$D$87:$D$94),'Inputs'!$G$134:$G$137,1))+INDEX('Inputs'!$I$134:$I$137,MATCH(SUM('Inputs'!$D$87:$D$94),'Inputs'!$G$134:$G$137,1))/100*((SUM('Inputs'!$D$87:$D$94))-INDEX('Inputs'!$G$134:$G$137,MATCH(SUM('Inputs'!$D$87:$D$94),'Inputs'!$G$134:$G$137,1))))*N(D93)/SUM('Inputs'!$D$87:$D$94),2),0)</f>
      </c>
    </row>
    <row r="94" spans="2:10" x14ac:dyDescent="0.25">
      <c r="B94" s="8"/>
      <c r="D94" s="11"/>
      <c r="F94" s="14"/>
      <c r="G94" s="14"/>
      <c r="H94" s="14"/>
      <c r="I94" s="14"/>
      <c r="J94" s="20">
        <f>IF(N(D94)&gt;0,N(D94)-ROUND((INDEX('Inputs'!$H$134:$H$137,MATCH(SUM('Inputs'!$D$87:$D$94),'Inputs'!$G$134:$G$137,1))+INDEX('Inputs'!$I$134:$I$137,MATCH(SUM('Inputs'!$D$87:$D$94),'Inputs'!$G$134:$G$137,1))/100*((SUM('Inputs'!$D$87:$D$94))-INDEX('Inputs'!$G$134:$G$137,MATCH(SUM('Inputs'!$D$87:$D$94),'Inputs'!$G$134:$G$137,1))))*N(D94)/SUM('Inputs'!$D$87:$D$94),2),0)</f>
      </c>
    </row>
    <row r="95" ht="39" customHeight="1" spans="2:10" x14ac:dyDescent="0.25">
      <c r="B95" s="16" t="s">
        <v>110</v>
      </c>
      <c r="C95" s="16"/>
      <c r="D95" s="16"/>
      <c r="E95" s="16"/>
      <c r="F95" s="16"/>
      <c r="G95" s="16"/>
      <c r="H95" s="16"/>
      <c r="I95" s="16"/>
      <c r="J95" s="16"/>
    </row>
    <row r="97" ht="18" customHeight="1" spans="2:10" x14ac:dyDescent="0.25">
      <c r="B97" s="5" t="s">
        <v>111</v>
      </c>
      <c r="C97" s="6"/>
      <c r="D97" s="6"/>
      <c r="E97" s="6"/>
      <c r="F97" s="6"/>
      <c r="G97" s="6"/>
      <c r="H97" s="6"/>
      <c r="I97" s="6"/>
      <c r="J97" s="6"/>
    </row>
    <row r="98" hidden="1" spans="2:10" x14ac:dyDescent="0.25">
      <c r="B98" t="s">
        <v>65</v>
      </c>
      <c r="C98" t="s">
        <v>5</v>
      </c>
      <c r="D98" t="s">
        <v>112</v>
      </c>
      <c r="E98" t="s">
        <v>113</v>
      </c>
      <c r="F98" t="s">
        <v>114</v>
      </c>
      <c r="G98" t="s">
        <v>96</v>
      </c>
      <c r="H98" t="s">
        <v>115</v>
      </c>
      <c r="I98" t="s">
        <v>116</v>
      </c>
      <c r="J98" t="s">
        <v>117</v>
      </c>
    </row>
    <row r="99" ht="42" customHeight="1" spans="2:26" x14ac:dyDescent="0.25">
      <c r="B99" s="12" t="s">
        <v>118</v>
      </c>
      <c r="C99" s="12" t="s">
        <v>119</v>
      </c>
      <c r="D99" s="13" t="s">
        <v>120</v>
      </c>
      <c r="E99" s="13" t="s">
        <v>121</v>
      </c>
      <c r="F99" s="13" t="s">
        <v>122</v>
      </c>
      <c r="G99" s="13" t="s">
        <v>123</v>
      </c>
      <c r="H99" s="12" t="s">
        <v>124</v>
      </c>
      <c r="I99" s="13" t="s">
        <v>125</v>
      </c>
      <c r="J99" s="13" t="s">
        <v>126</v>
      </c>
      <c r="Z99" t="s">
        <v>127</v>
      </c>
    </row>
    <row r="100" ht="15" customHeight="1" spans="2:26" x14ac:dyDescent="0.25">
      <c r="B100" s="8"/>
      <c r="C100" s="10"/>
      <c r="D100" s="18"/>
      <c r="E100" s="11"/>
      <c r="F100" s="18"/>
      <c r="G100" s="17"/>
      <c r="H100" s="10"/>
      <c r="I100" s="11"/>
      <c r="J100" s="11"/>
      <c r="L100">
        <f>IF(AND(B100&lt;&gt;"",C100="Child"),1,0)</f>
      </c>
      <c r="M100">
        <f>IF(L100=1,SUM(L$100:L100),0)</f>
      </c>
      <c r="N100">
        <f>IF(AND(L100=1,M100=SUM(L$100:L$105)),1,0)</f>
      </c>
      <c r="O100">
        <f>IF(AND(B100&lt;&gt;"",C100="Spouse",COUNTIF(C$100:C100,"Spouse")=1),1,0)</f>
      </c>
      <c r="P100">
        <f>IF(B100="",0,IF(OR(C100="",AND(N(E100)&lt;=0,N(J100)&lt;=0),AND(N(E100)&gt;0,N(F100)&lt;=0)),1,0))</f>
      </c>
      <c r="Q100">
        <f>IF(AND(L100=1,H100="Yes"),1,0)</f>
      </c>
      <c r="R100">
        <f>IF(Q100=1,SUM(Q$100:Q100),0)</f>
      </c>
      <c r="S100">
        <f>IF(AND(Q100=1,R100=SUM(Q$100:Q$105)),1,0)</f>
      </c>
      <c r="T100">
        <f>IF(AND(B100&lt;&gt;"",C100="Spouse",'Inputs'!$C$107="The spouse"),1,0)</f>
      </c>
      <c r="Z100">
        <f>IF(B100="","",B100)</f>
      </c>
    </row>
    <row r="101" ht="15" customHeight="1" spans="2:26" x14ac:dyDescent="0.25">
      <c r="B101" s="8"/>
      <c r="C101" s="10"/>
      <c r="D101" s="18"/>
      <c r="E101" s="11"/>
      <c r="F101" s="18"/>
      <c r="G101" s="17"/>
      <c r="H101" s="10"/>
      <c r="I101" s="11"/>
      <c r="J101" s="11"/>
      <c r="L101">
        <f>IF(AND(B101&lt;&gt;"",C101="Child"),1,0)</f>
      </c>
      <c r="M101">
        <f>IF(L101=1,SUM(L$100:L101),0)</f>
      </c>
      <c r="N101">
        <f>IF(AND(L101=1,M101=SUM(L$100:L$105)),1,0)</f>
      </c>
      <c r="O101">
        <f>IF(AND(B101&lt;&gt;"",C101="Spouse",COUNTIF(C$100:C101,"Spouse")=1),1,0)</f>
      </c>
      <c r="P101">
        <f>IF(B101="",0,IF(OR(C101="",AND(N(E101)&lt;=0,N(J101)&lt;=0),AND(N(E101)&gt;0,N(F101)&lt;=0)),1,0))</f>
      </c>
      <c r="Q101">
        <f>IF(AND(L101=1,H101="Yes"),1,0)</f>
      </c>
      <c r="R101">
        <f>IF(Q101=1,SUM(Q$100:Q101),0)</f>
      </c>
      <c r="S101">
        <f>IF(AND(Q101=1,R101=SUM(Q$100:Q$105)),1,0)</f>
      </c>
      <c r="T101">
        <f>IF(AND(B101&lt;&gt;"",C101="Spouse",'Inputs'!$C$107="The spouse"),1,0)</f>
      </c>
      <c r="Z101">
        <f>IF(B101="","",B101)</f>
      </c>
    </row>
    <row r="102" ht="15" customHeight="1" spans="2:26" x14ac:dyDescent="0.25">
      <c r="B102" s="8"/>
      <c r="C102" s="10"/>
      <c r="D102" s="18"/>
      <c r="E102" s="11"/>
      <c r="F102" s="18"/>
      <c r="G102" s="17"/>
      <c r="H102" s="10"/>
      <c r="I102" s="11"/>
      <c r="J102" s="11"/>
      <c r="L102">
        <f>IF(AND(B102&lt;&gt;"",C102="Child"),1,0)</f>
      </c>
      <c r="M102">
        <f>IF(L102=1,SUM(L$100:L102),0)</f>
      </c>
      <c r="N102">
        <f>IF(AND(L102=1,M102=SUM(L$100:L$105)),1,0)</f>
      </c>
      <c r="O102">
        <f>IF(AND(B102&lt;&gt;"",C102="Spouse",COUNTIF(C$100:C102,"Spouse")=1),1,0)</f>
      </c>
      <c r="P102">
        <f>IF(B102="",0,IF(OR(C102="",AND(N(E102)&lt;=0,N(J102)&lt;=0),AND(N(E102)&gt;0,N(F102)&lt;=0)),1,0))</f>
      </c>
      <c r="Q102">
        <f>IF(AND(L102=1,H102="Yes"),1,0)</f>
      </c>
      <c r="R102">
        <f>IF(Q102=1,SUM(Q$100:Q102),0)</f>
      </c>
      <c r="S102">
        <f>IF(AND(Q102=1,R102=SUM(Q$100:Q$105)),1,0)</f>
      </c>
      <c r="T102">
        <f>IF(AND(B102&lt;&gt;"",C102="Spouse",'Inputs'!$C$107="The spouse"),1,0)</f>
      </c>
      <c r="Z102">
        <f>IF(B102="","",B102)</f>
      </c>
    </row>
    <row r="103" ht="15" customHeight="1" spans="2:26" x14ac:dyDescent="0.25">
      <c r="B103" s="8"/>
      <c r="C103" s="10"/>
      <c r="D103" s="18"/>
      <c r="E103" s="11"/>
      <c r="F103" s="18"/>
      <c r="G103" s="17"/>
      <c r="H103" s="10"/>
      <c r="I103" s="11"/>
      <c r="J103" s="11"/>
      <c r="L103">
        <f>IF(AND(B103&lt;&gt;"",C103="Child"),1,0)</f>
      </c>
      <c r="M103">
        <f>IF(L103=1,SUM(L$100:L103),0)</f>
      </c>
      <c r="N103">
        <f>IF(AND(L103=1,M103=SUM(L$100:L$105)),1,0)</f>
      </c>
      <c r="O103">
        <f>IF(AND(B103&lt;&gt;"",C103="Spouse",COUNTIF(C$100:C103,"Spouse")=1),1,0)</f>
      </c>
      <c r="P103">
        <f>IF(B103="",0,IF(OR(C103="",AND(N(E103)&lt;=0,N(J103)&lt;=0),AND(N(E103)&gt;0,N(F103)&lt;=0)),1,0))</f>
      </c>
      <c r="Q103">
        <f>IF(AND(L103=1,H103="Yes"),1,0)</f>
      </c>
      <c r="R103">
        <f>IF(Q103=1,SUM(Q$100:Q103),0)</f>
      </c>
      <c r="S103">
        <f>IF(AND(Q103=1,R103=SUM(Q$100:Q$105)),1,0)</f>
      </c>
      <c r="T103">
        <f>IF(AND(B103&lt;&gt;"",C103="Spouse",'Inputs'!$C$107="The spouse"),1,0)</f>
      </c>
      <c r="Z103">
        <f>IF(B103="","",B103)</f>
      </c>
    </row>
    <row r="104" ht="15" customHeight="1" spans="2:26" x14ac:dyDescent="0.25">
      <c r="B104" s="8"/>
      <c r="C104" s="10"/>
      <c r="D104" s="18"/>
      <c r="E104" s="11"/>
      <c r="F104" s="18"/>
      <c r="G104" s="17"/>
      <c r="H104" s="10"/>
      <c r="I104" s="11"/>
      <c r="J104" s="11"/>
      <c r="L104">
        <f>IF(AND(B104&lt;&gt;"",C104="Child"),1,0)</f>
      </c>
      <c r="M104">
        <f>IF(L104=1,SUM(L$100:L104),0)</f>
      </c>
      <c r="N104">
        <f>IF(AND(L104=1,M104=SUM(L$100:L$105)),1,0)</f>
      </c>
      <c r="O104">
        <f>IF(AND(B104&lt;&gt;"",C104="Spouse",COUNTIF(C$100:C104,"Spouse")=1),1,0)</f>
      </c>
      <c r="P104">
        <f>IF(B104="",0,IF(OR(C104="",AND(N(E104)&lt;=0,N(J104)&lt;=0),AND(N(E104)&gt;0,N(F104)&lt;=0)),1,0))</f>
      </c>
      <c r="Q104">
        <f>IF(AND(L104=1,H104="Yes"),1,0)</f>
      </c>
      <c r="R104">
        <f>IF(Q104=1,SUM(Q$100:Q104),0)</f>
      </c>
      <c r="S104">
        <f>IF(AND(Q104=1,R104=SUM(Q$100:Q$105)),1,0)</f>
      </c>
      <c r="T104">
        <f>IF(AND(B104&lt;&gt;"",C104="Spouse",'Inputs'!$C$107="The spouse"),1,0)</f>
      </c>
      <c r="Z104">
        <f>IF(B104="","",B104)</f>
      </c>
    </row>
    <row r="105" ht="15" customHeight="1" spans="2:26" x14ac:dyDescent="0.25">
      <c r="B105" s="8"/>
      <c r="C105" s="10"/>
      <c r="D105" s="18"/>
      <c r="E105" s="11"/>
      <c r="F105" s="18"/>
      <c r="G105" s="17"/>
      <c r="H105" s="10"/>
      <c r="I105" s="11"/>
      <c r="J105" s="11"/>
      <c r="L105">
        <f>IF(AND(B105&lt;&gt;"",C105="Child"),1,0)</f>
      </c>
      <c r="M105">
        <f>IF(L105=1,SUM(L$100:L105),0)</f>
      </c>
      <c r="N105">
        <f>IF(AND(L105=1,M105=SUM(L$100:L$105)),1,0)</f>
      </c>
      <c r="O105">
        <f>IF(AND(B105&lt;&gt;"",C105="Spouse",COUNTIF(C$100:C105,"Spouse")=1),1,0)</f>
      </c>
      <c r="P105">
        <f>IF(B105="",0,IF(OR(C105="",AND(N(E105)&lt;=0,N(J105)&lt;=0),AND(N(E105)&gt;0,N(F105)&lt;=0)),1,0))</f>
      </c>
      <c r="Q105">
        <f>IF(AND(L105=1,H105="Yes"),1,0)</f>
      </c>
      <c r="R105">
        <f>IF(Q105=1,SUM(Q$100:Q105),0)</f>
      </c>
      <c r="S105">
        <f>IF(AND(Q105=1,R105=SUM(Q$100:Q$105)),1,0)</f>
      </c>
      <c r="T105">
        <f>IF(AND(B105&lt;&gt;"",C105="Spouse",'Inputs'!$C$107="The spouse"),1,0)</f>
      </c>
      <c r="Z105">
        <f>IF(B105="","",B105)</f>
      </c>
    </row>
    <row r="106" ht="27" customHeight="1" spans="2:5" x14ac:dyDescent="0.25">
      <c r="B106" s="7" t="s">
        <v>128</v>
      </c>
      <c r="C106" s="10" t="s">
        <v>16</v>
      </c>
      <c r="D106" s="10"/>
      <c r="E106" s="10"/>
    </row>
    <row r="107" ht="27" customHeight="1" spans="2:5" x14ac:dyDescent="0.25">
      <c r="B107" s="7" t="s">
        <v>129</v>
      </c>
      <c r="C107" s="10" t="s">
        <v>17</v>
      </c>
      <c r="D107" s="10"/>
      <c r="E107" s="10"/>
    </row>
    <row r="108" ht="39" customHeight="1" spans="2:10" x14ac:dyDescent="0.25">
      <c r="B108" s="16" t="s">
        <v>130</v>
      </c>
      <c r="C108" s="16"/>
      <c r="D108" s="16"/>
      <c r="E108" s="16"/>
      <c r="F108" s="16"/>
      <c r="G108" s="16"/>
      <c r="H108" s="16"/>
      <c r="I108" s="16"/>
      <c r="J108" s="16"/>
    </row>
    <row r="110" ht="18" customHeight="1" spans="2:10" x14ac:dyDescent="0.25">
      <c r="B110" s="5" t="s">
        <v>131</v>
      </c>
      <c r="C110" s="6"/>
      <c r="D110" s="6"/>
      <c r="E110" s="6"/>
      <c r="F110" s="6"/>
      <c r="G110" s="6"/>
      <c r="H110" s="6"/>
      <c r="I110" s="6"/>
      <c r="J110" s="6"/>
    </row>
    <row r="111" spans="2:3" x14ac:dyDescent="0.25">
      <c r="B111" s="7" t="s">
        <v>132</v>
      </c>
      <c r="C111" s="8"/>
    </row>
    <row r="112" spans="2:3" x14ac:dyDescent="0.25">
      <c r="B112" s="7" t="s">
        <v>133</v>
      </c>
      <c r="C112" s="17"/>
    </row>
    <row r="113" spans="2:3" x14ac:dyDescent="0.25">
      <c r="B113" s="7" t="s">
        <v>134</v>
      </c>
      <c r="C113" s="11"/>
    </row>
    <row r="114" spans="2:3" x14ac:dyDescent="0.25">
      <c r="B114" s="7" t="s">
        <v>135</v>
      </c>
      <c r="C114" s="17"/>
    </row>
    <row r="115" spans="2:3" x14ac:dyDescent="0.25">
      <c r="B115" s="7" t="s">
        <v>136</v>
      </c>
      <c r="C115" s="11"/>
    </row>
    <row r="116" spans="2:3" x14ac:dyDescent="0.25">
      <c r="B116" s="7" t="s">
        <v>137</v>
      </c>
      <c r="C116" s="11"/>
    </row>
    <row r="117" ht="26" customHeight="1" spans="2:10" x14ac:dyDescent="0.25">
      <c r="B117" s="16" t="s">
        <v>138</v>
      </c>
      <c r="C117" s="16"/>
      <c r="D117" s="16"/>
      <c r="E117" s="16"/>
      <c r="F117" s="16"/>
      <c r="G117" s="16"/>
      <c r="H117" s="16"/>
      <c r="I117" s="16"/>
      <c r="J117" s="16"/>
    </row>
    <row r="119" ht="18" customHeight="1" spans="2:10" x14ac:dyDescent="0.25">
      <c r="B119" s="5" t="s">
        <v>139</v>
      </c>
      <c r="C119" s="6"/>
      <c r="D119" s="6"/>
      <c r="E119" s="6"/>
      <c r="F119" s="6"/>
      <c r="G119" s="6"/>
      <c r="H119" s="6"/>
      <c r="I119" s="6"/>
      <c r="J119" s="6"/>
    </row>
    <row r="120" spans="2:8" x14ac:dyDescent="0.25">
      <c r="B120" s="7" t="s">
        <v>140</v>
      </c>
      <c r="C120" s="17">
        <v>3.5</v>
      </c>
      <c r="E120" s="7" t="s">
        <v>141</v>
      </c>
      <c r="F120" s="7"/>
      <c r="G120" s="7"/>
      <c r="H120" s="17">
        <v>40</v>
      </c>
    </row>
    <row r="121" spans="2:8" x14ac:dyDescent="0.25">
      <c r="B121" s="7" t="s">
        <v>142</v>
      </c>
      <c r="C121" s="17">
        <v>15</v>
      </c>
      <c r="E121" s="7" t="s">
        <v>143</v>
      </c>
      <c r="F121" s="7"/>
      <c r="G121" s="7"/>
      <c r="H121" s="11">
        <v>3000000</v>
      </c>
    </row>
    <row r="122" spans="2:8" x14ac:dyDescent="0.25">
      <c r="B122" s="7" t="s">
        <v>144</v>
      </c>
      <c r="C122" s="11">
        <v>7000</v>
      </c>
      <c r="E122" s="7" t="s">
        <v>145</v>
      </c>
      <c r="F122" s="7"/>
      <c r="G122" s="7"/>
      <c r="H122" s="17">
        <v>7</v>
      </c>
    </row>
    <row r="123" spans="2:8" x14ac:dyDescent="0.25">
      <c r="B123" s="7" t="s">
        <v>146</v>
      </c>
      <c r="C123" s="11">
        <v>50000</v>
      </c>
      <c r="E123" s="7" t="s">
        <v>147</v>
      </c>
      <c r="F123" s="7"/>
      <c r="G123" s="7"/>
      <c r="H123" s="17">
        <v>2</v>
      </c>
    </row>
    <row r="124" spans="2:8" x14ac:dyDescent="0.25">
      <c r="B124" s="7" t="s">
        <v>148</v>
      </c>
      <c r="C124" s="11">
        <v>8000</v>
      </c>
      <c r="E124" s="7" t="s">
        <v>149</v>
      </c>
      <c r="F124" s="7"/>
      <c r="G124" s="7"/>
      <c r="H124" s="11">
        <v>99000</v>
      </c>
    </row>
    <row r="125" spans="2:8" x14ac:dyDescent="0.25">
      <c r="B125" s="7" t="s">
        <v>150</v>
      </c>
      <c r="C125" s="17">
        <v>1</v>
      </c>
      <c r="E125" s="7" t="s">
        <v>151</v>
      </c>
      <c r="F125" s="7"/>
      <c r="G125" s="7"/>
      <c r="H125" s="17">
        <v>52.5</v>
      </c>
    </row>
    <row r="126" spans="2:8" x14ac:dyDescent="0.25">
      <c r="B126" s="7" t="s">
        <v>152</v>
      </c>
      <c r="C126" s="17">
        <v>7.5</v>
      </c>
      <c r="E126" s="7" t="s">
        <v>153</v>
      </c>
      <c r="F126" s="7"/>
      <c r="G126" s="7"/>
      <c r="H126" s="17">
        <v>11.25</v>
      </c>
    </row>
    <row r="127" spans="2:8" x14ac:dyDescent="0.25">
      <c r="B127" s="7" t="s">
        <v>154</v>
      </c>
      <c r="C127" s="11">
        <v>3500000</v>
      </c>
      <c r="E127" s="7" t="s">
        <v>155</v>
      </c>
      <c r="F127" s="7"/>
      <c r="G127" s="7"/>
      <c r="H127" s="17">
        <v>36.25</v>
      </c>
    </row>
    <row r="128" spans="2:8" x14ac:dyDescent="0.25">
      <c r="B128" s="7" t="s">
        <v>156</v>
      </c>
      <c r="C128" s="17">
        <v>20</v>
      </c>
      <c r="E128" s="7" t="s">
        <v>157</v>
      </c>
      <c r="F128" s="7"/>
      <c r="G128" s="7"/>
      <c r="H128" s="17">
        <v>20</v>
      </c>
    </row>
    <row r="129" spans="2:8" x14ac:dyDescent="0.25">
      <c r="B129" s="7" t="s">
        <v>158</v>
      </c>
      <c r="C129" s="11">
        <v>30000000</v>
      </c>
      <c r="E129" s="7" t="s">
        <v>159</v>
      </c>
      <c r="F129" s="7"/>
      <c r="G129" s="7"/>
      <c r="H129" s="17">
        <v>4</v>
      </c>
    </row>
    <row r="130" spans="2:8" x14ac:dyDescent="0.25">
      <c r="B130" s="7" t="s">
        <v>160</v>
      </c>
      <c r="C130" s="17">
        <v>25</v>
      </c>
      <c r="E130" s="7" t="s">
        <v>161</v>
      </c>
      <c r="F130" s="7"/>
      <c r="G130" s="7"/>
      <c r="H130" s="11">
        <v>153250</v>
      </c>
    </row>
    <row r="131" spans="2:8" x14ac:dyDescent="0.25">
      <c r="B131" s="7" t="s">
        <v>162</v>
      </c>
      <c r="C131" s="11">
        <v>440000</v>
      </c>
      <c r="E131" s="7" t="s">
        <v>163</v>
      </c>
      <c r="F131" s="7"/>
      <c r="G131" s="7"/>
      <c r="H131" s="11">
        <v>171300</v>
      </c>
    </row>
    <row r="133" ht="30" customHeight="1" spans="2:7" x14ac:dyDescent="0.25">
      <c r="B133" s="21" t="s">
        <v>164</v>
      </c>
      <c r="C133" s="13" t="s">
        <v>165</v>
      </c>
      <c r="D133" s="13" t="s">
        <v>166</v>
      </c>
      <c r="E133" s="13" t="s">
        <v>167</v>
      </c>
      <c r="G133" s="21" t="s">
        <v>168</v>
      </c>
    </row>
    <row r="134" spans="3:9" x14ac:dyDescent="0.25">
      <c r="C134" s="11">
        <v>0</v>
      </c>
      <c r="D134" s="11">
        <v>0</v>
      </c>
      <c r="E134" s="17">
        <v>18</v>
      </c>
      <c r="G134" s="11">
        <v>0</v>
      </c>
      <c r="H134" s="11">
        <v>0</v>
      </c>
      <c r="I134" s="17">
        <v>0</v>
      </c>
    </row>
    <row r="135" spans="3:9" x14ac:dyDescent="0.25">
      <c r="C135" s="11">
        <v>245100</v>
      </c>
      <c r="D135" s="11">
        <v>44118</v>
      </c>
      <c r="E135" s="17">
        <v>26</v>
      </c>
      <c r="G135" s="11">
        <v>550000</v>
      </c>
      <c r="H135" s="11">
        <v>0</v>
      </c>
      <c r="I135" s="17">
        <v>18</v>
      </c>
    </row>
    <row r="136" spans="3:9" x14ac:dyDescent="0.25">
      <c r="C136" s="11">
        <v>383100</v>
      </c>
      <c r="D136" s="11">
        <v>79998</v>
      </c>
      <c r="E136" s="17">
        <v>31</v>
      </c>
      <c r="G136" s="11">
        <v>770000</v>
      </c>
      <c r="H136" s="11">
        <v>39600</v>
      </c>
      <c r="I136" s="17">
        <v>27</v>
      </c>
    </row>
    <row r="137" spans="3:9" x14ac:dyDescent="0.25">
      <c r="C137" s="11">
        <v>530200</v>
      </c>
      <c r="D137" s="11">
        <v>125599</v>
      </c>
      <c r="E137" s="17">
        <v>36</v>
      </c>
      <c r="G137" s="11">
        <v>1155000</v>
      </c>
      <c r="H137" s="11">
        <v>143550</v>
      </c>
      <c r="I137" s="17">
        <v>36</v>
      </c>
    </row>
    <row r="138" spans="3:5" x14ac:dyDescent="0.25">
      <c r="C138" s="11">
        <v>695800</v>
      </c>
      <c r="D138" s="11">
        <v>185215</v>
      </c>
      <c r="E138" s="17">
        <v>39</v>
      </c>
    </row>
    <row r="139" spans="3:5" x14ac:dyDescent="0.25">
      <c r="C139" s="11">
        <v>887000</v>
      </c>
      <c r="D139" s="11">
        <v>259783</v>
      </c>
      <c r="E139" s="17">
        <v>41</v>
      </c>
    </row>
    <row r="140" spans="3:5" x14ac:dyDescent="0.25">
      <c r="C140" s="11">
        <v>1878600</v>
      </c>
      <c r="D140" s="11">
        <v>666339</v>
      </c>
      <c r="E140" s="17">
        <v>45</v>
      </c>
    </row>
    <row r="141" ht="15" customHeight="1" spans="2:10" x14ac:dyDescent="0.25">
      <c r="B141" s="16" t="s">
        <v>169</v>
      </c>
      <c r="C141" s="16"/>
      <c r="D141" s="16"/>
      <c r="E141" s="16"/>
      <c r="F141" s="16"/>
      <c r="G141" s="16"/>
      <c r="H141" s="16"/>
      <c r="I141" s="16"/>
      <c r="J141" s="16"/>
    </row>
    <row r="143" ht="18" customHeight="1" spans="2:10" x14ac:dyDescent="0.25">
      <c r="B143" s="5" t="s">
        <v>170</v>
      </c>
      <c r="C143" s="6"/>
      <c r="D143" s="6"/>
      <c r="E143" s="6"/>
      <c r="F143" s="6"/>
      <c r="G143" s="6"/>
      <c r="H143" s="6"/>
      <c r="I143" s="6"/>
      <c r="J143" s="6"/>
    </row>
    <row r="144" ht="15" customHeight="1" spans="2:10" x14ac:dyDescent="0.25">
      <c r="B144" s="22">
        <f>IF(SUM(T22:T39)=0,"✓ Every asset taxed on death has a base cost.","✗ "&amp;SUM(T22:T39)&amp;IF(SUM(T22:T39)=1," asset has"," assets have")&amp;" no base cost. Capital gains tax is worked out on the full value (the worst case) until you add it.")</f>
      </c>
      <c r="C144" s="22"/>
      <c r="D144" s="22"/>
      <c r="E144" s="22"/>
      <c r="F144" s="22"/>
      <c r="G144" s="22"/>
      <c r="H144" s="22"/>
      <c r="I144" s="22"/>
      <c r="J144" s="22"/>
    </row>
    <row r="145" ht="15" customHeight="1" spans="2:10" x14ac:dyDescent="0.25">
      <c r="B145" s="22">
        <f>IF(SUM(W22:W39)=0,"✓ Every asset has a kind and says who it passes to.","✗ "&amp;SUM(W22:W39)&amp;IF(SUM(W22:W39)=1," asset is"," assets are")&amp;" missing its kind or who it passes to.")</f>
      </c>
      <c r="C145" s="22"/>
      <c r="D145" s="22"/>
      <c r="E145" s="22"/>
      <c r="F145" s="22"/>
      <c r="G145" s="22"/>
      <c r="H145" s="22"/>
      <c r="I145" s="22"/>
      <c r="J145" s="22"/>
    </row>
    <row r="146" ht="15" customHeight="1" spans="2:10" x14ac:dyDescent="0.25">
      <c r="B146" s="22">
        <f>IF(AND('Inputs'!$C$14="Spouse",LEFT('Inputs'!$C$13,7)&lt;&gt;"Married",'Inputs'!$C$13&lt;&gt;"Life partner",'Inputs'!$C$13&lt;&gt;"Civil Union"),"✗ The residue goes to a spouse, but the marital status is "&amp;'Inputs'!$C$13&amp;".","✓ Who inherits matches the marital status.")</f>
      </c>
      <c r="C146" s="22"/>
      <c r="D146" s="22"/>
      <c r="E146" s="22"/>
      <c r="F146" s="22"/>
      <c r="G146" s="22"/>
      <c r="H146" s="22"/>
      <c r="I146" s="22"/>
      <c r="J146" s="22"/>
    </row>
    <row r="147" ht="15" customHeight="1" spans="2:10" x14ac:dyDescent="0.25">
      <c r="B147" s="22">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47" s="22"/>
      <c r="D147" s="22"/>
      <c r="E147" s="22"/>
      <c r="F147" s="22"/>
      <c r="G147" s="22"/>
      <c r="H147" s="22"/>
      <c r="I147" s="22"/>
      <c r="J147" s="22"/>
    </row>
    <row r="148" ht="15" customHeight="1" spans="2:10" x14ac:dyDescent="0.25">
      <c r="B148" s="22">
        <f>IF((COUNTIF(S22:S39,"&gt;0")+COUNTIF(L59:L70,"&gt;0")+COUNTIF(O76:O81,"&gt;0"))&gt;6,"● "&amp;(COUNTIF(S22:S39,"&gt;0")+COUNTIF(L59:L70,"&gt;0")+COUNTIF(O76:O81,"&gt;0"))&amp;" named people pay estate duty: Workings lists the first 6; the total includes them all.","✓ Every named person who pays estate duty is listed on Workings.")</f>
      </c>
      <c r="C148" s="22"/>
      <c r="D148" s="22"/>
      <c r="E148" s="22"/>
      <c r="F148" s="22"/>
      <c r="G148" s="22"/>
      <c r="H148" s="22"/>
      <c r="I148" s="22"/>
      <c r="J148" s="22"/>
    </row>
    <row r="149" ht="15" customHeight="1" spans="2:10" x14ac:dyDescent="0.25">
      <c r="B149" s="22">
        <f>IF(SUM(P100:P105)=0,IF(COUNTIF(B100:B105,"?*")=0,"● No dependants in section 6, so there is no life cover need (the cost of dying still applies).","✓ Every dependant has a relationship and a need (a month with the years, or once-off)."),"✗ "&amp;SUM(P100:P105)&amp;" dependant(s) in section 6 without a relationship, or without a need (a month with the years, or once-off).")</f>
      </c>
      <c r="C149" s="22"/>
      <c r="D149" s="22"/>
      <c r="E149" s="22"/>
      <c r="F149" s="22"/>
      <c r="G149" s="22"/>
      <c r="H149" s="22"/>
      <c r="I149" s="22"/>
      <c r="J149" s="22"/>
    </row>
    <row r="150" ht="15" customHeight="1" spans="2:10" x14ac:dyDescent="0.25">
      <c r="B150" s="22">
        <f>IF(((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0,"✓ Everything in sections 1 to 6 matches the CRM.","● "&amp;((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amp;IF(((C8&lt;&gt;AB8)+(C9&lt;&gt;AB9)+(C10&lt;&gt;AB10)+(C11&lt;&gt;AB11)+(C12&lt;&gt;AB12)+(C13&lt;&gt;AB13)+(C14&lt;&gt;AB14)+(C16&lt;&gt;AB16)+(C17&lt;&gt;AB17)+(C106&lt;&gt;AB106)+(C107&lt;&gt;AB107)+SUMPRODUCT(--(B22:I39&lt;&gt;AA22:AH39))+SUMPRODUCT(--(B45:I54&lt;&gt;AA45:AH54))+SUMPRODUCT(--(B59:I70&lt;&gt;AA59:AH70))+SUMPRODUCT(--(B76:I81&lt;&gt;AA76:AH81))+SUMPRODUCT(--(B87:I94&lt;&gt;AA87:AH94))+SUMPRODUCT(--(B100:J105&lt;&gt;AA100:AI105)))=1," cell differs"," cells differ")&amp;" from the CRM (orange): update the CRM if they are facts, not a what-if.")</f>
      </c>
      <c r="C150" s="22"/>
      <c r="D150" s="22"/>
      <c r="E150" s="22"/>
      <c r="F150" s="22"/>
      <c r="G150" s="22"/>
      <c r="H150" s="22"/>
      <c r="I150" s="22"/>
      <c r="J150" s="22"/>
    </row>
    <row r="151" ht="15" customHeight="1" spans="2:10" x14ac:dyDescent="0.25">
      <c r="B151" s="22">
        <f>IF(AND(NOT(OR(LEFT('Inputs'!$C$13,7)="Married",'Inputs'!$C$13="Life partner",'Inputs'!$C$13="Civil Union")),SUM(R22:R39)+SUMIF(C59:C70,"Spouse",D59:D70)+COUNTIF(C76:C81,"Spouse")&gt;0),"✗ Something is left or paid to a spouse (sections 2, 4 or 4b), but the marital status is "&amp;'Inputs'!$C$13&amp;", so it gets no spouse deduction for estate duty. Check the marital status or who it is paid to.","")</f>
      </c>
      <c r="C151" s="22"/>
      <c r="D151" s="22"/>
      <c r="E151" s="22"/>
      <c r="F151" s="22"/>
      <c r="G151" s="22"/>
      <c r="H151" s="22"/>
      <c r="I151" s="22"/>
      <c r="J151" s="22"/>
    </row>
    <row r="152" ht="15" customHeight="1" spans="2:10" x14ac:dyDescent="0.25">
      <c r="B152" s="22">
        <f>IF(SUM(T76:T81)&gt;0,"✗ "&amp;SUM(T76:T81)&amp;" death income benefit(s) in section 4b without who it is paid to, the amount a month or the whole months it pays, paid to the estate without saying who it is for, or for someone not in section 6.",IF(SUMPRODUCT(--(((B76:B81&lt;&gt;"")+(D76:D81&lt;&gt;""))&gt;0))&gt;0,"✓ Every death income benefit says who it is paid to, how much a month and for how many months.",""))</f>
      </c>
      <c r="C152" s="22"/>
      <c r="D152" s="22"/>
      <c r="E152" s="22"/>
      <c r="F152" s="22"/>
      <c r="G152" s="22"/>
      <c r="H152" s="22"/>
      <c r="I152" s="22"/>
      <c r="J152" s="22"/>
    </row>
    <row r="153" hidden="1" spans="2:2" x14ac:dyDescent="0.25">
      <c r="B153" t="s">
        <v>171</v>
      </c>
    </row>
    <row r="154" ht="15" customHeight="1" spans="2:10" x14ac:dyDescent="0.25">
      <c r="B154" s="23"/>
      <c r="C154" s="23"/>
      <c r="D154" s="23"/>
      <c r="E154" s="23"/>
      <c r="F154" s="23"/>
      <c r="G154" s="23"/>
      <c r="H154" s="23"/>
      <c r="I154" s="23"/>
      <c r="J154" s="23"/>
    </row>
    <row r="155" ht="15" customHeight="1" spans="2:10" x14ac:dyDescent="0.25">
      <c r="B155" s="23"/>
      <c r="C155" s="23"/>
      <c r="D155" s="23"/>
      <c r="E155" s="23"/>
      <c r="F155" s="23"/>
      <c r="G155" s="23"/>
      <c r="H155" s="23"/>
      <c r="I155" s="23"/>
      <c r="J155" s="23"/>
    </row>
    <row r="156" ht="15" customHeight="1" spans="2:10" x14ac:dyDescent="0.25">
      <c r="B156" s="23"/>
      <c r="C156" s="23"/>
      <c r="D156" s="23"/>
      <c r="E156" s="23"/>
      <c r="F156" s="23"/>
      <c r="G156" s="23"/>
      <c r="H156" s="23"/>
      <c r="I156" s="23"/>
      <c r="J156" s="23"/>
    </row>
    <row r="157" ht="15" customHeight="1" spans="2:10" x14ac:dyDescent="0.25">
      <c r="B157" s="23"/>
      <c r="C157" s="23"/>
      <c r="D157" s="23"/>
      <c r="E157" s="23"/>
      <c r="F157" s="23"/>
      <c r="G157" s="23"/>
      <c r="H157" s="23"/>
      <c r="I157" s="23"/>
      <c r="J157" s="23"/>
    </row>
    <row r="158" ht="15" customHeight="1" spans="2:10" x14ac:dyDescent="0.25">
      <c r="B158" s="23"/>
      <c r="C158" s="23"/>
      <c r="D158" s="23"/>
      <c r="E158" s="23"/>
      <c r="F158" s="23"/>
      <c r="G158" s="23"/>
      <c r="H158" s="23"/>
      <c r="I158" s="23"/>
      <c r="J158" s="23"/>
    </row>
    <row r="159" ht="15" customHeight="1" spans="2:10" x14ac:dyDescent="0.25">
      <c r="B159" s="23"/>
      <c r="C159" s="23"/>
      <c r="D159" s="23"/>
      <c r="E159" s="23"/>
      <c r="F159" s="23"/>
      <c r="G159" s="23"/>
      <c r="H159" s="23"/>
      <c r="I159" s="23"/>
      <c r="J159" s="23"/>
    </row>
    <row r="160" ht="15" customHeight="1" spans="2:10" x14ac:dyDescent="0.25">
      <c r="B160" s="23"/>
      <c r="C160" s="23"/>
      <c r="D160" s="23"/>
      <c r="E160" s="23"/>
      <c r="F160" s="23"/>
      <c r="G160" s="23"/>
      <c r="H160" s="23"/>
      <c r="I160" s="23"/>
      <c r="J160" s="23"/>
    </row>
    <row r="161" ht="15" customHeight="1" spans="2:10" x14ac:dyDescent="0.25">
      <c r="B161" s="23"/>
      <c r="C161" s="23"/>
      <c r="D161" s="23"/>
      <c r="E161" s="23"/>
      <c r="F161" s="23"/>
      <c r="G161" s="23"/>
      <c r="H161" s="23"/>
      <c r="I161" s="23"/>
      <c r="J161" s="23"/>
    </row>
    <row r="162" ht="15" customHeight="1" spans="2:10" x14ac:dyDescent="0.25">
      <c r="B162" s="23"/>
      <c r="C162" s="23"/>
      <c r="D162" s="23"/>
      <c r="E162" s="23"/>
      <c r="F162" s="23"/>
      <c r="G162" s="23"/>
      <c r="H162" s="23"/>
      <c r="I162" s="23"/>
      <c r="J162" s="23"/>
    </row>
    <row r="163" ht="15" customHeight="1" spans="2:10" x14ac:dyDescent="0.25">
      <c r="B163" s="23"/>
      <c r="C163" s="23"/>
      <c r="D163" s="23"/>
      <c r="E163" s="23"/>
      <c r="F163" s="23"/>
      <c r="G163" s="23"/>
      <c r="H163" s="23"/>
      <c r="I163" s="23"/>
      <c r="J163" s="23"/>
    </row>
    <row r="164" ht="15" customHeight="1" spans="2:10" x14ac:dyDescent="0.25">
      <c r="B164" s="23"/>
      <c r="C164" s="23"/>
      <c r="D164" s="23"/>
      <c r="E164" s="23"/>
      <c r="F164" s="23"/>
      <c r="G164" s="23"/>
      <c r="H164" s="23"/>
      <c r="I164" s="23"/>
      <c r="J164" s="23"/>
    </row>
    <row r="165" ht="15" customHeight="1" spans="2:10" x14ac:dyDescent="0.25">
      <c r="B165" s="23"/>
      <c r="C165" s="23"/>
      <c r="D165" s="23"/>
      <c r="E165" s="23"/>
      <c r="F165" s="23"/>
      <c r="G165" s="23"/>
      <c r="H165" s="23"/>
      <c r="I165" s="23"/>
      <c r="J165" s="23"/>
    </row>
    <row r="166" ht="15" customHeight="1" spans="2:10" x14ac:dyDescent="0.25">
      <c r="B166" s="23"/>
      <c r="C166" s="23"/>
      <c r="D166" s="23"/>
      <c r="E166" s="23"/>
      <c r="F166" s="23"/>
      <c r="G166" s="23"/>
      <c r="H166" s="23"/>
      <c r="I166" s="23"/>
      <c r="J166" s="23"/>
    </row>
    <row r="167" ht="15" customHeight="1" spans="2:10" x14ac:dyDescent="0.25">
      <c r="B167" s="23"/>
      <c r="C167" s="23"/>
      <c r="D167" s="23"/>
      <c r="E167" s="23"/>
      <c r="F167" s="23"/>
      <c r="G167" s="23"/>
      <c r="H167" s="23"/>
      <c r="I167" s="23"/>
      <c r="J167" s="23"/>
    </row>
  </sheetData>
  <sheetProtection sheet="1" formatRows="0"/>
  <mergeCells count="78">
    <mergeCell ref="B1:J1"/>
    <mergeCell ref="B2:J2"/>
    <mergeCell ref="C8:E8"/>
    <mergeCell ref="C9:E9"/>
    <mergeCell ref="C10:E10"/>
    <mergeCell ref="C11:E11"/>
    <mergeCell ref="C12:E12"/>
    <mergeCell ref="C13:E13"/>
    <mergeCell ref="C14:E14"/>
    <mergeCell ref="C15:I15"/>
    <mergeCell ref="C16:E16"/>
    <mergeCell ref="C17:I17"/>
    <mergeCell ref="B40:J40"/>
    <mergeCell ref="F58:H58"/>
    <mergeCell ref="F59:H59"/>
    <mergeCell ref="F60:H60"/>
    <mergeCell ref="F61:H61"/>
    <mergeCell ref="F62:H62"/>
    <mergeCell ref="F63:H63"/>
    <mergeCell ref="F64:H64"/>
    <mergeCell ref="F65:H65"/>
    <mergeCell ref="F66:H66"/>
    <mergeCell ref="F67:H67"/>
    <mergeCell ref="F68:H68"/>
    <mergeCell ref="F69:H69"/>
    <mergeCell ref="F70:H70"/>
    <mergeCell ref="B71:J71"/>
    <mergeCell ref="B82:J82"/>
    <mergeCell ref="F86:H86"/>
    <mergeCell ref="F87:H87"/>
    <mergeCell ref="F88:H88"/>
    <mergeCell ref="F89:H89"/>
    <mergeCell ref="F90:H90"/>
    <mergeCell ref="F91:H91"/>
    <mergeCell ref="F92:H92"/>
    <mergeCell ref="F93:H93"/>
    <mergeCell ref="F94:H94"/>
    <mergeCell ref="B95:J95"/>
    <mergeCell ref="C106:E106"/>
    <mergeCell ref="C107:E107"/>
    <mergeCell ref="B108:J108"/>
    <mergeCell ref="B117:J117"/>
    <mergeCell ref="E120:G120"/>
    <mergeCell ref="E121:G121"/>
    <mergeCell ref="E122:G122"/>
    <mergeCell ref="E123:G123"/>
    <mergeCell ref="E124:G124"/>
    <mergeCell ref="E125:G125"/>
    <mergeCell ref="E126:G126"/>
    <mergeCell ref="E127:G127"/>
    <mergeCell ref="E128:G128"/>
    <mergeCell ref="E129:G129"/>
    <mergeCell ref="E130:G130"/>
    <mergeCell ref="E131:G131"/>
    <mergeCell ref="B141:J141"/>
    <mergeCell ref="B144:J144"/>
    <mergeCell ref="B145:J145"/>
    <mergeCell ref="B146:J146"/>
    <mergeCell ref="B147:J147"/>
    <mergeCell ref="B148:J148"/>
    <mergeCell ref="B149:J149"/>
    <mergeCell ref="B150:J150"/>
    <mergeCell ref="B151:J151"/>
    <mergeCell ref="B152:J152"/>
    <mergeCell ref="B154:J154"/>
    <mergeCell ref="B155:J155"/>
    <mergeCell ref="B156:J156"/>
    <mergeCell ref="B157:J157"/>
    <mergeCell ref="B158:J158"/>
    <mergeCell ref="B159:J159"/>
    <mergeCell ref="B160:J160"/>
    <mergeCell ref="B161:J161"/>
    <mergeCell ref="B162:J162"/>
    <mergeCell ref="B163:J163"/>
    <mergeCell ref="B164:J164"/>
    <mergeCell ref="B165:J165"/>
    <mergeCell ref="B166:J166"/>
    <mergeCell ref="B167:J167"/>
  </mergeCells>
  <conditionalFormatting sqref="B144:J167">
    <cfRule type="expression" dxfId="0" priority="1">
      <formula>LEFT($B144,1)="✗"</formula>
    </cfRule>
    <cfRule type="expression" dxfId="1" priority="2">
      <formula>LEFT($B144,1)="✓"</formula>
    </cfRule>
    <cfRule type="expression" dxfId="2" priority="3">
      <formula>LEFT($B144,1)="●"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106">
    <cfRule type="expression" dxfId="12" priority="13">
      <formula>C106&lt;&gt;AB106</formula>
    </cfRule>
  </conditionalFormatting>
  <conditionalFormatting sqref="C107">
    <cfRule type="expression" dxfId="13" priority="14">
      <formula>C107&lt;&gt;AB107</formula>
    </cfRule>
  </conditionalFormatting>
  <conditionalFormatting sqref="B22:I39">
    <cfRule type="expression" dxfId="14" priority="15">
      <formula>B22&lt;&gt;AA22</formula>
    </cfRule>
  </conditionalFormatting>
  <conditionalFormatting sqref="B45:I54">
    <cfRule type="expression" dxfId="15" priority="16">
      <formula>B45&lt;&gt;AA45</formula>
    </cfRule>
  </conditionalFormatting>
  <conditionalFormatting sqref="B59:I70">
    <cfRule type="expression" dxfId="16" priority="17">
      <formula>B59&lt;&gt;AA59</formula>
    </cfRule>
  </conditionalFormatting>
  <conditionalFormatting sqref="B76:I81">
    <cfRule type="expression" dxfId="17" priority="18">
      <formula>B76&lt;&gt;AA76</formula>
    </cfRule>
  </conditionalFormatting>
  <conditionalFormatting sqref="B87:I94">
    <cfRule type="expression" dxfId="18" priority="19">
      <formula>B87&lt;&gt;AA87</formula>
    </cfRule>
  </conditionalFormatting>
  <conditionalFormatting sqref="B100:J105">
    <cfRule type="expression" dxfId="19" priority="20">
      <formula>B100&lt;&gt;AA100</formula>
    </cfRule>
  </conditionalFormatting>
  <dataValidations count="53">
    <dataValidation type="list" allowBlank="1" showErrorMessage="1" errorStyle="stop" errorTitle="Please choose from the list" error="Please choose one of the options in the list." sqref="C100:C105">
      <formula1>'Lists'!$F$2:$F$4</formula1>
    </dataValidation>
    <dataValidation type="list" allowBlank="1" showErrorMessage="1" errorStyle="stop" errorTitle="Please choose from the list" error="Please choose one of the options in the list." sqref="C106">
      <formula1>'Lists'!$G$2:$G$3</formula1>
    </dataValidation>
    <dataValidation type="list" allowBlank="1" showErrorMessage="1" errorStyle="stop" errorTitle="Please choose from the list" error="Please choose one of the options in the list." sqref="C107">
      <formula1>'Lists'!$H$2:$H$3</formula1>
    </dataValidation>
    <dataValidation type="date" allowBlank="1" showErrorMessage="1" errorStyle="stop" errorTitle="Date" error="Please type a date like 2026-10-13." sqref="C11:C12">
      <formula1>32874</formula1>
      <formula2>73415</formula2>
    </dataValidation>
    <dataValidation type="decimal" allowBlank="1" showErrorMessage="1" errorStyle="stop" errorTitle="Percentage" error="Please type the percentage as a plain number, e.g. 2.92 for 2.92%. Do not add the % sign." sqref="C112">
      <formula1>0</formula1>
      <formula2>100</formula2>
    </dataValidation>
    <dataValidation type="decimal" operator="greaterThanOrEqual" allowBlank="1" showErrorMessage="1" errorStyle="stop" errorTitle="Amount" error="Please type the amount in rand as a number, without R or spaces, e.g. 1250000." sqref="C113">
      <formula1>0</formula1>
    </dataValidation>
    <dataValidation type="decimal" allowBlank="1" showErrorMessage="1" errorStyle="stop" errorTitle="Percentage" error="Please type the percentage as a plain number, e.g. 2.92 for 2.92%. Do not add the % sign." sqref="C114">
      <formula1>0</formula1>
      <formula2>100</formula2>
    </dataValidation>
    <dataValidation type="decimal" operator="greaterThanOrEqual" allowBlank="1" showErrorMessage="1" errorStyle="stop" errorTitle="Amount" error="Please type the amount in rand as a number, without R or spaces, e.g. 1250000." sqref="C115:C116">
      <formula1>0</formula1>
    </dataValidation>
    <dataValidation type="decimal" allowBlank="1" showErrorMessage="1" errorStyle="stop" errorTitle="Percentage" error="Please type the percentage as a plain number, e.g. 2.92 for 2.92%. Do not add the % sign." sqref="C120:C121">
      <formula1>0</formula1>
      <formula2>100</formula2>
    </dataValidation>
    <dataValidation type="decimal" operator="greaterThanOrEqual" allowBlank="1" showErrorMessage="1" errorStyle="stop" errorTitle="Amount" error="Please type the amount in rand as a number, without R or spaces, e.g. 1250000." sqref="C122:C124">
      <formula1>0</formula1>
    </dataValidation>
    <dataValidation type="decimal" allowBlank="1" showErrorMessage="1" errorStyle="stop" errorTitle="Percentage" error="Please type the percentage as a plain number, e.g. 2.92 for 2.92%. Do not add the % sign." sqref="C125:C126">
      <formula1>0</formula1>
      <formula2>100</formula2>
    </dataValidation>
    <dataValidation type="decimal" operator="greaterThanOrEqual" allowBlank="1" showErrorMessage="1" errorStyle="stop" errorTitle="Amount" error="Please type the amount in rand as a number, without R or spaces, e.g. 1250000." sqref="C127">
      <formula1>0</formula1>
    </dataValidation>
    <dataValidation type="decimal" allowBlank="1" showErrorMessage="1" errorStyle="stop" errorTitle="Percentage" error="Please type the percentage as a plain number, e.g. 2.92 for 2.92%. Do not add the % sign." sqref="C128">
      <formula1>0</formula1>
      <formula2>100</formula2>
    </dataValidation>
    <dataValidation type="decimal" operator="greaterThanOrEqual" allowBlank="1" showErrorMessage="1" errorStyle="stop" errorTitle="Amount" error="Please type the amount in rand as a number, without R or spaces, e.g. 1250000." sqref="C129">
      <formula1>0</formula1>
    </dataValidation>
    <dataValidation type="list" allowBlank="1" showErrorMessage="1" errorStyle="stop" errorTitle="Please choose from the list" error="Please choose one of the options in the list." sqref="C13">
      <formula1>'Lists'!$I$2:$I$12</formula1>
    </dataValidation>
    <dataValidation type="decimal" allowBlank="1" showErrorMessage="1" errorStyle="stop" errorTitle="Percentage" error="Please type the percentage as a plain number, e.g. 2.92 for 2.92%. Do not add the % sign." sqref="C130">
      <formula1>0</formula1>
      <formula2>100</formula2>
    </dataValidation>
    <dataValidation type="decimal" operator="greaterThanOrEqual" allowBlank="1" showErrorMessage="1" errorStyle="stop" errorTitle="Amount" error="Please type the amount in rand as a number, without R or spaces, e.g. 1250000." sqref="C131">
      <formula1>0</formula1>
    </dataValidation>
    <dataValidation type="decimal" operator="greaterThanOrEqual" allowBlank="1" showErrorMessage="1" errorStyle="stop" errorTitle="Amount" error="Please type the amount in rand as a number, without R or spaces, e.g. 1250000." sqref="C134:D140">
      <formula1>0</formula1>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'Lists'!$A$2:$A$9</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76:C81">
      <formula1>'Lists'!$C$2:$C$4</formula1>
    </dataValidation>
    <dataValidation type="whole" allowBlank="1" showErrorMessage="1" errorStyle="stop" errorTitle="Years" error="Please type the number of years as a whole number, e.g. 10." sqref="D100:D105">
      <formula1>0</formula1>
      <formula2>60</formula2>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1">
      <formula1>0</formula1>
    </dataValidation>
    <dataValidation type="decimal" operator="greaterThanOrEqual" allowBlank="1" showErrorMessage="1" errorStyle="stop" errorTitle="Amount" error="Please type the amount in rand as a number, without R or spaces, e.g. 1250000." sqref="D87:D94">
      <formula1>0</formula1>
    </dataValidation>
    <dataValidation type="decimal" operator="greaterThanOrEqual" allowBlank="1" showErrorMessage="1" errorStyle="stop" errorTitle="Amount" error="Please type the amount in rand as a number, without R or spaces, e.g. 1250000." sqref="E100:E105">
      <formula1>0</formula1>
    </dataValidation>
    <dataValidation type="decimal" allowBlank="1" showErrorMessage="1" errorStyle="stop" errorTitle="Percentage" error="Please type the percentage as a plain number, e.g. 2.92 for 2.92%. Do not add the % sign." sqref="E134:E140">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allowBlank="1" showErrorMessage="1" errorStyle="stop" errorTitle="Percentage" error="Please type the percentage as a plain number, e.g. 2.92 for 2.92%. Do not add the % sign." sqref="E76:E81">
      <formula1>0</formula1>
      <formula2>100</formula2>
    </dataValidation>
    <dataValidation type="whole" allowBlank="1" showErrorMessage="1" errorStyle="stop" errorTitle="Years" error="Please type the number of years as a whole number, e.g. 10." sqref="F100:F105">
      <formula1>0</formula1>
      <formula2>60</formula2>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whole" allowBlank="1" showErrorMessage="1" errorStyle="stop" errorTitle="Months" error="Please type the number of monthly payments as a whole number, e.g. 130." sqref="F76:F81">
      <formula1>0</formula1>
      <formula2>1200</formula2>
    </dataValidation>
    <dataValidation type="list" allowBlank="1" showErrorMessage="1" errorStyle="stop" errorTitle="Please choose from the list" error="Choose one of the people in section 6, or the children's trust, or leave it blank." sqref="F87:F94">
      <formula1>QF_L_whom</formula1>
    </dataValidation>
    <dataValidation type="decimal" allowBlank="1" showErrorMessage="1" errorStyle="stop" errorTitle="Percentage" error="Please type the percentage as a plain number, e.g. 2.92 for 2.92%. Do not add the % sign." sqref="G100:G105">
      <formula1>0</formula1>
      <formula2>100</formula2>
    </dataValidation>
    <dataValidation type="decimal" operator="greaterThanOrEqual" allowBlank="1" showErrorMessage="1" errorStyle="stop" errorTitle="Amount" error="Please type the amount in rand as a number, without R or spaces, e.g. 1250000." sqref="G134:H137">
      <formula1>0</formula1>
    </dataValidation>
    <dataValidation type="list" allowBlank="1" showErrorMessage="1" errorStyle="stop" errorTitle="Please choose from the list" error="Please choose one of the options in the list." sqref="G22:G39">
      <formula1>'Lists'!$B$2:$B$4</formula1>
    </dataValidation>
    <dataValidation type="list" allowBlank="1" showErrorMessage="1" errorStyle="stop" errorTitle="Please choose from the list" error="Choose one of the people in section 6, or leave it blank." sqref="G76:G81">
      <formula1>QF_L_dep</formula1>
    </dataValidation>
    <dataValidation type="list" allowBlank="1" showErrorMessage="1" errorStyle="stop" errorTitle="Please choose from the list" error="Please choose one of the options in the list." sqref="H100:H105">
      <formula1>'Lists'!$D$2:$D$3</formula1>
    </dataValidation>
    <dataValidation type="decimal" allowBlank="1" showErrorMessage="1" errorStyle="stop" errorTitle="Percentage" error="Please type the percentage as a plain number, e.g. 2.92 for 2.92%. Do not add the % sign." sqref="H120">
      <formula1>0</formula1>
      <formula2>100</formula2>
    </dataValidation>
    <dataValidation type="decimal" operator="greaterThanOrEqual" allowBlank="1" showErrorMessage="1" errorStyle="stop" errorTitle="Amount" error="Please type the amount in rand as a number, without R or spaces, e.g. 1250000." sqref="H121">
      <formula1>0</formula1>
    </dataValidation>
    <dataValidation type="decimal" allowBlank="1" showErrorMessage="1" errorStyle="stop" errorTitle="Percentage" error="Please type the percentage as a plain number, e.g. 2.92 for 2.92%. Do not add the % sign." sqref="H122:H123">
      <formula1>0</formula1>
      <formula2>100</formula2>
    </dataValidation>
    <dataValidation type="decimal" operator="greaterThanOrEqual" allowBlank="1" showErrorMessage="1" errorStyle="stop" errorTitle="Amount" error="Please type the amount in rand as a number, without R or spaces, e.g. 1250000." sqref="H124">
      <formula1>0</formula1>
    </dataValidation>
    <dataValidation type="decimal" allowBlank="1" showErrorMessage="1" errorStyle="stop" errorTitle="Percentage" error="Please type the percentage as a plain number, e.g. 2.92 for 2.92%. Do not add the % sign." sqref="H125:H129">
      <formula1>0</formula1>
      <formula2>100</formula2>
    </dataValidation>
    <dataValidation type="decimal" operator="greaterThanOrEqual" allowBlank="1" showErrorMessage="1" errorStyle="stop" errorTitle="Amount" error="Please type the amount in rand as a number, without R or spaces, e.g. 1250000." sqref="H130:H131">
      <formula1>0</formula1>
    </dataValidation>
    <dataValidation type="list" allowBlank="1" showErrorMessage="1" errorStyle="stop" errorTitle="Please choose from the list" error="Please choose one of the options in the list." sqref="H22:H39">
      <formula1>'Lists'!$D$2:$D$3</formula1>
    </dataValidation>
    <dataValidation type="decimal" operator="greaterThanOrEqual" allowBlank="1" showErrorMessage="1" errorStyle="stop" errorTitle="Amount" error="Please type the amount in rand as a number, without R or spaces, e.g. 1250000." sqref="H76:H81">
      <formula1>0</formula1>
    </dataValidation>
    <dataValidation type="decimal" operator="greaterThanOrEqual" allowBlank="1" showErrorMessage="1" errorStyle="stop" errorTitle="Amount" error="Please type the amount in rand as a number, without R or spaces, e.g. 1250000." sqref="I100:J105">
      <formula1>0</formula1>
    </dataValidation>
    <dataValidation type="decimal" allowBlank="1" showErrorMessage="1" errorStyle="stop" errorTitle="Percentage" error="Please type the percentage as a plain number, e.g. 2.92 for 2.92%. Do not add the % sign." sqref="I134:I137">
      <formula1>0</formula1>
      <formula2>100</formula2>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49</v>
      </c>
      <c r="C1" s="1"/>
      <c r="D1" s="1"/>
    </row>
    <row r="2" ht="15" customHeight="1" spans="2:4" x14ac:dyDescent="0.25">
      <c r="B2" s="2" t="s">
        <v>50</v>
      </c>
      <c r="C2" s="2"/>
      <c r="D2" s="2"/>
    </row>
    <row r="3" spans="2:4" x14ac:dyDescent="0.25">
      <c r="B3" s="24">
        <f>IF(OR(COUNTIF('Inputs'!$B$154:$B$167,"✗ Full FNA*")&gt;0,LEFT('Inputs'!$B$147,1)="✗"),"NOT FOR THE CLIENT: this case needs the full FNA (see Checks on Inputs)","")</f>
      </c>
      <c r="C3" s="24"/>
      <c r="D3" s="24"/>
    </row>
    <row r="4" ht="20" customHeight="1" spans="2:2" x14ac:dyDescent="0.25">
      <c r="B4" s="3" t="s">
        <v>172</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5">
        <f>IF('Inputs'!$C$15&lt;&gt;"",TRIM('Inputs'!$C$15)&amp;" ","")&amp;"If you died today, winding up your estate would cost about R "&amp;FIXED(('Workings'!$C$59)/1000000,2)&amp;" million"&amp;IF('Workings'!$C$62&gt;0,", and your debts of R "&amp;FIXED(('Workings'!$C$62)/1000000,2)&amp;" million have to be paid too","")&amp;". Your executor would have R "&amp;FIXED(('Workings'!$C$66)/1000000,2)&amp;" million in cash, so "&amp;IF('Workings'!$C$67&gt;0,"would be short by about R "&amp;FIXED(('Workings'!$C$67)/1000000,2)&amp;" million.","would have enough, with about R "&amp;FIXED(ROUND('Workings'!$C$68,-3),0)&amp;" left over.")</f>
      </c>
      <c r="C7" s="25"/>
      <c r="D7" s="25"/>
    </row>
    <row r="8" ht="44" customHeight="1" spans="2:4" x14ac:dyDescent="0.25">
      <c r="B8" s="25">
        <f>IF(AND(ISNUMBER('Inputs'!$C$112),'Inputs'!$C$112&gt;0),"With a Capital Legacy will and the Legacy Protection Plan, the plan pays about R "&amp;FIXED(ROUND(-'Workings'!$D$60,-3),0)&amp;" of the executor's and conveyancing fees, "&amp;IF('Workings'!$D$67=0,IF('Workings'!$C$67&gt;0,"the shortfall disappears","your executor still has enough"),"the shortfall falls to about R "&amp;FIXED(ROUND('Workings'!$D$67,-3),0))&amp;", and your heirs receive about R "&amp;FIXED(('Workings'!$D$69-'Workings'!$C$69)/1000000,2)&amp;" million more.","")</f>
      </c>
      <c r="C8" s="25"/>
      <c r="D8" s="25"/>
    </row>
    <row r="10" spans="2:4" x14ac:dyDescent="0.25">
      <c r="B10" s="26">
        <f>IF('Workings'!$C$67&gt;0,"YOUR EXECUTOR'S CASH SHORTFALL TODAY","CASH LEFT OVER FOR YOUR EXECUTOR TODAY")</f>
      </c>
      <c r="C10" s="26"/>
      <c r="D10" s="26"/>
    </row>
    <row r="11" ht="28" customHeight="1" spans="2:4" x14ac:dyDescent="0.25">
      <c r="B11" s="27">
        <f>"R "&amp;FIXED(ROUND(IF('Workings'!$C$67&gt;0,'Workings'!$C$67,'Workings'!$C$68),-3),0)</f>
      </c>
      <c r="C11" s="27"/>
      <c r="D11" s="27"/>
    </row>
    <row r="12" spans="2:4" x14ac:dyDescent="0.25">
      <c r="B12" s="28">
        <f>IF('Workings'!$C$67&gt;0,"the cash that has to be found before your estate can be wound up","what is left once the costs are paid")</f>
      </c>
      <c r="C12" s="28"/>
      <c r="D12" s="28"/>
    </row>
    <row r="14" ht="42" customHeight="1" spans="2:4" x14ac:dyDescent="0.25">
      <c r="B14" s="12" t="s">
        <v>173</v>
      </c>
      <c r="C14" s="13" t="s">
        <v>174</v>
      </c>
      <c r="D14" s="13">
        <f>IF(AND(ISNUMBER('Inputs'!$C$112),'Inputs'!$C$112&gt;0),"With a Capital Legacy will and the Legacy Protection Plan","Capital Legacy column: enter the quote on Inputs")</f>
      </c>
    </row>
    <row r="15" spans="2:4" x14ac:dyDescent="0.25">
      <c r="B15" s="7" t="s">
        <v>175</v>
      </c>
      <c r="C15" s="15">
        <f>'Workings'!$C$58</f>
      </c>
      <c r="D15" s="15">
        <f>IF(AND(ISNUMBER('Inputs'!$C$112),'Inputs'!$C$112&gt;0),'Workings'!$D$58,"")</f>
      </c>
    </row>
    <row r="16" spans="2:4" x14ac:dyDescent="0.25">
      <c r="B16" s="7" t="s">
        <v>176</v>
      </c>
      <c r="C16" s="15">
        <f>'Workings'!$C$57</f>
      </c>
      <c r="D16" s="15">
        <f>IF(AND(ISNUMBER('Inputs'!$C$112),'Inputs'!$C$112&gt;0),'Workings'!$D$57,"")</f>
      </c>
    </row>
    <row r="17" ht="27" customHeight="1" spans="2:4" x14ac:dyDescent="0.25">
      <c r="B17" s="29">
        <f>"Executor's fees"&amp;CHAR(10)&amp;IF(ROUND('Inputs'!$C$120,0)='Inputs'!$C$120,FIXED('Inputs'!$C$120,0),IF(ROUND('Inputs'!$C$120,1)='Inputs'!$C$120,FIXED('Inputs'!$C$120,1),FIXED('Inputs'!$C$120,2)))&amp;"%"&amp;"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17" s="15">
        <f>'Workings'!$C$54</f>
      </c>
      <c r="D17" s="15">
        <f>IF(AND(ISNUMBER('Inputs'!$C$112),'Inputs'!$C$112&gt;0),'Workings'!$D$54,"")</f>
      </c>
    </row>
    <row r="18" ht="27" customHeight="1" spans="2:4" x14ac:dyDescent="0.25">
      <c r="B18" s="29">
        <f>"Property transfer and conveyancing"&amp;CHAR(10)&amp;IF(ROUND('Inputs'!$C$125,0)='Inputs'!$C$125,FIXED('Inputs'!$C$125,0),IF(ROUND('Inputs'!$C$125,1)='Inputs'!$C$125,FIXED('Inputs'!$C$125,1),FIXED('Inputs'!$C$125,2)))&amp;"%"&amp;" of value"&amp;IF(AND(ISNUMBER('Inputs'!$C$112),'Inputs'!$C$112&gt;0)," / Capital Legacy's estimate","")</f>
      </c>
      <c r="C18" s="15">
        <f>'Workings'!$C$55</f>
      </c>
      <c r="D18" s="15">
        <f>IF(AND(ISNUMBER('Inputs'!$C$112),'Inputs'!$C$112&gt;0),'Workings'!$D$55,"")</f>
      </c>
    </row>
    <row r="19" spans="2:4" x14ac:dyDescent="0.25">
      <c r="B19" s="7" t="s">
        <v>177</v>
      </c>
      <c r="C19" s="15">
        <f>'Workings'!$C$56</f>
      </c>
      <c r="D19" s="15">
        <f>IF(AND(ISNUMBER('Inputs'!$C$112),'Inputs'!$C$112&gt;0),'Workings'!$D$56,"")</f>
      </c>
    </row>
    <row r="20" spans="2:4" x14ac:dyDescent="0.25">
      <c r="B20" s="7" t="s">
        <v>178</v>
      </c>
      <c r="C20" s="15">
        <f>'Workings'!$C$53</f>
      </c>
      <c r="D20" s="15">
        <f>IF(AND(ISNUMBER('Inputs'!$C$112),'Inputs'!$C$112&gt;0),'Workings'!$D$53,"")</f>
      </c>
    </row>
    <row r="21" spans="2:4" x14ac:dyDescent="0.25">
      <c r="B21" s="30" t="s">
        <v>179</v>
      </c>
      <c r="C21" s="31">
        <f>'Workings'!$C$59</f>
      </c>
      <c r="D21" s="31">
        <f>IF(AND(ISNUMBER('Inputs'!$C$112),'Inputs'!$C$112&gt;0),'Workings'!$D$59,"")</f>
      </c>
    </row>
    <row r="22" spans="2:4" x14ac:dyDescent="0.25">
      <c r="B22" s="7" t="s">
        <v>180</v>
      </c>
      <c r="C22" s="15">
        <f>-'Workings'!$C$60</f>
      </c>
      <c r="D22" s="15">
        <f>IF(AND(ISNUMBER('Inputs'!$C$112),'Inputs'!$C$112&gt;0),-'Workings'!$D$60,"")</f>
      </c>
    </row>
    <row r="23" spans="2:4" x14ac:dyDescent="0.25">
      <c r="B23" s="30" t="s">
        <v>181</v>
      </c>
      <c r="C23" s="31">
        <f>'Workings'!$C$61</f>
      </c>
      <c r="D23" s="31">
        <f>IF(AND(ISNUMBER('Inputs'!$C$112),'Inputs'!$C$112&gt;0),'Workings'!$D$61,"")</f>
      </c>
    </row>
    <row r="24" spans="2:4" x14ac:dyDescent="0.25">
      <c r="B24" s="7" t="s">
        <v>182</v>
      </c>
      <c r="C24" s="15">
        <f>'Workings'!$C$62</f>
      </c>
      <c r="D24" s="15">
        <f>IF(AND(ISNUMBER('Inputs'!$C$112),'Inputs'!$C$112&gt;0),'Workings'!$D$62,"")</f>
      </c>
    </row>
    <row r="25" ht="27" customHeight="1" spans="2:4" x14ac:dyDescent="0.25">
      <c r="B25" s="29">
        <f>"Cash your executor has"&amp;CHAR(10)&amp;"bank accounts, deposits and investments cashed in"</f>
      </c>
      <c r="C25" s="15">
        <f>'Workings'!$C$66</f>
      </c>
      <c r="D25" s="15">
        <f>IF(AND(ISNUMBER('Inputs'!$C$112),'Inputs'!$C$112&gt;0),'Workings'!$D$66,"")</f>
      </c>
    </row>
    <row r="26" ht="27" customHeight="1" spans="2:4" x14ac:dyDescent="0.25">
      <c r="B26" s="21" t="s">
        <v>183</v>
      </c>
      <c r="C26" s="32">
        <f>IF('Workings'!$C$67&gt;0,"Short R "&amp;FIXED(ROUND('Workings'!$C$67,-3),0),"Covered: R "&amp;FIXED(ROUND('Workings'!$C$68,-3),0)&amp;" left over")</f>
      </c>
      <c r="D26" s="32">
        <f>IF(AND(ISNUMBER('Inputs'!$C$112),'Inputs'!$C$112&gt;0),IF('Workings'!$D$67&gt;0,"Short R "&amp;FIXED(ROUND('Workings'!$D$67,-3),0),"Covered: R "&amp;FIXED(ROUND('Workings'!$D$68,-3),0)&amp;" left over"),"")</f>
      </c>
    </row>
    <row r="27" ht="27" customHeight="1" spans="2:4" x14ac:dyDescent="0.25">
      <c r="B27" s="29">
        <f>IF(OR(SUM('Inputs'!$R$22:$R$39)&gt;0,'Inputs'!$C$14="Spouse"),"Left for your spouse and heirs","Left for your heirs")&amp;IF('Workings'!$C$67&gt;0,CHAR(10)&amp;"if they pay any shortfall in","")</f>
      </c>
      <c r="C27" s="15">
        <f>'Workings'!$C$69</f>
      </c>
      <c r="D27" s="33">
        <f>IF(AND(ISNUMBER('Inputs'!$C$112),'Inputs'!$C$112&gt;0),'Workings'!$D$69,"")</f>
      </c>
    </row>
    <row r="28" spans="2:4" x14ac:dyDescent="0.25">
      <c r="B28" s="7" t="s">
        <v>184</v>
      </c>
      <c r="C28" s="34" t="s">
        <v>185</v>
      </c>
      <c r="D28" s="34">
        <f>IF(AND(ISNUMBER('Inputs'!$C$112),'Inputs'!$C$112&gt;0),IF(ISNUMBER('Inputs'!$C$116),"From R "&amp;FIXED('Inputs'!$C$116,2)&amp;" a month","Premium: enter it on Inputs"),"")</f>
      </c>
    </row>
    <row r="29" ht="27" customHeight="1" spans="2:4" x14ac:dyDescent="0.25">
      <c r="B29" s="16">
        <f>IF('Workings'!$C$48&lt;0,"The people you leave policies or bequests to directly pay R "&amp;FIXED(-'Workings'!$C$48,0)&amp;" of the estate duty themselves; your executor recovers it from them and it is not in the cost above. If it cannot be recovered, your estate pays it.","")</f>
      </c>
      <c r="C29" s="16"/>
      <c r="D29" s="16"/>
    </row>
    <row r="31" ht="18" customHeight="1" spans="2:4" x14ac:dyDescent="0.25">
      <c r="B31" s="5" t="s">
        <v>186</v>
      </c>
      <c r="C31" s="6"/>
      <c r="D31" s="6"/>
    </row>
    <row r="32" ht="27" customHeight="1" spans="2:4" x14ac:dyDescent="0.25">
      <c r="B32" s="35">
        <f>"1.  Sign a new will that says what you want"&amp;IF(AND(ISNUMBER('Inputs'!$C$112),'Inputs'!$C$112&gt;0),", with Capital Legacy as your executor","")&amp;". Until you do, your current will, or the law if you have none, decides who inherits."</f>
      </c>
      <c r="C32" s="35"/>
      <c r="D32" s="35"/>
    </row>
    <row r="33" ht="27" customHeight="1" spans="2:4" x14ac:dyDescent="0.25">
      <c r="B33" s="35">
        <f>"2.  "&amp;IF('Workings'!$C$67&gt;0,"Decide how your executor will find the cash: life cover paid to your estate (see the life cover need page), "&amp;IF(AND(ISNUMBER('Inputs'!$C$112),'Inputs'!$C$112&gt;0),"the Legacy Protection Plan, ","")&amp;"a property sold, or your heirs paying it in.","Keep enough cash for your executor: today there is enough, with about R "&amp;FIXED(ROUND('Workings'!$C$68,-3),0)&amp;" to spare.")</f>
      </c>
      <c r="C33" s="35"/>
      <c r="D33" s="35"/>
    </row>
    <row r="34" ht="27" customHeight="1" spans="2:4" x14ac:dyDescent="0.25">
      <c r="B34" s="35">
        <f>"3.  Remember that your savings are your executor's cash. Every R 1 spent from them "&amp;IF('Workings'!$C$67&gt;0,"adds about "&amp;ROUND(100*(1-'Inputs'!$C$120/100*(1+'Inputs'!$C$121/100))*IF('Workings'!$C$38&gt;0,1-'Inputs'!$C$128/100,1),0)&amp;" cents to the shortfall.","takes about "&amp;ROUND(100*(1-'Inputs'!$C$120/100*(1+'Inputs'!$C$121/100))*IF('Workings'!$C$38&gt;0,1-'Inputs'!$C$128/100,1),0)&amp;" cents off what your executor has spare.")</f>
      </c>
      <c r="C34" s="35"/>
      <c r="D34" s="35"/>
    </row>
    <row r="36" ht="52" customHeight="1" spans="2:4" x14ac:dyDescent="0.25">
      <c r="B36" s="36">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page."&amp;IF(AND(ISNUMBER('Inputs'!$C$112),'Inputs'!$C$112&gt;0)," Capital Legacy quote "&amp;'Inputs'!$C$111&amp;"; premiums rise each year and are not guaranteed.","")&amp;" Figures are for your death today. Not legal or tax advice; the executor's actual costs may differ."</f>
      </c>
      <c r="C36" s="36"/>
      <c r="D36" s="36"/>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20" priority="1">
      <formula>'Workings'!$C$67=0</formula>
    </cfRule>
  </conditionalFormatting>
  <conditionalFormatting sqref="C26:D26">
    <cfRule type="expression" dxfId="21" priority="2">
      <formula>LEFT(C26,5)="Short"</formula>
    </cfRule>
    <cfRule type="expression" dxfId="22"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209</v>
      </c>
    </row>
    <row r="5" spans="2:2" x14ac:dyDescent="0.25">
      <c r="B5" s="4" t="s">
        <v>210</v>
      </c>
    </row>
    <row r="7" ht="30" customHeight="1" spans="2:4" x14ac:dyDescent="0.25">
      <c r="B7" s="12" t="s">
        <v>173</v>
      </c>
      <c r="C7" s="13">
        <f>"If "&amp;'Inputs'!$C$9&amp;" dies"</f>
      </c>
      <c r="D7" s="13">
        <f>IF(AND(ISNUMBER('Inputs'!$C$112),'Inputs'!$C$112&gt;0),"With the Legacy plan","")</f>
      </c>
    </row>
    <row r="8" spans="2:4" x14ac:dyDescent="0.25">
      <c r="B8" s="42" t="s">
        <v>211</v>
      </c>
      <c r="C8" s="42"/>
      <c r="D8" s="42"/>
    </row>
    <row r="9" spans="2:4" x14ac:dyDescent="0.25">
      <c r="B9" s="7" t="s">
        <v>212</v>
      </c>
      <c r="C9" s="15">
        <f>SUMIFS('Inputs'!$D$22:$D$39,'Inputs'!$C$22:$C$39,"Property")</f>
      </c>
      <c r="D9" s="15">
        <f>IF(AND(ISNUMBER('Inputs'!$C$112),'Inputs'!$C$112&gt;0),SUMIFS('Inputs'!$D$22:$D$39,'Inputs'!$C$22:$C$39,"Property"),"")</f>
      </c>
    </row>
    <row r="10" spans="2:4" x14ac:dyDescent="0.25">
      <c r="B10" s="7" t="s">
        <v>213</v>
      </c>
      <c r="C10" s="15">
        <f>SUMIFS('Inputs'!$D$22:$D$39,'Inputs'!$C$22:$C$39,"Vehicle or contents")</f>
      </c>
      <c r="D10" s="15">
        <f>IF(AND(ISNUMBER('Inputs'!$C$112),'Inputs'!$C$112&gt;0),SUMIFS('Inputs'!$D$22:$D$39,'Inputs'!$C$22:$C$39,"Vehicle or contents"),"")</f>
      </c>
    </row>
    <row r="11" spans="2:4" x14ac:dyDescent="0.25">
      <c r="B11" s="7" t="s">
        <v>214</v>
      </c>
      <c r="C11" s="15">
        <f>SUMIFS('Inputs'!$D$22:$D$39,'Inputs'!$C$22:$C$39,"Cash and deposits")</f>
      </c>
      <c r="D11" s="15">
        <f>IF(AND(ISNUMBER('Inputs'!$C$112),'Inputs'!$C$112&gt;0),SUMIFS('Inputs'!$D$22:$D$39,'Inputs'!$C$22:$C$39,"Cash and deposits"),"")</f>
      </c>
    </row>
    <row r="12" spans="2:4" x14ac:dyDescent="0.25">
      <c r="B12" s="7" t="s">
        <v>215</v>
      </c>
      <c r="C12" s="15">
        <f>SUMIFS('Inputs'!$D$22:$D$39,'Inputs'!$C$22:$C$39,"Shares and unit trusts")</f>
      </c>
      <c r="D12" s="15">
        <f>IF(AND(ISNUMBER('Inputs'!$C$112),'Inputs'!$C$112&gt;0),SUMIFS('Inputs'!$D$22:$D$39,'Inputs'!$C$22:$C$39,"Shares and unit trusts"),"")</f>
      </c>
    </row>
    <row r="13" spans="2:4" x14ac:dyDescent="0.25">
      <c r="B13" s="7" t="s">
        <v>216</v>
      </c>
      <c r="C13" s="15">
        <f>SUMIFS('Inputs'!$D$22:$D$39,'Inputs'!$C$22:$C$39,"Other investment")+SUMIFS('Inputs'!$D$22:$D$39,'Inputs'!$C$22:$C$39,"Tax-free investment")+SUMIFS('Inputs'!$D$22:$D$39,'Inputs'!$C$22:$C$39,"Loan account")+SUMIFS('Inputs'!$D$22:$D$39,'Inputs'!$C$22:$C$39,"Business interest")</f>
      </c>
      <c r="D13" s="15">
        <f>IF(AND(ISNUMBER('Inputs'!$C$112),'Inputs'!$C$112&gt;0),SUMIFS('Inputs'!$D$22:$D$39,'Inputs'!$C$22:$C$39,"Other investment")+SUMIFS('Inputs'!$D$22:$D$39,'Inputs'!$C$22:$C$39,"Tax-free investment")+SUMIFS('Inputs'!$D$22:$D$39,'Inputs'!$C$22:$C$39,"Loan account")+SUMIFS('Inputs'!$D$22:$D$39,'Inputs'!$C$22:$C$39,"Business interest"),"")</f>
      </c>
    </row>
    <row r="14" spans="2:4" x14ac:dyDescent="0.25">
      <c r="B14" s="7" t="s">
        <v>217</v>
      </c>
      <c r="C14" s="15">
        <f>'Workings'!$C$20</f>
      </c>
      <c r="D14" s="15">
        <f>IF(AND(ISNUMBER('Inputs'!$C$112),'Inputs'!$C$112&gt;0),'Workings'!$C$20,"")</f>
      </c>
    </row>
    <row r="15" spans="2:4" x14ac:dyDescent="0.25">
      <c r="B15" s="30" t="s">
        <v>218</v>
      </c>
      <c r="C15" s="31">
        <f>SUM(C9:C14)</f>
      </c>
      <c r="D15" s="31">
        <f>IF(AND(ISNUMBER('Inputs'!$C$112),'Inputs'!$C$112&gt;0),SUM(C9:C14),"")</f>
      </c>
    </row>
    <row r="16" spans="2:4" x14ac:dyDescent="0.25">
      <c r="B16" s="42" t="s">
        <v>219</v>
      </c>
      <c r="C16" s="42"/>
      <c r="D16" s="42"/>
    </row>
    <row r="17" spans="2:4" x14ac:dyDescent="0.25">
      <c r="B17" s="7" t="s">
        <v>220</v>
      </c>
      <c r="C17" s="15">
        <f>'Workings'!$C$22</f>
      </c>
      <c r="D17" s="15">
        <f>IF(AND(ISNUMBER('Inputs'!$C$112),'Inputs'!$C$112&gt;0),'Workings'!$C$22,"")</f>
      </c>
    </row>
    <row r="18" spans="2:4" x14ac:dyDescent="0.25">
      <c r="B18" s="7" t="s">
        <v>221</v>
      </c>
      <c r="C18" s="15">
        <f>'Workings'!$C$23</f>
      </c>
      <c r="D18" s="15">
        <f>IF(AND(ISNUMBER('Inputs'!$C$112),'Inputs'!$C$112&gt;0),'Workings'!$C$23,"")</f>
      </c>
    </row>
    <row r="19" spans="2:4" x14ac:dyDescent="0.25">
      <c r="B19" s="7" t="s">
        <v>222</v>
      </c>
      <c r="C19" s="15">
        <f>SUMIFS('Inputs'!$D$59:$D$70,'Inputs'!$E$59:$E$70,"No")</f>
      </c>
      <c r="D19" s="15">
        <f>IF(AND(ISNUMBER('Inputs'!$C$112),'Inputs'!$C$112&gt;0),SUMIFS('Inputs'!$D$59:$D$70,'Inputs'!$E$59:$E$70,"No"),"")</f>
      </c>
    </row>
    <row r="20" spans="2:4" x14ac:dyDescent="0.25">
      <c r="B20" s="7" t="s">
        <v>223</v>
      </c>
      <c r="C20" s="15">
        <f>SUM('Inputs'!$D$87:$D$94)</f>
      </c>
      <c r="D20" s="15">
        <f>IF(AND(ISNUMBER('Inputs'!$C$112),'Inputs'!$C$112&gt;0),SUM('Inputs'!$D$87:$D$94),"")</f>
      </c>
    </row>
    <row r="21" spans="2:4" x14ac:dyDescent="0.25">
      <c r="B21" s="42" t="s">
        <v>224</v>
      </c>
      <c r="C21" s="42"/>
      <c r="D21" s="42"/>
    </row>
    <row r="22" spans="2:4" x14ac:dyDescent="0.25">
      <c r="B22" s="7" t="s">
        <v>225</v>
      </c>
      <c r="C22" s="15">
        <f>C15+SUM(C17:C20)</f>
      </c>
      <c r="D22" s="15">
        <f>IF(AND(ISNUMBER('Inputs'!$C$112),'Inputs'!$C$112&gt;0),C15+SUM(C17:C20),"")</f>
      </c>
    </row>
    <row r="23" spans="2:4" x14ac:dyDescent="0.25">
      <c r="B23" s="7" t="s">
        <v>226</v>
      </c>
      <c r="C23" s="15">
        <f>'Workings'!$C$24</f>
      </c>
      <c r="D23" s="15">
        <f>IF(AND(ISNUMBER('Inputs'!$C$112),'Inputs'!$C$112&gt;0),'Workings'!$C$24,"")</f>
      </c>
    </row>
    <row r="24" spans="2:4" x14ac:dyDescent="0.25">
      <c r="B24" s="7" t="s">
        <v>227</v>
      </c>
      <c r="C24" s="15">
        <f>'Workings'!$C$62</f>
      </c>
      <c r="D24" s="15">
        <f>IF(AND(ISNUMBER('Inputs'!$C$112),'Inputs'!$C$112&gt;0),'Workings'!$C$62,"")</f>
      </c>
    </row>
    <row r="25" spans="2:4" x14ac:dyDescent="0.25">
      <c r="B25" s="42" t="s">
        <v>228</v>
      </c>
      <c r="C25" s="42"/>
      <c r="D25" s="42"/>
    </row>
    <row r="26" spans="2:4" x14ac:dyDescent="0.25">
      <c r="B26" s="7" t="s">
        <v>229</v>
      </c>
      <c r="C26" s="15">
        <f>'Workings'!$C$54</f>
      </c>
      <c r="D26" s="15">
        <f>IF(AND(ISNUMBER('Inputs'!$C$112),'Inputs'!$C$112&gt;0),'Workings'!$D$54,"")</f>
      </c>
    </row>
    <row r="27" spans="2:4" x14ac:dyDescent="0.25">
      <c r="B27" s="7" t="s">
        <v>230</v>
      </c>
      <c r="C27" s="15">
        <f>'Workings'!$C$53</f>
      </c>
      <c r="D27" s="15">
        <f>IF(AND(ISNUMBER('Inputs'!$C$112),'Inputs'!$C$112&gt;0),'Workings'!$D$53,"")</f>
      </c>
    </row>
    <row r="28" spans="2:4" x14ac:dyDescent="0.25">
      <c r="B28" s="7" t="s">
        <v>231</v>
      </c>
      <c r="C28" s="15">
        <f>'Workings'!$C$55</f>
      </c>
      <c r="D28" s="15">
        <f>IF(AND(ISNUMBER('Inputs'!$C$112),'Inputs'!$C$112&gt;0),'Workings'!$D$55,"")</f>
      </c>
    </row>
    <row r="29" spans="2:4" x14ac:dyDescent="0.25">
      <c r="B29" s="7" t="s">
        <v>232</v>
      </c>
      <c r="C29" s="15">
        <f>'Workings'!$C$56</f>
      </c>
      <c r="D29" s="15">
        <f>IF(AND(ISNUMBER('Inputs'!$C$112),'Inputs'!$C$112&gt;0),'Workings'!$D$56,"")</f>
      </c>
    </row>
    <row r="30" spans="2:4" x14ac:dyDescent="0.25">
      <c r="B30" s="7" t="s">
        <v>176</v>
      </c>
      <c r="C30" s="15">
        <f>'Workings'!$C$57</f>
      </c>
      <c r="D30" s="15">
        <f>IF(AND(ISNUMBER('Inputs'!$C$112),'Inputs'!$C$112&gt;0),'Workings'!$D$57,"")</f>
      </c>
    </row>
    <row r="31" spans="2:4" x14ac:dyDescent="0.25">
      <c r="B31" s="7" t="s">
        <v>233</v>
      </c>
      <c r="C31" s="15">
        <f>'Workings'!$C$58</f>
      </c>
      <c r="D31" s="15">
        <f>IF(AND(ISNUMBER('Inputs'!$C$112),'Inputs'!$C$112&gt;0),'Workings'!$D$58,"")</f>
      </c>
    </row>
    <row r="32" spans="2:4" x14ac:dyDescent="0.25">
      <c r="B32" s="30" t="s">
        <v>234</v>
      </c>
      <c r="C32" s="31">
        <f>'Workings'!$C$59</f>
      </c>
      <c r="D32" s="31">
        <f>IF(AND(ISNUMBER('Inputs'!$C$112),'Inputs'!$C$112&gt;0),'Workings'!$D$59,"")</f>
      </c>
    </row>
    <row r="33" spans="2:4" x14ac:dyDescent="0.25">
      <c r="B33" s="7" t="s">
        <v>180</v>
      </c>
      <c r="C33" s="15">
        <f>-'Workings'!$C$60</f>
      </c>
      <c r="D33" s="15">
        <f>IF(AND(ISNUMBER('Inputs'!$C$112),'Inputs'!$C$112&gt;0),-'Workings'!$D$60,"")</f>
      </c>
    </row>
    <row r="34" spans="2:4" x14ac:dyDescent="0.25">
      <c r="B34" s="7" t="s">
        <v>235</v>
      </c>
      <c r="C34" s="15">
        <f>'Workings'!$C$62</f>
      </c>
      <c r="D34" s="15">
        <f>IF(AND(ISNUMBER('Inputs'!$C$112),'Inputs'!$C$112&gt;0),'Workings'!$D$62,"")</f>
      </c>
    </row>
    <row r="36" ht="15" customHeight="1" spans="2:4" x14ac:dyDescent="0.25">
      <c r="B36" s="36" t="s">
        <v>236</v>
      </c>
      <c r="C36" s="36"/>
      <c r="D36" s="36"/>
    </row>
  </sheetData>
  <sheetProtection sheet="1" formatRows="0"/>
  <mergeCells count="7">
    <mergeCell ref="B1:D1"/>
    <mergeCell ref="B2:D2"/>
    <mergeCell ref="B8:D8"/>
    <mergeCell ref="B16:D16"/>
    <mergeCell ref="B21:D21"/>
    <mergeCell ref="B25:D25"/>
    <mergeCell ref="B36:D36"/>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1"/>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237</v>
      </c>
    </row>
    <row r="5" spans="2:2" x14ac:dyDescent="0.25">
      <c r="B5" s="4" t="s">
        <v>238</v>
      </c>
    </row>
    <row r="7" ht="20" customHeight="1" spans="2:4" x14ac:dyDescent="0.25">
      <c r="B7" s="12" t="s">
        <v>239</v>
      </c>
      <c r="C7" s="13" t="s">
        <v>174</v>
      </c>
      <c r="D7" s="13" t="s">
        <v>240</v>
      </c>
    </row>
    <row r="8" spans="2:4" x14ac:dyDescent="0.25">
      <c r="B8" s="7">
        <f>"Taxable income for the year"&amp;IF('Inputs'!$C$17&lt;&gt;"",": "&amp;'Inputs'!$C$17,"")</f>
      </c>
      <c r="C8" s="19">
        <f>N('Inputs'!$C$16)</f>
      </c>
      <c r="D8" s="19">
        <f>N('Inputs'!$C$16)</f>
      </c>
    </row>
    <row r="9" ht="27" customHeight="1" spans="2:4" x14ac:dyDescent="0.25">
      <c r="B9" s="7" t="s">
        <v>241</v>
      </c>
      <c r="C9" s="19">
        <f>SUM('Inputs'!$M$22:$M$39)</f>
      </c>
      <c r="D9" s="19">
        <f>SUM('Inputs'!$M$22:$M$39)</f>
      </c>
    </row>
    <row r="10" spans="2:4" x14ac:dyDescent="0.25">
      <c r="B10" s="7" t="s">
        <v>242</v>
      </c>
      <c r="C10" s="19">
        <f>-SUM('Inputs'!$N$22:$N$39)</f>
      </c>
      <c r="D10" s="19">
        <f>-SUM('Inputs'!$N$22:$N$39)</f>
      </c>
    </row>
    <row r="11" spans="2:4" x14ac:dyDescent="0.25">
      <c r="B11" s="7" t="s">
        <v>243</v>
      </c>
      <c r="C11" s="19">
        <f>-MIN('Inputs'!$C$131,MAX(0,C9+C10))</f>
      </c>
      <c r="D11" s="19">
        <f>-MIN('Inputs'!$C$131,MAX(0,D9+D10))</f>
      </c>
    </row>
    <row r="12" spans="2:4" x14ac:dyDescent="0.25">
      <c r="B12" s="30" t="s">
        <v>244</v>
      </c>
      <c r="C12" s="43">
        <f>MAX(0,C9+C10+C11)</f>
      </c>
      <c r="D12" s="43">
        <f>MAX(0,D9+D10+D11)</f>
      </c>
    </row>
    <row r="13" ht="27" customHeight="1" spans="2:4" x14ac:dyDescent="0.25">
      <c r="B13" s="7">
        <f>"Added to taxable income: "&amp;FIXED('Inputs'!$H$120,0)&amp;"% of the net gain (the inclusion rate, not a tax rate)"</f>
      </c>
      <c r="C13" s="19">
        <f>C12*'Inputs'!$H$120/100</f>
      </c>
      <c r="D13" s="19">
        <f>D12*'Inputs'!$H$120/100</f>
      </c>
    </row>
    <row r="14" spans="2:4" x14ac:dyDescent="0.25">
      <c r="B14" s="7" t="s">
        <v>245</v>
      </c>
      <c r="C14" s="19">
        <f>(INDEX('Inputs'!$D$134:$D$140,MATCH(C8+C13,'Inputs'!$C$134:$C$140,1))+INDEX('Inputs'!$E$134:$E$140,MATCH(C8+C13,'Inputs'!$C$134:$C$140,1))/100*((C8+C13)-INDEX('Inputs'!$C$134:$C$140,MATCH(C8+C13,'Inputs'!$C$134:$C$140,1))))</f>
      </c>
      <c r="D14" s="19">
        <f>(INDEX('Inputs'!$D$134:$D$140,MATCH(D8+D13,'Inputs'!$C$134:$C$140,1))+INDEX('Inputs'!$E$134:$E$140,MATCH(D8+D13,'Inputs'!$C$134:$C$140,1))/100*((D8+D13)-INDEX('Inputs'!$C$134:$C$140,MATCH(D8+D13,'Inputs'!$C$134:$C$140,1))))</f>
      </c>
    </row>
    <row r="15" spans="2:4" x14ac:dyDescent="0.25">
      <c r="B15" s="7" t="s">
        <v>246</v>
      </c>
      <c r="C15" s="19">
        <f>-(INDEX('Inputs'!$D$134:$D$140,MATCH(C8,'Inputs'!$C$134:$C$140,1))+INDEX('Inputs'!$E$134:$E$140,MATCH(C8,'Inputs'!$C$134:$C$140,1))/100*((C8)-INDEX('Inputs'!$C$134:$C$140,MATCH(C8,'Inputs'!$C$134:$C$140,1))))</f>
      </c>
      <c r="D15" s="19">
        <f>-(INDEX('Inputs'!$D$134:$D$140,MATCH(D8,'Inputs'!$C$134:$C$140,1))+INDEX('Inputs'!$E$134:$E$140,MATCH(D8,'Inputs'!$C$134:$C$140,1))/100*((D8)-INDEX('Inputs'!$C$134:$C$140,MATCH(D8,'Inputs'!$C$134:$C$140,1))))</f>
      </c>
    </row>
    <row r="16" spans="2:4" x14ac:dyDescent="0.25">
      <c r="B16" s="30" t="s">
        <v>247</v>
      </c>
      <c r="C16" s="43">
        <f>IF(C12&gt;0,ROUND(C14+C15,2),0)</f>
      </c>
      <c r="D16" s="43">
        <f>IF(D12&gt;0,ROUND(D14+D15,2),0)</f>
      </c>
    </row>
    <row r="18" ht="20" customHeight="1" spans="2:4" x14ac:dyDescent="0.25">
      <c r="B18" s="12" t="s">
        <v>248</v>
      </c>
      <c r="C18" s="13" t="s">
        <v>174</v>
      </c>
      <c r="D18" s="13" t="s">
        <v>240</v>
      </c>
    </row>
    <row r="19" spans="2:4" x14ac:dyDescent="0.25">
      <c r="B19" s="7" t="s">
        <v>249</v>
      </c>
      <c r="C19" s="19">
        <f>ROUND(SUM('Inputs'!$D$22:$D$39),2)</f>
      </c>
      <c r="D19" s="19">
        <f>ROUND(SUM('Inputs'!$D$22:$D$39),2)</f>
      </c>
    </row>
    <row r="20" spans="2:4" x14ac:dyDescent="0.25">
      <c r="B20" s="7" t="s">
        <v>250</v>
      </c>
      <c r="C20" s="19">
        <f>SUMIFS('Inputs'!$D$59:$D$70,'Inputs'!$C$59:$C$70,"Estate")</f>
      </c>
      <c r="D20" s="19">
        <f>SUMIFS('Inputs'!$D$59:$D$70,'Inputs'!$C$59:$C$70,"Estate")</f>
      </c>
    </row>
    <row r="21" spans="2:4" x14ac:dyDescent="0.25">
      <c r="B21" s="30" t="s">
        <v>251</v>
      </c>
      <c r="C21" s="43">
        <f>C19+C20</f>
      </c>
      <c r="D21" s="43">
        <f>D19+D20</f>
      </c>
    </row>
    <row r="22" spans="2:4" x14ac:dyDescent="0.25">
      <c r="B22" s="7" t="s">
        <v>252</v>
      </c>
      <c r="C22" s="19">
        <f>SUMIFS('Inputs'!$D$59:$D$70,'Inputs'!$C$59:$C$70,"&lt;&gt;Estate",'Inputs'!$E$59:$E$70,"&lt;&gt;No")</f>
      </c>
      <c r="D22" s="19">
        <f>SUMIFS('Inputs'!$D$59:$D$70,'Inputs'!$C$59:$C$70,"&lt;&gt;Estate",'Inputs'!$E$59:$E$70,"&lt;&gt;No")</f>
      </c>
    </row>
    <row r="23" ht="27" customHeight="1" spans="2:4" x14ac:dyDescent="0.25">
      <c r="B23" s="7">
        <f>"Death income benefits, counted for estate duty (the insurer's value, or worked out at "&amp;FIXED('Inputs'!$H$122,1)&amp;"% a year)"</f>
      </c>
      <c r="C23" s="19">
        <f>SUM('Inputs'!$M$76:$M$81)</f>
      </c>
      <c r="D23" s="19">
        <f>SUM('Inputs'!$M$76:$M$81)</f>
      </c>
    </row>
    <row r="24" spans="2:4" x14ac:dyDescent="0.25">
      <c r="B24" s="30" t="s">
        <v>253</v>
      </c>
      <c r="C24" s="43">
        <f>C21+C22+C23</f>
      </c>
      <c r="D24" s="43">
        <f>D21+D22+D23</f>
      </c>
    </row>
    <row r="25" spans="2:4" x14ac:dyDescent="0.25">
      <c r="B25" s="7" t="s">
        <v>254</v>
      </c>
      <c r="C25" s="19">
        <f>-SUM('Inputs'!$D$45:$D$54)</f>
      </c>
      <c r="D25" s="19">
        <f>-SUM('Inputs'!$D$45:$D$54)</f>
      </c>
    </row>
    <row r="26" spans="2:4" x14ac:dyDescent="0.25">
      <c r="B26" s="7" t="s">
        <v>255</v>
      </c>
      <c r="C26" s="19">
        <f>-'Inputs'!$C$123</f>
      </c>
      <c r="D26" s="19">
        <f>-'Inputs'!$C$123</f>
      </c>
    </row>
    <row r="27" spans="2:4" x14ac:dyDescent="0.25">
      <c r="B27" s="7" t="s">
        <v>256</v>
      </c>
      <c r="C27" s="19">
        <f>-'Inputs'!$C$122</f>
      </c>
      <c r="D27" s="19">
        <f>-'Inputs'!$C$122</f>
      </c>
    </row>
    <row r="28" spans="2:4" x14ac:dyDescent="0.25">
      <c r="B28" s="7" t="s">
        <v>257</v>
      </c>
      <c r="C28" s="19">
        <f>-'Inputs'!$C$124</f>
      </c>
      <c r="D28" s="19">
        <f>-'Inputs'!$C$124</f>
      </c>
    </row>
    <row r="29" spans="2:4" x14ac:dyDescent="0.25">
      <c r="B29" s="7">
        <f>"Less executor's fees: "&amp;IF(ROUND('Inputs'!$C$120,0)='Inputs'!$C$120,FIXED('Inputs'!$C$120,0),IF(ROUND('Inputs'!$C$120,1)='Inputs'!$C$120,FIXED('Inputs'!$C$120,1),FIXED('Inputs'!$C$120,2)))&amp;"%"&amp;" plus VAT"&amp;IF(AND(ISNUMBER('Inputs'!$C$112),'Inputs'!$C$112&gt;0)," / Capital Legacy "&amp;IF(ROUND('Inputs'!$C$112,0)='Inputs'!$C$112,FIXED('Inputs'!$C$112,0),IF(ROUND('Inputs'!$C$112,1)='Inputs'!$C$112,FIXED('Inputs'!$C$112,1),FIXED('Inputs'!$C$112,2)))&amp;"%"&amp;" plus VAT","")</f>
      </c>
      <c r="C29" s="19">
        <f>-ROUND('Inputs'!$C$120/100*(1+'Inputs'!$C$121/100)*C21,2)</f>
      </c>
      <c r="D29" s="19">
        <f>-ROUND(IF(AND(ISNUMBER('Inputs'!$C$112),'Inputs'!$C$112&gt;0),'Inputs'!$C$112,'Inputs'!$C$120)/100*(1+'Inputs'!$C$121/100)*D21,2)</f>
      </c>
    </row>
    <row r="30" spans="2:4" x14ac:dyDescent="0.25">
      <c r="B30" s="7" t="s">
        <v>258</v>
      </c>
      <c r="C30" s="19">
        <f>-SUM('Inputs'!$P$22:$P$39)</f>
      </c>
      <c r="D30" s="19">
        <f>-IF(AND(AND(ISNUMBER('Inputs'!$C$112),'Inputs'!$C$112&gt;0),ISNUMBER('Inputs'!$C$113)),'Inputs'!$C$113,SUM('Inputs'!$P$22:$P$39))</f>
      </c>
    </row>
    <row r="31" spans="2:4" x14ac:dyDescent="0.25">
      <c r="B31" s="7" t="s">
        <v>259</v>
      </c>
      <c r="C31" s="19">
        <f>-SUM('Inputs'!$Q$22:$Q$39)</f>
      </c>
      <c r="D31" s="19">
        <f>-SUM('Inputs'!$Q$22:$Q$39)</f>
      </c>
    </row>
    <row r="32" spans="2:4" x14ac:dyDescent="0.25">
      <c r="B32" s="7" t="s">
        <v>260</v>
      </c>
      <c r="C32" s="19">
        <f>-C16</f>
      </c>
      <c r="D32" s="19">
        <f>-D16</f>
      </c>
    </row>
    <row r="33" spans="2:4" x14ac:dyDescent="0.25">
      <c r="B33" s="7" t="s">
        <v>261</v>
      </c>
      <c r="C33" s="19">
        <f>ROUND(C21+C25-(-C26-C27-C28-C29-C30-C31-C32)-SUM('Inputs'!$R$22:$R$39)-SUM('Inputs'!$S$22:$S$39),2)</f>
      </c>
      <c r="D33" s="19">
        <f>ROUND(D21+D25-(-D26-D27-D28-D29-D30-D31-D32)-SUM('Inputs'!$R$22:$R$39)-SUM('Inputs'!$S$22:$S$39),2)</f>
      </c>
    </row>
    <row r="34" spans="2:4" x14ac:dyDescent="0.25">
      <c r="B34" s="7" t="s">
        <v>262</v>
      </c>
      <c r="C34" s="44">
        <f>IF(C33&lt;0,IF(SUM('Inputs'!$R$22:$R$39)+SUM('Inputs'!$S$22:$S$39)&gt;0,MAX(0,1+C33/(SUM('Inputs'!$R$22:$R$39)+SUM('Inputs'!$S$22:$S$39))),1),1)</f>
      </c>
      <c r="D34" s="44">
        <f>IF(D33&lt;0,IF(SUM('Inputs'!$R$22:$R$39)+SUM('Inputs'!$S$22:$S$39)&gt;0,MAX(0,1+D33/(SUM('Inputs'!$R$22:$R$39)+SUM('Inputs'!$S$22:$S$39))),1),1)</f>
      </c>
    </row>
    <row r="35" spans="2:4" x14ac:dyDescent="0.25">
      <c r="B35" s="7" t="s">
        <v>263</v>
      </c>
      <c r="C35" s="19">
        <f>-IF(OR(LEFT('Inputs'!$C$13,7)="Married",'Inputs'!$C$13="Life partner",'Inputs'!$C$13="Civil Union"),SUM('Inputs'!$R$22:$R$39)*C34+SUMIFS('Inputs'!$D$59:$D$70,'Inputs'!$C$59:$C$70,"Spouse",'Inputs'!$E$59:$E$70,"&lt;&gt;No")+SUM('Inputs'!$S$76:$S$81)+IF('Inputs'!$C$14="Spouse",MAX(0,C33),0),0)</f>
      </c>
      <c r="D35" s="19">
        <f>-IF(OR(LEFT('Inputs'!$C$13,7)="Married",'Inputs'!$C$13="Life partner",'Inputs'!$C$13="Civil Union"),SUM('Inputs'!$R$22:$R$39)*D34+SUMIFS('Inputs'!$D$59:$D$70,'Inputs'!$C$59:$C$70,"Spouse",'Inputs'!$E$59:$E$70,"&lt;&gt;No")+SUM('Inputs'!$S$76:$S$81)+IF('Inputs'!$C$14="Spouse",MAX(0,D33),0),0)</f>
      </c>
    </row>
    <row r="36" spans="2:4" x14ac:dyDescent="0.25">
      <c r="B36" s="30" t="s">
        <v>264</v>
      </c>
      <c r="C36" s="43">
        <f>ROUND(C24+C25+C26+C27+C28+C29+C30+C31+C32+C35,2)</f>
      </c>
      <c r="D36" s="43">
        <f>ROUND(D24+D25+D26+D27+D28+D29+D30+D31+D32+D35,2)</f>
      </c>
    </row>
    <row r="37" spans="2:4" x14ac:dyDescent="0.25">
      <c r="B37" s="7" t="s">
        <v>265</v>
      </c>
      <c r="C37" s="19">
        <f>-'Inputs'!$C$127</f>
      </c>
      <c r="D37" s="19">
        <f>-'Inputs'!$C$127</f>
      </c>
    </row>
    <row r="38" spans="2:4" x14ac:dyDescent="0.25">
      <c r="B38" s="7" t="s">
        <v>266</v>
      </c>
      <c r="C38" s="19">
        <f>MAX(0,C36+C37)</f>
      </c>
      <c r="D38" s="19">
        <f>MAX(0,D36+D37)</f>
      </c>
    </row>
    <row r="39" spans="2:4" x14ac:dyDescent="0.25">
      <c r="B39" s="30" t="s">
        <v>175</v>
      </c>
      <c r="C39" s="43">
        <f>ROUND(IF(C38&lt;='Inputs'!$C$129,C38*'Inputs'!$C$128/100,'Inputs'!$C$129*'Inputs'!$C$128/100+(C38-'Inputs'!$C$129)*'Inputs'!$C$130/100),2)</f>
      </c>
      <c r="D39" s="43">
        <f>ROUND(IF(D38&lt;='Inputs'!$C$129,D38*'Inputs'!$C$128/100,'Inputs'!$C$129*'Inputs'!$C$128/100+(D38-'Inputs'!$C$129)*'Inputs'!$C$130/100),2)</f>
      </c>
    </row>
    <row r="40" spans="2:4" x14ac:dyDescent="0.25">
      <c r="B40" s="7" t="s">
        <v>267</v>
      </c>
      <c r="C40" s="45">
        <f>IF(C36&gt;0,C39/C36,0)</f>
      </c>
      <c r="D40" s="45">
        <f>IF(D36&gt;0,D39/D36,0)</f>
      </c>
    </row>
    <row r="41" ht="27" customHeight="1" spans="2:2" x14ac:dyDescent="0.25">
      <c r="B41" s="7" t="s">
        <v>268</v>
      </c>
    </row>
    <row r="42" ht="15" customHeight="1" spans="2:4" x14ac:dyDescent="0.25">
      <c r="B42"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("&amp;INDEX('Inputs'!$I$59:$I$70,MATCH(1,'Inputs'!$O$59:$O$70,0))&amp;")",""),IFERROR("   Death income: "&amp;INDEX('Inputs'!$B$76:$B$81,MATCH(1,'Inputs'!$R$76:$R$81,0))&amp;IF(INDEX('Inputs'!$G$76:$G$81,MATCH(1,'Inputs'!$R$76:$R$81,0))&lt;&gt;""," (for "&amp;INDEX('Inputs'!$G$76:$G$81,MATCH(1,'Inputs'!$R$76:$R$81,0))&amp;")",""),"")))</f>
      </c>
      <c r="C42" s="19">
        <f>IFERROR(INDEX('Inputs'!$U$22:$U$39,MATCH(1,'Inputs'!$X$22:$X$39,0)),IFERROR(INDEX('Inputs'!$M$59:$M$70,MATCH(1,'Inputs'!$O$59:$O$70,0)),IFERROR(INDEX('Inputs'!$P$76:$P$81,MATCH(1,'Inputs'!$R$76:$R$81,0)),"")))</f>
      </c>
      <c r="D42" s="19">
        <f>IFERROR(INDEX('Inputs'!$V$22:$V$39,MATCH(1,'Inputs'!$X$22:$X$39,0)),IFERROR(INDEX('Inputs'!$N$59:$N$70,MATCH(1,'Inputs'!$O$59:$O$70,0)),IFERROR(INDEX('Inputs'!$Q$76:$Q$81,MATCH(1,'Inputs'!$R$76:$R$81,0)),"")))</f>
      </c>
    </row>
    <row r="43" ht="15" customHeight="1" spans="2:4" x14ac:dyDescent="0.25">
      <c r="B43"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("&amp;INDEX('Inputs'!$I$59:$I$70,MATCH(2,'Inputs'!$O$59:$O$70,0))&amp;")",""),IFERROR("   Death income: "&amp;INDEX('Inputs'!$B$76:$B$81,MATCH(2,'Inputs'!$R$76:$R$81,0))&amp;IF(INDEX('Inputs'!$G$76:$G$81,MATCH(2,'Inputs'!$R$76:$R$81,0))&lt;&gt;""," (for "&amp;INDEX('Inputs'!$G$76:$G$81,MATCH(2,'Inputs'!$R$76:$R$81,0))&amp;")",""),"")))</f>
      </c>
      <c r="C43" s="19">
        <f>IFERROR(INDEX('Inputs'!$U$22:$U$39,MATCH(2,'Inputs'!$X$22:$X$39,0)),IFERROR(INDEX('Inputs'!$M$59:$M$70,MATCH(2,'Inputs'!$O$59:$O$70,0)),IFERROR(INDEX('Inputs'!$P$76:$P$81,MATCH(2,'Inputs'!$R$76:$R$81,0)),"")))</f>
      </c>
      <c r="D43" s="19">
        <f>IFERROR(INDEX('Inputs'!$V$22:$V$39,MATCH(2,'Inputs'!$X$22:$X$39,0)),IFERROR(INDEX('Inputs'!$N$59:$N$70,MATCH(2,'Inputs'!$O$59:$O$70,0)),IFERROR(INDEX('Inputs'!$Q$76:$Q$81,MATCH(2,'Inputs'!$R$76:$R$81,0)),"")))</f>
      </c>
    </row>
    <row r="44" ht="15" customHeight="1" spans="2:4" x14ac:dyDescent="0.25">
      <c r="B44"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("&amp;INDEX('Inputs'!$I$59:$I$70,MATCH(3,'Inputs'!$O$59:$O$70,0))&amp;")",""),IFERROR("   Death income: "&amp;INDEX('Inputs'!$B$76:$B$81,MATCH(3,'Inputs'!$R$76:$R$81,0))&amp;IF(INDEX('Inputs'!$G$76:$G$81,MATCH(3,'Inputs'!$R$76:$R$81,0))&lt;&gt;""," (for "&amp;INDEX('Inputs'!$G$76:$G$81,MATCH(3,'Inputs'!$R$76:$R$81,0))&amp;")",""),"")))</f>
      </c>
      <c r="C44" s="19">
        <f>IFERROR(INDEX('Inputs'!$U$22:$U$39,MATCH(3,'Inputs'!$X$22:$X$39,0)),IFERROR(INDEX('Inputs'!$M$59:$M$70,MATCH(3,'Inputs'!$O$59:$O$70,0)),IFERROR(INDEX('Inputs'!$P$76:$P$81,MATCH(3,'Inputs'!$R$76:$R$81,0)),"")))</f>
      </c>
      <c r="D44" s="19">
        <f>IFERROR(INDEX('Inputs'!$V$22:$V$39,MATCH(3,'Inputs'!$X$22:$X$39,0)),IFERROR(INDEX('Inputs'!$N$59:$N$70,MATCH(3,'Inputs'!$O$59:$O$70,0)),IFERROR(INDEX('Inputs'!$Q$76:$Q$81,MATCH(3,'Inputs'!$R$76:$R$81,0)),"")))</f>
      </c>
    </row>
    <row r="45" ht="15" customHeight="1" spans="2:4" x14ac:dyDescent="0.25">
      <c r="B45"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("&amp;INDEX('Inputs'!$I$59:$I$70,MATCH(4,'Inputs'!$O$59:$O$70,0))&amp;")",""),IFERROR("   Death income: "&amp;INDEX('Inputs'!$B$76:$B$81,MATCH(4,'Inputs'!$R$76:$R$81,0))&amp;IF(INDEX('Inputs'!$G$76:$G$81,MATCH(4,'Inputs'!$R$76:$R$81,0))&lt;&gt;""," (for "&amp;INDEX('Inputs'!$G$76:$G$81,MATCH(4,'Inputs'!$R$76:$R$81,0))&amp;")",""),"")))</f>
      </c>
      <c r="C45" s="19">
        <f>IFERROR(INDEX('Inputs'!$U$22:$U$39,MATCH(4,'Inputs'!$X$22:$X$39,0)),IFERROR(INDEX('Inputs'!$M$59:$M$70,MATCH(4,'Inputs'!$O$59:$O$70,0)),IFERROR(INDEX('Inputs'!$P$76:$P$81,MATCH(4,'Inputs'!$R$76:$R$81,0)),"")))</f>
      </c>
      <c r="D45" s="19">
        <f>IFERROR(INDEX('Inputs'!$V$22:$V$39,MATCH(4,'Inputs'!$X$22:$X$39,0)),IFERROR(INDEX('Inputs'!$N$59:$N$70,MATCH(4,'Inputs'!$O$59:$O$70,0)),IFERROR(INDEX('Inputs'!$Q$76:$Q$81,MATCH(4,'Inputs'!$R$76:$R$81,0)),"")))</f>
      </c>
    </row>
    <row r="46" ht="15" customHeight="1" spans="2:4" x14ac:dyDescent="0.25">
      <c r="B46"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("&amp;INDEX('Inputs'!$I$59:$I$70,MATCH(5,'Inputs'!$O$59:$O$70,0))&amp;")",""),IFERROR("   Death income: "&amp;INDEX('Inputs'!$B$76:$B$81,MATCH(5,'Inputs'!$R$76:$R$81,0))&amp;IF(INDEX('Inputs'!$G$76:$G$81,MATCH(5,'Inputs'!$R$76:$R$81,0))&lt;&gt;""," (for "&amp;INDEX('Inputs'!$G$76:$G$81,MATCH(5,'Inputs'!$R$76:$R$81,0))&amp;")",""),"")))</f>
      </c>
      <c r="C46" s="19">
        <f>IFERROR(INDEX('Inputs'!$U$22:$U$39,MATCH(5,'Inputs'!$X$22:$X$39,0)),IFERROR(INDEX('Inputs'!$M$59:$M$70,MATCH(5,'Inputs'!$O$59:$O$70,0)),IFERROR(INDEX('Inputs'!$P$76:$P$81,MATCH(5,'Inputs'!$R$76:$R$81,0)),"")))</f>
      </c>
      <c r="D46" s="19">
        <f>IFERROR(INDEX('Inputs'!$V$22:$V$39,MATCH(5,'Inputs'!$X$22:$X$39,0)),IFERROR(INDEX('Inputs'!$N$59:$N$70,MATCH(5,'Inputs'!$O$59:$O$70,0)),IFERROR(INDEX('Inputs'!$Q$76:$Q$81,MATCH(5,'Inputs'!$R$76:$R$81,0)),"")))</f>
      </c>
    </row>
    <row r="47" ht="15" customHeight="1" spans="2:4" x14ac:dyDescent="0.25">
      <c r="B47"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("&amp;INDEX('Inputs'!$I$59:$I$70,MATCH(6,'Inputs'!$O$59:$O$70,0))&amp;")",""),IFERROR("   Death income: "&amp;INDEX('Inputs'!$B$76:$B$81,MATCH(6,'Inputs'!$R$76:$R$81,0))&amp;IF(INDEX('Inputs'!$G$76:$G$81,MATCH(6,'Inputs'!$R$76:$R$81,0))&lt;&gt;""," (for "&amp;INDEX('Inputs'!$G$76:$G$81,MATCH(6,'Inputs'!$R$76:$R$81,0))&amp;")",""),"")))</f>
      </c>
      <c r="C47" s="19">
        <f>IFERROR(INDEX('Inputs'!$U$22:$U$39,MATCH(6,'Inputs'!$X$22:$X$39,0)),IFERROR(INDEX('Inputs'!$M$59:$M$70,MATCH(6,'Inputs'!$O$59:$O$70,0)),IFERROR(INDEX('Inputs'!$P$76:$P$81,MATCH(6,'Inputs'!$R$76:$R$81,0)),"")))</f>
      </c>
      <c r="D47" s="19">
        <f>IFERROR(INDEX('Inputs'!$V$22:$V$39,MATCH(6,'Inputs'!$X$22:$X$39,0)),IFERROR(INDEX('Inputs'!$N$59:$N$70,MATCH(6,'Inputs'!$O$59:$O$70,0)),IFERROR(INDEX('Inputs'!$Q$76:$Q$81,MATCH(6,'Inputs'!$R$76:$R$81,0)),"")))</f>
      </c>
    </row>
    <row r="48" ht="27" customHeight="1" spans="2:4" x14ac:dyDescent="0.25">
      <c r="B48" s="7" t="s">
        <v>269</v>
      </c>
      <c r="C48" s="19">
        <f>-(SUM('Inputs'!$M$59:$M$70)+SUM('Inputs'!$U$22:$U$39)+SUM('Inputs'!$P$76:$P$81))</f>
      </c>
      <c r="D48" s="19">
        <f>-(SUM('Inputs'!$N$59:$N$70)+SUM('Inputs'!$V$22:$V$39)+SUM('Inputs'!$Q$76:$Q$81))</f>
      </c>
    </row>
    <row r="49" spans="2:4" x14ac:dyDescent="0.25">
      <c r="B49" s="30" t="s">
        <v>233</v>
      </c>
      <c r="C49" s="43">
        <f>C39+C48</f>
      </c>
      <c r="D49" s="43">
        <f>D39+D48</f>
      </c>
    </row>
    <row r="50" spans="2:2" x14ac:dyDescent="0.25">
      <c r="B50" s="7" t="s">
        <v>270</v>
      </c>
    </row>
    <row r="52" ht="20" customHeight="1" spans="2:4" x14ac:dyDescent="0.25">
      <c r="B52" s="12" t="s">
        <v>271</v>
      </c>
      <c r="C52" s="13" t="s">
        <v>174</v>
      </c>
      <c r="D52" s="13" t="s">
        <v>240</v>
      </c>
    </row>
    <row r="53" spans="2:4" x14ac:dyDescent="0.25">
      <c r="B53" s="7" t="s">
        <v>178</v>
      </c>
      <c r="C53" s="19">
        <f>-(C26+C27+C28)</f>
      </c>
      <c r="D53" s="19">
        <f>-(D26+D27+D28)</f>
      </c>
    </row>
    <row r="54" spans="2:4" x14ac:dyDescent="0.25">
      <c r="B54" s="7" t="s">
        <v>229</v>
      </c>
      <c r="C54" s="19">
        <f>-C29</f>
      </c>
      <c r="D54" s="19">
        <f>-D29</f>
      </c>
    </row>
    <row r="55" spans="2:4" x14ac:dyDescent="0.25">
      <c r="B55" s="7" t="s">
        <v>272</v>
      </c>
      <c r="C55" s="19">
        <f>-C30</f>
      </c>
      <c r="D55" s="19">
        <f>-D30</f>
      </c>
    </row>
    <row r="56" spans="2:4" x14ac:dyDescent="0.25">
      <c r="B56" s="7" t="s">
        <v>177</v>
      </c>
      <c r="C56" s="19">
        <f>-C31</f>
      </c>
      <c r="D56" s="19">
        <f>-D31</f>
      </c>
    </row>
    <row r="57" spans="2:4" x14ac:dyDescent="0.25">
      <c r="B57" s="7" t="s">
        <v>247</v>
      </c>
      <c r="C57" s="19">
        <f>C16</f>
      </c>
      <c r="D57" s="19">
        <f>D16</f>
      </c>
    </row>
    <row r="58" spans="2:4" x14ac:dyDescent="0.25">
      <c r="B58" s="7" t="s">
        <v>233</v>
      </c>
      <c r="C58" s="19">
        <f>C49</f>
      </c>
      <c r="D58" s="19">
        <f>D49</f>
      </c>
    </row>
    <row r="59" spans="2:4" x14ac:dyDescent="0.25">
      <c r="B59" s="30" t="s">
        <v>234</v>
      </c>
      <c r="C59" s="43">
        <f>ROUND(SUM(C53:C58),2)</f>
      </c>
      <c r="D59" s="43">
        <f>ROUND(SUM(D53:D58),2)</f>
      </c>
    </row>
    <row r="60" ht="27" customHeight="1" spans="2:4" x14ac:dyDescent="0.25">
      <c r="B60" s="7">
        <f>"Less paid by the Legacy plan: "&amp;IF(AND(ISNUMBER('Inputs'!$C$112),'Inputs'!$C$112&gt;0),FIXED(N('Inputs'!$C$114),0)&amp;"% of the executor's fee and conveyancing, up to R "&amp;FIXED(N('Inputs'!$C$115),2),"no quote entered")</f>
      </c>
      <c r="C60" s="19">
        <f>0</f>
      </c>
      <c r="D60" s="19">
        <f>IF(AND(ISNUMBER('Inputs'!$C$112),'Inputs'!$C$112&gt;0),-ROUND(MIN(N('Inputs'!$C$114)/100*(D54+D55),N('Inputs'!$C$115)),2),0)</f>
      </c>
    </row>
    <row r="61" spans="2:4" x14ac:dyDescent="0.25">
      <c r="B61" s="30" t="s">
        <v>273</v>
      </c>
      <c r="C61" s="43">
        <f>ROUND(C59+C60,2)</f>
      </c>
      <c r="D61" s="43">
        <f>ROUND(D59+D60,2)</f>
      </c>
    </row>
    <row r="62" spans="2:4" x14ac:dyDescent="0.25">
      <c r="B62" s="7" t="s">
        <v>182</v>
      </c>
      <c r="C62" s="19">
        <f>-C25</f>
      </c>
      <c r="D62" s="19">
        <f>-D25</f>
      </c>
    </row>
    <row r="63" spans="2:4" x14ac:dyDescent="0.25">
      <c r="B63" s="30" t="s">
        <v>189</v>
      </c>
      <c r="C63" s="43">
        <f>ROUND(C61+C62,2)</f>
      </c>
      <c r="D63" s="43">
        <f>ROUND(D61+D62,2)</f>
      </c>
    </row>
    <row r="64" spans="2:4" x14ac:dyDescent="0.25">
      <c r="B64" s="7" t="s">
        <v>274</v>
      </c>
      <c r="C64" s="19">
        <f>ROUND(SUM('Inputs'!$O$22:$O$39),2)</f>
      </c>
      <c r="D64" s="19">
        <f>ROUND(SUM('Inputs'!$O$22:$O$39),2)</f>
      </c>
    </row>
    <row r="65" spans="2:4" x14ac:dyDescent="0.25">
      <c r="B65" s="7" t="s">
        <v>250</v>
      </c>
      <c r="C65" s="19">
        <f>C20</f>
      </c>
      <c r="D65" s="19">
        <f>D20</f>
      </c>
    </row>
    <row r="66" spans="2:4" x14ac:dyDescent="0.25">
      <c r="B66" s="30" t="s">
        <v>190</v>
      </c>
      <c r="C66" s="43">
        <f>C64+C65</f>
      </c>
      <c r="D66" s="43">
        <f>D64+D65</f>
      </c>
    </row>
    <row r="67" spans="2:4" x14ac:dyDescent="0.25">
      <c r="B67" s="30" t="s">
        <v>275</v>
      </c>
      <c r="C67" s="43">
        <f>ROUND(MAX(0,C63-C66),2)</f>
      </c>
      <c r="D67" s="43">
        <f>ROUND(MAX(0,D63-D66),2)</f>
      </c>
    </row>
    <row r="68" spans="2:4" x14ac:dyDescent="0.25">
      <c r="B68" s="7" t="s">
        <v>276</v>
      </c>
      <c r="C68" s="19">
        <f>ROUND(MAX(0,C66-C63),2)</f>
      </c>
      <c r="D68" s="19">
        <f>ROUND(MAX(0,D66-D63),2)</f>
      </c>
    </row>
    <row r="69" ht="27" customHeight="1" spans="2:4" x14ac:dyDescent="0.25">
      <c r="B69" s="30" t="s">
        <v>277</v>
      </c>
      <c r="C69" s="43">
        <f>ROUND(C21-C63,2)</f>
      </c>
      <c r="D69" s="43">
        <f>ROUND(D21-D63,2)</f>
      </c>
    </row>
    <row r="71" ht="52" customHeight="1" spans="2:4" x14ac:dyDescent="0.25">
      <c r="B71" s="36">
        <f>"Our standard assumptions: executor "&amp;IF(ROUND('Inputs'!$C$120,0)='Inputs'!$C$120,FIXED('Inputs'!$C$120,0),IF(ROUND('Inputs'!$C$120,1)='Inputs'!$C$120,FIXED('Inputs'!$C$120,1),FIXED('Inputs'!$C$120,2)))&amp;"%"&amp;" plus VAT unless Capital Legacy acts; Master's fees R "&amp;FIXED('Inputs'!$C$122,0)&amp;"; funeral R "&amp;FIXED('Inputs'!$C$123,0)&amp;"; sundries R "&amp;FIXED('Inputs'!$C$124,0)&amp;"; property transfer costs "&amp;IF(ROUND('Inputs'!$C$125,0)='Inputs'!$C$125,FIXED('Inputs'!$C$125,0),IF(ROUND('Inputs'!$C$125,1)='Inputs'!$C$125,FIXED('Inputs'!$C$125,1),FIXED('Inputs'!$C$125,2)))&amp;"%"&amp;" of value; agent's commission "&amp;IF(ROUND('Inputs'!$C$126,0)='Inputs'!$C$126,FIXED('Inputs'!$C$126,0),IF(ROUND('Inputs'!$C$126,1)='Inputs'!$C$126,FIXED('Inputs'!$C$126,1),FIXED('Inputs'!$C$126,2)))&amp;"%"&amp;" plus VAT on a property sold; estate duty "&amp;IF(ROUND('Inputs'!$C$128,0)='Inputs'!$C$128,FIXED('Inputs'!$C$128,0),IF(ROUND('Inputs'!$C$128,1)='Inputs'!$C$128,FIXED('Inputs'!$C$128,1),FIXED('Inputs'!$C$128,2)))&amp;"%"&amp;" above R "&amp;FIXED('Inputs'!$C$127,0)&amp;"; 2027 tax tables. Capital gains tax on death (s.9HA): everything treated as sold at its value; assets left to a spouse roll over (no tax now). The Capital Legacy fees stay deductible for estate duty, although the plan pays them."</f>
      </c>
      <c r="C71" s="36"/>
      <c r="D71" s="36"/>
    </row>
  </sheetData>
  <sheetProtection sheet="1" formatRows="0"/>
  <mergeCells count="3">
    <mergeCell ref="B1:D1"/>
    <mergeCell ref="B2:D2"/>
    <mergeCell ref="B71:D71"/>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Q333"/>
  <sheetFormatPr defaultRowHeight="15" outlineLevelRow="0" outlineLevelCol="0" x14ac:dyDescent="55"/>
  <cols>
    <col min="1" max="1" width="2" customWidth="1"/>
    <col min="2" max="2" width="34" customWidth="1"/>
    <col min="3" max="3" width="16" customWidth="1"/>
  </cols>
  <sheetData>
    <row r="2" spans="2:3" x14ac:dyDescent="0.25">
      <c r="B2" t="s">
        <v>118</v>
      </c>
      <c r="C2">
        <f>IF('Inputs'!$B$100="","",'Inputs'!$B$100)</f>
      </c>
    </row>
    <row r="3" spans="2:17" x14ac:dyDescent="0.25">
      <c r="B3" t="s">
        <v>120</v>
      </c>
      <c r="C3">
        <f>N('Inputs'!$D$100)</f>
      </c>
      <c r="I3" t="s">
        <v>398</v>
      </c>
      <c r="J3" t="s">
        <v>399</v>
      </c>
      <c r="K3" t="s">
        <v>400</v>
      </c>
      <c r="L3" t="s">
        <v>401</v>
      </c>
      <c r="P3" t="s">
        <v>402</v>
      </c>
      <c r="Q3" t="s">
        <v>403</v>
      </c>
    </row>
    <row r="4" spans="2:17" x14ac:dyDescent="0.25">
      <c r="B4" t="s">
        <v>404</v>
      </c>
      <c r="C4">
        <f>IF($C$3&gt;=75,'Inputs'!$H$131,IF($C$3&gt;=65,'Inputs'!$H$130,'Inputs'!$H$124))</f>
      </c>
      <c r="I4">
        <v>0</v>
      </c>
      <c r="J4">
        <f>IF(I4&lt;$C$6,MAX(0,12*$C$7*(1+$C$8)^I4-K4),0)</f>
      </c>
      <c r="K4">
        <f>SUMPRODUCT(('Inputs'!$G$76:$G$81=$C$2)*($C$2&lt;&gt;"")*'Inputs'!$D$76:$D$81*(1+'Inputs'!$E$76:$E$81/100)^I4*(ABS('Inputs'!$F$76:$F$81-12*I4)-ABS(('Inputs'!$F$76:$F$81-12*I4)-12)+12)/2)</f>
      </c>
      <c r="L4">
        <f>IF(J4&gt;0,1,0)</f>
      </c>
      <c r="P4">
        <f>IF($C$9&lt;&gt;1,0,IF($C$14=0,SUM($J$4:$J$53),(1-(1+$C$14)^-1)/(1-(1+$C$14)^(-1/12))/12*SUMPRODUCT($J$4:$J$53,(1+$C$14)^(-$I$4:$I$53))))</f>
      </c>
      <c r="Q4">
        <f>IF($C$9&lt;&gt;1,0,IFERROR((((1+($C$14+'Inputs'!$H$123/100))^(1/12)-1)-((1+$C$14)^(1/12)-1))*(P4*(((1+((1+$C$14)^(1/12)-1))^12-1)/((1+((1+$C$14)^(1/12)-1))-1))-J4/12/((1+((1+$C$14)^(1/12)-1))-1)*((1+((1+$C$14)^(1/12)-1))*(((1+((1+$C$14)^(1/12)-1))^12-1)/((1+((1+$C$14)^(1/12)-1))-1))-12)),0))</f>
      </c>
    </row>
    <row r="5" spans="2:17" x14ac:dyDescent="0.25">
      <c r="B5" t="s">
        <v>405</v>
      </c>
      <c r="C5">
        <f>N('Inputs'!$I$100)</f>
      </c>
      <c r="I5">
        <v>1</v>
      </c>
      <c r="J5">
        <f>IF(I5&lt;$C$6,MAX(0,12*$C$7*(1+$C$8)^I5-K5),0)</f>
      </c>
      <c r="K5">
        <f>SUMPRODUCT(('Inputs'!$G$76:$G$81=$C$2)*($C$2&lt;&gt;"")*'Inputs'!$D$76:$D$81*(1+'Inputs'!$E$76:$E$81/100)^I5*(ABS('Inputs'!$F$76:$F$81-12*I5)-ABS(('Inputs'!$F$76:$F$81-12*I5)-12)+12)/2)</f>
      </c>
      <c r="L5">
        <f>IF(J5&gt;0,1,0)</f>
      </c>
      <c r="P5">
        <f>IF($C$9&lt;&gt;1,0,P4*(1+((1+$C$14)^(1/12)-1))^12-J4/12*(1+((1+$C$14)^(1/12)-1))*(((1+((1+$C$14)^(1/12)-1))^12-1)/((1+((1+$C$14)^(1/12)-1))-1)))</f>
      </c>
      <c r="Q5">
        <f>IF($C$9&lt;&gt;1,0,IFERROR((((1+($C$14+'Inputs'!$H$123/100))^(1/12)-1)-((1+$C$14)^(1/12)-1))*(P5*(((1+((1+$C$14)^(1/12)-1))^12-1)/((1+((1+$C$14)^(1/12)-1))-1))-J5/12/((1+((1+$C$14)^(1/12)-1))-1)*((1+((1+$C$14)^(1/12)-1))*(((1+((1+$C$14)^(1/12)-1))^12-1)/((1+((1+$C$14)^(1/12)-1))-1))-12)),0))</f>
      </c>
    </row>
    <row r="6" spans="2:17" x14ac:dyDescent="0.25">
      <c r="B6" t="s">
        <v>406</v>
      </c>
      <c r="C6">
        <f>IF($C$2="",0,N('Inputs'!$F$100))</f>
      </c>
      <c r="I6">
        <v>2</v>
      </c>
      <c r="J6">
        <f>IF(I6&lt;$C$6,MAX(0,12*$C$7*(1+$C$8)^I6-K6),0)</f>
      </c>
      <c r="K6">
        <f>SUMPRODUCT(('Inputs'!$G$76:$G$81=$C$2)*($C$2&lt;&gt;"")*'Inputs'!$D$76:$D$81*(1+'Inputs'!$E$76:$E$81/100)^I6*(ABS('Inputs'!$F$76:$F$81-12*I6)-ABS(('Inputs'!$F$76:$F$81-12*I6)-12)+12)/2)</f>
      </c>
      <c r="L6">
        <f>IF(J6&gt;0,1,0)</f>
      </c>
      <c r="P6">
        <f>IF($C$9&lt;&gt;1,0,P5*(1+((1+$C$14)^(1/12)-1))^12-J5/12*(1+((1+$C$14)^(1/12)-1))*(((1+((1+$C$14)^(1/12)-1))^12-1)/((1+((1+$C$14)^(1/12)-1))-1)))</f>
      </c>
      <c r="Q6">
        <f>IF($C$9&lt;&gt;1,0,IFERROR((((1+($C$14+'Inputs'!$H$123/100))^(1/12)-1)-((1+$C$14)^(1/12)-1))*(P6*(((1+((1+$C$14)^(1/12)-1))^12-1)/((1+((1+$C$14)^(1/12)-1))-1))-J6/12/((1+((1+$C$14)^(1/12)-1))-1)*((1+((1+$C$14)^(1/12)-1))*(((1+((1+$C$14)^(1/12)-1))^12-1)/((1+((1+$C$14)^(1/12)-1))-1))-12)),0))</f>
      </c>
    </row>
    <row r="7" spans="2:17" x14ac:dyDescent="0.25">
      <c r="B7" t="s">
        <v>407</v>
      </c>
      <c r="C7">
        <f>N('Inputs'!$E$100)</f>
      </c>
      <c r="I7">
        <v>3</v>
      </c>
      <c r="J7">
        <f>IF(I7&lt;$C$6,MAX(0,12*$C$7*(1+$C$8)^I7-K7),0)</f>
      </c>
      <c r="K7">
        <f>SUMPRODUCT(('Inputs'!$G$76:$G$81=$C$2)*($C$2&lt;&gt;"")*'Inputs'!$D$76:$D$81*(1+'Inputs'!$E$76:$E$81/100)^I7*(ABS('Inputs'!$F$76:$F$81-12*I7)-ABS(('Inputs'!$F$76:$F$81-12*I7)-12)+12)/2)</f>
      </c>
      <c r="L7">
        <f>IF(J7&gt;0,1,0)</f>
      </c>
      <c r="P7">
        <f>IF($C$9&lt;&gt;1,0,P6*(1+((1+$C$14)^(1/12)-1))^12-J6/12*(1+((1+$C$14)^(1/12)-1))*(((1+((1+$C$14)^(1/12)-1))^12-1)/((1+((1+$C$14)^(1/12)-1))-1)))</f>
      </c>
      <c r="Q7">
        <f>IF($C$9&lt;&gt;1,0,IFERROR((((1+($C$14+'Inputs'!$H$123/100))^(1/12)-1)-((1+$C$14)^(1/12)-1))*(P7*(((1+((1+$C$14)^(1/12)-1))^12-1)/((1+((1+$C$14)^(1/12)-1))-1))-J7/12/((1+((1+$C$14)^(1/12)-1))-1)*((1+((1+$C$14)^(1/12)-1))*(((1+((1+$C$14)^(1/12)-1))^12-1)/((1+((1+$C$14)^(1/12)-1))-1))-12)),0))</f>
      </c>
    </row>
    <row r="8" spans="2:17" x14ac:dyDescent="0.25">
      <c r="B8" t="s">
        <v>408</v>
      </c>
      <c r="C8">
        <f>IF('Inputs'!$G$100="",'Inputs'!$H$129/100,'Inputs'!$G$100/100)</f>
      </c>
      <c r="I8">
        <v>4</v>
      </c>
      <c r="J8">
        <f>IF(I8&lt;$C$6,MAX(0,12*$C$7*(1+$C$8)^I8-K8),0)</f>
      </c>
      <c r="K8">
        <f>SUMPRODUCT(('Inputs'!$G$76:$G$81=$C$2)*($C$2&lt;&gt;"")*'Inputs'!$D$76:$D$81*(1+'Inputs'!$E$76:$E$81/100)^I8*(ABS('Inputs'!$F$76:$F$81-12*I8)-ABS(('Inputs'!$F$76:$F$81-12*I8)-12)+12)/2)</f>
      </c>
      <c r="L8">
        <f>IF(J8&gt;0,1,0)</f>
      </c>
      <c r="P8">
        <f>IF($C$9&lt;&gt;1,0,P7*(1+((1+$C$14)^(1/12)-1))^12-J7/12*(1+((1+$C$14)^(1/12)-1))*(((1+((1+$C$14)^(1/12)-1))^12-1)/((1+((1+$C$14)^(1/12)-1))-1)))</f>
      </c>
      <c r="Q8">
        <f>IF($C$9&lt;&gt;1,0,IFERROR((((1+($C$14+'Inputs'!$H$123/100))^(1/12)-1)-((1+$C$14)^(1/12)-1))*(P8*(((1+((1+$C$14)^(1/12)-1))^12-1)/((1+((1+$C$14)^(1/12)-1))-1))-J8/12/((1+((1+$C$14)^(1/12)-1))-1)*((1+((1+$C$14)^(1/12)-1))*(((1+((1+$C$14)^(1/12)-1))^12-1)/((1+((1+$C$14)^(1/12)-1))-1))-12)),0))</f>
      </c>
    </row>
    <row r="9" spans="2:17" x14ac:dyDescent="0.25">
      <c r="B9" t="s">
        <v>409</v>
      </c>
      <c r="C9">
        <f>IF('Inputs'!$H$100="Yes",1,0)</f>
      </c>
      <c r="I9">
        <v>5</v>
      </c>
      <c r="J9">
        <f>IF(I9&lt;$C$6,MAX(0,12*$C$7*(1+$C$8)^I9-K9),0)</f>
      </c>
      <c r="K9">
        <f>SUMPRODUCT(('Inputs'!$G$76:$G$81=$C$2)*($C$2&lt;&gt;"")*'Inputs'!$D$76:$D$81*(1+'Inputs'!$E$76:$E$81/100)^I9*(ABS('Inputs'!$F$76:$F$81-12*I9)-ABS(('Inputs'!$F$76:$F$81-12*I9)-12)+12)/2)</f>
      </c>
      <c r="L9">
        <f>IF(J9&gt;0,1,0)</f>
      </c>
      <c r="P9">
        <f>IF($C$9&lt;&gt;1,0,P8*(1+((1+$C$14)^(1/12)-1))^12-J8/12*(1+((1+$C$14)^(1/12)-1))*(((1+((1+$C$14)^(1/12)-1))^12-1)/((1+((1+$C$14)^(1/12)-1))-1)))</f>
      </c>
      <c r="Q9">
        <f>IF($C$9&lt;&gt;1,0,IFERROR((((1+($C$14+'Inputs'!$H$123/100))^(1/12)-1)-((1+$C$14)^(1/12)-1))*(P9*(((1+((1+$C$14)^(1/12)-1))^12-1)/((1+((1+$C$14)^(1/12)-1))-1))-J9/12/((1+((1+$C$14)^(1/12)-1))-1)*((1+((1+$C$14)^(1/12)-1))*(((1+((1+$C$14)^(1/12)-1))^12-1)/((1+((1+$C$14)^(1/12)-1))-1))-12)),0))</f>
      </c>
    </row>
    <row r="10" spans="2:17" x14ac:dyDescent="0.25">
      <c r="B10" t="s">
        <v>410</v>
      </c>
      <c r="C10">
        <f>IF($C$2="",0,N('Inputs'!$J$100))</f>
      </c>
      <c r="I10">
        <v>6</v>
      </c>
      <c r="J10">
        <f>IF(I10&lt;$C$6,MAX(0,12*$C$7*(1+$C$8)^I10-K10),0)</f>
      </c>
      <c r="K10">
        <f>SUMPRODUCT(('Inputs'!$G$76:$G$81=$C$2)*($C$2&lt;&gt;"")*'Inputs'!$D$76:$D$81*(1+'Inputs'!$E$76:$E$81/100)^I10*(ABS('Inputs'!$F$76:$F$81-12*I10)-ABS(('Inputs'!$F$76:$F$81-12*I10)-12)+12)/2)</f>
      </c>
      <c r="L10">
        <f>IF(J10&gt;0,1,0)</f>
      </c>
      <c r="P10">
        <f>IF($C$9&lt;&gt;1,0,P9*(1+((1+$C$14)^(1/12)-1))^12-J9/12*(1+((1+$C$14)^(1/12)-1))*(((1+((1+$C$14)^(1/12)-1))^12-1)/((1+((1+$C$14)^(1/12)-1))-1)))</f>
      </c>
      <c r="Q10">
        <f>IF($C$9&lt;&gt;1,0,IFERROR((((1+($C$14+'Inputs'!$H$123/100))^(1/12)-1)-((1+$C$14)^(1/12)-1))*(P10*(((1+((1+$C$14)^(1/12)-1))^12-1)/((1+((1+$C$14)^(1/12)-1))-1))-J10/12/((1+((1+$C$14)^(1/12)-1))-1)*((1+((1+$C$14)^(1/12)-1))*(((1+((1+$C$14)^(1/12)-1))^12-1)/((1+((1+$C$14)^(1/12)-1))-1))-12)),0))</f>
      </c>
    </row>
    <row r="11" spans="2:17" x14ac:dyDescent="0.25">
      <c r="B11" t="s">
        <v>411</v>
      </c>
      <c r="C11">
        <f>ROUND(Q4,2)</f>
      </c>
      <c r="I11">
        <v>7</v>
      </c>
      <c r="J11">
        <f>IF(I11&lt;$C$6,MAX(0,12*$C$7*(1+$C$8)^I11-K11),0)</f>
      </c>
      <c r="K11">
        <f>SUMPRODUCT(('Inputs'!$G$76:$G$81=$C$2)*($C$2&lt;&gt;"")*'Inputs'!$D$76:$D$81*(1+'Inputs'!$E$76:$E$81/100)^I11*(ABS('Inputs'!$F$76:$F$81-12*I11)-ABS(('Inputs'!$F$76:$F$81-12*I11)-12)+12)/2)</f>
      </c>
      <c r="L11">
        <f>IF(J11&gt;0,1,0)</f>
      </c>
      <c r="P11">
        <f>IF($C$9&lt;&gt;1,0,P10*(1+((1+$C$14)^(1/12)-1))^12-J10/12*(1+((1+$C$14)^(1/12)-1))*(((1+((1+$C$14)^(1/12)-1))^12-1)/((1+((1+$C$14)^(1/12)-1))-1)))</f>
      </c>
      <c r="Q11">
        <f>IF($C$9&lt;&gt;1,0,IFERROR((((1+($C$14+'Inputs'!$H$123/100))^(1/12)-1)-((1+$C$14)^(1/12)-1))*(P11*(((1+((1+$C$14)^(1/12)-1))^12-1)/((1+((1+$C$14)^(1/12)-1))-1))-J11/12/((1+((1+$C$14)^(1/12)-1))-1)*((1+((1+$C$14)^(1/12)-1))*(((1+((1+$C$14)^(1/12)-1))^12-1)/((1+((1+$C$14)^(1/12)-1))-1))-12)),0))</f>
      </c>
    </row>
    <row r="12" spans="2:17" x14ac:dyDescent="0.25">
      <c r="B12" t="s">
        <v>412</v>
      </c>
      <c r="C12">
        <f>ROUND(SUM($Q$4:$Q$53),2)</f>
      </c>
      <c r="I12">
        <v>8</v>
      </c>
      <c r="J12">
        <f>IF(I12&lt;$C$6,MAX(0,12*$C$7*(1+$C$8)^I12-K12),0)</f>
      </c>
      <c r="K12">
        <f>SUMPRODUCT(('Inputs'!$G$76:$G$81=$C$2)*($C$2&lt;&gt;"")*'Inputs'!$D$76:$D$81*(1+'Inputs'!$E$76:$E$81/100)^I12*(ABS('Inputs'!$F$76:$F$81-12*I12)-ABS(('Inputs'!$F$76:$F$81-12*I12)-12)+12)/2)</f>
      </c>
      <c r="L12">
        <f>IF(J12&gt;0,1,0)</f>
      </c>
      <c r="P12">
        <f>IF($C$9&lt;&gt;1,0,P11*(1+((1+$C$14)^(1/12)-1))^12-J11/12*(1+((1+$C$14)^(1/12)-1))*(((1+((1+$C$14)^(1/12)-1))^12-1)/((1+((1+$C$14)^(1/12)-1))-1)))</f>
      </c>
      <c r="Q12">
        <f>IF($C$9&lt;&gt;1,0,IFERROR((((1+($C$14+'Inputs'!$H$123/100))^(1/12)-1)-((1+$C$14)^(1/12)-1))*(P12*(((1+((1+$C$14)^(1/12)-1))^12-1)/((1+((1+$C$14)^(1/12)-1))-1))-J12/12/((1+((1+$C$14)^(1/12)-1))-1)*((1+((1+$C$14)^(1/12)-1))*(((1+((1+$C$14)^(1/12)-1))^12-1)/((1+((1+$C$14)^(1/12)-1))-1))-12)),0))</f>
      </c>
    </row>
    <row r="13" spans="2:17" x14ac:dyDescent="0.25">
      <c r="B13" t="s">
        <v>413</v>
      </c>
      <c r="C13">
        <f>IF($C$9&lt;&gt;1,0,ROUND(IF($C$14=0,SUM($J$4:$J$53),(1-(1+$C$14)^-1)/(1-(1+$C$14)^(-1/12))/12*SUMPRODUCT($J$4:$J$53,(1+$C$14)^(-$I$4:$I$53)))-IF(($C$14+'Inputs'!$H$123/100)=0,SUM($J$4:$J$53),(1-(1+($C$14+'Inputs'!$H$123/100))^-1)/(1-(1+($C$14+'Inputs'!$H$123/100))^(-1/12))/12*SUMPRODUCT($J$4:$J$53,(1+($C$14+'Inputs'!$H$123/100))^(-$I$4:$I$53))),2))</f>
      </c>
      <c r="I13">
        <v>9</v>
      </c>
      <c r="J13">
        <f>IF(I13&lt;$C$6,MAX(0,12*$C$7*(1+$C$8)^I13-K13),0)</f>
      </c>
      <c r="K13">
        <f>SUMPRODUCT(('Inputs'!$G$76:$G$81=$C$2)*($C$2&lt;&gt;"")*'Inputs'!$D$76:$D$81*(1+'Inputs'!$E$76:$E$81/100)^I13*(ABS('Inputs'!$F$76:$F$81-12*I13)-ABS(('Inputs'!$F$76:$F$81-12*I13)-12)+12)/2)</f>
      </c>
      <c r="L13">
        <f>IF(J13&gt;0,1,0)</f>
      </c>
      <c r="P13">
        <f>IF($C$9&lt;&gt;1,0,P12*(1+((1+$C$14)^(1/12)-1))^12-J12/12*(1+((1+$C$14)^(1/12)-1))*(((1+((1+$C$14)^(1/12)-1))^12-1)/((1+((1+$C$14)^(1/12)-1))-1)))</f>
      </c>
      <c r="Q13">
        <f>IF($C$9&lt;&gt;1,0,IFERROR((((1+($C$14+'Inputs'!$H$123/100))^(1/12)-1)-((1+$C$14)^(1/12)-1))*(P13*(((1+((1+$C$14)^(1/12)-1))^12-1)/((1+((1+$C$14)^(1/12)-1))-1))-J13/12/((1+((1+$C$14)^(1/12)-1))-1)*((1+((1+$C$14)^(1/12)-1))*(((1+((1+$C$14)^(1/12)-1))^12-1)/((1+((1+$C$14)^(1/12)-1))-1))-12)),0))</f>
      </c>
    </row>
    <row r="14" spans="2:17" x14ac:dyDescent="0.25">
      <c r="B14" t="s">
        <v>414</v>
      </c>
      <c r="C14">
        <f>IF($C$9=1,'Needs calc'!$C$43,0)</f>
      </c>
      <c r="I14">
        <v>10</v>
      </c>
      <c r="J14">
        <f>IF(I14&lt;$C$6,MAX(0,12*$C$7*(1+$C$8)^I14-K14),0)</f>
      </c>
      <c r="K14">
        <f>SUMPRODUCT(('Inputs'!$G$76:$G$81=$C$2)*($C$2&lt;&gt;"")*'Inputs'!$D$76:$D$81*(1+'Inputs'!$E$76:$E$81/100)^I14*(ABS('Inputs'!$F$76:$F$81-12*I14)-ABS(('Inputs'!$F$76:$F$81-12*I14)-12)+12)/2)</f>
      </c>
      <c r="L14">
        <f>IF(J14&gt;0,1,0)</f>
      </c>
      <c r="P14">
        <f>IF($C$9&lt;&gt;1,0,P13*(1+((1+$C$14)^(1/12)-1))^12-J13/12*(1+((1+$C$14)^(1/12)-1))*(((1+((1+$C$14)^(1/12)-1))^12-1)/((1+((1+$C$14)^(1/12)-1))-1)))</f>
      </c>
      <c r="Q14">
        <f>IF($C$9&lt;&gt;1,0,IFERROR((((1+($C$14+'Inputs'!$H$123/100))^(1/12)-1)-((1+$C$14)^(1/12)-1))*(P14*(((1+((1+$C$14)^(1/12)-1))^12-1)/((1+((1+$C$14)^(1/12)-1))-1))-J14/12/((1+((1+$C$14)^(1/12)-1))-1)*((1+((1+$C$14)^(1/12)-1))*(((1+((1+$C$14)^(1/12)-1))^12-1)/((1+((1+$C$14)^(1/12)-1))-1))-12)),0))</f>
      </c>
    </row>
    <row r="15" spans="2:17" x14ac:dyDescent="0.25">
      <c r="B15" t="s">
        <v>415</v>
      </c>
      <c r="C15">
        <f>SUMPRODUCT(('Inputs'!$G$76:$G$81=$C$2)*($C$2&lt;&gt;"")*('Inputs'!$F$76:$F$81&gt;0)*'Inputs'!$D$76:$D$81)</f>
      </c>
      <c r="I15">
        <v>11</v>
      </c>
      <c r="J15">
        <f>IF(I15&lt;$C$6,MAX(0,12*$C$7*(1+$C$8)^I15-K15),0)</f>
      </c>
      <c r="K15">
        <f>SUMPRODUCT(('Inputs'!$G$76:$G$81=$C$2)*($C$2&lt;&gt;"")*'Inputs'!$D$76:$D$81*(1+'Inputs'!$E$76:$E$81/100)^I15*(ABS('Inputs'!$F$76:$F$81-12*I15)-ABS(('Inputs'!$F$76:$F$81-12*I15)-12)+12)/2)</f>
      </c>
      <c r="L15">
        <f>IF(J15&gt;0,1,0)</f>
      </c>
      <c r="P15">
        <f>IF($C$9&lt;&gt;1,0,P14*(1+((1+$C$14)^(1/12)-1))^12-J14/12*(1+((1+$C$14)^(1/12)-1))*(((1+((1+$C$14)^(1/12)-1))^12-1)/((1+((1+$C$14)^(1/12)-1))-1)))</f>
      </c>
      <c r="Q15">
        <f>IF($C$9&lt;&gt;1,0,IFERROR((((1+($C$14+'Inputs'!$H$123/100))^(1/12)-1)-((1+$C$14)^(1/12)-1))*(P15*(((1+((1+$C$14)^(1/12)-1))^12-1)/((1+((1+$C$14)^(1/12)-1))-1))-J15/12/((1+((1+$C$14)^(1/12)-1))-1)*((1+((1+$C$14)^(1/12)-1))*(((1+((1+$C$14)^(1/12)-1))^12-1)/((1+((1+$C$14)^(1/12)-1))-1))-12)),0))</f>
      </c>
    </row>
    <row r="16" spans="2:17" x14ac:dyDescent="0.25">
      <c r="B16" t="s">
        <v>416</v>
      </c>
      <c r="C16">
        <f>IF($C$6&gt;0,$C$7-J4/12,0)</f>
      </c>
      <c r="I16">
        <v>12</v>
      </c>
      <c r="J16">
        <f>IF(I16&lt;$C$6,MAX(0,12*$C$7*(1+$C$8)^I16-K16),0)</f>
      </c>
      <c r="K16">
        <f>SUMPRODUCT(('Inputs'!$G$76:$G$81=$C$2)*($C$2&lt;&gt;"")*'Inputs'!$D$76:$D$81*(1+'Inputs'!$E$76:$E$81/100)^I16*(ABS('Inputs'!$F$76:$F$81-12*I16)-ABS(('Inputs'!$F$76:$F$81-12*I16)-12)+12)/2)</f>
      </c>
      <c r="L16">
        <f>IF(J16&gt;0,1,0)</f>
      </c>
      <c r="P16">
        <f>IF($C$9&lt;&gt;1,0,P15*(1+((1+$C$14)^(1/12)-1))^12-J15/12*(1+((1+$C$14)^(1/12)-1))*(((1+((1+$C$14)^(1/12)-1))^12-1)/((1+((1+$C$14)^(1/12)-1))-1)))</f>
      </c>
      <c r="Q16">
        <f>IF($C$9&lt;&gt;1,0,IFERROR((((1+($C$14+'Inputs'!$H$123/100))^(1/12)-1)-((1+$C$14)^(1/12)-1))*(P16*(((1+((1+$C$14)^(1/12)-1))^12-1)/((1+((1+$C$14)^(1/12)-1))-1))-J16/12/((1+((1+$C$14)^(1/12)-1))-1)*((1+((1+$C$14)^(1/12)-1))*(((1+((1+$C$14)^(1/12)-1))^12-1)/((1+((1+$C$14)^(1/12)-1))-1))-12)),0))</f>
      </c>
    </row>
    <row r="17" spans="2:17" x14ac:dyDescent="0.25">
      <c r="B17" t="s">
        <v>417</v>
      </c>
      <c r="C17">
        <f>SUMPRODUCT(MAX(('Inputs'!$G$76:$G$81=$C$2)*($C$2&lt;&gt;"")*'Inputs'!$F$76:$F$81))</f>
      </c>
      <c r="I17">
        <v>13</v>
      </c>
      <c r="J17">
        <f>IF(I17&lt;$C$6,MAX(0,12*$C$7*(1+$C$8)^I17-K17),0)</f>
      </c>
      <c r="K17">
        <f>SUMPRODUCT(('Inputs'!$G$76:$G$81=$C$2)*($C$2&lt;&gt;"")*'Inputs'!$D$76:$D$81*(1+'Inputs'!$E$76:$E$81/100)^I17*(ABS('Inputs'!$F$76:$F$81-12*I17)-ABS(('Inputs'!$F$76:$F$81-12*I17)-12)+12)/2)</f>
      </c>
      <c r="L17">
        <f>IF(J17&gt;0,1,0)</f>
      </c>
      <c r="P17">
        <f>IF($C$9&lt;&gt;1,0,P16*(1+((1+$C$14)^(1/12)-1))^12-J16/12*(1+((1+$C$14)^(1/12)-1))*(((1+((1+$C$14)^(1/12)-1))^12-1)/((1+((1+$C$14)^(1/12)-1))-1)))</f>
      </c>
      <c r="Q17">
        <f>IF($C$9&lt;&gt;1,0,IFERROR((((1+($C$14+'Inputs'!$H$123/100))^(1/12)-1)-((1+$C$14)^(1/12)-1))*(P17*(((1+((1+$C$14)^(1/12)-1))^12-1)/((1+((1+$C$14)^(1/12)-1))-1))-J17/12/((1+((1+$C$14)^(1/12)-1))-1)*((1+((1+$C$14)^(1/12)-1))*(((1+((1+$C$14)^(1/12)-1))^12-1)/((1+((1+$C$14)^(1/12)-1))-1))-12)),0))</f>
      </c>
    </row>
    <row r="18" spans="2:17" x14ac:dyDescent="0.25">
      <c r="B18" t="s">
        <v>418</v>
      </c>
      <c r="C18">
        <f>SUM($J$4:$J$53)</f>
      </c>
      <c r="I18">
        <v>14</v>
      </c>
      <c r="J18">
        <f>IF(I18&lt;$C$6,MAX(0,12*$C$7*(1+$C$8)^I18-K18),0)</f>
      </c>
      <c r="K18">
        <f>SUMPRODUCT(('Inputs'!$G$76:$G$81=$C$2)*($C$2&lt;&gt;"")*'Inputs'!$D$76:$D$81*(1+'Inputs'!$E$76:$E$81/100)^I18*(ABS('Inputs'!$F$76:$F$81-12*I18)-ABS(('Inputs'!$F$76:$F$81-12*I18)-12)+12)/2)</f>
      </c>
      <c r="L18">
        <f>IF(J18&gt;0,1,0)</f>
      </c>
      <c r="P18">
        <f>IF($C$9&lt;&gt;1,0,P17*(1+((1+$C$14)^(1/12)-1))^12-J17/12*(1+((1+$C$14)^(1/12)-1))*(((1+((1+$C$14)^(1/12)-1))^12-1)/((1+((1+$C$14)^(1/12)-1))-1)))</f>
      </c>
      <c r="Q18">
        <f>IF($C$9&lt;&gt;1,0,IFERROR((((1+($C$14+'Inputs'!$H$123/100))^(1/12)-1)-((1+$C$14)^(1/12)-1))*(P18*(((1+((1+$C$14)^(1/12)-1))^12-1)/((1+((1+$C$14)^(1/12)-1))-1))-J18/12/((1+((1+$C$14)^(1/12)-1))-1)*((1+((1+$C$14)^(1/12)-1))*(((1+((1+$C$14)^(1/12)-1))^12-1)/((1+((1+$C$14)^(1/12)-1))-1))-12)),0))</f>
      </c>
    </row>
    <row r="19" spans="2:17" x14ac:dyDescent="0.25">
      <c r="B19" t="s">
        <v>419</v>
      </c>
      <c r="C19">
        <f>IF('Needs calc'!$C$45&gt;0,IF(N('Inputs'!$E$100)&gt;0,IF('Needs years'!$C$15&lt;=0,IF('Needs years'!$C$10&lt;=0,'Inputs'!$B$100&amp;" would have about R "&amp;FIXED(ROUND('Needs calc'!$C$46,-2),0)&amp;" a month of the R "&amp;FIXED(ROUND('Inputs'!$E$100,-2),0)&amp;" you want. ",IF('Needs calc'!$C$40&gt;='Needs years'!$C$10,'Inputs'!$B$100&amp;" would have about R "&amp;FIXED(ROUND('Needs calc'!$C$46,-2),0)&amp;" a month of the R "&amp;FIXED(ROUND('Inputs'!$E$100,-2),0)&amp;" you want,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")),IF('Needs years'!$C$18&lt;=0,IF('Needs years'!$C$10&gt;0,'Inputs'!$B$100&amp;"'s death income covers the R "&amp;FIXED(ROUND('Inputs'!$E$100,-2),0)&amp;" a month you want"&amp;", but "&amp;'Inputs'!$B$100&amp;" would have "&amp;IF('Needs calc'!$C$40&lt;=0,"nothing","about R "&amp;FIXED(ROUND('Needs calc'!$C$40,-3),0))&amp;" of the R "&amp;FIXED(ROUND('Needs years'!$C$10,-3),0)&amp;" once-off you want for them. ",'Inputs'!$B$100&amp;"'s death income covers the R "&amp;FIXED(ROUND('Inputs'!$E$100,-2),0)&amp;" a month you want"&amp;", but the estate duty on it, about R "&amp;FIXED(ROUND('Needs years'!$C$21,-3),0)&amp;", leaves "&amp;'Inputs'!$B$100&amp;" short. "),IF('Needs years'!$J$4&lt;=0,'Inputs'!$B$100&amp;"'s death income covers the R "&amp;FIXED(ROUND('Inputs'!$E$100,-2),0)&amp;" a month you want"&amp;" for "&amp;IF('Needs years'!$C$20=1,"the first year","the first "&amp;'Needs years'!$C$20&amp;" years")&amp;"; after that "&amp;'Inputs'!$B$100&amp;" would be short"&amp;IF(AND('Needs years'!$C$10&gt;0,'Needs calc'!$C$40&lt;'Needs years'!$C$10),", and would have "&amp;IF('Needs calc'!$C$40&lt;=0,"nothing","about R "&amp;FIXED(ROUND('Needs calc'!$C$40,-3),0))&amp;" of the R "&amp;FIXED(ROUND('Needs years'!$C$10,-3),0)&amp;" once-off","")&amp;". ",IF('Needs years'!$C$10&lt;=0,'Inputs'!$B$100&amp;" would have about R "&amp;FIXED(ROUND('Needs calc'!$C$46,-2),0)&amp;" a month of the R "&amp;FIXED(ROUND('Inputs'!$E$100,-2),0)&amp;" you want, part of it from the death income, and less once it stops. ",IF('Needs calc'!$C$40&gt;='Needs years'!$C$10,'Inputs'!$B$100&amp;" would have about R "&amp;FIXED(ROUND('Needs calc'!$C$46,-2),0)&amp;" a month of the R "&amp;FIXED(ROUND('Inputs'!$E$100,-2),0)&amp;" you want, part of it from the death income, and less once it stops,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part of it from the death income, and less once it stops. "))))),'Inputs'!$B$100&amp;" would have "&amp;IF('Needs calc'!$C$40&lt;=0,"nothing","about R "&amp;FIXED(ROUND('Needs calc'!$C$40,-3),0))&amp;" of the R "&amp;FIXED(ROUND('Needs years'!$C$10,-3),0)&amp;" you want to leave them. "),"")</f>
      </c>
      <c r="I19">
        <v>15</v>
      </c>
      <c r="J19">
        <f>IF(I19&lt;$C$6,MAX(0,12*$C$7*(1+$C$8)^I19-K19),0)</f>
      </c>
      <c r="K19">
        <f>SUMPRODUCT(('Inputs'!$G$76:$G$81=$C$2)*($C$2&lt;&gt;"")*'Inputs'!$D$76:$D$81*(1+'Inputs'!$E$76:$E$81/100)^I19*(ABS('Inputs'!$F$76:$F$81-12*I19)-ABS(('Inputs'!$F$76:$F$81-12*I19)-12)+12)/2)</f>
      </c>
      <c r="L19">
        <f>IF(J19&gt;0,1,0)</f>
      </c>
      <c r="P19">
        <f>IF($C$9&lt;&gt;1,0,P18*(1+((1+$C$14)^(1/12)-1))^12-J18/12*(1+((1+$C$14)^(1/12)-1))*(((1+((1+$C$14)^(1/12)-1))^12-1)/((1+((1+$C$14)^(1/12)-1))-1)))</f>
      </c>
      <c r="Q19">
        <f>IF($C$9&lt;&gt;1,0,IFERROR((((1+($C$14+'Inputs'!$H$123/100))^(1/12)-1)-((1+$C$14)^(1/12)-1))*(P19*(((1+((1+$C$14)^(1/12)-1))^12-1)/((1+((1+$C$14)^(1/12)-1))-1))-J19/12/((1+((1+$C$14)^(1/12)-1))-1)*((1+((1+$C$14)^(1/12)-1))*(((1+((1+$C$14)^(1/12)-1))^12-1)/((1+((1+$C$14)^(1/12)-1))-1))-12)),0))</f>
      </c>
    </row>
    <row r="20" spans="2:17" x14ac:dyDescent="0.25">
      <c r="B20" t="s">
        <v>420</v>
      </c>
      <c r="C20">
        <f>IFERROR(MATCH(1,$L$4:$L$53,0)-1,$C$6)</f>
      </c>
      <c r="I20">
        <v>16</v>
      </c>
      <c r="J20">
        <f>IF(I20&lt;$C$6,MAX(0,12*$C$7*(1+$C$8)^I20-K20),0)</f>
      </c>
      <c r="K20">
        <f>SUMPRODUCT(('Inputs'!$G$76:$G$81=$C$2)*($C$2&lt;&gt;"")*'Inputs'!$D$76:$D$81*(1+'Inputs'!$E$76:$E$81/100)^I20*(ABS('Inputs'!$F$76:$F$81-12*I20)-ABS(('Inputs'!$F$76:$F$81-12*I20)-12)+12)/2)</f>
      </c>
      <c r="L20">
        <f>IF(J20&gt;0,1,0)</f>
      </c>
      <c r="P20">
        <f>IF($C$9&lt;&gt;1,0,P19*(1+((1+$C$14)^(1/12)-1))^12-J19/12*(1+((1+$C$14)^(1/12)-1))*(((1+((1+$C$14)^(1/12)-1))^12-1)/((1+((1+$C$14)^(1/12)-1))-1)))</f>
      </c>
      <c r="Q20">
        <f>IF($C$9&lt;&gt;1,0,IFERROR((((1+($C$14+'Inputs'!$H$123/100))^(1/12)-1)-((1+$C$14)^(1/12)-1))*(P20*(((1+((1+$C$14)^(1/12)-1))^12-1)/((1+((1+$C$14)^(1/12)-1))-1))-J20/12/((1+((1+$C$14)^(1/12)-1))-1)*((1+((1+$C$14)^(1/12)-1))*(((1+((1+$C$14)^(1/12)-1))^12-1)/((1+((1+$C$14)^(1/12)-1))-1))-12)),0))</f>
      </c>
    </row>
    <row r="21" spans="2:17" x14ac:dyDescent="0.25">
      <c r="B21" t="s">
        <v>421</v>
      </c>
      <c r="C21">
        <f>SUMPRODUCT(('Inputs'!$G$76:$G$81=$C$2)*($C$2&lt;&gt;"")*'Inputs'!$P$76:$P$81)</f>
      </c>
      <c r="I21">
        <v>17</v>
      </c>
      <c r="J21">
        <f>IF(I21&lt;$C$6,MAX(0,12*$C$7*(1+$C$8)^I21-K21),0)</f>
      </c>
      <c r="K21">
        <f>SUMPRODUCT(('Inputs'!$G$76:$G$81=$C$2)*($C$2&lt;&gt;"")*'Inputs'!$D$76:$D$81*(1+'Inputs'!$E$76:$E$81/100)^I21*(ABS('Inputs'!$F$76:$F$81-12*I21)-ABS(('Inputs'!$F$76:$F$81-12*I21)-12)+12)/2)</f>
      </c>
      <c r="L21">
        <f>IF(J21&gt;0,1,0)</f>
      </c>
      <c r="P21">
        <f>IF($C$9&lt;&gt;1,0,P20*(1+((1+$C$14)^(1/12)-1))^12-J20/12*(1+((1+$C$14)^(1/12)-1))*(((1+((1+$C$14)^(1/12)-1))^12-1)/((1+((1+$C$14)^(1/12)-1))-1)))</f>
      </c>
      <c r="Q21">
        <f>IF($C$9&lt;&gt;1,0,IFERROR((((1+($C$14+'Inputs'!$H$123/100))^(1/12)-1)-((1+$C$14)^(1/12)-1))*(P21*(((1+((1+$C$14)^(1/12)-1))^12-1)/((1+((1+$C$14)^(1/12)-1))-1))-J21/12/((1+((1+$C$14)^(1/12)-1))-1)*((1+((1+$C$14)^(1/12)-1))*(((1+((1+$C$14)^(1/12)-1))^12-1)/((1+((1+$C$14)^(1/12)-1))-1))-12)),0))</f>
      </c>
    </row>
    <row r="22" spans="9:17" x14ac:dyDescent="0.25">
      <c r="I22">
        <v>18</v>
      </c>
      <c r="J22">
        <f>IF(I22&lt;$C$6,MAX(0,12*$C$7*(1+$C$8)^I22-K22),0)</f>
      </c>
      <c r="K22">
        <f>SUMPRODUCT(('Inputs'!$G$76:$G$81=$C$2)*($C$2&lt;&gt;"")*'Inputs'!$D$76:$D$81*(1+'Inputs'!$E$76:$E$81/100)^I22*(ABS('Inputs'!$F$76:$F$81-12*I22)-ABS(('Inputs'!$F$76:$F$81-12*I22)-12)+12)/2)</f>
      </c>
      <c r="L22">
        <f>IF(J22&gt;0,1,0)</f>
      </c>
      <c r="P22">
        <f>IF($C$9&lt;&gt;1,0,P21*(1+((1+$C$14)^(1/12)-1))^12-J21/12*(1+((1+$C$14)^(1/12)-1))*(((1+((1+$C$14)^(1/12)-1))^12-1)/((1+((1+$C$14)^(1/12)-1))-1)))</f>
      </c>
      <c r="Q22">
        <f>IF($C$9&lt;&gt;1,0,IFERROR((((1+($C$14+'Inputs'!$H$123/100))^(1/12)-1)-((1+$C$14)^(1/12)-1))*(P22*(((1+((1+$C$14)^(1/12)-1))^12-1)/((1+((1+$C$14)^(1/12)-1))-1))-J22/12/((1+((1+$C$14)^(1/12)-1))-1)*((1+((1+$C$14)^(1/12)-1))*(((1+((1+$C$14)^(1/12)-1))^12-1)/((1+((1+$C$14)^(1/12)-1))-1))-12)),0))</f>
      </c>
    </row>
    <row r="23" spans="9:17" x14ac:dyDescent="0.25">
      <c r="I23">
        <v>19</v>
      </c>
      <c r="J23">
        <f>IF(I23&lt;$C$6,MAX(0,12*$C$7*(1+$C$8)^I23-K23),0)</f>
      </c>
      <c r="K23">
        <f>SUMPRODUCT(('Inputs'!$G$76:$G$81=$C$2)*($C$2&lt;&gt;"")*'Inputs'!$D$76:$D$81*(1+'Inputs'!$E$76:$E$81/100)^I23*(ABS('Inputs'!$F$76:$F$81-12*I23)-ABS(('Inputs'!$F$76:$F$81-12*I23)-12)+12)/2)</f>
      </c>
      <c r="L23">
        <f>IF(J23&gt;0,1,0)</f>
      </c>
      <c r="P23">
        <f>IF($C$9&lt;&gt;1,0,P22*(1+((1+$C$14)^(1/12)-1))^12-J22/12*(1+((1+$C$14)^(1/12)-1))*(((1+((1+$C$14)^(1/12)-1))^12-1)/((1+((1+$C$14)^(1/12)-1))-1)))</f>
      </c>
      <c r="Q23">
        <f>IF($C$9&lt;&gt;1,0,IFERROR((((1+($C$14+'Inputs'!$H$123/100))^(1/12)-1)-((1+$C$14)^(1/12)-1))*(P23*(((1+((1+$C$14)^(1/12)-1))^12-1)/((1+((1+$C$14)^(1/12)-1))-1))-J23/12/((1+((1+$C$14)^(1/12)-1))-1)*((1+((1+$C$14)^(1/12)-1))*(((1+((1+$C$14)^(1/12)-1))^12-1)/((1+((1+$C$14)^(1/12)-1))-1))-12)),0))</f>
      </c>
    </row>
    <row r="24" spans="9:17" x14ac:dyDescent="0.25">
      <c r="I24">
        <v>20</v>
      </c>
      <c r="J24">
        <f>IF(I24&lt;$C$6,MAX(0,12*$C$7*(1+$C$8)^I24-K24),0)</f>
      </c>
      <c r="K24">
        <f>SUMPRODUCT(('Inputs'!$G$76:$G$81=$C$2)*($C$2&lt;&gt;"")*'Inputs'!$D$76:$D$81*(1+'Inputs'!$E$76:$E$81/100)^I24*(ABS('Inputs'!$F$76:$F$81-12*I24)-ABS(('Inputs'!$F$76:$F$81-12*I24)-12)+12)/2)</f>
      </c>
      <c r="L24">
        <f>IF(J24&gt;0,1,0)</f>
      </c>
      <c r="P24">
        <f>IF($C$9&lt;&gt;1,0,P23*(1+((1+$C$14)^(1/12)-1))^12-J23/12*(1+((1+$C$14)^(1/12)-1))*(((1+((1+$C$14)^(1/12)-1))^12-1)/((1+((1+$C$14)^(1/12)-1))-1)))</f>
      </c>
      <c r="Q24">
        <f>IF($C$9&lt;&gt;1,0,IFERROR((((1+($C$14+'Inputs'!$H$123/100))^(1/12)-1)-((1+$C$14)^(1/12)-1))*(P24*(((1+((1+$C$14)^(1/12)-1))^12-1)/((1+((1+$C$14)^(1/12)-1))-1))-J24/12/((1+((1+$C$14)^(1/12)-1))-1)*((1+((1+$C$14)^(1/12)-1))*(((1+((1+$C$14)^(1/12)-1))^12-1)/((1+((1+$C$14)^(1/12)-1))-1))-12)),0))</f>
      </c>
    </row>
    <row r="25" spans="9:17" x14ac:dyDescent="0.25">
      <c r="I25">
        <v>21</v>
      </c>
      <c r="J25">
        <f>IF(I25&lt;$C$6,MAX(0,12*$C$7*(1+$C$8)^I25-K25),0)</f>
      </c>
      <c r="K25">
        <f>SUMPRODUCT(('Inputs'!$G$76:$G$81=$C$2)*($C$2&lt;&gt;"")*'Inputs'!$D$76:$D$81*(1+'Inputs'!$E$76:$E$81/100)^I25*(ABS('Inputs'!$F$76:$F$81-12*I25)-ABS(('Inputs'!$F$76:$F$81-12*I25)-12)+12)/2)</f>
      </c>
      <c r="L25">
        <f>IF(J25&gt;0,1,0)</f>
      </c>
      <c r="P25">
        <f>IF($C$9&lt;&gt;1,0,P24*(1+((1+$C$14)^(1/12)-1))^12-J24/12*(1+((1+$C$14)^(1/12)-1))*(((1+((1+$C$14)^(1/12)-1))^12-1)/((1+((1+$C$14)^(1/12)-1))-1)))</f>
      </c>
      <c r="Q25">
        <f>IF($C$9&lt;&gt;1,0,IFERROR((((1+($C$14+'Inputs'!$H$123/100))^(1/12)-1)-((1+$C$14)^(1/12)-1))*(P25*(((1+((1+$C$14)^(1/12)-1))^12-1)/((1+((1+$C$14)^(1/12)-1))-1))-J25/12/((1+((1+$C$14)^(1/12)-1))-1)*((1+((1+$C$14)^(1/12)-1))*(((1+((1+$C$14)^(1/12)-1))^12-1)/((1+((1+$C$14)^(1/12)-1))-1))-12)),0))</f>
      </c>
    </row>
    <row r="26" spans="9:17" x14ac:dyDescent="0.25">
      <c r="I26">
        <v>22</v>
      </c>
      <c r="J26">
        <f>IF(I26&lt;$C$6,MAX(0,12*$C$7*(1+$C$8)^I26-K26),0)</f>
      </c>
      <c r="K26">
        <f>SUMPRODUCT(('Inputs'!$G$76:$G$81=$C$2)*($C$2&lt;&gt;"")*'Inputs'!$D$76:$D$81*(1+'Inputs'!$E$76:$E$81/100)^I26*(ABS('Inputs'!$F$76:$F$81-12*I26)-ABS(('Inputs'!$F$76:$F$81-12*I26)-12)+12)/2)</f>
      </c>
      <c r="L26">
        <f>IF(J26&gt;0,1,0)</f>
      </c>
      <c r="P26">
        <f>IF($C$9&lt;&gt;1,0,P25*(1+((1+$C$14)^(1/12)-1))^12-J25/12*(1+((1+$C$14)^(1/12)-1))*(((1+((1+$C$14)^(1/12)-1))^12-1)/((1+((1+$C$14)^(1/12)-1))-1)))</f>
      </c>
      <c r="Q26">
        <f>IF($C$9&lt;&gt;1,0,IFERROR((((1+($C$14+'Inputs'!$H$123/100))^(1/12)-1)-((1+$C$14)^(1/12)-1))*(P26*(((1+((1+$C$14)^(1/12)-1))^12-1)/((1+((1+$C$14)^(1/12)-1))-1))-J26/12/((1+((1+$C$14)^(1/12)-1))-1)*((1+((1+$C$14)^(1/12)-1))*(((1+((1+$C$14)^(1/12)-1))^12-1)/((1+((1+$C$14)^(1/12)-1))-1))-12)),0))</f>
      </c>
    </row>
    <row r="27" spans="9:17" x14ac:dyDescent="0.25">
      <c r="I27">
        <v>23</v>
      </c>
      <c r="J27">
        <f>IF(I27&lt;$C$6,MAX(0,12*$C$7*(1+$C$8)^I27-K27),0)</f>
      </c>
      <c r="K27">
        <f>SUMPRODUCT(('Inputs'!$G$76:$G$81=$C$2)*($C$2&lt;&gt;"")*'Inputs'!$D$76:$D$81*(1+'Inputs'!$E$76:$E$81/100)^I27*(ABS('Inputs'!$F$76:$F$81-12*I27)-ABS(('Inputs'!$F$76:$F$81-12*I27)-12)+12)/2)</f>
      </c>
      <c r="L27">
        <f>IF(J27&gt;0,1,0)</f>
      </c>
      <c r="P27">
        <f>IF($C$9&lt;&gt;1,0,P26*(1+((1+$C$14)^(1/12)-1))^12-J26/12*(1+((1+$C$14)^(1/12)-1))*(((1+((1+$C$14)^(1/12)-1))^12-1)/((1+((1+$C$14)^(1/12)-1))-1)))</f>
      </c>
      <c r="Q27">
        <f>IF($C$9&lt;&gt;1,0,IFERROR((((1+($C$14+'Inputs'!$H$123/100))^(1/12)-1)-((1+$C$14)^(1/12)-1))*(P27*(((1+((1+$C$14)^(1/12)-1))^12-1)/((1+((1+$C$14)^(1/12)-1))-1))-J27/12/((1+((1+$C$14)^(1/12)-1))-1)*((1+((1+$C$14)^(1/12)-1))*(((1+((1+$C$14)^(1/12)-1))^12-1)/((1+((1+$C$14)^(1/12)-1))-1))-12)),0))</f>
      </c>
    </row>
    <row r="28" spans="9:17" x14ac:dyDescent="0.25">
      <c r="I28">
        <v>24</v>
      </c>
      <c r="J28">
        <f>IF(I28&lt;$C$6,MAX(0,12*$C$7*(1+$C$8)^I28-K28),0)</f>
      </c>
      <c r="K28">
        <f>SUMPRODUCT(('Inputs'!$G$76:$G$81=$C$2)*($C$2&lt;&gt;"")*'Inputs'!$D$76:$D$81*(1+'Inputs'!$E$76:$E$81/100)^I28*(ABS('Inputs'!$F$76:$F$81-12*I28)-ABS(('Inputs'!$F$76:$F$81-12*I28)-12)+12)/2)</f>
      </c>
      <c r="L28">
        <f>IF(J28&gt;0,1,0)</f>
      </c>
      <c r="P28">
        <f>IF($C$9&lt;&gt;1,0,P27*(1+((1+$C$14)^(1/12)-1))^12-J27/12*(1+((1+$C$14)^(1/12)-1))*(((1+((1+$C$14)^(1/12)-1))^12-1)/((1+((1+$C$14)^(1/12)-1))-1)))</f>
      </c>
      <c r="Q28">
        <f>IF($C$9&lt;&gt;1,0,IFERROR((((1+($C$14+'Inputs'!$H$123/100))^(1/12)-1)-((1+$C$14)^(1/12)-1))*(P28*(((1+((1+$C$14)^(1/12)-1))^12-1)/((1+((1+$C$14)^(1/12)-1))-1))-J28/12/((1+((1+$C$14)^(1/12)-1))-1)*((1+((1+$C$14)^(1/12)-1))*(((1+((1+$C$14)^(1/12)-1))^12-1)/((1+((1+$C$14)^(1/12)-1))-1))-12)),0))</f>
      </c>
    </row>
    <row r="29" spans="9:17" x14ac:dyDescent="0.25">
      <c r="I29">
        <v>25</v>
      </c>
      <c r="J29">
        <f>IF(I29&lt;$C$6,MAX(0,12*$C$7*(1+$C$8)^I29-K29),0)</f>
      </c>
      <c r="K29">
        <f>SUMPRODUCT(('Inputs'!$G$76:$G$81=$C$2)*($C$2&lt;&gt;"")*'Inputs'!$D$76:$D$81*(1+'Inputs'!$E$76:$E$81/100)^I29*(ABS('Inputs'!$F$76:$F$81-12*I29)-ABS(('Inputs'!$F$76:$F$81-12*I29)-12)+12)/2)</f>
      </c>
      <c r="L29">
        <f>IF(J29&gt;0,1,0)</f>
      </c>
      <c r="P29">
        <f>IF($C$9&lt;&gt;1,0,P28*(1+((1+$C$14)^(1/12)-1))^12-J28/12*(1+((1+$C$14)^(1/12)-1))*(((1+((1+$C$14)^(1/12)-1))^12-1)/((1+((1+$C$14)^(1/12)-1))-1)))</f>
      </c>
      <c r="Q29">
        <f>IF($C$9&lt;&gt;1,0,IFERROR((((1+($C$14+'Inputs'!$H$123/100))^(1/12)-1)-((1+$C$14)^(1/12)-1))*(P29*(((1+((1+$C$14)^(1/12)-1))^12-1)/((1+((1+$C$14)^(1/12)-1))-1))-J29/12/((1+((1+$C$14)^(1/12)-1))-1)*((1+((1+$C$14)^(1/12)-1))*(((1+((1+$C$14)^(1/12)-1))^12-1)/((1+((1+$C$14)^(1/12)-1))-1))-12)),0))</f>
      </c>
    </row>
    <row r="30" spans="9:17" x14ac:dyDescent="0.25">
      <c r="I30">
        <v>26</v>
      </c>
      <c r="J30">
        <f>IF(I30&lt;$C$6,MAX(0,12*$C$7*(1+$C$8)^I30-K30),0)</f>
      </c>
      <c r="K30">
        <f>SUMPRODUCT(('Inputs'!$G$76:$G$81=$C$2)*($C$2&lt;&gt;"")*'Inputs'!$D$76:$D$81*(1+'Inputs'!$E$76:$E$81/100)^I30*(ABS('Inputs'!$F$76:$F$81-12*I30)-ABS(('Inputs'!$F$76:$F$81-12*I30)-12)+12)/2)</f>
      </c>
      <c r="L30">
        <f>IF(J30&gt;0,1,0)</f>
      </c>
      <c r="P30">
        <f>IF($C$9&lt;&gt;1,0,P29*(1+((1+$C$14)^(1/12)-1))^12-J29/12*(1+((1+$C$14)^(1/12)-1))*(((1+((1+$C$14)^(1/12)-1))^12-1)/((1+((1+$C$14)^(1/12)-1))-1)))</f>
      </c>
      <c r="Q30">
        <f>IF($C$9&lt;&gt;1,0,IFERROR((((1+($C$14+'Inputs'!$H$123/100))^(1/12)-1)-((1+$C$14)^(1/12)-1))*(P30*(((1+((1+$C$14)^(1/12)-1))^12-1)/((1+((1+$C$14)^(1/12)-1))-1))-J30/12/((1+((1+$C$14)^(1/12)-1))-1)*((1+((1+$C$14)^(1/12)-1))*(((1+((1+$C$14)^(1/12)-1))^12-1)/((1+((1+$C$14)^(1/12)-1))-1))-12)),0))</f>
      </c>
    </row>
    <row r="31" spans="9:17" x14ac:dyDescent="0.25">
      <c r="I31">
        <v>27</v>
      </c>
      <c r="J31">
        <f>IF(I31&lt;$C$6,MAX(0,12*$C$7*(1+$C$8)^I31-K31),0)</f>
      </c>
      <c r="K31">
        <f>SUMPRODUCT(('Inputs'!$G$76:$G$81=$C$2)*($C$2&lt;&gt;"")*'Inputs'!$D$76:$D$81*(1+'Inputs'!$E$76:$E$81/100)^I31*(ABS('Inputs'!$F$76:$F$81-12*I31)-ABS(('Inputs'!$F$76:$F$81-12*I31)-12)+12)/2)</f>
      </c>
      <c r="L31">
        <f>IF(J31&gt;0,1,0)</f>
      </c>
      <c r="P31">
        <f>IF($C$9&lt;&gt;1,0,P30*(1+((1+$C$14)^(1/12)-1))^12-J30/12*(1+((1+$C$14)^(1/12)-1))*(((1+((1+$C$14)^(1/12)-1))^12-1)/((1+((1+$C$14)^(1/12)-1))-1)))</f>
      </c>
      <c r="Q31">
        <f>IF($C$9&lt;&gt;1,0,IFERROR((((1+($C$14+'Inputs'!$H$123/100))^(1/12)-1)-((1+$C$14)^(1/12)-1))*(P31*(((1+((1+$C$14)^(1/12)-1))^12-1)/((1+((1+$C$14)^(1/12)-1))-1))-J31/12/((1+((1+$C$14)^(1/12)-1))-1)*((1+((1+$C$14)^(1/12)-1))*(((1+((1+$C$14)^(1/12)-1))^12-1)/((1+((1+$C$14)^(1/12)-1))-1))-12)),0))</f>
      </c>
    </row>
    <row r="32" spans="9:17" x14ac:dyDescent="0.25">
      <c r="I32">
        <v>28</v>
      </c>
      <c r="J32">
        <f>IF(I32&lt;$C$6,MAX(0,12*$C$7*(1+$C$8)^I32-K32),0)</f>
      </c>
      <c r="K32">
        <f>SUMPRODUCT(('Inputs'!$G$76:$G$81=$C$2)*($C$2&lt;&gt;"")*'Inputs'!$D$76:$D$81*(1+'Inputs'!$E$76:$E$81/100)^I32*(ABS('Inputs'!$F$76:$F$81-12*I32)-ABS(('Inputs'!$F$76:$F$81-12*I32)-12)+12)/2)</f>
      </c>
      <c r="L32">
        <f>IF(J32&gt;0,1,0)</f>
      </c>
      <c r="P32">
        <f>IF($C$9&lt;&gt;1,0,P31*(1+((1+$C$14)^(1/12)-1))^12-J31/12*(1+((1+$C$14)^(1/12)-1))*(((1+((1+$C$14)^(1/12)-1))^12-1)/((1+((1+$C$14)^(1/12)-1))-1)))</f>
      </c>
      <c r="Q32">
        <f>IF($C$9&lt;&gt;1,0,IFERROR((((1+($C$14+'Inputs'!$H$123/100))^(1/12)-1)-((1+$C$14)^(1/12)-1))*(P32*(((1+((1+$C$14)^(1/12)-1))^12-1)/((1+((1+$C$14)^(1/12)-1))-1))-J32/12/((1+((1+$C$14)^(1/12)-1))-1)*((1+((1+$C$14)^(1/12)-1))*(((1+((1+$C$14)^(1/12)-1))^12-1)/((1+((1+$C$14)^(1/12)-1))-1))-12)),0))</f>
      </c>
    </row>
    <row r="33" spans="9:17" x14ac:dyDescent="0.25">
      <c r="I33">
        <v>29</v>
      </c>
      <c r="J33">
        <f>IF(I33&lt;$C$6,MAX(0,12*$C$7*(1+$C$8)^I33-K33),0)</f>
      </c>
      <c r="K33">
        <f>SUMPRODUCT(('Inputs'!$G$76:$G$81=$C$2)*($C$2&lt;&gt;"")*'Inputs'!$D$76:$D$81*(1+'Inputs'!$E$76:$E$81/100)^I33*(ABS('Inputs'!$F$76:$F$81-12*I33)-ABS(('Inputs'!$F$76:$F$81-12*I33)-12)+12)/2)</f>
      </c>
      <c r="L33">
        <f>IF(J33&gt;0,1,0)</f>
      </c>
      <c r="P33">
        <f>IF($C$9&lt;&gt;1,0,P32*(1+((1+$C$14)^(1/12)-1))^12-J32/12*(1+((1+$C$14)^(1/12)-1))*(((1+((1+$C$14)^(1/12)-1))^12-1)/((1+((1+$C$14)^(1/12)-1))-1)))</f>
      </c>
      <c r="Q33">
        <f>IF($C$9&lt;&gt;1,0,IFERROR((((1+($C$14+'Inputs'!$H$123/100))^(1/12)-1)-((1+$C$14)^(1/12)-1))*(P33*(((1+((1+$C$14)^(1/12)-1))^12-1)/((1+((1+$C$14)^(1/12)-1))-1))-J33/12/((1+((1+$C$14)^(1/12)-1))-1)*((1+((1+$C$14)^(1/12)-1))*(((1+((1+$C$14)^(1/12)-1))^12-1)/((1+((1+$C$14)^(1/12)-1))-1))-12)),0))</f>
      </c>
    </row>
    <row r="34" spans="9:17" x14ac:dyDescent="0.25">
      <c r="I34">
        <v>30</v>
      </c>
      <c r="J34">
        <f>IF(I34&lt;$C$6,MAX(0,12*$C$7*(1+$C$8)^I34-K34),0)</f>
      </c>
      <c r="K34">
        <f>SUMPRODUCT(('Inputs'!$G$76:$G$81=$C$2)*($C$2&lt;&gt;"")*'Inputs'!$D$76:$D$81*(1+'Inputs'!$E$76:$E$81/100)^I34*(ABS('Inputs'!$F$76:$F$81-12*I34)-ABS(('Inputs'!$F$76:$F$81-12*I34)-12)+12)/2)</f>
      </c>
      <c r="L34">
        <f>IF(J34&gt;0,1,0)</f>
      </c>
      <c r="P34">
        <f>IF($C$9&lt;&gt;1,0,P33*(1+((1+$C$14)^(1/12)-1))^12-J33/12*(1+((1+$C$14)^(1/12)-1))*(((1+((1+$C$14)^(1/12)-1))^12-1)/((1+((1+$C$14)^(1/12)-1))-1)))</f>
      </c>
      <c r="Q34">
        <f>IF($C$9&lt;&gt;1,0,IFERROR((((1+($C$14+'Inputs'!$H$123/100))^(1/12)-1)-((1+$C$14)^(1/12)-1))*(P34*(((1+((1+$C$14)^(1/12)-1))^12-1)/((1+((1+$C$14)^(1/12)-1))-1))-J34/12/((1+((1+$C$14)^(1/12)-1))-1)*((1+((1+$C$14)^(1/12)-1))*(((1+((1+$C$14)^(1/12)-1))^12-1)/((1+((1+$C$14)^(1/12)-1))-1))-12)),0))</f>
      </c>
    </row>
    <row r="35" spans="9:17" x14ac:dyDescent="0.25">
      <c r="I35">
        <v>31</v>
      </c>
      <c r="J35">
        <f>IF(I35&lt;$C$6,MAX(0,12*$C$7*(1+$C$8)^I35-K35),0)</f>
      </c>
      <c r="K35">
        <f>SUMPRODUCT(('Inputs'!$G$76:$G$81=$C$2)*($C$2&lt;&gt;"")*'Inputs'!$D$76:$D$81*(1+'Inputs'!$E$76:$E$81/100)^I35*(ABS('Inputs'!$F$76:$F$81-12*I35)-ABS(('Inputs'!$F$76:$F$81-12*I35)-12)+12)/2)</f>
      </c>
      <c r="L35">
        <f>IF(J35&gt;0,1,0)</f>
      </c>
      <c r="P35">
        <f>IF($C$9&lt;&gt;1,0,P34*(1+((1+$C$14)^(1/12)-1))^12-J34/12*(1+((1+$C$14)^(1/12)-1))*(((1+((1+$C$14)^(1/12)-1))^12-1)/((1+((1+$C$14)^(1/12)-1))-1)))</f>
      </c>
      <c r="Q35">
        <f>IF($C$9&lt;&gt;1,0,IFERROR((((1+($C$14+'Inputs'!$H$123/100))^(1/12)-1)-((1+$C$14)^(1/12)-1))*(P35*(((1+((1+$C$14)^(1/12)-1))^12-1)/((1+((1+$C$14)^(1/12)-1))-1))-J35/12/((1+((1+$C$14)^(1/12)-1))-1)*((1+((1+$C$14)^(1/12)-1))*(((1+((1+$C$14)^(1/12)-1))^12-1)/((1+((1+$C$14)^(1/12)-1))-1))-12)),0))</f>
      </c>
    </row>
    <row r="36" spans="9:17" x14ac:dyDescent="0.25">
      <c r="I36">
        <v>32</v>
      </c>
      <c r="J36">
        <f>IF(I36&lt;$C$6,MAX(0,12*$C$7*(1+$C$8)^I36-K36),0)</f>
      </c>
      <c r="K36">
        <f>SUMPRODUCT(('Inputs'!$G$76:$G$81=$C$2)*($C$2&lt;&gt;"")*'Inputs'!$D$76:$D$81*(1+'Inputs'!$E$76:$E$81/100)^I36*(ABS('Inputs'!$F$76:$F$81-12*I36)-ABS(('Inputs'!$F$76:$F$81-12*I36)-12)+12)/2)</f>
      </c>
      <c r="L36">
        <f>IF(J36&gt;0,1,0)</f>
      </c>
      <c r="P36">
        <f>IF($C$9&lt;&gt;1,0,P35*(1+((1+$C$14)^(1/12)-1))^12-J35/12*(1+((1+$C$14)^(1/12)-1))*(((1+((1+$C$14)^(1/12)-1))^12-1)/((1+((1+$C$14)^(1/12)-1))-1)))</f>
      </c>
      <c r="Q36">
        <f>IF($C$9&lt;&gt;1,0,IFERROR((((1+($C$14+'Inputs'!$H$123/100))^(1/12)-1)-((1+$C$14)^(1/12)-1))*(P36*(((1+((1+$C$14)^(1/12)-1))^12-1)/((1+((1+$C$14)^(1/12)-1))-1))-J36/12/((1+((1+$C$14)^(1/12)-1))-1)*((1+((1+$C$14)^(1/12)-1))*(((1+((1+$C$14)^(1/12)-1))^12-1)/((1+((1+$C$14)^(1/12)-1))-1))-12)),0))</f>
      </c>
    </row>
    <row r="37" spans="9:17" x14ac:dyDescent="0.25">
      <c r="I37">
        <v>33</v>
      </c>
      <c r="J37">
        <f>IF(I37&lt;$C$6,MAX(0,12*$C$7*(1+$C$8)^I37-K37),0)</f>
      </c>
      <c r="K37">
        <f>SUMPRODUCT(('Inputs'!$G$76:$G$81=$C$2)*($C$2&lt;&gt;"")*'Inputs'!$D$76:$D$81*(1+'Inputs'!$E$76:$E$81/100)^I37*(ABS('Inputs'!$F$76:$F$81-12*I37)-ABS(('Inputs'!$F$76:$F$81-12*I37)-12)+12)/2)</f>
      </c>
      <c r="L37">
        <f>IF(J37&gt;0,1,0)</f>
      </c>
      <c r="P37">
        <f>IF($C$9&lt;&gt;1,0,P36*(1+((1+$C$14)^(1/12)-1))^12-J36/12*(1+((1+$C$14)^(1/12)-1))*(((1+((1+$C$14)^(1/12)-1))^12-1)/((1+((1+$C$14)^(1/12)-1))-1)))</f>
      </c>
      <c r="Q37">
        <f>IF($C$9&lt;&gt;1,0,IFERROR((((1+($C$14+'Inputs'!$H$123/100))^(1/12)-1)-((1+$C$14)^(1/12)-1))*(P37*(((1+((1+$C$14)^(1/12)-1))^12-1)/((1+((1+$C$14)^(1/12)-1))-1))-J37/12/((1+((1+$C$14)^(1/12)-1))-1)*((1+((1+$C$14)^(1/12)-1))*(((1+((1+$C$14)^(1/12)-1))^12-1)/((1+((1+$C$14)^(1/12)-1))-1))-12)),0))</f>
      </c>
    </row>
    <row r="38" spans="9:17" x14ac:dyDescent="0.25">
      <c r="I38">
        <v>34</v>
      </c>
      <c r="J38">
        <f>IF(I38&lt;$C$6,MAX(0,12*$C$7*(1+$C$8)^I38-K38),0)</f>
      </c>
      <c r="K38">
        <f>SUMPRODUCT(('Inputs'!$G$76:$G$81=$C$2)*($C$2&lt;&gt;"")*'Inputs'!$D$76:$D$81*(1+'Inputs'!$E$76:$E$81/100)^I38*(ABS('Inputs'!$F$76:$F$81-12*I38)-ABS(('Inputs'!$F$76:$F$81-12*I38)-12)+12)/2)</f>
      </c>
      <c r="L38">
        <f>IF(J38&gt;0,1,0)</f>
      </c>
      <c r="P38">
        <f>IF($C$9&lt;&gt;1,0,P37*(1+((1+$C$14)^(1/12)-1))^12-J37/12*(1+((1+$C$14)^(1/12)-1))*(((1+((1+$C$14)^(1/12)-1))^12-1)/((1+((1+$C$14)^(1/12)-1))-1)))</f>
      </c>
      <c r="Q38">
        <f>IF($C$9&lt;&gt;1,0,IFERROR((((1+($C$14+'Inputs'!$H$123/100))^(1/12)-1)-((1+$C$14)^(1/12)-1))*(P38*(((1+((1+$C$14)^(1/12)-1))^12-1)/((1+((1+$C$14)^(1/12)-1))-1))-J38/12/((1+((1+$C$14)^(1/12)-1))-1)*((1+((1+$C$14)^(1/12)-1))*(((1+((1+$C$14)^(1/12)-1))^12-1)/((1+((1+$C$14)^(1/12)-1))-1))-12)),0))</f>
      </c>
    </row>
    <row r="39" spans="9:17" x14ac:dyDescent="0.25">
      <c r="I39">
        <v>35</v>
      </c>
      <c r="J39">
        <f>IF(I39&lt;$C$6,MAX(0,12*$C$7*(1+$C$8)^I39-K39),0)</f>
      </c>
      <c r="K39">
        <f>SUMPRODUCT(('Inputs'!$G$76:$G$81=$C$2)*($C$2&lt;&gt;"")*'Inputs'!$D$76:$D$81*(1+'Inputs'!$E$76:$E$81/100)^I39*(ABS('Inputs'!$F$76:$F$81-12*I39)-ABS(('Inputs'!$F$76:$F$81-12*I39)-12)+12)/2)</f>
      </c>
      <c r="L39">
        <f>IF(J39&gt;0,1,0)</f>
      </c>
      <c r="P39">
        <f>IF($C$9&lt;&gt;1,0,P38*(1+((1+$C$14)^(1/12)-1))^12-J38/12*(1+((1+$C$14)^(1/12)-1))*(((1+((1+$C$14)^(1/12)-1))^12-1)/((1+((1+$C$14)^(1/12)-1))-1)))</f>
      </c>
      <c r="Q39">
        <f>IF($C$9&lt;&gt;1,0,IFERROR((((1+($C$14+'Inputs'!$H$123/100))^(1/12)-1)-((1+$C$14)^(1/12)-1))*(P39*(((1+((1+$C$14)^(1/12)-1))^12-1)/((1+((1+$C$14)^(1/12)-1))-1))-J39/12/((1+((1+$C$14)^(1/12)-1))-1)*((1+((1+$C$14)^(1/12)-1))*(((1+((1+$C$14)^(1/12)-1))^12-1)/((1+((1+$C$14)^(1/12)-1))-1))-12)),0))</f>
      </c>
    </row>
    <row r="40" spans="9:17" x14ac:dyDescent="0.25">
      <c r="I40">
        <v>36</v>
      </c>
      <c r="J40">
        <f>IF(I40&lt;$C$6,MAX(0,12*$C$7*(1+$C$8)^I40-K40),0)</f>
      </c>
      <c r="K40">
        <f>SUMPRODUCT(('Inputs'!$G$76:$G$81=$C$2)*($C$2&lt;&gt;"")*'Inputs'!$D$76:$D$81*(1+'Inputs'!$E$76:$E$81/100)^I40*(ABS('Inputs'!$F$76:$F$81-12*I40)-ABS(('Inputs'!$F$76:$F$81-12*I40)-12)+12)/2)</f>
      </c>
      <c r="L40">
        <f>IF(J40&gt;0,1,0)</f>
      </c>
      <c r="P40">
        <f>IF($C$9&lt;&gt;1,0,P39*(1+((1+$C$14)^(1/12)-1))^12-J39/12*(1+((1+$C$14)^(1/12)-1))*(((1+((1+$C$14)^(1/12)-1))^12-1)/((1+((1+$C$14)^(1/12)-1))-1)))</f>
      </c>
      <c r="Q40">
        <f>IF($C$9&lt;&gt;1,0,IFERROR((((1+($C$14+'Inputs'!$H$123/100))^(1/12)-1)-((1+$C$14)^(1/12)-1))*(P40*(((1+((1+$C$14)^(1/12)-1))^12-1)/((1+((1+$C$14)^(1/12)-1))-1))-J40/12/((1+((1+$C$14)^(1/12)-1))-1)*((1+((1+$C$14)^(1/12)-1))*(((1+((1+$C$14)^(1/12)-1))^12-1)/((1+((1+$C$14)^(1/12)-1))-1))-12)),0))</f>
      </c>
    </row>
    <row r="41" spans="9:17" x14ac:dyDescent="0.25">
      <c r="I41">
        <v>37</v>
      </c>
      <c r="J41">
        <f>IF(I41&lt;$C$6,MAX(0,12*$C$7*(1+$C$8)^I41-K41),0)</f>
      </c>
      <c r="K41">
        <f>SUMPRODUCT(('Inputs'!$G$76:$G$81=$C$2)*($C$2&lt;&gt;"")*'Inputs'!$D$76:$D$81*(1+'Inputs'!$E$76:$E$81/100)^I41*(ABS('Inputs'!$F$76:$F$81-12*I41)-ABS(('Inputs'!$F$76:$F$81-12*I41)-12)+12)/2)</f>
      </c>
      <c r="L41">
        <f>IF(J41&gt;0,1,0)</f>
      </c>
      <c r="P41">
        <f>IF($C$9&lt;&gt;1,0,P40*(1+((1+$C$14)^(1/12)-1))^12-J40/12*(1+((1+$C$14)^(1/12)-1))*(((1+((1+$C$14)^(1/12)-1))^12-1)/((1+((1+$C$14)^(1/12)-1))-1)))</f>
      </c>
      <c r="Q41">
        <f>IF($C$9&lt;&gt;1,0,IFERROR((((1+($C$14+'Inputs'!$H$123/100))^(1/12)-1)-((1+$C$14)^(1/12)-1))*(P41*(((1+((1+$C$14)^(1/12)-1))^12-1)/((1+((1+$C$14)^(1/12)-1))-1))-J41/12/((1+((1+$C$14)^(1/12)-1))-1)*((1+((1+$C$14)^(1/12)-1))*(((1+((1+$C$14)^(1/12)-1))^12-1)/((1+((1+$C$14)^(1/12)-1))-1))-12)),0))</f>
      </c>
    </row>
    <row r="42" spans="9:17" x14ac:dyDescent="0.25">
      <c r="I42">
        <v>38</v>
      </c>
      <c r="J42">
        <f>IF(I42&lt;$C$6,MAX(0,12*$C$7*(1+$C$8)^I42-K42),0)</f>
      </c>
      <c r="K42">
        <f>SUMPRODUCT(('Inputs'!$G$76:$G$81=$C$2)*($C$2&lt;&gt;"")*'Inputs'!$D$76:$D$81*(1+'Inputs'!$E$76:$E$81/100)^I42*(ABS('Inputs'!$F$76:$F$81-12*I42)-ABS(('Inputs'!$F$76:$F$81-12*I42)-12)+12)/2)</f>
      </c>
      <c r="L42">
        <f>IF(J42&gt;0,1,0)</f>
      </c>
      <c r="P42">
        <f>IF($C$9&lt;&gt;1,0,P41*(1+((1+$C$14)^(1/12)-1))^12-J41/12*(1+((1+$C$14)^(1/12)-1))*(((1+((1+$C$14)^(1/12)-1))^12-1)/((1+((1+$C$14)^(1/12)-1))-1)))</f>
      </c>
      <c r="Q42">
        <f>IF($C$9&lt;&gt;1,0,IFERROR((((1+($C$14+'Inputs'!$H$123/100))^(1/12)-1)-((1+$C$14)^(1/12)-1))*(P42*(((1+((1+$C$14)^(1/12)-1))^12-1)/((1+((1+$C$14)^(1/12)-1))-1))-J42/12/((1+((1+$C$14)^(1/12)-1))-1)*((1+((1+$C$14)^(1/12)-1))*(((1+((1+$C$14)^(1/12)-1))^12-1)/((1+((1+$C$14)^(1/12)-1))-1))-12)),0))</f>
      </c>
    </row>
    <row r="43" spans="9:17" x14ac:dyDescent="0.25">
      <c r="I43">
        <v>39</v>
      </c>
      <c r="J43">
        <f>IF(I43&lt;$C$6,MAX(0,12*$C$7*(1+$C$8)^I43-K43),0)</f>
      </c>
      <c r="K43">
        <f>SUMPRODUCT(('Inputs'!$G$76:$G$81=$C$2)*($C$2&lt;&gt;"")*'Inputs'!$D$76:$D$81*(1+'Inputs'!$E$76:$E$81/100)^I43*(ABS('Inputs'!$F$76:$F$81-12*I43)-ABS(('Inputs'!$F$76:$F$81-12*I43)-12)+12)/2)</f>
      </c>
      <c r="L43">
        <f>IF(J43&gt;0,1,0)</f>
      </c>
      <c r="P43">
        <f>IF($C$9&lt;&gt;1,0,P42*(1+((1+$C$14)^(1/12)-1))^12-J42/12*(1+((1+$C$14)^(1/12)-1))*(((1+((1+$C$14)^(1/12)-1))^12-1)/((1+((1+$C$14)^(1/12)-1))-1)))</f>
      </c>
      <c r="Q43">
        <f>IF($C$9&lt;&gt;1,0,IFERROR((((1+($C$14+'Inputs'!$H$123/100))^(1/12)-1)-((1+$C$14)^(1/12)-1))*(P43*(((1+((1+$C$14)^(1/12)-1))^12-1)/((1+((1+$C$14)^(1/12)-1))-1))-J43/12/((1+((1+$C$14)^(1/12)-1))-1)*((1+((1+$C$14)^(1/12)-1))*(((1+((1+$C$14)^(1/12)-1))^12-1)/((1+((1+$C$14)^(1/12)-1))-1))-12)),0))</f>
      </c>
    </row>
    <row r="44" spans="9:17" x14ac:dyDescent="0.25">
      <c r="I44">
        <v>40</v>
      </c>
      <c r="J44">
        <f>IF(I44&lt;$C$6,MAX(0,12*$C$7*(1+$C$8)^I44-K44),0)</f>
      </c>
      <c r="K44">
        <f>SUMPRODUCT(('Inputs'!$G$76:$G$81=$C$2)*($C$2&lt;&gt;"")*'Inputs'!$D$76:$D$81*(1+'Inputs'!$E$76:$E$81/100)^I44*(ABS('Inputs'!$F$76:$F$81-12*I44)-ABS(('Inputs'!$F$76:$F$81-12*I44)-12)+12)/2)</f>
      </c>
      <c r="L44">
        <f>IF(J44&gt;0,1,0)</f>
      </c>
      <c r="P44">
        <f>IF($C$9&lt;&gt;1,0,P43*(1+((1+$C$14)^(1/12)-1))^12-J43/12*(1+((1+$C$14)^(1/12)-1))*(((1+((1+$C$14)^(1/12)-1))^12-1)/((1+((1+$C$14)^(1/12)-1))-1)))</f>
      </c>
      <c r="Q44">
        <f>IF($C$9&lt;&gt;1,0,IFERROR((((1+($C$14+'Inputs'!$H$123/100))^(1/12)-1)-((1+$C$14)^(1/12)-1))*(P44*(((1+((1+$C$14)^(1/12)-1))^12-1)/((1+((1+$C$14)^(1/12)-1))-1))-J44/12/((1+((1+$C$14)^(1/12)-1))-1)*((1+((1+$C$14)^(1/12)-1))*(((1+((1+$C$14)^(1/12)-1))^12-1)/((1+((1+$C$14)^(1/12)-1))-1))-12)),0))</f>
      </c>
    </row>
    <row r="45" spans="9:17" x14ac:dyDescent="0.25">
      <c r="I45">
        <v>41</v>
      </c>
      <c r="J45">
        <f>IF(I45&lt;$C$6,MAX(0,12*$C$7*(1+$C$8)^I45-K45),0)</f>
      </c>
      <c r="K45">
        <f>SUMPRODUCT(('Inputs'!$G$76:$G$81=$C$2)*($C$2&lt;&gt;"")*'Inputs'!$D$76:$D$81*(1+'Inputs'!$E$76:$E$81/100)^I45*(ABS('Inputs'!$F$76:$F$81-12*I45)-ABS(('Inputs'!$F$76:$F$81-12*I45)-12)+12)/2)</f>
      </c>
      <c r="L45">
        <f>IF(J45&gt;0,1,0)</f>
      </c>
      <c r="P45">
        <f>IF($C$9&lt;&gt;1,0,P44*(1+((1+$C$14)^(1/12)-1))^12-J44/12*(1+((1+$C$14)^(1/12)-1))*(((1+((1+$C$14)^(1/12)-1))^12-1)/((1+((1+$C$14)^(1/12)-1))-1)))</f>
      </c>
      <c r="Q45">
        <f>IF($C$9&lt;&gt;1,0,IFERROR((((1+($C$14+'Inputs'!$H$123/100))^(1/12)-1)-((1+$C$14)^(1/12)-1))*(P45*(((1+((1+$C$14)^(1/12)-1))^12-1)/((1+((1+$C$14)^(1/12)-1))-1))-J45/12/((1+((1+$C$14)^(1/12)-1))-1)*((1+((1+$C$14)^(1/12)-1))*(((1+((1+$C$14)^(1/12)-1))^12-1)/((1+((1+$C$14)^(1/12)-1))-1))-12)),0))</f>
      </c>
    </row>
    <row r="46" spans="9:17" x14ac:dyDescent="0.25">
      <c r="I46">
        <v>42</v>
      </c>
      <c r="J46">
        <f>IF(I46&lt;$C$6,MAX(0,12*$C$7*(1+$C$8)^I46-K46),0)</f>
      </c>
      <c r="K46">
        <f>SUMPRODUCT(('Inputs'!$G$76:$G$81=$C$2)*($C$2&lt;&gt;"")*'Inputs'!$D$76:$D$81*(1+'Inputs'!$E$76:$E$81/100)^I46*(ABS('Inputs'!$F$76:$F$81-12*I46)-ABS(('Inputs'!$F$76:$F$81-12*I46)-12)+12)/2)</f>
      </c>
      <c r="L46">
        <f>IF(J46&gt;0,1,0)</f>
      </c>
      <c r="P46">
        <f>IF($C$9&lt;&gt;1,0,P45*(1+((1+$C$14)^(1/12)-1))^12-J45/12*(1+((1+$C$14)^(1/12)-1))*(((1+((1+$C$14)^(1/12)-1))^12-1)/((1+((1+$C$14)^(1/12)-1))-1)))</f>
      </c>
      <c r="Q46">
        <f>IF($C$9&lt;&gt;1,0,IFERROR((((1+($C$14+'Inputs'!$H$123/100))^(1/12)-1)-((1+$C$14)^(1/12)-1))*(P46*(((1+((1+$C$14)^(1/12)-1))^12-1)/((1+((1+$C$14)^(1/12)-1))-1))-J46/12/((1+((1+$C$14)^(1/12)-1))-1)*((1+((1+$C$14)^(1/12)-1))*(((1+((1+$C$14)^(1/12)-1))^12-1)/((1+((1+$C$14)^(1/12)-1))-1))-12)),0))</f>
      </c>
    </row>
    <row r="47" spans="9:17" x14ac:dyDescent="0.25">
      <c r="I47">
        <v>43</v>
      </c>
      <c r="J47">
        <f>IF(I47&lt;$C$6,MAX(0,12*$C$7*(1+$C$8)^I47-K47),0)</f>
      </c>
      <c r="K47">
        <f>SUMPRODUCT(('Inputs'!$G$76:$G$81=$C$2)*($C$2&lt;&gt;"")*'Inputs'!$D$76:$D$81*(1+'Inputs'!$E$76:$E$81/100)^I47*(ABS('Inputs'!$F$76:$F$81-12*I47)-ABS(('Inputs'!$F$76:$F$81-12*I47)-12)+12)/2)</f>
      </c>
      <c r="L47">
        <f>IF(J47&gt;0,1,0)</f>
      </c>
      <c r="P47">
        <f>IF($C$9&lt;&gt;1,0,P46*(1+((1+$C$14)^(1/12)-1))^12-J46/12*(1+((1+$C$14)^(1/12)-1))*(((1+((1+$C$14)^(1/12)-1))^12-1)/((1+((1+$C$14)^(1/12)-1))-1)))</f>
      </c>
      <c r="Q47">
        <f>IF($C$9&lt;&gt;1,0,IFERROR((((1+($C$14+'Inputs'!$H$123/100))^(1/12)-1)-((1+$C$14)^(1/12)-1))*(P47*(((1+((1+$C$14)^(1/12)-1))^12-1)/((1+((1+$C$14)^(1/12)-1))-1))-J47/12/((1+((1+$C$14)^(1/12)-1))-1)*((1+((1+$C$14)^(1/12)-1))*(((1+((1+$C$14)^(1/12)-1))^12-1)/((1+((1+$C$14)^(1/12)-1))-1))-12)),0))</f>
      </c>
    </row>
    <row r="48" spans="9:17" x14ac:dyDescent="0.25">
      <c r="I48">
        <v>44</v>
      </c>
      <c r="J48">
        <f>IF(I48&lt;$C$6,MAX(0,12*$C$7*(1+$C$8)^I48-K48),0)</f>
      </c>
      <c r="K48">
        <f>SUMPRODUCT(('Inputs'!$G$76:$G$81=$C$2)*($C$2&lt;&gt;"")*'Inputs'!$D$76:$D$81*(1+'Inputs'!$E$76:$E$81/100)^I48*(ABS('Inputs'!$F$76:$F$81-12*I48)-ABS(('Inputs'!$F$76:$F$81-12*I48)-12)+12)/2)</f>
      </c>
      <c r="L48">
        <f>IF(J48&gt;0,1,0)</f>
      </c>
      <c r="P48">
        <f>IF($C$9&lt;&gt;1,0,P47*(1+((1+$C$14)^(1/12)-1))^12-J47/12*(1+((1+$C$14)^(1/12)-1))*(((1+((1+$C$14)^(1/12)-1))^12-1)/((1+((1+$C$14)^(1/12)-1))-1)))</f>
      </c>
      <c r="Q48">
        <f>IF($C$9&lt;&gt;1,0,IFERROR((((1+($C$14+'Inputs'!$H$123/100))^(1/12)-1)-((1+$C$14)^(1/12)-1))*(P48*(((1+((1+$C$14)^(1/12)-1))^12-1)/((1+((1+$C$14)^(1/12)-1))-1))-J48/12/((1+((1+$C$14)^(1/12)-1))-1)*((1+((1+$C$14)^(1/12)-1))*(((1+((1+$C$14)^(1/12)-1))^12-1)/((1+((1+$C$14)^(1/12)-1))-1))-12)),0))</f>
      </c>
    </row>
    <row r="49" spans="9:17" x14ac:dyDescent="0.25">
      <c r="I49">
        <v>45</v>
      </c>
      <c r="J49">
        <f>IF(I49&lt;$C$6,MAX(0,12*$C$7*(1+$C$8)^I49-K49),0)</f>
      </c>
      <c r="K49">
        <f>SUMPRODUCT(('Inputs'!$G$76:$G$81=$C$2)*($C$2&lt;&gt;"")*'Inputs'!$D$76:$D$81*(1+'Inputs'!$E$76:$E$81/100)^I49*(ABS('Inputs'!$F$76:$F$81-12*I49)-ABS(('Inputs'!$F$76:$F$81-12*I49)-12)+12)/2)</f>
      </c>
      <c r="L49">
        <f>IF(J49&gt;0,1,0)</f>
      </c>
      <c r="P49">
        <f>IF($C$9&lt;&gt;1,0,P48*(1+((1+$C$14)^(1/12)-1))^12-J48/12*(1+((1+$C$14)^(1/12)-1))*(((1+((1+$C$14)^(1/12)-1))^12-1)/((1+((1+$C$14)^(1/12)-1))-1)))</f>
      </c>
      <c r="Q49">
        <f>IF($C$9&lt;&gt;1,0,IFERROR((((1+($C$14+'Inputs'!$H$123/100))^(1/12)-1)-((1+$C$14)^(1/12)-1))*(P49*(((1+((1+$C$14)^(1/12)-1))^12-1)/((1+((1+$C$14)^(1/12)-1))-1))-J49/12/((1+((1+$C$14)^(1/12)-1))-1)*((1+((1+$C$14)^(1/12)-1))*(((1+((1+$C$14)^(1/12)-1))^12-1)/((1+((1+$C$14)^(1/12)-1))-1))-12)),0))</f>
      </c>
    </row>
    <row r="50" spans="9:17" x14ac:dyDescent="0.25">
      <c r="I50">
        <v>46</v>
      </c>
      <c r="J50">
        <f>IF(I50&lt;$C$6,MAX(0,12*$C$7*(1+$C$8)^I50-K50),0)</f>
      </c>
      <c r="K50">
        <f>SUMPRODUCT(('Inputs'!$G$76:$G$81=$C$2)*($C$2&lt;&gt;"")*'Inputs'!$D$76:$D$81*(1+'Inputs'!$E$76:$E$81/100)^I50*(ABS('Inputs'!$F$76:$F$81-12*I50)-ABS(('Inputs'!$F$76:$F$81-12*I50)-12)+12)/2)</f>
      </c>
      <c r="L50">
        <f>IF(J50&gt;0,1,0)</f>
      </c>
      <c r="P50">
        <f>IF($C$9&lt;&gt;1,0,P49*(1+((1+$C$14)^(1/12)-1))^12-J49/12*(1+((1+$C$14)^(1/12)-1))*(((1+((1+$C$14)^(1/12)-1))^12-1)/((1+((1+$C$14)^(1/12)-1))-1)))</f>
      </c>
      <c r="Q50">
        <f>IF($C$9&lt;&gt;1,0,IFERROR((((1+($C$14+'Inputs'!$H$123/100))^(1/12)-1)-((1+$C$14)^(1/12)-1))*(P50*(((1+((1+$C$14)^(1/12)-1))^12-1)/((1+((1+$C$14)^(1/12)-1))-1))-J50/12/((1+((1+$C$14)^(1/12)-1))-1)*((1+((1+$C$14)^(1/12)-1))*(((1+((1+$C$14)^(1/12)-1))^12-1)/((1+((1+$C$14)^(1/12)-1))-1))-12)),0))</f>
      </c>
    </row>
    <row r="51" spans="9:17" x14ac:dyDescent="0.25">
      <c r="I51">
        <v>47</v>
      </c>
      <c r="J51">
        <f>IF(I51&lt;$C$6,MAX(0,12*$C$7*(1+$C$8)^I51-K51),0)</f>
      </c>
      <c r="K51">
        <f>SUMPRODUCT(('Inputs'!$G$76:$G$81=$C$2)*($C$2&lt;&gt;"")*'Inputs'!$D$76:$D$81*(1+'Inputs'!$E$76:$E$81/100)^I51*(ABS('Inputs'!$F$76:$F$81-12*I51)-ABS(('Inputs'!$F$76:$F$81-12*I51)-12)+12)/2)</f>
      </c>
      <c r="L51">
        <f>IF(J51&gt;0,1,0)</f>
      </c>
      <c r="P51">
        <f>IF($C$9&lt;&gt;1,0,P50*(1+((1+$C$14)^(1/12)-1))^12-J50/12*(1+((1+$C$14)^(1/12)-1))*(((1+((1+$C$14)^(1/12)-1))^12-1)/((1+((1+$C$14)^(1/12)-1))-1)))</f>
      </c>
      <c r="Q51">
        <f>IF($C$9&lt;&gt;1,0,IFERROR((((1+($C$14+'Inputs'!$H$123/100))^(1/12)-1)-((1+$C$14)^(1/12)-1))*(P51*(((1+((1+$C$14)^(1/12)-1))^12-1)/((1+((1+$C$14)^(1/12)-1))-1))-J51/12/((1+((1+$C$14)^(1/12)-1))-1)*((1+((1+$C$14)^(1/12)-1))*(((1+((1+$C$14)^(1/12)-1))^12-1)/((1+((1+$C$14)^(1/12)-1))-1))-12)),0))</f>
      </c>
    </row>
    <row r="52" spans="9:17" x14ac:dyDescent="0.25">
      <c r="I52">
        <v>48</v>
      </c>
      <c r="J52">
        <f>IF(I52&lt;$C$6,MAX(0,12*$C$7*(1+$C$8)^I52-K52),0)</f>
      </c>
      <c r="K52">
        <f>SUMPRODUCT(('Inputs'!$G$76:$G$81=$C$2)*($C$2&lt;&gt;"")*'Inputs'!$D$76:$D$81*(1+'Inputs'!$E$76:$E$81/100)^I52*(ABS('Inputs'!$F$76:$F$81-12*I52)-ABS(('Inputs'!$F$76:$F$81-12*I52)-12)+12)/2)</f>
      </c>
      <c r="L52">
        <f>IF(J52&gt;0,1,0)</f>
      </c>
      <c r="P52">
        <f>IF($C$9&lt;&gt;1,0,P51*(1+((1+$C$14)^(1/12)-1))^12-J51/12*(1+((1+$C$14)^(1/12)-1))*(((1+((1+$C$14)^(1/12)-1))^12-1)/((1+((1+$C$14)^(1/12)-1))-1)))</f>
      </c>
      <c r="Q52">
        <f>IF($C$9&lt;&gt;1,0,IFERROR((((1+($C$14+'Inputs'!$H$123/100))^(1/12)-1)-((1+$C$14)^(1/12)-1))*(P52*(((1+((1+$C$14)^(1/12)-1))^12-1)/((1+((1+$C$14)^(1/12)-1))-1))-J52/12/((1+((1+$C$14)^(1/12)-1))-1)*((1+((1+$C$14)^(1/12)-1))*(((1+((1+$C$14)^(1/12)-1))^12-1)/((1+((1+$C$14)^(1/12)-1))-1))-12)),0))</f>
      </c>
    </row>
    <row r="53" spans="9:17" x14ac:dyDescent="0.25">
      <c r="I53">
        <v>49</v>
      </c>
      <c r="J53">
        <f>IF(I53&lt;$C$6,MAX(0,12*$C$7*(1+$C$8)^I53-K53),0)</f>
      </c>
      <c r="K53">
        <f>SUMPRODUCT(('Inputs'!$G$76:$G$81=$C$2)*($C$2&lt;&gt;"")*'Inputs'!$D$76:$D$81*(1+'Inputs'!$E$76:$E$81/100)^I53*(ABS('Inputs'!$F$76:$F$81-12*I53)-ABS(('Inputs'!$F$76:$F$81-12*I53)-12)+12)/2)</f>
      </c>
      <c r="L53">
        <f>IF(J53&gt;0,1,0)</f>
      </c>
      <c r="P53">
        <f>IF($C$9&lt;&gt;1,0,P52*(1+((1+$C$14)^(1/12)-1))^12-J52/12*(1+((1+$C$14)^(1/12)-1))*(((1+((1+$C$14)^(1/12)-1))^12-1)/((1+((1+$C$14)^(1/12)-1))-1)))</f>
      </c>
      <c r="Q53">
        <f>IF($C$9&lt;&gt;1,0,IFERROR((((1+($C$14+'Inputs'!$H$123/100))^(1/12)-1)-((1+$C$14)^(1/12)-1))*(P53*(((1+((1+$C$14)^(1/12)-1))^12-1)/((1+((1+$C$14)^(1/12)-1))-1))-J53/12/((1+((1+$C$14)^(1/12)-1))-1)*((1+((1+$C$14)^(1/12)-1))*(((1+((1+$C$14)^(1/12)-1))^12-1)/((1+((1+$C$14)^(1/12)-1))-1))-12)),0))</f>
      </c>
    </row>
    <row r="58" spans="2:3" x14ac:dyDescent="0.25">
      <c r="B58" t="s">
        <v>118</v>
      </c>
      <c r="C58">
        <f>IF('Inputs'!$B$101="","",'Inputs'!$B$101)</f>
      </c>
    </row>
    <row r="59" spans="2:17" x14ac:dyDescent="0.25">
      <c r="B59" t="s">
        <v>120</v>
      </c>
      <c r="C59">
        <f>N('Inputs'!$D$101)</f>
      </c>
      <c r="I59" t="s">
        <v>398</v>
      </c>
      <c r="J59" t="s">
        <v>399</v>
      </c>
      <c r="K59" t="s">
        <v>400</v>
      </c>
      <c r="L59" t="s">
        <v>401</v>
      </c>
      <c r="P59" t="s">
        <v>402</v>
      </c>
      <c r="Q59" t="s">
        <v>403</v>
      </c>
    </row>
    <row r="60" spans="2:17" x14ac:dyDescent="0.25">
      <c r="B60" t="s">
        <v>404</v>
      </c>
      <c r="C60">
        <f>IF($C$59&gt;=75,'Inputs'!$H$131,IF($C$59&gt;=65,'Inputs'!$H$130,'Inputs'!$H$124))</f>
      </c>
      <c r="I60">
        <v>0</v>
      </c>
      <c r="J60">
        <f>IF(I60&lt;$C$62,MAX(0,12*$C$63*(1+$C$64)^I60-K60),0)</f>
      </c>
      <c r="K60">
        <f>SUMPRODUCT(('Inputs'!$G$76:$G$81=$C$58)*($C$58&lt;&gt;"")*'Inputs'!$D$76:$D$81*(1+'Inputs'!$E$76:$E$81/100)^I60*(ABS('Inputs'!$F$76:$F$81-12*I60)-ABS(('Inputs'!$F$76:$F$81-12*I60)-12)+12)/2)</f>
      </c>
      <c r="L60">
        <f>IF(J60&gt;0,1,0)</f>
      </c>
      <c r="P60">
        <f>IF($C$65&lt;&gt;1,0,IF($C$70=0,SUM($J$60:$J$109),(1-(1+$C$70)^-1)/(1-(1+$C$70)^(-1/12))/12*SUMPRODUCT($J$60:$J$109,(1+$C$70)^(-$I$60:$I$109))))</f>
      </c>
      <c r="Q60">
        <f>IF($C$65&lt;&gt;1,0,IFERROR((((1+($C$70+'Inputs'!$H$123/100))^(1/12)-1)-((1+$C$70)^(1/12)-1))*(P60*(((1+((1+$C$70)^(1/12)-1))^12-1)/((1+((1+$C$70)^(1/12)-1))-1))-J60/12/((1+((1+$C$70)^(1/12)-1))-1)*((1+((1+$C$70)^(1/12)-1))*(((1+((1+$C$70)^(1/12)-1))^12-1)/((1+((1+$C$70)^(1/12)-1))-1))-12)),0))</f>
      </c>
    </row>
    <row r="61" spans="2:17" x14ac:dyDescent="0.25">
      <c r="B61" t="s">
        <v>405</v>
      </c>
      <c r="C61">
        <f>N('Inputs'!$I$101)</f>
      </c>
      <c r="I61">
        <v>1</v>
      </c>
      <c r="J61">
        <f>IF(I61&lt;$C$62,MAX(0,12*$C$63*(1+$C$64)^I61-K61),0)</f>
      </c>
      <c r="K61">
        <f>SUMPRODUCT(('Inputs'!$G$76:$G$81=$C$58)*($C$58&lt;&gt;"")*'Inputs'!$D$76:$D$81*(1+'Inputs'!$E$76:$E$81/100)^I61*(ABS('Inputs'!$F$76:$F$81-12*I61)-ABS(('Inputs'!$F$76:$F$81-12*I61)-12)+12)/2)</f>
      </c>
      <c r="L61">
        <f>IF(J61&gt;0,1,0)</f>
      </c>
      <c r="P61">
        <f>IF($C$65&lt;&gt;1,0,P60*(1+((1+$C$70)^(1/12)-1))^12-J60/12*(1+((1+$C$70)^(1/12)-1))*(((1+((1+$C$70)^(1/12)-1))^12-1)/((1+((1+$C$70)^(1/12)-1))-1)))</f>
      </c>
      <c r="Q61">
        <f>IF($C$65&lt;&gt;1,0,IFERROR((((1+($C$70+'Inputs'!$H$123/100))^(1/12)-1)-((1+$C$70)^(1/12)-1))*(P61*(((1+((1+$C$70)^(1/12)-1))^12-1)/((1+((1+$C$70)^(1/12)-1))-1))-J61/12/((1+((1+$C$70)^(1/12)-1))-1)*((1+((1+$C$70)^(1/12)-1))*(((1+((1+$C$70)^(1/12)-1))^12-1)/((1+((1+$C$70)^(1/12)-1))-1))-12)),0))</f>
      </c>
    </row>
    <row r="62" spans="2:17" x14ac:dyDescent="0.25">
      <c r="B62" t="s">
        <v>406</v>
      </c>
      <c r="C62">
        <f>IF($C$58="",0,N('Inputs'!$F$101))</f>
      </c>
      <c r="I62">
        <v>2</v>
      </c>
      <c r="J62">
        <f>IF(I62&lt;$C$62,MAX(0,12*$C$63*(1+$C$64)^I62-K62),0)</f>
      </c>
      <c r="K62">
        <f>SUMPRODUCT(('Inputs'!$G$76:$G$81=$C$58)*($C$58&lt;&gt;"")*'Inputs'!$D$76:$D$81*(1+'Inputs'!$E$76:$E$81/100)^I62*(ABS('Inputs'!$F$76:$F$81-12*I62)-ABS(('Inputs'!$F$76:$F$81-12*I62)-12)+12)/2)</f>
      </c>
      <c r="L62">
        <f>IF(J62&gt;0,1,0)</f>
      </c>
      <c r="P62">
        <f>IF($C$65&lt;&gt;1,0,P61*(1+((1+$C$70)^(1/12)-1))^12-J61/12*(1+((1+$C$70)^(1/12)-1))*(((1+((1+$C$70)^(1/12)-1))^12-1)/((1+((1+$C$70)^(1/12)-1))-1)))</f>
      </c>
      <c r="Q62">
        <f>IF($C$65&lt;&gt;1,0,IFERROR((((1+($C$70+'Inputs'!$H$123/100))^(1/12)-1)-((1+$C$70)^(1/12)-1))*(P62*(((1+((1+$C$70)^(1/12)-1))^12-1)/((1+((1+$C$70)^(1/12)-1))-1))-J62/12/((1+((1+$C$70)^(1/12)-1))-1)*((1+((1+$C$70)^(1/12)-1))*(((1+((1+$C$70)^(1/12)-1))^12-1)/((1+((1+$C$70)^(1/12)-1))-1))-12)),0))</f>
      </c>
    </row>
    <row r="63" spans="2:17" x14ac:dyDescent="0.25">
      <c r="B63" t="s">
        <v>407</v>
      </c>
      <c r="C63">
        <f>N('Inputs'!$E$101)</f>
      </c>
      <c r="I63">
        <v>3</v>
      </c>
      <c r="J63">
        <f>IF(I63&lt;$C$62,MAX(0,12*$C$63*(1+$C$64)^I63-K63),0)</f>
      </c>
      <c r="K63">
        <f>SUMPRODUCT(('Inputs'!$G$76:$G$81=$C$58)*($C$58&lt;&gt;"")*'Inputs'!$D$76:$D$81*(1+'Inputs'!$E$76:$E$81/100)^I63*(ABS('Inputs'!$F$76:$F$81-12*I63)-ABS(('Inputs'!$F$76:$F$81-12*I63)-12)+12)/2)</f>
      </c>
      <c r="L63">
        <f>IF(J63&gt;0,1,0)</f>
      </c>
      <c r="P63">
        <f>IF($C$65&lt;&gt;1,0,P62*(1+((1+$C$70)^(1/12)-1))^12-J62/12*(1+((1+$C$70)^(1/12)-1))*(((1+((1+$C$70)^(1/12)-1))^12-1)/((1+((1+$C$70)^(1/12)-1))-1)))</f>
      </c>
      <c r="Q63">
        <f>IF($C$65&lt;&gt;1,0,IFERROR((((1+($C$70+'Inputs'!$H$123/100))^(1/12)-1)-((1+$C$70)^(1/12)-1))*(P63*(((1+((1+$C$70)^(1/12)-1))^12-1)/((1+((1+$C$70)^(1/12)-1))-1))-J63/12/((1+((1+$C$70)^(1/12)-1))-1)*((1+((1+$C$70)^(1/12)-1))*(((1+((1+$C$70)^(1/12)-1))^12-1)/((1+((1+$C$70)^(1/12)-1))-1))-12)),0))</f>
      </c>
    </row>
    <row r="64" spans="2:17" x14ac:dyDescent="0.25">
      <c r="B64" t="s">
        <v>408</v>
      </c>
      <c r="C64">
        <f>IF('Inputs'!$G$101="",'Inputs'!$H$129/100,'Inputs'!$G$101/100)</f>
      </c>
      <c r="I64">
        <v>4</v>
      </c>
      <c r="J64">
        <f>IF(I64&lt;$C$62,MAX(0,12*$C$63*(1+$C$64)^I64-K64),0)</f>
      </c>
      <c r="K64">
        <f>SUMPRODUCT(('Inputs'!$G$76:$G$81=$C$58)*($C$58&lt;&gt;"")*'Inputs'!$D$76:$D$81*(1+'Inputs'!$E$76:$E$81/100)^I64*(ABS('Inputs'!$F$76:$F$81-12*I64)-ABS(('Inputs'!$F$76:$F$81-12*I64)-12)+12)/2)</f>
      </c>
      <c r="L64">
        <f>IF(J64&gt;0,1,0)</f>
      </c>
      <c r="P64">
        <f>IF($C$65&lt;&gt;1,0,P63*(1+((1+$C$70)^(1/12)-1))^12-J63/12*(1+((1+$C$70)^(1/12)-1))*(((1+((1+$C$70)^(1/12)-1))^12-1)/((1+((1+$C$70)^(1/12)-1))-1)))</f>
      </c>
      <c r="Q64">
        <f>IF($C$65&lt;&gt;1,0,IFERROR((((1+($C$70+'Inputs'!$H$123/100))^(1/12)-1)-((1+$C$70)^(1/12)-1))*(P64*(((1+((1+$C$70)^(1/12)-1))^12-1)/((1+((1+$C$70)^(1/12)-1))-1))-J64/12/((1+((1+$C$70)^(1/12)-1))-1)*((1+((1+$C$70)^(1/12)-1))*(((1+((1+$C$70)^(1/12)-1))^12-1)/((1+((1+$C$70)^(1/12)-1))-1))-12)),0))</f>
      </c>
    </row>
    <row r="65" spans="2:17" x14ac:dyDescent="0.25">
      <c r="B65" t="s">
        <v>409</v>
      </c>
      <c r="C65">
        <f>IF('Inputs'!$H$101="Yes",1,0)</f>
      </c>
      <c r="I65">
        <v>5</v>
      </c>
      <c r="J65">
        <f>IF(I65&lt;$C$62,MAX(0,12*$C$63*(1+$C$64)^I65-K65),0)</f>
      </c>
      <c r="K65">
        <f>SUMPRODUCT(('Inputs'!$G$76:$G$81=$C$58)*($C$58&lt;&gt;"")*'Inputs'!$D$76:$D$81*(1+'Inputs'!$E$76:$E$81/100)^I65*(ABS('Inputs'!$F$76:$F$81-12*I65)-ABS(('Inputs'!$F$76:$F$81-12*I65)-12)+12)/2)</f>
      </c>
      <c r="L65">
        <f>IF(J65&gt;0,1,0)</f>
      </c>
      <c r="P65">
        <f>IF($C$65&lt;&gt;1,0,P64*(1+((1+$C$70)^(1/12)-1))^12-J64/12*(1+((1+$C$70)^(1/12)-1))*(((1+((1+$C$70)^(1/12)-1))^12-1)/((1+((1+$C$70)^(1/12)-1))-1)))</f>
      </c>
      <c r="Q65">
        <f>IF($C$65&lt;&gt;1,0,IFERROR((((1+($C$70+'Inputs'!$H$123/100))^(1/12)-1)-((1+$C$70)^(1/12)-1))*(P65*(((1+((1+$C$70)^(1/12)-1))^12-1)/((1+((1+$C$70)^(1/12)-1))-1))-J65/12/((1+((1+$C$70)^(1/12)-1))-1)*((1+((1+$C$70)^(1/12)-1))*(((1+((1+$C$70)^(1/12)-1))^12-1)/((1+((1+$C$70)^(1/12)-1))-1))-12)),0))</f>
      </c>
    </row>
    <row r="66" spans="2:17" x14ac:dyDescent="0.25">
      <c r="B66" t="s">
        <v>410</v>
      </c>
      <c r="C66">
        <f>IF($C$58="",0,N('Inputs'!$J$101))</f>
      </c>
      <c r="I66">
        <v>6</v>
      </c>
      <c r="J66">
        <f>IF(I66&lt;$C$62,MAX(0,12*$C$63*(1+$C$64)^I66-K66),0)</f>
      </c>
      <c r="K66">
        <f>SUMPRODUCT(('Inputs'!$G$76:$G$81=$C$58)*($C$58&lt;&gt;"")*'Inputs'!$D$76:$D$81*(1+'Inputs'!$E$76:$E$81/100)^I66*(ABS('Inputs'!$F$76:$F$81-12*I66)-ABS(('Inputs'!$F$76:$F$81-12*I66)-12)+12)/2)</f>
      </c>
      <c r="L66">
        <f>IF(J66&gt;0,1,0)</f>
      </c>
      <c r="P66">
        <f>IF($C$65&lt;&gt;1,0,P65*(1+((1+$C$70)^(1/12)-1))^12-J65/12*(1+((1+$C$70)^(1/12)-1))*(((1+((1+$C$70)^(1/12)-1))^12-1)/((1+((1+$C$70)^(1/12)-1))-1)))</f>
      </c>
      <c r="Q66">
        <f>IF($C$65&lt;&gt;1,0,IFERROR((((1+($C$70+'Inputs'!$H$123/100))^(1/12)-1)-((1+$C$70)^(1/12)-1))*(P66*(((1+((1+$C$70)^(1/12)-1))^12-1)/((1+((1+$C$70)^(1/12)-1))-1))-J66/12/((1+((1+$C$70)^(1/12)-1))-1)*((1+((1+$C$70)^(1/12)-1))*(((1+((1+$C$70)^(1/12)-1))^12-1)/((1+((1+$C$70)^(1/12)-1))-1))-12)),0))</f>
      </c>
    </row>
    <row r="67" spans="2:17" x14ac:dyDescent="0.25">
      <c r="B67" t="s">
        <v>411</v>
      </c>
      <c r="C67">
        <f>ROUND(Q60,2)</f>
      </c>
      <c r="I67">
        <v>7</v>
      </c>
      <c r="J67">
        <f>IF(I67&lt;$C$62,MAX(0,12*$C$63*(1+$C$64)^I67-K67),0)</f>
      </c>
      <c r="K67">
        <f>SUMPRODUCT(('Inputs'!$G$76:$G$81=$C$58)*($C$58&lt;&gt;"")*'Inputs'!$D$76:$D$81*(1+'Inputs'!$E$76:$E$81/100)^I67*(ABS('Inputs'!$F$76:$F$81-12*I67)-ABS(('Inputs'!$F$76:$F$81-12*I67)-12)+12)/2)</f>
      </c>
      <c r="L67">
        <f>IF(J67&gt;0,1,0)</f>
      </c>
      <c r="P67">
        <f>IF($C$65&lt;&gt;1,0,P66*(1+((1+$C$70)^(1/12)-1))^12-J66/12*(1+((1+$C$70)^(1/12)-1))*(((1+((1+$C$70)^(1/12)-1))^12-1)/((1+((1+$C$70)^(1/12)-1))-1)))</f>
      </c>
      <c r="Q67">
        <f>IF($C$65&lt;&gt;1,0,IFERROR((((1+($C$70+'Inputs'!$H$123/100))^(1/12)-1)-((1+$C$70)^(1/12)-1))*(P67*(((1+((1+$C$70)^(1/12)-1))^12-1)/((1+((1+$C$70)^(1/12)-1))-1))-J67/12/((1+((1+$C$70)^(1/12)-1))-1)*((1+((1+$C$70)^(1/12)-1))*(((1+((1+$C$70)^(1/12)-1))^12-1)/((1+((1+$C$70)^(1/12)-1))-1))-12)),0))</f>
      </c>
    </row>
    <row r="68" spans="2:17" x14ac:dyDescent="0.25">
      <c r="B68" t="s">
        <v>412</v>
      </c>
      <c r="C68">
        <f>ROUND(SUM($Q$60:$Q$109),2)</f>
      </c>
      <c r="I68">
        <v>8</v>
      </c>
      <c r="J68">
        <f>IF(I68&lt;$C$62,MAX(0,12*$C$63*(1+$C$64)^I68-K68),0)</f>
      </c>
      <c r="K68">
        <f>SUMPRODUCT(('Inputs'!$G$76:$G$81=$C$58)*($C$58&lt;&gt;"")*'Inputs'!$D$76:$D$81*(1+'Inputs'!$E$76:$E$81/100)^I68*(ABS('Inputs'!$F$76:$F$81-12*I68)-ABS(('Inputs'!$F$76:$F$81-12*I68)-12)+12)/2)</f>
      </c>
      <c r="L68">
        <f>IF(J68&gt;0,1,0)</f>
      </c>
      <c r="P68">
        <f>IF($C$65&lt;&gt;1,0,P67*(1+((1+$C$70)^(1/12)-1))^12-J67/12*(1+((1+$C$70)^(1/12)-1))*(((1+((1+$C$70)^(1/12)-1))^12-1)/((1+((1+$C$70)^(1/12)-1))-1)))</f>
      </c>
      <c r="Q68">
        <f>IF($C$65&lt;&gt;1,0,IFERROR((((1+($C$70+'Inputs'!$H$123/100))^(1/12)-1)-((1+$C$70)^(1/12)-1))*(P68*(((1+((1+$C$70)^(1/12)-1))^12-1)/((1+((1+$C$70)^(1/12)-1))-1))-J68/12/((1+((1+$C$70)^(1/12)-1))-1)*((1+((1+$C$70)^(1/12)-1))*(((1+((1+$C$70)^(1/12)-1))^12-1)/((1+((1+$C$70)^(1/12)-1))-1))-12)),0))</f>
      </c>
    </row>
    <row r="69" spans="2:17" x14ac:dyDescent="0.25">
      <c r="B69" t="s">
        <v>413</v>
      </c>
      <c r="C69">
        <f>IF($C$65&lt;&gt;1,0,ROUND(IF($C$70=0,SUM($J$60:$J$109),(1-(1+$C$70)^-1)/(1-(1+$C$70)^(-1/12))/12*SUMPRODUCT($J$60:$J$109,(1+$C$70)^(-$I$60:$I$109)))-IF(($C$70+'Inputs'!$H$123/100)=0,SUM($J$60:$J$109),(1-(1+($C$70+'Inputs'!$H$123/100))^-1)/(1-(1+($C$70+'Inputs'!$H$123/100))^(-1/12))/12*SUMPRODUCT($J$60:$J$109,(1+($C$70+'Inputs'!$H$123/100))^(-$I$60:$I$109))),2))</f>
      </c>
      <c r="I69">
        <v>9</v>
      </c>
      <c r="J69">
        <f>IF(I69&lt;$C$62,MAX(0,12*$C$63*(1+$C$64)^I69-K69),0)</f>
      </c>
      <c r="K69">
        <f>SUMPRODUCT(('Inputs'!$G$76:$G$81=$C$58)*($C$58&lt;&gt;"")*'Inputs'!$D$76:$D$81*(1+'Inputs'!$E$76:$E$81/100)^I69*(ABS('Inputs'!$F$76:$F$81-12*I69)-ABS(('Inputs'!$F$76:$F$81-12*I69)-12)+12)/2)</f>
      </c>
      <c r="L69">
        <f>IF(J69&gt;0,1,0)</f>
      </c>
      <c r="P69">
        <f>IF($C$65&lt;&gt;1,0,P68*(1+((1+$C$70)^(1/12)-1))^12-J68/12*(1+((1+$C$70)^(1/12)-1))*(((1+((1+$C$70)^(1/12)-1))^12-1)/((1+((1+$C$70)^(1/12)-1))-1)))</f>
      </c>
      <c r="Q69">
        <f>IF($C$65&lt;&gt;1,0,IFERROR((((1+($C$70+'Inputs'!$H$123/100))^(1/12)-1)-((1+$C$70)^(1/12)-1))*(P69*(((1+((1+$C$70)^(1/12)-1))^12-1)/((1+((1+$C$70)^(1/12)-1))-1))-J69/12/((1+((1+$C$70)^(1/12)-1))-1)*((1+((1+$C$70)^(1/12)-1))*(((1+((1+$C$70)^(1/12)-1))^12-1)/((1+((1+$C$70)^(1/12)-1))-1))-12)),0))</f>
      </c>
    </row>
    <row r="70" spans="2:17" x14ac:dyDescent="0.25">
      <c r="B70" t="s">
        <v>414</v>
      </c>
      <c r="C70">
        <f>IF($C$65=1,'Needs calc'!$C$50,0)</f>
      </c>
      <c r="I70">
        <v>10</v>
      </c>
      <c r="J70">
        <f>IF(I70&lt;$C$62,MAX(0,12*$C$63*(1+$C$64)^I70-K70),0)</f>
      </c>
      <c r="K70">
        <f>SUMPRODUCT(('Inputs'!$G$76:$G$81=$C$58)*($C$58&lt;&gt;"")*'Inputs'!$D$76:$D$81*(1+'Inputs'!$E$76:$E$81/100)^I70*(ABS('Inputs'!$F$76:$F$81-12*I70)-ABS(('Inputs'!$F$76:$F$81-12*I70)-12)+12)/2)</f>
      </c>
      <c r="L70">
        <f>IF(J70&gt;0,1,0)</f>
      </c>
      <c r="P70">
        <f>IF($C$65&lt;&gt;1,0,P69*(1+((1+$C$70)^(1/12)-1))^12-J69/12*(1+((1+$C$70)^(1/12)-1))*(((1+((1+$C$70)^(1/12)-1))^12-1)/((1+((1+$C$70)^(1/12)-1))-1)))</f>
      </c>
      <c r="Q70">
        <f>IF($C$65&lt;&gt;1,0,IFERROR((((1+($C$70+'Inputs'!$H$123/100))^(1/12)-1)-((1+$C$70)^(1/12)-1))*(P70*(((1+((1+$C$70)^(1/12)-1))^12-1)/((1+((1+$C$70)^(1/12)-1))-1))-J70/12/((1+((1+$C$70)^(1/12)-1))-1)*((1+((1+$C$70)^(1/12)-1))*(((1+((1+$C$70)^(1/12)-1))^12-1)/((1+((1+$C$70)^(1/12)-1))-1))-12)),0))</f>
      </c>
    </row>
    <row r="71" spans="2:17" x14ac:dyDescent="0.25">
      <c r="B71" t="s">
        <v>415</v>
      </c>
      <c r="C71">
        <f>SUMPRODUCT(('Inputs'!$G$76:$G$81=$C$58)*($C$58&lt;&gt;"")*('Inputs'!$F$76:$F$81&gt;0)*'Inputs'!$D$76:$D$81)</f>
      </c>
      <c r="I71">
        <v>11</v>
      </c>
      <c r="J71">
        <f>IF(I71&lt;$C$62,MAX(0,12*$C$63*(1+$C$64)^I71-K71),0)</f>
      </c>
      <c r="K71">
        <f>SUMPRODUCT(('Inputs'!$G$76:$G$81=$C$58)*($C$58&lt;&gt;"")*'Inputs'!$D$76:$D$81*(1+'Inputs'!$E$76:$E$81/100)^I71*(ABS('Inputs'!$F$76:$F$81-12*I71)-ABS(('Inputs'!$F$76:$F$81-12*I71)-12)+12)/2)</f>
      </c>
      <c r="L71">
        <f>IF(J71&gt;0,1,0)</f>
      </c>
      <c r="P71">
        <f>IF($C$65&lt;&gt;1,0,P70*(1+((1+$C$70)^(1/12)-1))^12-J70/12*(1+((1+$C$70)^(1/12)-1))*(((1+((1+$C$70)^(1/12)-1))^12-1)/((1+((1+$C$70)^(1/12)-1))-1)))</f>
      </c>
      <c r="Q71">
        <f>IF($C$65&lt;&gt;1,0,IFERROR((((1+($C$70+'Inputs'!$H$123/100))^(1/12)-1)-((1+$C$70)^(1/12)-1))*(P71*(((1+((1+$C$70)^(1/12)-1))^12-1)/((1+((1+$C$70)^(1/12)-1))-1))-J71/12/((1+((1+$C$70)^(1/12)-1))-1)*((1+((1+$C$70)^(1/12)-1))*(((1+((1+$C$70)^(1/12)-1))^12-1)/((1+((1+$C$70)^(1/12)-1))-1))-12)),0))</f>
      </c>
    </row>
    <row r="72" spans="2:17" x14ac:dyDescent="0.25">
      <c r="B72" t="s">
        <v>416</v>
      </c>
      <c r="C72">
        <f>IF($C$62&gt;0,$C$63-J60/12,0)</f>
      </c>
      <c r="I72">
        <v>12</v>
      </c>
      <c r="J72">
        <f>IF(I72&lt;$C$62,MAX(0,12*$C$63*(1+$C$64)^I72-K72),0)</f>
      </c>
      <c r="K72">
        <f>SUMPRODUCT(('Inputs'!$G$76:$G$81=$C$58)*($C$58&lt;&gt;"")*'Inputs'!$D$76:$D$81*(1+'Inputs'!$E$76:$E$81/100)^I72*(ABS('Inputs'!$F$76:$F$81-12*I72)-ABS(('Inputs'!$F$76:$F$81-12*I72)-12)+12)/2)</f>
      </c>
      <c r="L72">
        <f>IF(J72&gt;0,1,0)</f>
      </c>
      <c r="P72">
        <f>IF($C$65&lt;&gt;1,0,P71*(1+((1+$C$70)^(1/12)-1))^12-J71/12*(1+((1+$C$70)^(1/12)-1))*(((1+((1+$C$70)^(1/12)-1))^12-1)/((1+((1+$C$70)^(1/12)-1))-1)))</f>
      </c>
      <c r="Q72">
        <f>IF($C$65&lt;&gt;1,0,IFERROR((((1+($C$70+'Inputs'!$H$123/100))^(1/12)-1)-((1+$C$70)^(1/12)-1))*(P72*(((1+((1+$C$70)^(1/12)-1))^12-1)/((1+((1+$C$70)^(1/12)-1))-1))-J72/12/((1+((1+$C$70)^(1/12)-1))-1)*((1+((1+$C$70)^(1/12)-1))*(((1+((1+$C$70)^(1/12)-1))^12-1)/((1+((1+$C$70)^(1/12)-1))-1))-12)),0))</f>
      </c>
    </row>
    <row r="73" spans="2:17" x14ac:dyDescent="0.25">
      <c r="B73" t="s">
        <v>417</v>
      </c>
      <c r="C73">
        <f>SUMPRODUCT(MAX(('Inputs'!$G$76:$G$81=$C$58)*($C$58&lt;&gt;"")*'Inputs'!$F$76:$F$81))</f>
      </c>
      <c r="I73">
        <v>13</v>
      </c>
      <c r="J73">
        <f>IF(I73&lt;$C$62,MAX(0,12*$C$63*(1+$C$64)^I73-K73),0)</f>
      </c>
      <c r="K73">
        <f>SUMPRODUCT(('Inputs'!$G$76:$G$81=$C$58)*($C$58&lt;&gt;"")*'Inputs'!$D$76:$D$81*(1+'Inputs'!$E$76:$E$81/100)^I73*(ABS('Inputs'!$F$76:$F$81-12*I73)-ABS(('Inputs'!$F$76:$F$81-12*I73)-12)+12)/2)</f>
      </c>
      <c r="L73">
        <f>IF(J73&gt;0,1,0)</f>
      </c>
      <c r="P73">
        <f>IF($C$65&lt;&gt;1,0,P72*(1+((1+$C$70)^(1/12)-1))^12-J72/12*(1+((1+$C$70)^(1/12)-1))*(((1+((1+$C$70)^(1/12)-1))^12-1)/((1+((1+$C$70)^(1/12)-1))-1)))</f>
      </c>
      <c r="Q73">
        <f>IF($C$65&lt;&gt;1,0,IFERROR((((1+($C$70+'Inputs'!$H$123/100))^(1/12)-1)-((1+$C$70)^(1/12)-1))*(P73*(((1+((1+$C$70)^(1/12)-1))^12-1)/((1+((1+$C$70)^(1/12)-1))-1))-J73/12/((1+((1+$C$70)^(1/12)-1))-1)*((1+((1+$C$70)^(1/12)-1))*(((1+((1+$C$70)^(1/12)-1))^12-1)/((1+((1+$C$70)^(1/12)-1))-1))-12)),0))</f>
      </c>
    </row>
    <row r="74" spans="2:17" x14ac:dyDescent="0.25">
      <c r="B74" t="s">
        <v>418</v>
      </c>
      <c r="C74">
        <f>SUM($J$60:$J$109)</f>
      </c>
      <c r="I74">
        <v>14</v>
      </c>
      <c r="J74">
        <f>IF(I74&lt;$C$62,MAX(0,12*$C$63*(1+$C$64)^I74-K74),0)</f>
      </c>
      <c r="K74">
        <f>SUMPRODUCT(('Inputs'!$G$76:$G$81=$C$58)*($C$58&lt;&gt;"")*'Inputs'!$D$76:$D$81*(1+'Inputs'!$E$76:$E$81/100)^I74*(ABS('Inputs'!$F$76:$F$81-12*I74)-ABS(('Inputs'!$F$76:$F$81-12*I74)-12)+12)/2)</f>
      </c>
      <c r="L74">
        <f>IF(J74&gt;0,1,0)</f>
      </c>
      <c r="P74">
        <f>IF($C$65&lt;&gt;1,0,P73*(1+((1+$C$70)^(1/12)-1))^12-J73/12*(1+((1+$C$70)^(1/12)-1))*(((1+((1+$C$70)^(1/12)-1))^12-1)/((1+((1+$C$70)^(1/12)-1))-1)))</f>
      </c>
      <c r="Q74">
        <f>IF($C$65&lt;&gt;1,0,IFERROR((((1+($C$70+'Inputs'!$H$123/100))^(1/12)-1)-((1+$C$70)^(1/12)-1))*(P74*(((1+((1+$C$70)^(1/12)-1))^12-1)/((1+((1+$C$70)^(1/12)-1))-1))-J74/12/((1+((1+$C$70)^(1/12)-1))-1)*((1+((1+$C$70)^(1/12)-1))*(((1+((1+$C$70)^(1/12)-1))^12-1)/((1+((1+$C$70)^(1/12)-1))-1))-12)),0))</f>
      </c>
    </row>
    <row r="75" spans="2:17" x14ac:dyDescent="0.25">
      <c r="B75" t="s">
        <v>419</v>
      </c>
      <c r="C75">
        <f>IF('Needs calc'!$C$52&gt;0,IF(N('Inputs'!$E$101)&gt;0,IF('Needs years'!$C$71&lt;=0,IF('Needs years'!$C$66&lt;=0,'Inputs'!$B$101&amp;" would have about R "&amp;FIXED(ROUND('Needs calc'!$C$53,-2),0)&amp;" a month of the R "&amp;FIXED(ROUND('Inputs'!$E$101,-2),0)&amp;" you want. ",IF('Needs calc'!$C$47&gt;='Needs years'!$C$66,'Inputs'!$B$101&amp;" would have about R "&amp;FIXED(ROUND('Needs calc'!$C$53,-2),0)&amp;" a month of the R "&amp;FIXED(ROUND('Inputs'!$E$101,-2),0)&amp;" you want, after the R "&amp;FIXED(ROUND('Needs years'!$C$66,-3),0)&amp;" once-off. ",'Inputs'!$B$101&amp;" would have "&amp;IF('Needs calc'!$C$47&lt;=0,"nothing","about R "&amp;FIXED(ROUND('Needs calc'!$C$47,-3),0))&amp;" of the R "&amp;FIXED(ROUND('Needs years'!$C$66,-3),0)&amp;" once-off you want for them, and about R "&amp;FIXED(ROUND('Needs calc'!$C$53,-2),0)&amp;" a month of the R "&amp;FIXED(ROUND('Inputs'!$E$101,-2),0)&amp;". ")),IF('Needs years'!$C$74&lt;=0,IF('Needs years'!$C$66&gt;0,'Inputs'!$B$101&amp;"'s death income covers the R "&amp;FIXED(ROUND('Inputs'!$E$101,-2),0)&amp;" a month you want"&amp;", but "&amp;'Inputs'!$B$101&amp;" would have "&amp;IF('Needs calc'!$C$47&lt;=0,"nothing","about R "&amp;FIXED(ROUND('Needs calc'!$C$47,-3),0))&amp;" of the R "&amp;FIXED(ROUND('Needs years'!$C$66,-3),0)&amp;" once-off you want for them. ",'Inputs'!$B$101&amp;"'s death income covers the R "&amp;FIXED(ROUND('Inputs'!$E$101,-2),0)&amp;" a month you want"&amp;", but the estate duty on it, about R "&amp;FIXED(ROUND('Needs years'!$C$77,-3),0)&amp;", leaves "&amp;'Inputs'!$B$101&amp;" short. "),IF('Needs years'!$J$60&lt;=0,'Inputs'!$B$101&amp;"'s death income covers the R "&amp;FIXED(ROUND('Inputs'!$E$101,-2),0)&amp;" a month you want"&amp;" for "&amp;IF('Needs years'!$C$76=1,"the first year","the first "&amp;'Needs years'!$C$76&amp;" years")&amp;"; after that "&amp;'Inputs'!$B$101&amp;" would be short"&amp;IF(AND('Needs years'!$C$66&gt;0,'Needs calc'!$C$47&lt;'Needs years'!$C$66),", and would have "&amp;IF('Needs calc'!$C$47&lt;=0,"nothing","about R "&amp;FIXED(ROUND('Needs calc'!$C$47,-3),0))&amp;" of the R "&amp;FIXED(ROUND('Needs years'!$C$66,-3),0)&amp;" once-off","")&amp;". ",IF('Needs years'!$C$66&lt;=0,'Inputs'!$B$101&amp;" would have about R "&amp;FIXED(ROUND('Needs calc'!$C$53,-2),0)&amp;" a month of the R "&amp;FIXED(ROUND('Inputs'!$E$101,-2),0)&amp;" you want, part of it from the death income, and less once it stops. ",IF('Needs calc'!$C$47&gt;='Needs years'!$C$66,'Inputs'!$B$101&amp;" would have about R "&amp;FIXED(ROUND('Needs calc'!$C$53,-2),0)&amp;" a month of the R "&amp;FIXED(ROUND('Inputs'!$E$101,-2),0)&amp;" you want, part of it from the death income, and less once it stops, after the R "&amp;FIXED(ROUND('Needs years'!$C$66,-3),0)&amp;" once-off. ",'Inputs'!$B$101&amp;" would have "&amp;IF('Needs calc'!$C$47&lt;=0,"nothing","about R "&amp;FIXED(ROUND('Needs calc'!$C$47,-3),0))&amp;" of the R "&amp;FIXED(ROUND('Needs years'!$C$66,-3),0)&amp;" once-off you want for them, and about R "&amp;FIXED(ROUND('Needs calc'!$C$53,-2),0)&amp;" a month of the R "&amp;FIXED(ROUND('Inputs'!$E$101,-2),0)&amp;", part of it from the death income, and less once it stops. "))))),'Inputs'!$B$101&amp;" would have "&amp;IF('Needs calc'!$C$47&lt;=0,"nothing","about R "&amp;FIXED(ROUND('Needs calc'!$C$47,-3),0))&amp;" of the R "&amp;FIXED(ROUND('Needs years'!$C$66,-3),0)&amp;" you want to leave them. "),"")</f>
      </c>
      <c r="I75">
        <v>15</v>
      </c>
      <c r="J75">
        <f>IF(I75&lt;$C$62,MAX(0,12*$C$63*(1+$C$64)^I75-K75),0)</f>
      </c>
      <c r="K75">
        <f>SUMPRODUCT(('Inputs'!$G$76:$G$81=$C$58)*($C$58&lt;&gt;"")*'Inputs'!$D$76:$D$81*(1+'Inputs'!$E$76:$E$81/100)^I75*(ABS('Inputs'!$F$76:$F$81-12*I75)-ABS(('Inputs'!$F$76:$F$81-12*I75)-12)+12)/2)</f>
      </c>
      <c r="L75">
        <f>IF(J75&gt;0,1,0)</f>
      </c>
      <c r="P75">
        <f>IF($C$65&lt;&gt;1,0,P74*(1+((1+$C$70)^(1/12)-1))^12-J74/12*(1+((1+$C$70)^(1/12)-1))*(((1+((1+$C$70)^(1/12)-1))^12-1)/((1+((1+$C$70)^(1/12)-1))-1)))</f>
      </c>
      <c r="Q75">
        <f>IF($C$65&lt;&gt;1,0,IFERROR((((1+($C$70+'Inputs'!$H$123/100))^(1/12)-1)-((1+$C$70)^(1/12)-1))*(P75*(((1+((1+$C$70)^(1/12)-1))^12-1)/((1+((1+$C$70)^(1/12)-1))-1))-J75/12/((1+((1+$C$70)^(1/12)-1))-1)*((1+((1+$C$70)^(1/12)-1))*(((1+((1+$C$70)^(1/12)-1))^12-1)/((1+((1+$C$70)^(1/12)-1))-1))-12)),0))</f>
      </c>
    </row>
    <row r="76" spans="2:17" x14ac:dyDescent="0.25">
      <c r="B76" t="s">
        <v>420</v>
      </c>
      <c r="C76">
        <f>IFERROR(MATCH(1,$L$60:$L$109,0)-1,$C$62)</f>
      </c>
      <c r="I76">
        <v>16</v>
      </c>
      <c r="J76">
        <f>IF(I76&lt;$C$62,MAX(0,12*$C$63*(1+$C$64)^I76-K76),0)</f>
      </c>
      <c r="K76">
        <f>SUMPRODUCT(('Inputs'!$G$76:$G$81=$C$58)*($C$58&lt;&gt;"")*'Inputs'!$D$76:$D$81*(1+'Inputs'!$E$76:$E$81/100)^I76*(ABS('Inputs'!$F$76:$F$81-12*I76)-ABS(('Inputs'!$F$76:$F$81-12*I76)-12)+12)/2)</f>
      </c>
      <c r="L76">
        <f>IF(J76&gt;0,1,0)</f>
      </c>
      <c r="P76">
        <f>IF($C$65&lt;&gt;1,0,P75*(1+((1+$C$70)^(1/12)-1))^12-J75/12*(1+((1+$C$70)^(1/12)-1))*(((1+((1+$C$70)^(1/12)-1))^12-1)/((1+((1+$C$70)^(1/12)-1))-1)))</f>
      </c>
      <c r="Q76">
        <f>IF($C$65&lt;&gt;1,0,IFERROR((((1+($C$70+'Inputs'!$H$123/100))^(1/12)-1)-((1+$C$70)^(1/12)-1))*(P76*(((1+((1+$C$70)^(1/12)-1))^12-1)/((1+((1+$C$70)^(1/12)-1))-1))-J76/12/((1+((1+$C$70)^(1/12)-1))-1)*((1+((1+$C$70)^(1/12)-1))*(((1+((1+$C$70)^(1/12)-1))^12-1)/((1+((1+$C$70)^(1/12)-1))-1))-12)),0))</f>
      </c>
    </row>
    <row r="77" spans="2:17" x14ac:dyDescent="0.25">
      <c r="B77" t="s">
        <v>421</v>
      </c>
      <c r="C77">
        <f>SUMPRODUCT(('Inputs'!$G$76:$G$81=$C$58)*($C$58&lt;&gt;"")*'Inputs'!$P$76:$P$81)</f>
      </c>
      <c r="I77">
        <v>17</v>
      </c>
      <c r="J77">
        <f>IF(I77&lt;$C$62,MAX(0,12*$C$63*(1+$C$64)^I77-K77),0)</f>
      </c>
      <c r="K77">
        <f>SUMPRODUCT(('Inputs'!$G$76:$G$81=$C$58)*($C$58&lt;&gt;"")*'Inputs'!$D$76:$D$81*(1+'Inputs'!$E$76:$E$81/100)^I77*(ABS('Inputs'!$F$76:$F$81-12*I77)-ABS(('Inputs'!$F$76:$F$81-12*I77)-12)+12)/2)</f>
      </c>
      <c r="L77">
        <f>IF(J77&gt;0,1,0)</f>
      </c>
      <c r="P77">
        <f>IF($C$65&lt;&gt;1,0,P76*(1+((1+$C$70)^(1/12)-1))^12-J76/12*(1+((1+$C$70)^(1/12)-1))*(((1+((1+$C$70)^(1/12)-1))^12-1)/((1+((1+$C$70)^(1/12)-1))-1)))</f>
      </c>
      <c r="Q77">
        <f>IF($C$65&lt;&gt;1,0,IFERROR((((1+($C$70+'Inputs'!$H$123/100))^(1/12)-1)-((1+$C$70)^(1/12)-1))*(P77*(((1+((1+$C$70)^(1/12)-1))^12-1)/((1+((1+$C$70)^(1/12)-1))-1))-J77/12/((1+((1+$C$70)^(1/12)-1))-1)*((1+((1+$C$70)^(1/12)-1))*(((1+((1+$C$70)^(1/12)-1))^12-1)/((1+((1+$C$70)^(1/12)-1))-1))-12)),0))</f>
      </c>
    </row>
    <row r="78" spans="9:17" x14ac:dyDescent="0.25">
      <c r="I78">
        <v>18</v>
      </c>
      <c r="J78">
        <f>IF(I78&lt;$C$62,MAX(0,12*$C$63*(1+$C$64)^I78-K78),0)</f>
      </c>
      <c r="K78">
        <f>SUMPRODUCT(('Inputs'!$G$76:$G$81=$C$58)*($C$58&lt;&gt;"")*'Inputs'!$D$76:$D$81*(1+'Inputs'!$E$76:$E$81/100)^I78*(ABS('Inputs'!$F$76:$F$81-12*I78)-ABS(('Inputs'!$F$76:$F$81-12*I78)-12)+12)/2)</f>
      </c>
      <c r="L78">
        <f>IF(J78&gt;0,1,0)</f>
      </c>
      <c r="P78">
        <f>IF($C$65&lt;&gt;1,0,P77*(1+((1+$C$70)^(1/12)-1))^12-J77/12*(1+((1+$C$70)^(1/12)-1))*(((1+((1+$C$70)^(1/12)-1))^12-1)/((1+((1+$C$70)^(1/12)-1))-1)))</f>
      </c>
      <c r="Q78">
        <f>IF($C$65&lt;&gt;1,0,IFERROR((((1+($C$70+'Inputs'!$H$123/100))^(1/12)-1)-((1+$C$70)^(1/12)-1))*(P78*(((1+((1+$C$70)^(1/12)-1))^12-1)/((1+((1+$C$70)^(1/12)-1))-1))-J78/12/((1+((1+$C$70)^(1/12)-1))-1)*((1+((1+$C$70)^(1/12)-1))*(((1+((1+$C$70)^(1/12)-1))^12-1)/((1+((1+$C$70)^(1/12)-1))-1))-12)),0))</f>
      </c>
    </row>
    <row r="79" spans="9:17" x14ac:dyDescent="0.25">
      <c r="I79">
        <v>19</v>
      </c>
      <c r="J79">
        <f>IF(I79&lt;$C$62,MAX(0,12*$C$63*(1+$C$64)^I79-K79),0)</f>
      </c>
      <c r="K79">
        <f>SUMPRODUCT(('Inputs'!$G$76:$G$81=$C$58)*($C$58&lt;&gt;"")*'Inputs'!$D$76:$D$81*(1+'Inputs'!$E$76:$E$81/100)^I79*(ABS('Inputs'!$F$76:$F$81-12*I79)-ABS(('Inputs'!$F$76:$F$81-12*I79)-12)+12)/2)</f>
      </c>
      <c r="L79">
        <f>IF(J79&gt;0,1,0)</f>
      </c>
      <c r="P79">
        <f>IF($C$65&lt;&gt;1,0,P78*(1+((1+$C$70)^(1/12)-1))^12-J78/12*(1+((1+$C$70)^(1/12)-1))*(((1+((1+$C$70)^(1/12)-1))^12-1)/((1+((1+$C$70)^(1/12)-1))-1)))</f>
      </c>
      <c r="Q79">
        <f>IF($C$65&lt;&gt;1,0,IFERROR((((1+($C$70+'Inputs'!$H$123/100))^(1/12)-1)-((1+$C$70)^(1/12)-1))*(P79*(((1+((1+$C$70)^(1/12)-1))^12-1)/((1+((1+$C$70)^(1/12)-1))-1))-J79/12/((1+((1+$C$70)^(1/12)-1))-1)*((1+((1+$C$70)^(1/12)-1))*(((1+((1+$C$70)^(1/12)-1))^12-1)/((1+((1+$C$70)^(1/12)-1))-1))-12)),0))</f>
      </c>
    </row>
    <row r="80" spans="9:17" x14ac:dyDescent="0.25">
      <c r="I80">
        <v>20</v>
      </c>
      <c r="J80">
        <f>IF(I80&lt;$C$62,MAX(0,12*$C$63*(1+$C$64)^I80-K80),0)</f>
      </c>
      <c r="K80">
        <f>SUMPRODUCT(('Inputs'!$G$76:$G$81=$C$58)*($C$58&lt;&gt;"")*'Inputs'!$D$76:$D$81*(1+'Inputs'!$E$76:$E$81/100)^I80*(ABS('Inputs'!$F$76:$F$81-12*I80)-ABS(('Inputs'!$F$76:$F$81-12*I80)-12)+12)/2)</f>
      </c>
      <c r="L80">
        <f>IF(J80&gt;0,1,0)</f>
      </c>
      <c r="P80">
        <f>IF($C$65&lt;&gt;1,0,P79*(1+((1+$C$70)^(1/12)-1))^12-J79/12*(1+((1+$C$70)^(1/12)-1))*(((1+((1+$C$70)^(1/12)-1))^12-1)/((1+((1+$C$70)^(1/12)-1))-1)))</f>
      </c>
      <c r="Q80">
        <f>IF($C$65&lt;&gt;1,0,IFERROR((((1+($C$70+'Inputs'!$H$123/100))^(1/12)-1)-((1+$C$70)^(1/12)-1))*(P80*(((1+((1+$C$70)^(1/12)-1))^12-1)/((1+((1+$C$70)^(1/12)-1))-1))-J80/12/((1+((1+$C$70)^(1/12)-1))-1)*((1+((1+$C$70)^(1/12)-1))*(((1+((1+$C$70)^(1/12)-1))^12-1)/((1+((1+$C$70)^(1/12)-1))-1))-12)),0))</f>
      </c>
    </row>
    <row r="81" spans="9:17" x14ac:dyDescent="0.25">
      <c r="I81">
        <v>21</v>
      </c>
      <c r="J81">
        <f>IF(I81&lt;$C$62,MAX(0,12*$C$63*(1+$C$64)^I81-K81),0)</f>
      </c>
      <c r="K81">
        <f>SUMPRODUCT(('Inputs'!$G$76:$G$81=$C$58)*($C$58&lt;&gt;"")*'Inputs'!$D$76:$D$81*(1+'Inputs'!$E$76:$E$81/100)^I81*(ABS('Inputs'!$F$76:$F$81-12*I81)-ABS(('Inputs'!$F$76:$F$81-12*I81)-12)+12)/2)</f>
      </c>
      <c r="L81">
        <f>IF(J81&gt;0,1,0)</f>
      </c>
      <c r="P81">
        <f>IF($C$65&lt;&gt;1,0,P80*(1+((1+$C$70)^(1/12)-1))^12-J80/12*(1+((1+$C$70)^(1/12)-1))*(((1+((1+$C$70)^(1/12)-1))^12-1)/((1+((1+$C$70)^(1/12)-1))-1)))</f>
      </c>
      <c r="Q81">
        <f>IF($C$65&lt;&gt;1,0,IFERROR((((1+($C$70+'Inputs'!$H$123/100))^(1/12)-1)-((1+$C$70)^(1/12)-1))*(P81*(((1+((1+$C$70)^(1/12)-1))^12-1)/((1+((1+$C$70)^(1/12)-1))-1))-J81/12/((1+((1+$C$70)^(1/12)-1))-1)*((1+((1+$C$70)^(1/12)-1))*(((1+((1+$C$70)^(1/12)-1))^12-1)/((1+((1+$C$70)^(1/12)-1))-1))-12)),0))</f>
      </c>
    </row>
    <row r="82" spans="9:17" x14ac:dyDescent="0.25">
      <c r="I82">
        <v>22</v>
      </c>
      <c r="J82">
        <f>IF(I82&lt;$C$62,MAX(0,12*$C$63*(1+$C$64)^I82-K82),0)</f>
      </c>
      <c r="K82">
        <f>SUMPRODUCT(('Inputs'!$G$76:$G$81=$C$58)*($C$58&lt;&gt;"")*'Inputs'!$D$76:$D$81*(1+'Inputs'!$E$76:$E$81/100)^I82*(ABS('Inputs'!$F$76:$F$81-12*I82)-ABS(('Inputs'!$F$76:$F$81-12*I82)-12)+12)/2)</f>
      </c>
      <c r="L82">
        <f>IF(J82&gt;0,1,0)</f>
      </c>
      <c r="P82">
        <f>IF($C$65&lt;&gt;1,0,P81*(1+((1+$C$70)^(1/12)-1))^12-J81/12*(1+((1+$C$70)^(1/12)-1))*(((1+((1+$C$70)^(1/12)-1))^12-1)/((1+((1+$C$70)^(1/12)-1))-1)))</f>
      </c>
      <c r="Q82">
        <f>IF($C$65&lt;&gt;1,0,IFERROR((((1+($C$70+'Inputs'!$H$123/100))^(1/12)-1)-((1+$C$70)^(1/12)-1))*(P82*(((1+((1+$C$70)^(1/12)-1))^12-1)/((1+((1+$C$70)^(1/12)-1))-1))-J82/12/((1+((1+$C$70)^(1/12)-1))-1)*((1+((1+$C$70)^(1/12)-1))*(((1+((1+$C$70)^(1/12)-1))^12-1)/((1+((1+$C$70)^(1/12)-1))-1))-12)),0))</f>
      </c>
    </row>
    <row r="83" spans="9:17" x14ac:dyDescent="0.25">
      <c r="I83">
        <v>23</v>
      </c>
      <c r="J83">
        <f>IF(I83&lt;$C$62,MAX(0,12*$C$63*(1+$C$64)^I83-K83),0)</f>
      </c>
      <c r="K83">
        <f>SUMPRODUCT(('Inputs'!$G$76:$G$81=$C$58)*($C$58&lt;&gt;"")*'Inputs'!$D$76:$D$81*(1+'Inputs'!$E$76:$E$81/100)^I83*(ABS('Inputs'!$F$76:$F$81-12*I83)-ABS(('Inputs'!$F$76:$F$81-12*I83)-12)+12)/2)</f>
      </c>
      <c r="L83">
        <f>IF(J83&gt;0,1,0)</f>
      </c>
      <c r="P83">
        <f>IF($C$65&lt;&gt;1,0,P82*(1+((1+$C$70)^(1/12)-1))^12-J82/12*(1+((1+$C$70)^(1/12)-1))*(((1+((1+$C$70)^(1/12)-1))^12-1)/((1+((1+$C$70)^(1/12)-1))-1)))</f>
      </c>
      <c r="Q83">
        <f>IF($C$65&lt;&gt;1,0,IFERROR((((1+($C$70+'Inputs'!$H$123/100))^(1/12)-1)-((1+$C$70)^(1/12)-1))*(P83*(((1+((1+$C$70)^(1/12)-1))^12-1)/((1+((1+$C$70)^(1/12)-1))-1))-J83/12/((1+((1+$C$70)^(1/12)-1))-1)*((1+((1+$C$70)^(1/12)-1))*(((1+((1+$C$70)^(1/12)-1))^12-1)/((1+((1+$C$70)^(1/12)-1))-1))-12)),0))</f>
      </c>
    </row>
    <row r="84" spans="9:17" x14ac:dyDescent="0.25">
      <c r="I84">
        <v>24</v>
      </c>
      <c r="J84">
        <f>IF(I84&lt;$C$62,MAX(0,12*$C$63*(1+$C$64)^I84-K84),0)</f>
      </c>
      <c r="K84">
        <f>SUMPRODUCT(('Inputs'!$G$76:$G$81=$C$58)*($C$58&lt;&gt;"")*'Inputs'!$D$76:$D$81*(1+'Inputs'!$E$76:$E$81/100)^I84*(ABS('Inputs'!$F$76:$F$81-12*I84)-ABS(('Inputs'!$F$76:$F$81-12*I84)-12)+12)/2)</f>
      </c>
      <c r="L84">
        <f>IF(J84&gt;0,1,0)</f>
      </c>
      <c r="P84">
        <f>IF($C$65&lt;&gt;1,0,P83*(1+((1+$C$70)^(1/12)-1))^12-J83/12*(1+((1+$C$70)^(1/12)-1))*(((1+((1+$C$70)^(1/12)-1))^12-1)/((1+((1+$C$70)^(1/12)-1))-1)))</f>
      </c>
      <c r="Q84">
        <f>IF($C$65&lt;&gt;1,0,IFERROR((((1+($C$70+'Inputs'!$H$123/100))^(1/12)-1)-((1+$C$70)^(1/12)-1))*(P84*(((1+((1+$C$70)^(1/12)-1))^12-1)/((1+((1+$C$70)^(1/12)-1))-1))-J84/12/((1+((1+$C$70)^(1/12)-1))-1)*((1+((1+$C$70)^(1/12)-1))*(((1+((1+$C$70)^(1/12)-1))^12-1)/((1+((1+$C$70)^(1/12)-1))-1))-12)),0))</f>
      </c>
    </row>
    <row r="85" spans="9:17" x14ac:dyDescent="0.25">
      <c r="I85">
        <v>25</v>
      </c>
      <c r="J85">
        <f>IF(I85&lt;$C$62,MAX(0,12*$C$63*(1+$C$64)^I85-K85),0)</f>
      </c>
      <c r="K85">
        <f>SUMPRODUCT(('Inputs'!$G$76:$G$81=$C$58)*($C$58&lt;&gt;"")*'Inputs'!$D$76:$D$81*(1+'Inputs'!$E$76:$E$81/100)^I85*(ABS('Inputs'!$F$76:$F$81-12*I85)-ABS(('Inputs'!$F$76:$F$81-12*I85)-12)+12)/2)</f>
      </c>
      <c r="L85">
        <f>IF(J85&gt;0,1,0)</f>
      </c>
      <c r="P85">
        <f>IF($C$65&lt;&gt;1,0,P84*(1+((1+$C$70)^(1/12)-1))^12-J84/12*(1+((1+$C$70)^(1/12)-1))*(((1+((1+$C$70)^(1/12)-1))^12-1)/((1+((1+$C$70)^(1/12)-1))-1)))</f>
      </c>
      <c r="Q85">
        <f>IF($C$65&lt;&gt;1,0,IFERROR((((1+($C$70+'Inputs'!$H$123/100))^(1/12)-1)-((1+$C$70)^(1/12)-1))*(P85*(((1+((1+$C$70)^(1/12)-1))^12-1)/((1+((1+$C$70)^(1/12)-1))-1))-J85/12/((1+((1+$C$70)^(1/12)-1))-1)*((1+((1+$C$70)^(1/12)-1))*(((1+((1+$C$70)^(1/12)-1))^12-1)/((1+((1+$C$70)^(1/12)-1))-1))-12)),0))</f>
      </c>
    </row>
    <row r="86" spans="9:17" x14ac:dyDescent="0.25">
      <c r="I86">
        <v>26</v>
      </c>
      <c r="J86">
        <f>IF(I86&lt;$C$62,MAX(0,12*$C$63*(1+$C$64)^I86-K86),0)</f>
      </c>
      <c r="K86">
        <f>SUMPRODUCT(('Inputs'!$G$76:$G$81=$C$58)*($C$58&lt;&gt;"")*'Inputs'!$D$76:$D$81*(1+'Inputs'!$E$76:$E$81/100)^I86*(ABS('Inputs'!$F$76:$F$81-12*I86)-ABS(('Inputs'!$F$76:$F$81-12*I86)-12)+12)/2)</f>
      </c>
      <c r="L86">
        <f>IF(J86&gt;0,1,0)</f>
      </c>
      <c r="P86">
        <f>IF($C$65&lt;&gt;1,0,P85*(1+((1+$C$70)^(1/12)-1))^12-J85/12*(1+((1+$C$70)^(1/12)-1))*(((1+((1+$C$70)^(1/12)-1))^12-1)/((1+((1+$C$70)^(1/12)-1))-1)))</f>
      </c>
      <c r="Q86">
        <f>IF($C$65&lt;&gt;1,0,IFERROR((((1+($C$70+'Inputs'!$H$123/100))^(1/12)-1)-((1+$C$70)^(1/12)-1))*(P86*(((1+((1+$C$70)^(1/12)-1))^12-1)/((1+((1+$C$70)^(1/12)-1))-1))-J86/12/((1+((1+$C$70)^(1/12)-1))-1)*((1+((1+$C$70)^(1/12)-1))*(((1+((1+$C$70)^(1/12)-1))^12-1)/((1+((1+$C$70)^(1/12)-1))-1))-12)),0))</f>
      </c>
    </row>
    <row r="87" spans="9:17" x14ac:dyDescent="0.25">
      <c r="I87">
        <v>27</v>
      </c>
      <c r="J87">
        <f>IF(I87&lt;$C$62,MAX(0,12*$C$63*(1+$C$64)^I87-K87),0)</f>
      </c>
      <c r="K87">
        <f>SUMPRODUCT(('Inputs'!$G$76:$G$81=$C$58)*($C$58&lt;&gt;"")*'Inputs'!$D$76:$D$81*(1+'Inputs'!$E$76:$E$81/100)^I87*(ABS('Inputs'!$F$76:$F$81-12*I87)-ABS(('Inputs'!$F$76:$F$81-12*I87)-12)+12)/2)</f>
      </c>
      <c r="L87">
        <f>IF(J87&gt;0,1,0)</f>
      </c>
      <c r="P87">
        <f>IF($C$65&lt;&gt;1,0,P86*(1+((1+$C$70)^(1/12)-1))^12-J86/12*(1+((1+$C$70)^(1/12)-1))*(((1+((1+$C$70)^(1/12)-1))^12-1)/((1+((1+$C$70)^(1/12)-1))-1)))</f>
      </c>
      <c r="Q87">
        <f>IF($C$65&lt;&gt;1,0,IFERROR((((1+($C$70+'Inputs'!$H$123/100))^(1/12)-1)-((1+$C$70)^(1/12)-1))*(P87*(((1+((1+$C$70)^(1/12)-1))^12-1)/((1+((1+$C$70)^(1/12)-1))-1))-J87/12/((1+((1+$C$70)^(1/12)-1))-1)*((1+((1+$C$70)^(1/12)-1))*(((1+((1+$C$70)^(1/12)-1))^12-1)/((1+((1+$C$70)^(1/12)-1))-1))-12)),0))</f>
      </c>
    </row>
    <row r="88" spans="9:17" x14ac:dyDescent="0.25">
      <c r="I88">
        <v>28</v>
      </c>
      <c r="J88">
        <f>IF(I88&lt;$C$62,MAX(0,12*$C$63*(1+$C$64)^I88-K88),0)</f>
      </c>
      <c r="K88">
        <f>SUMPRODUCT(('Inputs'!$G$76:$G$81=$C$58)*($C$58&lt;&gt;"")*'Inputs'!$D$76:$D$81*(1+'Inputs'!$E$76:$E$81/100)^I88*(ABS('Inputs'!$F$76:$F$81-12*I88)-ABS(('Inputs'!$F$76:$F$81-12*I88)-12)+12)/2)</f>
      </c>
      <c r="L88">
        <f>IF(J88&gt;0,1,0)</f>
      </c>
      <c r="P88">
        <f>IF($C$65&lt;&gt;1,0,P87*(1+((1+$C$70)^(1/12)-1))^12-J87/12*(1+((1+$C$70)^(1/12)-1))*(((1+((1+$C$70)^(1/12)-1))^12-1)/((1+((1+$C$70)^(1/12)-1))-1)))</f>
      </c>
      <c r="Q88">
        <f>IF($C$65&lt;&gt;1,0,IFERROR((((1+($C$70+'Inputs'!$H$123/100))^(1/12)-1)-((1+$C$70)^(1/12)-1))*(P88*(((1+((1+$C$70)^(1/12)-1))^12-1)/((1+((1+$C$70)^(1/12)-1))-1))-J88/12/((1+((1+$C$70)^(1/12)-1))-1)*((1+((1+$C$70)^(1/12)-1))*(((1+((1+$C$70)^(1/12)-1))^12-1)/((1+((1+$C$70)^(1/12)-1))-1))-12)),0))</f>
      </c>
    </row>
    <row r="89" spans="9:17" x14ac:dyDescent="0.25">
      <c r="I89">
        <v>29</v>
      </c>
      <c r="J89">
        <f>IF(I89&lt;$C$62,MAX(0,12*$C$63*(1+$C$64)^I89-K89),0)</f>
      </c>
      <c r="K89">
        <f>SUMPRODUCT(('Inputs'!$G$76:$G$81=$C$58)*($C$58&lt;&gt;"")*'Inputs'!$D$76:$D$81*(1+'Inputs'!$E$76:$E$81/100)^I89*(ABS('Inputs'!$F$76:$F$81-12*I89)-ABS(('Inputs'!$F$76:$F$81-12*I89)-12)+12)/2)</f>
      </c>
      <c r="L89">
        <f>IF(J89&gt;0,1,0)</f>
      </c>
      <c r="P89">
        <f>IF($C$65&lt;&gt;1,0,P88*(1+((1+$C$70)^(1/12)-1))^12-J88/12*(1+((1+$C$70)^(1/12)-1))*(((1+((1+$C$70)^(1/12)-1))^12-1)/((1+((1+$C$70)^(1/12)-1))-1)))</f>
      </c>
      <c r="Q89">
        <f>IF($C$65&lt;&gt;1,0,IFERROR((((1+($C$70+'Inputs'!$H$123/100))^(1/12)-1)-((1+$C$70)^(1/12)-1))*(P89*(((1+((1+$C$70)^(1/12)-1))^12-1)/((1+((1+$C$70)^(1/12)-1))-1))-J89/12/((1+((1+$C$70)^(1/12)-1))-1)*((1+((1+$C$70)^(1/12)-1))*(((1+((1+$C$70)^(1/12)-1))^12-1)/((1+((1+$C$70)^(1/12)-1))-1))-12)),0))</f>
      </c>
    </row>
    <row r="90" spans="9:17" x14ac:dyDescent="0.25">
      <c r="I90">
        <v>30</v>
      </c>
      <c r="J90">
        <f>IF(I90&lt;$C$62,MAX(0,12*$C$63*(1+$C$64)^I90-K90),0)</f>
      </c>
      <c r="K90">
        <f>SUMPRODUCT(('Inputs'!$G$76:$G$81=$C$58)*($C$58&lt;&gt;"")*'Inputs'!$D$76:$D$81*(1+'Inputs'!$E$76:$E$81/100)^I90*(ABS('Inputs'!$F$76:$F$81-12*I90)-ABS(('Inputs'!$F$76:$F$81-12*I90)-12)+12)/2)</f>
      </c>
      <c r="L90">
        <f>IF(J90&gt;0,1,0)</f>
      </c>
      <c r="P90">
        <f>IF($C$65&lt;&gt;1,0,P89*(1+((1+$C$70)^(1/12)-1))^12-J89/12*(1+((1+$C$70)^(1/12)-1))*(((1+((1+$C$70)^(1/12)-1))^12-1)/((1+((1+$C$70)^(1/12)-1))-1)))</f>
      </c>
      <c r="Q90">
        <f>IF($C$65&lt;&gt;1,0,IFERROR((((1+($C$70+'Inputs'!$H$123/100))^(1/12)-1)-((1+$C$70)^(1/12)-1))*(P90*(((1+((1+$C$70)^(1/12)-1))^12-1)/((1+((1+$C$70)^(1/12)-1))-1))-J90/12/((1+((1+$C$70)^(1/12)-1))-1)*((1+((1+$C$70)^(1/12)-1))*(((1+((1+$C$70)^(1/12)-1))^12-1)/((1+((1+$C$70)^(1/12)-1))-1))-12)),0))</f>
      </c>
    </row>
    <row r="91" spans="9:17" x14ac:dyDescent="0.25">
      <c r="I91">
        <v>31</v>
      </c>
      <c r="J91">
        <f>IF(I91&lt;$C$62,MAX(0,12*$C$63*(1+$C$64)^I91-K91),0)</f>
      </c>
      <c r="K91">
        <f>SUMPRODUCT(('Inputs'!$G$76:$G$81=$C$58)*($C$58&lt;&gt;"")*'Inputs'!$D$76:$D$81*(1+'Inputs'!$E$76:$E$81/100)^I91*(ABS('Inputs'!$F$76:$F$81-12*I91)-ABS(('Inputs'!$F$76:$F$81-12*I91)-12)+12)/2)</f>
      </c>
      <c r="L91">
        <f>IF(J91&gt;0,1,0)</f>
      </c>
      <c r="P91">
        <f>IF($C$65&lt;&gt;1,0,P90*(1+((1+$C$70)^(1/12)-1))^12-J90/12*(1+((1+$C$70)^(1/12)-1))*(((1+((1+$C$70)^(1/12)-1))^12-1)/((1+((1+$C$70)^(1/12)-1))-1)))</f>
      </c>
      <c r="Q91">
        <f>IF($C$65&lt;&gt;1,0,IFERROR((((1+($C$70+'Inputs'!$H$123/100))^(1/12)-1)-((1+$C$70)^(1/12)-1))*(P91*(((1+((1+$C$70)^(1/12)-1))^12-1)/((1+((1+$C$70)^(1/12)-1))-1))-J91/12/((1+((1+$C$70)^(1/12)-1))-1)*((1+((1+$C$70)^(1/12)-1))*(((1+((1+$C$70)^(1/12)-1))^12-1)/((1+((1+$C$70)^(1/12)-1))-1))-12)),0))</f>
      </c>
    </row>
    <row r="92" spans="9:17" x14ac:dyDescent="0.25">
      <c r="I92">
        <v>32</v>
      </c>
      <c r="J92">
        <f>IF(I92&lt;$C$62,MAX(0,12*$C$63*(1+$C$64)^I92-K92),0)</f>
      </c>
      <c r="K92">
        <f>SUMPRODUCT(('Inputs'!$G$76:$G$81=$C$58)*($C$58&lt;&gt;"")*'Inputs'!$D$76:$D$81*(1+'Inputs'!$E$76:$E$81/100)^I92*(ABS('Inputs'!$F$76:$F$81-12*I92)-ABS(('Inputs'!$F$76:$F$81-12*I92)-12)+12)/2)</f>
      </c>
      <c r="L92">
        <f>IF(J92&gt;0,1,0)</f>
      </c>
      <c r="P92">
        <f>IF($C$65&lt;&gt;1,0,P91*(1+((1+$C$70)^(1/12)-1))^12-J91/12*(1+((1+$C$70)^(1/12)-1))*(((1+((1+$C$70)^(1/12)-1))^12-1)/((1+((1+$C$70)^(1/12)-1))-1)))</f>
      </c>
      <c r="Q92">
        <f>IF($C$65&lt;&gt;1,0,IFERROR((((1+($C$70+'Inputs'!$H$123/100))^(1/12)-1)-((1+$C$70)^(1/12)-1))*(P92*(((1+((1+$C$70)^(1/12)-1))^12-1)/((1+((1+$C$70)^(1/12)-1))-1))-J92/12/((1+((1+$C$70)^(1/12)-1))-1)*((1+((1+$C$70)^(1/12)-1))*(((1+((1+$C$70)^(1/12)-1))^12-1)/((1+((1+$C$70)^(1/12)-1))-1))-12)),0))</f>
      </c>
    </row>
    <row r="93" spans="9:17" x14ac:dyDescent="0.25">
      <c r="I93">
        <v>33</v>
      </c>
      <c r="J93">
        <f>IF(I93&lt;$C$62,MAX(0,12*$C$63*(1+$C$64)^I93-K93),0)</f>
      </c>
      <c r="K93">
        <f>SUMPRODUCT(('Inputs'!$G$76:$G$81=$C$58)*($C$58&lt;&gt;"")*'Inputs'!$D$76:$D$81*(1+'Inputs'!$E$76:$E$81/100)^I93*(ABS('Inputs'!$F$76:$F$81-12*I93)-ABS(('Inputs'!$F$76:$F$81-12*I93)-12)+12)/2)</f>
      </c>
      <c r="L93">
        <f>IF(J93&gt;0,1,0)</f>
      </c>
      <c r="P93">
        <f>IF($C$65&lt;&gt;1,0,P92*(1+((1+$C$70)^(1/12)-1))^12-J92/12*(1+((1+$C$70)^(1/12)-1))*(((1+((1+$C$70)^(1/12)-1))^12-1)/((1+((1+$C$70)^(1/12)-1))-1)))</f>
      </c>
      <c r="Q93">
        <f>IF($C$65&lt;&gt;1,0,IFERROR((((1+($C$70+'Inputs'!$H$123/100))^(1/12)-1)-((1+$C$70)^(1/12)-1))*(P93*(((1+((1+$C$70)^(1/12)-1))^12-1)/((1+((1+$C$70)^(1/12)-1))-1))-J93/12/((1+((1+$C$70)^(1/12)-1))-1)*((1+((1+$C$70)^(1/12)-1))*(((1+((1+$C$70)^(1/12)-1))^12-1)/((1+((1+$C$70)^(1/12)-1))-1))-12)),0))</f>
      </c>
    </row>
    <row r="94" spans="9:17" x14ac:dyDescent="0.25">
      <c r="I94">
        <v>34</v>
      </c>
      <c r="J94">
        <f>IF(I94&lt;$C$62,MAX(0,12*$C$63*(1+$C$64)^I94-K94),0)</f>
      </c>
      <c r="K94">
        <f>SUMPRODUCT(('Inputs'!$G$76:$G$81=$C$58)*($C$58&lt;&gt;"")*'Inputs'!$D$76:$D$81*(1+'Inputs'!$E$76:$E$81/100)^I94*(ABS('Inputs'!$F$76:$F$81-12*I94)-ABS(('Inputs'!$F$76:$F$81-12*I94)-12)+12)/2)</f>
      </c>
      <c r="L94">
        <f>IF(J94&gt;0,1,0)</f>
      </c>
      <c r="P94">
        <f>IF($C$65&lt;&gt;1,0,P93*(1+((1+$C$70)^(1/12)-1))^12-J93/12*(1+((1+$C$70)^(1/12)-1))*(((1+((1+$C$70)^(1/12)-1))^12-1)/((1+((1+$C$70)^(1/12)-1))-1)))</f>
      </c>
      <c r="Q94">
        <f>IF($C$65&lt;&gt;1,0,IFERROR((((1+($C$70+'Inputs'!$H$123/100))^(1/12)-1)-((1+$C$70)^(1/12)-1))*(P94*(((1+((1+$C$70)^(1/12)-1))^12-1)/((1+((1+$C$70)^(1/12)-1))-1))-J94/12/((1+((1+$C$70)^(1/12)-1))-1)*((1+((1+$C$70)^(1/12)-1))*(((1+((1+$C$70)^(1/12)-1))^12-1)/((1+((1+$C$70)^(1/12)-1))-1))-12)),0))</f>
      </c>
    </row>
    <row r="95" spans="9:17" x14ac:dyDescent="0.25">
      <c r="I95">
        <v>35</v>
      </c>
      <c r="J95">
        <f>IF(I95&lt;$C$62,MAX(0,12*$C$63*(1+$C$64)^I95-K95),0)</f>
      </c>
      <c r="K95">
        <f>SUMPRODUCT(('Inputs'!$G$76:$G$81=$C$58)*($C$58&lt;&gt;"")*'Inputs'!$D$76:$D$81*(1+'Inputs'!$E$76:$E$81/100)^I95*(ABS('Inputs'!$F$76:$F$81-12*I95)-ABS(('Inputs'!$F$76:$F$81-12*I95)-12)+12)/2)</f>
      </c>
      <c r="L95">
        <f>IF(J95&gt;0,1,0)</f>
      </c>
      <c r="P95">
        <f>IF($C$65&lt;&gt;1,0,P94*(1+((1+$C$70)^(1/12)-1))^12-J94/12*(1+((1+$C$70)^(1/12)-1))*(((1+((1+$C$70)^(1/12)-1))^12-1)/((1+((1+$C$70)^(1/12)-1))-1)))</f>
      </c>
      <c r="Q95">
        <f>IF($C$65&lt;&gt;1,0,IFERROR((((1+($C$70+'Inputs'!$H$123/100))^(1/12)-1)-((1+$C$70)^(1/12)-1))*(P95*(((1+((1+$C$70)^(1/12)-1))^12-1)/((1+((1+$C$70)^(1/12)-1))-1))-J95/12/((1+((1+$C$70)^(1/12)-1))-1)*((1+((1+$C$70)^(1/12)-1))*(((1+((1+$C$70)^(1/12)-1))^12-1)/((1+((1+$C$70)^(1/12)-1))-1))-12)),0))</f>
      </c>
    </row>
    <row r="96" spans="9:17" x14ac:dyDescent="0.25">
      <c r="I96">
        <v>36</v>
      </c>
      <c r="J96">
        <f>IF(I96&lt;$C$62,MAX(0,12*$C$63*(1+$C$64)^I96-K96),0)</f>
      </c>
      <c r="K96">
        <f>SUMPRODUCT(('Inputs'!$G$76:$G$81=$C$58)*($C$58&lt;&gt;"")*'Inputs'!$D$76:$D$81*(1+'Inputs'!$E$76:$E$81/100)^I96*(ABS('Inputs'!$F$76:$F$81-12*I96)-ABS(('Inputs'!$F$76:$F$81-12*I96)-12)+12)/2)</f>
      </c>
      <c r="L96">
        <f>IF(J96&gt;0,1,0)</f>
      </c>
      <c r="P96">
        <f>IF($C$65&lt;&gt;1,0,P95*(1+((1+$C$70)^(1/12)-1))^12-J95/12*(1+((1+$C$70)^(1/12)-1))*(((1+((1+$C$70)^(1/12)-1))^12-1)/((1+((1+$C$70)^(1/12)-1))-1)))</f>
      </c>
      <c r="Q96">
        <f>IF($C$65&lt;&gt;1,0,IFERROR((((1+($C$70+'Inputs'!$H$123/100))^(1/12)-1)-((1+$C$70)^(1/12)-1))*(P96*(((1+((1+$C$70)^(1/12)-1))^12-1)/((1+((1+$C$70)^(1/12)-1))-1))-J96/12/((1+((1+$C$70)^(1/12)-1))-1)*((1+((1+$C$70)^(1/12)-1))*(((1+((1+$C$70)^(1/12)-1))^12-1)/((1+((1+$C$70)^(1/12)-1))-1))-12)),0))</f>
      </c>
    </row>
    <row r="97" spans="9:17" x14ac:dyDescent="0.25">
      <c r="I97">
        <v>37</v>
      </c>
      <c r="J97">
        <f>IF(I97&lt;$C$62,MAX(0,12*$C$63*(1+$C$64)^I97-K97),0)</f>
      </c>
      <c r="K97">
        <f>SUMPRODUCT(('Inputs'!$G$76:$G$81=$C$58)*($C$58&lt;&gt;"")*'Inputs'!$D$76:$D$81*(1+'Inputs'!$E$76:$E$81/100)^I97*(ABS('Inputs'!$F$76:$F$81-12*I97)-ABS(('Inputs'!$F$76:$F$81-12*I97)-12)+12)/2)</f>
      </c>
      <c r="L97">
        <f>IF(J97&gt;0,1,0)</f>
      </c>
      <c r="P97">
        <f>IF($C$65&lt;&gt;1,0,P96*(1+((1+$C$70)^(1/12)-1))^12-J96/12*(1+((1+$C$70)^(1/12)-1))*(((1+((1+$C$70)^(1/12)-1))^12-1)/((1+((1+$C$70)^(1/12)-1))-1)))</f>
      </c>
      <c r="Q97">
        <f>IF($C$65&lt;&gt;1,0,IFERROR((((1+($C$70+'Inputs'!$H$123/100))^(1/12)-1)-((1+$C$70)^(1/12)-1))*(P97*(((1+((1+$C$70)^(1/12)-1))^12-1)/((1+((1+$C$70)^(1/12)-1))-1))-J97/12/((1+((1+$C$70)^(1/12)-1))-1)*((1+((1+$C$70)^(1/12)-1))*(((1+((1+$C$70)^(1/12)-1))^12-1)/((1+((1+$C$70)^(1/12)-1))-1))-12)),0))</f>
      </c>
    </row>
    <row r="98" spans="9:17" x14ac:dyDescent="0.25">
      <c r="I98">
        <v>38</v>
      </c>
      <c r="J98">
        <f>IF(I98&lt;$C$62,MAX(0,12*$C$63*(1+$C$64)^I98-K98),0)</f>
      </c>
      <c r="K98">
        <f>SUMPRODUCT(('Inputs'!$G$76:$G$81=$C$58)*($C$58&lt;&gt;"")*'Inputs'!$D$76:$D$81*(1+'Inputs'!$E$76:$E$81/100)^I98*(ABS('Inputs'!$F$76:$F$81-12*I98)-ABS(('Inputs'!$F$76:$F$81-12*I98)-12)+12)/2)</f>
      </c>
      <c r="L98">
        <f>IF(J98&gt;0,1,0)</f>
      </c>
      <c r="P98">
        <f>IF($C$65&lt;&gt;1,0,P97*(1+((1+$C$70)^(1/12)-1))^12-J97/12*(1+((1+$C$70)^(1/12)-1))*(((1+((1+$C$70)^(1/12)-1))^12-1)/((1+((1+$C$70)^(1/12)-1))-1)))</f>
      </c>
      <c r="Q98">
        <f>IF($C$65&lt;&gt;1,0,IFERROR((((1+($C$70+'Inputs'!$H$123/100))^(1/12)-1)-((1+$C$70)^(1/12)-1))*(P98*(((1+((1+$C$70)^(1/12)-1))^12-1)/((1+((1+$C$70)^(1/12)-1))-1))-J98/12/((1+((1+$C$70)^(1/12)-1))-1)*((1+((1+$C$70)^(1/12)-1))*(((1+((1+$C$70)^(1/12)-1))^12-1)/((1+((1+$C$70)^(1/12)-1))-1))-12)),0))</f>
      </c>
    </row>
    <row r="99" spans="9:17" x14ac:dyDescent="0.25">
      <c r="I99">
        <v>39</v>
      </c>
      <c r="J99">
        <f>IF(I99&lt;$C$62,MAX(0,12*$C$63*(1+$C$64)^I99-K99),0)</f>
      </c>
      <c r="K99">
        <f>SUMPRODUCT(('Inputs'!$G$76:$G$81=$C$58)*($C$58&lt;&gt;"")*'Inputs'!$D$76:$D$81*(1+'Inputs'!$E$76:$E$81/100)^I99*(ABS('Inputs'!$F$76:$F$81-12*I99)-ABS(('Inputs'!$F$76:$F$81-12*I99)-12)+12)/2)</f>
      </c>
      <c r="L99">
        <f>IF(J99&gt;0,1,0)</f>
      </c>
      <c r="P99">
        <f>IF($C$65&lt;&gt;1,0,P98*(1+((1+$C$70)^(1/12)-1))^12-J98/12*(1+((1+$C$70)^(1/12)-1))*(((1+((1+$C$70)^(1/12)-1))^12-1)/((1+((1+$C$70)^(1/12)-1))-1)))</f>
      </c>
      <c r="Q99">
        <f>IF($C$65&lt;&gt;1,0,IFERROR((((1+($C$70+'Inputs'!$H$123/100))^(1/12)-1)-((1+$C$70)^(1/12)-1))*(P99*(((1+((1+$C$70)^(1/12)-1))^12-1)/((1+((1+$C$70)^(1/12)-1))-1))-J99/12/((1+((1+$C$70)^(1/12)-1))-1)*((1+((1+$C$70)^(1/12)-1))*(((1+((1+$C$70)^(1/12)-1))^12-1)/((1+((1+$C$70)^(1/12)-1))-1))-12)),0))</f>
      </c>
    </row>
    <row r="100" spans="9:17" x14ac:dyDescent="0.25">
      <c r="I100">
        <v>40</v>
      </c>
      <c r="J100">
        <f>IF(I100&lt;$C$62,MAX(0,12*$C$63*(1+$C$64)^I100-K100),0)</f>
      </c>
      <c r="K100">
        <f>SUMPRODUCT(('Inputs'!$G$76:$G$81=$C$58)*($C$58&lt;&gt;"")*'Inputs'!$D$76:$D$81*(1+'Inputs'!$E$76:$E$81/100)^I100*(ABS('Inputs'!$F$76:$F$81-12*I100)-ABS(('Inputs'!$F$76:$F$81-12*I100)-12)+12)/2)</f>
      </c>
      <c r="L100">
        <f>IF(J100&gt;0,1,0)</f>
      </c>
      <c r="P100">
        <f>IF($C$65&lt;&gt;1,0,P99*(1+((1+$C$70)^(1/12)-1))^12-J99/12*(1+((1+$C$70)^(1/12)-1))*(((1+((1+$C$70)^(1/12)-1))^12-1)/((1+((1+$C$70)^(1/12)-1))-1)))</f>
      </c>
      <c r="Q100">
        <f>IF($C$65&lt;&gt;1,0,IFERROR((((1+($C$70+'Inputs'!$H$123/100))^(1/12)-1)-((1+$C$70)^(1/12)-1))*(P100*(((1+((1+$C$70)^(1/12)-1))^12-1)/((1+((1+$C$70)^(1/12)-1))-1))-J100/12/((1+((1+$C$70)^(1/12)-1))-1)*((1+((1+$C$70)^(1/12)-1))*(((1+((1+$C$70)^(1/12)-1))^12-1)/((1+((1+$C$70)^(1/12)-1))-1))-12)),0))</f>
      </c>
    </row>
    <row r="101" spans="9:17" x14ac:dyDescent="0.25">
      <c r="I101">
        <v>41</v>
      </c>
      <c r="J101">
        <f>IF(I101&lt;$C$62,MAX(0,12*$C$63*(1+$C$64)^I101-K101),0)</f>
      </c>
      <c r="K101">
        <f>SUMPRODUCT(('Inputs'!$G$76:$G$81=$C$58)*($C$58&lt;&gt;"")*'Inputs'!$D$76:$D$81*(1+'Inputs'!$E$76:$E$81/100)^I101*(ABS('Inputs'!$F$76:$F$81-12*I101)-ABS(('Inputs'!$F$76:$F$81-12*I101)-12)+12)/2)</f>
      </c>
      <c r="L101">
        <f>IF(J101&gt;0,1,0)</f>
      </c>
      <c r="P101">
        <f>IF($C$65&lt;&gt;1,0,P100*(1+((1+$C$70)^(1/12)-1))^12-J100/12*(1+((1+$C$70)^(1/12)-1))*(((1+((1+$C$70)^(1/12)-1))^12-1)/((1+((1+$C$70)^(1/12)-1))-1)))</f>
      </c>
      <c r="Q101">
        <f>IF($C$65&lt;&gt;1,0,IFERROR((((1+($C$70+'Inputs'!$H$123/100))^(1/12)-1)-((1+$C$70)^(1/12)-1))*(P101*(((1+((1+$C$70)^(1/12)-1))^12-1)/((1+((1+$C$70)^(1/12)-1))-1))-J101/12/((1+((1+$C$70)^(1/12)-1))-1)*((1+((1+$C$70)^(1/12)-1))*(((1+((1+$C$70)^(1/12)-1))^12-1)/((1+((1+$C$70)^(1/12)-1))-1))-12)),0))</f>
      </c>
    </row>
    <row r="102" spans="9:17" x14ac:dyDescent="0.25">
      <c r="I102">
        <v>42</v>
      </c>
      <c r="J102">
        <f>IF(I102&lt;$C$62,MAX(0,12*$C$63*(1+$C$64)^I102-K102),0)</f>
      </c>
      <c r="K102">
        <f>SUMPRODUCT(('Inputs'!$G$76:$G$81=$C$58)*($C$58&lt;&gt;"")*'Inputs'!$D$76:$D$81*(1+'Inputs'!$E$76:$E$81/100)^I102*(ABS('Inputs'!$F$76:$F$81-12*I102)-ABS(('Inputs'!$F$76:$F$81-12*I102)-12)+12)/2)</f>
      </c>
      <c r="L102">
        <f>IF(J102&gt;0,1,0)</f>
      </c>
      <c r="P102">
        <f>IF($C$65&lt;&gt;1,0,P101*(1+((1+$C$70)^(1/12)-1))^12-J101/12*(1+((1+$C$70)^(1/12)-1))*(((1+((1+$C$70)^(1/12)-1))^12-1)/((1+((1+$C$70)^(1/12)-1))-1)))</f>
      </c>
      <c r="Q102">
        <f>IF($C$65&lt;&gt;1,0,IFERROR((((1+($C$70+'Inputs'!$H$123/100))^(1/12)-1)-((1+$C$70)^(1/12)-1))*(P102*(((1+((1+$C$70)^(1/12)-1))^12-1)/((1+((1+$C$70)^(1/12)-1))-1))-J102/12/((1+((1+$C$70)^(1/12)-1))-1)*((1+((1+$C$70)^(1/12)-1))*(((1+((1+$C$70)^(1/12)-1))^12-1)/((1+((1+$C$70)^(1/12)-1))-1))-12)),0))</f>
      </c>
    </row>
    <row r="103" spans="9:17" x14ac:dyDescent="0.25">
      <c r="I103">
        <v>43</v>
      </c>
      <c r="J103">
        <f>IF(I103&lt;$C$62,MAX(0,12*$C$63*(1+$C$64)^I103-K103),0)</f>
      </c>
      <c r="K103">
        <f>SUMPRODUCT(('Inputs'!$G$76:$G$81=$C$58)*($C$58&lt;&gt;"")*'Inputs'!$D$76:$D$81*(1+'Inputs'!$E$76:$E$81/100)^I103*(ABS('Inputs'!$F$76:$F$81-12*I103)-ABS(('Inputs'!$F$76:$F$81-12*I103)-12)+12)/2)</f>
      </c>
      <c r="L103">
        <f>IF(J103&gt;0,1,0)</f>
      </c>
      <c r="P103">
        <f>IF($C$65&lt;&gt;1,0,P102*(1+((1+$C$70)^(1/12)-1))^12-J102/12*(1+((1+$C$70)^(1/12)-1))*(((1+((1+$C$70)^(1/12)-1))^12-1)/((1+((1+$C$70)^(1/12)-1))-1)))</f>
      </c>
      <c r="Q103">
        <f>IF($C$65&lt;&gt;1,0,IFERROR((((1+($C$70+'Inputs'!$H$123/100))^(1/12)-1)-((1+$C$70)^(1/12)-1))*(P103*(((1+((1+$C$70)^(1/12)-1))^12-1)/((1+((1+$C$70)^(1/12)-1))-1))-J103/12/((1+((1+$C$70)^(1/12)-1))-1)*((1+((1+$C$70)^(1/12)-1))*(((1+((1+$C$70)^(1/12)-1))^12-1)/((1+((1+$C$70)^(1/12)-1))-1))-12)),0))</f>
      </c>
    </row>
    <row r="104" spans="9:17" x14ac:dyDescent="0.25">
      <c r="I104">
        <v>44</v>
      </c>
      <c r="J104">
        <f>IF(I104&lt;$C$62,MAX(0,12*$C$63*(1+$C$64)^I104-K104),0)</f>
      </c>
      <c r="K104">
        <f>SUMPRODUCT(('Inputs'!$G$76:$G$81=$C$58)*($C$58&lt;&gt;"")*'Inputs'!$D$76:$D$81*(1+'Inputs'!$E$76:$E$81/100)^I104*(ABS('Inputs'!$F$76:$F$81-12*I104)-ABS(('Inputs'!$F$76:$F$81-12*I104)-12)+12)/2)</f>
      </c>
      <c r="L104">
        <f>IF(J104&gt;0,1,0)</f>
      </c>
      <c r="P104">
        <f>IF($C$65&lt;&gt;1,0,P103*(1+((1+$C$70)^(1/12)-1))^12-J103/12*(1+((1+$C$70)^(1/12)-1))*(((1+((1+$C$70)^(1/12)-1))^12-1)/((1+((1+$C$70)^(1/12)-1))-1)))</f>
      </c>
      <c r="Q104">
        <f>IF($C$65&lt;&gt;1,0,IFERROR((((1+($C$70+'Inputs'!$H$123/100))^(1/12)-1)-((1+$C$70)^(1/12)-1))*(P104*(((1+((1+$C$70)^(1/12)-1))^12-1)/((1+((1+$C$70)^(1/12)-1))-1))-J104/12/((1+((1+$C$70)^(1/12)-1))-1)*((1+((1+$C$70)^(1/12)-1))*(((1+((1+$C$70)^(1/12)-1))^12-1)/((1+((1+$C$70)^(1/12)-1))-1))-12)),0))</f>
      </c>
    </row>
    <row r="105" spans="9:17" x14ac:dyDescent="0.25">
      <c r="I105">
        <v>45</v>
      </c>
      <c r="J105">
        <f>IF(I105&lt;$C$62,MAX(0,12*$C$63*(1+$C$64)^I105-K105),0)</f>
      </c>
      <c r="K105">
        <f>SUMPRODUCT(('Inputs'!$G$76:$G$81=$C$58)*($C$58&lt;&gt;"")*'Inputs'!$D$76:$D$81*(1+'Inputs'!$E$76:$E$81/100)^I105*(ABS('Inputs'!$F$76:$F$81-12*I105)-ABS(('Inputs'!$F$76:$F$81-12*I105)-12)+12)/2)</f>
      </c>
      <c r="L105">
        <f>IF(J105&gt;0,1,0)</f>
      </c>
      <c r="P105">
        <f>IF($C$65&lt;&gt;1,0,P104*(1+((1+$C$70)^(1/12)-1))^12-J104/12*(1+((1+$C$70)^(1/12)-1))*(((1+((1+$C$70)^(1/12)-1))^12-1)/((1+((1+$C$70)^(1/12)-1))-1)))</f>
      </c>
      <c r="Q105">
        <f>IF($C$65&lt;&gt;1,0,IFERROR((((1+($C$70+'Inputs'!$H$123/100))^(1/12)-1)-((1+$C$70)^(1/12)-1))*(P105*(((1+((1+$C$70)^(1/12)-1))^12-1)/((1+((1+$C$70)^(1/12)-1))-1))-J105/12/((1+((1+$C$70)^(1/12)-1))-1)*((1+((1+$C$70)^(1/12)-1))*(((1+((1+$C$70)^(1/12)-1))^12-1)/((1+((1+$C$70)^(1/12)-1))-1))-12)),0))</f>
      </c>
    </row>
    <row r="106" spans="9:17" x14ac:dyDescent="0.25">
      <c r="I106">
        <v>46</v>
      </c>
      <c r="J106">
        <f>IF(I106&lt;$C$62,MAX(0,12*$C$63*(1+$C$64)^I106-K106),0)</f>
      </c>
      <c r="K106">
        <f>SUMPRODUCT(('Inputs'!$G$76:$G$81=$C$58)*($C$58&lt;&gt;"")*'Inputs'!$D$76:$D$81*(1+'Inputs'!$E$76:$E$81/100)^I106*(ABS('Inputs'!$F$76:$F$81-12*I106)-ABS(('Inputs'!$F$76:$F$81-12*I106)-12)+12)/2)</f>
      </c>
      <c r="L106">
        <f>IF(J106&gt;0,1,0)</f>
      </c>
      <c r="P106">
        <f>IF($C$65&lt;&gt;1,0,P105*(1+((1+$C$70)^(1/12)-1))^12-J105/12*(1+((1+$C$70)^(1/12)-1))*(((1+((1+$C$70)^(1/12)-1))^12-1)/((1+((1+$C$70)^(1/12)-1))-1)))</f>
      </c>
      <c r="Q106">
        <f>IF($C$65&lt;&gt;1,0,IFERROR((((1+($C$70+'Inputs'!$H$123/100))^(1/12)-1)-((1+$C$70)^(1/12)-1))*(P106*(((1+((1+$C$70)^(1/12)-1))^12-1)/((1+((1+$C$70)^(1/12)-1))-1))-J106/12/((1+((1+$C$70)^(1/12)-1))-1)*((1+((1+$C$70)^(1/12)-1))*(((1+((1+$C$70)^(1/12)-1))^12-1)/((1+((1+$C$70)^(1/12)-1))-1))-12)),0))</f>
      </c>
    </row>
    <row r="107" spans="9:17" x14ac:dyDescent="0.25">
      <c r="I107">
        <v>47</v>
      </c>
      <c r="J107">
        <f>IF(I107&lt;$C$62,MAX(0,12*$C$63*(1+$C$64)^I107-K107),0)</f>
      </c>
      <c r="K107">
        <f>SUMPRODUCT(('Inputs'!$G$76:$G$81=$C$58)*($C$58&lt;&gt;"")*'Inputs'!$D$76:$D$81*(1+'Inputs'!$E$76:$E$81/100)^I107*(ABS('Inputs'!$F$76:$F$81-12*I107)-ABS(('Inputs'!$F$76:$F$81-12*I107)-12)+12)/2)</f>
      </c>
      <c r="L107">
        <f>IF(J107&gt;0,1,0)</f>
      </c>
      <c r="P107">
        <f>IF($C$65&lt;&gt;1,0,P106*(1+((1+$C$70)^(1/12)-1))^12-J106/12*(1+((1+$C$70)^(1/12)-1))*(((1+((1+$C$70)^(1/12)-1))^12-1)/((1+((1+$C$70)^(1/12)-1))-1)))</f>
      </c>
      <c r="Q107">
        <f>IF($C$65&lt;&gt;1,0,IFERROR((((1+($C$70+'Inputs'!$H$123/100))^(1/12)-1)-((1+$C$70)^(1/12)-1))*(P107*(((1+((1+$C$70)^(1/12)-1))^12-1)/((1+((1+$C$70)^(1/12)-1))-1))-J107/12/((1+((1+$C$70)^(1/12)-1))-1)*((1+((1+$C$70)^(1/12)-1))*(((1+((1+$C$70)^(1/12)-1))^12-1)/((1+((1+$C$70)^(1/12)-1))-1))-12)),0))</f>
      </c>
    </row>
    <row r="108" spans="9:17" x14ac:dyDescent="0.25">
      <c r="I108">
        <v>48</v>
      </c>
      <c r="J108">
        <f>IF(I108&lt;$C$62,MAX(0,12*$C$63*(1+$C$64)^I108-K108),0)</f>
      </c>
      <c r="K108">
        <f>SUMPRODUCT(('Inputs'!$G$76:$G$81=$C$58)*($C$58&lt;&gt;"")*'Inputs'!$D$76:$D$81*(1+'Inputs'!$E$76:$E$81/100)^I108*(ABS('Inputs'!$F$76:$F$81-12*I108)-ABS(('Inputs'!$F$76:$F$81-12*I108)-12)+12)/2)</f>
      </c>
      <c r="L108">
        <f>IF(J108&gt;0,1,0)</f>
      </c>
      <c r="P108">
        <f>IF($C$65&lt;&gt;1,0,P107*(1+((1+$C$70)^(1/12)-1))^12-J107/12*(1+((1+$C$70)^(1/12)-1))*(((1+((1+$C$70)^(1/12)-1))^12-1)/((1+((1+$C$70)^(1/12)-1))-1)))</f>
      </c>
      <c r="Q108">
        <f>IF($C$65&lt;&gt;1,0,IFERROR((((1+($C$70+'Inputs'!$H$123/100))^(1/12)-1)-((1+$C$70)^(1/12)-1))*(P108*(((1+((1+$C$70)^(1/12)-1))^12-1)/((1+((1+$C$70)^(1/12)-1))-1))-J108/12/((1+((1+$C$70)^(1/12)-1))-1)*((1+((1+$C$70)^(1/12)-1))*(((1+((1+$C$70)^(1/12)-1))^12-1)/((1+((1+$C$70)^(1/12)-1))-1))-12)),0))</f>
      </c>
    </row>
    <row r="109" spans="9:17" x14ac:dyDescent="0.25">
      <c r="I109">
        <v>49</v>
      </c>
      <c r="J109">
        <f>IF(I109&lt;$C$62,MAX(0,12*$C$63*(1+$C$64)^I109-K109),0)</f>
      </c>
      <c r="K109">
        <f>SUMPRODUCT(('Inputs'!$G$76:$G$81=$C$58)*($C$58&lt;&gt;"")*'Inputs'!$D$76:$D$81*(1+'Inputs'!$E$76:$E$81/100)^I109*(ABS('Inputs'!$F$76:$F$81-12*I109)-ABS(('Inputs'!$F$76:$F$81-12*I109)-12)+12)/2)</f>
      </c>
      <c r="L109">
        <f>IF(J109&gt;0,1,0)</f>
      </c>
      <c r="P109">
        <f>IF($C$65&lt;&gt;1,0,P108*(1+((1+$C$70)^(1/12)-1))^12-J108/12*(1+((1+$C$70)^(1/12)-1))*(((1+((1+$C$70)^(1/12)-1))^12-1)/((1+((1+$C$70)^(1/12)-1))-1)))</f>
      </c>
      <c r="Q109">
        <f>IF($C$65&lt;&gt;1,0,IFERROR((((1+($C$70+'Inputs'!$H$123/100))^(1/12)-1)-((1+$C$70)^(1/12)-1))*(P109*(((1+((1+$C$70)^(1/12)-1))^12-1)/((1+((1+$C$70)^(1/12)-1))-1))-J109/12/((1+((1+$C$70)^(1/12)-1))-1)*((1+((1+$C$70)^(1/12)-1))*(((1+((1+$C$70)^(1/12)-1))^12-1)/((1+((1+$C$70)^(1/12)-1))-1))-12)),0))</f>
      </c>
    </row>
    <row r="114" spans="2:3" x14ac:dyDescent="0.25">
      <c r="B114" t="s">
        <v>118</v>
      </c>
      <c r="C114">
        <f>IF('Inputs'!$B$102="","",'Inputs'!$B$102)</f>
      </c>
    </row>
    <row r="115" spans="2:17" x14ac:dyDescent="0.25">
      <c r="B115" t="s">
        <v>120</v>
      </c>
      <c r="C115">
        <f>N('Inputs'!$D$102)</f>
      </c>
      <c r="I115" t="s">
        <v>398</v>
      </c>
      <c r="J115" t="s">
        <v>399</v>
      </c>
      <c r="K115" t="s">
        <v>400</v>
      </c>
      <c r="L115" t="s">
        <v>401</v>
      </c>
      <c r="P115" t="s">
        <v>402</v>
      </c>
      <c r="Q115" t="s">
        <v>403</v>
      </c>
    </row>
    <row r="116" spans="2:17" x14ac:dyDescent="0.25">
      <c r="B116" t="s">
        <v>404</v>
      </c>
      <c r="C116">
        <f>IF($C$115&gt;=75,'Inputs'!$H$131,IF($C$115&gt;=65,'Inputs'!$H$130,'Inputs'!$H$124))</f>
      </c>
      <c r="I116">
        <v>0</v>
      </c>
      <c r="J116">
        <f>IF(I116&lt;$C$118,MAX(0,12*$C$119*(1+$C$120)^I116-K116),0)</f>
      </c>
      <c r="K116">
        <f>SUMPRODUCT(('Inputs'!$G$76:$G$81=$C$114)*($C$114&lt;&gt;"")*'Inputs'!$D$76:$D$81*(1+'Inputs'!$E$76:$E$81/100)^I116*(ABS('Inputs'!$F$76:$F$81-12*I116)-ABS(('Inputs'!$F$76:$F$81-12*I116)-12)+12)/2)</f>
      </c>
      <c r="L116">
        <f>IF(J116&gt;0,1,0)</f>
      </c>
      <c r="P116">
        <f>IF($C$121&lt;&gt;1,0,IF($C$126=0,SUM($J$116:$J$165),(1-(1+$C$126)^-1)/(1-(1+$C$126)^(-1/12))/12*SUMPRODUCT($J$116:$J$165,(1+$C$126)^(-$I$116:$I$165))))</f>
      </c>
      <c r="Q116">
        <f>IF($C$121&lt;&gt;1,0,IFERROR((((1+($C$126+'Inputs'!$H$123/100))^(1/12)-1)-((1+$C$126)^(1/12)-1))*(P116*(((1+((1+$C$126)^(1/12)-1))^12-1)/((1+((1+$C$126)^(1/12)-1))-1))-J116/12/((1+((1+$C$126)^(1/12)-1))-1)*((1+((1+$C$126)^(1/12)-1))*(((1+((1+$C$126)^(1/12)-1))^12-1)/((1+((1+$C$126)^(1/12)-1))-1))-12)),0))</f>
      </c>
    </row>
    <row r="117" spans="2:17" x14ac:dyDescent="0.25">
      <c r="B117" t="s">
        <v>405</v>
      </c>
      <c r="C117">
        <f>N('Inputs'!$I$102)</f>
      </c>
      <c r="I117">
        <v>1</v>
      </c>
      <c r="J117">
        <f>IF(I117&lt;$C$118,MAX(0,12*$C$119*(1+$C$120)^I117-K117),0)</f>
      </c>
      <c r="K117">
        <f>SUMPRODUCT(('Inputs'!$G$76:$G$81=$C$114)*($C$114&lt;&gt;"")*'Inputs'!$D$76:$D$81*(1+'Inputs'!$E$76:$E$81/100)^I117*(ABS('Inputs'!$F$76:$F$81-12*I117)-ABS(('Inputs'!$F$76:$F$81-12*I117)-12)+12)/2)</f>
      </c>
      <c r="L117">
        <f>IF(J117&gt;0,1,0)</f>
      </c>
      <c r="P117">
        <f>IF($C$121&lt;&gt;1,0,P116*(1+((1+$C$126)^(1/12)-1))^12-J116/12*(1+((1+$C$126)^(1/12)-1))*(((1+((1+$C$126)^(1/12)-1))^12-1)/((1+((1+$C$126)^(1/12)-1))-1)))</f>
      </c>
      <c r="Q117">
        <f>IF($C$121&lt;&gt;1,0,IFERROR((((1+($C$126+'Inputs'!$H$123/100))^(1/12)-1)-((1+$C$126)^(1/12)-1))*(P117*(((1+((1+$C$126)^(1/12)-1))^12-1)/((1+((1+$C$126)^(1/12)-1))-1))-J117/12/((1+((1+$C$126)^(1/12)-1))-1)*((1+((1+$C$126)^(1/12)-1))*(((1+((1+$C$126)^(1/12)-1))^12-1)/((1+((1+$C$126)^(1/12)-1))-1))-12)),0))</f>
      </c>
    </row>
    <row r="118" spans="2:17" x14ac:dyDescent="0.25">
      <c r="B118" t="s">
        <v>406</v>
      </c>
      <c r="C118">
        <f>IF($C$114="",0,N('Inputs'!$F$102))</f>
      </c>
      <c r="I118">
        <v>2</v>
      </c>
      <c r="J118">
        <f>IF(I118&lt;$C$118,MAX(0,12*$C$119*(1+$C$120)^I118-K118),0)</f>
      </c>
      <c r="K118">
        <f>SUMPRODUCT(('Inputs'!$G$76:$G$81=$C$114)*($C$114&lt;&gt;"")*'Inputs'!$D$76:$D$81*(1+'Inputs'!$E$76:$E$81/100)^I118*(ABS('Inputs'!$F$76:$F$81-12*I118)-ABS(('Inputs'!$F$76:$F$81-12*I118)-12)+12)/2)</f>
      </c>
      <c r="L118">
        <f>IF(J118&gt;0,1,0)</f>
      </c>
      <c r="P118">
        <f>IF($C$121&lt;&gt;1,0,P117*(1+((1+$C$126)^(1/12)-1))^12-J117/12*(1+((1+$C$126)^(1/12)-1))*(((1+((1+$C$126)^(1/12)-1))^12-1)/((1+((1+$C$126)^(1/12)-1))-1)))</f>
      </c>
      <c r="Q118">
        <f>IF($C$121&lt;&gt;1,0,IFERROR((((1+($C$126+'Inputs'!$H$123/100))^(1/12)-1)-((1+$C$126)^(1/12)-1))*(P118*(((1+((1+$C$126)^(1/12)-1))^12-1)/((1+((1+$C$126)^(1/12)-1))-1))-J118/12/((1+((1+$C$126)^(1/12)-1))-1)*((1+((1+$C$126)^(1/12)-1))*(((1+((1+$C$126)^(1/12)-1))^12-1)/((1+((1+$C$126)^(1/12)-1))-1))-12)),0))</f>
      </c>
    </row>
    <row r="119" spans="2:17" x14ac:dyDescent="0.25">
      <c r="B119" t="s">
        <v>407</v>
      </c>
      <c r="C119">
        <f>N('Inputs'!$E$102)</f>
      </c>
      <c r="I119">
        <v>3</v>
      </c>
      <c r="J119">
        <f>IF(I119&lt;$C$118,MAX(0,12*$C$119*(1+$C$120)^I119-K119),0)</f>
      </c>
      <c r="K119">
        <f>SUMPRODUCT(('Inputs'!$G$76:$G$81=$C$114)*($C$114&lt;&gt;"")*'Inputs'!$D$76:$D$81*(1+'Inputs'!$E$76:$E$81/100)^I119*(ABS('Inputs'!$F$76:$F$81-12*I119)-ABS(('Inputs'!$F$76:$F$81-12*I119)-12)+12)/2)</f>
      </c>
      <c r="L119">
        <f>IF(J119&gt;0,1,0)</f>
      </c>
      <c r="P119">
        <f>IF($C$121&lt;&gt;1,0,P118*(1+((1+$C$126)^(1/12)-1))^12-J118/12*(1+((1+$C$126)^(1/12)-1))*(((1+((1+$C$126)^(1/12)-1))^12-1)/((1+((1+$C$126)^(1/12)-1))-1)))</f>
      </c>
      <c r="Q119">
        <f>IF($C$121&lt;&gt;1,0,IFERROR((((1+($C$126+'Inputs'!$H$123/100))^(1/12)-1)-((1+$C$126)^(1/12)-1))*(P119*(((1+((1+$C$126)^(1/12)-1))^12-1)/((1+((1+$C$126)^(1/12)-1))-1))-J119/12/((1+((1+$C$126)^(1/12)-1))-1)*((1+((1+$C$126)^(1/12)-1))*(((1+((1+$C$126)^(1/12)-1))^12-1)/((1+((1+$C$126)^(1/12)-1))-1))-12)),0))</f>
      </c>
    </row>
    <row r="120" spans="2:17" x14ac:dyDescent="0.25">
      <c r="B120" t="s">
        <v>408</v>
      </c>
      <c r="C120">
        <f>IF('Inputs'!$G$102="",'Inputs'!$H$129/100,'Inputs'!$G$102/100)</f>
      </c>
      <c r="I120">
        <v>4</v>
      </c>
      <c r="J120">
        <f>IF(I120&lt;$C$118,MAX(0,12*$C$119*(1+$C$120)^I120-K120),0)</f>
      </c>
      <c r="K120">
        <f>SUMPRODUCT(('Inputs'!$G$76:$G$81=$C$114)*($C$114&lt;&gt;"")*'Inputs'!$D$76:$D$81*(1+'Inputs'!$E$76:$E$81/100)^I120*(ABS('Inputs'!$F$76:$F$81-12*I120)-ABS(('Inputs'!$F$76:$F$81-12*I120)-12)+12)/2)</f>
      </c>
      <c r="L120">
        <f>IF(J120&gt;0,1,0)</f>
      </c>
      <c r="P120">
        <f>IF($C$121&lt;&gt;1,0,P119*(1+((1+$C$126)^(1/12)-1))^12-J119/12*(1+((1+$C$126)^(1/12)-1))*(((1+((1+$C$126)^(1/12)-1))^12-1)/((1+((1+$C$126)^(1/12)-1))-1)))</f>
      </c>
      <c r="Q120">
        <f>IF($C$121&lt;&gt;1,0,IFERROR((((1+($C$126+'Inputs'!$H$123/100))^(1/12)-1)-((1+$C$126)^(1/12)-1))*(P120*(((1+((1+$C$126)^(1/12)-1))^12-1)/((1+((1+$C$126)^(1/12)-1))-1))-J120/12/((1+((1+$C$126)^(1/12)-1))-1)*((1+((1+$C$126)^(1/12)-1))*(((1+((1+$C$126)^(1/12)-1))^12-1)/((1+((1+$C$126)^(1/12)-1))-1))-12)),0))</f>
      </c>
    </row>
    <row r="121" spans="2:17" x14ac:dyDescent="0.25">
      <c r="B121" t="s">
        <v>409</v>
      </c>
      <c r="C121">
        <f>IF('Inputs'!$H$102="Yes",1,0)</f>
      </c>
      <c r="I121">
        <v>5</v>
      </c>
      <c r="J121">
        <f>IF(I121&lt;$C$118,MAX(0,12*$C$119*(1+$C$120)^I121-K121),0)</f>
      </c>
      <c r="K121">
        <f>SUMPRODUCT(('Inputs'!$G$76:$G$81=$C$114)*($C$114&lt;&gt;"")*'Inputs'!$D$76:$D$81*(1+'Inputs'!$E$76:$E$81/100)^I121*(ABS('Inputs'!$F$76:$F$81-12*I121)-ABS(('Inputs'!$F$76:$F$81-12*I121)-12)+12)/2)</f>
      </c>
      <c r="L121">
        <f>IF(J121&gt;0,1,0)</f>
      </c>
      <c r="P121">
        <f>IF($C$121&lt;&gt;1,0,P120*(1+((1+$C$126)^(1/12)-1))^12-J120/12*(1+((1+$C$126)^(1/12)-1))*(((1+((1+$C$126)^(1/12)-1))^12-1)/((1+((1+$C$126)^(1/12)-1))-1)))</f>
      </c>
      <c r="Q121">
        <f>IF($C$121&lt;&gt;1,0,IFERROR((((1+($C$126+'Inputs'!$H$123/100))^(1/12)-1)-((1+$C$126)^(1/12)-1))*(P121*(((1+((1+$C$126)^(1/12)-1))^12-1)/((1+((1+$C$126)^(1/12)-1))-1))-J121/12/((1+((1+$C$126)^(1/12)-1))-1)*((1+((1+$C$126)^(1/12)-1))*(((1+((1+$C$126)^(1/12)-1))^12-1)/((1+((1+$C$126)^(1/12)-1))-1))-12)),0))</f>
      </c>
    </row>
    <row r="122" spans="2:17" x14ac:dyDescent="0.25">
      <c r="B122" t="s">
        <v>410</v>
      </c>
      <c r="C122">
        <f>IF($C$114="",0,N('Inputs'!$J$102))</f>
      </c>
      <c r="I122">
        <v>6</v>
      </c>
      <c r="J122">
        <f>IF(I122&lt;$C$118,MAX(0,12*$C$119*(1+$C$120)^I122-K122),0)</f>
      </c>
      <c r="K122">
        <f>SUMPRODUCT(('Inputs'!$G$76:$G$81=$C$114)*($C$114&lt;&gt;"")*'Inputs'!$D$76:$D$81*(1+'Inputs'!$E$76:$E$81/100)^I122*(ABS('Inputs'!$F$76:$F$81-12*I122)-ABS(('Inputs'!$F$76:$F$81-12*I122)-12)+12)/2)</f>
      </c>
      <c r="L122">
        <f>IF(J122&gt;0,1,0)</f>
      </c>
      <c r="P122">
        <f>IF($C$121&lt;&gt;1,0,P121*(1+((1+$C$126)^(1/12)-1))^12-J121/12*(1+((1+$C$126)^(1/12)-1))*(((1+((1+$C$126)^(1/12)-1))^12-1)/((1+((1+$C$126)^(1/12)-1))-1)))</f>
      </c>
      <c r="Q122">
        <f>IF($C$121&lt;&gt;1,0,IFERROR((((1+($C$126+'Inputs'!$H$123/100))^(1/12)-1)-((1+$C$126)^(1/12)-1))*(P122*(((1+((1+$C$126)^(1/12)-1))^12-1)/((1+((1+$C$126)^(1/12)-1))-1))-J122/12/((1+((1+$C$126)^(1/12)-1))-1)*((1+((1+$C$126)^(1/12)-1))*(((1+((1+$C$126)^(1/12)-1))^12-1)/((1+((1+$C$126)^(1/12)-1))-1))-12)),0))</f>
      </c>
    </row>
    <row r="123" spans="2:17" x14ac:dyDescent="0.25">
      <c r="B123" t="s">
        <v>411</v>
      </c>
      <c r="C123">
        <f>ROUND(Q116,2)</f>
      </c>
      <c r="I123">
        <v>7</v>
      </c>
      <c r="J123">
        <f>IF(I123&lt;$C$118,MAX(0,12*$C$119*(1+$C$120)^I123-K123),0)</f>
      </c>
      <c r="K123">
        <f>SUMPRODUCT(('Inputs'!$G$76:$G$81=$C$114)*($C$114&lt;&gt;"")*'Inputs'!$D$76:$D$81*(1+'Inputs'!$E$76:$E$81/100)^I123*(ABS('Inputs'!$F$76:$F$81-12*I123)-ABS(('Inputs'!$F$76:$F$81-12*I123)-12)+12)/2)</f>
      </c>
      <c r="L123">
        <f>IF(J123&gt;0,1,0)</f>
      </c>
      <c r="P123">
        <f>IF($C$121&lt;&gt;1,0,P122*(1+((1+$C$126)^(1/12)-1))^12-J122/12*(1+((1+$C$126)^(1/12)-1))*(((1+((1+$C$126)^(1/12)-1))^12-1)/((1+((1+$C$126)^(1/12)-1))-1)))</f>
      </c>
      <c r="Q123">
        <f>IF($C$121&lt;&gt;1,0,IFERROR((((1+($C$126+'Inputs'!$H$123/100))^(1/12)-1)-((1+$C$126)^(1/12)-1))*(P123*(((1+((1+$C$126)^(1/12)-1))^12-1)/((1+((1+$C$126)^(1/12)-1))-1))-J123/12/((1+((1+$C$126)^(1/12)-1))-1)*((1+((1+$C$126)^(1/12)-1))*(((1+((1+$C$126)^(1/12)-1))^12-1)/((1+((1+$C$126)^(1/12)-1))-1))-12)),0))</f>
      </c>
    </row>
    <row r="124" spans="2:17" x14ac:dyDescent="0.25">
      <c r="B124" t="s">
        <v>412</v>
      </c>
      <c r="C124">
        <f>ROUND(SUM($Q$116:$Q$165),2)</f>
      </c>
      <c r="I124">
        <v>8</v>
      </c>
      <c r="J124">
        <f>IF(I124&lt;$C$118,MAX(0,12*$C$119*(1+$C$120)^I124-K124),0)</f>
      </c>
      <c r="K124">
        <f>SUMPRODUCT(('Inputs'!$G$76:$G$81=$C$114)*($C$114&lt;&gt;"")*'Inputs'!$D$76:$D$81*(1+'Inputs'!$E$76:$E$81/100)^I124*(ABS('Inputs'!$F$76:$F$81-12*I124)-ABS(('Inputs'!$F$76:$F$81-12*I124)-12)+12)/2)</f>
      </c>
      <c r="L124">
        <f>IF(J124&gt;0,1,0)</f>
      </c>
      <c r="P124">
        <f>IF($C$121&lt;&gt;1,0,P123*(1+((1+$C$126)^(1/12)-1))^12-J123/12*(1+((1+$C$126)^(1/12)-1))*(((1+((1+$C$126)^(1/12)-1))^12-1)/((1+((1+$C$126)^(1/12)-1))-1)))</f>
      </c>
      <c r="Q124">
        <f>IF($C$121&lt;&gt;1,0,IFERROR((((1+($C$126+'Inputs'!$H$123/100))^(1/12)-1)-((1+$C$126)^(1/12)-1))*(P124*(((1+((1+$C$126)^(1/12)-1))^12-1)/((1+((1+$C$126)^(1/12)-1))-1))-J124/12/((1+((1+$C$126)^(1/12)-1))-1)*((1+((1+$C$126)^(1/12)-1))*(((1+((1+$C$126)^(1/12)-1))^12-1)/((1+((1+$C$126)^(1/12)-1))-1))-12)),0))</f>
      </c>
    </row>
    <row r="125" spans="2:17" x14ac:dyDescent="0.25">
      <c r="B125" t="s">
        <v>413</v>
      </c>
      <c r="C125">
        <f>IF($C$121&lt;&gt;1,0,ROUND(IF($C$126=0,SUM($J$116:$J$165),(1-(1+$C$126)^-1)/(1-(1+$C$126)^(-1/12))/12*SUMPRODUCT($J$116:$J$165,(1+$C$126)^(-$I$116:$I$165)))-IF(($C$126+'Inputs'!$H$123/100)=0,SUM($J$116:$J$165),(1-(1+($C$126+'Inputs'!$H$123/100))^-1)/(1-(1+($C$126+'Inputs'!$H$123/100))^(-1/12))/12*SUMPRODUCT($J$116:$J$165,(1+($C$126+'Inputs'!$H$123/100))^(-$I$116:$I$165))),2))</f>
      </c>
      <c r="I125">
        <v>9</v>
      </c>
      <c r="J125">
        <f>IF(I125&lt;$C$118,MAX(0,12*$C$119*(1+$C$120)^I125-K125),0)</f>
      </c>
      <c r="K125">
        <f>SUMPRODUCT(('Inputs'!$G$76:$G$81=$C$114)*($C$114&lt;&gt;"")*'Inputs'!$D$76:$D$81*(1+'Inputs'!$E$76:$E$81/100)^I125*(ABS('Inputs'!$F$76:$F$81-12*I125)-ABS(('Inputs'!$F$76:$F$81-12*I125)-12)+12)/2)</f>
      </c>
      <c r="L125">
        <f>IF(J125&gt;0,1,0)</f>
      </c>
      <c r="P125">
        <f>IF($C$121&lt;&gt;1,0,P124*(1+((1+$C$126)^(1/12)-1))^12-J124/12*(1+((1+$C$126)^(1/12)-1))*(((1+((1+$C$126)^(1/12)-1))^12-1)/((1+((1+$C$126)^(1/12)-1))-1)))</f>
      </c>
      <c r="Q125">
        <f>IF($C$121&lt;&gt;1,0,IFERROR((((1+($C$126+'Inputs'!$H$123/100))^(1/12)-1)-((1+$C$126)^(1/12)-1))*(P125*(((1+((1+$C$126)^(1/12)-1))^12-1)/((1+((1+$C$126)^(1/12)-1))-1))-J125/12/((1+((1+$C$126)^(1/12)-1))-1)*((1+((1+$C$126)^(1/12)-1))*(((1+((1+$C$126)^(1/12)-1))^12-1)/((1+((1+$C$126)^(1/12)-1))-1))-12)),0))</f>
      </c>
    </row>
    <row r="126" spans="2:17" x14ac:dyDescent="0.25">
      <c r="B126" t="s">
        <v>414</v>
      </c>
      <c r="C126">
        <f>IF($C$121=1,'Needs calc'!$C$57,0)</f>
      </c>
      <c r="I126">
        <v>10</v>
      </c>
      <c r="J126">
        <f>IF(I126&lt;$C$118,MAX(0,12*$C$119*(1+$C$120)^I126-K126),0)</f>
      </c>
      <c r="K126">
        <f>SUMPRODUCT(('Inputs'!$G$76:$G$81=$C$114)*($C$114&lt;&gt;"")*'Inputs'!$D$76:$D$81*(1+'Inputs'!$E$76:$E$81/100)^I126*(ABS('Inputs'!$F$76:$F$81-12*I126)-ABS(('Inputs'!$F$76:$F$81-12*I126)-12)+12)/2)</f>
      </c>
      <c r="L126">
        <f>IF(J126&gt;0,1,0)</f>
      </c>
      <c r="P126">
        <f>IF($C$121&lt;&gt;1,0,P125*(1+((1+$C$126)^(1/12)-1))^12-J125/12*(1+((1+$C$126)^(1/12)-1))*(((1+((1+$C$126)^(1/12)-1))^12-1)/((1+((1+$C$126)^(1/12)-1))-1)))</f>
      </c>
      <c r="Q126">
        <f>IF($C$121&lt;&gt;1,0,IFERROR((((1+($C$126+'Inputs'!$H$123/100))^(1/12)-1)-((1+$C$126)^(1/12)-1))*(P126*(((1+((1+$C$126)^(1/12)-1))^12-1)/((1+((1+$C$126)^(1/12)-1))-1))-J126/12/((1+((1+$C$126)^(1/12)-1))-1)*((1+((1+$C$126)^(1/12)-1))*(((1+((1+$C$126)^(1/12)-1))^12-1)/((1+((1+$C$126)^(1/12)-1))-1))-12)),0))</f>
      </c>
    </row>
    <row r="127" spans="2:17" x14ac:dyDescent="0.25">
      <c r="B127" t="s">
        <v>415</v>
      </c>
      <c r="C127">
        <f>SUMPRODUCT(('Inputs'!$G$76:$G$81=$C$114)*($C$114&lt;&gt;"")*('Inputs'!$F$76:$F$81&gt;0)*'Inputs'!$D$76:$D$81)</f>
      </c>
      <c r="I127">
        <v>11</v>
      </c>
      <c r="J127">
        <f>IF(I127&lt;$C$118,MAX(0,12*$C$119*(1+$C$120)^I127-K127),0)</f>
      </c>
      <c r="K127">
        <f>SUMPRODUCT(('Inputs'!$G$76:$G$81=$C$114)*($C$114&lt;&gt;"")*'Inputs'!$D$76:$D$81*(1+'Inputs'!$E$76:$E$81/100)^I127*(ABS('Inputs'!$F$76:$F$81-12*I127)-ABS(('Inputs'!$F$76:$F$81-12*I127)-12)+12)/2)</f>
      </c>
      <c r="L127">
        <f>IF(J127&gt;0,1,0)</f>
      </c>
      <c r="P127">
        <f>IF($C$121&lt;&gt;1,0,P126*(1+((1+$C$126)^(1/12)-1))^12-J126/12*(1+((1+$C$126)^(1/12)-1))*(((1+((1+$C$126)^(1/12)-1))^12-1)/((1+((1+$C$126)^(1/12)-1))-1)))</f>
      </c>
      <c r="Q127">
        <f>IF($C$121&lt;&gt;1,0,IFERROR((((1+($C$126+'Inputs'!$H$123/100))^(1/12)-1)-((1+$C$126)^(1/12)-1))*(P127*(((1+((1+$C$126)^(1/12)-1))^12-1)/((1+((1+$C$126)^(1/12)-1))-1))-J127/12/((1+((1+$C$126)^(1/12)-1))-1)*((1+((1+$C$126)^(1/12)-1))*(((1+((1+$C$126)^(1/12)-1))^12-1)/((1+((1+$C$126)^(1/12)-1))-1))-12)),0))</f>
      </c>
    </row>
    <row r="128" spans="2:17" x14ac:dyDescent="0.25">
      <c r="B128" t="s">
        <v>416</v>
      </c>
      <c r="C128">
        <f>IF($C$118&gt;0,$C$119-J116/12,0)</f>
      </c>
      <c r="I128">
        <v>12</v>
      </c>
      <c r="J128">
        <f>IF(I128&lt;$C$118,MAX(0,12*$C$119*(1+$C$120)^I128-K128),0)</f>
      </c>
      <c r="K128">
        <f>SUMPRODUCT(('Inputs'!$G$76:$G$81=$C$114)*($C$114&lt;&gt;"")*'Inputs'!$D$76:$D$81*(1+'Inputs'!$E$76:$E$81/100)^I128*(ABS('Inputs'!$F$76:$F$81-12*I128)-ABS(('Inputs'!$F$76:$F$81-12*I128)-12)+12)/2)</f>
      </c>
      <c r="L128">
        <f>IF(J128&gt;0,1,0)</f>
      </c>
      <c r="P128">
        <f>IF($C$121&lt;&gt;1,0,P127*(1+((1+$C$126)^(1/12)-1))^12-J127/12*(1+((1+$C$126)^(1/12)-1))*(((1+((1+$C$126)^(1/12)-1))^12-1)/((1+((1+$C$126)^(1/12)-1))-1)))</f>
      </c>
      <c r="Q128">
        <f>IF($C$121&lt;&gt;1,0,IFERROR((((1+($C$126+'Inputs'!$H$123/100))^(1/12)-1)-((1+$C$126)^(1/12)-1))*(P128*(((1+((1+$C$126)^(1/12)-1))^12-1)/((1+((1+$C$126)^(1/12)-1))-1))-J128/12/((1+((1+$C$126)^(1/12)-1))-1)*((1+((1+$C$126)^(1/12)-1))*(((1+((1+$C$126)^(1/12)-1))^12-1)/((1+((1+$C$126)^(1/12)-1))-1))-12)),0))</f>
      </c>
    </row>
    <row r="129" spans="2:17" x14ac:dyDescent="0.25">
      <c r="B129" t="s">
        <v>417</v>
      </c>
      <c r="C129">
        <f>SUMPRODUCT(MAX(('Inputs'!$G$76:$G$81=$C$114)*($C$114&lt;&gt;"")*'Inputs'!$F$76:$F$81))</f>
      </c>
      <c r="I129">
        <v>13</v>
      </c>
      <c r="J129">
        <f>IF(I129&lt;$C$118,MAX(0,12*$C$119*(1+$C$120)^I129-K129),0)</f>
      </c>
      <c r="K129">
        <f>SUMPRODUCT(('Inputs'!$G$76:$G$81=$C$114)*($C$114&lt;&gt;"")*'Inputs'!$D$76:$D$81*(1+'Inputs'!$E$76:$E$81/100)^I129*(ABS('Inputs'!$F$76:$F$81-12*I129)-ABS(('Inputs'!$F$76:$F$81-12*I129)-12)+12)/2)</f>
      </c>
      <c r="L129">
        <f>IF(J129&gt;0,1,0)</f>
      </c>
      <c r="P129">
        <f>IF($C$121&lt;&gt;1,0,P128*(1+((1+$C$126)^(1/12)-1))^12-J128/12*(1+((1+$C$126)^(1/12)-1))*(((1+((1+$C$126)^(1/12)-1))^12-1)/((1+((1+$C$126)^(1/12)-1))-1)))</f>
      </c>
      <c r="Q129">
        <f>IF($C$121&lt;&gt;1,0,IFERROR((((1+($C$126+'Inputs'!$H$123/100))^(1/12)-1)-((1+$C$126)^(1/12)-1))*(P129*(((1+((1+$C$126)^(1/12)-1))^12-1)/((1+((1+$C$126)^(1/12)-1))-1))-J129/12/((1+((1+$C$126)^(1/12)-1))-1)*((1+((1+$C$126)^(1/12)-1))*(((1+((1+$C$126)^(1/12)-1))^12-1)/((1+((1+$C$126)^(1/12)-1))-1))-12)),0))</f>
      </c>
    </row>
    <row r="130" spans="2:17" x14ac:dyDescent="0.25">
      <c r="B130" t="s">
        <v>418</v>
      </c>
      <c r="C130">
        <f>SUM($J$116:$J$165)</f>
      </c>
      <c r="I130">
        <v>14</v>
      </c>
      <c r="J130">
        <f>IF(I130&lt;$C$118,MAX(0,12*$C$119*(1+$C$120)^I130-K130),0)</f>
      </c>
      <c r="K130">
        <f>SUMPRODUCT(('Inputs'!$G$76:$G$81=$C$114)*($C$114&lt;&gt;"")*'Inputs'!$D$76:$D$81*(1+'Inputs'!$E$76:$E$81/100)^I130*(ABS('Inputs'!$F$76:$F$81-12*I130)-ABS(('Inputs'!$F$76:$F$81-12*I130)-12)+12)/2)</f>
      </c>
      <c r="L130">
        <f>IF(J130&gt;0,1,0)</f>
      </c>
      <c r="P130">
        <f>IF($C$121&lt;&gt;1,0,P129*(1+((1+$C$126)^(1/12)-1))^12-J129/12*(1+((1+$C$126)^(1/12)-1))*(((1+((1+$C$126)^(1/12)-1))^12-1)/((1+((1+$C$126)^(1/12)-1))-1)))</f>
      </c>
      <c r="Q130">
        <f>IF($C$121&lt;&gt;1,0,IFERROR((((1+($C$126+'Inputs'!$H$123/100))^(1/12)-1)-((1+$C$126)^(1/12)-1))*(P130*(((1+((1+$C$126)^(1/12)-1))^12-1)/((1+((1+$C$126)^(1/12)-1))-1))-J130/12/((1+((1+$C$126)^(1/12)-1))-1)*((1+((1+$C$126)^(1/12)-1))*(((1+((1+$C$126)^(1/12)-1))^12-1)/((1+((1+$C$126)^(1/12)-1))-1))-12)),0))</f>
      </c>
    </row>
    <row r="131" spans="2:17" x14ac:dyDescent="0.25">
      <c r="B131" t="s">
        <v>419</v>
      </c>
      <c r="C131">
        <f>IF('Needs calc'!$C$59&gt;0,IF(N('Inputs'!$E$102)&gt;0,IF('Needs years'!$C$127&lt;=0,IF('Needs years'!$C$122&lt;=0,'Inputs'!$B$102&amp;" would have about R "&amp;FIXED(ROUND('Needs calc'!$C$60,-2),0)&amp;" a month of the R "&amp;FIXED(ROUND('Inputs'!$E$102,-2),0)&amp;" you want. ",IF('Needs calc'!$C$54&gt;='Needs years'!$C$122,'Inputs'!$B$102&amp;" would have about R "&amp;FIXED(ROUND('Needs calc'!$C$60,-2),0)&amp;" a month of the R "&amp;FIXED(ROUND('Inputs'!$E$102,-2),0)&amp;" you want, after the R "&amp;FIXED(ROUND('Needs years'!$C$122,-3),0)&amp;" once-off. ",'Inputs'!$B$102&amp;" would have "&amp;IF('Needs calc'!$C$54&lt;=0,"nothing","about R "&amp;FIXED(ROUND('Needs calc'!$C$54,-3),0))&amp;" of the R "&amp;FIXED(ROUND('Needs years'!$C$122,-3),0)&amp;" once-off you want for them, and about R "&amp;FIXED(ROUND('Needs calc'!$C$60,-2),0)&amp;" a month of the R "&amp;FIXED(ROUND('Inputs'!$E$102,-2),0)&amp;". ")),IF('Needs years'!$C$130&lt;=0,IF('Needs years'!$C$122&gt;0,'Inputs'!$B$102&amp;"'s death income covers the R "&amp;FIXED(ROUND('Inputs'!$E$102,-2),0)&amp;" a month you want"&amp;", but "&amp;'Inputs'!$B$102&amp;" would have "&amp;IF('Needs calc'!$C$54&lt;=0,"nothing","about R "&amp;FIXED(ROUND('Needs calc'!$C$54,-3),0))&amp;" of the R "&amp;FIXED(ROUND('Needs years'!$C$122,-3),0)&amp;" once-off you want for them. ",'Inputs'!$B$102&amp;"'s death income covers the R "&amp;FIXED(ROUND('Inputs'!$E$102,-2),0)&amp;" a month you want"&amp;", but the estate duty on it, about R "&amp;FIXED(ROUND('Needs years'!$C$133,-3),0)&amp;", leaves "&amp;'Inputs'!$B$102&amp;" short. "),IF('Needs years'!$J$116&lt;=0,'Inputs'!$B$102&amp;"'s death income covers the R "&amp;FIXED(ROUND('Inputs'!$E$102,-2),0)&amp;" a month you want"&amp;" for "&amp;IF('Needs years'!$C$132=1,"the first year","the first "&amp;'Needs years'!$C$132&amp;" years")&amp;"; after that "&amp;'Inputs'!$B$102&amp;" would be short"&amp;IF(AND('Needs years'!$C$122&gt;0,'Needs calc'!$C$54&lt;'Needs years'!$C$122),", and would have "&amp;IF('Needs calc'!$C$54&lt;=0,"nothing","about R "&amp;FIXED(ROUND('Needs calc'!$C$54,-3),0))&amp;" of the R "&amp;FIXED(ROUND('Needs years'!$C$122,-3),0)&amp;" once-off","")&amp;". ",IF('Needs years'!$C$122&lt;=0,'Inputs'!$B$102&amp;" would have about R "&amp;FIXED(ROUND('Needs calc'!$C$60,-2),0)&amp;" a month of the R "&amp;FIXED(ROUND('Inputs'!$E$102,-2),0)&amp;" you want, part of it from the death income, and less once it stops. ",IF('Needs calc'!$C$54&gt;='Needs years'!$C$122,'Inputs'!$B$102&amp;" would have about R "&amp;FIXED(ROUND('Needs calc'!$C$60,-2),0)&amp;" a month of the R "&amp;FIXED(ROUND('Inputs'!$E$102,-2),0)&amp;" you want, part of it from the death income, and less once it stops, after the R "&amp;FIXED(ROUND('Needs years'!$C$122,-3),0)&amp;" once-off. ",'Inputs'!$B$102&amp;" would have "&amp;IF('Needs calc'!$C$54&lt;=0,"nothing","about R "&amp;FIXED(ROUND('Needs calc'!$C$54,-3),0))&amp;" of the R "&amp;FIXED(ROUND('Needs years'!$C$122,-3),0)&amp;" once-off you want for them, and about R "&amp;FIXED(ROUND('Needs calc'!$C$60,-2),0)&amp;" a month of the R "&amp;FIXED(ROUND('Inputs'!$E$102,-2),0)&amp;", part of it from the death income, and less once it stops. "))))),'Inputs'!$B$102&amp;" would have "&amp;IF('Needs calc'!$C$54&lt;=0,"nothing","about R "&amp;FIXED(ROUND('Needs calc'!$C$54,-3),0))&amp;" of the R "&amp;FIXED(ROUND('Needs years'!$C$122,-3),0)&amp;" you want to leave them. "),"")</f>
      </c>
      <c r="I131">
        <v>15</v>
      </c>
      <c r="J131">
        <f>IF(I131&lt;$C$118,MAX(0,12*$C$119*(1+$C$120)^I131-K131),0)</f>
      </c>
      <c r="K131">
        <f>SUMPRODUCT(('Inputs'!$G$76:$G$81=$C$114)*($C$114&lt;&gt;"")*'Inputs'!$D$76:$D$81*(1+'Inputs'!$E$76:$E$81/100)^I131*(ABS('Inputs'!$F$76:$F$81-12*I131)-ABS(('Inputs'!$F$76:$F$81-12*I131)-12)+12)/2)</f>
      </c>
      <c r="L131">
        <f>IF(J131&gt;0,1,0)</f>
      </c>
      <c r="P131">
        <f>IF($C$121&lt;&gt;1,0,P130*(1+((1+$C$126)^(1/12)-1))^12-J130/12*(1+((1+$C$126)^(1/12)-1))*(((1+((1+$C$126)^(1/12)-1))^12-1)/((1+((1+$C$126)^(1/12)-1))-1)))</f>
      </c>
      <c r="Q131">
        <f>IF($C$121&lt;&gt;1,0,IFERROR((((1+($C$126+'Inputs'!$H$123/100))^(1/12)-1)-((1+$C$126)^(1/12)-1))*(P131*(((1+((1+$C$126)^(1/12)-1))^12-1)/((1+((1+$C$126)^(1/12)-1))-1))-J131/12/((1+((1+$C$126)^(1/12)-1))-1)*((1+((1+$C$126)^(1/12)-1))*(((1+((1+$C$126)^(1/12)-1))^12-1)/((1+((1+$C$126)^(1/12)-1))-1))-12)),0))</f>
      </c>
    </row>
    <row r="132" spans="2:17" x14ac:dyDescent="0.25">
      <c r="B132" t="s">
        <v>420</v>
      </c>
      <c r="C132">
        <f>IFERROR(MATCH(1,$L$116:$L$165,0)-1,$C$118)</f>
      </c>
      <c r="I132">
        <v>16</v>
      </c>
      <c r="J132">
        <f>IF(I132&lt;$C$118,MAX(0,12*$C$119*(1+$C$120)^I132-K132),0)</f>
      </c>
      <c r="K132">
        <f>SUMPRODUCT(('Inputs'!$G$76:$G$81=$C$114)*($C$114&lt;&gt;"")*'Inputs'!$D$76:$D$81*(1+'Inputs'!$E$76:$E$81/100)^I132*(ABS('Inputs'!$F$76:$F$81-12*I132)-ABS(('Inputs'!$F$76:$F$81-12*I132)-12)+12)/2)</f>
      </c>
      <c r="L132">
        <f>IF(J132&gt;0,1,0)</f>
      </c>
      <c r="P132">
        <f>IF($C$121&lt;&gt;1,0,P131*(1+((1+$C$126)^(1/12)-1))^12-J131/12*(1+((1+$C$126)^(1/12)-1))*(((1+((1+$C$126)^(1/12)-1))^12-1)/((1+((1+$C$126)^(1/12)-1))-1)))</f>
      </c>
      <c r="Q132">
        <f>IF($C$121&lt;&gt;1,0,IFERROR((((1+($C$126+'Inputs'!$H$123/100))^(1/12)-1)-((1+$C$126)^(1/12)-1))*(P132*(((1+((1+$C$126)^(1/12)-1))^12-1)/((1+((1+$C$126)^(1/12)-1))-1))-J132/12/((1+((1+$C$126)^(1/12)-1))-1)*((1+((1+$C$126)^(1/12)-1))*(((1+((1+$C$126)^(1/12)-1))^12-1)/((1+((1+$C$126)^(1/12)-1))-1))-12)),0))</f>
      </c>
    </row>
    <row r="133" spans="2:17" x14ac:dyDescent="0.25">
      <c r="B133" t="s">
        <v>421</v>
      </c>
      <c r="C133">
        <f>SUMPRODUCT(('Inputs'!$G$76:$G$81=$C$114)*($C$114&lt;&gt;"")*'Inputs'!$P$76:$P$81)</f>
      </c>
      <c r="I133">
        <v>17</v>
      </c>
      <c r="J133">
        <f>IF(I133&lt;$C$118,MAX(0,12*$C$119*(1+$C$120)^I133-K133),0)</f>
      </c>
      <c r="K133">
        <f>SUMPRODUCT(('Inputs'!$G$76:$G$81=$C$114)*($C$114&lt;&gt;"")*'Inputs'!$D$76:$D$81*(1+'Inputs'!$E$76:$E$81/100)^I133*(ABS('Inputs'!$F$76:$F$81-12*I133)-ABS(('Inputs'!$F$76:$F$81-12*I133)-12)+12)/2)</f>
      </c>
      <c r="L133">
        <f>IF(J133&gt;0,1,0)</f>
      </c>
      <c r="P133">
        <f>IF($C$121&lt;&gt;1,0,P132*(1+((1+$C$126)^(1/12)-1))^12-J132/12*(1+((1+$C$126)^(1/12)-1))*(((1+((1+$C$126)^(1/12)-1))^12-1)/((1+((1+$C$126)^(1/12)-1))-1)))</f>
      </c>
      <c r="Q133">
        <f>IF($C$121&lt;&gt;1,0,IFERROR((((1+($C$126+'Inputs'!$H$123/100))^(1/12)-1)-((1+$C$126)^(1/12)-1))*(P133*(((1+((1+$C$126)^(1/12)-1))^12-1)/((1+((1+$C$126)^(1/12)-1))-1))-J133/12/((1+((1+$C$126)^(1/12)-1))-1)*((1+((1+$C$126)^(1/12)-1))*(((1+((1+$C$126)^(1/12)-1))^12-1)/((1+((1+$C$126)^(1/12)-1))-1))-12)),0))</f>
      </c>
    </row>
    <row r="134" spans="9:17" x14ac:dyDescent="0.25">
      <c r="I134">
        <v>18</v>
      </c>
      <c r="J134">
        <f>IF(I134&lt;$C$118,MAX(0,12*$C$119*(1+$C$120)^I134-K134),0)</f>
      </c>
      <c r="K134">
        <f>SUMPRODUCT(('Inputs'!$G$76:$G$81=$C$114)*($C$114&lt;&gt;"")*'Inputs'!$D$76:$D$81*(1+'Inputs'!$E$76:$E$81/100)^I134*(ABS('Inputs'!$F$76:$F$81-12*I134)-ABS(('Inputs'!$F$76:$F$81-12*I134)-12)+12)/2)</f>
      </c>
      <c r="L134">
        <f>IF(J134&gt;0,1,0)</f>
      </c>
      <c r="P134">
        <f>IF($C$121&lt;&gt;1,0,P133*(1+((1+$C$126)^(1/12)-1))^12-J133/12*(1+((1+$C$126)^(1/12)-1))*(((1+((1+$C$126)^(1/12)-1))^12-1)/((1+((1+$C$126)^(1/12)-1))-1)))</f>
      </c>
      <c r="Q134">
        <f>IF($C$121&lt;&gt;1,0,IFERROR((((1+($C$126+'Inputs'!$H$123/100))^(1/12)-1)-((1+$C$126)^(1/12)-1))*(P134*(((1+((1+$C$126)^(1/12)-1))^12-1)/((1+((1+$C$126)^(1/12)-1))-1))-J134/12/((1+((1+$C$126)^(1/12)-1))-1)*((1+((1+$C$126)^(1/12)-1))*(((1+((1+$C$126)^(1/12)-1))^12-1)/((1+((1+$C$126)^(1/12)-1))-1))-12)),0))</f>
      </c>
    </row>
    <row r="135" spans="9:17" x14ac:dyDescent="0.25">
      <c r="I135">
        <v>19</v>
      </c>
      <c r="J135">
        <f>IF(I135&lt;$C$118,MAX(0,12*$C$119*(1+$C$120)^I135-K135),0)</f>
      </c>
      <c r="K135">
        <f>SUMPRODUCT(('Inputs'!$G$76:$G$81=$C$114)*($C$114&lt;&gt;"")*'Inputs'!$D$76:$D$81*(1+'Inputs'!$E$76:$E$81/100)^I135*(ABS('Inputs'!$F$76:$F$81-12*I135)-ABS(('Inputs'!$F$76:$F$81-12*I135)-12)+12)/2)</f>
      </c>
      <c r="L135">
        <f>IF(J135&gt;0,1,0)</f>
      </c>
      <c r="P135">
        <f>IF($C$121&lt;&gt;1,0,P134*(1+((1+$C$126)^(1/12)-1))^12-J134/12*(1+((1+$C$126)^(1/12)-1))*(((1+((1+$C$126)^(1/12)-1))^12-1)/((1+((1+$C$126)^(1/12)-1))-1)))</f>
      </c>
      <c r="Q135">
        <f>IF($C$121&lt;&gt;1,0,IFERROR((((1+($C$126+'Inputs'!$H$123/100))^(1/12)-1)-((1+$C$126)^(1/12)-1))*(P135*(((1+((1+$C$126)^(1/12)-1))^12-1)/((1+((1+$C$126)^(1/12)-1))-1))-J135/12/((1+((1+$C$126)^(1/12)-1))-1)*((1+((1+$C$126)^(1/12)-1))*(((1+((1+$C$126)^(1/12)-1))^12-1)/((1+((1+$C$126)^(1/12)-1))-1))-12)),0))</f>
      </c>
    </row>
    <row r="136" spans="9:17" x14ac:dyDescent="0.25">
      <c r="I136">
        <v>20</v>
      </c>
      <c r="J136">
        <f>IF(I136&lt;$C$118,MAX(0,12*$C$119*(1+$C$120)^I136-K136),0)</f>
      </c>
      <c r="K136">
        <f>SUMPRODUCT(('Inputs'!$G$76:$G$81=$C$114)*($C$114&lt;&gt;"")*'Inputs'!$D$76:$D$81*(1+'Inputs'!$E$76:$E$81/100)^I136*(ABS('Inputs'!$F$76:$F$81-12*I136)-ABS(('Inputs'!$F$76:$F$81-12*I136)-12)+12)/2)</f>
      </c>
      <c r="L136">
        <f>IF(J136&gt;0,1,0)</f>
      </c>
      <c r="P136">
        <f>IF($C$121&lt;&gt;1,0,P135*(1+((1+$C$126)^(1/12)-1))^12-J135/12*(1+((1+$C$126)^(1/12)-1))*(((1+((1+$C$126)^(1/12)-1))^12-1)/((1+((1+$C$126)^(1/12)-1))-1)))</f>
      </c>
      <c r="Q136">
        <f>IF($C$121&lt;&gt;1,0,IFERROR((((1+($C$126+'Inputs'!$H$123/100))^(1/12)-1)-((1+$C$126)^(1/12)-1))*(P136*(((1+((1+$C$126)^(1/12)-1))^12-1)/((1+((1+$C$126)^(1/12)-1))-1))-J136/12/((1+((1+$C$126)^(1/12)-1))-1)*((1+((1+$C$126)^(1/12)-1))*(((1+((1+$C$126)^(1/12)-1))^12-1)/((1+((1+$C$126)^(1/12)-1))-1))-12)),0))</f>
      </c>
    </row>
    <row r="137" spans="9:17" x14ac:dyDescent="0.25">
      <c r="I137">
        <v>21</v>
      </c>
      <c r="J137">
        <f>IF(I137&lt;$C$118,MAX(0,12*$C$119*(1+$C$120)^I137-K137),0)</f>
      </c>
      <c r="K137">
        <f>SUMPRODUCT(('Inputs'!$G$76:$G$81=$C$114)*($C$114&lt;&gt;"")*'Inputs'!$D$76:$D$81*(1+'Inputs'!$E$76:$E$81/100)^I137*(ABS('Inputs'!$F$76:$F$81-12*I137)-ABS(('Inputs'!$F$76:$F$81-12*I137)-12)+12)/2)</f>
      </c>
      <c r="L137">
        <f>IF(J137&gt;0,1,0)</f>
      </c>
      <c r="P137">
        <f>IF($C$121&lt;&gt;1,0,P136*(1+((1+$C$126)^(1/12)-1))^12-J136/12*(1+((1+$C$126)^(1/12)-1))*(((1+((1+$C$126)^(1/12)-1))^12-1)/((1+((1+$C$126)^(1/12)-1))-1)))</f>
      </c>
      <c r="Q137">
        <f>IF($C$121&lt;&gt;1,0,IFERROR((((1+($C$126+'Inputs'!$H$123/100))^(1/12)-1)-((1+$C$126)^(1/12)-1))*(P137*(((1+((1+$C$126)^(1/12)-1))^12-1)/((1+((1+$C$126)^(1/12)-1))-1))-J137/12/((1+((1+$C$126)^(1/12)-1))-1)*((1+((1+$C$126)^(1/12)-1))*(((1+((1+$C$126)^(1/12)-1))^12-1)/((1+((1+$C$126)^(1/12)-1))-1))-12)),0))</f>
      </c>
    </row>
    <row r="138" spans="9:17" x14ac:dyDescent="0.25">
      <c r="I138">
        <v>22</v>
      </c>
      <c r="J138">
        <f>IF(I138&lt;$C$118,MAX(0,12*$C$119*(1+$C$120)^I138-K138),0)</f>
      </c>
      <c r="K138">
        <f>SUMPRODUCT(('Inputs'!$G$76:$G$81=$C$114)*($C$114&lt;&gt;"")*'Inputs'!$D$76:$D$81*(1+'Inputs'!$E$76:$E$81/100)^I138*(ABS('Inputs'!$F$76:$F$81-12*I138)-ABS(('Inputs'!$F$76:$F$81-12*I138)-12)+12)/2)</f>
      </c>
      <c r="L138">
        <f>IF(J138&gt;0,1,0)</f>
      </c>
      <c r="P138">
        <f>IF($C$121&lt;&gt;1,0,P137*(1+((1+$C$126)^(1/12)-1))^12-J137/12*(1+((1+$C$126)^(1/12)-1))*(((1+((1+$C$126)^(1/12)-1))^12-1)/((1+((1+$C$126)^(1/12)-1))-1)))</f>
      </c>
      <c r="Q138">
        <f>IF($C$121&lt;&gt;1,0,IFERROR((((1+($C$126+'Inputs'!$H$123/100))^(1/12)-1)-((1+$C$126)^(1/12)-1))*(P138*(((1+((1+$C$126)^(1/12)-1))^12-1)/((1+((1+$C$126)^(1/12)-1))-1))-J138/12/((1+((1+$C$126)^(1/12)-1))-1)*((1+((1+$C$126)^(1/12)-1))*(((1+((1+$C$126)^(1/12)-1))^12-1)/((1+((1+$C$126)^(1/12)-1))-1))-12)),0))</f>
      </c>
    </row>
    <row r="139" spans="9:17" x14ac:dyDescent="0.25">
      <c r="I139">
        <v>23</v>
      </c>
      <c r="J139">
        <f>IF(I139&lt;$C$118,MAX(0,12*$C$119*(1+$C$120)^I139-K139),0)</f>
      </c>
      <c r="K139">
        <f>SUMPRODUCT(('Inputs'!$G$76:$G$81=$C$114)*($C$114&lt;&gt;"")*'Inputs'!$D$76:$D$81*(1+'Inputs'!$E$76:$E$81/100)^I139*(ABS('Inputs'!$F$76:$F$81-12*I139)-ABS(('Inputs'!$F$76:$F$81-12*I139)-12)+12)/2)</f>
      </c>
      <c r="L139">
        <f>IF(J139&gt;0,1,0)</f>
      </c>
      <c r="P139">
        <f>IF($C$121&lt;&gt;1,0,P138*(1+((1+$C$126)^(1/12)-1))^12-J138/12*(1+((1+$C$126)^(1/12)-1))*(((1+((1+$C$126)^(1/12)-1))^12-1)/((1+((1+$C$126)^(1/12)-1))-1)))</f>
      </c>
      <c r="Q139">
        <f>IF($C$121&lt;&gt;1,0,IFERROR((((1+($C$126+'Inputs'!$H$123/100))^(1/12)-1)-((1+$C$126)^(1/12)-1))*(P139*(((1+((1+$C$126)^(1/12)-1))^12-1)/((1+((1+$C$126)^(1/12)-1))-1))-J139/12/((1+((1+$C$126)^(1/12)-1))-1)*((1+((1+$C$126)^(1/12)-1))*(((1+((1+$C$126)^(1/12)-1))^12-1)/((1+((1+$C$126)^(1/12)-1))-1))-12)),0))</f>
      </c>
    </row>
    <row r="140" spans="9:17" x14ac:dyDescent="0.25">
      <c r="I140">
        <v>24</v>
      </c>
      <c r="J140">
        <f>IF(I140&lt;$C$118,MAX(0,12*$C$119*(1+$C$120)^I140-K140),0)</f>
      </c>
      <c r="K140">
        <f>SUMPRODUCT(('Inputs'!$G$76:$G$81=$C$114)*($C$114&lt;&gt;"")*'Inputs'!$D$76:$D$81*(1+'Inputs'!$E$76:$E$81/100)^I140*(ABS('Inputs'!$F$76:$F$81-12*I140)-ABS(('Inputs'!$F$76:$F$81-12*I140)-12)+12)/2)</f>
      </c>
      <c r="L140">
        <f>IF(J140&gt;0,1,0)</f>
      </c>
      <c r="P140">
        <f>IF($C$121&lt;&gt;1,0,P139*(1+((1+$C$126)^(1/12)-1))^12-J139/12*(1+((1+$C$126)^(1/12)-1))*(((1+((1+$C$126)^(1/12)-1))^12-1)/((1+((1+$C$126)^(1/12)-1))-1)))</f>
      </c>
      <c r="Q140">
        <f>IF($C$121&lt;&gt;1,0,IFERROR((((1+($C$126+'Inputs'!$H$123/100))^(1/12)-1)-((1+$C$126)^(1/12)-1))*(P140*(((1+((1+$C$126)^(1/12)-1))^12-1)/((1+((1+$C$126)^(1/12)-1))-1))-J140/12/((1+((1+$C$126)^(1/12)-1))-1)*((1+((1+$C$126)^(1/12)-1))*(((1+((1+$C$126)^(1/12)-1))^12-1)/((1+((1+$C$126)^(1/12)-1))-1))-12)),0))</f>
      </c>
    </row>
    <row r="141" spans="9:17" x14ac:dyDescent="0.25">
      <c r="I141">
        <v>25</v>
      </c>
      <c r="J141">
        <f>IF(I141&lt;$C$118,MAX(0,12*$C$119*(1+$C$120)^I141-K141),0)</f>
      </c>
      <c r="K141">
        <f>SUMPRODUCT(('Inputs'!$G$76:$G$81=$C$114)*($C$114&lt;&gt;"")*'Inputs'!$D$76:$D$81*(1+'Inputs'!$E$76:$E$81/100)^I141*(ABS('Inputs'!$F$76:$F$81-12*I141)-ABS(('Inputs'!$F$76:$F$81-12*I141)-12)+12)/2)</f>
      </c>
      <c r="L141">
        <f>IF(J141&gt;0,1,0)</f>
      </c>
      <c r="P141">
        <f>IF($C$121&lt;&gt;1,0,P140*(1+((1+$C$126)^(1/12)-1))^12-J140/12*(1+((1+$C$126)^(1/12)-1))*(((1+((1+$C$126)^(1/12)-1))^12-1)/((1+((1+$C$126)^(1/12)-1))-1)))</f>
      </c>
      <c r="Q141">
        <f>IF($C$121&lt;&gt;1,0,IFERROR((((1+($C$126+'Inputs'!$H$123/100))^(1/12)-1)-((1+$C$126)^(1/12)-1))*(P141*(((1+((1+$C$126)^(1/12)-1))^12-1)/((1+((1+$C$126)^(1/12)-1))-1))-J141/12/((1+((1+$C$126)^(1/12)-1))-1)*((1+((1+$C$126)^(1/12)-1))*(((1+((1+$C$126)^(1/12)-1))^12-1)/((1+((1+$C$126)^(1/12)-1))-1))-12)),0))</f>
      </c>
    </row>
    <row r="142" spans="9:17" x14ac:dyDescent="0.25">
      <c r="I142">
        <v>26</v>
      </c>
      <c r="J142">
        <f>IF(I142&lt;$C$118,MAX(0,12*$C$119*(1+$C$120)^I142-K142),0)</f>
      </c>
      <c r="K142">
        <f>SUMPRODUCT(('Inputs'!$G$76:$G$81=$C$114)*($C$114&lt;&gt;"")*'Inputs'!$D$76:$D$81*(1+'Inputs'!$E$76:$E$81/100)^I142*(ABS('Inputs'!$F$76:$F$81-12*I142)-ABS(('Inputs'!$F$76:$F$81-12*I142)-12)+12)/2)</f>
      </c>
      <c r="L142">
        <f>IF(J142&gt;0,1,0)</f>
      </c>
      <c r="P142">
        <f>IF($C$121&lt;&gt;1,0,P141*(1+((1+$C$126)^(1/12)-1))^12-J141/12*(1+((1+$C$126)^(1/12)-1))*(((1+((1+$C$126)^(1/12)-1))^12-1)/((1+((1+$C$126)^(1/12)-1))-1)))</f>
      </c>
      <c r="Q142">
        <f>IF($C$121&lt;&gt;1,0,IFERROR((((1+($C$126+'Inputs'!$H$123/100))^(1/12)-1)-((1+$C$126)^(1/12)-1))*(P142*(((1+((1+$C$126)^(1/12)-1))^12-1)/((1+((1+$C$126)^(1/12)-1))-1))-J142/12/((1+((1+$C$126)^(1/12)-1))-1)*((1+((1+$C$126)^(1/12)-1))*(((1+((1+$C$126)^(1/12)-1))^12-1)/((1+((1+$C$126)^(1/12)-1))-1))-12)),0))</f>
      </c>
    </row>
    <row r="143" spans="9:17" x14ac:dyDescent="0.25">
      <c r="I143">
        <v>27</v>
      </c>
      <c r="J143">
        <f>IF(I143&lt;$C$118,MAX(0,12*$C$119*(1+$C$120)^I143-K143),0)</f>
      </c>
      <c r="K143">
        <f>SUMPRODUCT(('Inputs'!$G$76:$G$81=$C$114)*($C$114&lt;&gt;"")*'Inputs'!$D$76:$D$81*(1+'Inputs'!$E$76:$E$81/100)^I143*(ABS('Inputs'!$F$76:$F$81-12*I143)-ABS(('Inputs'!$F$76:$F$81-12*I143)-12)+12)/2)</f>
      </c>
      <c r="L143">
        <f>IF(J143&gt;0,1,0)</f>
      </c>
      <c r="P143">
        <f>IF($C$121&lt;&gt;1,0,P142*(1+((1+$C$126)^(1/12)-1))^12-J142/12*(1+((1+$C$126)^(1/12)-1))*(((1+((1+$C$126)^(1/12)-1))^12-1)/((1+((1+$C$126)^(1/12)-1))-1)))</f>
      </c>
      <c r="Q143">
        <f>IF($C$121&lt;&gt;1,0,IFERROR((((1+($C$126+'Inputs'!$H$123/100))^(1/12)-1)-((1+$C$126)^(1/12)-1))*(P143*(((1+((1+$C$126)^(1/12)-1))^12-1)/((1+((1+$C$126)^(1/12)-1))-1))-J143/12/((1+((1+$C$126)^(1/12)-1))-1)*((1+((1+$C$126)^(1/12)-1))*(((1+((1+$C$126)^(1/12)-1))^12-1)/((1+((1+$C$126)^(1/12)-1))-1))-12)),0))</f>
      </c>
    </row>
    <row r="144" spans="9:17" x14ac:dyDescent="0.25">
      <c r="I144">
        <v>28</v>
      </c>
      <c r="J144">
        <f>IF(I144&lt;$C$118,MAX(0,12*$C$119*(1+$C$120)^I144-K144),0)</f>
      </c>
      <c r="K144">
        <f>SUMPRODUCT(('Inputs'!$G$76:$G$81=$C$114)*($C$114&lt;&gt;"")*'Inputs'!$D$76:$D$81*(1+'Inputs'!$E$76:$E$81/100)^I144*(ABS('Inputs'!$F$76:$F$81-12*I144)-ABS(('Inputs'!$F$76:$F$81-12*I144)-12)+12)/2)</f>
      </c>
      <c r="L144">
        <f>IF(J144&gt;0,1,0)</f>
      </c>
      <c r="P144">
        <f>IF($C$121&lt;&gt;1,0,P143*(1+((1+$C$126)^(1/12)-1))^12-J143/12*(1+((1+$C$126)^(1/12)-1))*(((1+((1+$C$126)^(1/12)-1))^12-1)/((1+((1+$C$126)^(1/12)-1))-1)))</f>
      </c>
      <c r="Q144">
        <f>IF($C$121&lt;&gt;1,0,IFERROR((((1+($C$126+'Inputs'!$H$123/100))^(1/12)-1)-((1+$C$126)^(1/12)-1))*(P144*(((1+((1+$C$126)^(1/12)-1))^12-1)/((1+((1+$C$126)^(1/12)-1))-1))-J144/12/((1+((1+$C$126)^(1/12)-1))-1)*((1+((1+$C$126)^(1/12)-1))*(((1+((1+$C$126)^(1/12)-1))^12-1)/((1+((1+$C$126)^(1/12)-1))-1))-12)),0))</f>
      </c>
    </row>
    <row r="145" spans="9:17" x14ac:dyDescent="0.25">
      <c r="I145">
        <v>29</v>
      </c>
      <c r="J145">
        <f>IF(I145&lt;$C$118,MAX(0,12*$C$119*(1+$C$120)^I145-K145),0)</f>
      </c>
      <c r="K145">
        <f>SUMPRODUCT(('Inputs'!$G$76:$G$81=$C$114)*($C$114&lt;&gt;"")*'Inputs'!$D$76:$D$81*(1+'Inputs'!$E$76:$E$81/100)^I145*(ABS('Inputs'!$F$76:$F$81-12*I145)-ABS(('Inputs'!$F$76:$F$81-12*I145)-12)+12)/2)</f>
      </c>
      <c r="L145">
        <f>IF(J145&gt;0,1,0)</f>
      </c>
      <c r="P145">
        <f>IF($C$121&lt;&gt;1,0,P144*(1+((1+$C$126)^(1/12)-1))^12-J144/12*(1+((1+$C$126)^(1/12)-1))*(((1+((1+$C$126)^(1/12)-1))^12-1)/((1+((1+$C$126)^(1/12)-1))-1)))</f>
      </c>
      <c r="Q145">
        <f>IF($C$121&lt;&gt;1,0,IFERROR((((1+($C$126+'Inputs'!$H$123/100))^(1/12)-1)-((1+$C$126)^(1/12)-1))*(P145*(((1+((1+$C$126)^(1/12)-1))^12-1)/((1+((1+$C$126)^(1/12)-1))-1))-J145/12/((1+((1+$C$126)^(1/12)-1))-1)*((1+((1+$C$126)^(1/12)-1))*(((1+((1+$C$126)^(1/12)-1))^12-1)/((1+((1+$C$126)^(1/12)-1))-1))-12)),0))</f>
      </c>
    </row>
    <row r="146" spans="9:17" x14ac:dyDescent="0.25">
      <c r="I146">
        <v>30</v>
      </c>
      <c r="J146">
        <f>IF(I146&lt;$C$118,MAX(0,12*$C$119*(1+$C$120)^I146-K146),0)</f>
      </c>
      <c r="K146">
        <f>SUMPRODUCT(('Inputs'!$G$76:$G$81=$C$114)*($C$114&lt;&gt;"")*'Inputs'!$D$76:$D$81*(1+'Inputs'!$E$76:$E$81/100)^I146*(ABS('Inputs'!$F$76:$F$81-12*I146)-ABS(('Inputs'!$F$76:$F$81-12*I146)-12)+12)/2)</f>
      </c>
      <c r="L146">
        <f>IF(J146&gt;0,1,0)</f>
      </c>
      <c r="P146">
        <f>IF($C$121&lt;&gt;1,0,P145*(1+((1+$C$126)^(1/12)-1))^12-J145/12*(1+((1+$C$126)^(1/12)-1))*(((1+((1+$C$126)^(1/12)-1))^12-1)/((1+((1+$C$126)^(1/12)-1))-1)))</f>
      </c>
      <c r="Q146">
        <f>IF($C$121&lt;&gt;1,0,IFERROR((((1+($C$126+'Inputs'!$H$123/100))^(1/12)-1)-((1+$C$126)^(1/12)-1))*(P146*(((1+((1+$C$126)^(1/12)-1))^12-1)/((1+((1+$C$126)^(1/12)-1))-1))-J146/12/((1+((1+$C$126)^(1/12)-1))-1)*((1+((1+$C$126)^(1/12)-1))*(((1+((1+$C$126)^(1/12)-1))^12-1)/((1+((1+$C$126)^(1/12)-1))-1))-12)),0))</f>
      </c>
    </row>
    <row r="147" spans="9:17" x14ac:dyDescent="0.25">
      <c r="I147">
        <v>31</v>
      </c>
      <c r="J147">
        <f>IF(I147&lt;$C$118,MAX(0,12*$C$119*(1+$C$120)^I147-K147),0)</f>
      </c>
      <c r="K147">
        <f>SUMPRODUCT(('Inputs'!$G$76:$G$81=$C$114)*($C$114&lt;&gt;"")*'Inputs'!$D$76:$D$81*(1+'Inputs'!$E$76:$E$81/100)^I147*(ABS('Inputs'!$F$76:$F$81-12*I147)-ABS(('Inputs'!$F$76:$F$81-12*I147)-12)+12)/2)</f>
      </c>
      <c r="L147">
        <f>IF(J147&gt;0,1,0)</f>
      </c>
      <c r="P147">
        <f>IF($C$121&lt;&gt;1,0,P146*(1+((1+$C$126)^(1/12)-1))^12-J146/12*(1+((1+$C$126)^(1/12)-1))*(((1+((1+$C$126)^(1/12)-1))^12-1)/((1+((1+$C$126)^(1/12)-1))-1)))</f>
      </c>
      <c r="Q147">
        <f>IF($C$121&lt;&gt;1,0,IFERROR((((1+($C$126+'Inputs'!$H$123/100))^(1/12)-1)-((1+$C$126)^(1/12)-1))*(P147*(((1+((1+$C$126)^(1/12)-1))^12-1)/((1+((1+$C$126)^(1/12)-1))-1))-J147/12/((1+((1+$C$126)^(1/12)-1))-1)*((1+((1+$C$126)^(1/12)-1))*(((1+((1+$C$126)^(1/12)-1))^12-1)/((1+((1+$C$126)^(1/12)-1))-1))-12)),0))</f>
      </c>
    </row>
    <row r="148" spans="9:17" x14ac:dyDescent="0.25">
      <c r="I148">
        <v>32</v>
      </c>
      <c r="J148">
        <f>IF(I148&lt;$C$118,MAX(0,12*$C$119*(1+$C$120)^I148-K148),0)</f>
      </c>
      <c r="K148">
        <f>SUMPRODUCT(('Inputs'!$G$76:$G$81=$C$114)*($C$114&lt;&gt;"")*'Inputs'!$D$76:$D$81*(1+'Inputs'!$E$76:$E$81/100)^I148*(ABS('Inputs'!$F$76:$F$81-12*I148)-ABS(('Inputs'!$F$76:$F$81-12*I148)-12)+12)/2)</f>
      </c>
      <c r="L148">
        <f>IF(J148&gt;0,1,0)</f>
      </c>
      <c r="P148">
        <f>IF($C$121&lt;&gt;1,0,P147*(1+((1+$C$126)^(1/12)-1))^12-J147/12*(1+((1+$C$126)^(1/12)-1))*(((1+((1+$C$126)^(1/12)-1))^12-1)/((1+((1+$C$126)^(1/12)-1))-1)))</f>
      </c>
      <c r="Q148">
        <f>IF($C$121&lt;&gt;1,0,IFERROR((((1+($C$126+'Inputs'!$H$123/100))^(1/12)-1)-((1+$C$126)^(1/12)-1))*(P148*(((1+((1+$C$126)^(1/12)-1))^12-1)/((1+((1+$C$126)^(1/12)-1))-1))-J148/12/((1+((1+$C$126)^(1/12)-1))-1)*((1+((1+$C$126)^(1/12)-1))*(((1+((1+$C$126)^(1/12)-1))^12-1)/((1+((1+$C$126)^(1/12)-1))-1))-12)),0))</f>
      </c>
    </row>
    <row r="149" spans="9:17" x14ac:dyDescent="0.25">
      <c r="I149">
        <v>33</v>
      </c>
      <c r="J149">
        <f>IF(I149&lt;$C$118,MAX(0,12*$C$119*(1+$C$120)^I149-K149),0)</f>
      </c>
      <c r="K149">
        <f>SUMPRODUCT(('Inputs'!$G$76:$G$81=$C$114)*($C$114&lt;&gt;"")*'Inputs'!$D$76:$D$81*(1+'Inputs'!$E$76:$E$81/100)^I149*(ABS('Inputs'!$F$76:$F$81-12*I149)-ABS(('Inputs'!$F$76:$F$81-12*I149)-12)+12)/2)</f>
      </c>
      <c r="L149">
        <f>IF(J149&gt;0,1,0)</f>
      </c>
      <c r="P149">
        <f>IF($C$121&lt;&gt;1,0,P148*(1+((1+$C$126)^(1/12)-1))^12-J148/12*(1+((1+$C$126)^(1/12)-1))*(((1+((1+$C$126)^(1/12)-1))^12-1)/((1+((1+$C$126)^(1/12)-1))-1)))</f>
      </c>
      <c r="Q149">
        <f>IF($C$121&lt;&gt;1,0,IFERROR((((1+($C$126+'Inputs'!$H$123/100))^(1/12)-1)-((1+$C$126)^(1/12)-1))*(P149*(((1+((1+$C$126)^(1/12)-1))^12-1)/((1+((1+$C$126)^(1/12)-1))-1))-J149/12/((1+((1+$C$126)^(1/12)-1))-1)*((1+((1+$C$126)^(1/12)-1))*(((1+((1+$C$126)^(1/12)-1))^12-1)/((1+((1+$C$126)^(1/12)-1))-1))-12)),0))</f>
      </c>
    </row>
    <row r="150" spans="9:17" x14ac:dyDescent="0.25">
      <c r="I150">
        <v>34</v>
      </c>
      <c r="J150">
        <f>IF(I150&lt;$C$118,MAX(0,12*$C$119*(1+$C$120)^I150-K150),0)</f>
      </c>
      <c r="K150">
        <f>SUMPRODUCT(('Inputs'!$G$76:$G$81=$C$114)*($C$114&lt;&gt;"")*'Inputs'!$D$76:$D$81*(1+'Inputs'!$E$76:$E$81/100)^I150*(ABS('Inputs'!$F$76:$F$81-12*I150)-ABS(('Inputs'!$F$76:$F$81-12*I150)-12)+12)/2)</f>
      </c>
      <c r="L150">
        <f>IF(J150&gt;0,1,0)</f>
      </c>
      <c r="P150">
        <f>IF($C$121&lt;&gt;1,0,P149*(1+((1+$C$126)^(1/12)-1))^12-J149/12*(1+((1+$C$126)^(1/12)-1))*(((1+((1+$C$126)^(1/12)-1))^12-1)/((1+((1+$C$126)^(1/12)-1))-1)))</f>
      </c>
      <c r="Q150">
        <f>IF($C$121&lt;&gt;1,0,IFERROR((((1+($C$126+'Inputs'!$H$123/100))^(1/12)-1)-((1+$C$126)^(1/12)-1))*(P150*(((1+((1+$C$126)^(1/12)-1))^12-1)/((1+((1+$C$126)^(1/12)-1))-1))-J150/12/((1+((1+$C$126)^(1/12)-1))-1)*((1+((1+$C$126)^(1/12)-1))*(((1+((1+$C$126)^(1/12)-1))^12-1)/((1+((1+$C$126)^(1/12)-1))-1))-12)),0))</f>
      </c>
    </row>
    <row r="151" spans="9:17" x14ac:dyDescent="0.25">
      <c r="I151">
        <v>35</v>
      </c>
      <c r="J151">
        <f>IF(I151&lt;$C$118,MAX(0,12*$C$119*(1+$C$120)^I151-K151),0)</f>
      </c>
      <c r="K151">
        <f>SUMPRODUCT(('Inputs'!$G$76:$G$81=$C$114)*($C$114&lt;&gt;"")*'Inputs'!$D$76:$D$81*(1+'Inputs'!$E$76:$E$81/100)^I151*(ABS('Inputs'!$F$76:$F$81-12*I151)-ABS(('Inputs'!$F$76:$F$81-12*I151)-12)+12)/2)</f>
      </c>
      <c r="L151">
        <f>IF(J151&gt;0,1,0)</f>
      </c>
      <c r="P151">
        <f>IF($C$121&lt;&gt;1,0,P150*(1+((1+$C$126)^(1/12)-1))^12-J150/12*(1+((1+$C$126)^(1/12)-1))*(((1+((1+$C$126)^(1/12)-1))^12-1)/((1+((1+$C$126)^(1/12)-1))-1)))</f>
      </c>
      <c r="Q151">
        <f>IF($C$121&lt;&gt;1,0,IFERROR((((1+($C$126+'Inputs'!$H$123/100))^(1/12)-1)-((1+$C$126)^(1/12)-1))*(P151*(((1+((1+$C$126)^(1/12)-1))^12-1)/((1+((1+$C$126)^(1/12)-1))-1))-J151/12/((1+((1+$C$126)^(1/12)-1))-1)*((1+((1+$C$126)^(1/12)-1))*(((1+((1+$C$126)^(1/12)-1))^12-1)/((1+((1+$C$126)^(1/12)-1))-1))-12)),0))</f>
      </c>
    </row>
    <row r="152" spans="9:17" x14ac:dyDescent="0.25">
      <c r="I152">
        <v>36</v>
      </c>
      <c r="J152">
        <f>IF(I152&lt;$C$118,MAX(0,12*$C$119*(1+$C$120)^I152-K152),0)</f>
      </c>
      <c r="K152">
        <f>SUMPRODUCT(('Inputs'!$G$76:$G$81=$C$114)*($C$114&lt;&gt;"")*'Inputs'!$D$76:$D$81*(1+'Inputs'!$E$76:$E$81/100)^I152*(ABS('Inputs'!$F$76:$F$81-12*I152)-ABS(('Inputs'!$F$76:$F$81-12*I152)-12)+12)/2)</f>
      </c>
      <c r="L152">
        <f>IF(J152&gt;0,1,0)</f>
      </c>
      <c r="P152">
        <f>IF($C$121&lt;&gt;1,0,P151*(1+((1+$C$126)^(1/12)-1))^12-J151/12*(1+((1+$C$126)^(1/12)-1))*(((1+((1+$C$126)^(1/12)-1))^12-1)/((1+((1+$C$126)^(1/12)-1))-1)))</f>
      </c>
      <c r="Q152">
        <f>IF($C$121&lt;&gt;1,0,IFERROR((((1+($C$126+'Inputs'!$H$123/100))^(1/12)-1)-((1+$C$126)^(1/12)-1))*(P152*(((1+((1+$C$126)^(1/12)-1))^12-1)/((1+((1+$C$126)^(1/12)-1))-1))-J152/12/((1+((1+$C$126)^(1/12)-1))-1)*((1+((1+$C$126)^(1/12)-1))*(((1+((1+$C$126)^(1/12)-1))^12-1)/((1+((1+$C$126)^(1/12)-1))-1))-12)),0))</f>
      </c>
    </row>
    <row r="153" spans="9:17" x14ac:dyDescent="0.25">
      <c r="I153">
        <v>37</v>
      </c>
      <c r="J153">
        <f>IF(I153&lt;$C$118,MAX(0,12*$C$119*(1+$C$120)^I153-K153),0)</f>
      </c>
      <c r="K153">
        <f>SUMPRODUCT(('Inputs'!$G$76:$G$81=$C$114)*($C$114&lt;&gt;"")*'Inputs'!$D$76:$D$81*(1+'Inputs'!$E$76:$E$81/100)^I153*(ABS('Inputs'!$F$76:$F$81-12*I153)-ABS(('Inputs'!$F$76:$F$81-12*I153)-12)+12)/2)</f>
      </c>
      <c r="L153">
        <f>IF(J153&gt;0,1,0)</f>
      </c>
      <c r="P153">
        <f>IF($C$121&lt;&gt;1,0,P152*(1+((1+$C$126)^(1/12)-1))^12-J152/12*(1+((1+$C$126)^(1/12)-1))*(((1+((1+$C$126)^(1/12)-1))^12-1)/((1+((1+$C$126)^(1/12)-1))-1)))</f>
      </c>
      <c r="Q153">
        <f>IF($C$121&lt;&gt;1,0,IFERROR((((1+($C$126+'Inputs'!$H$123/100))^(1/12)-1)-((1+$C$126)^(1/12)-1))*(P153*(((1+((1+$C$126)^(1/12)-1))^12-1)/((1+((1+$C$126)^(1/12)-1))-1))-J153/12/((1+((1+$C$126)^(1/12)-1))-1)*((1+((1+$C$126)^(1/12)-1))*(((1+((1+$C$126)^(1/12)-1))^12-1)/((1+((1+$C$126)^(1/12)-1))-1))-12)),0))</f>
      </c>
    </row>
    <row r="154" spans="9:17" x14ac:dyDescent="0.25">
      <c r="I154">
        <v>38</v>
      </c>
      <c r="J154">
        <f>IF(I154&lt;$C$118,MAX(0,12*$C$119*(1+$C$120)^I154-K154),0)</f>
      </c>
      <c r="K154">
        <f>SUMPRODUCT(('Inputs'!$G$76:$G$81=$C$114)*($C$114&lt;&gt;"")*'Inputs'!$D$76:$D$81*(1+'Inputs'!$E$76:$E$81/100)^I154*(ABS('Inputs'!$F$76:$F$81-12*I154)-ABS(('Inputs'!$F$76:$F$81-12*I154)-12)+12)/2)</f>
      </c>
      <c r="L154">
        <f>IF(J154&gt;0,1,0)</f>
      </c>
      <c r="P154">
        <f>IF($C$121&lt;&gt;1,0,P153*(1+((1+$C$126)^(1/12)-1))^12-J153/12*(1+((1+$C$126)^(1/12)-1))*(((1+((1+$C$126)^(1/12)-1))^12-1)/((1+((1+$C$126)^(1/12)-1))-1)))</f>
      </c>
      <c r="Q154">
        <f>IF($C$121&lt;&gt;1,0,IFERROR((((1+($C$126+'Inputs'!$H$123/100))^(1/12)-1)-((1+$C$126)^(1/12)-1))*(P154*(((1+((1+$C$126)^(1/12)-1))^12-1)/((1+((1+$C$126)^(1/12)-1))-1))-J154/12/((1+((1+$C$126)^(1/12)-1))-1)*((1+((1+$C$126)^(1/12)-1))*(((1+((1+$C$126)^(1/12)-1))^12-1)/((1+((1+$C$126)^(1/12)-1))-1))-12)),0))</f>
      </c>
    </row>
    <row r="155" spans="9:17" x14ac:dyDescent="0.25">
      <c r="I155">
        <v>39</v>
      </c>
      <c r="J155">
        <f>IF(I155&lt;$C$118,MAX(0,12*$C$119*(1+$C$120)^I155-K155),0)</f>
      </c>
      <c r="K155">
        <f>SUMPRODUCT(('Inputs'!$G$76:$G$81=$C$114)*($C$114&lt;&gt;"")*'Inputs'!$D$76:$D$81*(1+'Inputs'!$E$76:$E$81/100)^I155*(ABS('Inputs'!$F$76:$F$81-12*I155)-ABS(('Inputs'!$F$76:$F$81-12*I155)-12)+12)/2)</f>
      </c>
      <c r="L155">
        <f>IF(J155&gt;0,1,0)</f>
      </c>
      <c r="P155">
        <f>IF($C$121&lt;&gt;1,0,P154*(1+((1+$C$126)^(1/12)-1))^12-J154/12*(1+((1+$C$126)^(1/12)-1))*(((1+((1+$C$126)^(1/12)-1))^12-1)/((1+((1+$C$126)^(1/12)-1))-1)))</f>
      </c>
      <c r="Q155">
        <f>IF($C$121&lt;&gt;1,0,IFERROR((((1+($C$126+'Inputs'!$H$123/100))^(1/12)-1)-((1+$C$126)^(1/12)-1))*(P155*(((1+((1+$C$126)^(1/12)-1))^12-1)/((1+((1+$C$126)^(1/12)-1))-1))-J155/12/((1+((1+$C$126)^(1/12)-1))-1)*((1+((1+$C$126)^(1/12)-1))*(((1+((1+$C$126)^(1/12)-1))^12-1)/((1+((1+$C$126)^(1/12)-1))-1))-12)),0))</f>
      </c>
    </row>
    <row r="156" spans="9:17" x14ac:dyDescent="0.25">
      <c r="I156">
        <v>40</v>
      </c>
      <c r="J156">
        <f>IF(I156&lt;$C$118,MAX(0,12*$C$119*(1+$C$120)^I156-K156),0)</f>
      </c>
      <c r="K156">
        <f>SUMPRODUCT(('Inputs'!$G$76:$G$81=$C$114)*($C$114&lt;&gt;"")*'Inputs'!$D$76:$D$81*(1+'Inputs'!$E$76:$E$81/100)^I156*(ABS('Inputs'!$F$76:$F$81-12*I156)-ABS(('Inputs'!$F$76:$F$81-12*I156)-12)+12)/2)</f>
      </c>
      <c r="L156">
        <f>IF(J156&gt;0,1,0)</f>
      </c>
      <c r="P156">
        <f>IF($C$121&lt;&gt;1,0,P155*(1+((1+$C$126)^(1/12)-1))^12-J155/12*(1+((1+$C$126)^(1/12)-1))*(((1+((1+$C$126)^(1/12)-1))^12-1)/((1+((1+$C$126)^(1/12)-1))-1)))</f>
      </c>
      <c r="Q156">
        <f>IF($C$121&lt;&gt;1,0,IFERROR((((1+($C$126+'Inputs'!$H$123/100))^(1/12)-1)-((1+$C$126)^(1/12)-1))*(P156*(((1+((1+$C$126)^(1/12)-1))^12-1)/((1+((1+$C$126)^(1/12)-1))-1))-J156/12/((1+((1+$C$126)^(1/12)-1))-1)*((1+((1+$C$126)^(1/12)-1))*(((1+((1+$C$126)^(1/12)-1))^12-1)/((1+((1+$C$126)^(1/12)-1))-1))-12)),0))</f>
      </c>
    </row>
    <row r="157" spans="9:17" x14ac:dyDescent="0.25">
      <c r="I157">
        <v>41</v>
      </c>
      <c r="J157">
        <f>IF(I157&lt;$C$118,MAX(0,12*$C$119*(1+$C$120)^I157-K157),0)</f>
      </c>
      <c r="K157">
        <f>SUMPRODUCT(('Inputs'!$G$76:$G$81=$C$114)*($C$114&lt;&gt;"")*'Inputs'!$D$76:$D$81*(1+'Inputs'!$E$76:$E$81/100)^I157*(ABS('Inputs'!$F$76:$F$81-12*I157)-ABS(('Inputs'!$F$76:$F$81-12*I157)-12)+12)/2)</f>
      </c>
      <c r="L157">
        <f>IF(J157&gt;0,1,0)</f>
      </c>
      <c r="P157">
        <f>IF($C$121&lt;&gt;1,0,P156*(1+((1+$C$126)^(1/12)-1))^12-J156/12*(1+((1+$C$126)^(1/12)-1))*(((1+((1+$C$126)^(1/12)-1))^12-1)/((1+((1+$C$126)^(1/12)-1))-1)))</f>
      </c>
      <c r="Q157">
        <f>IF($C$121&lt;&gt;1,0,IFERROR((((1+($C$126+'Inputs'!$H$123/100))^(1/12)-1)-((1+$C$126)^(1/12)-1))*(P157*(((1+((1+$C$126)^(1/12)-1))^12-1)/((1+((1+$C$126)^(1/12)-1))-1))-J157/12/((1+((1+$C$126)^(1/12)-1))-1)*((1+((1+$C$126)^(1/12)-1))*(((1+((1+$C$126)^(1/12)-1))^12-1)/((1+((1+$C$126)^(1/12)-1))-1))-12)),0))</f>
      </c>
    </row>
    <row r="158" spans="9:17" x14ac:dyDescent="0.25">
      <c r="I158">
        <v>42</v>
      </c>
      <c r="J158">
        <f>IF(I158&lt;$C$118,MAX(0,12*$C$119*(1+$C$120)^I158-K158),0)</f>
      </c>
      <c r="K158">
        <f>SUMPRODUCT(('Inputs'!$G$76:$G$81=$C$114)*($C$114&lt;&gt;"")*'Inputs'!$D$76:$D$81*(1+'Inputs'!$E$76:$E$81/100)^I158*(ABS('Inputs'!$F$76:$F$81-12*I158)-ABS(('Inputs'!$F$76:$F$81-12*I158)-12)+12)/2)</f>
      </c>
      <c r="L158">
        <f>IF(J158&gt;0,1,0)</f>
      </c>
      <c r="P158">
        <f>IF($C$121&lt;&gt;1,0,P157*(1+((1+$C$126)^(1/12)-1))^12-J157/12*(1+((1+$C$126)^(1/12)-1))*(((1+((1+$C$126)^(1/12)-1))^12-1)/((1+((1+$C$126)^(1/12)-1))-1)))</f>
      </c>
      <c r="Q158">
        <f>IF($C$121&lt;&gt;1,0,IFERROR((((1+($C$126+'Inputs'!$H$123/100))^(1/12)-1)-((1+$C$126)^(1/12)-1))*(P158*(((1+((1+$C$126)^(1/12)-1))^12-1)/((1+((1+$C$126)^(1/12)-1))-1))-J158/12/((1+((1+$C$126)^(1/12)-1))-1)*((1+((1+$C$126)^(1/12)-1))*(((1+((1+$C$126)^(1/12)-1))^12-1)/((1+((1+$C$126)^(1/12)-1))-1))-12)),0))</f>
      </c>
    </row>
    <row r="159" spans="9:17" x14ac:dyDescent="0.25">
      <c r="I159">
        <v>43</v>
      </c>
      <c r="J159">
        <f>IF(I159&lt;$C$118,MAX(0,12*$C$119*(1+$C$120)^I159-K159),0)</f>
      </c>
      <c r="K159">
        <f>SUMPRODUCT(('Inputs'!$G$76:$G$81=$C$114)*($C$114&lt;&gt;"")*'Inputs'!$D$76:$D$81*(1+'Inputs'!$E$76:$E$81/100)^I159*(ABS('Inputs'!$F$76:$F$81-12*I159)-ABS(('Inputs'!$F$76:$F$81-12*I159)-12)+12)/2)</f>
      </c>
      <c r="L159">
        <f>IF(J159&gt;0,1,0)</f>
      </c>
      <c r="P159">
        <f>IF($C$121&lt;&gt;1,0,P158*(1+((1+$C$126)^(1/12)-1))^12-J158/12*(1+((1+$C$126)^(1/12)-1))*(((1+((1+$C$126)^(1/12)-1))^12-1)/((1+((1+$C$126)^(1/12)-1))-1)))</f>
      </c>
      <c r="Q159">
        <f>IF($C$121&lt;&gt;1,0,IFERROR((((1+($C$126+'Inputs'!$H$123/100))^(1/12)-1)-((1+$C$126)^(1/12)-1))*(P159*(((1+((1+$C$126)^(1/12)-1))^12-1)/((1+((1+$C$126)^(1/12)-1))-1))-J159/12/((1+((1+$C$126)^(1/12)-1))-1)*((1+((1+$C$126)^(1/12)-1))*(((1+((1+$C$126)^(1/12)-1))^12-1)/((1+((1+$C$126)^(1/12)-1))-1))-12)),0))</f>
      </c>
    </row>
    <row r="160" spans="9:17" x14ac:dyDescent="0.25">
      <c r="I160">
        <v>44</v>
      </c>
      <c r="J160">
        <f>IF(I160&lt;$C$118,MAX(0,12*$C$119*(1+$C$120)^I160-K160),0)</f>
      </c>
      <c r="K160">
        <f>SUMPRODUCT(('Inputs'!$G$76:$G$81=$C$114)*($C$114&lt;&gt;"")*'Inputs'!$D$76:$D$81*(1+'Inputs'!$E$76:$E$81/100)^I160*(ABS('Inputs'!$F$76:$F$81-12*I160)-ABS(('Inputs'!$F$76:$F$81-12*I160)-12)+12)/2)</f>
      </c>
      <c r="L160">
        <f>IF(J160&gt;0,1,0)</f>
      </c>
      <c r="P160">
        <f>IF($C$121&lt;&gt;1,0,P159*(1+((1+$C$126)^(1/12)-1))^12-J159/12*(1+((1+$C$126)^(1/12)-1))*(((1+((1+$C$126)^(1/12)-1))^12-1)/((1+((1+$C$126)^(1/12)-1))-1)))</f>
      </c>
      <c r="Q160">
        <f>IF($C$121&lt;&gt;1,0,IFERROR((((1+($C$126+'Inputs'!$H$123/100))^(1/12)-1)-((1+$C$126)^(1/12)-1))*(P160*(((1+((1+$C$126)^(1/12)-1))^12-1)/((1+((1+$C$126)^(1/12)-1))-1))-J160/12/((1+((1+$C$126)^(1/12)-1))-1)*((1+((1+$C$126)^(1/12)-1))*(((1+((1+$C$126)^(1/12)-1))^12-1)/((1+((1+$C$126)^(1/12)-1))-1))-12)),0))</f>
      </c>
    </row>
    <row r="161" spans="9:17" x14ac:dyDescent="0.25">
      <c r="I161">
        <v>45</v>
      </c>
      <c r="J161">
        <f>IF(I161&lt;$C$118,MAX(0,12*$C$119*(1+$C$120)^I161-K161),0)</f>
      </c>
      <c r="K161">
        <f>SUMPRODUCT(('Inputs'!$G$76:$G$81=$C$114)*($C$114&lt;&gt;"")*'Inputs'!$D$76:$D$81*(1+'Inputs'!$E$76:$E$81/100)^I161*(ABS('Inputs'!$F$76:$F$81-12*I161)-ABS(('Inputs'!$F$76:$F$81-12*I161)-12)+12)/2)</f>
      </c>
      <c r="L161">
        <f>IF(J161&gt;0,1,0)</f>
      </c>
      <c r="P161">
        <f>IF($C$121&lt;&gt;1,0,P160*(1+((1+$C$126)^(1/12)-1))^12-J160/12*(1+((1+$C$126)^(1/12)-1))*(((1+((1+$C$126)^(1/12)-1))^12-1)/((1+((1+$C$126)^(1/12)-1))-1)))</f>
      </c>
      <c r="Q161">
        <f>IF($C$121&lt;&gt;1,0,IFERROR((((1+($C$126+'Inputs'!$H$123/100))^(1/12)-1)-((1+$C$126)^(1/12)-1))*(P161*(((1+((1+$C$126)^(1/12)-1))^12-1)/((1+((1+$C$126)^(1/12)-1))-1))-J161/12/((1+((1+$C$126)^(1/12)-1))-1)*((1+((1+$C$126)^(1/12)-1))*(((1+((1+$C$126)^(1/12)-1))^12-1)/((1+((1+$C$126)^(1/12)-1))-1))-12)),0))</f>
      </c>
    </row>
    <row r="162" spans="9:17" x14ac:dyDescent="0.25">
      <c r="I162">
        <v>46</v>
      </c>
      <c r="J162">
        <f>IF(I162&lt;$C$118,MAX(0,12*$C$119*(1+$C$120)^I162-K162),0)</f>
      </c>
      <c r="K162">
        <f>SUMPRODUCT(('Inputs'!$G$76:$G$81=$C$114)*($C$114&lt;&gt;"")*'Inputs'!$D$76:$D$81*(1+'Inputs'!$E$76:$E$81/100)^I162*(ABS('Inputs'!$F$76:$F$81-12*I162)-ABS(('Inputs'!$F$76:$F$81-12*I162)-12)+12)/2)</f>
      </c>
      <c r="L162">
        <f>IF(J162&gt;0,1,0)</f>
      </c>
      <c r="P162">
        <f>IF($C$121&lt;&gt;1,0,P161*(1+((1+$C$126)^(1/12)-1))^12-J161/12*(1+((1+$C$126)^(1/12)-1))*(((1+((1+$C$126)^(1/12)-1))^12-1)/((1+((1+$C$126)^(1/12)-1))-1)))</f>
      </c>
      <c r="Q162">
        <f>IF($C$121&lt;&gt;1,0,IFERROR((((1+($C$126+'Inputs'!$H$123/100))^(1/12)-1)-((1+$C$126)^(1/12)-1))*(P162*(((1+((1+$C$126)^(1/12)-1))^12-1)/((1+((1+$C$126)^(1/12)-1))-1))-J162/12/((1+((1+$C$126)^(1/12)-1))-1)*((1+((1+$C$126)^(1/12)-1))*(((1+((1+$C$126)^(1/12)-1))^12-1)/((1+((1+$C$126)^(1/12)-1))-1))-12)),0))</f>
      </c>
    </row>
    <row r="163" spans="9:17" x14ac:dyDescent="0.25">
      <c r="I163">
        <v>47</v>
      </c>
      <c r="J163">
        <f>IF(I163&lt;$C$118,MAX(0,12*$C$119*(1+$C$120)^I163-K163),0)</f>
      </c>
      <c r="K163">
        <f>SUMPRODUCT(('Inputs'!$G$76:$G$81=$C$114)*($C$114&lt;&gt;"")*'Inputs'!$D$76:$D$81*(1+'Inputs'!$E$76:$E$81/100)^I163*(ABS('Inputs'!$F$76:$F$81-12*I163)-ABS(('Inputs'!$F$76:$F$81-12*I163)-12)+12)/2)</f>
      </c>
      <c r="L163">
        <f>IF(J163&gt;0,1,0)</f>
      </c>
      <c r="P163">
        <f>IF($C$121&lt;&gt;1,0,P162*(1+((1+$C$126)^(1/12)-1))^12-J162/12*(1+((1+$C$126)^(1/12)-1))*(((1+((1+$C$126)^(1/12)-1))^12-1)/((1+((1+$C$126)^(1/12)-1))-1)))</f>
      </c>
      <c r="Q163">
        <f>IF($C$121&lt;&gt;1,0,IFERROR((((1+($C$126+'Inputs'!$H$123/100))^(1/12)-1)-((1+$C$126)^(1/12)-1))*(P163*(((1+((1+$C$126)^(1/12)-1))^12-1)/((1+((1+$C$126)^(1/12)-1))-1))-J163/12/((1+((1+$C$126)^(1/12)-1))-1)*((1+((1+$C$126)^(1/12)-1))*(((1+((1+$C$126)^(1/12)-1))^12-1)/((1+((1+$C$126)^(1/12)-1))-1))-12)),0))</f>
      </c>
    </row>
    <row r="164" spans="9:17" x14ac:dyDescent="0.25">
      <c r="I164">
        <v>48</v>
      </c>
      <c r="J164">
        <f>IF(I164&lt;$C$118,MAX(0,12*$C$119*(1+$C$120)^I164-K164),0)</f>
      </c>
      <c r="K164">
        <f>SUMPRODUCT(('Inputs'!$G$76:$G$81=$C$114)*($C$114&lt;&gt;"")*'Inputs'!$D$76:$D$81*(1+'Inputs'!$E$76:$E$81/100)^I164*(ABS('Inputs'!$F$76:$F$81-12*I164)-ABS(('Inputs'!$F$76:$F$81-12*I164)-12)+12)/2)</f>
      </c>
      <c r="L164">
        <f>IF(J164&gt;0,1,0)</f>
      </c>
      <c r="P164">
        <f>IF($C$121&lt;&gt;1,0,P163*(1+((1+$C$126)^(1/12)-1))^12-J163/12*(1+((1+$C$126)^(1/12)-1))*(((1+((1+$C$126)^(1/12)-1))^12-1)/((1+((1+$C$126)^(1/12)-1))-1)))</f>
      </c>
      <c r="Q164">
        <f>IF($C$121&lt;&gt;1,0,IFERROR((((1+($C$126+'Inputs'!$H$123/100))^(1/12)-1)-((1+$C$126)^(1/12)-1))*(P164*(((1+((1+$C$126)^(1/12)-1))^12-1)/((1+((1+$C$126)^(1/12)-1))-1))-J164/12/((1+((1+$C$126)^(1/12)-1))-1)*((1+((1+$C$126)^(1/12)-1))*(((1+((1+$C$126)^(1/12)-1))^12-1)/((1+((1+$C$126)^(1/12)-1))-1))-12)),0))</f>
      </c>
    </row>
    <row r="165" spans="9:17" x14ac:dyDescent="0.25">
      <c r="I165">
        <v>49</v>
      </c>
      <c r="J165">
        <f>IF(I165&lt;$C$118,MAX(0,12*$C$119*(1+$C$120)^I165-K165),0)</f>
      </c>
      <c r="K165">
        <f>SUMPRODUCT(('Inputs'!$G$76:$G$81=$C$114)*($C$114&lt;&gt;"")*'Inputs'!$D$76:$D$81*(1+'Inputs'!$E$76:$E$81/100)^I165*(ABS('Inputs'!$F$76:$F$81-12*I165)-ABS(('Inputs'!$F$76:$F$81-12*I165)-12)+12)/2)</f>
      </c>
      <c r="L165">
        <f>IF(J165&gt;0,1,0)</f>
      </c>
      <c r="P165">
        <f>IF($C$121&lt;&gt;1,0,P164*(1+((1+$C$126)^(1/12)-1))^12-J164/12*(1+((1+$C$126)^(1/12)-1))*(((1+((1+$C$126)^(1/12)-1))^12-1)/((1+((1+$C$126)^(1/12)-1))-1)))</f>
      </c>
      <c r="Q165">
        <f>IF($C$121&lt;&gt;1,0,IFERROR((((1+($C$126+'Inputs'!$H$123/100))^(1/12)-1)-((1+$C$126)^(1/12)-1))*(P165*(((1+((1+$C$126)^(1/12)-1))^12-1)/((1+((1+$C$126)^(1/12)-1))-1))-J165/12/((1+((1+$C$126)^(1/12)-1))-1)*((1+((1+$C$126)^(1/12)-1))*(((1+((1+$C$126)^(1/12)-1))^12-1)/((1+((1+$C$126)^(1/12)-1))-1))-12)),0))</f>
      </c>
    </row>
    <row r="170" spans="2:3" x14ac:dyDescent="0.25">
      <c r="B170" t="s">
        <v>118</v>
      </c>
      <c r="C170">
        <f>IF('Inputs'!$B$103="","",'Inputs'!$B$103)</f>
      </c>
    </row>
    <row r="171" spans="2:17" x14ac:dyDescent="0.25">
      <c r="B171" t="s">
        <v>120</v>
      </c>
      <c r="C171">
        <f>N('Inputs'!$D$103)</f>
      </c>
      <c r="I171" t="s">
        <v>398</v>
      </c>
      <c r="J171" t="s">
        <v>399</v>
      </c>
      <c r="K171" t="s">
        <v>400</v>
      </c>
      <c r="L171" t="s">
        <v>401</v>
      </c>
      <c r="P171" t="s">
        <v>402</v>
      </c>
      <c r="Q171" t="s">
        <v>403</v>
      </c>
    </row>
    <row r="172" spans="2:17" x14ac:dyDescent="0.25">
      <c r="B172" t="s">
        <v>404</v>
      </c>
      <c r="C172">
        <f>IF($C$171&gt;=75,'Inputs'!$H$131,IF($C$171&gt;=65,'Inputs'!$H$130,'Inputs'!$H$124))</f>
      </c>
      <c r="I172">
        <v>0</v>
      </c>
      <c r="J172">
        <f>IF(I172&lt;$C$174,MAX(0,12*$C$175*(1+$C$176)^I172-K172),0)</f>
      </c>
      <c r="K172">
        <f>SUMPRODUCT(('Inputs'!$G$76:$G$81=$C$170)*($C$170&lt;&gt;"")*'Inputs'!$D$76:$D$81*(1+'Inputs'!$E$76:$E$81/100)^I172*(ABS('Inputs'!$F$76:$F$81-12*I172)-ABS(('Inputs'!$F$76:$F$81-12*I172)-12)+12)/2)</f>
      </c>
      <c r="L172">
        <f>IF(J172&gt;0,1,0)</f>
      </c>
      <c r="P172">
        <f>IF($C$177&lt;&gt;1,0,IF($C$182=0,SUM($J$172:$J$221),(1-(1+$C$182)^-1)/(1-(1+$C$182)^(-1/12))/12*SUMPRODUCT($J$172:$J$221,(1+$C$182)^(-$I$172:$I$221))))</f>
      </c>
      <c r="Q172">
        <f>IF($C$177&lt;&gt;1,0,IFERROR((((1+($C$182+'Inputs'!$H$123/100))^(1/12)-1)-((1+$C$182)^(1/12)-1))*(P172*(((1+((1+$C$182)^(1/12)-1))^12-1)/((1+((1+$C$182)^(1/12)-1))-1))-J172/12/((1+((1+$C$182)^(1/12)-1))-1)*((1+((1+$C$182)^(1/12)-1))*(((1+((1+$C$182)^(1/12)-1))^12-1)/((1+((1+$C$182)^(1/12)-1))-1))-12)),0))</f>
      </c>
    </row>
    <row r="173" spans="2:17" x14ac:dyDescent="0.25">
      <c r="B173" t="s">
        <v>405</v>
      </c>
      <c r="C173">
        <f>N('Inputs'!$I$103)</f>
      </c>
      <c r="I173">
        <v>1</v>
      </c>
      <c r="J173">
        <f>IF(I173&lt;$C$174,MAX(0,12*$C$175*(1+$C$176)^I173-K173),0)</f>
      </c>
      <c r="K173">
        <f>SUMPRODUCT(('Inputs'!$G$76:$G$81=$C$170)*($C$170&lt;&gt;"")*'Inputs'!$D$76:$D$81*(1+'Inputs'!$E$76:$E$81/100)^I173*(ABS('Inputs'!$F$76:$F$81-12*I173)-ABS(('Inputs'!$F$76:$F$81-12*I173)-12)+12)/2)</f>
      </c>
      <c r="L173">
        <f>IF(J173&gt;0,1,0)</f>
      </c>
      <c r="P173">
        <f>IF($C$177&lt;&gt;1,0,P172*(1+((1+$C$182)^(1/12)-1))^12-J172/12*(1+((1+$C$182)^(1/12)-1))*(((1+((1+$C$182)^(1/12)-1))^12-1)/((1+((1+$C$182)^(1/12)-1))-1)))</f>
      </c>
      <c r="Q173">
        <f>IF($C$177&lt;&gt;1,0,IFERROR((((1+($C$182+'Inputs'!$H$123/100))^(1/12)-1)-((1+$C$182)^(1/12)-1))*(P173*(((1+((1+$C$182)^(1/12)-1))^12-1)/((1+((1+$C$182)^(1/12)-1))-1))-J173/12/((1+((1+$C$182)^(1/12)-1))-1)*((1+((1+$C$182)^(1/12)-1))*(((1+((1+$C$182)^(1/12)-1))^12-1)/((1+((1+$C$182)^(1/12)-1))-1))-12)),0))</f>
      </c>
    </row>
    <row r="174" spans="2:17" x14ac:dyDescent="0.25">
      <c r="B174" t="s">
        <v>406</v>
      </c>
      <c r="C174">
        <f>IF($C$170="",0,N('Inputs'!$F$103))</f>
      </c>
      <c r="I174">
        <v>2</v>
      </c>
      <c r="J174">
        <f>IF(I174&lt;$C$174,MAX(0,12*$C$175*(1+$C$176)^I174-K174),0)</f>
      </c>
      <c r="K174">
        <f>SUMPRODUCT(('Inputs'!$G$76:$G$81=$C$170)*($C$170&lt;&gt;"")*'Inputs'!$D$76:$D$81*(1+'Inputs'!$E$76:$E$81/100)^I174*(ABS('Inputs'!$F$76:$F$81-12*I174)-ABS(('Inputs'!$F$76:$F$81-12*I174)-12)+12)/2)</f>
      </c>
      <c r="L174">
        <f>IF(J174&gt;0,1,0)</f>
      </c>
      <c r="P174">
        <f>IF($C$177&lt;&gt;1,0,P173*(1+((1+$C$182)^(1/12)-1))^12-J173/12*(1+((1+$C$182)^(1/12)-1))*(((1+((1+$C$182)^(1/12)-1))^12-1)/((1+((1+$C$182)^(1/12)-1))-1)))</f>
      </c>
      <c r="Q174">
        <f>IF($C$177&lt;&gt;1,0,IFERROR((((1+($C$182+'Inputs'!$H$123/100))^(1/12)-1)-((1+$C$182)^(1/12)-1))*(P174*(((1+((1+$C$182)^(1/12)-1))^12-1)/((1+((1+$C$182)^(1/12)-1))-1))-J174/12/((1+((1+$C$182)^(1/12)-1))-1)*((1+((1+$C$182)^(1/12)-1))*(((1+((1+$C$182)^(1/12)-1))^12-1)/((1+((1+$C$182)^(1/12)-1))-1))-12)),0))</f>
      </c>
    </row>
    <row r="175" spans="2:17" x14ac:dyDescent="0.25">
      <c r="B175" t="s">
        <v>407</v>
      </c>
      <c r="C175">
        <f>N('Inputs'!$E$103)</f>
      </c>
      <c r="I175">
        <v>3</v>
      </c>
      <c r="J175">
        <f>IF(I175&lt;$C$174,MAX(0,12*$C$175*(1+$C$176)^I175-K175),0)</f>
      </c>
      <c r="K175">
        <f>SUMPRODUCT(('Inputs'!$G$76:$G$81=$C$170)*($C$170&lt;&gt;"")*'Inputs'!$D$76:$D$81*(1+'Inputs'!$E$76:$E$81/100)^I175*(ABS('Inputs'!$F$76:$F$81-12*I175)-ABS(('Inputs'!$F$76:$F$81-12*I175)-12)+12)/2)</f>
      </c>
      <c r="L175">
        <f>IF(J175&gt;0,1,0)</f>
      </c>
      <c r="P175">
        <f>IF($C$177&lt;&gt;1,0,P174*(1+((1+$C$182)^(1/12)-1))^12-J174/12*(1+((1+$C$182)^(1/12)-1))*(((1+((1+$C$182)^(1/12)-1))^12-1)/((1+((1+$C$182)^(1/12)-1))-1)))</f>
      </c>
      <c r="Q175">
        <f>IF($C$177&lt;&gt;1,0,IFERROR((((1+($C$182+'Inputs'!$H$123/100))^(1/12)-1)-((1+$C$182)^(1/12)-1))*(P175*(((1+((1+$C$182)^(1/12)-1))^12-1)/((1+((1+$C$182)^(1/12)-1))-1))-J175/12/((1+((1+$C$182)^(1/12)-1))-1)*((1+((1+$C$182)^(1/12)-1))*(((1+((1+$C$182)^(1/12)-1))^12-1)/((1+((1+$C$182)^(1/12)-1))-1))-12)),0))</f>
      </c>
    </row>
    <row r="176" spans="2:17" x14ac:dyDescent="0.25">
      <c r="B176" t="s">
        <v>408</v>
      </c>
      <c r="C176">
        <f>IF('Inputs'!$G$103="",'Inputs'!$H$129/100,'Inputs'!$G$103/100)</f>
      </c>
      <c r="I176">
        <v>4</v>
      </c>
      <c r="J176">
        <f>IF(I176&lt;$C$174,MAX(0,12*$C$175*(1+$C$176)^I176-K176),0)</f>
      </c>
      <c r="K176">
        <f>SUMPRODUCT(('Inputs'!$G$76:$G$81=$C$170)*($C$170&lt;&gt;"")*'Inputs'!$D$76:$D$81*(1+'Inputs'!$E$76:$E$81/100)^I176*(ABS('Inputs'!$F$76:$F$81-12*I176)-ABS(('Inputs'!$F$76:$F$81-12*I176)-12)+12)/2)</f>
      </c>
      <c r="L176">
        <f>IF(J176&gt;0,1,0)</f>
      </c>
      <c r="P176">
        <f>IF($C$177&lt;&gt;1,0,P175*(1+((1+$C$182)^(1/12)-1))^12-J175/12*(1+((1+$C$182)^(1/12)-1))*(((1+((1+$C$182)^(1/12)-1))^12-1)/((1+((1+$C$182)^(1/12)-1))-1)))</f>
      </c>
      <c r="Q176">
        <f>IF($C$177&lt;&gt;1,0,IFERROR((((1+($C$182+'Inputs'!$H$123/100))^(1/12)-1)-((1+$C$182)^(1/12)-1))*(P176*(((1+((1+$C$182)^(1/12)-1))^12-1)/((1+((1+$C$182)^(1/12)-1))-1))-J176/12/((1+((1+$C$182)^(1/12)-1))-1)*((1+((1+$C$182)^(1/12)-1))*(((1+((1+$C$182)^(1/12)-1))^12-1)/((1+((1+$C$182)^(1/12)-1))-1))-12)),0))</f>
      </c>
    </row>
    <row r="177" spans="2:17" x14ac:dyDescent="0.25">
      <c r="B177" t="s">
        <v>409</v>
      </c>
      <c r="C177">
        <f>IF('Inputs'!$H$103="Yes",1,0)</f>
      </c>
      <c r="I177">
        <v>5</v>
      </c>
      <c r="J177">
        <f>IF(I177&lt;$C$174,MAX(0,12*$C$175*(1+$C$176)^I177-K177),0)</f>
      </c>
      <c r="K177">
        <f>SUMPRODUCT(('Inputs'!$G$76:$G$81=$C$170)*($C$170&lt;&gt;"")*'Inputs'!$D$76:$D$81*(1+'Inputs'!$E$76:$E$81/100)^I177*(ABS('Inputs'!$F$76:$F$81-12*I177)-ABS(('Inputs'!$F$76:$F$81-12*I177)-12)+12)/2)</f>
      </c>
      <c r="L177">
        <f>IF(J177&gt;0,1,0)</f>
      </c>
      <c r="P177">
        <f>IF($C$177&lt;&gt;1,0,P176*(1+((1+$C$182)^(1/12)-1))^12-J176/12*(1+((1+$C$182)^(1/12)-1))*(((1+((1+$C$182)^(1/12)-1))^12-1)/((1+((1+$C$182)^(1/12)-1))-1)))</f>
      </c>
      <c r="Q177">
        <f>IF($C$177&lt;&gt;1,0,IFERROR((((1+($C$182+'Inputs'!$H$123/100))^(1/12)-1)-((1+$C$182)^(1/12)-1))*(P177*(((1+((1+$C$182)^(1/12)-1))^12-1)/((1+((1+$C$182)^(1/12)-1))-1))-J177/12/((1+((1+$C$182)^(1/12)-1))-1)*((1+((1+$C$182)^(1/12)-1))*(((1+((1+$C$182)^(1/12)-1))^12-1)/((1+((1+$C$182)^(1/12)-1))-1))-12)),0))</f>
      </c>
    </row>
    <row r="178" spans="2:17" x14ac:dyDescent="0.25">
      <c r="B178" t="s">
        <v>410</v>
      </c>
      <c r="C178">
        <f>IF($C$170="",0,N('Inputs'!$J$103))</f>
      </c>
      <c r="I178">
        <v>6</v>
      </c>
      <c r="J178">
        <f>IF(I178&lt;$C$174,MAX(0,12*$C$175*(1+$C$176)^I178-K178),0)</f>
      </c>
      <c r="K178">
        <f>SUMPRODUCT(('Inputs'!$G$76:$G$81=$C$170)*($C$170&lt;&gt;"")*'Inputs'!$D$76:$D$81*(1+'Inputs'!$E$76:$E$81/100)^I178*(ABS('Inputs'!$F$76:$F$81-12*I178)-ABS(('Inputs'!$F$76:$F$81-12*I178)-12)+12)/2)</f>
      </c>
      <c r="L178">
        <f>IF(J178&gt;0,1,0)</f>
      </c>
      <c r="P178">
        <f>IF($C$177&lt;&gt;1,0,P177*(1+((1+$C$182)^(1/12)-1))^12-J177/12*(1+((1+$C$182)^(1/12)-1))*(((1+((1+$C$182)^(1/12)-1))^12-1)/((1+((1+$C$182)^(1/12)-1))-1)))</f>
      </c>
      <c r="Q178">
        <f>IF($C$177&lt;&gt;1,0,IFERROR((((1+($C$182+'Inputs'!$H$123/100))^(1/12)-1)-((1+$C$182)^(1/12)-1))*(P178*(((1+((1+$C$182)^(1/12)-1))^12-1)/((1+((1+$C$182)^(1/12)-1))-1))-J178/12/((1+((1+$C$182)^(1/12)-1))-1)*((1+((1+$C$182)^(1/12)-1))*(((1+((1+$C$182)^(1/12)-1))^12-1)/((1+((1+$C$182)^(1/12)-1))-1))-12)),0))</f>
      </c>
    </row>
    <row r="179" spans="2:17" x14ac:dyDescent="0.25">
      <c r="B179" t="s">
        <v>411</v>
      </c>
      <c r="C179">
        <f>ROUND(Q172,2)</f>
      </c>
      <c r="I179">
        <v>7</v>
      </c>
      <c r="J179">
        <f>IF(I179&lt;$C$174,MAX(0,12*$C$175*(1+$C$176)^I179-K179),0)</f>
      </c>
      <c r="K179">
        <f>SUMPRODUCT(('Inputs'!$G$76:$G$81=$C$170)*($C$170&lt;&gt;"")*'Inputs'!$D$76:$D$81*(1+'Inputs'!$E$76:$E$81/100)^I179*(ABS('Inputs'!$F$76:$F$81-12*I179)-ABS(('Inputs'!$F$76:$F$81-12*I179)-12)+12)/2)</f>
      </c>
      <c r="L179">
        <f>IF(J179&gt;0,1,0)</f>
      </c>
      <c r="P179">
        <f>IF($C$177&lt;&gt;1,0,P178*(1+((1+$C$182)^(1/12)-1))^12-J178/12*(1+((1+$C$182)^(1/12)-1))*(((1+((1+$C$182)^(1/12)-1))^12-1)/((1+((1+$C$182)^(1/12)-1))-1)))</f>
      </c>
      <c r="Q179">
        <f>IF($C$177&lt;&gt;1,0,IFERROR((((1+($C$182+'Inputs'!$H$123/100))^(1/12)-1)-((1+$C$182)^(1/12)-1))*(P179*(((1+((1+$C$182)^(1/12)-1))^12-1)/((1+((1+$C$182)^(1/12)-1))-1))-J179/12/((1+((1+$C$182)^(1/12)-1))-1)*((1+((1+$C$182)^(1/12)-1))*(((1+((1+$C$182)^(1/12)-1))^12-1)/((1+((1+$C$182)^(1/12)-1))-1))-12)),0))</f>
      </c>
    </row>
    <row r="180" spans="2:17" x14ac:dyDescent="0.25">
      <c r="B180" t="s">
        <v>412</v>
      </c>
      <c r="C180">
        <f>ROUND(SUM($Q$172:$Q$221),2)</f>
      </c>
      <c r="I180">
        <v>8</v>
      </c>
      <c r="J180">
        <f>IF(I180&lt;$C$174,MAX(0,12*$C$175*(1+$C$176)^I180-K180),0)</f>
      </c>
      <c r="K180">
        <f>SUMPRODUCT(('Inputs'!$G$76:$G$81=$C$170)*($C$170&lt;&gt;"")*'Inputs'!$D$76:$D$81*(1+'Inputs'!$E$76:$E$81/100)^I180*(ABS('Inputs'!$F$76:$F$81-12*I180)-ABS(('Inputs'!$F$76:$F$81-12*I180)-12)+12)/2)</f>
      </c>
      <c r="L180">
        <f>IF(J180&gt;0,1,0)</f>
      </c>
      <c r="P180">
        <f>IF($C$177&lt;&gt;1,0,P179*(1+((1+$C$182)^(1/12)-1))^12-J179/12*(1+((1+$C$182)^(1/12)-1))*(((1+((1+$C$182)^(1/12)-1))^12-1)/((1+((1+$C$182)^(1/12)-1))-1)))</f>
      </c>
      <c r="Q180">
        <f>IF($C$177&lt;&gt;1,0,IFERROR((((1+($C$182+'Inputs'!$H$123/100))^(1/12)-1)-((1+$C$182)^(1/12)-1))*(P180*(((1+((1+$C$182)^(1/12)-1))^12-1)/((1+((1+$C$182)^(1/12)-1))-1))-J180/12/((1+((1+$C$182)^(1/12)-1))-1)*((1+((1+$C$182)^(1/12)-1))*(((1+((1+$C$182)^(1/12)-1))^12-1)/((1+((1+$C$182)^(1/12)-1))-1))-12)),0))</f>
      </c>
    </row>
    <row r="181" spans="2:17" x14ac:dyDescent="0.25">
      <c r="B181" t="s">
        <v>413</v>
      </c>
      <c r="C181">
        <f>IF($C$177&lt;&gt;1,0,ROUND(IF($C$182=0,SUM($J$172:$J$221),(1-(1+$C$182)^-1)/(1-(1+$C$182)^(-1/12))/12*SUMPRODUCT($J$172:$J$221,(1+$C$182)^(-$I$172:$I$221)))-IF(($C$182+'Inputs'!$H$123/100)=0,SUM($J$172:$J$221),(1-(1+($C$182+'Inputs'!$H$123/100))^-1)/(1-(1+($C$182+'Inputs'!$H$123/100))^(-1/12))/12*SUMPRODUCT($J$172:$J$221,(1+($C$182+'Inputs'!$H$123/100))^(-$I$172:$I$221))),2))</f>
      </c>
      <c r="I181">
        <v>9</v>
      </c>
      <c r="J181">
        <f>IF(I181&lt;$C$174,MAX(0,12*$C$175*(1+$C$176)^I181-K181),0)</f>
      </c>
      <c r="K181">
        <f>SUMPRODUCT(('Inputs'!$G$76:$G$81=$C$170)*($C$170&lt;&gt;"")*'Inputs'!$D$76:$D$81*(1+'Inputs'!$E$76:$E$81/100)^I181*(ABS('Inputs'!$F$76:$F$81-12*I181)-ABS(('Inputs'!$F$76:$F$81-12*I181)-12)+12)/2)</f>
      </c>
      <c r="L181">
        <f>IF(J181&gt;0,1,0)</f>
      </c>
      <c r="P181">
        <f>IF($C$177&lt;&gt;1,0,P180*(1+((1+$C$182)^(1/12)-1))^12-J180/12*(1+((1+$C$182)^(1/12)-1))*(((1+((1+$C$182)^(1/12)-1))^12-1)/((1+((1+$C$182)^(1/12)-1))-1)))</f>
      </c>
      <c r="Q181">
        <f>IF($C$177&lt;&gt;1,0,IFERROR((((1+($C$182+'Inputs'!$H$123/100))^(1/12)-1)-((1+$C$182)^(1/12)-1))*(P181*(((1+((1+$C$182)^(1/12)-1))^12-1)/((1+((1+$C$182)^(1/12)-1))-1))-J181/12/((1+((1+$C$182)^(1/12)-1))-1)*((1+((1+$C$182)^(1/12)-1))*(((1+((1+$C$182)^(1/12)-1))^12-1)/((1+((1+$C$182)^(1/12)-1))-1))-12)),0))</f>
      </c>
    </row>
    <row r="182" spans="2:17" x14ac:dyDescent="0.25">
      <c r="B182" t="s">
        <v>414</v>
      </c>
      <c r="C182">
        <f>IF($C$177=1,'Needs calc'!$C$64,0)</f>
      </c>
      <c r="I182">
        <v>10</v>
      </c>
      <c r="J182">
        <f>IF(I182&lt;$C$174,MAX(0,12*$C$175*(1+$C$176)^I182-K182),0)</f>
      </c>
      <c r="K182">
        <f>SUMPRODUCT(('Inputs'!$G$76:$G$81=$C$170)*($C$170&lt;&gt;"")*'Inputs'!$D$76:$D$81*(1+'Inputs'!$E$76:$E$81/100)^I182*(ABS('Inputs'!$F$76:$F$81-12*I182)-ABS(('Inputs'!$F$76:$F$81-12*I182)-12)+12)/2)</f>
      </c>
      <c r="L182">
        <f>IF(J182&gt;0,1,0)</f>
      </c>
      <c r="P182">
        <f>IF($C$177&lt;&gt;1,0,P181*(1+((1+$C$182)^(1/12)-1))^12-J181/12*(1+((1+$C$182)^(1/12)-1))*(((1+((1+$C$182)^(1/12)-1))^12-1)/((1+((1+$C$182)^(1/12)-1))-1)))</f>
      </c>
      <c r="Q182">
        <f>IF($C$177&lt;&gt;1,0,IFERROR((((1+($C$182+'Inputs'!$H$123/100))^(1/12)-1)-((1+$C$182)^(1/12)-1))*(P182*(((1+((1+$C$182)^(1/12)-1))^12-1)/((1+((1+$C$182)^(1/12)-1))-1))-J182/12/((1+((1+$C$182)^(1/12)-1))-1)*((1+((1+$C$182)^(1/12)-1))*(((1+((1+$C$182)^(1/12)-1))^12-1)/((1+((1+$C$182)^(1/12)-1))-1))-12)),0))</f>
      </c>
    </row>
    <row r="183" spans="2:17" x14ac:dyDescent="0.25">
      <c r="B183" t="s">
        <v>415</v>
      </c>
      <c r="C183">
        <f>SUMPRODUCT(('Inputs'!$G$76:$G$81=$C$170)*($C$170&lt;&gt;"")*('Inputs'!$F$76:$F$81&gt;0)*'Inputs'!$D$76:$D$81)</f>
      </c>
      <c r="I183">
        <v>11</v>
      </c>
      <c r="J183">
        <f>IF(I183&lt;$C$174,MAX(0,12*$C$175*(1+$C$176)^I183-K183),0)</f>
      </c>
      <c r="K183">
        <f>SUMPRODUCT(('Inputs'!$G$76:$G$81=$C$170)*($C$170&lt;&gt;"")*'Inputs'!$D$76:$D$81*(1+'Inputs'!$E$76:$E$81/100)^I183*(ABS('Inputs'!$F$76:$F$81-12*I183)-ABS(('Inputs'!$F$76:$F$81-12*I183)-12)+12)/2)</f>
      </c>
      <c r="L183">
        <f>IF(J183&gt;0,1,0)</f>
      </c>
      <c r="P183">
        <f>IF($C$177&lt;&gt;1,0,P182*(1+((1+$C$182)^(1/12)-1))^12-J182/12*(1+((1+$C$182)^(1/12)-1))*(((1+((1+$C$182)^(1/12)-1))^12-1)/((1+((1+$C$182)^(1/12)-1))-1)))</f>
      </c>
      <c r="Q183">
        <f>IF($C$177&lt;&gt;1,0,IFERROR((((1+($C$182+'Inputs'!$H$123/100))^(1/12)-1)-((1+$C$182)^(1/12)-1))*(P183*(((1+((1+$C$182)^(1/12)-1))^12-1)/((1+((1+$C$182)^(1/12)-1))-1))-J183/12/((1+((1+$C$182)^(1/12)-1))-1)*((1+((1+$C$182)^(1/12)-1))*(((1+((1+$C$182)^(1/12)-1))^12-1)/((1+((1+$C$182)^(1/12)-1))-1))-12)),0))</f>
      </c>
    </row>
    <row r="184" spans="2:17" x14ac:dyDescent="0.25">
      <c r="B184" t="s">
        <v>416</v>
      </c>
      <c r="C184">
        <f>IF($C$174&gt;0,$C$175-J172/12,0)</f>
      </c>
      <c r="I184">
        <v>12</v>
      </c>
      <c r="J184">
        <f>IF(I184&lt;$C$174,MAX(0,12*$C$175*(1+$C$176)^I184-K184),0)</f>
      </c>
      <c r="K184">
        <f>SUMPRODUCT(('Inputs'!$G$76:$G$81=$C$170)*($C$170&lt;&gt;"")*'Inputs'!$D$76:$D$81*(1+'Inputs'!$E$76:$E$81/100)^I184*(ABS('Inputs'!$F$76:$F$81-12*I184)-ABS(('Inputs'!$F$76:$F$81-12*I184)-12)+12)/2)</f>
      </c>
      <c r="L184">
        <f>IF(J184&gt;0,1,0)</f>
      </c>
      <c r="P184">
        <f>IF($C$177&lt;&gt;1,0,P183*(1+((1+$C$182)^(1/12)-1))^12-J183/12*(1+((1+$C$182)^(1/12)-1))*(((1+((1+$C$182)^(1/12)-1))^12-1)/((1+((1+$C$182)^(1/12)-1))-1)))</f>
      </c>
      <c r="Q184">
        <f>IF($C$177&lt;&gt;1,0,IFERROR((((1+($C$182+'Inputs'!$H$123/100))^(1/12)-1)-((1+$C$182)^(1/12)-1))*(P184*(((1+((1+$C$182)^(1/12)-1))^12-1)/((1+((1+$C$182)^(1/12)-1))-1))-J184/12/((1+((1+$C$182)^(1/12)-1))-1)*((1+((1+$C$182)^(1/12)-1))*(((1+((1+$C$182)^(1/12)-1))^12-1)/((1+((1+$C$182)^(1/12)-1))-1))-12)),0))</f>
      </c>
    </row>
    <row r="185" spans="2:17" x14ac:dyDescent="0.25">
      <c r="B185" t="s">
        <v>417</v>
      </c>
      <c r="C185">
        <f>SUMPRODUCT(MAX(('Inputs'!$G$76:$G$81=$C$170)*($C$170&lt;&gt;"")*'Inputs'!$F$76:$F$81))</f>
      </c>
      <c r="I185">
        <v>13</v>
      </c>
      <c r="J185">
        <f>IF(I185&lt;$C$174,MAX(0,12*$C$175*(1+$C$176)^I185-K185),0)</f>
      </c>
      <c r="K185">
        <f>SUMPRODUCT(('Inputs'!$G$76:$G$81=$C$170)*($C$170&lt;&gt;"")*'Inputs'!$D$76:$D$81*(1+'Inputs'!$E$76:$E$81/100)^I185*(ABS('Inputs'!$F$76:$F$81-12*I185)-ABS(('Inputs'!$F$76:$F$81-12*I185)-12)+12)/2)</f>
      </c>
      <c r="L185">
        <f>IF(J185&gt;0,1,0)</f>
      </c>
      <c r="P185">
        <f>IF($C$177&lt;&gt;1,0,P184*(1+((1+$C$182)^(1/12)-1))^12-J184/12*(1+((1+$C$182)^(1/12)-1))*(((1+((1+$C$182)^(1/12)-1))^12-1)/((1+((1+$C$182)^(1/12)-1))-1)))</f>
      </c>
      <c r="Q185">
        <f>IF($C$177&lt;&gt;1,0,IFERROR((((1+($C$182+'Inputs'!$H$123/100))^(1/12)-1)-((1+$C$182)^(1/12)-1))*(P185*(((1+((1+$C$182)^(1/12)-1))^12-1)/((1+((1+$C$182)^(1/12)-1))-1))-J185/12/((1+((1+$C$182)^(1/12)-1))-1)*((1+((1+$C$182)^(1/12)-1))*(((1+((1+$C$182)^(1/12)-1))^12-1)/((1+((1+$C$182)^(1/12)-1))-1))-12)),0))</f>
      </c>
    </row>
    <row r="186" spans="2:17" x14ac:dyDescent="0.25">
      <c r="B186" t="s">
        <v>418</v>
      </c>
      <c r="C186">
        <f>SUM($J$172:$J$221)</f>
      </c>
      <c r="I186">
        <v>14</v>
      </c>
      <c r="J186">
        <f>IF(I186&lt;$C$174,MAX(0,12*$C$175*(1+$C$176)^I186-K186),0)</f>
      </c>
      <c r="K186">
        <f>SUMPRODUCT(('Inputs'!$G$76:$G$81=$C$170)*($C$170&lt;&gt;"")*'Inputs'!$D$76:$D$81*(1+'Inputs'!$E$76:$E$81/100)^I186*(ABS('Inputs'!$F$76:$F$81-12*I186)-ABS(('Inputs'!$F$76:$F$81-12*I186)-12)+12)/2)</f>
      </c>
      <c r="L186">
        <f>IF(J186&gt;0,1,0)</f>
      </c>
      <c r="P186">
        <f>IF($C$177&lt;&gt;1,0,P185*(1+((1+$C$182)^(1/12)-1))^12-J185/12*(1+((1+$C$182)^(1/12)-1))*(((1+((1+$C$182)^(1/12)-1))^12-1)/((1+((1+$C$182)^(1/12)-1))-1)))</f>
      </c>
      <c r="Q186">
        <f>IF($C$177&lt;&gt;1,0,IFERROR((((1+($C$182+'Inputs'!$H$123/100))^(1/12)-1)-((1+$C$182)^(1/12)-1))*(P186*(((1+((1+$C$182)^(1/12)-1))^12-1)/((1+((1+$C$182)^(1/12)-1))-1))-J186/12/((1+((1+$C$182)^(1/12)-1))-1)*((1+((1+$C$182)^(1/12)-1))*(((1+((1+$C$182)^(1/12)-1))^12-1)/((1+((1+$C$182)^(1/12)-1))-1))-12)),0))</f>
      </c>
    </row>
    <row r="187" spans="2:17" x14ac:dyDescent="0.25">
      <c r="B187" t="s">
        <v>419</v>
      </c>
      <c r="C187">
        <f>IF('Needs calc'!$C$66&gt;0,IF(N('Inputs'!$E$103)&gt;0,IF('Needs years'!$C$183&lt;=0,IF('Needs years'!$C$178&lt;=0,'Inputs'!$B$103&amp;" would have about R "&amp;FIXED(ROUND('Needs calc'!$C$67,-2),0)&amp;" a month of the R "&amp;FIXED(ROUND('Inputs'!$E$103,-2),0)&amp;" you want. ",IF('Needs calc'!$C$61&gt;='Needs years'!$C$178,'Inputs'!$B$103&amp;" would have about R "&amp;FIXED(ROUND('Needs calc'!$C$67,-2),0)&amp;" a month of the R "&amp;FIXED(ROUND('Inputs'!$E$103,-2),0)&amp;" you want, after the R "&amp;FIXED(ROUND('Needs years'!$C$178,-3),0)&amp;" once-off. ",'Inputs'!$B$103&amp;" would have "&amp;IF('Needs calc'!$C$61&lt;=0,"nothing","about R "&amp;FIXED(ROUND('Needs calc'!$C$61,-3),0))&amp;" of the R "&amp;FIXED(ROUND('Needs years'!$C$178,-3),0)&amp;" once-off you want for them, and about R "&amp;FIXED(ROUND('Needs calc'!$C$67,-2),0)&amp;" a month of the R "&amp;FIXED(ROUND('Inputs'!$E$103,-2),0)&amp;". ")),IF('Needs years'!$C$186&lt;=0,IF('Needs years'!$C$178&gt;0,'Inputs'!$B$103&amp;"'s death income covers the R "&amp;FIXED(ROUND('Inputs'!$E$103,-2),0)&amp;" a month you want"&amp;", but "&amp;'Inputs'!$B$103&amp;" would have "&amp;IF('Needs calc'!$C$61&lt;=0,"nothing","about R "&amp;FIXED(ROUND('Needs calc'!$C$61,-3),0))&amp;" of the R "&amp;FIXED(ROUND('Needs years'!$C$178,-3),0)&amp;" once-off you want for them. ",'Inputs'!$B$103&amp;"'s death income covers the R "&amp;FIXED(ROUND('Inputs'!$E$103,-2),0)&amp;" a month you want"&amp;", but the estate duty on it, about R "&amp;FIXED(ROUND('Needs years'!$C$189,-3),0)&amp;", leaves "&amp;'Inputs'!$B$103&amp;" short. "),IF('Needs years'!$J$172&lt;=0,'Inputs'!$B$103&amp;"'s death income covers the R "&amp;FIXED(ROUND('Inputs'!$E$103,-2),0)&amp;" a month you want"&amp;" for "&amp;IF('Needs years'!$C$188=1,"the first year","the first "&amp;'Needs years'!$C$188&amp;" years")&amp;"; after that "&amp;'Inputs'!$B$103&amp;" would be short"&amp;IF(AND('Needs years'!$C$178&gt;0,'Needs calc'!$C$61&lt;'Needs years'!$C$178),", and would have "&amp;IF('Needs calc'!$C$61&lt;=0,"nothing","about R "&amp;FIXED(ROUND('Needs calc'!$C$61,-3),0))&amp;" of the R "&amp;FIXED(ROUND('Needs years'!$C$178,-3),0)&amp;" once-off","")&amp;". ",IF('Needs years'!$C$178&lt;=0,'Inputs'!$B$103&amp;" would have about R "&amp;FIXED(ROUND('Needs calc'!$C$67,-2),0)&amp;" a month of the R "&amp;FIXED(ROUND('Inputs'!$E$103,-2),0)&amp;" you want, part of it from the death income, and less once it stops. ",IF('Needs calc'!$C$61&gt;='Needs years'!$C$178,'Inputs'!$B$103&amp;" would have about R "&amp;FIXED(ROUND('Needs calc'!$C$67,-2),0)&amp;" a month of the R "&amp;FIXED(ROUND('Inputs'!$E$103,-2),0)&amp;" you want, part of it from the death income, and less once it stops, after the R "&amp;FIXED(ROUND('Needs years'!$C$178,-3),0)&amp;" once-off. ",'Inputs'!$B$103&amp;" would have "&amp;IF('Needs calc'!$C$61&lt;=0,"nothing","about R "&amp;FIXED(ROUND('Needs calc'!$C$61,-3),0))&amp;" of the R "&amp;FIXED(ROUND('Needs years'!$C$178,-3),0)&amp;" once-off you want for them, and about R "&amp;FIXED(ROUND('Needs calc'!$C$67,-2),0)&amp;" a month of the R "&amp;FIXED(ROUND('Inputs'!$E$103,-2),0)&amp;", part of it from the death income, and less once it stops. "))))),'Inputs'!$B$103&amp;" would have "&amp;IF('Needs calc'!$C$61&lt;=0,"nothing","about R "&amp;FIXED(ROUND('Needs calc'!$C$61,-3),0))&amp;" of the R "&amp;FIXED(ROUND('Needs years'!$C$178,-3),0)&amp;" you want to leave them. "),"")</f>
      </c>
      <c r="I187">
        <v>15</v>
      </c>
      <c r="J187">
        <f>IF(I187&lt;$C$174,MAX(0,12*$C$175*(1+$C$176)^I187-K187),0)</f>
      </c>
      <c r="K187">
        <f>SUMPRODUCT(('Inputs'!$G$76:$G$81=$C$170)*($C$170&lt;&gt;"")*'Inputs'!$D$76:$D$81*(1+'Inputs'!$E$76:$E$81/100)^I187*(ABS('Inputs'!$F$76:$F$81-12*I187)-ABS(('Inputs'!$F$76:$F$81-12*I187)-12)+12)/2)</f>
      </c>
      <c r="L187">
        <f>IF(J187&gt;0,1,0)</f>
      </c>
      <c r="P187">
        <f>IF($C$177&lt;&gt;1,0,P186*(1+((1+$C$182)^(1/12)-1))^12-J186/12*(1+((1+$C$182)^(1/12)-1))*(((1+((1+$C$182)^(1/12)-1))^12-1)/((1+((1+$C$182)^(1/12)-1))-1)))</f>
      </c>
      <c r="Q187">
        <f>IF($C$177&lt;&gt;1,0,IFERROR((((1+($C$182+'Inputs'!$H$123/100))^(1/12)-1)-((1+$C$182)^(1/12)-1))*(P187*(((1+((1+$C$182)^(1/12)-1))^12-1)/((1+((1+$C$182)^(1/12)-1))-1))-J187/12/((1+((1+$C$182)^(1/12)-1))-1)*((1+((1+$C$182)^(1/12)-1))*(((1+((1+$C$182)^(1/12)-1))^12-1)/((1+((1+$C$182)^(1/12)-1))-1))-12)),0))</f>
      </c>
    </row>
    <row r="188" spans="2:17" x14ac:dyDescent="0.25">
      <c r="B188" t="s">
        <v>420</v>
      </c>
      <c r="C188">
        <f>IFERROR(MATCH(1,$L$172:$L$221,0)-1,$C$174)</f>
      </c>
      <c r="I188">
        <v>16</v>
      </c>
      <c r="J188">
        <f>IF(I188&lt;$C$174,MAX(0,12*$C$175*(1+$C$176)^I188-K188),0)</f>
      </c>
      <c r="K188">
        <f>SUMPRODUCT(('Inputs'!$G$76:$G$81=$C$170)*($C$170&lt;&gt;"")*'Inputs'!$D$76:$D$81*(1+'Inputs'!$E$76:$E$81/100)^I188*(ABS('Inputs'!$F$76:$F$81-12*I188)-ABS(('Inputs'!$F$76:$F$81-12*I188)-12)+12)/2)</f>
      </c>
      <c r="L188">
        <f>IF(J188&gt;0,1,0)</f>
      </c>
      <c r="P188">
        <f>IF($C$177&lt;&gt;1,0,P187*(1+((1+$C$182)^(1/12)-1))^12-J187/12*(1+((1+$C$182)^(1/12)-1))*(((1+((1+$C$182)^(1/12)-1))^12-1)/((1+((1+$C$182)^(1/12)-1))-1)))</f>
      </c>
      <c r="Q188">
        <f>IF($C$177&lt;&gt;1,0,IFERROR((((1+($C$182+'Inputs'!$H$123/100))^(1/12)-1)-((1+$C$182)^(1/12)-1))*(P188*(((1+((1+$C$182)^(1/12)-1))^12-1)/((1+((1+$C$182)^(1/12)-1))-1))-J188/12/((1+((1+$C$182)^(1/12)-1))-1)*((1+((1+$C$182)^(1/12)-1))*(((1+((1+$C$182)^(1/12)-1))^12-1)/((1+((1+$C$182)^(1/12)-1))-1))-12)),0))</f>
      </c>
    </row>
    <row r="189" spans="2:17" x14ac:dyDescent="0.25">
      <c r="B189" t="s">
        <v>421</v>
      </c>
      <c r="C189">
        <f>SUMPRODUCT(('Inputs'!$G$76:$G$81=$C$170)*($C$170&lt;&gt;"")*'Inputs'!$P$76:$P$81)</f>
      </c>
      <c r="I189">
        <v>17</v>
      </c>
      <c r="J189">
        <f>IF(I189&lt;$C$174,MAX(0,12*$C$175*(1+$C$176)^I189-K189),0)</f>
      </c>
      <c r="K189">
        <f>SUMPRODUCT(('Inputs'!$G$76:$G$81=$C$170)*($C$170&lt;&gt;"")*'Inputs'!$D$76:$D$81*(1+'Inputs'!$E$76:$E$81/100)^I189*(ABS('Inputs'!$F$76:$F$81-12*I189)-ABS(('Inputs'!$F$76:$F$81-12*I189)-12)+12)/2)</f>
      </c>
      <c r="L189">
        <f>IF(J189&gt;0,1,0)</f>
      </c>
      <c r="P189">
        <f>IF($C$177&lt;&gt;1,0,P188*(1+((1+$C$182)^(1/12)-1))^12-J188/12*(1+((1+$C$182)^(1/12)-1))*(((1+((1+$C$182)^(1/12)-1))^12-1)/((1+((1+$C$182)^(1/12)-1))-1)))</f>
      </c>
      <c r="Q189">
        <f>IF($C$177&lt;&gt;1,0,IFERROR((((1+($C$182+'Inputs'!$H$123/100))^(1/12)-1)-((1+$C$182)^(1/12)-1))*(P189*(((1+((1+$C$182)^(1/12)-1))^12-1)/((1+((1+$C$182)^(1/12)-1))-1))-J189/12/((1+((1+$C$182)^(1/12)-1))-1)*((1+((1+$C$182)^(1/12)-1))*(((1+((1+$C$182)^(1/12)-1))^12-1)/((1+((1+$C$182)^(1/12)-1))-1))-12)),0))</f>
      </c>
    </row>
    <row r="190" spans="9:17" x14ac:dyDescent="0.25">
      <c r="I190">
        <v>18</v>
      </c>
      <c r="J190">
        <f>IF(I190&lt;$C$174,MAX(0,12*$C$175*(1+$C$176)^I190-K190),0)</f>
      </c>
      <c r="K190">
        <f>SUMPRODUCT(('Inputs'!$G$76:$G$81=$C$170)*($C$170&lt;&gt;"")*'Inputs'!$D$76:$D$81*(1+'Inputs'!$E$76:$E$81/100)^I190*(ABS('Inputs'!$F$76:$F$81-12*I190)-ABS(('Inputs'!$F$76:$F$81-12*I190)-12)+12)/2)</f>
      </c>
      <c r="L190">
        <f>IF(J190&gt;0,1,0)</f>
      </c>
      <c r="P190">
        <f>IF($C$177&lt;&gt;1,0,P189*(1+((1+$C$182)^(1/12)-1))^12-J189/12*(1+((1+$C$182)^(1/12)-1))*(((1+((1+$C$182)^(1/12)-1))^12-1)/((1+((1+$C$182)^(1/12)-1))-1)))</f>
      </c>
      <c r="Q190">
        <f>IF($C$177&lt;&gt;1,0,IFERROR((((1+($C$182+'Inputs'!$H$123/100))^(1/12)-1)-((1+$C$182)^(1/12)-1))*(P190*(((1+((1+$C$182)^(1/12)-1))^12-1)/((1+((1+$C$182)^(1/12)-1))-1))-J190/12/((1+((1+$C$182)^(1/12)-1))-1)*((1+((1+$C$182)^(1/12)-1))*(((1+((1+$C$182)^(1/12)-1))^12-1)/((1+((1+$C$182)^(1/12)-1))-1))-12)),0))</f>
      </c>
    </row>
    <row r="191" spans="9:17" x14ac:dyDescent="0.25">
      <c r="I191">
        <v>19</v>
      </c>
      <c r="J191">
        <f>IF(I191&lt;$C$174,MAX(0,12*$C$175*(1+$C$176)^I191-K191),0)</f>
      </c>
      <c r="K191">
        <f>SUMPRODUCT(('Inputs'!$G$76:$G$81=$C$170)*($C$170&lt;&gt;"")*'Inputs'!$D$76:$D$81*(1+'Inputs'!$E$76:$E$81/100)^I191*(ABS('Inputs'!$F$76:$F$81-12*I191)-ABS(('Inputs'!$F$76:$F$81-12*I191)-12)+12)/2)</f>
      </c>
      <c r="L191">
        <f>IF(J191&gt;0,1,0)</f>
      </c>
      <c r="P191">
        <f>IF($C$177&lt;&gt;1,0,P190*(1+((1+$C$182)^(1/12)-1))^12-J190/12*(1+((1+$C$182)^(1/12)-1))*(((1+((1+$C$182)^(1/12)-1))^12-1)/((1+((1+$C$182)^(1/12)-1))-1)))</f>
      </c>
      <c r="Q191">
        <f>IF($C$177&lt;&gt;1,0,IFERROR((((1+($C$182+'Inputs'!$H$123/100))^(1/12)-1)-((1+$C$182)^(1/12)-1))*(P191*(((1+((1+$C$182)^(1/12)-1))^12-1)/((1+((1+$C$182)^(1/12)-1))-1))-J191/12/((1+((1+$C$182)^(1/12)-1))-1)*((1+((1+$C$182)^(1/12)-1))*(((1+((1+$C$182)^(1/12)-1))^12-1)/((1+((1+$C$182)^(1/12)-1))-1))-12)),0))</f>
      </c>
    </row>
    <row r="192" spans="9:17" x14ac:dyDescent="0.25">
      <c r="I192">
        <v>20</v>
      </c>
      <c r="J192">
        <f>IF(I192&lt;$C$174,MAX(0,12*$C$175*(1+$C$176)^I192-K192),0)</f>
      </c>
      <c r="K192">
        <f>SUMPRODUCT(('Inputs'!$G$76:$G$81=$C$170)*($C$170&lt;&gt;"")*'Inputs'!$D$76:$D$81*(1+'Inputs'!$E$76:$E$81/100)^I192*(ABS('Inputs'!$F$76:$F$81-12*I192)-ABS(('Inputs'!$F$76:$F$81-12*I192)-12)+12)/2)</f>
      </c>
      <c r="L192">
        <f>IF(J192&gt;0,1,0)</f>
      </c>
      <c r="P192">
        <f>IF($C$177&lt;&gt;1,0,P191*(1+((1+$C$182)^(1/12)-1))^12-J191/12*(1+((1+$C$182)^(1/12)-1))*(((1+((1+$C$182)^(1/12)-1))^12-1)/((1+((1+$C$182)^(1/12)-1))-1)))</f>
      </c>
      <c r="Q192">
        <f>IF($C$177&lt;&gt;1,0,IFERROR((((1+($C$182+'Inputs'!$H$123/100))^(1/12)-1)-((1+$C$182)^(1/12)-1))*(P192*(((1+((1+$C$182)^(1/12)-1))^12-1)/((1+((1+$C$182)^(1/12)-1))-1))-J192/12/((1+((1+$C$182)^(1/12)-1))-1)*((1+((1+$C$182)^(1/12)-1))*(((1+((1+$C$182)^(1/12)-1))^12-1)/((1+((1+$C$182)^(1/12)-1))-1))-12)),0))</f>
      </c>
    </row>
    <row r="193" spans="9:17" x14ac:dyDescent="0.25">
      <c r="I193">
        <v>21</v>
      </c>
      <c r="J193">
        <f>IF(I193&lt;$C$174,MAX(0,12*$C$175*(1+$C$176)^I193-K193),0)</f>
      </c>
      <c r="K193">
        <f>SUMPRODUCT(('Inputs'!$G$76:$G$81=$C$170)*($C$170&lt;&gt;"")*'Inputs'!$D$76:$D$81*(1+'Inputs'!$E$76:$E$81/100)^I193*(ABS('Inputs'!$F$76:$F$81-12*I193)-ABS(('Inputs'!$F$76:$F$81-12*I193)-12)+12)/2)</f>
      </c>
      <c r="L193">
        <f>IF(J193&gt;0,1,0)</f>
      </c>
      <c r="P193">
        <f>IF($C$177&lt;&gt;1,0,P192*(1+((1+$C$182)^(1/12)-1))^12-J192/12*(1+((1+$C$182)^(1/12)-1))*(((1+((1+$C$182)^(1/12)-1))^12-1)/((1+((1+$C$182)^(1/12)-1))-1)))</f>
      </c>
      <c r="Q193">
        <f>IF($C$177&lt;&gt;1,0,IFERROR((((1+($C$182+'Inputs'!$H$123/100))^(1/12)-1)-((1+$C$182)^(1/12)-1))*(P193*(((1+((1+$C$182)^(1/12)-1))^12-1)/((1+((1+$C$182)^(1/12)-1))-1))-J193/12/((1+((1+$C$182)^(1/12)-1))-1)*((1+((1+$C$182)^(1/12)-1))*(((1+((1+$C$182)^(1/12)-1))^12-1)/((1+((1+$C$182)^(1/12)-1))-1))-12)),0))</f>
      </c>
    </row>
    <row r="194" spans="9:17" x14ac:dyDescent="0.25">
      <c r="I194">
        <v>22</v>
      </c>
      <c r="J194">
        <f>IF(I194&lt;$C$174,MAX(0,12*$C$175*(1+$C$176)^I194-K194),0)</f>
      </c>
      <c r="K194">
        <f>SUMPRODUCT(('Inputs'!$G$76:$G$81=$C$170)*($C$170&lt;&gt;"")*'Inputs'!$D$76:$D$81*(1+'Inputs'!$E$76:$E$81/100)^I194*(ABS('Inputs'!$F$76:$F$81-12*I194)-ABS(('Inputs'!$F$76:$F$81-12*I194)-12)+12)/2)</f>
      </c>
      <c r="L194">
        <f>IF(J194&gt;0,1,0)</f>
      </c>
      <c r="P194">
        <f>IF($C$177&lt;&gt;1,0,P193*(1+((1+$C$182)^(1/12)-1))^12-J193/12*(1+((1+$C$182)^(1/12)-1))*(((1+((1+$C$182)^(1/12)-1))^12-1)/((1+((1+$C$182)^(1/12)-1))-1)))</f>
      </c>
      <c r="Q194">
        <f>IF($C$177&lt;&gt;1,0,IFERROR((((1+($C$182+'Inputs'!$H$123/100))^(1/12)-1)-((1+$C$182)^(1/12)-1))*(P194*(((1+((1+$C$182)^(1/12)-1))^12-1)/((1+((1+$C$182)^(1/12)-1))-1))-J194/12/((1+((1+$C$182)^(1/12)-1))-1)*((1+((1+$C$182)^(1/12)-1))*(((1+((1+$C$182)^(1/12)-1))^12-1)/((1+((1+$C$182)^(1/12)-1))-1))-12)),0))</f>
      </c>
    </row>
    <row r="195" spans="9:17" x14ac:dyDescent="0.25">
      <c r="I195">
        <v>23</v>
      </c>
      <c r="J195">
        <f>IF(I195&lt;$C$174,MAX(0,12*$C$175*(1+$C$176)^I195-K195),0)</f>
      </c>
      <c r="K195">
        <f>SUMPRODUCT(('Inputs'!$G$76:$G$81=$C$170)*($C$170&lt;&gt;"")*'Inputs'!$D$76:$D$81*(1+'Inputs'!$E$76:$E$81/100)^I195*(ABS('Inputs'!$F$76:$F$81-12*I195)-ABS(('Inputs'!$F$76:$F$81-12*I195)-12)+12)/2)</f>
      </c>
      <c r="L195">
        <f>IF(J195&gt;0,1,0)</f>
      </c>
      <c r="P195">
        <f>IF($C$177&lt;&gt;1,0,P194*(1+((1+$C$182)^(1/12)-1))^12-J194/12*(1+((1+$C$182)^(1/12)-1))*(((1+((1+$C$182)^(1/12)-1))^12-1)/((1+((1+$C$182)^(1/12)-1))-1)))</f>
      </c>
      <c r="Q195">
        <f>IF($C$177&lt;&gt;1,0,IFERROR((((1+($C$182+'Inputs'!$H$123/100))^(1/12)-1)-((1+$C$182)^(1/12)-1))*(P195*(((1+((1+$C$182)^(1/12)-1))^12-1)/((1+((1+$C$182)^(1/12)-1))-1))-J195/12/((1+((1+$C$182)^(1/12)-1))-1)*((1+((1+$C$182)^(1/12)-1))*(((1+((1+$C$182)^(1/12)-1))^12-1)/((1+((1+$C$182)^(1/12)-1))-1))-12)),0))</f>
      </c>
    </row>
    <row r="196" spans="9:17" x14ac:dyDescent="0.25">
      <c r="I196">
        <v>24</v>
      </c>
      <c r="J196">
        <f>IF(I196&lt;$C$174,MAX(0,12*$C$175*(1+$C$176)^I196-K196),0)</f>
      </c>
      <c r="K196">
        <f>SUMPRODUCT(('Inputs'!$G$76:$G$81=$C$170)*($C$170&lt;&gt;"")*'Inputs'!$D$76:$D$81*(1+'Inputs'!$E$76:$E$81/100)^I196*(ABS('Inputs'!$F$76:$F$81-12*I196)-ABS(('Inputs'!$F$76:$F$81-12*I196)-12)+12)/2)</f>
      </c>
      <c r="L196">
        <f>IF(J196&gt;0,1,0)</f>
      </c>
      <c r="P196">
        <f>IF($C$177&lt;&gt;1,0,P195*(1+((1+$C$182)^(1/12)-1))^12-J195/12*(1+((1+$C$182)^(1/12)-1))*(((1+((1+$C$182)^(1/12)-1))^12-1)/((1+((1+$C$182)^(1/12)-1))-1)))</f>
      </c>
      <c r="Q196">
        <f>IF($C$177&lt;&gt;1,0,IFERROR((((1+($C$182+'Inputs'!$H$123/100))^(1/12)-1)-((1+$C$182)^(1/12)-1))*(P196*(((1+((1+$C$182)^(1/12)-1))^12-1)/((1+((1+$C$182)^(1/12)-1))-1))-J196/12/((1+((1+$C$182)^(1/12)-1))-1)*((1+((1+$C$182)^(1/12)-1))*(((1+((1+$C$182)^(1/12)-1))^12-1)/((1+((1+$C$182)^(1/12)-1))-1))-12)),0))</f>
      </c>
    </row>
    <row r="197" spans="9:17" x14ac:dyDescent="0.25">
      <c r="I197">
        <v>25</v>
      </c>
      <c r="J197">
        <f>IF(I197&lt;$C$174,MAX(0,12*$C$175*(1+$C$176)^I197-K197),0)</f>
      </c>
      <c r="K197">
        <f>SUMPRODUCT(('Inputs'!$G$76:$G$81=$C$170)*($C$170&lt;&gt;"")*'Inputs'!$D$76:$D$81*(1+'Inputs'!$E$76:$E$81/100)^I197*(ABS('Inputs'!$F$76:$F$81-12*I197)-ABS(('Inputs'!$F$76:$F$81-12*I197)-12)+12)/2)</f>
      </c>
      <c r="L197">
        <f>IF(J197&gt;0,1,0)</f>
      </c>
      <c r="P197">
        <f>IF($C$177&lt;&gt;1,0,P196*(1+((1+$C$182)^(1/12)-1))^12-J196/12*(1+((1+$C$182)^(1/12)-1))*(((1+((1+$C$182)^(1/12)-1))^12-1)/((1+((1+$C$182)^(1/12)-1))-1)))</f>
      </c>
      <c r="Q197">
        <f>IF($C$177&lt;&gt;1,0,IFERROR((((1+($C$182+'Inputs'!$H$123/100))^(1/12)-1)-((1+$C$182)^(1/12)-1))*(P197*(((1+((1+$C$182)^(1/12)-1))^12-1)/((1+((1+$C$182)^(1/12)-1))-1))-J197/12/((1+((1+$C$182)^(1/12)-1))-1)*((1+((1+$C$182)^(1/12)-1))*(((1+((1+$C$182)^(1/12)-1))^12-1)/((1+((1+$C$182)^(1/12)-1))-1))-12)),0))</f>
      </c>
    </row>
    <row r="198" spans="9:17" x14ac:dyDescent="0.25">
      <c r="I198">
        <v>26</v>
      </c>
      <c r="J198">
        <f>IF(I198&lt;$C$174,MAX(0,12*$C$175*(1+$C$176)^I198-K198),0)</f>
      </c>
      <c r="K198">
        <f>SUMPRODUCT(('Inputs'!$G$76:$G$81=$C$170)*($C$170&lt;&gt;"")*'Inputs'!$D$76:$D$81*(1+'Inputs'!$E$76:$E$81/100)^I198*(ABS('Inputs'!$F$76:$F$81-12*I198)-ABS(('Inputs'!$F$76:$F$81-12*I198)-12)+12)/2)</f>
      </c>
      <c r="L198">
        <f>IF(J198&gt;0,1,0)</f>
      </c>
      <c r="P198">
        <f>IF($C$177&lt;&gt;1,0,P197*(1+((1+$C$182)^(1/12)-1))^12-J197/12*(1+((1+$C$182)^(1/12)-1))*(((1+((1+$C$182)^(1/12)-1))^12-1)/((1+((1+$C$182)^(1/12)-1))-1)))</f>
      </c>
      <c r="Q198">
        <f>IF($C$177&lt;&gt;1,0,IFERROR((((1+($C$182+'Inputs'!$H$123/100))^(1/12)-1)-((1+$C$182)^(1/12)-1))*(P198*(((1+((1+$C$182)^(1/12)-1))^12-1)/((1+((1+$C$182)^(1/12)-1))-1))-J198/12/((1+((1+$C$182)^(1/12)-1))-1)*((1+((1+$C$182)^(1/12)-1))*(((1+((1+$C$182)^(1/12)-1))^12-1)/((1+((1+$C$182)^(1/12)-1))-1))-12)),0))</f>
      </c>
    </row>
    <row r="199" spans="9:17" x14ac:dyDescent="0.25">
      <c r="I199">
        <v>27</v>
      </c>
      <c r="J199">
        <f>IF(I199&lt;$C$174,MAX(0,12*$C$175*(1+$C$176)^I199-K199),0)</f>
      </c>
      <c r="K199">
        <f>SUMPRODUCT(('Inputs'!$G$76:$G$81=$C$170)*($C$170&lt;&gt;"")*'Inputs'!$D$76:$D$81*(1+'Inputs'!$E$76:$E$81/100)^I199*(ABS('Inputs'!$F$76:$F$81-12*I199)-ABS(('Inputs'!$F$76:$F$81-12*I199)-12)+12)/2)</f>
      </c>
      <c r="L199">
        <f>IF(J199&gt;0,1,0)</f>
      </c>
      <c r="P199">
        <f>IF($C$177&lt;&gt;1,0,P198*(1+((1+$C$182)^(1/12)-1))^12-J198/12*(1+((1+$C$182)^(1/12)-1))*(((1+((1+$C$182)^(1/12)-1))^12-1)/((1+((1+$C$182)^(1/12)-1))-1)))</f>
      </c>
      <c r="Q199">
        <f>IF($C$177&lt;&gt;1,0,IFERROR((((1+($C$182+'Inputs'!$H$123/100))^(1/12)-1)-((1+$C$182)^(1/12)-1))*(P199*(((1+((1+$C$182)^(1/12)-1))^12-1)/((1+((1+$C$182)^(1/12)-1))-1))-J199/12/((1+((1+$C$182)^(1/12)-1))-1)*((1+((1+$C$182)^(1/12)-1))*(((1+((1+$C$182)^(1/12)-1))^12-1)/((1+((1+$C$182)^(1/12)-1))-1))-12)),0))</f>
      </c>
    </row>
    <row r="200" spans="9:17" x14ac:dyDescent="0.25">
      <c r="I200">
        <v>28</v>
      </c>
      <c r="J200">
        <f>IF(I200&lt;$C$174,MAX(0,12*$C$175*(1+$C$176)^I200-K200),0)</f>
      </c>
      <c r="K200">
        <f>SUMPRODUCT(('Inputs'!$G$76:$G$81=$C$170)*($C$170&lt;&gt;"")*'Inputs'!$D$76:$D$81*(1+'Inputs'!$E$76:$E$81/100)^I200*(ABS('Inputs'!$F$76:$F$81-12*I200)-ABS(('Inputs'!$F$76:$F$81-12*I200)-12)+12)/2)</f>
      </c>
      <c r="L200">
        <f>IF(J200&gt;0,1,0)</f>
      </c>
      <c r="P200">
        <f>IF($C$177&lt;&gt;1,0,P199*(1+((1+$C$182)^(1/12)-1))^12-J199/12*(1+((1+$C$182)^(1/12)-1))*(((1+((1+$C$182)^(1/12)-1))^12-1)/((1+((1+$C$182)^(1/12)-1))-1)))</f>
      </c>
      <c r="Q200">
        <f>IF($C$177&lt;&gt;1,0,IFERROR((((1+($C$182+'Inputs'!$H$123/100))^(1/12)-1)-((1+$C$182)^(1/12)-1))*(P200*(((1+((1+$C$182)^(1/12)-1))^12-1)/((1+((1+$C$182)^(1/12)-1))-1))-J200/12/((1+((1+$C$182)^(1/12)-1))-1)*((1+((1+$C$182)^(1/12)-1))*(((1+((1+$C$182)^(1/12)-1))^12-1)/((1+((1+$C$182)^(1/12)-1))-1))-12)),0))</f>
      </c>
    </row>
    <row r="201" spans="9:17" x14ac:dyDescent="0.25">
      <c r="I201">
        <v>29</v>
      </c>
      <c r="J201">
        <f>IF(I201&lt;$C$174,MAX(0,12*$C$175*(1+$C$176)^I201-K201),0)</f>
      </c>
      <c r="K201">
        <f>SUMPRODUCT(('Inputs'!$G$76:$G$81=$C$170)*($C$170&lt;&gt;"")*'Inputs'!$D$76:$D$81*(1+'Inputs'!$E$76:$E$81/100)^I201*(ABS('Inputs'!$F$76:$F$81-12*I201)-ABS(('Inputs'!$F$76:$F$81-12*I201)-12)+12)/2)</f>
      </c>
      <c r="L201">
        <f>IF(J201&gt;0,1,0)</f>
      </c>
      <c r="P201">
        <f>IF($C$177&lt;&gt;1,0,P200*(1+((1+$C$182)^(1/12)-1))^12-J200/12*(1+((1+$C$182)^(1/12)-1))*(((1+((1+$C$182)^(1/12)-1))^12-1)/((1+((1+$C$182)^(1/12)-1))-1)))</f>
      </c>
      <c r="Q201">
        <f>IF($C$177&lt;&gt;1,0,IFERROR((((1+($C$182+'Inputs'!$H$123/100))^(1/12)-1)-((1+$C$182)^(1/12)-1))*(P201*(((1+((1+$C$182)^(1/12)-1))^12-1)/((1+((1+$C$182)^(1/12)-1))-1))-J201/12/((1+((1+$C$182)^(1/12)-1))-1)*((1+((1+$C$182)^(1/12)-1))*(((1+((1+$C$182)^(1/12)-1))^12-1)/((1+((1+$C$182)^(1/12)-1))-1))-12)),0))</f>
      </c>
    </row>
    <row r="202" spans="9:17" x14ac:dyDescent="0.25">
      <c r="I202">
        <v>30</v>
      </c>
      <c r="J202">
        <f>IF(I202&lt;$C$174,MAX(0,12*$C$175*(1+$C$176)^I202-K202),0)</f>
      </c>
      <c r="K202">
        <f>SUMPRODUCT(('Inputs'!$G$76:$G$81=$C$170)*($C$170&lt;&gt;"")*'Inputs'!$D$76:$D$81*(1+'Inputs'!$E$76:$E$81/100)^I202*(ABS('Inputs'!$F$76:$F$81-12*I202)-ABS(('Inputs'!$F$76:$F$81-12*I202)-12)+12)/2)</f>
      </c>
      <c r="L202">
        <f>IF(J202&gt;0,1,0)</f>
      </c>
      <c r="P202">
        <f>IF($C$177&lt;&gt;1,0,P201*(1+((1+$C$182)^(1/12)-1))^12-J201/12*(1+((1+$C$182)^(1/12)-1))*(((1+((1+$C$182)^(1/12)-1))^12-1)/((1+((1+$C$182)^(1/12)-1))-1)))</f>
      </c>
      <c r="Q202">
        <f>IF($C$177&lt;&gt;1,0,IFERROR((((1+($C$182+'Inputs'!$H$123/100))^(1/12)-1)-((1+$C$182)^(1/12)-1))*(P202*(((1+((1+$C$182)^(1/12)-1))^12-1)/((1+((1+$C$182)^(1/12)-1))-1))-J202/12/((1+((1+$C$182)^(1/12)-1))-1)*((1+((1+$C$182)^(1/12)-1))*(((1+((1+$C$182)^(1/12)-1))^12-1)/((1+((1+$C$182)^(1/12)-1))-1))-12)),0))</f>
      </c>
    </row>
    <row r="203" spans="9:17" x14ac:dyDescent="0.25">
      <c r="I203">
        <v>31</v>
      </c>
      <c r="J203">
        <f>IF(I203&lt;$C$174,MAX(0,12*$C$175*(1+$C$176)^I203-K203),0)</f>
      </c>
      <c r="K203">
        <f>SUMPRODUCT(('Inputs'!$G$76:$G$81=$C$170)*($C$170&lt;&gt;"")*'Inputs'!$D$76:$D$81*(1+'Inputs'!$E$76:$E$81/100)^I203*(ABS('Inputs'!$F$76:$F$81-12*I203)-ABS(('Inputs'!$F$76:$F$81-12*I203)-12)+12)/2)</f>
      </c>
      <c r="L203">
        <f>IF(J203&gt;0,1,0)</f>
      </c>
      <c r="P203">
        <f>IF($C$177&lt;&gt;1,0,P202*(1+((1+$C$182)^(1/12)-1))^12-J202/12*(1+((1+$C$182)^(1/12)-1))*(((1+((1+$C$182)^(1/12)-1))^12-1)/((1+((1+$C$182)^(1/12)-1))-1)))</f>
      </c>
      <c r="Q203">
        <f>IF($C$177&lt;&gt;1,0,IFERROR((((1+($C$182+'Inputs'!$H$123/100))^(1/12)-1)-((1+$C$182)^(1/12)-1))*(P203*(((1+((1+$C$182)^(1/12)-1))^12-1)/((1+((1+$C$182)^(1/12)-1))-1))-J203/12/((1+((1+$C$182)^(1/12)-1))-1)*((1+((1+$C$182)^(1/12)-1))*(((1+((1+$C$182)^(1/12)-1))^12-1)/((1+((1+$C$182)^(1/12)-1))-1))-12)),0))</f>
      </c>
    </row>
    <row r="204" spans="9:17" x14ac:dyDescent="0.25">
      <c r="I204">
        <v>32</v>
      </c>
      <c r="J204">
        <f>IF(I204&lt;$C$174,MAX(0,12*$C$175*(1+$C$176)^I204-K204),0)</f>
      </c>
      <c r="K204">
        <f>SUMPRODUCT(('Inputs'!$G$76:$G$81=$C$170)*($C$170&lt;&gt;"")*'Inputs'!$D$76:$D$81*(1+'Inputs'!$E$76:$E$81/100)^I204*(ABS('Inputs'!$F$76:$F$81-12*I204)-ABS(('Inputs'!$F$76:$F$81-12*I204)-12)+12)/2)</f>
      </c>
      <c r="L204">
        <f>IF(J204&gt;0,1,0)</f>
      </c>
      <c r="P204">
        <f>IF($C$177&lt;&gt;1,0,P203*(1+((1+$C$182)^(1/12)-1))^12-J203/12*(1+((1+$C$182)^(1/12)-1))*(((1+((1+$C$182)^(1/12)-1))^12-1)/((1+((1+$C$182)^(1/12)-1))-1)))</f>
      </c>
      <c r="Q204">
        <f>IF($C$177&lt;&gt;1,0,IFERROR((((1+($C$182+'Inputs'!$H$123/100))^(1/12)-1)-((1+$C$182)^(1/12)-1))*(P204*(((1+((1+$C$182)^(1/12)-1))^12-1)/((1+((1+$C$182)^(1/12)-1))-1))-J204/12/((1+((1+$C$182)^(1/12)-1))-1)*((1+((1+$C$182)^(1/12)-1))*(((1+((1+$C$182)^(1/12)-1))^12-1)/((1+((1+$C$182)^(1/12)-1))-1))-12)),0))</f>
      </c>
    </row>
    <row r="205" spans="9:17" x14ac:dyDescent="0.25">
      <c r="I205">
        <v>33</v>
      </c>
      <c r="J205">
        <f>IF(I205&lt;$C$174,MAX(0,12*$C$175*(1+$C$176)^I205-K205),0)</f>
      </c>
      <c r="K205">
        <f>SUMPRODUCT(('Inputs'!$G$76:$G$81=$C$170)*($C$170&lt;&gt;"")*'Inputs'!$D$76:$D$81*(1+'Inputs'!$E$76:$E$81/100)^I205*(ABS('Inputs'!$F$76:$F$81-12*I205)-ABS(('Inputs'!$F$76:$F$81-12*I205)-12)+12)/2)</f>
      </c>
      <c r="L205">
        <f>IF(J205&gt;0,1,0)</f>
      </c>
      <c r="P205">
        <f>IF($C$177&lt;&gt;1,0,P204*(1+((1+$C$182)^(1/12)-1))^12-J204/12*(1+((1+$C$182)^(1/12)-1))*(((1+((1+$C$182)^(1/12)-1))^12-1)/((1+((1+$C$182)^(1/12)-1))-1)))</f>
      </c>
      <c r="Q205">
        <f>IF($C$177&lt;&gt;1,0,IFERROR((((1+($C$182+'Inputs'!$H$123/100))^(1/12)-1)-((1+$C$182)^(1/12)-1))*(P205*(((1+((1+$C$182)^(1/12)-1))^12-1)/((1+((1+$C$182)^(1/12)-1))-1))-J205/12/((1+((1+$C$182)^(1/12)-1))-1)*((1+((1+$C$182)^(1/12)-1))*(((1+((1+$C$182)^(1/12)-1))^12-1)/((1+((1+$C$182)^(1/12)-1))-1))-12)),0))</f>
      </c>
    </row>
    <row r="206" spans="9:17" x14ac:dyDescent="0.25">
      <c r="I206">
        <v>34</v>
      </c>
      <c r="J206">
        <f>IF(I206&lt;$C$174,MAX(0,12*$C$175*(1+$C$176)^I206-K206),0)</f>
      </c>
      <c r="K206">
        <f>SUMPRODUCT(('Inputs'!$G$76:$G$81=$C$170)*($C$170&lt;&gt;"")*'Inputs'!$D$76:$D$81*(1+'Inputs'!$E$76:$E$81/100)^I206*(ABS('Inputs'!$F$76:$F$81-12*I206)-ABS(('Inputs'!$F$76:$F$81-12*I206)-12)+12)/2)</f>
      </c>
      <c r="L206">
        <f>IF(J206&gt;0,1,0)</f>
      </c>
      <c r="P206">
        <f>IF($C$177&lt;&gt;1,0,P205*(1+((1+$C$182)^(1/12)-1))^12-J205/12*(1+((1+$C$182)^(1/12)-1))*(((1+((1+$C$182)^(1/12)-1))^12-1)/((1+((1+$C$182)^(1/12)-1))-1)))</f>
      </c>
      <c r="Q206">
        <f>IF($C$177&lt;&gt;1,0,IFERROR((((1+($C$182+'Inputs'!$H$123/100))^(1/12)-1)-((1+$C$182)^(1/12)-1))*(P206*(((1+((1+$C$182)^(1/12)-1))^12-1)/((1+((1+$C$182)^(1/12)-1))-1))-J206/12/((1+((1+$C$182)^(1/12)-1))-1)*((1+((1+$C$182)^(1/12)-1))*(((1+((1+$C$182)^(1/12)-1))^12-1)/((1+((1+$C$182)^(1/12)-1))-1))-12)),0))</f>
      </c>
    </row>
    <row r="207" spans="9:17" x14ac:dyDescent="0.25">
      <c r="I207">
        <v>35</v>
      </c>
      <c r="J207">
        <f>IF(I207&lt;$C$174,MAX(0,12*$C$175*(1+$C$176)^I207-K207),0)</f>
      </c>
      <c r="K207">
        <f>SUMPRODUCT(('Inputs'!$G$76:$G$81=$C$170)*($C$170&lt;&gt;"")*'Inputs'!$D$76:$D$81*(1+'Inputs'!$E$76:$E$81/100)^I207*(ABS('Inputs'!$F$76:$F$81-12*I207)-ABS(('Inputs'!$F$76:$F$81-12*I207)-12)+12)/2)</f>
      </c>
      <c r="L207">
        <f>IF(J207&gt;0,1,0)</f>
      </c>
      <c r="P207">
        <f>IF($C$177&lt;&gt;1,0,P206*(1+((1+$C$182)^(1/12)-1))^12-J206/12*(1+((1+$C$182)^(1/12)-1))*(((1+((1+$C$182)^(1/12)-1))^12-1)/((1+((1+$C$182)^(1/12)-1))-1)))</f>
      </c>
      <c r="Q207">
        <f>IF($C$177&lt;&gt;1,0,IFERROR((((1+($C$182+'Inputs'!$H$123/100))^(1/12)-1)-((1+$C$182)^(1/12)-1))*(P207*(((1+((1+$C$182)^(1/12)-1))^12-1)/((1+((1+$C$182)^(1/12)-1))-1))-J207/12/((1+((1+$C$182)^(1/12)-1))-1)*((1+((1+$C$182)^(1/12)-1))*(((1+((1+$C$182)^(1/12)-1))^12-1)/((1+((1+$C$182)^(1/12)-1))-1))-12)),0))</f>
      </c>
    </row>
    <row r="208" spans="9:17" x14ac:dyDescent="0.25">
      <c r="I208">
        <v>36</v>
      </c>
      <c r="J208">
        <f>IF(I208&lt;$C$174,MAX(0,12*$C$175*(1+$C$176)^I208-K208),0)</f>
      </c>
      <c r="K208">
        <f>SUMPRODUCT(('Inputs'!$G$76:$G$81=$C$170)*($C$170&lt;&gt;"")*'Inputs'!$D$76:$D$81*(1+'Inputs'!$E$76:$E$81/100)^I208*(ABS('Inputs'!$F$76:$F$81-12*I208)-ABS(('Inputs'!$F$76:$F$81-12*I208)-12)+12)/2)</f>
      </c>
      <c r="L208">
        <f>IF(J208&gt;0,1,0)</f>
      </c>
      <c r="P208">
        <f>IF($C$177&lt;&gt;1,0,P207*(1+((1+$C$182)^(1/12)-1))^12-J207/12*(1+((1+$C$182)^(1/12)-1))*(((1+((1+$C$182)^(1/12)-1))^12-1)/((1+((1+$C$182)^(1/12)-1))-1)))</f>
      </c>
      <c r="Q208">
        <f>IF($C$177&lt;&gt;1,0,IFERROR((((1+($C$182+'Inputs'!$H$123/100))^(1/12)-1)-((1+$C$182)^(1/12)-1))*(P208*(((1+((1+$C$182)^(1/12)-1))^12-1)/((1+((1+$C$182)^(1/12)-1))-1))-J208/12/((1+((1+$C$182)^(1/12)-1))-1)*((1+((1+$C$182)^(1/12)-1))*(((1+((1+$C$182)^(1/12)-1))^12-1)/((1+((1+$C$182)^(1/12)-1))-1))-12)),0))</f>
      </c>
    </row>
    <row r="209" spans="9:17" x14ac:dyDescent="0.25">
      <c r="I209">
        <v>37</v>
      </c>
      <c r="J209">
        <f>IF(I209&lt;$C$174,MAX(0,12*$C$175*(1+$C$176)^I209-K209),0)</f>
      </c>
      <c r="K209">
        <f>SUMPRODUCT(('Inputs'!$G$76:$G$81=$C$170)*($C$170&lt;&gt;"")*'Inputs'!$D$76:$D$81*(1+'Inputs'!$E$76:$E$81/100)^I209*(ABS('Inputs'!$F$76:$F$81-12*I209)-ABS(('Inputs'!$F$76:$F$81-12*I209)-12)+12)/2)</f>
      </c>
      <c r="L209">
        <f>IF(J209&gt;0,1,0)</f>
      </c>
      <c r="P209">
        <f>IF($C$177&lt;&gt;1,0,P208*(1+((1+$C$182)^(1/12)-1))^12-J208/12*(1+((1+$C$182)^(1/12)-1))*(((1+((1+$C$182)^(1/12)-1))^12-1)/((1+((1+$C$182)^(1/12)-1))-1)))</f>
      </c>
      <c r="Q209">
        <f>IF($C$177&lt;&gt;1,0,IFERROR((((1+($C$182+'Inputs'!$H$123/100))^(1/12)-1)-((1+$C$182)^(1/12)-1))*(P209*(((1+((1+$C$182)^(1/12)-1))^12-1)/((1+((1+$C$182)^(1/12)-1))-1))-J209/12/((1+((1+$C$182)^(1/12)-1))-1)*((1+((1+$C$182)^(1/12)-1))*(((1+((1+$C$182)^(1/12)-1))^12-1)/((1+((1+$C$182)^(1/12)-1))-1))-12)),0))</f>
      </c>
    </row>
    <row r="210" spans="9:17" x14ac:dyDescent="0.25">
      <c r="I210">
        <v>38</v>
      </c>
      <c r="J210">
        <f>IF(I210&lt;$C$174,MAX(0,12*$C$175*(1+$C$176)^I210-K210),0)</f>
      </c>
      <c r="K210">
        <f>SUMPRODUCT(('Inputs'!$G$76:$G$81=$C$170)*($C$170&lt;&gt;"")*'Inputs'!$D$76:$D$81*(1+'Inputs'!$E$76:$E$81/100)^I210*(ABS('Inputs'!$F$76:$F$81-12*I210)-ABS(('Inputs'!$F$76:$F$81-12*I210)-12)+12)/2)</f>
      </c>
      <c r="L210">
        <f>IF(J210&gt;0,1,0)</f>
      </c>
      <c r="P210">
        <f>IF($C$177&lt;&gt;1,0,P209*(1+((1+$C$182)^(1/12)-1))^12-J209/12*(1+((1+$C$182)^(1/12)-1))*(((1+((1+$C$182)^(1/12)-1))^12-1)/((1+((1+$C$182)^(1/12)-1))-1)))</f>
      </c>
      <c r="Q210">
        <f>IF($C$177&lt;&gt;1,0,IFERROR((((1+($C$182+'Inputs'!$H$123/100))^(1/12)-1)-((1+$C$182)^(1/12)-1))*(P210*(((1+((1+$C$182)^(1/12)-1))^12-1)/((1+((1+$C$182)^(1/12)-1))-1))-J210/12/((1+((1+$C$182)^(1/12)-1))-1)*((1+((1+$C$182)^(1/12)-1))*(((1+((1+$C$182)^(1/12)-1))^12-1)/((1+((1+$C$182)^(1/12)-1))-1))-12)),0))</f>
      </c>
    </row>
    <row r="211" spans="9:17" x14ac:dyDescent="0.25">
      <c r="I211">
        <v>39</v>
      </c>
      <c r="J211">
        <f>IF(I211&lt;$C$174,MAX(0,12*$C$175*(1+$C$176)^I211-K211),0)</f>
      </c>
      <c r="K211">
        <f>SUMPRODUCT(('Inputs'!$G$76:$G$81=$C$170)*($C$170&lt;&gt;"")*'Inputs'!$D$76:$D$81*(1+'Inputs'!$E$76:$E$81/100)^I211*(ABS('Inputs'!$F$76:$F$81-12*I211)-ABS(('Inputs'!$F$76:$F$81-12*I211)-12)+12)/2)</f>
      </c>
      <c r="L211">
        <f>IF(J211&gt;0,1,0)</f>
      </c>
      <c r="P211">
        <f>IF($C$177&lt;&gt;1,0,P210*(1+((1+$C$182)^(1/12)-1))^12-J210/12*(1+((1+$C$182)^(1/12)-1))*(((1+((1+$C$182)^(1/12)-1))^12-1)/((1+((1+$C$182)^(1/12)-1))-1)))</f>
      </c>
      <c r="Q211">
        <f>IF($C$177&lt;&gt;1,0,IFERROR((((1+($C$182+'Inputs'!$H$123/100))^(1/12)-1)-((1+$C$182)^(1/12)-1))*(P211*(((1+((1+$C$182)^(1/12)-1))^12-1)/((1+((1+$C$182)^(1/12)-1))-1))-J211/12/((1+((1+$C$182)^(1/12)-1))-1)*((1+((1+$C$182)^(1/12)-1))*(((1+((1+$C$182)^(1/12)-1))^12-1)/((1+((1+$C$182)^(1/12)-1))-1))-12)),0))</f>
      </c>
    </row>
    <row r="212" spans="9:17" x14ac:dyDescent="0.25">
      <c r="I212">
        <v>40</v>
      </c>
      <c r="J212">
        <f>IF(I212&lt;$C$174,MAX(0,12*$C$175*(1+$C$176)^I212-K212),0)</f>
      </c>
      <c r="K212">
        <f>SUMPRODUCT(('Inputs'!$G$76:$G$81=$C$170)*($C$170&lt;&gt;"")*'Inputs'!$D$76:$D$81*(1+'Inputs'!$E$76:$E$81/100)^I212*(ABS('Inputs'!$F$76:$F$81-12*I212)-ABS(('Inputs'!$F$76:$F$81-12*I212)-12)+12)/2)</f>
      </c>
      <c r="L212">
        <f>IF(J212&gt;0,1,0)</f>
      </c>
      <c r="P212">
        <f>IF($C$177&lt;&gt;1,0,P211*(1+((1+$C$182)^(1/12)-1))^12-J211/12*(1+((1+$C$182)^(1/12)-1))*(((1+((1+$C$182)^(1/12)-1))^12-1)/((1+((1+$C$182)^(1/12)-1))-1)))</f>
      </c>
      <c r="Q212">
        <f>IF($C$177&lt;&gt;1,0,IFERROR((((1+($C$182+'Inputs'!$H$123/100))^(1/12)-1)-((1+$C$182)^(1/12)-1))*(P212*(((1+((1+$C$182)^(1/12)-1))^12-1)/((1+((1+$C$182)^(1/12)-1))-1))-J212/12/((1+((1+$C$182)^(1/12)-1))-1)*((1+((1+$C$182)^(1/12)-1))*(((1+((1+$C$182)^(1/12)-1))^12-1)/((1+((1+$C$182)^(1/12)-1))-1))-12)),0))</f>
      </c>
    </row>
    <row r="213" spans="9:17" x14ac:dyDescent="0.25">
      <c r="I213">
        <v>41</v>
      </c>
      <c r="J213">
        <f>IF(I213&lt;$C$174,MAX(0,12*$C$175*(1+$C$176)^I213-K213),0)</f>
      </c>
      <c r="K213">
        <f>SUMPRODUCT(('Inputs'!$G$76:$G$81=$C$170)*($C$170&lt;&gt;"")*'Inputs'!$D$76:$D$81*(1+'Inputs'!$E$76:$E$81/100)^I213*(ABS('Inputs'!$F$76:$F$81-12*I213)-ABS(('Inputs'!$F$76:$F$81-12*I213)-12)+12)/2)</f>
      </c>
      <c r="L213">
        <f>IF(J213&gt;0,1,0)</f>
      </c>
      <c r="P213">
        <f>IF($C$177&lt;&gt;1,0,P212*(1+((1+$C$182)^(1/12)-1))^12-J212/12*(1+((1+$C$182)^(1/12)-1))*(((1+((1+$C$182)^(1/12)-1))^12-1)/((1+((1+$C$182)^(1/12)-1))-1)))</f>
      </c>
      <c r="Q213">
        <f>IF($C$177&lt;&gt;1,0,IFERROR((((1+($C$182+'Inputs'!$H$123/100))^(1/12)-1)-((1+$C$182)^(1/12)-1))*(P213*(((1+((1+$C$182)^(1/12)-1))^12-1)/((1+((1+$C$182)^(1/12)-1))-1))-J213/12/((1+((1+$C$182)^(1/12)-1))-1)*((1+((1+$C$182)^(1/12)-1))*(((1+((1+$C$182)^(1/12)-1))^12-1)/((1+((1+$C$182)^(1/12)-1))-1))-12)),0))</f>
      </c>
    </row>
    <row r="214" spans="9:17" x14ac:dyDescent="0.25">
      <c r="I214">
        <v>42</v>
      </c>
      <c r="J214">
        <f>IF(I214&lt;$C$174,MAX(0,12*$C$175*(1+$C$176)^I214-K214),0)</f>
      </c>
      <c r="K214">
        <f>SUMPRODUCT(('Inputs'!$G$76:$G$81=$C$170)*($C$170&lt;&gt;"")*'Inputs'!$D$76:$D$81*(1+'Inputs'!$E$76:$E$81/100)^I214*(ABS('Inputs'!$F$76:$F$81-12*I214)-ABS(('Inputs'!$F$76:$F$81-12*I214)-12)+12)/2)</f>
      </c>
      <c r="L214">
        <f>IF(J214&gt;0,1,0)</f>
      </c>
      <c r="P214">
        <f>IF($C$177&lt;&gt;1,0,P213*(1+((1+$C$182)^(1/12)-1))^12-J213/12*(1+((1+$C$182)^(1/12)-1))*(((1+((1+$C$182)^(1/12)-1))^12-1)/((1+((1+$C$182)^(1/12)-1))-1)))</f>
      </c>
      <c r="Q214">
        <f>IF($C$177&lt;&gt;1,0,IFERROR((((1+($C$182+'Inputs'!$H$123/100))^(1/12)-1)-((1+$C$182)^(1/12)-1))*(P214*(((1+((1+$C$182)^(1/12)-1))^12-1)/((1+((1+$C$182)^(1/12)-1))-1))-J214/12/((1+((1+$C$182)^(1/12)-1))-1)*((1+((1+$C$182)^(1/12)-1))*(((1+((1+$C$182)^(1/12)-1))^12-1)/((1+((1+$C$182)^(1/12)-1))-1))-12)),0))</f>
      </c>
    </row>
    <row r="215" spans="9:17" x14ac:dyDescent="0.25">
      <c r="I215">
        <v>43</v>
      </c>
      <c r="J215">
        <f>IF(I215&lt;$C$174,MAX(0,12*$C$175*(1+$C$176)^I215-K215),0)</f>
      </c>
      <c r="K215">
        <f>SUMPRODUCT(('Inputs'!$G$76:$G$81=$C$170)*($C$170&lt;&gt;"")*'Inputs'!$D$76:$D$81*(1+'Inputs'!$E$76:$E$81/100)^I215*(ABS('Inputs'!$F$76:$F$81-12*I215)-ABS(('Inputs'!$F$76:$F$81-12*I215)-12)+12)/2)</f>
      </c>
      <c r="L215">
        <f>IF(J215&gt;0,1,0)</f>
      </c>
      <c r="P215">
        <f>IF($C$177&lt;&gt;1,0,P214*(1+((1+$C$182)^(1/12)-1))^12-J214/12*(1+((1+$C$182)^(1/12)-1))*(((1+((1+$C$182)^(1/12)-1))^12-1)/((1+((1+$C$182)^(1/12)-1))-1)))</f>
      </c>
      <c r="Q215">
        <f>IF($C$177&lt;&gt;1,0,IFERROR((((1+($C$182+'Inputs'!$H$123/100))^(1/12)-1)-((1+$C$182)^(1/12)-1))*(P215*(((1+((1+$C$182)^(1/12)-1))^12-1)/((1+((1+$C$182)^(1/12)-1))-1))-J215/12/((1+((1+$C$182)^(1/12)-1))-1)*((1+((1+$C$182)^(1/12)-1))*(((1+((1+$C$182)^(1/12)-1))^12-1)/((1+((1+$C$182)^(1/12)-1))-1))-12)),0))</f>
      </c>
    </row>
    <row r="216" spans="9:17" x14ac:dyDescent="0.25">
      <c r="I216">
        <v>44</v>
      </c>
      <c r="J216">
        <f>IF(I216&lt;$C$174,MAX(0,12*$C$175*(1+$C$176)^I216-K216),0)</f>
      </c>
      <c r="K216">
        <f>SUMPRODUCT(('Inputs'!$G$76:$G$81=$C$170)*($C$170&lt;&gt;"")*'Inputs'!$D$76:$D$81*(1+'Inputs'!$E$76:$E$81/100)^I216*(ABS('Inputs'!$F$76:$F$81-12*I216)-ABS(('Inputs'!$F$76:$F$81-12*I216)-12)+12)/2)</f>
      </c>
      <c r="L216">
        <f>IF(J216&gt;0,1,0)</f>
      </c>
      <c r="P216">
        <f>IF($C$177&lt;&gt;1,0,P215*(1+((1+$C$182)^(1/12)-1))^12-J215/12*(1+((1+$C$182)^(1/12)-1))*(((1+((1+$C$182)^(1/12)-1))^12-1)/((1+((1+$C$182)^(1/12)-1))-1)))</f>
      </c>
      <c r="Q216">
        <f>IF($C$177&lt;&gt;1,0,IFERROR((((1+($C$182+'Inputs'!$H$123/100))^(1/12)-1)-((1+$C$182)^(1/12)-1))*(P216*(((1+((1+$C$182)^(1/12)-1))^12-1)/((1+((1+$C$182)^(1/12)-1))-1))-J216/12/((1+((1+$C$182)^(1/12)-1))-1)*((1+((1+$C$182)^(1/12)-1))*(((1+((1+$C$182)^(1/12)-1))^12-1)/((1+((1+$C$182)^(1/12)-1))-1))-12)),0))</f>
      </c>
    </row>
    <row r="217" spans="9:17" x14ac:dyDescent="0.25">
      <c r="I217">
        <v>45</v>
      </c>
      <c r="J217">
        <f>IF(I217&lt;$C$174,MAX(0,12*$C$175*(1+$C$176)^I217-K217),0)</f>
      </c>
      <c r="K217">
        <f>SUMPRODUCT(('Inputs'!$G$76:$G$81=$C$170)*($C$170&lt;&gt;"")*'Inputs'!$D$76:$D$81*(1+'Inputs'!$E$76:$E$81/100)^I217*(ABS('Inputs'!$F$76:$F$81-12*I217)-ABS(('Inputs'!$F$76:$F$81-12*I217)-12)+12)/2)</f>
      </c>
      <c r="L217">
        <f>IF(J217&gt;0,1,0)</f>
      </c>
      <c r="P217">
        <f>IF($C$177&lt;&gt;1,0,P216*(1+((1+$C$182)^(1/12)-1))^12-J216/12*(1+((1+$C$182)^(1/12)-1))*(((1+((1+$C$182)^(1/12)-1))^12-1)/((1+((1+$C$182)^(1/12)-1))-1)))</f>
      </c>
      <c r="Q217">
        <f>IF($C$177&lt;&gt;1,0,IFERROR((((1+($C$182+'Inputs'!$H$123/100))^(1/12)-1)-((1+$C$182)^(1/12)-1))*(P217*(((1+((1+$C$182)^(1/12)-1))^12-1)/((1+((1+$C$182)^(1/12)-1))-1))-J217/12/((1+((1+$C$182)^(1/12)-1))-1)*((1+((1+$C$182)^(1/12)-1))*(((1+((1+$C$182)^(1/12)-1))^12-1)/((1+((1+$C$182)^(1/12)-1))-1))-12)),0))</f>
      </c>
    </row>
    <row r="218" spans="9:17" x14ac:dyDescent="0.25">
      <c r="I218">
        <v>46</v>
      </c>
      <c r="J218">
        <f>IF(I218&lt;$C$174,MAX(0,12*$C$175*(1+$C$176)^I218-K218),0)</f>
      </c>
      <c r="K218">
        <f>SUMPRODUCT(('Inputs'!$G$76:$G$81=$C$170)*($C$170&lt;&gt;"")*'Inputs'!$D$76:$D$81*(1+'Inputs'!$E$76:$E$81/100)^I218*(ABS('Inputs'!$F$76:$F$81-12*I218)-ABS(('Inputs'!$F$76:$F$81-12*I218)-12)+12)/2)</f>
      </c>
      <c r="L218">
        <f>IF(J218&gt;0,1,0)</f>
      </c>
      <c r="P218">
        <f>IF($C$177&lt;&gt;1,0,P217*(1+((1+$C$182)^(1/12)-1))^12-J217/12*(1+((1+$C$182)^(1/12)-1))*(((1+((1+$C$182)^(1/12)-1))^12-1)/((1+((1+$C$182)^(1/12)-1))-1)))</f>
      </c>
      <c r="Q218">
        <f>IF($C$177&lt;&gt;1,0,IFERROR((((1+($C$182+'Inputs'!$H$123/100))^(1/12)-1)-((1+$C$182)^(1/12)-1))*(P218*(((1+((1+$C$182)^(1/12)-1))^12-1)/((1+((1+$C$182)^(1/12)-1))-1))-J218/12/((1+((1+$C$182)^(1/12)-1))-1)*((1+((1+$C$182)^(1/12)-1))*(((1+((1+$C$182)^(1/12)-1))^12-1)/((1+((1+$C$182)^(1/12)-1))-1))-12)),0))</f>
      </c>
    </row>
    <row r="219" spans="9:17" x14ac:dyDescent="0.25">
      <c r="I219">
        <v>47</v>
      </c>
      <c r="J219">
        <f>IF(I219&lt;$C$174,MAX(0,12*$C$175*(1+$C$176)^I219-K219),0)</f>
      </c>
      <c r="K219">
        <f>SUMPRODUCT(('Inputs'!$G$76:$G$81=$C$170)*($C$170&lt;&gt;"")*'Inputs'!$D$76:$D$81*(1+'Inputs'!$E$76:$E$81/100)^I219*(ABS('Inputs'!$F$76:$F$81-12*I219)-ABS(('Inputs'!$F$76:$F$81-12*I219)-12)+12)/2)</f>
      </c>
      <c r="L219">
        <f>IF(J219&gt;0,1,0)</f>
      </c>
      <c r="P219">
        <f>IF($C$177&lt;&gt;1,0,P218*(1+((1+$C$182)^(1/12)-1))^12-J218/12*(1+((1+$C$182)^(1/12)-1))*(((1+((1+$C$182)^(1/12)-1))^12-1)/((1+((1+$C$182)^(1/12)-1))-1)))</f>
      </c>
      <c r="Q219">
        <f>IF($C$177&lt;&gt;1,0,IFERROR((((1+($C$182+'Inputs'!$H$123/100))^(1/12)-1)-((1+$C$182)^(1/12)-1))*(P219*(((1+((1+$C$182)^(1/12)-1))^12-1)/((1+((1+$C$182)^(1/12)-1))-1))-J219/12/((1+((1+$C$182)^(1/12)-1))-1)*((1+((1+$C$182)^(1/12)-1))*(((1+((1+$C$182)^(1/12)-1))^12-1)/((1+((1+$C$182)^(1/12)-1))-1))-12)),0))</f>
      </c>
    </row>
    <row r="220" spans="9:17" x14ac:dyDescent="0.25">
      <c r="I220">
        <v>48</v>
      </c>
      <c r="J220">
        <f>IF(I220&lt;$C$174,MAX(0,12*$C$175*(1+$C$176)^I220-K220),0)</f>
      </c>
      <c r="K220">
        <f>SUMPRODUCT(('Inputs'!$G$76:$G$81=$C$170)*($C$170&lt;&gt;"")*'Inputs'!$D$76:$D$81*(1+'Inputs'!$E$76:$E$81/100)^I220*(ABS('Inputs'!$F$76:$F$81-12*I220)-ABS(('Inputs'!$F$76:$F$81-12*I220)-12)+12)/2)</f>
      </c>
      <c r="L220">
        <f>IF(J220&gt;0,1,0)</f>
      </c>
      <c r="P220">
        <f>IF($C$177&lt;&gt;1,0,P219*(1+((1+$C$182)^(1/12)-1))^12-J219/12*(1+((1+$C$182)^(1/12)-1))*(((1+((1+$C$182)^(1/12)-1))^12-1)/((1+((1+$C$182)^(1/12)-1))-1)))</f>
      </c>
      <c r="Q220">
        <f>IF($C$177&lt;&gt;1,0,IFERROR((((1+($C$182+'Inputs'!$H$123/100))^(1/12)-1)-((1+$C$182)^(1/12)-1))*(P220*(((1+((1+$C$182)^(1/12)-1))^12-1)/((1+((1+$C$182)^(1/12)-1))-1))-J220/12/((1+((1+$C$182)^(1/12)-1))-1)*((1+((1+$C$182)^(1/12)-1))*(((1+((1+$C$182)^(1/12)-1))^12-1)/((1+((1+$C$182)^(1/12)-1))-1))-12)),0))</f>
      </c>
    </row>
    <row r="221" spans="9:17" x14ac:dyDescent="0.25">
      <c r="I221">
        <v>49</v>
      </c>
      <c r="J221">
        <f>IF(I221&lt;$C$174,MAX(0,12*$C$175*(1+$C$176)^I221-K221),0)</f>
      </c>
      <c r="K221">
        <f>SUMPRODUCT(('Inputs'!$G$76:$G$81=$C$170)*($C$170&lt;&gt;"")*'Inputs'!$D$76:$D$81*(1+'Inputs'!$E$76:$E$81/100)^I221*(ABS('Inputs'!$F$76:$F$81-12*I221)-ABS(('Inputs'!$F$76:$F$81-12*I221)-12)+12)/2)</f>
      </c>
      <c r="L221">
        <f>IF(J221&gt;0,1,0)</f>
      </c>
      <c r="P221">
        <f>IF($C$177&lt;&gt;1,0,P220*(1+((1+$C$182)^(1/12)-1))^12-J220/12*(1+((1+$C$182)^(1/12)-1))*(((1+((1+$C$182)^(1/12)-1))^12-1)/((1+((1+$C$182)^(1/12)-1))-1)))</f>
      </c>
      <c r="Q221">
        <f>IF($C$177&lt;&gt;1,0,IFERROR((((1+($C$182+'Inputs'!$H$123/100))^(1/12)-1)-((1+$C$182)^(1/12)-1))*(P221*(((1+((1+$C$182)^(1/12)-1))^12-1)/((1+((1+$C$182)^(1/12)-1))-1))-J221/12/((1+((1+$C$182)^(1/12)-1))-1)*((1+((1+$C$182)^(1/12)-1))*(((1+((1+$C$182)^(1/12)-1))^12-1)/((1+((1+$C$182)^(1/12)-1))-1))-12)),0))</f>
      </c>
    </row>
    <row r="226" spans="2:3" x14ac:dyDescent="0.25">
      <c r="B226" t="s">
        <v>118</v>
      </c>
      <c r="C226">
        <f>IF('Inputs'!$B$104="","",'Inputs'!$B$104)</f>
      </c>
    </row>
    <row r="227" spans="2:17" x14ac:dyDescent="0.25">
      <c r="B227" t="s">
        <v>120</v>
      </c>
      <c r="C227">
        <f>N('Inputs'!$D$104)</f>
      </c>
      <c r="I227" t="s">
        <v>398</v>
      </c>
      <c r="J227" t="s">
        <v>399</v>
      </c>
      <c r="K227" t="s">
        <v>400</v>
      </c>
      <c r="L227" t="s">
        <v>401</v>
      </c>
      <c r="P227" t="s">
        <v>402</v>
      </c>
      <c r="Q227" t="s">
        <v>403</v>
      </c>
    </row>
    <row r="228" spans="2:17" x14ac:dyDescent="0.25">
      <c r="B228" t="s">
        <v>404</v>
      </c>
      <c r="C228">
        <f>IF($C$227&gt;=75,'Inputs'!$H$131,IF($C$227&gt;=65,'Inputs'!$H$130,'Inputs'!$H$124))</f>
      </c>
      <c r="I228">
        <v>0</v>
      </c>
      <c r="J228">
        <f>IF(I228&lt;$C$230,MAX(0,12*$C$231*(1+$C$232)^I228-K228),0)</f>
      </c>
      <c r="K228">
        <f>SUMPRODUCT(('Inputs'!$G$76:$G$81=$C$226)*($C$226&lt;&gt;"")*'Inputs'!$D$76:$D$81*(1+'Inputs'!$E$76:$E$81/100)^I228*(ABS('Inputs'!$F$76:$F$81-12*I228)-ABS(('Inputs'!$F$76:$F$81-12*I228)-12)+12)/2)</f>
      </c>
      <c r="L228">
        <f>IF(J228&gt;0,1,0)</f>
      </c>
      <c r="P228">
        <f>IF($C$233&lt;&gt;1,0,IF($C$238=0,SUM($J$228:$J$277),(1-(1+$C$238)^-1)/(1-(1+$C$238)^(-1/12))/12*SUMPRODUCT($J$228:$J$277,(1+$C$238)^(-$I$228:$I$277))))</f>
      </c>
      <c r="Q228">
        <f>IF($C$233&lt;&gt;1,0,IFERROR((((1+($C$238+'Inputs'!$H$123/100))^(1/12)-1)-((1+$C$238)^(1/12)-1))*(P228*(((1+((1+$C$238)^(1/12)-1))^12-1)/((1+((1+$C$238)^(1/12)-1))-1))-J228/12/((1+((1+$C$238)^(1/12)-1))-1)*((1+((1+$C$238)^(1/12)-1))*(((1+((1+$C$238)^(1/12)-1))^12-1)/((1+((1+$C$238)^(1/12)-1))-1))-12)),0))</f>
      </c>
    </row>
    <row r="229" spans="2:17" x14ac:dyDescent="0.25">
      <c r="B229" t="s">
        <v>405</v>
      </c>
      <c r="C229">
        <f>N('Inputs'!$I$104)</f>
      </c>
      <c r="I229">
        <v>1</v>
      </c>
      <c r="J229">
        <f>IF(I229&lt;$C$230,MAX(0,12*$C$231*(1+$C$232)^I229-K229),0)</f>
      </c>
      <c r="K229">
        <f>SUMPRODUCT(('Inputs'!$G$76:$G$81=$C$226)*($C$226&lt;&gt;"")*'Inputs'!$D$76:$D$81*(1+'Inputs'!$E$76:$E$81/100)^I229*(ABS('Inputs'!$F$76:$F$81-12*I229)-ABS(('Inputs'!$F$76:$F$81-12*I229)-12)+12)/2)</f>
      </c>
      <c r="L229">
        <f>IF(J229&gt;0,1,0)</f>
      </c>
      <c r="P229">
        <f>IF($C$233&lt;&gt;1,0,P228*(1+((1+$C$238)^(1/12)-1))^12-J228/12*(1+((1+$C$238)^(1/12)-1))*(((1+((1+$C$238)^(1/12)-1))^12-1)/((1+((1+$C$238)^(1/12)-1))-1)))</f>
      </c>
      <c r="Q229">
        <f>IF($C$233&lt;&gt;1,0,IFERROR((((1+($C$238+'Inputs'!$H$123/100))^(1/12)-1)-((1+$C$238)^(1/12)-1))*(P229*(((1+((1+$C$238)^(1/12)-1))^12-1)/((1+((1+$C$238)^(1/12)-1))-1))-J229/12/((1+((1+$C$238)^(1/12)-1))-1)*((1+((1+$C$238)^(1/12)-1))*(((1+((1+$C$238)^(1/12)-1))^12-1)/((1+((1+$C$238)^(1/12)-1))-1))-12)),0))</f>
      </c>
    </row>
    <row r="230" spans="2:17" x14ac:dyDescent="0.25">
      <c r="B230" t="s">
        <v>406</v>
      </c>
      <c r="C230">
        <f>IF($C$226="",0,N('Inputs'!$F$104))</f>
      </c>
      <c r="I230">
        <v>2</v>
      </c>
      <c r="J230">
        <f>IF(I230&lt;$C$230,MAX(0,12*$C$231*(1+$C$232)^I230-K230),0)</f>
      </c>
      <c r="K230">
        <f>SUMPRODUCT(('Inputs'!$G$76:$G$81=$C$226)*($C$226&lt;&gt;"")*'Inputs'!$D$76:$D$81*(1+'Inputs'!$E$76:$E$81/100)^I230*(ABS('Inputs'!$F$76:$F$81-12*I230)-ABS(('Inputs'!$F$76:$F$81-12*I230)-12)+12)/2)</f>
      </c>
      <c r="L230">
        <f>IF(J230&gt;0,1,0)</f>
      </c>
      <c r="P230">
        <f>IF($C$233&lt;&gt;1,0,P229*(1+((1+$C$238)^(1/12)-1))^12-J229/12*(1+((1+$C$238)^(1/12)-1))*(((1+((1+$C$238)^(1/12)-1))^12-1)/((1+((1+$C$238)^(1/12)-1))-1)))</f>
      </c>
      <c r="Q230">
        <f>IF($C$233&lt;&gt;1,0,IFERROR((((1+($C$238+'Inputs'!$H$123/100))^(1/12)-1)-((1+$C$238)^(1/12)-1))*(P230*(((1+((1+$C$238)^(1/12)-1))^12-1)/((1+((1+$C$238)^(1/12)-1))-1))-J230/12/((1+((1+$C$238)^(1/12)-1))-1)*((1+((1+$C$238)^(1/12)-1))*(((1+((1+$C$238)^(1/12)-1))^12-1)/((1+((1+$C$238)^(1/12)-1))-1))-12)),0))</f>
      </c>
    </row>
    <row r="231" spans="2:17" x14ac:dyDescent="0.25">
      <c r="B231" t="s">
        <v>407</v>
      </c>
      <c r="C231">
        <f>N('Inputs'!$E$104)</f>
      </c>
      <c r="I231">
        <v>3</v>
      </c>
      <c r="J231">
        <f>IF(I231&lt;$C$230,MAX(0,12*$C$231*(1+$C$232)^I231-K231),0)</f>
      </c>
      <c r="K231">
        <f>SUMPRODUCT(('Inputs'!$G$76:$G$81=$C$226)*($C$226&lt;&gt;"")*'Inputs'!$D$76:$D$81*(1+'Inputs'!$E$76:$E$81/100)^I231*(ABS('Inputs'!$F$76:$F$81-12*I231)-ABS(('Inputs'!$F$76:$F$81-12*I231)-12)+12)/2)</f>
      </c>
      <c r="L231">
        <f>IF(J231&gt;0,1,0)</f>
      </c>
      <c r="P231">
        <f>IF($C$233&lt;&gt;1,0,P230*(1+((1+$C$238)^(1/12)-1))^12-J230/12*(1+((1+$C$238)^(1/12)-1))*(((1+((1+$C$238)^(1/12)-1))^12-1)/((1+((1+$C$238)^(1/12)-1))-1)))</f>
      </c>
      <c r="Q231">
        <f>IF($C$233&lt;&gt;1,0,IFERROR((((1+($C$238+'Inputs'!$H$123/100))^(1/12)-1)-((1+$C$238)^(1/12)-1))*(P231*(((1+((1+$C$238)^(1/12)-1))^12-1)/((1+((1+$C$238)^(1/12)-1))-1))-J231/12/((1+((1+$C$238)^(1/12)-1))-1)*((1+((1+$C$238)^(1/12)-1))*(((1+((1+$C$238)^(1/12)-1))^12-1)/((1+((1+$C$238)^(1/12)-1))-1))-12)),0))</f>
      </c>
    </row>
    <row r="232" spans="2:17" x14ac:dyDescent="0.25">
      <c r="B232" t="s">
        <v>408</v>
      </c>
      <c r="C232">
        <f>IF('Inputs'!$G$104="",'Inputs'!$H$129/100,'Inputs'!$G$104/100)</f>
      </c>
      <c r="I232">
        <v>4</v>
      </c>
      <c r="J232">
        <f>IF(I232&lt;$C$230,MAX(0,12*$C$231*(1+$C$232)^I232-K232),0)</f>
      </c>
      <c r="K232">
        <f>SUMPRODUCT(('Inputs'!$G$76:$G$81=$C$226)*($C$226&lt;&gt;"")*'Inputs'!$D$76:$D$81*(1+'Inputs'!$E$76:$E$81/100)^I232*(ABS('Inputs'!$F$76:$F$81-12*I232)-ABS(('Inputs'!$F$76:$F$81-12*I232)-12)+12)/2)</f>
      </c>
      <c r="L232">
        <f>IF(J232&gt;0,1,0)</f>
      </c>
      <c r="P232">
        <f>IF($C$233&lt;&gt;1,0,P231*(1+((1+$C$238)^(1/12)-1))^12-J231/12*(1+((1+$C$238)^(1/12)-1))*(((1+((1+$C$238)^(1/12)-1))^12-1)/((1+((1+$C$238)^(1/12)-1))-1)))</f>
      </c>
      <c r="Q232">
        <f>IF($C$233&lt;&gt;1,0,IFERROR((((1+($C$238+'Inputs'!$H$123/100))^(1/12)-1)-((1+$C$238)^(1/12)-1))*(P232*(((1+((1+$C$238)^(1/12)-1))^12-1)/((1+((1+$C$238)^(1/12)-1))-1))-J232/12/((1+((1+$C$238)^(1/12)-1))-1)*((1+((1+$C$238)^(1/12)-1))*(((1+((1+$C$238)^(1/12)-1))^12-1)/((1+((1+$C$238)^(1/12)-1))-1))-12)),0))</f>
      </c>
    </row>
    <row r="233" spans="2:17" x14ac:dyDescent="0.25">
      <c r="B233" t="s">
        <v>409</v>
      </c>
      <c r="C233">
        <f>IF('Inputs'!$H$104="Yes",1,0)</f>
      </c>
      <c r="I233">
        <v>5</v>
      </c>
      <c r="J233">
        <f>IF(I233&lt;$C$230,MAX(0,12*$C$231*(1+$C$232)^I233-K233),0)</f>
      </c>
      <c r="K233">
        <f>SUMPRODUCT(('Inputs'!$G$76:$G$81=$C$226)*($C$226&lt;&gt;"")*'Inputs'!$D$76:$D$81*(1+'Inputs'!$E$76:$E$81/100)^I233*(ABS('Inputs'!$F$76:$F$81-12*I233)-ABS(('Inputs'!$F$76:$F$81-12*I233)-12)+12)/2)</f>
      </c>
      <c r="L233">
        <f>IF(J233&gt;0,1,0)</f>
      </c>
      <c r="P233">
        <f>IF($C$233&lt;&gt;1,0,P232*(1+((1+$C$238)^(1/12)-1))^12-J232/12*(1+((1+$C$238)^(1/12)-1))*(((1+((1+$C$238)^(1/12)-1))^12-1)/((1+((1+$C$238)^(1/12)-1))-1)))</f>
      </c>
      <c r="Q233">
        <f>IF($C$233&lt;&gt;1,0,IFERROR((((1+($C$238+'Inputs'!$H$123/100))^(1/12)-1)-((1+$C$238)^(1/12)-1))*(P233*(((1+((1+$C$238)^(1/12)-1))^12-1)/((1+((1+$C$238)^(1/12)-1))-1))-J233/12/((1+((1+$C$238)^(1/12)-1))-1)*((1+((1+$C$238)^(1/12)-1))*(((1+((1+$C$238)^(1/12)-1))^12-1)/((1+((1+$C$238)^(1/12)-1))-1))-12)),0))</f>
      </c>
    </row>
    <row r="234" spans="2:17" x14ac:dyDescent="0.25">
      <c r="B234" t="s">
        <v>410</v>
      </c>
      <c r="C234">
        <f>IF($C$226="",0,N('Inputs'!$J$104))</f>
      </c>
      <c r="I234">
        <v>6</v>
      </c>
      <c r="J234">
        <f>IF(I234&lt;$C$230,MAX(0,12*$C$231*(1+$C$232)^I234-K234),0)</f>
      </c>
      <c r="K234">
        <f>SUMPRODUCT(('Inputs'!$G$76:$G$81=$C$226)*($C$226&lt;&gt;"")*'Inputs'!$D$76:$D$81*(1+'Inputs'!$E$76:$E$81/100)^I234*(ABS('Inputs'!$F$76:$F$81-12*I234)-ABS(('Inputs'!$F$76:$F$81-12*I234)-12)+12)/2)</f>
      </c>
      <c r="L234">
        <f>IF(J234&gt;0,1,0)</f>
      </c>
      <c r="P234">
        <f>IF($C$233&lt;&gt;1,0,P233*(1+((1+$C$238)^(1/12)-1))^12-J233/12*(1+((1+$C$238)^(1/12)-1))*(((1+((1+$C$238)^(1/12)-1))^12-1)/((1+((1+$C$238)^(1/12)-1))-1)))</f>
      </c>
      <c r="Q234">
        <f>IF($C$233&lt;&gt;1,0,IFERROR((((1+($C$238+'Inputs'!$H$123/100))^(1/12)-1)-((1+$C$238)^(1/12)-1))*(P234*(((1+((1+$C$238)^(1/12)-1))^12-1)/((1+((1+$C$238)^(1/12)-1))-1))-J234/12/((1+((1+$C$238)^(1/12)-1))-1)*((1+((1+$C$238)^(1/12)-1))*(((1+((1+$C$238)^(1/12)-1))^12-1)/((1+((1+$C$238)^(1/12)-1))-1))-12)),0))</f>
      </c>
    </row>
    <row r="235" spans="2:17" x14ac:dyDescent="0.25">
      <c r="B235" t="s">
        <v>411</v>
      </c>
      <c r="C235">
        <f>ROUND(Q228,2)</f>
      </c>
      <c r="I235">
        <v>7</v>
      </c>
      <c r="J235">
        <f>IF(I235&lt;$C$230,MAX(0,12*$C$231*(1+$C$232)^I235-K235),0)</f>
      </c>
      <c r="K235">
        <f>SUMPRODUCT(('Inputs'!$G$76:$G$81=$C$226)*($C$226&lt;&gt;"")*'Inputs'!$D$76:$D$81*(1+'Inputs'!$E$76:$E$81/100)^I235*(ABS('Inputs'!$F$76:$F$81-12*I235)-ABS(('Inputs'!$F$76:$F$81-12*I235)-12)+12)/2)</f>
      </c>
      <c r="L235">
        <f>IF(J235&gt;0,1,0)</f>
      </c>
      <c r="P235">
        <f>IF($C$233&lt;&gt;1,0,P234*(1+((1+$C$238)^(1/12)-1))^12-J234/12*(1+((1+$C$238)^(1/12)-1))*(((1+((1+$C$238)^(1/12)-1))^12-1)/((1+((1+$C$238)^(1/12)-1))-1)))</f>
      </c>
      <c r="Q235">
        <f>IF($C$233&lt;&gt;1,0,IFERROR((((1+($C$238+'Inputs'!$H$123/100))^(1/12)-1)-((1+$C$238)^(1/12)-1))*(P235*(((1+((1+$C$238)^(1/12)-1))^12-1)/((1+((1+$C$238)^(1/12)-1))-1))-J235/12/((1+((1+$C$238)^(1/12)-1))-1)*((1+((1+$C$238)^(1/12)-1))*(((1+((1+$C$238)^(1/12)-1))^12-1)/((1+((1+$C$238)^(1/12)-1))-1))-12)),0))</f>
      </c>
    </row>
    <row r="236" spans="2:17" x14ac:dyDescent="0.25">
      <c r="B236" t="s">
        <v>412</v>
      </c>
      <c r="C236">
        <f>ROUND(SUM($Q$228:$Q$277),2)</f>
      </c>
      <c r="I236">
        <v>8</v>
      </c>
      <c r="J236">
        <f>IF(I236&lt;$C$230,MAX(0,12*$C$231*(1+$C$232)^I236-K236),0)</f>
      </c>
      <c r="K236">
        <f>SUMPRODUCT(('Inputs'!$G$76:$G$81=$C$226)*($C$226&lt;&gt;"")*'Inputs'!$D$76:$D$81*(1+'Inputs'!$E$76:$E$81/100)^I236*(ABS('Inputs'!$F$76:$F$81-12*I236)-ABS(('Inputs'!$F$76:$F$81-12*I236)-12)+12)/2)</f>
      </c>
      <c r="L236">
        <f>IF(J236&gt;0,1,0)</f>
      </c>
      <c r="P236">
        <f>IF($C$233&lt;&gt;1,0,P235*(1+((1+$C$238)^(1/12)-1))^12-J235/12*(1+((1+$C$238)^(1/12)-1))*(((1+((1+$C$238)^(1/12)-1))^12-1)/((1+((1+$C$238)^(1/12)-1))-1)))</f>
      </c>
      <c r="Q236">
        <f>IF($C$233&lt;&gt;1,0,IFERROR((((1+($C$238+'Inputs'!$H$123/100))^(1/12)-1)-((1+$C$238)^(1/12)-1))*(P236*(((1+((1+$C$238)^(1/12)-1))^12-1)/((1+((1+$C$238)^(1/12)-1))-1))-J236/12/((1+((1+$C$238)^(1/12)-1))-1)*((1+((1+$C$238)^(1/12)-1))*(((1+((1+$C$238)^(1/12)-1))^12-1)/((1+((1+$C$238)^(1/12)-1))-1))-12)),0))</f>
      </c>
    </row>
    <row r="237" spans="2:17" x14ac:dyDescent="0.25">
      <c r="B237" t="s">
        <v>413</v>
      </c>
      <c r="C237">
        <f>IF($C$233&lt;&gt;1,0,ROUND(IF($C$238=0,SUM($J$228:$J$277),(1-(1+$C$238)^-1)/(1-(1+$C$238)^(-1/12))/12*SUMPRODUCT($J$228:$J$277,(1+$C$238)^(-$I$228:$I$277)))-IF(($C$238+'Inputs'!$H$123/100)=0,SUM($J$228:$J$277),(1-(1+($C$238+'Inputs'!$H$123/100))^-1)/(1-(1+($C$238+'Inputs'!$H$123/100))^(-1/12))/12*SUMPRODUCT($J$228:$J$277,(1+($C$238+'Inputs'!$H$123/100))^(-$I$228:$I$277))),2))</f>
      </c>
      <c r="I237">
        <v>9</v>
      </c>
      <c r="J237">
        <f>IF(I237&lt;$C$230,MAX(0,12*$C$231*(1+$C$232)^I237-K237),0)</f>
      </c>
      <c r="K237">
        <f>SUMPRODUCT(('Inputs'!$G$76:$G$81=$C$226)*($C$226&lt;&gt;"")*'Inputs'!$D$76:$D$81*(1+'Inputs'!$E$76:$E$81/100)^I237*(ABS('Inputs'!$F$76:$F$81-12*I237)-ABS(('Inputs'!$F$76:$F$81-12*I237)-12)+12)/2)</f>
      </c>
      <c r="L237">
        <f>IF(J237&gt;0,1,0)</f>
      </c>
      <c r="P237">
        <f>IF($C$233&lt;&gt;1,0,P236*(1+((1+$C$238)^(1/12)-1))^12-J236/12*(1+((1+$C$238)^(1/12)-1))*(((1+((1+$C$238)^(1/12)-1))^12-1)/((1+((1+$C$238)^(1/12)-1))-1)))</f>
      </c>
      <c r="Q237">
        <f>IF($C$233&lt;&gt;1,0,IFERROR((((1+($C$238+'Inputs'!$H$123/100))^(1/12)-1)-((1+$C$238)^(1/12)-1))*(P237*(((1+((1+$C$238)^(1/12)-1))^12-1)/((1+((1+$C$238)^(1/12)-1))-1))-J237/12/((1+((1+$C$238)^(1/12)-1))-1)*((1+((1+$C$238)^(1/12)-1))*(((1+((1+$C$238)^(1/12)-1))^12-1)/((1+((1+$C$238)^(1/12)-1))-1))-12)),0))</f>
      </c>
    </row>
    <row r="238" spans="2:17" x14ac:dyDescent="0.25">
      <c r="B238" t="s">
        <v>414</v>
      </c>
      <c r="C238">
        <f>IF($C$233=1,'Needs calc'!$C$71,0)</f>
      </c>
      <c r="I238">
        <v>10</v>
      </c>
      <c r="J238">
        <f>IF(I238&lt;$C$230,MAX(0,12*$C$231*(1+$C$232)^I238-K238),0)</f>
      </c>
      <c r="K238">
        <f>SUMPRODUCT(('Inputs'!$G$76:$G$81=$C$226)*($C$226&lt;&gt;"")*'Inputs'!$D$76:$D$81*(1+'Inputs'!$E$76:$E$81/100)^I238*(ABS('Inputs'!$F$76:$F$81-12*I238)-ABS(('Inputs'!$F$76:$F$81-12*I238)-12)+12)/2)</f>
      </c>
      <c r="L238">
        <f>IF(J238&gt;0,1,0)</f>
      </c>
      <c r="P238">
        <f>IF($C$233&lt;&gt;1,0,P237*(1+((1+$C$238)^(1/12)-1))^12-J237/12*(1+((1+$C$238)^(1/12)-1))*(((1+((1+$C$238)^(1/12)-1))^12-1)/((1+((1+$C$238)^(1/12)-1))-1)))</f>
      </c>
      <c r="Q238">
        <f>IF($C$233&lt;&gt;1,0,IFERROR((((1+($C$238+'Inputs'!$H$123/100))^(1/12)-1)-((1+$C$238)^(1/12)-1))*(P238*(((1+((1+$C$238)^(1/12)-1))^12-1)/((1+((1+$C$238)^(1/12)-1))-1))-J238/12/((1+((1+$C$238)^(1/12)-1))-1)*((1+((1+$C$238)^(1/12)-1))*(((1+((1+$C$238)^(1/12)-1))^12-1)/((1+((1+$C$238)^(1/12)-1))-1))-12)),0))</f>
      </c>
    </row>
    <row r="239" spans="2:17" x14ac:dyDescent="0.25">
      <c r="B239" t="s">
        <v>415</v>
      </c>
      <c r="C239">
        <f>SUMPRODUCT(('Inputs'!$G$76:$G$81=$C$226)*($C$226&lt;&gt;"")*('Inputs'!$F$76:$F$81&gt;0)*'Inputs'!$D$76:$D$81)</f>
      </c>
      <c r="I239">
        <v>11</v>
      </c>
      <c r="J239">
        <f>IF(I239&lt;$C$230,MAX(0,12*$C$231*(1+$C$232)^I239-K239),0)</f>
      </c>
      <c r="K239">
        <f>SUMPRODUCT(('Inputs'!$G$76:$G$81=$C$226)*($C$226&lt;&gt;"")*'Inputs'!$D$76:$D$81*(1+'Inputs'!$E$76:$E$81/100)^I239*(ABS('Inputs'!$F$76:$F$81-12*I239)-ABS(('Inputs'!$F$76:$F$81-12*I239)-12)+12)/2)</f>
      </c>
      <c r="L239">
        <f>IF(J239&gt;0,1,0)</f>
      </c>
      <c r="P239">
        <f>IF($C$233&lt;&gt;1,0,P238*(1+((1+$C$238)^(1/12)-1))^12-J238/12*(1+((1+$C$238)^(1/12)-1))*(((1+((1+$C$238)^(1/12)-1))^12-1)/((1+((1+$C$238)^(1/12)-1))-1)))</f>
      </c>
      <c r="Q239">
        <f>IF($C$233&lt;&gt;1,0,IFERROR((((1+($C$238+'Inputs'!$H$123/100))^(1/12)-1)-((1+$C$238)^(1/12)-1))*(P239*(((1+((1+$C$238)^(1/12)-1))^12-1)/((1+((1+$C$238)^(1/12)-1))-1))-J239/12/((1+((1+$C$238)^(1/12)-1))-1)*((1+((1+$C$238)^(1/12)-1))*(((1+((1+$C$238)^(1/12)-1))^12-1)/((1+((1+$C$238)^(1/12)-1))-1))-12)),0))</f>
      </c>
    </row>
    <row r="240" spans="2:17" x14ac:dyDescent="0.25">
      <c r="B240" t="s">
        <v>416</v>
      </c>
      <c r="C240">
        <f>IF($C$230&gt;0,$C$231-J228/12,0)</f>
      </c>
      <c r="I240">
        <v>12</v>
      </c>
      <c r="J240">
        <f>IF(I240&lt;$C$230,MAX(0,12*$C$231*(1+$C$232)^I240-K240),0)</f>
      </c>
      <c r="K240">
        <f>SUMPRODUCT(('Inputs'!$G$76:$G$81=$C$226)*($C$226&lt;&gt;"")*'Inputs'!$D$76:$D$81*(1+'Inputs'!$E$76:$E$81/100)^I240*(ABS('Inputs'!$F$76:$F$81-12*I240)-ABS(('Inputs'!$F$76:$F$81-12*I240)-12)+12)/2)</f>
      </c>
      <c r="L240">
        <f>IF(J240&gt;0,1,0)</f>
      </c>
      <c r="P240">
        <f>IF($C$233&lt;&gt;1,0,P239*(1+((1+$C$238)^(1/12)-1))^12-J239/12*(1+((1+$C$238)^(1/12)-1))*(((1+((1+$C$238)^(1/12)-1))^12-1)/((1+((1+$C$238)^(1/12)-1))-1)))</f>
      </c>
      <c r="Q240">
        <f>IF($C$233&lt;&gt;1,0,IFERROR((((1+($C$238+'Inputs'!$H$123/100))^(1/12)-1)-((1+$C$238)^(1/12)-1))*(P240*(((1+((1+$C$238)^(1/12)-1))^12-1)/((1+((1+$C$238)^(1/12)-1))-1))-J240/12/((1+((1+$C$238)^(1/12)-1))-1)*((1+((1+$C$238)^(1/12)-1))*(((1+((1+$C$238)^(1/12)-1))^12-1)/((1+((1+$C$238)^(1/12)-1))-1))-12)),0))</f>
      </c>
    </row>
    <row r="241" spans="2:17" x14ac:dyDescent="0.25">
      <c r="B241" t="s">
        <v>417</v>
      </c>
      <c r="C241">
        <f>SUMPRODUCT(MAX(('Inputs'!$G$76:$G$81=$C$226)*($C$226&lt;&gt;"")*'Inputs'!$F$76:$F$81))</f>
      </c>
      <c r="I241">
        <v>13</v>
      </c>
      <c r="J241">
        <f>IF(I241&lt;$C$230,MAX(0,12*$C$231*(1+$C$232)^I241-K241),0)</f>
      </c>
      <c r="K241">
        <f>SUMPRODUCT(('Inputs'!$G$76:$G$81=$C$226)*($C$226&lt;&gt;"")*'Inputs'!$D$76:$D$81*(1+'Inputs'!$E$76:$E$81/100)^I241*(ABS('Inputs'!$F$76:$F$81-12*I241)-ABS(('Inputs'!$F$76:$F$81-12*I241)-12)+12)/2)</f>
      </c>
      <c r="L241">
        <f>IF(J241&gt;0,1,0)</f>
      </c>
      <c r="P241">
        <f>IF($C$233&lt;&gt;1,0,P240*(1+((1+$C$238)^(1/12)-1))^12-J240/12*(1+((1+$C$238)^(1/12)-1))*(((1+((1+$C$238)^(1/12)-1))^12-1)/((1+((1+$C$238)^(1/12)-1))-1)))</f>
      </c>
      <c r="Q241">
        <f>IF($C$233&lt;&gt;1,0,IFERROR((((1+($C$238+'Inputs'!$H$123/100))^(1/12)-1)-((1+$C$238)^(1/12)-1))*(P241*(((1+((1+$C$238)^(1/12)-1))^12-1)/((1+((1+$C$238)^(1/12)-1))-1))-J241/12/((1+((1+$C$238)^(1/12)-1))-1)*((1+((1+$C$238)^(1/12)-1))*(((1+((1+$C$238)^(1/12)-1))^12-1)/((1+((1+$C$238)^(1/12)-1))-1))-12)),0))</f>
      </c>
    </row>
    <row r="242" spans="2:17" x14ac:dyDescent="0.25">
      <c r="B242" t="s">
        <v>418</v>
      </c>
      <c r="C242">
        <f>SUM($J$228:$J$277)</f>
      </c>
      <c r="I242">
        <v>14</v>
      </c>
      <c r="J242">
        <f>IF(I242&lt;$C$230,MAX(0,12*$C$231*(1+$C$232)^I242-K242),0)</f>
      </c>
      <c r="K242">
        <f>SUMPRODUCT(('Inputs'!$G$76:$G$81=$C$226)*($C$226&lt;&gt;"")*'Inputs'!$D$76:$D$81*(1+'Inputs'!$E$76:$E$81/100)^I242*(ABS('Inputs'!$F$76:$F$81-12*I242)-ABS(('Inputs'!$F$76:$F$81-12*I242)-12)+12)/2)</f>
      </c>
      <c r="L242">
        <f>IF(J242&gt;0,1,0)</f>
      </c>
      <c r="P242">
        <f>IF($C$233&lt;&gt;1,0,P241*(1+((1+$C$238)^(1/12)-1))^12-J241/12*(1+((1+$C$238)^(1/12)-1))*(((1+((1+$C$238)^(1/12)-1))^12-1)/((1+((1+$C$238)^(1/12)-1))-1)))</f>
      </c>
      <c r="Q242">
        <f>IF($C$233&lt;&gt;1,0,IFERROR((((1+($C$238+'Inputs'!$H$123/100))^(1/12)-1)-((1+$C$238)^(1/12)-1))*(P242*(((1+((1+$C$238)^(1/12)-1))^12-1)/((1+((1+$C$238)^(1/12)-1))-1))-J242/12/((1+((1+$C$238)^(1/12)-1))-1)*((1+((1+$C$238)^(1/12)-1))*(((1+((1+$C$238)^(1/12)-1))^12-1)/((1+((1+$C$238)^(1/12)-1))-1))-12)),0))</f>
      </c>
    </row>
    <row r="243" spans="2:17" x14ac:dyDescent="0.25">
      <c r="B243" t="s">
        <v>419</v>
      </c>
      <c r="C243">
        <f>IF('Needs calc'!$C$73&gt;0,IF(N('Inputs'!$E$104)&gt;0,IF('Needs years'!$C$239&lt;=0,IF('Needs years'!$C$234&lt;=0,'Inputs'!$B$104&amp;" would have about R "&amp;FIXED(ROUND('Needs calc'!$C$74,-2),0)&amp;" a month of the R "&amp;FIXED(ROUND('Inputs'!$E$104,-2),0)&amp;" you want. ",IF('Needs calc'!$C$68&gt;='Needs years'!$C$234,'Inputs'!$B$104&amp;" would have about R "&amp;FIXED(ROUND('Needs calc'!$C$74,-2),0)&amp;" a month of the R "&amp;FIXED(ROUND('Inputs'!$E$104,-2),0)&amp;" you want, after the R "&amp;FIXED(ROUND('Needs years'!$C$234,-3),0)&amp;" once-off. ",'Inputs'!$B$104&amp;" would have "&amp;IF('Needs calc'!$C$68&lt;=0,"nothing","about R "&amp;FIXED(ROUND('Needs calc'!$C$68,-3),0))&amp;" of the R "&amp;FIXED(ROUND('Needs years'!$C$234,-3),0)&amp;" once-off you want for them, and about R "&amp;FIXED(ROUND('Needs calc'!$C$74,-2),0)&amp;" a month of the R "&amp;FIXED(ROUND('Inputs'!$E$104,-2),0)&amp;". ")),IF('Needs years'!$C$242&lt;=0,IF('Needs years'!$C$234&gt;0,'Inputs'!$B$104&amp;"'s death income covers the R "&amp;FIXED(ROUND('Inputs'!$E$104,-2),0)&amp;" a month you want"&amp;", but "&amp;'Inputs'!$B$104&amp;" would have "&amp;IF('Needs calc'!$C$68&lt;=0,"nothing","about R "&amp;FIXED(ROUND('Needs calc'!$C$68,-3),0))&amp;" of the R "&amp;FIXED(ROUND('Needs years'!$C$234,-3),0)&amp;" once-off you want for them. ",'Inputs'!$B$104&amp;"'s death income covers the R "&amp;FIXED(ROUND('Inputs'!$E$104,-2),0)&amp;" a month you want"&amp;", but the estate duty on it, about R "&amp;FIXED(ROUND('Needs years'!$C$245,-3),0)&amp;", leaves "&amp;'Inputs'!$B$104&amp;" short. "),IF('Needs years'!$J$228&lt;=0,'Inputs'!$B$104&amp;"'s death income covers the R "&amp;FIXED(ROUND('Inputs'!$E$104,-2),0)&amp;" a month you want"&amp;" for "&amp;IF('Needs years'!$C$244=1,"the first year","the first "&amp;'Needs years'!$C$244&amp;" years")&amp;"; after that "&amp;'Inputs'!$B$104&amp;" would be short"&amp;IF(AND('Needs years'!$C$234&gt;0,'Needs calc'!$C$68&lt;'Needs years'!$C$234),", and would have "&amp;IF('Needs calc'!$C$68&lt;=0,"nothing","about R "&amp;FIXED(ROUND('Needs calc'!$C$68,-3),0))&amp;" of the R "&amp;FIXED(ROUND('Needs years'!$C$234,-3),0)&amp;" once-off","")&amp;". ",IF('Needs years'!$C$234&lt;=0,'Inputs'!$B$104&amp;" would have about R "&amp;FIXED(ROUND('Needs calc'!$C$74,-2),0)&amp;" a month of the R "&amp;FIXED(ROUND('Inputs'!$E$104,-2),0)&amp;" you want, part of it from the death income, and less once it stops. ",IF('Needs calc'!$C$68&gt;='Needs years'!$C$234,'Inputs'!$B$104&amp;" would have about R "&amp;FIXED(ROUND('Needs calc'!$C$74,-2),0)&amp;" a month of the R "&amp;FIXED(ROUND('Inputs'!$E$104,-2),0)&amp;" you want, part of it from the death income, and less once it stops, after the R "&amp;FIXED(ROUND('Needs years'!$C$234,-3),0)&amp;" once-off. ",'Inputs'!$B$104&amp;" would have "&amp;IF('Needs calc'!$C$68&lt;=0,"nothing","about R "&amp;FIXED(ROUND('Needs calc'!$C$68,-3),0))&amp;" of the R "&amp;FIXED(ROUND('Needs years'!$C$234,-3),0)&amp;" once-off you want for them, and about R "&amp;FIXED(ROUND('Needs calc'!$C$74,-2),0)&amp;" a month of the R "&amp;FIXED(ROUND('Inputs'!$E$104,-2),0)&amp;", part of it from the death income, and less once it stops. "))))),'Inputs'!$B$104&amp;" would have "&amp;IF('Needs calc'!$C$68&lt;=0,"nothing","about R "&amp;FIXED(ROUND('Needs calc'!$C$68,-3),0))&amp;" of the R "&amp;FIXED(ROUND('Needs years'!$C$234,-3),0)&amp;" you want to leave them. "),"")</f>
      </c>
      <c r="I243">
        <v>15</v>
      </c>
      <c r="J243">
        <f>IF(I243&lt;$C$230,MAX(0,12*$C$231*(1+$C$232)^I243-K243),0)</f>
      </c>
      <c r="K243">
        <f>SUMPRODUCT(('Inputs'!$G$76:$G$81=$C$226)*($C$226&lt;&gt;"")*'Inputs'!$D$76:$D$81*(1+'Inputs'!$E$76:$E$81/100)^I243*(ABS('Inputs'!$F$76:$F$81-12*I243)-ABS(('Inputs'!$F$76:$F$81-12*I243)-12)+12)/2)</f>
      </c>
      <c r="L243">
        <f>IF(J243&gt;0,1,0)</f>
      </c>
      <c r="P243">
        <f>IF($C$233&lt;&gt;1,0,P242*(1+((1+$C$238)^(1/12)-1))^12-J242/12*(1+((1+$C$238)^(1/12)-1))*(((1+((1+$C$238)^(1/12)-1))^12-1)/((1+((1+$C$238)^(1/12)-1))-1)))</f>
      </c>
      <c r="Q243">
        <f>IF($C$233&lt;&gt;1,0,IFERROR((((1+($C$238+'Inputs'!$H$123/100))^(1/12)-1)-((1+$C$238)^(1/12)-1))*(P243*(((1+((1+$C$238)^(1/12)-1))^12-1)/((1+((1+$C$238)^(1/12)-1))-1))-J243/12/((1+((1+$C$238)^(1/12)-1))-1)*((1+((1+$C$238)^(1/12)-1))*(((1+((1+$C$238)^(1/12)-1))^12-1)/((1+((1+$C$238)^(1/12)-1))-1))-12)),0))</f>
      </c>
    </row>
    <row r="244" spans="2:17" x14ac:dyDescent="0.25">
      <c r="B244" t="s">
        <v>420</v>
      </c>
      <c r="C244">
        <f>IFERROR(MATCH(1,$L$228:$L$277,0)-1,$C$230)</f>
      </c>
      <c r="I244">
        <v>16</v>
      </c>
      <c r="J244">
        <f>IF(I244&lt;$C$230,MAX(0,12*$C$231*(1+$C$232)^I244-K244),0)</f>
      </c>
      <c r="K244">
        <f>SUMPRODUCT(('Inputs'!$G$76:$G$81=$C$226)*($C$226&lt;&gt;"")*'Inputs'!$D$76:$D$81*(1+'Inputs'!$E$76:$E$81/100)^I244*(ABS('Inputs'!$F$76:$F$81-12*I244)-ABS(('Inputs'!$F$76:$F$81-12*I244)-12)+12)/2)</f>
      </c>
      <c r="L244">
        <f>IF(J244&gt;0,1,0)</f>
      </c>
      <c r="P244">
        <f>IF($C$233&lt;&gt;1,0,P243*(1+((1+$C$238)^(1/12)-1))^12-J243/12*(1+((1+$C$238)^(1/12)-1))*(((1+((1+$C$238)^(1/12)-1))^12-1)/((1+((1+$C$238)^(1/12)-1))-1)))</f>
      </c>
      <c r="Q244">
        <f>IF($C$233&lt;&gt;1,0,IFERROR((((1+($C$238+'Inputs'!$H$123/100))^(1/12)-1)-((1+$C$238)^(1/12)-1))*(P244*(((1+((1+$C$238)^(1/12)-1))^12-1)/((1+((1+$C$238)^(1/12)-1))-1))-J244/12/((1+((1+$C$238)^(1/12)-1))-1)*((1+((1+$C$238)^(1/12)-1))*(((1+((1+$C$238)^(1/12)-1))^12-1)/((1+((1+$C$238)^(1/12)-1))-1))-12)),0))</f>
      </c>
    </row>
    <row r="245" spans="2:17" x14ac:dyDescent="0.25">
      <c r="B245" t="s">
        <v>421</v>
      </c>
      <c r="C245">
        <f>SUMPRODUCT(('Inputs'!$G$76:$G$81=$C$226)*($C$226&lt;&gt;"")*'Inputs'!$P$76:$P$81)</f>
      </c>
      <c r="I245">
        <v>17</v>
      </c>
      <c r="J245">
        <f>IF(I245&lt;$C$230,MAX(0,12*$C$231*(1+$C$232)^I245-K245),0)</f>
      </c>
      <c r="K245">
        <f>SUMPRODUCT(('Inputs'!$G$76:$G$81=$C$226)*($C$226&lt;&gt;"")*'Inputs'!$D$76:$D$81*(1+'Inputs'!$E$76:$E$81/100)^I245*(ABS('Inputs'!$F$76:$F$81-12*I245)-ABS(('Inputs'!$F$76:$F$81-12*I245)-12)+12)/2)</f>
      </c>
      <c r="L245">
        <f>IF(J245&gt;0,1,0)</f>
      </c>
      <c r="P245">
        <f>IF($C$233&lt;&gt;1,0,P244*(1+((1+$C$238)^(1/12)-1))^12-J244/12*(1+((1+$C$238)^(1/12)-1))*(((1+((1+$C$238)^(1/12)-1))^12-1)/((1+((1+$C$238)^(1/12)-1))-1)))</f>
      </c>
      <c r="Q245">
        <f>IF($C$233&lt;&gt;1,0,IFERROR((((1+($C$238+'Inputs'!$H$123/100))^(1/12)-1)-((1+$C$238)^(1/12)-1))*(P245*(((1+((1+$C$238)^(1/12)-1))^12-1)/((1+((1+$C$238)^(1/12)-1))-1))-J245/12/((1+((1+$C$238)^(1/12)-1))-1)*((1+((1+$C$238)^(1/12)-1))*(((1+((1+$C$238)^(1/12)-1))^12-1)/((1+((1+$C$238)^(1/12)-1))-1))-12)),0))</f>
      </c>
    </row>
    <row r="246" spans="9:17" x14ac:dyDescent="0.25">
      <c r="I246">
        <v>18</v>
      </c>
      <c r="J246">
        <f>IF(I246&lt;$C$230,MAX(0,12*$C$231*(1+$C$232)^I246-K246),0)</f>
      </c>
      <c r="K246">
        <f>SUMPRODUCT(('Inputs'!$G$76:$G$81=$C$226)*($C$226&lt;&gt;"")*'Inputs'!$D$76:$D$81*(1+'Inputs'!$E$76:$E$81/100)^I246*(ABS('Inputs'!$F$76:$F$81-12*I246)-ABS(('Inputs'!$F$76:$F$81-12*I246)-12)+12)/2)</f>
      </c>
      <c r="L246">
        <f>IF(J246&gt;0,1,0)</f>
      </c>
      <c r="P246">
        <f>IF($C$233&lt;&gt;1,0,P245*(1+((1+$C$238)^(1/12)-1))^12-J245/12*(1+((1+$C$238)^(1/12)-1))*(((1+((1+$C$238)^(1/12)-1))^12-1)/((1+((1+$C$238)^(1/12)-1))-1)))</f>
      </c>
      <c r="Q246">
        <f>IF($C$233&lt;&gt;1,0,IFERROR((((1+($C$238+'Inputs'!$H$123/100))^(1/12)-1)-((1+$C$238)^(1/12)-1))*(P246*(((1+((1+$C$238)^(1/12)-1))^12-1)/((1+((1+$C$238)^(1/12)-1))-1))-J246/12/((1+((1+$C$238)^(1/12)-1))-1)*((1+((1+$C$238)^(1/12)-1))*(((1+((1+$C$238)^(1/12)-1))^12-1)/((1+((1+$C$238)^(1/12)-1))-1))-12)),0))</f>
      </c>
    </row>
    <row r="247" spans="9:17" x14ac:dyDescent="0.25">
      <c r="I247">
        <v>19</v>
      </c>
      <c r="J247">
        <f>IF(I247&lt;$C$230,MAX(0,12*$C$231*(1+$C$232)^I247-K247),0)</f>
      </c>
      <c r="K247">
        <f>SUMPRODUCT(('Inputs'!$G$76:$G$81=$C$226)*($C$226&lt;&gt;"")*'Inputs'!$D$76:$D$81*(1+'Inputs'!$E$76:$E$81/100)^I247*(ABS('Inputs'!$F$76:$F$81-12*I247)-ABS(('Inputs'!$F$76:$F$81-12*I247)-12)+12)/2)</f>
      </c>
      <c r="L247">
        <f>IF(J247&gt;0,1,0)</f>
      </c>
      <c r="P247">
        <f>IF($C$233&lt;&gt;1,0,P246*(1+((1+$C$238)^(1/12)-1))^12-J246/12*(1+((1+$C$238)^(1/12)-1))*(((1+((1+$C$238)^(1/12)-1))^12-1)/((1+((1+$C$238)^(1/12)-1))-1)))</f>
      </c>
      <c r="Q247">
        <f>IF($C$233&lt;&gt;1,0,IFERROR((((1+($C$238+'Inputs'!$H$123/100))^(1/12)-1)-((1+$C$238)^(1/12)-1))*(P247*(((1+((1+$C$238)^(1/12)-1))^12-1)/((1+((1+$C$238)^(1/12)-1))-1))-J247/12/((1+((1+$C$238)^(1/12)-1))-1)*((1+((1+$C$238)^(1/12)-1))*(((1+((1+$C$238)^(1/12)-1))^12-1)/((1+((1+$C$238)^(1/12)-1))-1))-12)),0))</f>
      </c>
    </row>
    <row r="248" spans="9:17" x14ac:dyDescent="0.25">
      <c r="I248">
        <v>20</v>
      </c>
      <c r="J248">
        <f>IF(I248&lt;$C$230,MAX(0,12*$C$231*(1+$C$232)^I248-K248),0)</f>
      </c>
      <c r="K248">
        <f>SUMPRODUCT(('Inputs'!$G$76:$G$81=$C$226)*($C$226&lt;&gt;"")*'Inputs'!$D$76:$D$81*(1+'Inputs'!$E$76:$E$81/100)^I248*(ABS('Inputs'!$F$76:$F$81-12*I248)-ABS(('Inputs'!$F$76:$F$81-12*I248)-12)+12)/2)</f>
      </c>
      <c r="L248">
        <f>IF(J248&gt;0,1,0)</f>
      </c>
      <c r="P248">
        <f>IF($C$233&lt;&gt;1,0,P247*(1+((1+$C$238)^(1/12)-1))^12-J247/12*(1+((1+$C$238)^(1/12)-1))*(((1+((1+$C$238)^(1/12)-1))^12-1)/((1+((1+$C$238)^(1/12)-1))-1)))</f>
      </c>
      <c r="Q248">
        <f>IF($C$233&lt;&gt;1,0,IFERROR((((1+($C$238+'Inputs'!$H$123/100))^(1/12)-1)-((1+$C$238)^(1/12)-1))*(P248*(((1+((1+$C$238)^(1/12)-1))^12-1)/((1+((1+$C$238)^(1/12)-1))-1))-J248/12/((1+((1+$C$238)^(1/12)-1))-1)*((1+((1+$C$238)^(1/12)-1))*(((1+((1+$C$238)^(1/12)-1))^12-1)/((1+((1+$C$238)^(1/12)-1))-1))-12)),0))</f>
      </c>
    </row>
    <row r="249" spans="9:17" x14ac:dyDescent="0.25">
      <c r="I249">
        <v>21</v>
      </c>
      <c r="J249">
        <f>IF(I249&lt;$C$230,MAX(0,12*$C$231*(1+$C$232)^I249-K249),0)</f>
      </c>
      <c r="K249">
        <f>SUMPRODUCT(('Inputs'!$G$76:$G$81=$C$226)*($C$226&lt;&gt;"")*'Inputs'!$D$76:$D$81*(1+'Inputs'!$E$76:$E$81/100)^I249*(ABS('Inputs'!$F$76:$F$81-12*I249)-ABS(('Inputs'!$F$76:$F$81-12*I249)-12)+12)/2)</f>
      </c>
      <c r="L249">
        <f>IF(J249&gt;0,1,0)</f>
      </c>
      <c r="P249">
        <f>IF($C$233&lt;&gt;1,0,P248*(1+((1+$C$238)^(1/12)-1))^12-J248/12*(1+((1+$C$238)^(1/12)-1))*(((1+((1+$C$238)^(1/12)-1))^12-1)/((1+((1+$C$238)^(1/12)-1))-1)))</f>
      </c>
      <c r="Q249">
        <f>IF($C$233&lt;&gt;1,0,IFERROR((((1+($C$238+'Inputs'!$H$123/100))^(1/12)-1)-((1+$C$238)^(1/12)-1))*(P249*(((1+((1+$C$238)^(1/12)-1))^12-1)/((1+((1+$C$238)^(1/12)-1))-1))-J249/12/((1+((1+$C$238)^(1/12)-1))-1)*((1+((1+$C$238)^(1/12)-1))*(((1+((1+$C$238)^(1/12)-1))^12-1)/((1+((1+$C$238)^(1/12)-1))-1))-12)),0))</f>
      </c>
    </row>
    <row r="250" spans="9:17" x14ac:dyDescent="0.25">
      <c r="I250">
        <v>22</v>
      </c>
      <c r="J250">
        <f>IF(I250&lt;$C$230,MAX(0,12*$C$231*(1+$C$232)^I250-K250),0)</f>
      </c>
      <c r="K250">
        <f>SUMPRODUCT(('Inputs'!$G$76:$G$81=$C$226)*($C$226&lt;&gt;"")*'Inputs'!$D$76:$D$81*(1+'Inputs'!$E$76:$E$81/100)^I250*(ABS('Inputs'!$F$76:$F$81-12*I250)-ABS(('Inputs'!$F$76:$F$81-12*I250)-12)+12)/2)</f>
      </c>
      <c r="L250">
        <f>IF(J250&gt;0,1,0)</f>
      </c>
      <c r="P250">
        <f>IF($C$233&lt;&gt;1,0,P249*(1+((1+$C$238)^(1/12)-1))^12-J249/12*(1+((1+$C$238)^(1/12)-1))*(((1+((1+$C$238)^(1/12)-1))^12-1)/((1+((1+$C$238)^(1/12)-1))-1)))</f>
      </c>
      <c r="Q250">
        <f>IF($C$233&lt;&gt;1,0,IFERROR((((1+($C$238+'Inputs'!$H$123/100))^(1/12)-1)-((1+$C$238)^(1/12)-1))*(P250*(((1+((1+$C$238)^(1/12)-1))^12-1)/((1+((1+$C$238)^(1/12)-1))-1))-J250/12/((1+((1+$C$238)^(1/12)-1))-1)*((1+((1+$C$238)^(1/12)-1))*(((1+((1+$C$238)^(1/12)-1))^12-1)/((1+((1+$C$238)^(1/12)-1))-1))-12)),0))</f>
      </c>
    </row>
    <row r="251" spans="9:17" x14ac:dyDescent="0.25">
      <c r="I251">
        <v>23</v>
      </c>
      <c r="J251">
        <f>IF(I251&lt;$C$230,MAX(0,12*$C$231*(1+$C$232)^I251-K251),0)</f>
      </c>
      <c r="K251">
        <f>SUMPRODUCT(('Inputs'!$G$76:$G$81=$C$226)*($C$226&lt;&gt;"")*'Inputs'!$D$76:$D$81*(1+'Inputs'!$E$76:$E$81/100)^I251*(ABS('Inputs'!$F$76:$F$81-12*I251)-ABS(('Inputs'!$F$76:$F$81-12*I251)-12)+12)/2)</f>
      </c>
      <c r="L251">
        <f>IF(J251&gt;0,1,0)</f>
      </c>
      <c r="P251">
        <f>IF($C$233&lt;&gt;1,0,P250*(1+((1+$C$238)^(1/12)-1))^12-J250/12*(1+((1+$C$238)^(1/12)-1))*(((1+((1+$C$238)^(1/12)-1))^12-1)/((1+((1+$C$238)^(1/12)-1))-1)))</f>
      </c>
      <c r="Q251">
        <f>IF($C$233&lt;&gt;1,0,IFERROR((((1+($C$238+'Inputs'!$H$123/100))^(1/12)-1)-((1+$C$238)^(1/12)-1))*(P251*(((1+((1+$C$238)^(1/12)-1))^12-1)/((1+((1+$C$238)^(1/12)-1))-1))-J251/12/((1+((1+$C$238)^(1/12)-1))-1)*((1+((1+$C$238)^(1/12)-1))*(((1+((1+$C$238)^(1/12)-1))^12-1)/((1+((1+$C$238)^(1/12)-1))-1))-12)),0))</f>
      </c>
    </row>
    <row r="252" spans="9:17" x14ac:dyDescent="0.25">
      <c r="I252">
        <v>24</v>
      </c>
      <c r="J252">
        <f>IF(I252&lt;$C$230,MAX(0,12*$C$231*(1+$C$232)^I252-K252),0)</f>
      </c>
      <c r="K252">
        <f>SUMPRODUCT(('Inputs'!$G$76:$G$81=$C$226)*($C$226&lt;&gt;"")*'Inputs'!$D$76:$D$81*(1+'Inputs'!$E$76:$E$81/100)^I252*(ABS('Inputs'!$F$76:$F$81-12*I252)-ABS(('Inputs'!$F$76:$F$81-12*I252)-12)+12)/2)</f>
      </c>
      <c r="L252">
        <f>IF(J252&gt;0,1,0)</f>
      </c>
      <c r="P252">
        <f>IF($C$233&lt;&gt;1,0,P251*(1+((1+$C$238)^(1/12)-1))^12-J251/12*(1+((1+$C$238)^(1/12)-1))*(((1+((1+$C$238)^(1/12)-1))^12-1)/((1+((1+$C$238)^(1/12)-1))-1)))</f>
      </c>
      <c r="Q252">
        <f>IF($C$233&lt;&gt;1,0,IFERROR((((1+($C$238+'Inputs'!$H$123/100))^(1/12)-1)-((1+$C$238)^(1/12)-1))*(P252*(((1+((1+$C$238)^(1/12)-1))^12-1)/((1+((1+$C$238)^(1/12)-1))-1))-J252/12/((1+((1+$C$238)^(1/12)-1))-1)*((1+((1+$C$238)^(1/12)-1))*(((1+((1+$C$238)^(1/12)-1))^12-1)/((1+((1+$C$238)^(1/12)-1))-1))-12)),0))</f>
      </c>
    </row>
    <row r="253" spans="9:17" x14ac:dyDescent="0.25">
      <c r="I253">
        <v>25</v>
      </c>
      <c r="J253">
        <f>IF(I253&lt;$C$230,MAX(0,12*$C$231*(1+$C$232)^I253-K253),0)</f>
      </c>
      <c r="K253">
        <f>SUMPRODUCT(('Inputs'!$G$76:$G$81=$C$226)*($C$226&lt;&gt;"")*'Inputs'!$D$76:$D$81*(1+'Inputs'!$E$76:$E$81/100)^I253*(ABS('Inputs'!$F$76:$F$81-12*I253)-ABS(('Inputs'!$F$76:$F$81-12*I253)-12)+12)/2)</f>
      </c>
      <c r="L253">
        <f>IF(J253&gt;0,1,0)</f>
      </c>
      <c r="P253">
        <f>IF($C$233&lt;&gt;1,0,P252*(1+((1+$C$238)^(1/12)-1))^12-J252/12*(1+((1+$C$238)^(1/12)-1))*(((1+((1+$C$238)^(1/12)-1))^12-1)/((1+((1+$C$238)^(1/12)-1))-1)))</f>
      </c>
      <c r="Q253">
        <f>IF($C$233&lt;&gt;1,0,IFERROR((((1+($C$238+'Inputs'!$H$123/100))^(1/12)-1)-((1+$C$238)^(1/12)-1))*(P253*(((1+((1+$C$238)^(1/12)-1))^12-1)/((1+((1+$C$238)^(1/12)-1))-1))-J253/12/((1+((1+$C$238)^(1/12)-1))-1)*((1+((1+$C$238)^(1/12)-1))*(((1+((1+$C$238)^(1/12)-1))^12-1)/((1+((1+$C$238)^(1/12)-1))-1))-12)),0))</f>
      </c>
    </row>
    <row r="254" spans="9:17" x14ac:dyDescent="0.25">
      <c r="I254">
        <v>26</v>
      </c>
      <c r="J254">
        <f>IF(I254&lt;$C$230,MAX(0,12*$C$231*(1+$C$232)^I254-K254),0)</f>
      </c>
      <c r="K254">
        <f>SUMPRODUCT(('Inputs'!$G$76:$G$81=$C$226)*($C$226&lt;&gt;"")*'Inputs'!$D$76:$D$81*(1+'Inputs'!$E$76:$E$81/100)^I254*(ABS('Inputs'!$F$76:$F$81-12*I254)-ABS(('Inputs'!$F$76:$F$81-12*I254)-12)+12)/2)</f>
      </c>
      <c r="L254">
        <f>IF(J254&gt;0,1,0)</f>
      </c>
      <c r="P254">
        <f>IF($C$233&lt;&gt;1,0,P253*(1+((1+$C$238)^(1/12)-1))^12-J253/12*(1+((1+$C$238)^(1/12)-1))*(((1+((1+$C$238)^(1/12)-1))^12-1)/((1+((1+$C$238)^(1/12)-1))-1)))</f>
      </c>
      <c r="Q254">
        <f>IF($C$233&lt;&gt;1,0,IFERROR((((1+($C$238+'Inputs'!$H$123/100))^(1/12)-1)-((1+$C$238)^(1/12)-1))*(P254*(((1+((1+$C$238)^(1/12)-1))^12-1)/((1+((1+$C$238)^(1/12)-1))-1))-J254/12/((1+((1+$C$238)^(1/12)-1))-1)*((1+((1+$C$238)^(1/12)-1))*(((1+((1+$C$238)^(1/12)-1))^12-1)/((1+((1+$C$238)^(1/12)-1))-1))-12)),0))</f>
      </c>
    </row>
    <row r="255" spans="9:17" x14ac:dyDescent="0.25">
      <c r="I255">
        <v>27</v>
      </c>
      <c r="J255">
        <f>IF(I255&lt;$C$230,MAX(0,12*$C$231*(1+$C$232)^I255-K255),0)</f>
      </c>
      <c r="K255">
        <f>SUMPRODUCT(('Inputs'!$G$76:$G$81=$C$226)*($C$226&lt;&gt;"")*'Inputs'!$D$76:$D$81*(1+'Inputs'!$E$76:$E$81/100)^I255*(ABS('Inputs'!$F$76:$F$81-12*I255)-ABS(('Inputs'!$F$76:$F$81-12*I255)-12)+12)/2)</f>
      </c>
      <c r="L255">
        <f>IF(J255&gt;0,1,0)</f>
      </c>
      <c r="P255">
        <f>IF($C$233&lt;&gt;1,0,P254*(1+((1+$C$238)^(1/12)-1))^12-J254/12*(1+((1+$C$238)^(1/12)-1))*(((1+((1+$C$238)^(1/12)-1))^12-1)/((1+((1+$C$238)^(1/12)-1))-1)))</f>
      </c>
      <c r="Q255">
        <f>IF($C$233&lt;&gt;1,0,IFERROR((((1+($C$238+'Inputs'!$H$123/100))^(1/12)-1)-((1+$C$238)^(1/12)-1))*(P255*(((1+((1+$C$238)^(1/12)-1))^12-1)/((1+((1+$C$238)^(1/12)-1))-1))-J255/12/((1+((1+$C$238)^(1/12)-1))-1)*((1+((1+$C$238)^(1/12)-1))*(((1+((1+$C$238)^(1/12)-1))^12-1)/((1+((1+$C$238)^(1/12)-1))-1))-12)),0))</f>
      </c>
    </row>
    <row r="256" spans="9:17" x14ac:dyDescent="0.25">
      <c r="I256">
        <v>28</v>
      </c>
      <c r="J256">
        <f>IF(I256&lt;$C$230,MAX(0,12*$C$231*(1+$C$232)^I256-K256),0)</f>
      </c>
      <c r="K256">
        <f>SUMPRODUCT(('Inputs'!$G$76:$G$81=$C$226)*($C$226&lt;&gt;"")*'Inputs'!$D$76:$D$81*(1+'Inputs'!$E$76:$E$81/100)^I256*(ABS('Inputs'!$F$76:$F$81-12*I256)-ABS(('Inputs'!$F$76:$F$81-12*I256)-12)+12)/2)</f>
      </c>
      <c r="L256">
        <f>IF(J256&gt;0,1,0)</f>
      </c>
      <c r="P256">
        <f>IF($C$233&lt;&gt;1,0,P255*(1+((1+$C$238)^(1/12)-1))^12-J255/12*(1+((1+$C$238)^(1/12)-1))*(((1+((1+$C$238)^(1/12)-1))^12-1)/((1+((1+$C$238)^(1/12)-1))-1)))</f>
      </c>
      <c r="Q256">
        <f>IF($C$233&lt;&gt;1,0,IFERROR((((1+($C$238+'Inputs'!$H$123/100))^(1/12)-1)-((1+$C$238)^(1/12)-1))*(P256*(((1+((1+$C$238)^(1/12)-1))^12-1)/((1+((1+$C$238)^(1/12)-1))-1))-J256/12/((1+((1+$C$238)^(1/12)-1))-1)*((1+((1+$C$238)^(1/12)-1))*(((1+((1+$C$238)^(1/12)-1))^12-1)/((1+((1+$C$238)^(1/12)-1))-1))-12)),0))</f>
      </c>
    </row>
    <row r="257" spans="9:17" x14ac:dyDescent="0.25">
      <c r="I257">
        <v>29</v>
      </c>
      <c r="J257">
        <f>IF(I257&lt;$C$230,MAX(0,12*$C$231*(1+$C$232)^I257-K257),0)</f>
      </c>
      <c r="K257">
        <f>SUMPRODUCT(('Inputs'!$G$76:$G$81=$C$226)*($C$226&lt;&gt;"")*'Inputs'!$D$76:$D$81*(1+'Inputs'!$E$76:$E$81/100)^I257*(ABS('Inputs'!$F$76:$F$81-12*I257)-ABS(('Inputs'!$F$76:$F$81-12*I257)-12)+12)/2)</f>
      </c>
      <c r="L257">
        <f>IF(J257&gt;0,1,0)</f>
      </c>
      <c r="P257">
        <f>IF($C$233&lt;&gt;1,0,P256*(1+((1+$C$238)^(1/12)-1))^12-J256/12*(1+((1+$C$238)^(1/12)-1))*(((1+((1+$C$238)^(1/12)-1))^12-1)/((1+((1+$C$238)^(1/12)-1))-1)))</f>
      </c>
      <c r="Q257">
        <f>IF($C$233&lt;&gt;1,0,IFERROR((((1+($C$238+'Inputs'!$H$123/100))^(1/12)-1)-((1+$C$238)^(1/12)-1))*(P257*(((1+((1+$C$238)^(1/12)-1))^12-1)/((1+((1+$C$238)^(1/12)-1))-1))-J257/12/((1+((1+$C$238)^(1/12)-1))-1)*((1+((1+$C$238)^(1/12)-1))*(((1+((1+$C$238)^(1/12)-1))^12-1)/((1+((1+$C$238)^(1/12)-1))-1))-12)),0))</f>
      </c>
    </row>
    <row r="258" spans="9:17" x14ac:dyDescent="0.25">
      <c r="I258">
        <v>30</v>
      </c>
      <c r="J258">
        <f>IF(I258&lt;$C$230,MAX(0,12*$C$231*(1+$C$232)^I258-K258),0)</f>
      </c>
      <c r="K258">
        <f>SUMPRODUCT(('Inputs'!$G$76:$G$81=$C$226)*($C$226&lt;&gt;"")*'Inputs'!$D$76:$D$81*(1+'Inputs'!$E$76:$E$81/100)^I258*(ABS('Inputs'!$F$76:$F$81-12*I258)-ABS(('Inputs'!$F$76:$F$81-12*I258)-12)+12)/2)</f>
      </c>
      <c r="L258">
        <f>IF(J258&gt;0,1,0)</f>
      </c>
      <c r="P258">
        <f>IF($C$233&lt;&gt;1,0,P257*(1+((1+$C$238)^(1/12)-1))^12-J257/12*(1+((1+$C$238)^(1/12)-1))*(((1+((1+$C$238)^(1/12)-1))^12-1)/((1+((1+$C$238)^(1/12)-1))-1)))</f>
      </c>
      <c r="Q258">
        <f>IF($C$233&lt;&gt;1,0,IFERROR((((1+($C$238+'Inputs'!$H$123/100))^(1/12)-1)-((1+$C$238)^(1/12)-1))*(P258*(((1+((1+$C$238)^(1/12)-1))^12-1)/((1+((1+$C$238)^(1/12)-1))-1))-J258/12/((1+((1+$C$238)^(1/12)-1))-1)*((1+((1+$C$238)^(1/12)-1))*(((1+((1+$C$238)^(1/12)-1))^12-1)/((1+((1+$C$238)^(1/12)-1))-1))-12)),0))</f>
      </c>
    </row>
    <row r="259" spans="9:17" x14ac:dyDescent="0.25">
      <c r="I259">
        <v>31</v>
      </c>
      <c r="J259">
        <f>IF(I259&lt;$C$230,MAX(0,12*$C$231*(1+$C$232)^I259-K259),0)</f>
      </c>
      <c r="K259">
        <f>SUMPRODUCT(('Inputs'!$G$76:$G$81=$C$226)*($C$226&lt;&gt;"")*'Inputs'!$D$76:$D$81*(1+'Inputs'!$E$76:$E$81/100)^I259*(ABS('Inputs'!$F$76:$F$81-12*I259)-ABS(('Inputs'!$F$76:$F$81-12*I259)-12)+12)/2)</f>
      </c>
      <c r="L259">
        <f>IF(J259&gt;0,1,0)</f>
      </c>
      <c r="P259">
        <f>IF($C$233&lt;&gt;1,0,P258*(1+((1+$C$238)^(1/12)-1))^12-J258/12*(1+((1+$C$238)^(1/12)-1))*(((1+((1+$C$238)^(1/12)-1))^12-1)/((1+((1+$C$238)^(1/12)-1))-1)))</f>
      </c>
      <c r="Q259">
        <f>IF($C$233&lt;&gt;1,0,IFERROR((((1+($C$238+'Inputs'!$H$123/100))^(1/12)-1)-((1+$C$238)^(1/12)-1))*(P259*(((1+((1+$C$238)^(1/12)-1))^12-1)/((1+((1+$C$238)^(1/12)-1))-1))-J259/12/((1+((1+$C$238)^(1/12)-1))-1)*((1+((1+$C$238)^(1/12)-1))*(((1+((1+$C$238)^(1/12)-1))^12-1)/((1+((1+$C$238)^(1/12)-1))-1))-12)),0))</f>
      </c>
    </row>
    <row r="260" spans="9:17" x14ac:dyDescent="0.25">
      <c r="I260">
        <v>32</v>
      </c>
      <c r="J260">
        <f>IF(I260&lt;$C$230,MAX(0,12*$C$231*(1+$C$232)^I260-K260),0)</f>
      </c>
      <c r="K260">
        <f>SUMPRODUCT(('Inputs'!$G$76:$G$81=$C$226)*($C$226&lt;&gt;"")*'Inputs'!$D$76:$D$81*(1+'Inputs'!$E$76:$E$81/100)^I260*(ABS('Inputs'!$F$76:$F$81-12*I260)-ABS(('Inputs'!$F$76:$F$81-12*I260)-12)+12)/2)</f>
      </c>
      <c r="L260">
        <f>IF(J260&gt;0,1,0)</f>
      </c>
      <c r="P260">
        <f>IF($C$233&lt;&gt;1,0,P259*(1+((1+$C$238)^(1/12)-1))^12-J259/12*(1+((1+$C$238)^(1/12)-1))*(((1+((1+$C$238)^(1/12)-1))^12-1)/((1+((1+$C$238)^(1/12)-1))-1)))</f>
      </c>
      <c r="Q260">
        <f>IF($C$233&lt;&gt;1,0,IFERROR((((1+($C$238+'Inputs'!$H$123/100))^(1/12)-1)-((1+$C$238)^(1/12)-1))*(P260*(((1+((1+$C$238)^(1/12)-1))^12-1)/((1+((1+$C$238)^(1/12)-1))-1))-J260/12/((1+((1+$C$238)^(1/12)-1))-1)*((1+((1+$C$238)^(1/12)-1))*(((1+((1+$C$238)^(1/12)-1))^12-1)/((1+((1+$C$238)^(1/12)-1))-1))-12)),0))</f>
      </c>
    </row>
    <row r="261" spans="9:17" x14ac:dyDescent="0.25">
      <c r="I261">
        <v>33</v>
      </c>
      <c r="J261">
        <f>IF(I261&lt;$C$230,MAX(0,12*$C$231*(1+$C$232)^I261-K261),0)</f>
      </c>
      <c r="K261">
        <f>SUMPRODUCT(('Inputs'!$G$76:$G$81=$C$226)*($C$226&lt;&gt;"")*'Inputs'!$D$76:$D$81*(1+'Inputs'!$E$76:$E$81/100)^I261*(ABS('Inputs'!$F$76:$F$81-12*I261)-ABS(('Inputs'!$F$76:$F$81-12*I261)-12)+12)/2)</f>
      </c>
      <c r="L261">
        <f>IF(J261&gt;0,1,0)</f>
      </c>
      <c r="P261">
        <f>IF($C$233&lt;&gt;1,0,P260*(1+((1+$C$238)^(1/12)-1))^12-J260/12*(1+((1+$C$238)^(1/12)-1))*(((1+((1+$C$238)^(1/12)-1))^12-1)/((1+((1+$C$238)^(1/12)-1))-1)))</f>
      </c>
      <c r="Q261">
        <f>IF($C$233&lt;&gt;1,0,IFERROR((((1+($C$238+'Inputs'!$H$123/100))^(1/12)-1)-((1+$C$238)^(1/12)-1))*(P261*(((1+((1+$C$238)^(1/12)-1))^12-1)/((1+((1+$C$238)^(1/12)-1))-1))-J261/12/((1+((1+$C$238)^(1/12)-1))-1)*((1+((1+$C$238)^(1/12)-1))*(((1+((1+$C$238)^(1/12)-1))^12-1)/((1+((1+$C$238)^(1/12)-1))-1))-12)),0))</f>
      </c>
    </row>
    <row r="262" spans="9:17" x14ac:dyDescent="0.25">
      <c r="I262">
        <v>34</v>
      </c>
      <c r="J262">
        <f>IF(I262&lt;$C$230,MAX(0,12*$C$231*(1+$C$232)^I262-K262),0)</f>
      </c>
      <c r="K262">
        <f>SUMPRODUCT(('Inputs'!$G$76:$G$81=$C$226)*($C$226&lt;&gt;"")*'Inputs'!$D$76:$D$81*(1+'Inputs'!$E$76:$E$81/100)^I262*(ABS('Inputs'!$F$76:$F$81-12*I262)-ABS(('Inputs'!$F$76:$F$81-12*I262)-12)+12)/2)</f>
      </c>
      <c r="L262">
        <f>IF(J262&gt;0,1,0)</f>
      </c>
      <c r="P262">
        <f>IF($C$233&lt;&gt;1,0,P261*(1+((1+$C$238)^(1/12)-1))^12-J261/12*(1+((1+$C$238)^(1/12)-1))*(((1+((1+$C$238)^(1/12)-1))^12-1)/((1+((1+$C$238)^(1/12)-1))-1)))</f>
      </c>
      <c r="Q262">
        <f>IF($C$233&lt;&gt;1,0,IFERROR((((1+($C$238+'Inputs'!$H$123/100))^(1/12)-1)-((1+$C$238)^(1/12)-1))*(P262*(((1+((1+$C$238)^(1/12)-1))^12-1)/((1+((1+$C$238)^(1/12)-1))-1))-J262/12/((1+((1+$C$238)^(1/12)-1))-1)*((1+((1+$C$238)^(1/12)-1))*(((1+((1+$C$238)^(1/12)-1))^12-1)/((1+((1+$C$238)^(1/12)-1))-1))-12)),0))</f>
      </c>
    </row>
    <row r="263" spans="9:17" x14ac:dyDescent="0.25">
      <c r="I263">
        <v>35</v>
      </c>
      <c r="J263">
        <f>IF(I263&lt;$C$230,MAX(0,12*$C$231*(1+$C$232)^I263-K263),0)</f>
      </c>
      <c r="K263">
        <f>SUMPRODUCT(('Inputs'!$G$76:$G$81=$C$226)*($C$226&lt;&gt;"")*'Inputs'!$D$76:$D$81*(1+'Inputs'!$E$76:$E$81/100)^I263*(ABS('Inputs'!$F$76:$F$81-12*I263)-ABS(('Inputs'!$F$76:$F$81-12*I263)-12)+12)/2)</f>
      </c>
      <c r="L263">
        <f>IF(J263&gt;0,1,0)</f>
      </c>
      <c r="P263">
        <f>IF($C$233&lt;&gt;1,0,P262*(1+((1+$C$238)^(1/12)-1))^12-J262/12*(1+((1+$C$238)^(1/12)-1))*(((1+((1+$C$238)^(1/12)-1))^12-1)/((1+((1+$C$238)^(1/12)-1))-1)))</f>
      </c>
      <c r="Q263">
        <f>IF($C$233&lt;&gt;1,0,IFERROR((((1+($C$238+'Inputs'!$H$123/100))^(1/12)-1)-((1+$C$238)^(1/12)-1))*(P263*(((1+((1+$C$238)^(1/12)-1))^12-1)/((1+((1+$C$238)^(1/12)-1))-1))-J263/12/((1+((1+$C$238)^(1/12)-1))-1)*((1+((1+$C$238)^(1/12)-1))*(((1+((1+$C$238)^(1/12)-1))^12-1)/((1+((1+$C$238)^(1/12)-1))-1))-12)),0))</f>
      </c>
    </row>
    <row r="264" spans="9:17" x14ac:dyDescent="0.25">
      <c r="I264">
        <v>36</v>
      </c>
      <c r="J264">
        <f>IF(I264&lt;$C$230,MAX(0,12*$C$231*(1+$C$232)^I264-K264),0)</f>
      </c>
      <c r="K264">
        <f>SUMPRODUCT(('Inputs'!$G$76:$G$81=$C$226)*($C$226&lt;&gt;"")*'Inputs'!$D$76:$D$81*(1+'Inputs'!$E$76:$E$81/100)^I264*(ABS('Inputs'!$F$76:$F$81-12*I264)-ABS(('Inputs'!$F$76:$F$81-12*I264)-12)+12)/2)</f>
      </c>
      <c r="L264">
        <f>IF(J264&gt;0,1,0)</f>
      </c>
      <c r="P264">
        <f>IF($C$233&lt;&gt;1,0,P263*(1+((1+$C$238)^(1/12)-1))^12-J263/12*(1+((1+$C$238)^(1/12)-1))*(((1+((1+$C$238)^(1/12)-1))^12-1)/((1+((1+$C$238)^(1/12)-1))-1)))</f>
      </c>
      <c r="Q264">
        <f>IF($C$233&lt;&gt;1,0,IFERROR((((1+($C$238+'Inputs'!$H$123/100))^(1/12)-1)-((1+$C$238)^(1/12)-1))*(P264*(((1+((1+$C$238)^(1/12)-1))^12-1)/((1+((1+$C$238)^(1/12)-1))-1))-J264/12/((1+((1+$C$238)^(1/12)-1))-1)*((1+((1+$C$238)^(1/12)-1))*(((1+((1+$C$238)^(1/12)-1))^12-1)/((1+((1+$C$238)^(1/12)-1))-1))-12)),0))</f>
      </c>
    </row>
    <row r="265" spans="9:17" x14ac:dyDescent="0.25">
      <c r="I265">
        <v>37</v>
      </c>
      <c r="J265">
        <f>IF(I265&lt;$C$230,MAX(0,12*$C$231*(1+$C$232)^I265-K265),0)</f>
      </c>
      <c r="K265">
        <f>SUMPRODUCT(('Inputs'!$G$76:$G$81=$C$226)*($C$226&lt;&gt;"")*'Inputs'!$D$76:$D$81*(1+'Inputs'!$E$76:$E$81/100)^I265*(ABS('Inputs'!$F$76:$F$81-12*I265)-ABS(('Inputs'!$F$76:$F$81-12*I265)-12)+12)/2)</f>
      </c>
      <c r="L265">
        <f>IF(J265&gt;0,1,0)</f>
      </c>
      <c r="P265">
        <f>IF($C$233&lt;&gt;1,0,P264*(1+((1+$C$238)^(1/12)-1))^12-J264/12*(1+((1+$C$238)^(1/12)-1))*(((1+((1+$C$238)^(1/12)-1))^12-1)/((1+((1+$C$238)^(1/12)-1))-1)))</f>
      </c>
      <c r="Q265">
        <f>IF($C$233&lt;&gt;1,0,IFERROR((((1+($C$238+'Inputs'!$H$123/100))^(1/12)-1)-((1+$C$238)^(1/12)-1))*(P265*(((1+((1+$C$238)^(1/12)-1))^12-1)/((1+((1+$C$238)^(1/12)-1))-1))-J265/12/((1+((1+$C$238)^(1/12)-1))-1)*((1+((1+$C$238)^(1/12)-1))*(((1+((1+$C$238)^(1/12)-1))^12-1)/((1+((1+$C$238)^(1/12)-1))-1))-12)),0))</f>
      </c>
    </row>
    <row r="266" spans="9:17" x14ac:dyDescent="0.25">
      <c r="I266">
        <v>38</v>
      </c>
      <c r="J266">
        <f>IF(I266&lt;$C$230,MAX(0,12*$C$231*(1+$C$232)^I266-K266),0)</f>
      </c>
      <c r="K266">
        <f>SUMPRODUCT(('Inputs'!$G$76:$G$81=$C$226)*($C$226&lt;&gt;"")*'Inputs'!$D$76:$D$81*(1+'Inputs'!$E$76:$E$81/100)^I266*(ABS('Inputs'!$F$76:$F$81-12*I266)-ABS(('Inputs'!$F$76:$F$81-12*I266)-12)+12)/2)</f>
      </c>
      <c r="L266">
        <f>IF(J266&gt;0,1,0)</f>
      </c>
      <c r="P266">
        <f>IF($C$233&lt;&gt;1,0,P265*(1+((1+$C$238)^(1/12)-1))^12-J265/12*(1+((1+$C$238)^(1/12)-1))*(((1+((1+$C$238)^(1/12)-1))^12-1)/((1+((1+$C$238)^(1/12)-1))-1)))</f>
      </c>
      <c r="Q266">
        <f>IF($C$233&lt;&gt;1,0,IFERROR((((1+($C$238+'Inputs'!$H$123/100))^(1/12)-1)-((1+$C$238)^(1/12)-1))*(P266*(((1+((1+$C$238)^(1/12)-1))^12-1)/((1+((1+$C$238)^(1/12)-1))-1))-J266/12/((1+((1+$C$238)^(1/12)-1))-1)*((1+((1+$C$238)^(1/12)-1))*(((1+((1+$C$238)^(1/12)-1))^12-1)/((1+((1+$C$238)^(1/12)-1))-1))-12)),0))</f>
      </c>
    </row>
    <row r="267" spans="9:17" x14ac:dyDescent="0.25">
      <c r="I267">
        <v>39</v>
      </c>
      <c r="J267">
        <f>IF(I267&lt;$C$230,MAX(0,12*$C$231*(1+$C$232)^I267-K267),0)</f>
      </c>
      <c r="K267">
        <f>SUMPRODUCT(('Inputs'!$G$76:$G$81=$C$226)*($C$226&lt;&gt;"")*'Inputs'!$D$76:$D$81*(1+'Inputs'!$E$76:$E$81/100)^I267*(ABS('Inputs'!$F$76:$F$81-12*I267)-ABS(('Inputs'!$F$76:$F$81-12*I267)-12)+12)/2)</f>
      </c>
      <c r="L267">
        <f>IF(J267&gt;0,1,0)</f>
      </c>
      <c r="P267">
        <f>IF($C$233&lt;&gt;1,0,P266*(1+((1+$C$238)^(1/12)-1))^12-J266/12*(1+((1+$C$238)^(1/12)-1))*(((1+((1+$C$238)^(1/12)-1))^12-1)/((1+((1+$C$238)^(1/12)-1))-1)))</f>
      </c>
      <c r="Q267">
        <f>IF($C$233&lt;&gt;1,0,IFERROR((((1+($C$238+'Inputs'!$H$123/100))^(1/12)-1)-((1+$C$238)^(1/12)-1))*(P267*(((1+((1+$C$238)^(1/12)-1))^12-1)/((1+((1+$C$238)^(1/12)-1))-1))-J267/12/((1+((1+$C$238)^(1/12)-1))-1)*((1+((1+$C$238)^(1/12)-1))*(((1+((1+$C$238)^(1/12)-1))^12-1)/((1+((1+$C$238)^(1/12)-1))-1))-12)),0))</f>
      </c>
    </row>
    <row r="268" spans="9:17" x14ac:dyDescent="0.25">
      <c r="I268">
        <v>40</v>
      </c>
      <c r="J268">
        <f>IF(I268&lt;$C$230,MAX(0,12*$C$231*(1+$C$232)^I268-K268),0)</f>
      </c>
      <c r="K268">
        <f>SUMPRODUCT(('Inputs'!$G$76:$G$81=$C$226)*($C$226&lt;&gt;"")*'Inputs'!$D$76:$D$81*(1+'Inputs'!$E$76:$E$81/100)^I268*(ABS('Inputs'!$F$76:$F$81-12*I268)-ABS(('Inputs'!$F$76:$F$81-12*I268)-12)+12)/2)</f>
      </c>
      <c r="L268">
        <f>IF(J268&gt;0,1,0)</f>
      </c>
      <c r="P268">
        <f>IF($C$233&lt;&gt;1,0,P267*(1+((1+$C$238)^(1/12)-1))^12-J267/12*(1+((1+$C$238)^(1/12)-1))*(((1+((1+$C$238)^(1/12)-1))^12-1)/((1+((1+$C$238)^(1/12)-1))-1)))</f>
      </c>
      <c r="Q268">
        <f>IF($C$233&lt;&gt;1,0,IFERROR((((1+($C$238+'Inputs'!$H$123/100))^(1/12)-1)-((1+$C$238)^(1/12)-1))*(P268*(((1+((1+$C$238)^(1/12)-1))^12-1)/((1+((1+$C$238)^(1/12)-1))-1))-J268/12/((1+((1+$C$238)^(1/12)-1))-1)*((1+((1+$C$238)^(1/12)-1))*(((1+((1+$C$238)^(1/12)-1))^12-1)/((1+((1+$C$238)^(1/12)-1))-1))-12)),0))</f>
      </c>
    </row>
    <row r="269" spans="9:17" x14ac:dyDescent="0.25">
      <c r="I269">
        <v>41</v>
      </c>
      <c r="J269">
        <f>IF(I269&lt;$C$230,MAX(0,12*$C$231*(1+$C$232)^I269-K269),0)</f>
      </c>
      <c r="K269">
        <f>SUMPRODUCT(('Inputs'!$G$76:$G$81=$C$226)*($C$226&lt;&gt;"")*'Inputs'!$D$76:$D$81*(1+'Inputs'!$E$76:$E$81/100)^I269*(ABS('Inputs'!$F$76:$F$81-12*I269)-ABS(('Inputs'!$F$76:$F$81-12*I269)-12)+12)/2)</f>
      </c>
      <c r="L269">
        <f>IF(J269&gt;0,1,0)</f>
      </c>
      <c r="P269">
        <f>IF($C$233&lt;&gt;1,0,P268*(1+((1+$C$238)^(1/12)-1))^12-J268/12*(1+((1+$C$238)^(1/12)-1))*(((1+((1+$C$238)^(1/12)-1))^12-1)/((1+((1+$C$238)^(1/12)-1))-1)))</f>
      </c>
      <c r="Q269">
        <f>IF($C$233&lt;&gt;1,0,IFERROR((((1+($C$238+'Inputs'!$H$123/100))^(1/12)-1)-((1+$C$238)^(1/12)-1))*(P269*(((1+((1+$C$238)^(1/12)-1))^12-1)/((1+((1+$C$238)^(1/12)-1))-1))-J269/12/((1+((1+$C$238)^(1/12)-1))-1)*((1+((1+$C$238)^(1/12)-1))*(((1+((1+$C$238)^(1/12)-1))^12-1)/((1+((1+$C$238)^(1/12)-1))-1))-12)),0))</f>
      </c>
    </row>
    <row r="270" spans="9:17" x14ac:dyDescent="0.25">
      <c r="I270">
        <v>42</v>
      </c>
      <c r="J270">
        <f>IF(I270&lt;$C$230,MAX(0,12*$C$231*(1+$C$232)^I270-K270),0)</f>
      </c>
      <c r="K270">
        <f>SUMPRODUCT(('Inputs'!$G$76:$G$81=$C$226)*($C$226&lt;&gt;"")*'Inputs'!$D$76:$D$81*(1+'Inputs'!$E$76:$E$81/100)^I270*(ABS('Inputs'!$F$76:$F$81-12*I270)-ABS(('Inputs'!$F$76:$F$81-12*I270)-12)+12)/2)</f>
      </c>
      <c r="L270">
        <f>IF(J270&gt;0,1,0)</f>
      </c>
      <c r="P270">
        <f>IF($C$233&lt;&gt;1,0,P269*(1+((1+$C$238)^(1/12)-1))^12-J269/12*(1+((1+$C$238)^(1/12)-1))*(((1+((1+$C$238)^(1/12)-1))^12-1)/((1+((1+$C$238)^(1/12)-1))-1)))</f>
      </c>
      <c r="Q270">
        <f>IF($C$233&lt;&gt;1,0,IFERROR((((1+($C$238+'Inputs'!$H$123/100))^(1/12)-1)-((1+$C$238)^(1/12)-1))*(P270*(((1+((1+$C$238)^(1/12)-1))^12-1)/((1+((1+$C$238)^(1/12)-1))-1))-J270/12/((1+((1+$C$238)^(1/12)-1))-1)*((1+((1+$C$238)^(1/12)-1))*(((1+((1+$C$238)^(1/12)-1))^12-1)/((1+((1+$C$238)^(1/12)-1))-1))-12)),0))</f>
      </c>
    </row>
    <row r="271" spans="9:17" x14ac:dyDescent="0.25">
      <c r="I271">
        <v>43</v>
      </c>
      <c r="J271">
        <f>IF(I271&lt;$C$230,MAX(0,12*$C$231*(1+$C$232)^I271-K271),0)</f>
      </c>
      <c r="K271">
        <f>SUMPRODUCT(('Inputs'!$G$76:$G$81=$C$226)*($C$226&lt;&gt;"")*'Inputs'!$D$76:$D$81*(1+'Inputs'!$E$76:$E$81/100)^I271*(ABS('Inputs'!$F$76:$F$81-12*I271)-ABS(('Inputs'!$F$76:$F$81-12*I271)-12)+12)/2)</f>
      </c>
      <c r="L271">
        <f>IF(J271&gt;0,1,0)</f>
      </c>
      <c r="P271">
        <f>IF($C$233&lt;&gt;1,0,P270*(1+((1+$C$238)^(1/12)-1))^12-J270/12*(1+((1+$C$238)^(1/12)-1))*(((1+((1+$C$238)^(1/12)-1))^12-1)/((1+((1+$C$238)^(1/12)-1))-1)))</f>
      </c>
      <c r="Q271">
        <f>IF($C$233&lt;&gt;1,0,IFERROR((((1+($C$238+'Inputs'!$H$123/100))^(1/12)-1)-((1+$C$238)^(1/12)-1))*(P271*(((1+((1+$C$238)^(1/12)-1))^12-1)/((1+((1+$C$238)^(1/12)-1))-1))-J271/12/((1+((1+$C$238)^(1/12)-1))-1)*((1+((1+$C$238)^(1/12)-1))*(((1+((1+$C$238)^(1/12)-1))^12-1)/((1+((1+$C$238)^(1/12)-1))-1))-12)),0))</f>
      </c>
    </row>
    <row r="272" spans="9:17" x14ac:dyDescent="0.25">
      <c r="I272">
        <v>44</v>
      </c>
      <c r="J272">
        <f>IF(I272&lt;$C$230,MAX(0,12*$C$231*(1+$C$232)^I272-K272),0)</f>
      </c>
      <c r="K272">
        <f>SUMPRODUCT(('Inputs'!$G$76:$G$81=$C$226)*($C$226&lt;&gt;"")*'Inputs'!$D$76:$D$81*(1+'Inputs'!$E$76:$E$81/100)^I272*(ABS('Inputs'!$F$76:$F$81-12*I272)-ABS(('Inputs'!$F$76:$F$81-12*I272)-12)+12)/2)</f>
      </c>
      <c r="L272">
        <f>IF(J272&gt;0,1,0)</f>
      </c>
      <c r="P272">
        <f>IF($C$233&lt;&gt;1,0,P271*(1+((1+$C$238)^(1/12)-1))^12-J271/12*(1+((1+$C$238)^(1/12)-1))*(((1+((1+$C$238)^(1/12)-1))^12-1)/((1+((1+$C$238)^(1/12)-1))-1)))</f>
      </c>
      <c r="Q272">
        <f>IF($C$233&lt;&gt;1,0,IFERROR((((1+($C$238+'Inputs'!$H$123/100))^(1/12)-1)-((1+$C$238)^(1/12)-1))*(P272*(((1+((1+$C$238)^(1/12)-1))^12-1)/((1+((1+$C$238)^(1/12)-1))-1))-J272/12/((1+((1+$C$238)^(1/12)-1))-1)*((1+((1+$C$238)^(1/12)-1))*(((1+((1+$C$238)^(1/12)-1))^12-1)/((1+((1+$C$238)^(1/12)-1))-1))-12)),0))</f>
      </c>
    </row>
    <row r="273" spans="9:17" x14ac:dyDescent="0.25">
      <c r="I273">
        <v>45</v>
      </c>
      <c r="J273">
        <f>IF(I273&lt;$C$230,MAX(0,12*$C$231*(1+$C$232)^I273-K273),0)</f>
      </c>
      <c r="K273">
        <f>SUMPRODUCT(('Inputs'!$G$76:$G$81=$C$226)*($C$226&lt;&gt;"")*'Inputs'!$D$76:$D$81*(1+'Inputs'!$E$76:$E$81/100)^I273*(ABS('Inputs'!$F$76:$F$81-12*I273)-ABS(('Inputs'!$F$76:$F$81-12*I273)-12)+12)/2)</f>
      </c>
      <c r="L273">
        <f>IF(J273&gt;0,1,0)</f>
      </c>
      <c r="P273">
        <f>IF($C$233&lt;&gt;1,0,P272*(1+((1+$C$238)^(1/12)-1))^12-J272/12*(1+((1+$C$238)^(1/12)-1))*(((1+((1+$C$238)^(1/12)-1))^12-1)/((1+((1+$C$238)^(1/12)-1))-1)))</f>
      </c>
      <c r="Q273">
        <f>IF($C$233&lt;&gt;1,0,IFERROR((((1+($C$238+'Inputs'!$H$123/100))^(1/12)-1)-((1+$C$238)^(1/12)-1))*(P273*(((1+((1+$C$238)^(1/12)-1))^12-1)/((1+((1+$C$238)^(1/12)-1))-1))-J273/12/((1+((1+$C$238)^(1/12)-1))-1)*((1+((1+$C$238)^(1/12)-1))*(((1+((1+$C$238)^(1/12)-1))^12-1)/((1+((1+$C$238)^(1/12)-1))-1))-12)),0))</f>
      </c>
    </row>
    <row r="274" spans="9:17" x14ac:dyDescent="0.25">
      <c r="I274">
        <v>46</v>
      </c>
      <c r="J274">
        <f>IF(I274&lt;$C$230,MAX(0,12*$C$231*(1+$C$232)^I274-K274),0)</f>
      </c>
      <c r="K274">
        <f>SUMPRODUCT(('Inputs'!$G$76:$G$81=$C$226)*($C$226&lt;&gt;"")*'Inputs'!$D$76:$D$81*(1+'Inputs'!$E$76:$E$81/100)^I274*(ABS('Inputs'!$F$76:$F$81-12*I274)-ABS(('Inputs'!$F$76:$F$81-12*I274)-12)+12)/2)</f>
      </c>
      <c r="L274">
        <f>IF(J274&gt;0,1,0)</f>
      </c>
      <c r="P274">
        <f>IF($C$233&lt;&gt;1,0,P273*(1+((1+$C$238)^(1/12)-1))^12-J273/12*(1+((1+$C$238)^(1/12)-1))*(((1+((1+$C$238)^(1/12)-1))^12-1)/((1+((1+$C$238)^(1/12)-1))-1)))</f>
      </c>
      <c r="Q274">
        <f>IF($C$233&lt;&gt;1,0,IFERROR((((1+($C$238+'Inputs'!$H$123/100))^(1/12)-1)-((1+$C$238)^(1/12)-1))*(P274*(((1+((1+$C$238)^(1/12)-1))^12-1)/((1+((1+$C$238)^(1/12)-1))-1))-J274/12/((1+((1+$C$238)^(1/12)-1))-1)*((1+((1+$C$238)^(1/12)-1))*(((1+((1+$C$238)^(1/12)-1))^12-1)/((1+((1+$C$238)^(1/12)-1))-1))-12)),0))</f>
      </c>
    </row>
    <row r="275" spans="9:17" x14ac:dyDescent="0.25">
      <c r="I275">
        <v>47</v>
      </c>
      <c r="J275">
        <f>IF(I275&lt;$C$230,MAX(0,12*$C$231*(1+$C$232)^I275-K275),0)</f>
      </c>
      <c r="K275">
        <f>SUMPRODUCT(('Inputs'!$G$76:$G$81=$C$226)*($C$226&lt;&gt;"")*'Inputs'!$D$76:$D$81*(1+'Inputs'!$E$76:$E$81/100)^I275*(ABS('Inputs'!$F$76:$F$81-12*I275)-ABS(('Inputs'!$F$76:$F$81-12*I275)-12)+12)/2)</f>
      </c>
      <c r="L275">
        <f>IF(J275&gt;0,1,0)</f>
      </c>
      <c r="P275">
        <f>IF($C$233&lt;&gt;1,0,P274*(1+((1+$C$238)^(1/12)-1))^12-J274/12*(1+((1+$C$238)^(1/12)-1))*(((1+((1+$C$238)^(1/12)-1))^12-1)/((1+((1+$C$238)^(1/12)-1))-1)))</f>
      </c>
      <c r="Q275">
        <f>IF($C$233&lt;&gt;1,0,IFERROR((((1+($C$238+'Inputs'!$H$123/100))^(1/12)-1)-((1+$C$238)^(1/12)-1))*(P275*(((1+((1+$C$238)^(1/12)-1))^12-1)/((1+((1+$C$238)^(1/12)-1))-1))-J275/12/((1+((1+$C$238)^(1/12)-1))-1)*((1+((1+$C$238)^(1/12)-1))*(((1+((1+$C$238)^(1/12)-1))^12-1)/((1+((1+$C$238)^(1/12)-1))-1))-12)),0))</f>
      </c>
    </row>
    <row r="276" spans="9:17" x14ac:dyDescent="0.25">
      <c r="I276">
        <v>48</v>
      </c>
      <c r="J276">
        <f>IF(I276&lt;$C$230,MAX(0,12*$C$231*(1+$C$232)^I276-K276),0)</f>
      </c>
      <c r="K276">
        <f>SUMPRODUCT(('Inputs'!$G$76:$G$81=$C$226)*($C$226&lt;&gt;"")*'Inputs'!$D$76:$D$81*(1+'Inputs'!$E$76:$E$81/100)^I276*(ABS('Inputs'!$F$76:$F$81-12*I276)-ABS(('Inputs'!$F$76:$F$81-12*I276)-12)+12)/2)</f>
      </c>
      <c r="L276">
        <f>IF(J276&gt;0,1,0)</f>
      </c>
      <c r="P276">
        <f>IF($C$233&lt;&gt;1,0,P275*(1+((1+$C$238)^(1/12)-1))^12-J275/12*(1+((1+$C$238)^(1/12)-1))*(((1+((1+$C$238)^(1/12)-1))^12-1)/((1+((1+$C$238)^(1/12)-1))-1)))</f>
      </c>
      <c r="Q276">
        <f>IF($C$233&lt;&gt;1,0,IFERROR((((1+($C$238+'Inputs'!$H$123/100))^(1/12)-1)-((1+$C$238)^(1/12)-1))*(P276*(((1+((1+$C$238)^(1/12)-1))^12-1)/((1+((1+$C$238)^(1/12)-1))-1))-J276/12/((1+((1+$C$238)^(1/12)-1))-1)*((1+((1+$C$238)^(1/12)-1))*(((1+((1+$C$238)^(1/12)-1))^12-1)/((1+((1+$C$238)^(1/12)-1))-1))-12)),0))</f>
      </c>
    </row>
    <row r="277" spans="9:17" x14ac:dyDescent="0.25">
      <c r="I277">
        <v>49</v>
      </c>
      <c r="J277">
        <f>IF(I277&lt;$C$230,MAX(0,12*$C$231*(1+$C$232)^I277-K277),0)</f>
      </c>
      <c r="K277">
        <f>SUMPRODUCT(('Inputs'!$G$76:$G$81=$C$226)*($C$226&lt;&gt;"")*'Inputs'!$D$76:$D$81*(1+'Inputs'!$E$76:$E$81/100)^I277*(ABS('Inputs'!$F$76:$F$81-12*I277)-ABS(('Inputs'!$F$76:$F$81-12*I277)-12)+12)/2)</f>
      </c>
      <c r="L277">
        <f>IF(J277&gt;0,1,0)</f>
      </c>
      <c r="P277">
        <f>IF($C$233&lt;&gt;1,0,P276*(1+((1+$C$238)^(1/12)-1))^12-J276/12*(1+((1+$C$238)^(1/12)-1))*(((1+((1+$C$238)^(1/12)-1))^12-1)/((1+((1+$C$238)^(1/12)-1))-1)))</f>
      </c>
      <c r="Q277">
        <f>IF($C$233&lt;&gt;1,0,IFERROR((((1+($C$238+'Inputs'!$H$123/100))^(1/12)-1)-((1+$C$238)^(1/12)-1))*(P277*(((1+((1+$C$238)^(1/12)-1))^12-1)/((1+((1+$C$238)^(1/12)-1))-1))-J277/12/((1+((1+$C$238)^(1/12)-1))-1)*((1+((1+$C$238)^(1/12)-1))*(((1+((1+$C$238)^(1/12)-1))^12-1)/((1+((1+$C$238)^(1/12)-1))-1))-12)),0))</f>
      </c>
    </row>
    <row r="282" spans="2:3" x14ac:dyDescent="0.25">
      <c r="B282" t="s">
        <v>118</v>
      </c>
      <c r="C282">
        <f>IF('Inputs'!$B$105="","",'Inputs'!$B$105)</f>
      </c>
    </row>
    <row r="283" spans="2:17" x14ac:dyDescent="0.25">
      <c r="B283" t="s">
        <v>120</v>
      </c>
      <c r="C283">
        <f>N('Inputs'!$D$105)</f>
      </c>
      <c r="I283" t="s">
        <v>398</v>
      </c>
      <c r="J283" t="s">
        <v>399</v>
      </c>
      <c r="K283" t="s">
        <v>400</v>
      </c>
      <c r="L283" t="s">
        <v>401</v>
      </c>
      <c r="P283" t="s">
        <v>402</v>
      </c>
      <c r="Q283" t="s">
        <v>403</v>
      </c>
    </row>
    <row r="284" spans="2:17" x14ac:dyDescent="0.25">
      <c r="B284" t="s">
        <v>404</v>
      </c>
      <c r="C284">
        <f>IF($C$283&gt;=75,'Inputs'!$H$131,IF($C$283&gt;=65,'Inputs'!$H$130,'Inputs'!$H$124))</f>
      </c>
      <c r="I284">
        <v>0</v>
      </c>
      <c r="J284">
        <f>IF(I284&lt;$C$286,MAX(0,12*$C$287*(1+$C$288)^I284-K284),0)</f>
      </c>
      <c r="K284">
        <f>SUMPRODUCT(('Inputs'!$G$76:$G$81=$C$282)*($C$282&lt;&gt;"")*'Inputs'!$D$76:$D$81*(1+'Inputs'!$E$76:$E$81/100)^I284*(ABS('Inputs'!$F$76:$F$81-12*I284)-ABS(('Inputs'!$F$76:$F$81-12*I284)-12)+12)/2)</f>
      </c>
      <c r="L284">
        <f>IF(J284&gt;0,1,0)</f>
      </c>
      <c r="P284">
        <f>IF($C$289&lt;&gt;1,0,IF($C$294=0,SUM($J$284:$J$333),(1-(1+$C$294)^-1)/(1-(1+$C$294)^(-1/12))/12*SUMPRODUCT($J$284:$J$333,(1+$C$294)^(-$I$284:$I$333))))</f>
      </c>
      <c r="Q284">
        <f>IF($C$289&lt;&gt;1,0,IFERROR((((1+($C$294+'Inputs'!$H$123/100))^(1/12)-1)-((1+$C$294)^(1/12)-1))*(P284*(((1+((1+$C$294)^(1/12)-1))^12-1)/((1+((1+$C$294)^(1/12)-1))-1))-J284/12/((1+((1+$C$294)^(1/12)-1))-1)*((1+((1+$C$294)^(1/12)-1))*(((1+((1+$C$294)^(1/12)-1))^12-1)/((1+((1+$C$294)^(1/12)-1))-1))-12)),0))</f>
      </c>
    </row>
    <row r="285" spans="2:17" x14ac:dyDescent="0.25">
      <c r="B285" t="s">
        <v>405</v>
      </c>
      <c r="C285">
        <f>N('Inputs'!$I$105)</f>
      </c>
      <c r="I285">
        <v>1</v>
      </c>
      <c r="J285">
        <f>IF(I285&lt;$C$286,MAX(0,12*$C$287*(1+$C$288)^I285-K285),0)</f>
      </c>
      <c r="K285">
        <f>SUMPRODUCT(('Inputs'!$G$76:$G$81=$C$282)*($C$282&lt;&gt;"")*'Inputs'!$D$76:$D$81*(1+'Inputs'!$E$76:$E$81/100)^I285*(ABS('Inputs'!$F$76:$F$81-12*I285)-ABS(('Inputs'!$F$76:$F$81-12*I285)-12)+12)/2)</f>
      </c>
      <c r="L285">
        <f>IF(J285&gt;0,1,0)</f>
      </c>
      <c r="P285">
        <f>IF($C$289&lt;&gt;1,0,P284*(1+((1+$C$294)^(1/12)-1))^12-J284/12*(1+((1+$C$294)^(1/12)-1))*(((1+((1+$C$294)^(1/12)-1))^12-1)/((1+((1+$C$294)^(1/12)-1))-1)))</f>
      </c>
      <c r="Q285">
        <f>IF($C$289&lt;&gt;1,0,IFERROR((((1+($C$294+'Inputs'!$H$123/100))^(1/12)-1)-((1+$C$294)^(1/12)-1))*(P285*(((1+((1+$C$294)^(1/12)-1))^12-1)/((1+((1+$C$294)^(1/12)-1))-1))-J285/12/((1+((1+$C$294)^(1/12)-1))-1)*((1+((1+$C$294)^(1/12)-1))*(((1+((1+$C$294)^(1/12)-1))^12-1)/((1+((1+$C$294)^(1/12)-1))-1))-12)),0))</f>
      </c>
    </row>
    <row r="286" spans="2:17" x14ac:dyDescent="0.25">
      <c r="B286" t="s">
        <v>406</v>
      </c>
      <c r="C286">
        <f>IF($C$282="",0,N('Inputs'!$F$105))</f>
      </c>
      <c r="I286">
        <v>2</v>
      </c>
      <c r="J286">
        <f>IF(I286&lt;$C$286,MAX(0,12*$C$287*(1+$C$288)^I286-K286),0)</f>
      </c>
      <c r="K286">
        <f>SUMPRODUCT(('Inputs'!$G$76:$G$81=$C$282)*($C$282&lt;&gt;"")*'Inputs'!$D$76:$D$81*(1+'Inputs'!$E$76:$E$81/100)^I286*(ABS('Inputs'!$F$76:$F$81-12*I286)-ABS(('Inputs'!$F$76:$F$81-12*I286)-12)+12)/2)</f>
      </c>
      <c r="L286">
        <f>IF(J286&gt;0,1,0)</f>
      </c>
      <c r="P286">
        <f>IF($C$289&lt;&gt;1,0,P285*(1+((1+$C$294)^(1/12)-1))^12-J285/12*(1+((1+$C$294)^(1/12)-1))*(((1+((1+$C$294)^(1/12)-1))^12-1)/((1+((1+$C$294)^(1/12)-1))-1)))</f>
      </c>
      <c r="Q286">
        <f>IF($C$289&lt;&gt;1,0,IFERROR((((1+($C$294+'Inputs'!$H$123/100))^(1/12)-1)-((1+$C$294)^(1/12)-1))*(P286*(((1+((1+$C$294)^(1/12)-1))^12-1)/((1+((1+$C$294)^(1/12)-1))-1))-J286/12/((1+((1+$C$294)^(1/12)-1))-1)*((1+((1+$C$294)^(1/12)-1))*(((1+((1+$C$294)^(1/12)-1))^12-1)/((1+((1+$C$294)^(1/12)-1))-1))-12)),0))</f>
      </c>
    </row>
    <row r="287" spans="2:17" x14ac:dyDescent="0.25">
      <c r="B287" t="s">
        <v>407</v>
      </c>
      <c r="C287">
        <f>N('Inputs'!$E$105)</f>
      </c>
      <c r="I287">
        <v>3</v>
      </c>
      <c r="J287">
        <f>IF(I287&lt;$C$286,MAX(0,12*$C$287*(1+$C$288)^I287-K287),0)</f>
      </c>
      <c r="K287">
        <f>SUMPRODUCT(('Inputs'!$G$76:$G$81=$C$282)*($C$282&lt;&gt;"")*'Inputs'!$D$76:$D$81*(1+'Inputs'!$E$76:$E$81/100)^I287*(ABS('Inputs'!$F$76:$F$81-12*I287)-ABS(('Inputs'!$F$76:$F$81-12*I287)-12)+12)/2)</f>
      </c>
      <c r="L287">
        <f>IF(J287&gt;0,1,0)</f>
      </c>
      <c r="P287">
        <f>IF($C$289&lt;&gt;1,0,P286*(1+((1+$C$294)^(1/12)-1))^12-J286/12*(1+((1+$C$294)^(1/12)-1))*(((1+((1+$C$294)^(1/12)-1))^12-1)/((1+((1+$C$294)^(1/12)-1))-1)))</f>
      </c>
      <c r="Q287">
        <f>IF($C$289&lt;&gt;1,0,IFERROR((((1+($C$294+'Inputs'!$H$123/100))^(1/12)-1)-((1+$C$294)^(1/12)-1))*(P287*(((1+((1+$C$294)^(1/12)-1))^12-1)/((1+((1+$C$294)^(1/12)-1))-1))-J287/12/((1+((1+$C$294)^(1/12)-1))-1)*((1+((1+$C$294)^(1/12)-1))*(((1+((1+$C$294)^(1/12)-1))^12-1)/((1+((1+$C$294)^(1/12)-1))-1))-12)),0))</f>
      </c>
    </row>
    <row r="288" spans="2:17" x14ac:dyDescent="0.25">
      <c r="B288" t="s">
        <v>408</v>
      </c>
      <c r="C288">
        <f>IF('Inputs'!$G$105="",'Inputs'!$H$129/100,'Inputs'!$G$105/100)</f>
      </c>
      <c r="I288">
        <v>4</v>
      </c>
      <c r="J288">
        <f>IF(I288&lt;$C$286,MAX(0,12*$C$287*(1+$C$288)^I288-K288),0)</f>
      </c>
      <c r="K288">
        <f>SUMPRODUCT(('Inputs'!$G$76:$G$81=$C$282)*($C$282&lt;&gt;"")*'Inputs'!$D$76:$D$81*(1+'Inputs'!$E$76:$E$81/100)^I288*(ABS('Inputs'!$F$76:$F$81-12*I288)-ABS(('Inputs'!$F$76:$F$81-12*I288)-12)+12)/2)</f>
      </c>
      <c r="L288">
        <f>IF(J288&gt;0,1,0)</f>
      </c>
      <c r="P288">
        <f>IF($C$289&lt;&gt;1,0,P287*(1+((1+$C$294)^(1/12)-1))^12-J287/12*(1+((1+$C$294)^(1/12)-1))*(((1+((1+$C$294)^(1/12)-1))^12-1)/((1+((1+$C$294)^(1/12)-1))-1)))</f>
      </c>
      <c r="Q288">
        <f>IF($C$289&lt;&gt;1,0,IFERROR((((1+($C$294+'Inputs'!$H$123/100))^(1/12)-1)-((1+$C$294)^(1/12)-1))*(P288*(((1+((1+$C$294)^(1/12)-1))^12-1)/((1+((1+$C$294)^(1/12)-1))-1))-J288/12/((1+((1+$C$294)^(1/12)-1))-1)*((1+((1+$C$294)^(1/12)-1))*(((1+((1+$C$294)^(1/12)-1))^12-1)/((1+((1+$C$294)^(1/12)-1))-1))-12)),0))</f>
      </c>
    </row>
    <row r="289" spans="2:17" x14ac:dyDescent="0.25">
      <c r="B289" t="s">
        <v>409</v>
      </c>
      <c r="C289">
        <f>IF('Inputs'!$H$105="Yes",1,0)</f>
      </c>
      <c r="I289">
        <v>5</v>
      </c>
      <c r="J289">
        <f>IF(I289&lt;$C$286,MAX(0,12*$C$287*(1+$C$288)^I289-K289),0)</f>
      </c>
      <c r="K289">
        <f>SUMPRODUCT(('Inputs'!$G$76:$G$81=$C$282)*($C$282&lt;&gt;"")*'Inputs'!$D$76:$D$81*(1+'Inputs'!$E$76:$E$81/100)^I289*(ABS('Inputs'!$F$76:$F$81-12*I289)-ABS(('Inputs'!$F$76:$F$81-12*I289)-12)+12)/2)</f>
      </c>
      <c r="L289">
        <f>IF(J289&gt;0,1,0)</f>
      </c>
      <c r="P289">
        <f>IF($C$289&lt;&gt;1,0,P288*(1+((1+$C$294)^(1/12)-1))^12-J288/12*(1+((1+$C$294)^(1/12)-1))*(((1+((1+$C$294)^(1/12)-1))^12-1)/((1+((1+$C$294)^(1/12)-1))-1)))</f>
      </c>
      <c r="Q289">
        <f>IF($C$289&lt;&gt;1,0,IFERROR((((1+($C$294+'Inputs'!$H$123/100))^(1/12)-1)-((1+$C$294)^(1/12)-1))*(P289*(((1+((1+$C$294)^(1/12)-1))^12-1)/((1+((1+$C$294)^(1/12)-1))-1))-J289/12/((1+((1+$C$294)^(1/12)-1))-1)*((1+((1+$C$294)^(1/12)-1))*(((1+((1+$C$294)^(1/12)-1))^12-1)/((1+((1+$C$294)^(1/12)-1))-1))-12)),0))</f>
      </c>
    </row>
    <row r="290" spans="2:17" x14ac:dyDescent="0.25">
      <c r="B290" t="s">
        <v>410</v>
      </c>
      <c r="C290">
        <f>IF($C$282="",0,N('Inputs'!$J$105))</f>
      </c>
      <c r="I290">
        <v>6</v>
      </c>
      <c r="J290">
        <f>IF(I290&lt;$C$286,MAX(0,12*$C$287*(1+$C$288)^I290-K290),0)</f>
      </c>
      <c r="K290">
        <f>SUMPRODUCT(('Inputs'!$G$76:$G$81=$C$282)*($C$282&lt;&gt;"")*'Inputs'!$D$76:$D$81*(1+'Inputs'!$E$76:$E$81/100)^I290*(ABS('Inputs'!$F$76:$F$81-12*I290)-ABS(('Inputs'!$F$76:$F$81-12*I290)-12)+12)/2)</f>
      </c>
      <c r="L290">
        <f>IF(J290&gt;0,1,0)</f>
      </c>
      <c r="P290">
        <f>IF($C$289&lt;&gt;1,0,P289*(1+((1+$C$294)^(1/12)-1))^12-J289/12*(1+((1+$C$294)^(1/12)-1))*(((1+((1+$C$294)^(1/12)-1))^12-1)/((1+((1+$C$294)^(1/12)-1))-1)))</f>
      </c>
      <c r="Q290">
        <f>IF($C$289&lt;&gt;1,0,IFERROR((((1+($C$294+'Inputs'!$H$123/100))^(1/12)-1)-((1+$C$294)^(1/12)-1))*(P290*(((1+((1+$C$294)^(1/12)-1))^12-1)/((1+((1+$C$294)^(1/12)-1))-1))-J290/12/((1+((1+$C$294)^(1/12)-1))-1)*((1+((1+$C$294)^(1/12)-1))*(((1+((1+$C$294)^(1/12)-1))^12-1)/((1+((1+$C$294)^(1/12)-1))-1))-12)),0))</f>
      </c>
    </row>
    <row r="291" spans="2:17" x14ac:dyDescent="0.25">
      <c r="B291" t="s">
        <v>411</v>
      </c>
      <c r="C291">
        <f>ROUND(Q284,2)</f>
      </c>
      <c r="I291">
        <v>7</v>
      </c>
      <c r="J291">
        <f>IF(I291&lt;$C$286,MAX(0,12*$C$287*(1+$C$288)^I291-K291),0)</f>
      </c>
      <c r="K291">
        <f>SUMPRODUCT(('Inputs'!$G$76:$G$81=$C$282)*($C$282&lt;&gt;"")*'Inputs'!$D$76:$D$81*(1+'Inputs'!$E$76:$E$81/100)^I291*(ABS('Inputs'!$F$76:$F$81-12*I291)-ABS(('Inputs'!$F$76:$F$81-12*I291)-12)+12)/2)</f>
      </c>
      <c r="L291">
        <f>IF(J291&gt;0,1,0)</f>
      </c>
      <c r="P291">
        <f>IF($C$289&lt;&gt;1,0,P290*(1+((1+$C$294)^(1/12)-1))^12-J290/12*(1+((1+$C$294)^(1/12)-1))*(((1+((1+$C$294)^(1/12)-1))^12-1)/((1+((1+$C$294)^(1/12)-1))-1)))</f>
      </c>
      <c r="Q291">
        <f>IF($C$289&lt;&gt;1,0,IFERROR((((1+($C$294+'Inputs'!$H$123/100))^(1/12)-1)-((1+$C$294)^(1/12)-1))*(P291*(((1+((1+$C$294)^(1/12)-1))^12-1)/((1+((1+$C$294)^(1/12)-1))-1))-J291/12/((1+((1+$C$294)^(1/12)-1))-1)*((1+((1+$C$294)^(1/12)-1))*(((1+((1+$C$294)^(1/12)-1))^12-1)/((1+((1+$C$294)^(1/12)-1))-1))-12)),0))</f>
      </c>
    </row>
    <row r="292" spans="2:17" x14ac:dyDescent="0.25">
      <c r="B292" t="s">
        <v>412</v>
      </c>
      <c r="C292">
        <f>ROUND(SUM($Q$284:$Q$333),2)</f>
      </c>
      <c r="I292">
        <v>8</v>
      </c>
      <c r="J292">
        <f>IF(I292&lt;$C$286,MAX(0,12*$C$287*(1+$C$288)^I292-K292),0)</f>
      </c>
      <c r="K292">
        <f>SUMPRODUCT(('Inputs'!$G$76:$G$81=$C$282)*($C$282&lt;&gt;"")*'Inputs'!$D$76:$D$81*(1+'Inputs'!$E$76:$E$81/100)^I292*(ABS('Inputs'!$F$76:$F$81-12*I292)-ABS(('Inputs'!$F$76:$F$81-12*I292)-12)+12)/2)</f>
      </c>
      <c r="L292">
        <f>IF(J292&gt;0,1,0)</f>
      </c>
      <c r="P292">
        <f>IF($C$289&lt;&gt;1,0,P291*(1+((1+$C$294)^(1/12)-1))^12-J291/12*(1+((1+$C$294)^(1/12)-1))*(((1+((1+$C$294)^(1/12)-1))^12-1)/((1+((1+$C$294)^(1/12)-1))-1)))</f>
      </c>
      <c r="Q292">
        <f>IF($C$289&lt;&gt;1,0,IFERROR((((1+($C$294+'Inputs'!$H$123/100))^(1/12)-1)-((1+$C$294)^(1/12)-1))*(P292*(((1+((1+$C$294)^(1/12)-1))^12-1)/((1+((1+$C$294)^(1/12)-1))-1))-J292/12/((1+((1+$C$294)^(1/12)-1))-1)*((1+((1+$C$294)^(1/12)-1))*(((1+((1+$C$294)^(1/12)-1))^12-1)/((1+((1+$C$294)^(1/12)-1))-1))-12)),0))</f>
      </c>
    </row>
    <row r="293" spans="2:17" x14ac:dyDescent="0.25">
      <c r="B293" t="s">
        <v>413</v>
      </c>
      <c r="C293">
        <f>IF($C$289&lt;&gt;1,0,ROUND(IF($C$294=0,SUM($J$284:$J$333),(1-(1+$C$294)^-1)/(1-(1+$C$294)^(-1/12))/12*SUMPRODUCT($J$284:$J$333,(1+$C$294)^(-$I$284:$I$333)))-IF(($C$294+'Inputs'!$H$123/100)=0,SUM($J$284:$J$333),(1-(1+($C$294+'Inputs'!$H$123/100))^-1)/(1-(1+($C$294+'Inputs'!$H$123/100))^(-1/12))/12*SUMPRODUCT($J$284:$J$333,(1+($C$294+'Inputs'!$H$123/100))^(-$I$284:$I$333))),2))</f>
      </c>
      <c r="I293">
        <v>9</v>
      </c>
      <c r="J293">
        <f>IF(I293&lt;$C$286,MAX(0,12*$C$287*(1+$C$288)^I293-K293),0)</f>
      </c>
      <c r="K293">
        <f>SUMPRODUCT(('Inputs'!$G$76:$G$81=$C$282)*($C$282&lt;&gt;"")*'Inputs'!$D$76:$D$81*(1+'Inputs'!$E$76:$E$81/100)^I293*(ABS('Inputs'!$F$76:$F$81-12*I293)-ABS(('Inputs'!$F$76:$F$81-12*I293)-12)+12)/2)</f>
      </c>
      <c r="L293">
        <f>IF(J293&gt;0,1,0)</f>
      </c>
      <c r="P293">
        <f>IF($C$289&lt;&gt;1,0,P292*(1+((1+$C$294)^(1/12)-1))^12-J292/12*(1+((1+$C$294)^(1/12)-1))*(((1+((1+$C$294)^(1/12)-1))^12-1)/((1+((1+$C$294)^(1/12)-1))-1)))</f>
      </c>
      <c r="Q293">
        <f>IF($C$289&lt;&gt;1,0,IFERROR((((1+($C$294+'Inputs'!$H$123/100))^(1/12)-1)-((1+$C$294)^(1/12)-1))*(P293*(((1+((1+$C$294)^(1/12)-1))^12-1)/((1+((1+$C$294)^(1/12)-1))-1))-J293/12/((1+((1+$C$294)^(1/12)-1))-1)*((1+((1+$C$294)^(1/12)-1))*(((1+((1+$C$294)^(1/12)-1))^12-1)/((1+((1+$C$294)^(1/12)-1))-1))-12)),0))</f>
      </c>
    </row>
    <row r="294" spans="2:17" x14ac:dyDescent="0.25">
      <c r="B294" t="s">
        <v>414</v>
      </c>
      <c r="C294">
        <f>IF($C$289=1,'Needs calc'!$C$78,0)</f>
      </c>
      <c r="I294">
        <v>10</v>
      </c>
      <c r="J294">
        <f>IF(I294&lt;$C$286,MAX(0,12*$C$287*(1+$C$288)^I294-K294),0)</f>
      </c>
      <c r="K294">
        <f>SUMPRODUCT(('Inputs'!$G$76:$G$81=$C$282)*($C$282&lt;&gt;"")*'Inputs'!$D$76:$D$81*(1+'Inputs'!$E$76:$E$81/100)^I294*(ABS('Inputs'!$F$76:$F$81-12*I294)-ABS(('Inputs'!$F$76:$F$81-12*I294)-12)+12)/2)</f>
      </c>
      <c r="L294">
        <f>IF(J294&gt;0,1,0)</f>
      </c>
      <c r="P294">
        <f>IF($C$289&lt;&gt;1,0,P293*(1+((1+$C$294)^(1/12)-1))^12-J293/12*(1+((1+$C$294)^(1/12)-1))*(((1+((1+$C$294)^(1/12)-1))^12-1)/((1+((1+$C$294)^(1/12)-1))-1)))</f>
      </c>
      <c r="Q294">
        <f>IF($C$289&lt;&gt;1,0,IFERROR((((1+($C$294+'Inputs'!$H$123/100))^(1/12)-1)-((1+$C$294)^(1/12)-1))*(P294*(((1+((1+$C$294)^(1/12)-1))^12-1)/((1+((1+$C$294)^(1/12)-1))-1))-J294/12/((1+((1+$C$294)^(1/12)-1))-1)*((1+((1+$C$294)^(1/12)-1))*(((1+((1+$C$294)^(1/12)-1))^12-1)/((1+((1+$C$294)^(1/12)-1))-1))-12)),0))</f>
      </c>
    </row>
    <row r="295" spans="2:17" x14ac:dyDescent="0.25">
      <c r="B295" t="s">
        <v>415</v>
      </c>
      <c r="C295">
        <f>SUMPRODUCT(('Inputs'!$G$76:$G$81=$C$282)*($C$282&lt;&gt;"")*('Inputs'!$F$76:$F$81&gt;0)*'Inputs'!$D$76:$D$81)</f>
      </c>
      <c r="I295">
        <v>11</v>
      </c>
      <c r="J295">
        <f>IF(I295&lt;$C$286,MAX(0,12*$C$287*(1+$C$288)^I295-K295),0)</f>
      </c>
      <c r="K295">
        <f>SUMPRODUCT(('Inputs'!$G$76:$G$81=$C$282)*($C$282&lt;&gt;"")*'Inputs'!$D$76:$D$81*(1+'Inputs'!$E$76:$E$81/100)^I295*(ABS('Inputs'!$F$76:$F$81-12*I295)-ABS(('Inputs'!$F$76:$F$81-12*I295)-12)+12)/2)</f>
      </c>
      <c r="L295">
        <f>IF(J295&gt;0,1,0)</f>
      </c>
      <c r="P295">
        <f>IF($C$289&lt;&gt;1,0,P294*(1+((1+$C$294)^(1/12)-1))^12-J294/12*(1+((1+$C$294)^(1/12)-1))*(((1+((1+$C$294)^(1/12)-1))^12-1)/((1+((1+$C$294)^(1/12)-1))-1)))</f>
      </c>
      <c r="Q295">
        <f>IF($C$289&lt;&gt;1,0,IFERROR((((1+($C$294+'Inputs'!$H$123/100))^(1/12)-1)-((1+$C$294)^(1/12)-1))*(P295*(((1+((1+$C$294)^(1/12)-1))^12-1)/((1+((1+$C$294)^(1/12)-1))-1))-J295/12/((1+((1+$C$294)^(1/12)-1))-1)*((1+((1+$C$294)^(1/12)-1))*(((1+((1+$C$294)^(1/12)-1))^12-1)/((1+((1+$C$294)^(1/12)-1))-1))-12)),0))</f>
      </c>
    </row>
    <row r="296" spans="2:17" x14ac:dyDescent="0.25">
      <c r="B296" t="s">
        <v>416</v>
      </c>
      <c r="C296">
        <f>IF($C$286&gt;0,$C$287-J284/12,0)</f>
      </c>
      <c r="I296">
        <v>12</v>
      </c>
      <c r="J296">
        <f>IF(I296&lt;$C$286,MAX(0,12*$C$287*(1+$C$288)^I296-K296),0)</f>
      </c>
      <c r="K296">
        <f>SUMPRODUCT(('Inputs'!$G$76:$G$81=$C$282)*($C$282&lt;&gt;"")*'Inputs'!$D$76:$D$81*(1+'Inputs'!$E$76:$E$81/100)^I296*(ABS('Inputs'!$F$76:$F$81-12*I296)-ABS(('Inputs'!$F$76:$F$81-12*I296)-12)+12)/2)</f>
      </c>
      <c r="L296">
        <f>IF(J296&gt;0,1,0)</f>
      </c>
      <c r="P296">
        <f>IF($C$289&lt;&gt;1,0,P295*(1+((1+$C$294)^(1/12)-1))^12-J295/12*(1+((1+$C$294)^(1/12)-1))*(((1+((1+$C$294)^(1/12)-1))^12-1)/((1+((1+$C$294)^(1/12)-1))-1)))</f>
      </c>
      <c r="Q296">
        <f>IF($C$289&lt;&gt;1,0,IFERROR((((1+($C$294+'Inputs'!$H$123/100))^(1/12)-1)-((1+$C$294)^(1/12)-1))*(P296*(((1+((1+$C$294)^(1/12)-1))^12-1)/((1+((1+$C$294)^(1/12)-1))-1))-J296/12/((1+((1+$C$294)^(1/12)-1))-1)*((1+((1+$C$294)^(1/12)-1))*(((1+((1+$C$294)^(1/12)-1))^12-1)/((1+((1+$C$294)^(1/12)-1))-1))-12)),0))</f>
      </c>
    </row>
    <row r="297" spans="2:17" x14ac:dyDescent="0.25">
      <c r="B297" t="s">
        <v>417</v>
      </c>
      <c r="C297">
        <f>SUMPRODUCT(MAX(('Inputs'!$G$76:$G$81=$C$282)*($C$282&lt;&gt;"")*'Inputs'!$F$76:$F$81))</f>
      </c>
      <c r="I297">
        <v>13</v>
      </c>
      <c r="J297">
        <f>IF(I297&lt;$C$286,MAX(0,12*$C$287*(1+$C$288)^I297-K297),0)</f>
      </c>
      <c r="K297">
        <f>SUMPRODUCT(('Inputs'!$G$76:$G$81=$C$282)*($C$282&lt;&gt;"")*'Inputs'!$D$76:$D$81*(1+'Inputs'!$E$76:$E$81/100)^I297*(ABS('Inputs'!$F$76:$F$81-12*I297)-ABS(('Inputs'!$F$76:$F$81-12*I297)-12)+12)/2)</f>
      </c>
      <c r="L297">
        <f>IF(J297&gt;0,1,0)</f>
      </c>
      <c r="P297">
        <f>IF($C$289&lt;&gt;1,0,P296*(1+((1+$C$294)^(1/12)-1))^12-J296/12*(1+((1+$C$294)^(1/12)-1))*(((1+((1+$C$294)^(1/12)-1))^12-1)/((1+((1+$C$294)^(1/12)-1))-1)))</f>
      </c>
      <c r="Q297">
        <f>IF($C$289&lt;&gt;1,0,IFERROR((((1+($C$294+'Inputs'!$H$123/100))^(1/12)-1)-((1+$C$294)^(1/12)-1))*(P297*(((1+((1+$C$294)^(1/12)-1))^12-1)/((1+((1+$C$294)^(1/12)-1))-1))-J297/12/((1+((1+$C$294)^(1/12)-1))-1)*((1+((1+$C$294)^(1/12)-1))*(((1+((1+$C$294)^(1/12)-1))^12-1)/((1+((1+$C$294)^(1/12)-1))-1))-12)),0))</f>
      </c>
    </row>
    <row r="298" spans="2:17" x14ac:dyDescent="0.25">
      <c r="B298" t="s">
        <v>418</v>
      </c>
      <c r="C298">
        <f>SUM($J$284:$J$333)</f>
      </c>
      <c r="I298">
        <v>14</v>
      </c>
      <c r="J298">
        <f>IF(I298&lt;$C$286,MAX(0,12*$C$287*(1+$C$288)^I298-K298),0)</f>
      </c>
      <c r="K298">
        <f>SUMPRODUCT(('Inputs'!$G$76:$G$81=$C$282)*($C$282&lt;&gt;"")*'Inputs'!$D$76:$D$81*(1+'Inputs'!$E$76:$E$81/100)^I298*(ABS('Inputs'!$F$76:$F$81-12*I298)-ABS(('Inputs'!$F$76:$F$81-12*I298)-12)+12)/2)</f>
      </c>
      <c r="L298">
        <f>IF(J298&gt;0,1,0)</f>
      </c>
      <c r="P298">
        <f>IF($C$289&lt;&gt;1,0,P297*(1+((1+$C$294)^(1/12)-1))^12-J297/12*(1+((1+$C$294)^(1/12)-1))*(((1+((1+$C$294)^(1/12)-1))^12-1)/((1+((1+$C$294)^(1/12)-1))-1)))</f>
      </c>
      <c r="Q298">
        <f>IF($C$289&lt;&gt;1,0,IFERROR((((1+($C$294+'Inputs'!$H$123/100))^(1/12)-1)-((1+$C$294)^(1/12)-1))*(P298*(((1+((1+$C$294)^(1/12)-1))^12-1)/((1+((1+$C$294)^(1/12)-1))-1))-J298/12/((1+((1+$C$294)^(1/12)-1))-1)*((1+((1+$C$294)^(1/12)-1))*(((1+((1+$C$294)^(1/12)-1))^12-1)/((1+((1+$C$294)^(1/12)-1))-1))-12)),0))</f>
      </c>
    </row>
    <row r="299" spans="2:17" x14ac:dyDescent="0.25">
      <c r="B299" t="s">
        <v>419</v>
      </c>
      <c r="C299">
        <f>IF('Needs calc'!$C$80&gt;0,IF(N('Inputs'!$E$105)&gt;0,IF('Needs years'!$C$295&lt;=0,IF('Needs years'!$C$290&lt;=0,'Inputs'!$B$105&amp;" would have about R "&amp;FIXED(ROUND('Needs calc'!$C$81,-2),0)&amp;" a month of the R "&amp;FIXED(ROUND('Inputs'!$E$105,-2),0)&amp;" you want. ",IF('Needs calc'!$C$75&gt;='Needs years'!$C$290,'Inputs'!$B$105&amp;" would have about R "&amp;FIXED(ROUND('Needs calc'!$C$81,-2),0)&amp;" a month of the R "&amp;FIXED(ROUND('Inputs'!$E$105,-2),0)&amp;" you want, after the R "&amp;FIXED(ROUND('Needs years'!$C$290,-3),0)&amp;" once-off. ",'Inputs'!$B$105&amp;" would have "&amp;IF('Needs calc'!$C$75&lt;=0,"nothing","about R "&amp;FIXED(ROUND('Needs calc'!$C$75,-3),0))&amp;" of the R "&amp;FIXED(ROUND('Needs years'!$C$290,-3),0)&amp;" once-off you want for them, and about R "&amp;FIXED(ROUND('Needs calc'!$C$81,-2),0)&amp;" a month of the R "&amp;FIXED(ROUND('Inputs'!$E$105,-2),0)&amp;". ")),IF('Needs years'!$C$298&lt;=0,IF('Needs years'!$C$290&gt;0,'Inputs'!$B$105&amp;"'s death income covers the R "&amp;FIXED(ROUND('Inputs'!$E$105,-2),0)&amp;" a month you want"&amp;", but "&amp;'Inputs'!$B$105&amp;" would have "&amp;IF('Needs calc'!$C$75&lt;=0,"nothing","about R "&amp;FIXED(ROUND('Needs calc'!$C$75,-3),0))&amp;" of the R "&amp;FIXED(ROUND('Needs years'!$C$290,-3),0)&amp;" once-off you want for them. ",'Inputs'!$B$105&amp;"'s death income covers the R "&amp;FIXED(ROUND('Inputs'!$E$105,-2),0)&amp;" a month you want"&amp;", but the estate duty on it, about R "&amp;FIXED(ROUND('Needs years'!$C$301,-3),0)&amp;", leaves "&amp;'Inputs'!$B$105&amp;" short. "),IF('Needs years'!$J$284&lt;=0,'Inputs'!$B$105&amp;"'s death income covers the R "&amp;FIXED(ROUND('Inputs'!$E$105,-2),0)&amp;" a month you want"&amp;" for "&amp;IF('Needs years'!$C$300=1,"the first year","the first "&amp;'Needs years'!$C$300&amp;" years")&amp;"; after that "&amp;'Inputs'!$B$105&amp;" would be short"&amp;IF(AND('Needs years'!$C$290&gt;0,'Needs calc'!$C$75&lt;'Needs years'!$C$290),", and would have "&amp;IF('Needs calc'!$C$75&lt;=0,"nothing","about R "&amp;FIXED(ROUND('Needs calc'!$C$75,-3),0))&amp;" of the R "&amp;FIXED(ROUND('Needs years'!$C$290,-3),0)&amp;" once-off","")&amp;". ",IF('Needs years'!$C$290&lt;=0,'Inputs'!$B$105&amp;" would have about R "&amp;FIXED(ROUND('Needs calc'!$C$81,-2),0)&amp;" a month of the R "&amp;FIXED(ROUND('Inputs'!$E$105,-2),0)&amp;" you want, part of it from the death income, and less once it stops. ",IF('Needs calc'!$C$75&gt;='Needs years'!$C$290,'Inputs'!$B$105&amp;" would have about R "&amp;FIXED(ROUND('Needs calc'!$C$81,-2),0)&amp;" a month of the R "&amp;FIXED(ROUND('Inputs'!$E$105,-2),0)&amp;" you want, part of it from the death income, and less once it stops, after the R "&amp;FIXED(ROUND('Needs years'!$C$290,-3),0)&amp;" once-off. ",'Inputs'!$B$105&amp;" would have "&amp;IF('Needs calc'!$C$75&lt;=0,"nothing","about R "&amp;FIXED(ROUND('Needs calc'!$C$75,-3),0))&amp;" of the R "&amp;FIXED(ROUND('Needs years'!$C$290,-3),0)&amp;" once-off you want for them, and about R "&amp;FIXED(ROUND('Needs calc'!$C$81,-2),0)&amp;" a month of the R "&amp;FIXED(ROUND('Inputs'!$E$105,-2),0)&amp;", part of it from the death income, and less once it stops. "))))),'Inputs'!$B$105&amp;" would have "&amp;IF('Needs calc'!$C$75&lt;=0,"nothing","about R "&amp;FIXED(ROUND('Needs calc'!$C$75,-3),0))&amp;" of the R "&amp;FIXED(ROUND('Needs years'!$C$290,-3),0)&amp;" you want to leave them. "),"")</f>
      </c>
      <c r="I299">
        <v>15</v>
      </c>
      <c r="J299">
        <f>IF(I299&lt;$C$286,MAX(0,12*$C$287*(1+$C$288)^I299-K299),0)</f>
      </c>
      <c r="K299">
        <f>SUMPRODUCT(('Inputs'!$G$76:$G$81=$C$282)*($C$282&lt;&gt;"")*'Inputs'!$D$76:$D$81*(1+'Inputs'!$E$76:$E$81/100)^I299*(ABS('Inputs'!$F$76:$F$81-12*I299)-ABS(('Inputs'!$F$76:$F$81-12*I299)-12)+12)/2)</f>
      </c>
      <c r="L299">
        <f>IF(J299&gt;0,1,0)</f>
      </c>
      <c r="P299">
        <f>IF($C$289&lt;&gt;1,0,P298*(1+((1+$C$294)^(1/12)-1))^12-J298/12*(1+((1+$C$294)^(1/12)-1))*(((1+((1+$C$294)^(1/12)-1))^12-1)/((1+((1+$C$294)^(1/12)-1))-1)))</f>
      </c>
      <c r="Q299">
        <f>IF($C$289&lt;&gt;1,0,IFERROR((((1+($C$294+'Inputs'!$H$123/100))^(1/12)-1)-((1+$C$294)^(1/12)-1))*(P299*(((1+((1+$C$294)^(1/12)-1))^12-1)/((1+((1+$C$294)^(1/12)-1))-1))-J299/12/((1+((1+$C$294)^(1/12)-1))-1)*((1+((1+$C$294)^(1/12)-1))*(((1+((1+$C$294)^(1/12)-1))^12-1)/((1+((1+$C$294)^(1/12)-1))-1))-12)),0))</f>
      </c>
    </row>
    <row r="300" spans="2:17" x14ac:dyDescent="0.25">
      <c r="B300" t="s">
        <v>420</v>
      </c>
      <c r="C300">
        <f>IFERROR(MATCH(1,$L$284:$L$333,0)-1,$C$286)</f>
      </c>
      <c r="I300">
        <v>16</v>
      </c>
      <c r="J300">
        <f>IF(I300&lt;$C$286,MAX(0,12*$C$287*(1+$C$288)^I300-K300),0)</f>
      </c>
      <c r="K300">
        <f>SUMPRODUCT(('Inputs'!$G$76:$G$81=$C$282)*($C$282&lt;&gt;"")*'Inputs'!$D$76:$D$81*(1+'Inputs'!$E$76:$E$81/100)^I300*(ABS('Inputs'!$F$76:$F$81-12*I300)-ABS(('Inputs'!$F$76:$F$81-12*I300)-12)+12)/2)</f>
      </c>
      <c r="L300">
        <f>IF(J300&gt;0,1,0)</f>
      </c>
      <c r="P300">
        <f>IF($C$289&lt;&gt;1,0,P299*(1+((1+$C$294)^(1/12)-1))^12-J299/12*(1+((1+$C$294)^(1/12)-1))*(((1+((1+$C$294)^(1/12)-1))^12-1)/((1+((1+$C$294)^(1/12)-1))-1)))</f>
      </c>
      <c r="Q300">
        <f>IF($C$289&lt;&gt;1,0,IFERROR((((1+($C$294+'Inputs'!$H$123/100))^(1/12)-1)-((1+$C$294)^(1/12)-1))*(P300*(((1+((1+$C$294)^(1/12)-1))^12-1)/((1+((1+$C$294)^(1/12)-1))-1))-J300/12/((1+((1+$C$294)^(1/12)-1))-1)*((1+((1+$C$294)^(1/12)-1))*(((1+((1+$C$294)^(1/12)-1))^12-1)/((1+((1+$C$294)^(1/12)-1))-1))-12)),0))</f>
      </c>
    </row>
    <row r="301" spans="2:17" x14ac:dyDescent="0.25">
      <c r="B301" t="s">
        <v>421</v>
      </c>
      <c r="C301">
        <f>SUMPRODUCT(('Inputs'!$G$76:$G$81=$C$282)*($C$282&lt;&gt;"")*'Inputs'!$P$76:$P$81)</f>
      </c>
      <c r="I301">
        <v>17</v>
      </c>
      <c r="J301">
        <f>IF(I301&lt;$C$286,MAX(0,12*$C$287*(1+$C$288)^I301-K301),0)</f>
      </c>
      <c r="K301">
        <f>SUMPRODUCT(('Inputs'!$G$76:$G$81=$C$282)*($C$282&lt;&gt;"")*'Inputs'!$D$76:$D$81*(1+'Inputs'!$E$76:$E$81/100)^I301*(ABS('Inputs'!$F$76:$F$81-12*I301)-ABS(('Inputs'!$F$76:$F$81-12*I301)-12)+12)/2)</f>
      </c>
      <c r="L301">
        <f>IF(J301&gt;0,1,0)</f>
      </c>
      <c r="P301">
        <f>IF($C$289&lt;&gt;1,0,P300*(1+((1+$C$294)^(1/12)-1))^12-J300/12*(1+((1+$C$294)^(1/12)-1))*(((1+((1+$C$294)^(1/12)-1))^12-1)/((1+((1+$C$294)^(1/12)-1))-1)))</f>
      </c>
      <c r="Q301">
        <f>IF($C$289&lt;&gt;1,0,IFERROR((((1+($C$294+'Inputs'!$H$123/100))^(1/12)-1)-((1+$C$294)^(1/12)-1))*(P301*(((1+((1+$C$294)^(1/12)-1))^12-1)/((1+((1+$C$294)^(1/12)-1))-1))-J301/12/((1+((1+$C$294)^(1/12)-1))-1)*((1+((1+$C$294)^(1/12)-1))*(((1+((1+$C$294)^(1/12)-1))^12-1)/((1+((1+$C$294)^(1/12)-1))-1))-12)),0))</f>
      </c>
    </row>
    <row r="302" spans="9:17" x14ac:dyDescent="0.25">
      <c r="I302">
        <v>18</v>
      </c>
      <c r="J302">
        <f>IF(I302&lt;$C$286,MAX(0,12*$C$287*(1+$C$288)^I302-K302),0)</f>
      </c>
      <c r="K302">
        <f>SUMPRODUCT(('Inputs'!$G$76:$G$81=$C$282)*($C$282&lt;&gt;"")*'Inputs'!$D$76:$D$81*(1+'Inputs'!$E$76:$E$81/100)^I302*(ABS('Inputs'!$F$76:$F$81-12*I302)-ABS(('Inputs'!$F$76:$F$81-12*I302)-12)+12)/2)</f>
      </c>
      <c r="L302">
        <f>IF(J302&gt;0,1,0)</f>
      </c>
      <c r="P302">
        <f>IF($C$289&lt;&gt;1,0,P301*(1+((1+$C$294)^(1/12)-1))^12-J301/12*(1+((1+$C$294)^(1/12)-1))*(((1+((1+$C$294)^(1/12)-1))^12-1)/((1+((1+$C$294)^(1/12)-1))-1)))</f>
      </c>
      <c r="Q302">
        <f>IF($C$289&lt;&gt;1,0,IFERROR((((1+($C$294+'Inputs'!$H$123/100))^(1/12)-1)-((1+$C$294)^(1/12)-1))*(P302*(((1+((1+$C$294)^(1/12)-1))^12-1)/((1+((1+$C$294)^(1/12)-1))-1))-J302/12/((1+((1+$C$294)^(1/12)-1))-1)*((1+((1+$C$294)^(1/12)-1))*(((1+((1+$C$294)^(1/12)-1))^12-1)/((1+((1+$C$294)^(1/12)-1))-1))-12)),0))</f>
      </c>
    </row>
    <row r="303" spans="9:17" x14ac:dyDescent="0.25">
      <c r="I303">
        <v>19</v>
      </c>
      <c r="J303">
        <f>IF(I303&lt;$C$286,MAX(0,12*$C$287*(1+$C$288)^I303-K303),0)</f>
      </c>
      <c r="K303">
        <f>SUMPRODUCT(('Inputs'!$G$76:$G$81=$C$282)*($C$282&lt;&gt;"")*'Inputs'!$D$76:$D$81*(1+'Inputs'!$E$76:$E$81/100)^I303*(ABS('Inputs'!$F$76:$F$81-12*I303)-ABS(('Inputs'!$F$76:$F$81-12*I303)-12)+12)/2)</f>
      </c>
      <c r="L303">
        <f>IF(J303&gt;0,1,0)</f>
      </c>
      <c r="P303">
        <f>IF($C$289&lt;&gt;1,0,P302*(1+((1+$C$294)^(1/12)-1))^12-J302/12*(1+((1+$C$294)^(1/12)-1))*(((1+((1+$C$294)^(1/12)-1))^12-1)/((1+((1+$C$294)^(1/12)-1))-1)))</f>
      </c>
      <c r="Q303">
        <f>IF($C$289&lt;&gt;1,0,IFERROR((((1+($C$294+'Inputs'!$H$123/100))^(1/12)-1)-((1+$C$294)^(1/12)-1))*(P303*(((1+((1+$C$294)^(1/12)-1))^12-1)/((1+((1+$C$294)^(1/12)-1))-1))-J303/12/((1+((1+$C$294)^(1/12)-1))-1)*((1+((1+$C$294)^(1/12)-1))*(((1+((1+$C$294)^(1/12)-1))^12-1)/((1+((1+$C$294)^(1/12)-1))-1))-12)),0))</f>
      </c>
    </row>
    <row r="304" spans="9:17" x14ac:dyDescent="0.25">
      <c r="I304">
        <v>20</v>
      </c>
      <c r="J304">
        <f>IF(I304&lt;$C$286,MAX(0,12*$C$287*(1+$C$288)^I304-K304),0)</f>
      </c>
      <c r="K304">
        <f>SUMPRODUCT(('Inputs'!$G$76:$G$81=$C$282)*($C$282&lt;&gt;"")*'Inputs'!$D$76:$D$81*(1+'Inputs'!$E$76:$E$81/100)^I304*(ABS('Inputs'!$F$76:$F$81-12*I304)-ABS(('Inputs'!$F$76:$F$81-12*I304)-12)+12)/2)</f>
      </c>
      <c r="L304">
        <f>IF(J304&gt;0,1,0)</f>
      </c>
      <c r="P304">
        <f>IF($C$289&lt;&gt;1,0,P303*(1+((1+$C$294)^(1/12)-1))^12-J303/12*(1+((1+$C$294)^(1/12)-1))*(((1+((1+$C$294)^(1/12)-1))^12-1)/((1+((1+$C$294)^(1/12)-1))-1)))</f>
      </c>
      <c r="Q304">
        <f>IF($C$289&lt;&gt;1,0,IFERROR((((1+($C$294+'Inputs'!$H$123/100))^(1/12)-1)-((1+$C$294)^(1/12)-1))*(P304*(((1+((1+$C$294)^(1/12)-1))^12-1)/((1+((1+$C$294)^(1/12)-1))-1))-J304/12/((1+((1+$C$294)^(1/12)-1))-1)*((1+((1+$C$294)^(1/12)-1))*(((1+((1+$C$294)^(1/12)-1))^12-1)/((1+((1+$C$294)^(1/12)-1))-1))-12)),0))</f>
      </c>
    </row>
    <row r="305" spans="9:17" x14ac:dyDescent="0.25">
      <c r="I305">
        <v>21</v>
      </c>
      <c r="J305">
        <f>IF(I305&lt;$C$286,MAX(0,12*$C$287*(1+$C$288)^I305-K305),0)</f>
      </c>
      <c r="K305">
        <f>SUMPRODUCT(('Inputs'!$G$76:$G$81=$C$282)*($C$282&lt;&gt;"")*'Inputs'!$D$76:$D$81*(1+'Inputs'!$E$76:$E$81/100)^I305*(ABS('Inputs'!$F$76:$F$81-12*I305)-ABS(('Inputs'!$F$76:$F$81-12*I305)-12)+12)/2)</f>
      </c>
      <c r="L305">
        <f>IF(J305&gt;0,1,0)</f>
      </c>
      <c r="P305">
        <f>IF($C$289&lt;&gt;1,0,P304*(1+((1+$C$294)^(1/12)-1))^12-J304/12*(1+((1+$C$294)^(1/12)-1))*(((1+((1+$C$294)^(1/12)-1))^12-1)/((1+((1+$C$294)^(1/12)-1))-1)))</f>
      </c>
      <c r="Q305">
        <f>IF($C$289&lt;&gt;1,0,IFERROR((((1+($C$294+'Inputs'!$H$123/100))^(1/12)-1)-((1+$C$294)^(1/12)-1))*(P305*(((1+((1+$C$294)^(1/12)-1))^12-1)/((1+((1+$C$294)^(1/12)-1))-1))-J305/12/((1+((1+$C$294)^(1/12)-1))-1)*((1+((1+$C$294)^(1/12)-1))*(((1+((1+$C$294)^(1/12)-1))^12-1)/((1+((1+$C$294)^(1/12)-1))-1))-12)),0))</f>
      </c>
    </row>
    <row r="306" spans="9:17" x14ac:dyDescent="0.25">
      <c r="I306">
        <v>22</v>
      </c>
      <c r="J306">
        <f>IF(I306&lt;$C$286,MAX(0,12*$C$287*(1+$C$288)^I306-K306),0)</f>
      </c>
      <c r="K306">
        <f>SUMPRODUCT(('Inputs'!$G$76:$G$81=$C$282)*($C$282&lt;&gt;"")*'Inputs'!$D$76:$D$81*(1+'Inputs'!$E$76:$E$81/100)^I306*(ABS('Inputs'!$F$76:$F$81-12*I306)-ABS(('Inputs'!$F$76:$F$81-12*I306)-12)+12)/2)</f>
      </c>
      <c r="L306">
        <f>IF(J306&gt;0,1,0)</f>
      </c>
      <c r="P306">
        <f>IF($C$289&lt;&gt;1,0,P305*(1+((1+$C$294)^(1/12)-1))^12-J305/12*(1+((1+$C$294)^(1/12)-1))*(((1+((1+$C$294)^(1/12)-1))^12-1)/((1+((1+$C$294)^(1/12)-1))-1)))</f>
      </c>
      <c r="Q306">
        <f>IF($C$289&lt;&gt;1,0,IFERROR((((1+($C$294+'Inputs'!$H$123/100))^(1/12)-1)-((1+$C$294)^(1/12)-1))*(P306*(((1+((1+$C$294)^(1/12)-1))^12-1)/((1+((1+$C$294)^(1/12)-1))-1))-J306/12/((1+((1+$C$294)^(1/12)-1))-1)*((1+((1+$C$294)^(1/12)-1))*(((1+((1+$C$294)^(1/12)-1))^12-1)/((1+((1+$C$294)^(1/12)-1))-1))-12)),0))</f>
      </c>
    </row>
    <row r="307" spans="9:17" x14ac:dyDescent="0.25">
      <c r="I307">
        <v>23</v>
      </c>
      <c r="J307">
        <f>IF(I307&lt;$C$286,MAX(0,12*$C$287*(1+$C$288)^I307-K307),0)</f>
      </c>
      <c r="K307">
        <f>SUMPRODUCT(('Inputs'!$G$76:$G$81=$C$282)*($C$282&lt;&gt;"")*'Inputs'!$D$76:$D$81*(1+'Inputs'!$E$76:$E$81/100)^I307*(ABS('Inputs'!$F$76:$F$81-12*I307)-ABS(('Inputs'!$F$76:$F$81-12*I307)-12)+12)/2)</f>
      </c>
      <c r="L307">
        <f>IF(J307&gt;0,1,0)</f>
      </c>
      <c r="P307">
        <f>IF($C$289&lt;&gt;1,0,P306*(1+((1+$C$294)^(1/12)-1))^12-J306/12*(1+((1+$C$294)^(1/12)-1))*(((1+((1+$C$294)^(1/12)-1))^12-1)/((1+((1+$C$294)^(1/12)-1))-1)))</f>
      </c>
      <c r="Q307">
        <f>IF($C$289&lt;&gt;1,0,IFERROR((((1+($C$294+'Inputs'!$H$123/100))^(1/12)-1)-((1+$C$294)^(1/12)-1))*(P307*(((1+((1+$C$294)^(1/12)-1))^12-1)/((1+((1+$C$294)^(1/12)-1))-1))-J307/12/((1+((1+$C$294)^(1/12)-1))-1)*((1+((1+$C$294)^(1/12)-1))*(((1+((1+$C$294)^(1/12)-1))^12-1)/((1+((1+$C$294)^(1/12)-1))-1))-12)),0))</f>
      </c>
    </row>
    <row r="308" spans="9:17" x14ac:dyDescent="0.25">
      <c r="I308">
        <v>24</v>
      </c>
      <c r="J308">
        <f>IF(I308&lt;$C$286,MAX(0,12*$C$287*(1+$C$288)^I308-K308),0)</f>
      </c>
      <c r="K308">
        <f>SUMPRODUCT(('Inputs'!$G$76:$G$81=$C$282)*($C$282&lt;&gt;"")*'Inputs'!$D$76:$D$81*(1+'Inputs'!$E$76:$E$81/100)^I308*(ABS('Inputs'!$F$76:$F$81-12*I308)-ABS(('Inputs'!$F$76:$F$81-12*I308)-12)+12)/2)</f>
      </c>
      <c r="L308">
        <f>IF(J308&gt;0,1,0)</f>
      </c>
      <c r="P308">
        <f>IF($C$289&lt;&gt;1,0,P307*(1+((1+$C$294)^(1/12)-1))^12-J307/12*(1+((1+$C$294)^(1/12)-1))*(((1+((1+$C$294)^(1/12)-1))^12-1)/((1+((1+$C$294)^(1/12)-1))-1)))</f>
      </c>
      <c r="Q308">
        <f>IF($C$289&lt;&gt;1,0,IFERROR((((1+($C$294+'Inputs'!$H$123/100))^(1/12)-1)-((1+$C$294)^(1/12)-1))*(P308*(((1+((1+$C$294)^(1/12)-1))^12-1)/((1+((1+$C$294)^(1/12)-1))-1))-J308/12/((1+((1+$C$294)^(1/12)-1))-1)*((1+((1+$C$294)^(1/12)-1))*(((1+((1+$C$294)^(1/12)-1))^12-1)/((1+((1+$C$294)^(1/12)-1))-1))-12)),0))</f>
      </c>
    </row>
    <row r="309" spans="9:17" x14ac:dyDescent="0.25">
      <c r="I309">
        <v>25</v>
      </c>
      <c r="J309">
        <f>IF(I309&lt;$C$286,MAX(0,12*$C$287*(1+$C$288)^I309-K309),0)</f>
      </c>
      <c r="K309">
        <f>SUMPRODUCT(('Inputs'!$G$76:$G$81=$C$282)*($C$282&lt;&gt;"")*'Inputs'!$D$76:$D$81*(1+'Inputs'!$E$76:$E$81/100)^I309*(ABS('Inputs'!$F$76:$F$81-12*I309)-ABS(('Inputs'!$F$76:$F$81-12*I309)-12)+12)/2)</f>
      </c>
      <c r="L309">
        <f>IF(J309&gt;0,1,0)</f>
      </c>
      <c r="P309">
        <f>IF($C$289&lt;&gt;1,0,P308*(1+((1+$C$294)^(1/12)-1))^12-J308/12*(1+((1+$C$294)^(1/12)-1))*(((1+((1+$C$294)^(1/12)-1))^12-1)/((1+((1+$C$294)^(1/12)-1))-1)))</f>
      </c>
      <c r="Q309">
        <f>IF($C$289&lt;&gt;1,0,IFERROR((((1+($C$294+'Inputs'!$H$123/100))^(1/12)-1)-((1+$C$294)^(1/12)-1))*(P309*(((1+((1+$C$294)^(1/12)-1))^12-1)/((1+((1+$C$294)^(1/12)-1))-1))-J309/12/((1+((1+$C$294)^(1/12)-1))-1)*((1+((1+$C$294)^(1/12)-1))*(((1+((1+$C$294)^(1/12)-1))^12-1)/((1+((1+$C$294)^(1/12)-1))-1))-12)),0))</f>
      </c>
    </row>
    <row r="310" spans="9:17" x14ac:dyDescent="0.25">
      <c r="I310">
        <v>26</v>
      </c>
      <c r="J310">
        <f>IF(I310&lt;$C$286,MAX(0,12*$C$287*(1+$C$288)^I310-K310),0)</f>
      </c>
      <c r="K310">
        <f>SUMPRODUCT(('Inputs'!$G$76:$G$81=$C$282)*($C$282&lt;&gt;"")*'Inputs'!$D$76:$D$81*(1+'Inputs'!$E$76:$E$81/100)^I310*(ABS('Inputs'!$F$76:$F$81-12*I310)-ABS(('Inputs'!$F$76:$F$81-12*I310)-12)+12)/2)</f>
      </c>
      <c r="L310">
        <f>IF(J310&gt;0,1,0)</f>
      </c>
      <c r="P310">
        <f>IF($C$289&lt;&gt;1,0,P309*(1+((1+$C$294)^(1/12)-1))^12-J309/12*(1+((1+$C$294)^(1/12)-1))*(((1+((1+$C$294)^(1/12)-1))^12-1)/((1+((1+$C$294)^(1/12)-1))-1)))</f>
      </c>
      <c r="Q310">
        <f>IF($C$289&lt;&gt;1,0,IFERROR((((1+($C$294+'Inputs'!$H$123/100))^(1/12)-1)-((1+$C$294)^(1/12)-1))*(P310*(((1+((1+$C$294)^(1/12)-1))^12-1)/((1+((1+$C$294)^(1/12)-1))-1))-J310/12/((1+((1+$C$294)^(1/12)-1))-1)*((1+((1+$C$294)^(1/12)-1))*(((1+((1+$C$294)^(1/12)-1))^12-1)/((1+((1+$C$294)^(1/12)-1))-1))-12)),0))</f>
      </c>
    </row>
    <row r="311" spans="9:17" x14ac:dyDescent="0.25">
      <c r="I311">
        <v>27</v>
      </c>
      <c r="J311">
        <f>IF(I311&lt;$C$286,MAX(0,12*$C$287*(1+$C$288)^I311-K311),0)</f>
      </c>
      <c r="K311">
        <f>SUMPRODUCT(('Inputs'!$G$76:$G$81=$C$282)*($C$282&lt;&gt;"")*'Inputs'!$D$76:$D$81*(1+'Inputs'!$E$76:$E$81/100)^I311*(ABS('Inputs'!$F$76:$F$81-12*I311)-ABS(('Inputs'!$F$76:$F$81-12*I311)-12)+12)/2)</f>
      </c>
      <c r="L311">
        <f>IF(J311&gt;0,1,0)</f>
      </c>
      <c r="P311">
        <f>IF($C$289&lt;&gt;1,0,P310*(1+((1+$C$294)^(1/12)-1))^12-J310/12*(1+((1+$C$294)^(1/12)-1))*(((1+((1+$C$294)^(1/12)-1))^12-1)/((1+((1+$C$294)^(1/12)-1))-1)))</f>
      </c>
      <c r="Q311">
        <f>IF($C$289&lt;&gt;1,0,IFERROR((((1+($C$294+'Inputs'!$H$123/100))^(1/12)-1)-((1+$C$294)^(1/12)-1))*(P311*(((1+((1+$C$294)^(1/12)-1))^12-1)/((1+((1+$C$294)^(1/12)-1))-1))-J311/12/((1+((1+$C$294)^(1/12)-1))-1)*((1+((1+$C$294)^(1/12)-1))*(((1+((1+$C$294)^(1/12)-1))^12-1)/((1+((1+$C$294)^(1/12)-1))-1))-12)),0))</f>
      </c>
    </row>
    <row r="312" spans="9:17" x14ac:dyDescent="0.25">
      <c r="I312">
        <v>28</v>
      </c>
      <c r="J312">
        <f>IF(I312&lt;$C$286,MAX(0,12*$C$287*(1+$C$288)^I312-K312),0)</f>
      </c>
      <c r="K312">
        <f>SUMPRODUCT(('Inputs'!$G$76:$G$81=$C$282)*($C$282&lt;&gt;"")*'Inputs'!$D$76:$D$81*(1+'Inputs'!$E$76:$E$81/100)^I312*(ABS('Inputs'!$F$76:$F$81-12*I312)-ABS(('Inputs'!$F$76:$F$81-12*I312)-12)+12)/2)</f>
      </c>
      <c r="L312">
        <f>IF(J312&gt;0,1,0)</f>
      </c>
      <c r="P312">
        <f>IF($C$289&lt;&gt;1,0,P311*(1+((1+$C$294)^(1/12)-1))^12-J311/12*(1+((1+$C$294)^(1/12)-1))*(((1+((1+$C$294)^(1/12)-1))^12-1)/((1+((1+$C$294)^(1/12)-1))-1)))</f>
      </c>
      <c r="Q312">
        <f>IF($C$289&lt;&gt;1,0,IFERROR((((1+($C$294+'Inputs'!$H$123/100))^(1/12)-1)-((1+$C$294)^(1/12)-1))*(P312*(((1+((1+$C$294)^(1/12)-1))^12-1)/((1+((1+$C$294)^(1/12)-1))-1))-J312/12/((1+((1+$C$294)^(1/12)-1))-1)*((1+((1+$C$294)^(1/12)-1))*(((1+((1+$C$294)^(1/12)-1))^12-1)/((1+((1+$C$294)^(1/12)-1))-1))-12)),0))</f>
      </c>
    </row>
    <row r="313" spans="9:17" x14ac:dyDescent="0.25">
      <c r="I313">
        <v>29</v>
      </c>
      <c r="J313">
        <f>IF(I313&lt;$C$286,MAX(0,12*$C$287*(1+$C$288)^I313-K313),0)</f>
      </c>
      <c r="K313">
        <f>SUMPRODUCT(('Inputs'!$G$76:$G$81=$C$282)*($C$282&lt;&gt;"")*'Inputs'!$D$76:$D$81*(1+'Inputs'!$E$76:$E$81/100)^I313*(ABS('Inputs'!$F$76:$F$81-12*I313)-ABS(('Inputs'!$F$76:$F$81-12*I313)-12)+12)/2)</f>
      </c>
      <c r="L313">
        <f>IF(J313&gt;0,1,0)</f>
      </c>
      <c r="P313">
        <f>IF($C$289&lt;&gt;1,0,P312*(1+((1+$C$294)^(1/12)-1))^12-J312/12*(1+((1+$C$294)^(1/12)-1))*(((1+((1+$C$294)^(1/12)-1))^12-1)/((1+((1+$C$294)^(1/12)-1))-1)))</f>
      </c>
      <c r="Q313">
        <f>IF($C$289&lt;&gt;1,0,IFERROR((((1+($C$294+'Inputs'!$H$123/100))^(1/12)-1)-((1+$C$294)^(1/12)-1))*(P313*(((1+((1+$C$294)^(1/12)-1))^12-1)/((1+((1+$C$294)^(1/12)-1))-1))-J313/12/((1+((1+$C$294)^(1/12)-1))-1)*((1+((1+$C$294)^(1/12)-1))*(((1+((1+$C$294)^(1/12)-1))^12-1)/((1+((1+$C$294)^(1/12)-1))-1))-12)),0))</f>
      </c>
    </row>
    <row r="314" spans="9:17" x14ac:dyDescent="0.25">
      <c r="I314">
        <v>30</v>
      </c>
      <c r="J314">
        <f>IF(I314&lt;$C$286,MAX(0,12*$C$287*(1+$C$288)^I314-K314),0)</f>
      </c>
      <c r="K314">
        <f>SUMPRODUCT(('Inputs'!$G$76:$G$81=$C$282)*($C$282&lt;&gt;"")*'Inputs'!$D$76:$D$81*(1+'Inputs'!$E$76:$E$81/100)^I314*(ABS('Inputs'!$F$76:$F$81-12*I314)-ABS(('Inputs'!$F$76:$F$81-12*I314)-12)+12)/2)</f>
      </c>
      <c r="L314">
        <f>IF(J314&gt;0,1,0)</f>
      </c>
      <c r="P314">
        <f>IF($C$289&lt;&gt;1,0,P313*(1+((1+$C$294)^(1/12)-1))^12-J313/12*(1+((1+$C$294)^(1/12)-1))*(((1+((1+$C$294)^(1/12)-1))^12-1)/((1+((1+$C$294)^(1/12)-1))-1)))</f>
      </c>
      <c r="Q314">
        <f>IF($C$289&lt;&gt;1,0,IFERROR((((1+($C$294+'Inputs'!$H$123/100))^(1/12)-1)-((1+$C$294)^(1/12)-1))*(P314*(((1+((1+$C$294)^(1/12)-1))^12-1)/((1+((1+$C$294)^(1/12)-1))-1))-J314/12/((1+((1+$C$294)^(1/12)-1))-1)*((1+((1+$C$294)^(1/12)-1))*(((1+((1+$C$294)^(1/12)-1))^12-1)/((1+((1+$C$294)^(1/12)-1))-1))-12)),0))</f>
      </c>
    </row>
    <row r="315" spans="9:17" x14ac:dyDescent="0.25">
      <c r="I315">
        <v>31</v>
      </c>
      <c r="J315">
        <f>IF(I315&lt;$C$286,MAX(0,12*$C$287*(1+$C$288)^I315-K315),0)</f>
      </c>
      <c r="K315">
        <f>SUMPRODUCT(('Inputs'!$G$76:$G$81=$C$282)*($C$282&lt;&gt;"")*'Inputs'!$D$76:$D$81*(1+'Inputs'!$E$76:$E$81/100)^I315*(ABS('Inputs'!$F$76:$F$81-12*I315)-ABS(('Inputs'!$F$76:$F$81-12*I315)-12)+12)/2)</f>
      </c>
      <c r="L315">
        <f>IF(J315&gt;0,1,0)</f>
      </c>
      <c r="P315">
        <f>IF($C$289&lt;&gt;1,0,P314*(1+((1+$C$294)^(1/12)-1))^12-J314/12*(1+((1+$C$294)^(1/12)-1))*(((1+((1+$C$294)^(1/12)-1))^12-1)/((1+((1+$C$294)^(1/12)-1))-1)))</f>
      </c>
      <c r="Q315">
        <f>IF($C$289&lt;&gt;1,0,IFERROR((((1+($C$294+'Inputs'!$H$123/100))^(1/12)-1)-((1+$C$294)^(1/12)-1))*(P315*(((1+((1+$C$294)^(1/12)-1))^12-1)/((1+((1+$C$294)^(1/12)-1))-1))-J315/12/((1+((1+$C$294)^(1/12)-1))-1)*((1+((1+$C$294)^(1/12)-1))*(((1+((1+$C$294)^(1/12)-1))^12-1)/((1+((1+$C$294)^(1/12)-1))-1))-12)),0))</f>
      </c>
    </row>
    <row r="316" spans="9:17" x14ac:dyDescent="0.25">
      <c r="I316">
        <v>32</v>
      </c>
      <c r="J316">
        <f>IF(I316&lt;$C$286,MAX(0,12*$C$287*(1+$C$288)^I316-K316),0)</f>
      </c>
      <c r="K316">
        <f>SUMPRODUCT(('Inputs'!$G$76:$G$81=$C$282)*($C$282&lt;&gt;"")*'Inputs'!$D$76:$D$81*(1+'Inputs'!$E$76:$E$81/100)^I316*(ABS('Inputs'!$F$76:$F$81-12*I316)-ABS(('Inputs'!$F$76:$F$81-12*I316)-12)+12)/2)</f>
      </c>
      <c r="L316">
        <f>IF(J316&gt;0,1,0)</f>
      </c>
      <c r="P316">
        <f>IF($C$289&lt;&gt;1,0,P315*(1+((1+$C$294)^(1/12)-1))^12-J315/12*(1+((1+$C$294)^(1/12)-1))*(((1+((1+$C$294)^(1/12)-1))^12-1)/((1+((1+$C$294)^(1/12)-1))-1)))</f>
      </c>
      <c r="Q316">
        <f>IF($C$289&lt;&gt;1,0,IFERROR((((1+($C$294+'Inputs'!$H$123/100))^(1/12)-1)-((1+$C$294)^(1/12)-1))*(P316*(((1+((1+$C$294)^(1/12)-1))^12-1)/((1+((1+$C$294)^(1/12)-1))-1))-J316/12/((1+((1+$C$294)^(1/12)-1))-1)*((1+((1+$C$294)^(1/12)-1))*(((1+((1+$C$294)^(1/12)-1))^12-1)/((1+((1+$C$294)^(1/12)-1))-1))-12)),0))</f>
      </c>
    </row>
    <row r="317" spans="9:17" x14ac:dyDescent="0.25">
      <c r="I317">
        <v>33</v>
      </c>
      <c r="J317">
        <f>IF(I317&lt;$C$286,MAX(0,12*$C$287*(1+$C$288)^I317-K317),0)</f>
      </c>
      <c r="K317">
        <f>SUMPRODUCT(('Inputs'!$G$76:$G$81=$C$282)*($C$282&lt;&gt;"")*'Inputs'!$D$76:$D$81*(1+'Inputs'!$E$76:$E$81/100)^I317*(ABS('Inputs'!$F$76:$F$81-12*I317)-ABS(('Inputs'!$F$76:$F$81-12*I317)-12)+12)/2)</f>
      </c>
      <c r="L317">
        <f>IF(J317&gt;0,1,0)</f>
      </c>
      <c r="P317">
        <f>IF($C$289&lt;&gt;1,0,P316*(1+((1+$C$294)^(1/12)-1))^12-J316/12*(1+((1+$C$294)^(1/12)-1))*(((1+((1+$C$294)^(1/12)-1))^12-1)/((1+((1+$C$294)^(1/12)-1))-1)))</f>
      </c>
      <c r="Q317">
        <f>IF($C$289&lt;&gt;1,0,IFERROR((((1+($C$294+'Inputs'!$H$123/100))^(1/12)-1)-((1+$C$294)^(1/12)-1))*(P317*(((1+((1+$C$294)^(1/12)-1))^12-1)/((1+((1+$C$294)^(1/12)-1))-1))-J317/12/((1+((1+$C$294)^(1/12)-1))-1)*((1+((1+$C$294)^(1/12)-1))*(((1+((1+$C$294)^(1/12)-1))^12-1)/((1+((1+$C$294)^(1/12)-1))-1))-12)),0))</f>
      </c>
    </row>
    <row r="318" spans="9:17" x14ac:dyDescent="0.25">
      <c r="I318">
        <v>34</v>
      </c>
      <c r="J318">
        <f>IF(I318&lt;$C$286,MAX(0,12*$C$287*(1+$C$288)^I318-K318),0)</f>
      </c>
      <c r="K318">
        <f>SUMPRODUCT(('Inputs'!$G$76:$G$81=$C$282)*($C$282&lt;&gt;"")*'Inputs'!$D$76:$D$81*(1+'Inputs'!$E$76:$E$81/100)^I318*(ABS('Inputs'!$F$76:$F$81-12*I318)-ABS(('Inputs'!$F$76:$F$81-12*I318)-12)+12)/2)</f>
      </c>
      <c r="L318">
        <f>IF(J318&gt;0,1,0)</f>
      </c>
      <c r="P318">
        <f>IF($C$289&lt;&gt;1,0,P317*(1+((1+$C$294)^(1/12)-1))^12-J317/12*(1+((1+$C$294)^(1/12)-1))*(((1+((1+$C$294)^(1/12)-1))^12-1)/((1+((1+$C$294)^(1/12)-1))-1)))</f>
      </c>
      <c r="Q318">
        <f>IF($C$289&lt;&gt;1,0,IFERROR((((1+($C$294+'Inputs'!$H$123/100))^(1/12)-1)-((1+$C$294)^(1/12)-1))*(P318*(((1+((1+$C$294)^(1/12)-1))^12-1)/((1+((1+$C$294)^(1/12)-1))-1))-J318/12/((1+((1+$C$294)^(1/12)-1))-1)*((1+((1+$C$294)^(1/12)-1))*(((1+((1+$C$294)^(1/12)-1))^12-1)/((1+((1+$C$294)^(1/12)-1))-1))-12)),0))</f>
      </c>
    </row>
    <row r="319" spans="9:17" x14ac:dyDescent="0.25">
      <c r="I319">
        <v>35</v>
      </c>
      <c r="J319">
        <f>IF(I319&lt;$C$286,MAX(0,12*$C$287*(1+$C$288)^I319-K319),0)</f>
      </c>
      <c r="K319">
        <f>SUMPRODUCT(('Inputs'!$G$76:$G$81=$C$282)*($C$282&lt;&gt;"")*'Inputs'!$D$76:$D$81*(1+'Inputs'!$E$76:$E$81/100)^I319*(ABS('Inputs'!$F$76:$F$81-12*I319)-ABS(('Inputs'!$F$76:$F$81-12*I319)-12)+12)/2)</f>
      </c>
      <c r="L319">
        <f>IF(J319&gt;0,1,0)</f>
      </c>
      <c r="P319">
        <f>IF($C$289&lt;&gt;1,0,P318*(1+((1+$C$294)^(1/12)-1))^12-J318/12*(1+((1+$C$294)^(1/12)-1))*(((1+((1+$C$294)^(1/12)-1))^12-1)/((1+((1+$C$294)^(1/12)-1))-1)))</f>
      </c>
      <c r="Q319">
        <f>IF($C$289&lt;&gt;1,0,IFERROR((((1+($C$294+'Inputs'!$H$123/100))^(1/12)-1)-((1+$C$294)^(1/12)-1))*(P319*(((1+((1+$C$294)^(1/12)-1))^12-1)/((1+((1+$C$294)^(1/12)-1))-1))-J319/12/((1+((1+$C$294)^(1/12)-1))-1)*((1+((1+$C$294)^(1/12)-1))*(((1+((1+$C$294)^(1/12)-1))^12-1)/((1+((1+$C$294)^(1/12)-1))-1))-12)),0))</f>
      </c>
    </row>
    <row r="320" spans="9:17" x14ac:dyDescent="0.25">
      <c r="I320">
        <v>36</v>
      </c>
      <c r="J320">
        <f>IF(I320&lt;$C$286,MAX(0,12*$C$287*(1+$C$288)^I320-K320),0)</f>
      </c>
      <c r="K320">
        <f>SUMPRODUCT(('Inputs'!$G$76:$G$81=$C$282)*($C$282&lt;&gt;"")*'Inputs'!$D$76:$D$81*(1+'Inputs'!$E$76:$E$81/100)^I320*(ABS('Inputs'!$F$76:$F$81-12*I320)-ABS(('Inputs'!$F$76:$F$81-12*I320)-12)+12)/2)</f>
      </c>
      <c r="L320">
        <f>IF(J320&gt;0,1,0)</f>
      </c>
      <c r="P320">
        <f>IF($C$289&lt;&gt;1,0,P319*(1+((1+$C$294)^(1/12)-1))^12-J319/12*(1+((1+$C$294)^(1/12)-1))*(((1+((1+$C$294)^(1/12)-1))^12-1)/((1+((1+$C$294)^(1/12)-1))-1)))</f>
      </c>
      <c r="Q320">
        <f>IF($C$289&lt;&gt;1,0,IFERROR((((1+($C$294+'Inputs'!$H$123/100))^(1/12)-1)-((1+$C$294)^(1/12)-1))*(P320*(((1+((1+$C$294)^(1/12)-1))^12-1)/((1+((1+$C$294)^(1/12)-1))-1))-J320/12/((1+((1+$C$294)^(1/12)-1))-1)*((1+((1+$C$294)^(1/12)-1))*(((1+((1+$C$294)^(1/12)-1))^12-1)/((1+((1+$C$294)^(1/12)-1))-1))-12)),0))</f>
      </c>
    </row>
    <row r="321" spans="9:17" x14ac:dyDescent="0.25">
      <c r="I321">
        <v>37</v>
      </c>
      <c r="J321">
        <f>IF(I321&lt;$C$286,MAX(0,12*$C$287*(1+$C$288)^I321-K321),0)</f>
      </c>
      <c r="K321">
        <f>SUMPRODUCT(('Inputs'!$G$76:$G$81=$C$282)*($C$282&lt;&gt;"")*'Inputs'!$D$76:$D$81*(1+'Inputs'!$E$76:$E$81/100)^I321*(ABS('Inputs'!$F$76:$F$81-12*I321)-ABS(('Inputs'!$F$76:$F$81-12*I321)-12)+12)/2)</f>
      </c>
      <c r="L321">
        <f>IF(J321&gt;0,1,0)</f>
      </c>
      <c r="P321">
        <f>IF($C$289&lt;&gt;1,0,P320*(1+((1+$C$294)^(1/12)-1))^12-J320/12*(1+((1+$C$294)^(1/12)-1))*(((1+((1+$C$294)^(1/12)-1))^12-1)/((1+((1+$C$294)^(1/12)-1))-1)))</f>
      </c>
      <c r="Q321">
        <f>IF($C$289&lt;&gt;1,0,IFERROR((((1+($C$294+'Inputs'!$H$123/100))^(1/12)-1)-((1+$C$294)^(1/12)-1))*(P321*(((1+((1+$C$294)^(1/12)-1))^12-1)/((1+((1+$C$294)^(1/12)-1))-1))-J321/12/((1+((1+$C$294)^(1/12)-1))-1)*((1+((1+$C$294)^(1/12)-1))*(((1+((1+$C$294)^(1/12)-1))^12-1)/((1+((1+$C$294)^(1/12)-1))-1))-12)),0))</f>
      </c>
    </row>
    <row r="322" spans="9:17" x14ac:dyDescent="0.25">
      <c r="I322">
        <v>38</v>
      </c>
      <c r="J322">
        <f>IF(I322&lt;$C$286,MAX(0,12*$C$287*(1+$C$288)^I322-K322),0)</f>
      </c>
      <c r="K322">
        <f>SUMPRODUCT(('Inputs'!$G$76:$G$81=$C$282)*($C$282&lt;&gt;"")*'Inputs'!$D$76:$D$81*(1+'Inputs'!$E$76:$E$81/100)^I322*(ABS('Inputs'!$F$76:$F$81-12*I322)-ABS(('Inputs'!$F$76:$F$81-12*I322)-12)+12)/2)</f>
      </c>
      <c r="L322">
        <f>IF(J322&gt;0,1,0)</f>
      </c>
      <c r="P322">
        <f>IF($C$289&lt;&gt;1,0,P321*(1+((1+$C$294)^(1/12)-1))^12-J321/12*(1+((1+$C$294)^(1/12)-1))*(((1+((1+$C$294)^(1/12)-1))^12-1)/((1+((1+$C$294)^(1/12)-1))-1)))</f>
      </c>
      <c r="Q322">
        <f>IF($C$289&lt;&gt;1,0,IFERROR((((1+($C$294+'Inputs'!$H$123/100))^(1/12)-1)-((1+$C$294)^(1/12)-1))*(P322*(((1+((1+$C$294)^(1/12)-1))^12-1)/((1+((1+$C$294)^(1/12)-1))-1))-J322/12/((1+((1+$C$294)^(1/12)-1))-1)*((1+((1+$C$294)^(1/12)-1))*(((1+((1+$C$294)^(1/12)-1))^12-1)/((1+((1+$C$294)^(1/12)-1))-1))-12)),0))</f>
      </c>
    </row>
    <row r="323" spans="9:17" x14ac:dyDescent="0.25">
      <c r="I323">
        <v>39</v>
      </c>
      <c r="J323">
        <f>IF(I323&lt;$C$286,MAX(0,12*$C$287*(1+$C$288)^I323-K323),0)</f>
      </c>
      <c r="K323">
        <f>SUMPRODUCT(('Inputs'!$G$76:$G$81=$C$282)*($C$282&lt;&gt;"")*'Inputs'!$D$76:$D$81*(1+'Inputs'!$E$76:$E$81/100)^I323*(ABS('Inputs'!$F$76:$F$81-12*I323)-ABS(('Inputs'!$F$76:$F$81-12*I323)-12)+12)/2)</f>
      </c>
      <c r="L323">
        <f>IF(J323&gt;0,1,0)</f>
      </c>
      <c r="P323">
        <f>IF($C$289&lt;&gt;1,0,P322*(1+((1+$C$294)^(1/12)-1))^12-J322/12*(1+((1+$C$294)^(1/12)-1))*(((1+((1+$C$294)^(1/12)-1))^12-1)/((1+((1+$C$294)^(1/12)-1))-1)))</f>
      </c>
      <c r="Q323">
        <f>IF($C$289&lt;&gt;1,0,IFERROR((((1+($C$294+'Inputs'!$H$123/100))^(1/12)-1)-((1+$C$294)^(1/12)-1))*(P323*(((1+((1+$C$294)^(1/12)-1))^12-1)/((1+((1+$C$294)^(1/12)-1))-1))-J323/12/((1+((1+$C$294)^(1/12)-1))-1)*((1+((1+$C$294)^(1/12)-1))*(((1+((1+$C$294)^(1/12)-1))^12-1)/((1+((1+$C$294)^(1/12)-1))-1))-12)),0))</f>
      </c>
    </row>
    <row r="324" spans="9:17" x14ac:dyDescent="0.25">
      <c r="I324">
        <v>40</v>
      </c>
      <c r="J324">
        <f>IF(I324&lt;$C$286,MAX(0,12*$C$287*(1+$C$288)^I324-K324),0)</f>
      </c>
      <c r="K324">
        <f>SUMPRODUCT(('Inputs'!$G$76:$G$81=$C$282)*($C$282&lt;&gt;"")*'Inputs'!$D$76:$D$81*(1+'Inputs'!$E$76:$E$81/100)^I324*(ABS('Inputs'!$F$76:$F$81-12*I324)-ABS(('Inputs'!$F$76:$F$81-12*I324)-12)+12)/2)</f>
      </c>
      <c r="L324">
        <f>IF(J324&gt;0,1,0)</f>
      </c>
      <c r="P324">
        <f>IF($C$289&lt;&gt;1,0,P323*(1+((1+$C$294)^(1/12)-1))^12-J323/12*(1+((1+$C$294)^(1/12)-1))*(((1+((1+$C$294)^(1/12)-1))^12-1)/((1+((1+$C$294)^(1/12)-1))-1)))</f>
      </c>
      <c r="Q324">
        <f>IF($C$289&lt;&gt;1,0,IFERROR((((1+($C$294+'Inputs'!$H$123/100))^(1/12)-1)-((1+$C$294)^(1/12)-1))*(P324*(((1+((1+$C$294)^(1/12)-1))^12-1)/((1+((1+$C$294)^(1/12)-1))-1))-J324/12/((1+((1+$C$294)^(1/12)-1))-1)*((1+((1+$C$294)^(1/12)-1))*(((1+((1+$C$294)^(1/12)-1))^12-1)/((1+((1+$C$294)^(1/12)-1))-1))-12)),0))</f>
      </c>
    </row>
    <row r="325" spans="9:17" x14ac:dyDescent="0.25">
      <c r="I325">
        <v>41</v>
      </c>
      <c r="J325">
        <f>IF(I325&lt;$C$286,MAX(0,12*$C$287*(1+$C$288)^I325-K325),0)</f>
      </c>
      <c r="K325">
        <f>SUMPRODUCT(('Inputs'!$G$76:$G$81=$C$282)*($C$282&lt;&gt;"")*'Inputs'!$D$76:$D$81*(1+'Inputs'!$E$76:$E$81/100)^I325*(ABS('Inputs'!$F$76:$F$81-12*I325)-ABS(('Inputs'!$F$76:$F$81-12*I325)-12)+12)/2)</f>
      </c>
      <c r="L325">
        <f>IF(J325&gt;0,1,0)</f>
      </c>
      <c r="P325">
        <f>IF($C$289&lt;&gt;1,0,P324*(1+((1+$C$294)^(1/12)-1))^12-J324/12*(1+((1+$C$294)^(1/12)-1))*(((1+((1+$C$294)^(1/12)-1))^12-1)/((1+((1+$C$294)^(1/12)-1))-1)))</f>
      </c>
      <c r="Q325">
        <f>IF($C$289&lt;&gt;1,0,IFERROR((((1+($C$294+'Inputs'!$H$123/100))^(1/12)-1)-((1+$C$294)^(1/12)-1))*(P325*(((1+((1+$C$294)^(1/12)-1))^12-1)/((1+((1+$C$294)^(1/12)-1))-1))-J325/12/((1+((1+$C$294)^(1/12)-1))-1)*((1+((1+$C$294)^(1/12)-1))*(((1+((1+$C$294)^(1/12)-1))^12-1)/((1+((1+$C$294)^(1/12)-1))-1))-12)),0))</f>
      </c>
    </row>
    <row r="326" spans="9:17" x14ac:dyDescent="0.25">
      <c r="I326">
        <v>42</v>
      </c>
      <c r="J326">
        <f>IF(I326&lt;$C$286,MAX(0,12*$C$287*(1+$C$288)^I326-K326),0)</f>
      </c>
      <c r="K326">
        <f>SUMPRODUCT(('Inputs'!$G$76:$G$81=$C$282)*($C$282&lt;&gt;"")*'Inputs'!$D$76:$D$81*(1+'Inputs'!$E$76:$E$81/100)^I326*(ABS('Inputs'!$F$76:$F$81-12*I326)-ABS(('Inputs'!$F$76:$F$81-12*I326)-12)+12)/2)</f>
      </c>
      <c r="L326">
        <f>IF(J326&gt;0,1,0)</f>
      </c>
      <c r="P326">
        <f>IF($C$289&lt;&gt;1,0,P325*(1+((1+$C$294)^(1/12)-1))^12-J325/12*(1+((1+$C$294)^(1/12)-1))*(((1+((1+$C$294)^(1/12)-1))^12-1)/((1+((1+$C$294)^(1/12)-1))-1)))</f>
      </c>
      <c r="Q326">
        <f>IF($C$289&lt;&gt;1,0,IFERROR((((1+($C$294+'Inputs'!$H$123/100))^(1/12)-1)-((1+$C$294)^(1/12)-1))*(P326*(((1+((1+$C$294)^(1/12)-1))^12-1)/((1+((1+$C$294)^(1/12)-1))-1))-J326/12/((1+((1+$C$294)^(1/12)-1))-1)*((1+((1+$C$294)^(1/12)-1))*(((1+((1+$C$294)^(1/12)-1))^12-1)/((1+((1+$C$294)^(1/12)-1))-1))-12)),0))</f>
      </c>
    </row>
    <row r="327" spans="9:17" x14ac:dyDescent="0.25">
      <c r="I327">
        <v>43</v>
      </c>
      <c r="J327">
        <f>IF(I327&lt;$C$286,MAX(0,12*$C$287*(1+$C$288)^I327-K327),0)</f>
      </c>
      <c r="K327">
        <f>SUMPRODUCT(('Inputs'!$G$76:$G$81=$C$282)*($C$282&lt;&gt;"")*'Inputs'!$D$76:$D$81*(1+'Inputs'!$E$76:$E$81/100)^I327*(ABS('Inputs'!$F$76:$F$81-12*I327)-ABS(('Inputs'!$F$76:$F$81-12*I327)-12)+12)/2)</f>
      </c>
      <c r="L327">
        <f>IF(J327&gt;0,1,0)</f>
      </c>
      <c r="P327">
        <f>IF($C$289&lt;&gt;1,0,P326*(1+((1+$C$294)^(1/12)-1))^12-J326/12*(1+((1+$C$294)^(1/12)-1))*(((1+((1+$C$294)^(1/12)-1))^12-1)/((1+((1+$C$294)^(1/12)-1))-1)))</f>
      </c>
      <c r="Q327">
        <f>IF($C$289&lt;&gt;1,0,IFERROR((((1+($C$294+'Inputs'!$H$123/100))^(1/12)-1)-((1+$C$294)^(1/12)-1))*(P327*(((1+((1+$C$294)^(1/12)-1))^12-1)/((1+((1+$C$294)^(1/12)-1))-1))-J327/12/((1+((1+$C$294)^(1/12)-1))-1)*((1+((1+$C$294)^(1/12)-1))*(((1+((1+$C$294)^(1/12)-1))^12-1)/((1+((1+$C$294)^(1/12)-1))-1))-12)),0))</f>
      </c>
    </row>
    <row r="328" spans="9:17" x14ac:dyDescent="0.25">
      <c r="I328">
        <v>44</v>
      </c>
      <c r="J328">
        <f>IF(I328&lt;$C$286,MAX(0,12*$C$287*(1+$C$288)^I328-K328),0)</f>
      </c>
      <c r="K328">
        <f>SUMPRODUCT(('Inputs'!$G$76:$G$81=$C$282)*($C$282&lt;&gt;"")*'Inputs'!$D$76:$D$81*(1+'Inputs'!$E$76:$E$81/100)^I328*(ABS('Inputs'!$F$76:$F$81-12*I328)-ABS(('Inputs'!$F$76:$F$81-12*I328)-12)+12)/2)</f>
      </c>
      <c r="L328">
        <f>IF(J328&gt;0,1,0)</f>
      </c>
      <c r="P328">
        <f>IF($C$289&lt;&gt;1,0,P327*(1+((1+$C$294)^(1/12)-1))^12-J327/12*(1+((1+$C$294)^(1/12)-1))*(((1+((1+$C$294)^(1/12)-1))^12-1)/((1+((1+$C$294)^(1/12)-1))-1)))</f>
      </c>
      <c r="Q328">
        <f>IF($C$289&lt;&gt;1,0,IFERROR((((1+($C$294+'Inputs'!$H$123/100))^(1/12)-1)-((1+$C$294)^(1/12)-1))*(P328*(((1+((1+$C$294)^(1/12)-1))^12-1)/((1+((1+$C$294)^(1/12)-1))-1))-J328/12/((1+((1+$C$294)^(1/12)-1))-1)*((1+((1+$C$294)^(1/12)-1))*(((1+((1+$C$294)^(1/12)-1))^12-1)/((1+((1+$C$294)^(1/12)-1))-1))-12)),0))</f>
      </c>
    </row>
    <row r="329" spans="9:17" x14ac:dyDescent="0.25">
      <c r="I329">
        <v>45</v>
      </c>
      <c r="J329">
        <f>IF(I329&lt;$C$286,MAX(0,12*$C$287*(1+$C$288)^I329-K329),0)</f>
      </c>
      <c r="K329">
        <f>SUMPRODUCT(('Inputs'!$G$76:$G$81=$C$282)*($C$282&lt;&gt;"")*'Inputs'!$D$76:$D$81*(1+'Inputs'!$E$76:$E$81/100)^I329*(ABS('Inputs'!$F$76:$F$81-12*I329)-ABS(('Inputs'!$F$76:$F$81-12*I329)-12)+12)/2)</f>
      </c>
      <c r="L329">
        <f>IF(J329&gt;0,1,0)</f>
      </c>
      <c r="P329">
        <f>IF($C$289&lt;&gt;1,0,P328*(1+((1+$C$294)^(1/12)-1))^12-J328/12*(1+((1+$C$294)^(1/12)-1))*(((1+((1+$C$294)^(1/12)-1))^12-1)/((1+((1+$C$294)^(1/12)-1))-1)))</f>
      </c>
      <c r="Q329">
        <f>IF($C$289&lt;&gt;1,0,IFERROR((((1+($C$294+'Inputs'!$H$123/100))^(1/12)-1)-((1+$C$294)^(1/12)-1))*(P329*(((1+((1+$C$294)^(1/12)-1))^12-1)/((1+((1+$C$294)^(1/12)-1))-1))-J329/12/((1+((1+$C$294)^(1/12)-1))-1)*((1+((1+$C$294)^(1/12)-1))*(((1+((1+$C$294)^(1/12)-1))^12-1)/((1+((1+$C$294)^(1/12)-1))-1))-12)),0))</f>
      </c>
    </row>
    <row r="330" spans="9:17" x14ac:dyDescent="0.25">
      <c r="I330">
        <v>46</v>
      </c>
      <c r="J330">
        <f>IF(I330&lt;$C$286,MAX(0,12*$C$287*(1+$C$288)^I330-K330),0)</f>
      </c>
      <c r="K330">
        <f>SUMPRODUCT(('Inputs'!$G$76:$G$81=$C$282)*($C$282&lt;&gt;"")*'Inputs'!$D$76:$D$81*(1+'Inputs'!$E$76:$E$81/100)^I330*(ABS('Inputs'!$F$76:$F$81-12*I330)-ABS(('Inputs'!$F$76:$F$81-12*I330)-12)+12)/2)</f>
      </c>
      <c r="L330">
        <f>IF(J330&gt;0,1,0)</f>
      </c>
      <c r="P330">
        <f>IF($C$289&lt;&gt;1,0,P329*(1+((1+$C$294)^(1/12)-1))^12-J329/12*(1+((1+$C$294)^(1/12)-1))*(((1+((1+$C$294)^(1/12)-1))^12-1)/((1+((1+$C$294)^(1/12)-1))-1)))</f>
      </c>
      <c r="Q330">
        <f>IF($C$289&lt;&gt;1,0,IFERROR((((1+($C$294+'Inputs'!$H$123/100))^(1/12)-1)-((1+$C$294)^(1/12)-1))*(P330*(((1+((1+$C$294)^(1/12)-1))^12-1)/((1+((1+$C$294)^(1/12)-1))-1))-J330/12/((1+((1+$C$294)^(1/12)-1))-1)*((1+((1+$C$294)^(1/12)-1))*(((1+((1+$C$294)^(1/12)-1))^12-1)/((1+((1+$C$294)^(1/12)-1))-1))-12)),0))</f>
      </c>
    </row>
    <row r="331" spans="9:17" x14ac:dyDescent="0.25">
      <c r="I331">
        <v>47</v>
      </c>
      <c r="J331">
        <f>IF(I331&lt;$C$286,MAX(0,12*$C$287*(1+$C$288)^I331-K331),0)</f>
      </c>
      <c r="K331">
        <f>SUMPRODUCT(('Inputs'!$G$76:$G$81=$C$282)*($C$282&lt;&gt;"")*'Inputs'!$D$76:$D$81*(1+'Inputs'!$E$76:$E$81/100)^I331*(ABS('Inputs'!$F$76:$F$81-12*I331)-ABS(('Inputs'!$F$76:$F$81-12*I331)-12)+12)/2)</f>
      </c>
      <c r="L331">
        <f>IF(J331&gt;0,1,0)</f>
      </c>
      <c r="P331">
        <f>IF($C$289&lt;&gt;1,0,P330*(1+((1+$C$294)^(1/12)-1))^12-J330/12*(1+((1+$C$294)^(1/12)-1))*(((1+((1+$C$294)^(1/12)-1))^12-1)/((1+((1+$C$294)^(1/12)-1))-1)))</f>
      </c>
      <c r="Q331">
        <f>IF($C$289&lt;&gt;1,0,IFERROR((((1+($C$294+'Inputs'!$H$123/100))^(1/12)-1)-((1+$C$294)^(1/12)-1))*(P331*(((1+((1+$C$294)^(1/12)-1))^12-1)/((1+((1+$C$294)^(1/12)-1))-1))-J331/12/((1+((1+$C$294)^(1/12)-1))-1)*((1+((1+$C$294)^(1/12)-1))*(((1+((1+$C$294)^(1/12)-1))^12-1)/((1+((1+$C$294)^(1/12)-1))-1))-12)),0))</f>
      </c>
    </row>
    <row r="332" spans="9:17" x14ac:dyDescent="0.25">
      <c r="I332">
        <v>48</v>
      </c>
      <c r="J332">
        <f>IF(I332&lt;$C$286,MAX(0,12*$C$287*(1+$C$288)^I332-K332),0)</f>
      </c>
      <c r="K332">
        <f>SUMPRODUCT(('Inputs'!$G$76:$G$81=$C$282)*($C$282&lt;&gt;"")*'Inputs'!$D$76:$D$81*(1+'Inputs'!$E$76:$E$81/100)^I332*(ABS('Inputs'!$F$76:$F$81-12*I332)-ABS(('Inputs'!$F$76:$F$81-12*I332)-12)+12)/2)</f>
      </c>
      <c r="L332">
        <f>IF(J332&gt;0,1,0)</f>
      </c>
      <c r="P332">
        <f>IF($C$289&lt;&gt;1,0,P331*(1+((1+$C$294)^(1/12)-1))^12-J331/12*(1+((1+$C$294)^(1/12)-1))*(((1+((1+$C$294)^(1/12)-1))^12-1)/((1+((1+$C$294)^(1/12)-1))-1)))</f>
      </c>
      <c r="Q332">
        <f>IF($C$289&lt;&gt;1,0,IFERROR((((1+($C$294+'Inputs'!$H$123/100))^(1/12)-1)-((1+$C$294)^(1/12)-1))*(P332*(((1+((1+$C$294)^(1/12)-1))^12-1)/((1+((1+$C$294)^(1/12)-1))-1))-J332/12/((1+((1+$C$294)^(1/12)-1))-1)*((1+((1+$C$294)^(1/12)-1))*(((1+((1+$C$294)^(1/12)-1))^12-1)/((1+((1+$C$294)^(1/12)-1))-1))-12)),0))</f>
      </c>
    </row>
    <row r="333" spans="9:17" x14ac:dyDescent="0.25">
      <c r="I333">
        <v>49</v>
      </c>
      <c r="J333">
        <f>IF(I333&lt;$C$286,MAX(0,12*$C$287*(1+$C$288)^I333-K333),0)</f>
      </c>
      <c r="K333">
        <f>SUMPRODUCT(('Inputs'!$G$76:$G$81=$C$282)*($C$282&lt;&gt;"")*'Inputs'!$D$76:$D$81*(1+'Inputs'!$E$76:$E$81/100)^I333*(ABS('Inputs'!$F$76:$F$81-12*I333)-ABS(('Inputs'!$F$76:$F$81-12*I333)-12)+12)/2)</f>
      </c>
      <c r="L333">
        <f>IF(J333&gt;0,1,0)</f>
      </c>
      <c r="P333">
        <f>IF($C$289&lt;&gt;1,0,P332*(1+((1+$C$294)^(1/12)-1))^12-J332/12*(1+((1+$C$294)^(1/12)-1))*(((1+((1+$C$294)^(1/12)-1))^12-1)/((1+((1+$C$294)^(1/12)-1))-1)))</f>
      </c>
      <c r="Q333">
        <f>IF($C$289&lt;&gt;1,0,IFERROR((((1+($C$294+'Inputs'!$H$123/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88"/>
  <sheetFormatPr defaultRowHeight="15" outlineLevelRow="0" outlineLevelCol="0" x14ac:dyDescent="55"/>
  <cols>
    <col min="1" max="1" width="2" customWidth="1"/>
    <col min="2" max="2" width="28" customWidth="1"/>
  </cols>
  <sheetData>
    <row r="2" spans="3:5" x14ac:dyDescent="0.25">
      <c r="C2" t="s">
        <v>310</v>
      </c>
      <c r="E2" t="s">
        <v>311</v>
      </c>
    </row>
    <row r="3" spans="2:20" x14ac:dyDescent="0.25">
      <c r="B3" t="s">
        <v>312</v>
      </c>
      <c r="C3">
        <f>0</f>
      </c>
      <c r="E3">
        <f>1</f>
      </c>
      <c r="F3">
        <f>1</f>
      </c>
      <c r="G3">
        <f>1</f>
      </c>
      <c r="H3">
        <f>1</f>
      </c>
      <c r="I3">
        <f>1</f>
      </c>
      <c r="J3">
        <f>1</f>
      </c>
      <c r="K3">
        <f>1</f>
      </c>
      <c r="L3">
        <f>1</f>
      </c>
      <c r="M3">
        <f>1</f>
      </c>
      <c r="N3">
        <f>1</f>
      </c>
      <c r="O3">
        <f>1</f>
      </c>
      <c r="P3">
        <f>1</f>
      </c>
      <c r="Q3">
        <f>1</f>
      </c>
      <c r="R3">
        <f>1</f>
      </c>
      <c r="S3">
        <f>1</f>
      </c>
      <c r="T3">
        <f>1</f>
      </c>
    </row>
    <row r="4" spans="2:20" x14ac:dyDescent="0.25">
      <c r="B4" t="s">
        <v>313</v>
      </c>
      <c r="C4">
        <f>0</f>
      </c>
      <c r="E4">
        <f>0</f>
      </c>
      <c r="F4">
        <f>E82</f>
      </c>
      <c r="G4">
        <f>F82</f>
      </c>
      <c r="H4">
        <f>G82</f>
      </c>
      <c r="I4">
        <f>H82</f>
      </c>
      <c r="J4">
        <f>I82</f>
      </c>
      <c r="K4">
        <f>J82</f>
      </c>
      <c r="L4">
        <f>K82</f>
      </c>
      <c r="M4">
        <f>L82</f>
      </c>
      <c r="N4">
        <f>M82</f>
      </c>
      <c r="O4">
        <f>N82</f>
      </c>
      <c r="P4">
        <f>O82</f>
      </c>
      <c r="Q4">
        <f>IF(ROUND(P82,2)&gt;0,MAX(0,ROUND(P82,2)-0.01),0)</f>
      </c>
      <c r="R4">
        <f>ROUND(P82,2)</f>
      </c>
      <c r="S4">
        <f>IF(ROUND(P82,2)&gt;0,ROUND(P82,2)+0.01,0)</f>
      </c>
      <c r="T4">
        <f>IF(ROUND(P82,2)=0,0,IF(R45&lt;=0,ROUND(P82,2),IF(S45&lt;=0,ROUND(P82,2)+0.01,ROUND(P82,2)+0.02)))</f>
      </c>
    </row>
    <row r="5" spans="2:20" x14ac:dyDescent="0.25">
      <c r="B5" t="s">
        <v>314</v>
      </c>
      <c r="C5">
        <f>0</f>
      </c>
      <c r="E5">
        <f>0</f>
      </c>
      <c r="F5">
        <f>E83</f>
      </c>
      <c r="G5">
        <f>F83</f>
      </c>
      <c r="H5">
        <f>G83</f>
      </c>
      <c r="I5">
        <f>H83</f>
      </c>
      <c r="J5">
        <f>I83</f>
      </c>
      <c r="K5">
        <f>J83</f>
      </c>
      <c r="L5">
        <f>K83</f>
      </c>
      <c r="M5">
        <f>L83</f>
      </c>
      <c r="N5">
        <f>M83</f>
      </c>
      <c r="O5">
        <f>N83</f>
      </c>
      <c r="P5">
        <f>O83</f>
      </c>
      <c r="Q5">
        <f>IF(ROUND(P83,2)&gt;0,MAX(0,ROUND(P83,2)-0.01),0)</f>
      </c>
      <c r="R5">
        <f>ROUND(P83,2)</f>
      </c>
      <c r="S5">
        <f>IF(ROUND(P83,2)&gt;0,ROUND(P83,2)+0.01,0)</f>
      </c>
      <c r="T5">
        <f>IF(ROUND(P83,2)=0,0,IF(R52&lt;=0,ROUND(P83,2),IF(S52&lt;=0,ROUND(P83,2)+0.01,ROUND(P83,2)+0.02)))</f>
      </c>
    </row>
    <row r="6" spans="2:20" x14ac:dyDescent="0.25">
      <c r="B6" t="s">
        <v>315</v>
      </c>
      <c r="C6">
        <f>0</f>
      </c>
      <c r="E6">
        <f>0</f>
      </c>
      <c r="F6">
        <f>E84</f>
      </c>
      <c r="G6">
        <f>F84</f>
      </c>
      <c r="H6">
        <f>G84</f>
      </c>
      <c r="I6">
        <f>H84</f>
      </c>
      <c r="J6">
        <f>I84</f>
      </c>
      <c r="K6">
        <f>J84</f>
      </c>
      <c r="L6">
        <f>K84</f>
      </c>
      <c r="M6">
        <f>L84</f>
      </c>
      <c r="N6">
        <f>M84</f>
      </c>
      <c r="O6">
        <f>N84</f>
      </c>
      <c r="P6">
        <f>O84</f>
      </c>
      <c r="Q6">
        <f>IF(ROUND(P84,2)&gt;0,MAX(0,ROUND(P84,2)-0.01),0)</f>
      </c>
      <c r="R6">
        <f>ROUND(P84,2)</f>
      </c>
      <c r="S6">
        <f>IF(ROUND(P84,2)&gt;0,ROUND(P84,2)+0.01,0)</f>
      </c>
      <c r="T6">
        <f>IF(ROUND(P84,2)=0,0,IF(R59&lt;=0,ROUND(P84,2),IF(S59&lt;=0,ROUND(P84,2)+0.01,ROUND(P84,2)+0.02)))</f>
      </c>
    </row>
    <row r="7" spans="2:20" x14ac:dyDescent="0.25">
      <c r="B7" t="s">
        <v>316</v>
      </c>
      <c r="C7">
        <f>0</f>
      </c>
      <c r="E7">
        <f>0</f>
      </c>
      <c r="F7">
        <f>E85</f>
      </c>
      <c r="G7">
        <f>F85</f>
      </c>
      <c r="H7">
        <f>G85</f>
      </c>
      <c r="I7">
        <f>H85</f>
      </c>
      <c r="J7">
        <f>I85</f>
      </c>
      <c r="K7">
        <f>J85</f>
      </c>
      <c r="L7">
        <f>K85</f>
      </c>
      <c r="M7">
        <f>L85</f>
      </c>
      <c r="N7">
        <f>M85</f>
      </c>
      <c r="O7">
        <f>N85</f>
      </c>
      <c r="P7">
        <f>O85</f>
      </c>
      <c r="Q7">
        <f>IF(ROUND(P85,2)&gt;0,MAX(0,ROUND(P85,2)-0.01),0)</f>
      </c>
      <c r="R7">
        <f>ROUND(P85,2)</f>
      </c>
      <c r="S7">
        <f>IF(ROUND(P85,2)&gt;0,ROUND(P85,2)+0.01,0)</f>
      </c>
      <c r="T7">
        <f>IF(ROUND(P85,2)=0,0,IF(R66&lt;=0,ROUND(P85,2),IF(S66&lt;=0,ROUND(P85,2)+0.01,ROUND(P85,2)+0.02)))</f>
      </c>
    </row>
    <row r="8" spans="2:20" x14ac:dyDescent="0.25">
      <c r="B8" t="s">
        <v>317</v>
      </c>
      <c r="C8">
        <f>0</f>
      </c>
      <c r="E8">
        <f>0</f>
      </c>
      <c r="F8">
        <f>E86</f>
      </c>
      <c r="G8">
        <f>F86</f>
      </c>
      <c r="H8">
        <f>G86</f>
      </c>
      <c r="I8">
        <f>H86</f>
      </c>
      <c r="J8">
        <f>I86</f>
      </c>
      <c r="K8">
        <f>J86</f>
      </c>
      <c r="L8">
        <f>K86</f>
      </c>
      <c r="M8">
        <f>L86</f>
      </c>
      <c r="N8">
        <f>M86</f>
      </c>
      <c r="O8">
        <f>N86</f>
      </c>
      <c r="P8">
        <f>O86</f>
      </c>
      <c r="Q8">
        <f>IF(ROUND(P86,2)&gt;0,MAX(0,ROUND(P86,2)-0.01),0)</f>
      </c>
      <c r="R8">
        <f>ROUND(P86,2)</f>
      </c>
      <c r="S8">
        <f>IF(ROUND(P86,2)&gt;0,ROUND(P86,2)+0.01,0)</f>
      </c>
      <c r="T8">
        <f>IF(ROUND(P86,2)=0,0,IF(R73&lt;=0,ROUND(P86,2),IF(S73&lt;=0,ROUND(P86,2)+0.01,ROUND(P86,2)+0.02)))</f>
      </c>
    </row>
    <row r="9" spans="2:20" x14ac:dyDescent="0.25">
      <c r="B9" t="s">
        <v>318</v>
      </c>
      <c r="C9">
        <f>0</f>
      </c>
      <c r="E9">
        <f>0</f>
      </c>
      <c r="F9">
        <f>E87</f>
      </c>
      <c r="G9">
        <f>F87</f>
      </c>
      <c r="H9">
        <f>G87</f>
      </c>
      <c r="I9">
        <f>H87</f>
      </c>
      <c r="J9">
        <f>I87</f>
      </c>
      <c r="K9">
        <f>J87</f>
      </c>
      <c r="L9">
        <f>K87</f>
      </c>
      <c r="M9">
        <f>L87</f>
      </c>
      <c r="N9">
        <f>M87</f>
      </c>
      <c r="O9">
        <f>N87</f>
      </c>
      <c r="P9">
        <f>O87</f>
      </c>
      <c r="Q9">
        <f>IF(ROUND(P87,2)&gt;0,MAX(0,ROUND(P87,2)-0.01),0)</f>
      </c>
      <c r="R9">
        <f>ROUND(P87,2)</f>
      </c>
      <c r="S9">
        <f>IF(ROUND(P87,2)&gt;0,ROUND(P87,2)+0.01,0)</f>
      </c>
      <c r="T9">
        <f>IF(ROUND(P87,2)=0,0,IF(R80&lt;=0,ROUND(P87,2),IF(S80&lt;=0,ROUND(P87,2)+0.01,ROUND(P87,2)+0.02)))</f>
      </c>
    </row>
    <row r="10" spans="2:20" x14ac:dyDescent="0.25">
      <c r="B10" t="s">
        <v>319</v>
      </c>
      <c r="C10">
        <f>0</f>
      </c>
      <c r="E10">
        <f>0</f>
      </c>
      <c r="F10">
        <f>E88</f>
      </c>
      <c r="G10">
        <f>F88</f>
      </c>
      <c r="H10">
        <f>G88</f>
      </c>
      <c r="I10">
        <f>H88</f>
      </c>
      <c r="J10">
        <f>I88</f>
      </c>
      <c r="K10">
        <f>J88</f>
      </c>
      <c r="L10">
        <f>K88</f>
      </c>
      <c r="M10">
        <f>L88</f>
      </c>
      <c r="N10">
        <f>M88</f>
      </c>
      <c r="O10">
        <f>N88</f>
      </c>
      <c r="P10">
        <f>O88</f>
      </c>
      <c r="Q10">
        <f>IF(ROUND(P88,2)&gt;0,MAX(0,ROUND(P88,2)-0.01),0)</f>
      </c>
      <c r="R10">
        <f>ROUND(P88,2)</f>
      </c>
      <c r="S10">
        <f>IF(ROUND(P88,2)&gt;0,ROUND(P88,2)+0.01,0)</f>
      </c>
      <c r="T10">
        <f>IF(ROUND(P88,2)=0,0,IF(R27&lt;=0,ROUND(P88,2),IF(S27&lt;=0,ROUND(P88,2)+0.01,ROUND(P88,2)+0.02)))</f>
      </c>
    </row>
    <row r="11" spans="2:20" x14ac:dyDescent="0.25">
      <c r="B11" t="s">
        <v>320</v>
      </c>
      <c r="C11">
        <f>(1-'Inputs'!$T$100)*C4+(1-'Inputs'!$T$101)*C5+(1-'Inputs'!$T$102)*C6+(1-'Inputs'!$T$103)*C7+(1-'Inputs'!$T$104)*C8+(1-'Inputs'!$T$105)*C9</f>
      </c>
      <c r="E11">
        <f>(1-'Inputs'!$T$100)*E4+(1-'Inputs'!$T$101)*E5+(1-'Inputs'!$T$102)*E6+(1-'Inputs'!$T$103)*E7+(1-'Inputs'!$T$104)*E8+(1-'Inputs'!$T$105)*E9</f>
      </c>
      <c r="F11">
        <f>(1-'Inputs'!$T$100)*F4+(1-'Inputs'!$T$101)*F5+(1-'Inputs'!$T$102)*F6+(1-'Inputs'!$T$103)*F7+(1-'Inputs'!$T$104)*F8+(1-'Inputs'!$T$105)*F9</f>
      </c>
      <c r="G11">
        <f>(1-'Inputs'!$T$100)*G4+(1-'Inputs'!$T$101)*G5+(1-'Inputs'!$T$102)*G6+(1-'Inputs'!$T$103)*G7+(1-'Inputs'!$T$104)*G8+(1-'Inputs'!$T$105)*G9</f>
      </c>
      <c r="H11">
        <f>(1-'Inputs'!$T$100)*H4+(1-'Inputs'!$T$101)*H5+(1-'Inputs'!$T$102)*H6+(1-'Inputs'!$T$103)*H7+(1-'Inputs'!$T$104)*H8+(1-'Inputs'!$T$105)*H9</f>
      </c>
      <c r="I11">
        <f>(1-'Inputs'!$T$100)*I4+(1-'Inputs'!$T$101)*I5+(1-'Inputs'!$T$102)*I6+(1-'Inputs'!$T$103)*I7+(1-'Inputs'!$T$104)*I8+(1-'Inputs'!$T$105)*I9</f>
      </c>
      <c r="J11">
        <f>(1-'Inputs'!$T$100)*J4+(1-'Inputs'!$T$101)*J5+(1-'Inputs'!$T$102)*J6+(1-'Inputs'!$T$103)*J7+(1-'Inputs'!$T$104)*J8+(1-'Inputs'!$T$105)*J9</f>
      </c>
      <c r="K11">
        <f>(1-'Inputs'!$T$100)*K4+(1-'Inputs'!$T$101)*K5+(1-'Inputs'!$T$102)*K6+(1-'Inputs'!$T$103)*K7+(1-'Inputs'!$T$104)*K8+(1-'Inputs'!$T$105)*K9</f>
      </c>
      <c r="L11">
        <f>(1-'Inputs'!$T$100)*L4+(1-'Inputs'!$T$101)*L5+(1-'Inputs'!$T$102)*L6+(1-'Inputs'!$T$103)*L7+(1-'Inputs'!$T$104)*L8+(1-'Inputs'!$T$105)*L9</f>
      </c>
      <c r="M11">
        <f>(1-'Inputs'!$T$100)*M4+(1-'Inputs'!$T$101)*M5+(1-'Inputs'!$T$102)*M6+(1-'Inputs'!$T$103)*M7+(1-'Inputs'!$T$104)*M8+(1-'Inputs'!$T$105)*M9</f>
      </c>
      <c r="N11">
        <f>(1-'Inputs'!$T$100)*N4+(1-'Inputs'!$T$101)*N5+(1-'Inputs'!$T$102)*N6+(1-'Inputs'!$T$103)*N7+(1-'Inputs'!$T$104)*N8+(1-'Inputs'!$T$105)*N9</f>
      </c>
      <c r="O11">
        <f>(1-'Inputs'!$T$100)*O4+(1-'Inputs'!$T$101)*O5+(1-'Inputs'!$T$102)*O6+(1-'Inputs'!$T$103)*O7+(1-'Inputs'!$T$104)*O8+(1-'Inputs'!$T$105)*O9</f>
      </c>
      <c r="P11">
        <f>(1-'Inputs'!$T$100)*P4+(1-'Inputs'!$T$101)*P5+(1-'Inputs'!$T$102)*P6+(1-'Inputs'!$T$103)*P7+(1-'Inputs'!$T$104)*P8+(1-'Inputs'!$T$105)*P9</f>
      </c>
      <c r="Q11">
        <f>(1-'Inputs'!$T$100)*Q4+(1-'Inputs'!$T$101)*Q5+(1-'Inputs'!$T$102)*Q6+(1-'Inputs'!$T$103)*Q7+(1-'Inputs'!$T$104)*Q8+(1-'Inputs'!$T$105)*Q9</f>
      </c>
      <c r="R11">
        <f>(1-'Inputs'!$T$100)*R4+(1-'Inputs'!$T$101)*R5+(1-'Inputs'!$T$102)*R6+(1-'Inputs'!$T$103)*R7+(1-'Inputs'!$T$104)*R8+(1-'Inputs'!$T$105)*R9</f>
      </c>
      <c r="S11">
        <f>(1-'Inputs'!$T$100)*S4+(1-'Inputs'!$T$101)*S5+(1-'Inputs'!$T$102)*S6+(1-'Inputs'!$T$103)*S7+(1-'Inputs'!$T$104)*S8+(1-'Inputs'!$T$105)*S9</f>
      </c>
      <c r="T11">
        <f>(1-'Inputs'!$T$100)*T4+(1-'Inputs'!$T$101)*T5+(1-'Inputs'!$T$102)*T6+(1-'Inputs'!$T$103)*T7+(1-'Inputs'!$T$104)*T8+(1-'Inputs'!$T$105)*T9</f>
      </c>
    </row>
    <row r="12" spans="2:20" x14ac:dyDescent="0.25">
      <c r="B12" t="s">
        <v>321</v>
      </c>
      <c r="C12">
        <f>IF(C10&gt;0,ROUND(('Inputs'!$C$120/100*(1+'Inputs'!$C$121/100))*('Workings'!$C$21+C10),2)+'Workings'!$C$29,0)</f>
      </c>
      <c r="E12">
        <f>IF(E10&gt;0,ROUND(('Inputs'!$C$120/100*(1+'Inputs'!$C$121/100))*('Workings'!$C$21+E10),2)+'Workings'!$C$29,0)</f>
      </c>
      <c r="F12">
        <f>IF(F10&gt;0,ROUND(('Inputs'!$C$120/100*(1+'Inputs'!$C$121/100))*('Workings'!$C$21+F10),2)+'Workings'!$C$29,0)</f>
      </c>
      <c r="G12">
        <f>IF(G10&gt;0,ROUND(('Inputs'!$C$120/100*(1+'Inputs'!$C$121/100))*('Workings'!$C$21+G10),2)+'Workings'!$C$29,0)</f>
      </c>
      <c r="H12">
        <f>IF(H10&gt;0,ROUND(('Inputs'!$C$120/100*(1+'Inputs'!$C$121/100))*('Workings'!$C$21+H10),2)+'Workings'!$C$29,0)</f>
      </c>
      <c r="I12">
        <f>IF(I10&gt;0,ROUND(('Inputs'!$C$120/100*(1+'Inputs'!$C$121/100))*('Workings'!$C$21+I10),2)+'Workings'!$C$29,0)</f>
      </c>
      <c r="J12">
        <f>IF(J10&gt;0,ROUND(('Inputs'!$C$120/100*(1+'Inputs'!$C$121/100))*('Workings'!$C$21+J10),2)+'Workings'!$C$29,0)</f>
      </c>
      <c r="K12">
        <f>IF(K10&gt;0,ROUND(('Inputs'!$C$120/100*(1+'Inputs'!$C$121/100))*('Workings'!$C$21+K10),2)+'Workings'!$C$29,0)</f>
      </c>
      <c r="L12">
        <f>IF(L10&gt;0,ROUND(('Inputs'!$C$120/100*(1+'Inputs'!$C$121/100))*('Workings'!$C$21+L10),2)+'Workings'!$C$29,0)</f>
      </c>
      <c r="M12">
        <f>IF(M10&gt;0,ROUND(('Inputs'!$C$120/100*(1+'Inputs'!$C$121/100))*('Workings'!$C$21+M10),2)+'Workings'!$C$29,0)</f>
      </c>
      <c r="N12">
        <f>IF(N10&gt;0,ROUND(('Inputs'!$C$120/100*(1+'Inputs'!$C$121/100))*('Workings'!$C$21+N10),2)+'Workings'!$C$29,0)</f>
      </c>
      <c r="O12">
        <f>IF(O10&gt;0,ROUND(('Inputs'!$C$120/100*(1+'Inputs'!$C$121/100))*('Workings'!$C$21+O10),2)+'Workings'!$C$29,0)</f>
      </c>
      <c r="P12">
        <f>IF(P10&gt;0,ROUND(('Inputs'!$C$120/100*(1+'Inputs'!$C$121/100))*('Workings'!$C$21+P10),2)+'Workings'!$C$29,0)</f>
      </c>
      <c r="Q12">
        <f>IF(Q10&gt;0,ROUND(('Inputs'!$C$120/100*(1+'Inputs'!$C$121/100))*('Workings'!$C$21+Q10),2)+'Workings'!$C$29,0)</f>
      </c>
      <c r="R12">
        <f>IF(R10&gt;0,ROUND(('Inputs'!$C$120/100*(1+'Inputs'!$C$121/100))*('Workings'!$C$21+R10),2)+'Workings'!$C$29,0)</f>
      </c>
      <c r="S12">
        <f>IF(S10&gt;0,ROUND(('Inputs'!$C$120/100*(1+'Inputs'!$C$121/100))*('Workings'!$C$21+S10),2)+'Workings'!$C$29,0)</f>
      </c>
      <c r="T12">
        <f>IF(T10&gt;0,ROUND(('Inputs'!$C$120/100*(1+'Inputs'!$C$121/100))*('Workings'!$C$21+T10),2)+'Workings'!$C$29,0)</f>
      </c>
    </row>
    <row r="13" spans="2:20" x14ac:dyDescent="0.25">
      <c r="B13" t="s">
        <v>322</v>
      </c>
      <c r="C13">
        <f>ROUND('Workings'!$C$33+C10-C12,2)</f>
      </c>
      <c r="E13">
        <f>ROUND('Workings'!$C$33+E10-E12,2)</f>
      </c>
      <c r="F13">
        <f>ROUND('Workings'!$C$33+F10-F12,2)</f>
      </c>
      <c r="G13">
        <f>ROUND('Workings'!$C$33+G10-G12,2)</f>
      </c>
      <c r="H13">
        <f>ROUND('Workings'!$C$33+H10-H12,2)</f>
      </c>
      <c r="I13">
        <f>ROUND('Workings'!$C$33+I10-I12,2)</f>
      </c>
      <c r="J13">
        <f>ROUND('Workings'!$C$33+J10-J12,2)</f>
      </c>
      <c r="K13">
        <f>ROUND('Workings'!$C$33+K10-K12,2)</f>
      </c>
      <c r="L13">
        <f>ROUND('Workings'!$C$33+L10-L12,2)</f>
      </c>
      <c r="M13">
        <f>ROUND('Workings'!$C$33+M10-M12,2)</f>
      </c>
      <c r="N13">
        <f>ROUND('Workings'!$C$33+N10-N12,2)</f>
      </c>
      <c r="O13">
        <f>ROUND('Workings'!$C$33+O10-O12,2)</f>
      </c>
      <c r="P13">
        <f>ROUND('Workings'!$C$33+P10-P12,2)</f>
      </c>
      <c r="Q13">
        <f>ROUND('Workings'!$C$33+Q10-Q12,2)</f>
      </c>
      <c r="R13">
        <f>ROUND('Workings'!$C$33+R10-R12,2)</f>
      </c>
      <c r="S13">
        <f>ROUND('Workings'!$C$33+S10-S12,2)</f>
      </c>
      <c r="T13">
        <f>ROUND('Workings'!$C$33+T10-T12,2)</f>
      </c>
    </row>
    <row r="14" spans="2:20" x14ac:dyDescent="0.25">
      <c r="B14" t="s">
        <v>323</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324</v>
      </c>
      <c r="C15">
        <f>IF(OR(LEFT('Inputs'!$C$13,7)="Married",'Inputs'!$C$13="Life partner",'Inputs'!$C$13="Civil Union"),SUM('Inputs'!$R$22:$R$39)*C14+SUMIFS('Inputs'!$D$59:$D$70,'Inputs'!$C$59:$C$70,"Spouse",'Inputs'!$E$59:$E$70,"&lt;&gt;No")+SUM('Inputs'!$S$76:$S$81)+IF('Inputs'!$C$14="Spouse",MAX(0,C13),0),0)</f>
      </c>
      <c r="E15">
        <f>IF(OR(LEFT('Inputs'!$C$13,7)="Married",'Inputs'!$C$13="Life partner",'Inputs'!$C$13="Civil Union"),SUM('Inputs'!$R$22:$R$39)*E14+SUMIFS('Inputs'!$D$59:$D$70,'Inputs'!$C$59:$C$70,"Spouse",'Inputs'!$E$59:$E$70,"&lt;&gt;No")+SUM('Inputs'!$S$76:$S$81)+IF('Inputs'!$C$14="Spouse",MAX(0,E13),0),0)</f>
      </c>
      <c r="F15">
        <f>IF(OR(LEFT('Inputs'!$C$13,7)="Married",'Inputs'!$C$13="Life partner",'Inputs'!$C$13="Civil Union"),SUM('Inputs'!$R$22:$R$39)*F14+SUMIFS('Inputs'!$D$59:$D$70,'Inputs'!$C$59:$C$70,"Spouse",'Inputs'!$E$59:$E$70,"&lt;&gt;No")+SUM('Inputs'!$S$76:$S$81)+IF('Inputs'!$C$14="Spouse",MAX(0,F13),0),0)</f>
      </c>
      <c r="G15">
        <f>IF(OR(LEFT('Inputs'!$C$13,7)="Married",'Inputs'!$C$13="Life partner",'Inputs'!$C$13="Civil Union"),SUM('Inputs'!$R$22:$R$39)*G14+SUMIFS('Inputs'!$D$59:$D$70,'Inputs'!$C$59:$C$70,"Spouse",'Inputs'!$E$59:$E$70,"&lt;&gt;No")+SUM('Inputs'!$S$76:$S$81)+IF('Inputs'!$C$14="Spouse",MAX(0,G13),0),0)</f>
      </c>
      <c r="H15">
        <f>IF(OR(LEFT('Inputs'!$C$13,7)="Married",'Inputs'!$C$13="Life partner",'Inputs'!$C$13="Civil Union"),SUM('Inputs'!$R$22:$R$39)*H14+SUMIFS('Inputs'!$D$59:$D$70,'Inputs'!$C$59:$C$70,"Spouse",'Inputs'!$E$59:$E$70,"&lt;&gt;No")+SUM('Inputs'!$S$76:$S$81)+IF('Inputs'!$C$14="Spouse",MAX(0,H13),0),0)</f>
      </c>
      <c r="I15">
        <f>IF(OR(LEFT('Inputs'!$C$13,7)="Married",'Inputs'!$C$13="Life partner",'Inputs'!$C$13="Civil Union"),SUM('Inputs'!$R$22:$R$39)*I14+SUMIFS('Inputs'!$D$59:$D$70,'Inputs'!$C$59:$C$70,"Spouse",'Inputs'!$E$59:$E$70,"&lt;&gt;No")+SUM('Inputs'!$S$76:$S$81)+IF('Inputs'!$C$14="Spouse",MAX(0,I13),0),0)</f>
      </c>
      <c r="J15">
        <f>IF(OR(LEFT('Inputs'!$C$13,7)="Married",'Inputs'!$C$13="Life partner",'Inputs'!$C$13="Civil Union"),SUM('Inputs'!$R$22:$R$39)*J14+SUMIFS('Inputs'!$D$59:$D$70,'Inputs'!$C$59:$C$70,"Spouse",'Inputs'!$E$59:$E$70,"&lt;&gt;No")+SUM('Inputs'!$S$76:$S$81)+IF('Inputs'!$C$14="Spouse",MAX(0,J13),0),0)</f>
      </c>
      <c r="K15">
        <f>IF(OR(LEFT('Inputs'!$C$13,7)="Married",'Inputs'!$C$13="Life partner",'Inputs'!$C$13="Civil Union"),SUM('Inputs'!$R$22:$R$39)*K14+SUMIFS('Inputs'!$D$59:$D$70,'Inputs'!$C$59:$C$70,"Spouse",'Inputs'!$E$59:$E$70,"&lt;&gt;No")+SUM('Inputs'!$S$76:$S$81)+IF('Inputs'!$C$14="Spouse",MAX(0,K13),0),0)</f>
      </c>
      <c r="L15">
        <f>IF(OR(LEFT('Inputs'!$C$13,7)="Married",'Inputs'!$C$13="Life partner",'Inputs'!$C$13="Civil Union"),SUM('Inputs'!$R$22:$R$39)*L14+SUMIFS('Inputs'!$D$59:$D$70,'Inputs'!$C$59:$C$70,"Spouse",'Inputs'!$E$59:$E$70,"&lt;&gt;No")+SUM('Inputs'!$S$76:$S$81)+IF('Inputs'!$C$14="Spouse",MAX(0,L13),0),0)</f>
      </c>
      <c r="M15">
        <f>IF(OR(LEFT('Inputs'!$C$13,7)="Married",'Inputs'!$C$13="Life partner",'Inputs'!$C$13="Civil Union"),SUM('Inputs'!$R$22:$R$39)*M14+SUMIFS('Inputs'!$D$59:$D$70,'Inputs'!$C$59:$C$70,"Spouse",'Inputs'!$E$59:$E$70,"&lt;&gt;No")+SUM('Inputs'!$S$76:$S$81)+IF('Inputs'!$C$14="Spouse",MAX(0,M13),0),0)</f>
      </c>
      <c r="N15">
        <f>IF(OR(LEFT('Inputs'!$C$13,7)="Married",'Inputs'!$C$13="Life partner",'Inputs'!$C$13="Civil Union"),SUM('Inputs'!$R$22:$R$39)*N14+SUMIFS('Inputs'!$D$59:$D$70,'Inputs'!$C$59:$C$70,"Spouse",'Inputs'!$E$59:$E$70,"&lt;&gt;No")+SUM('Inputs'!$S$76:$S$81)+IF('Inputs'!$C$14="Spouse",MAX(0,N13),0),0)</f>
      </c>
      <c r="O15">
        <f>IF(OR(LEFT('Inputs'!$C$13,7)="Married",'Inputs'!$C$13="Life partner",'Inputs'!$C$13="Civil Union"),SUM('Inputs'!$R$22:$R$39)*O14+SUMIFS('Inputs'!$D$59:$D$70,'Inputs'!$C$59:$C$70,"Spouse",'Inputs'!$E$59:$E$70,"&lt;&gt;No")+SUM('Inputs'!$S$76:$S$81)+IF('Inputs'!$C$14="Spouse",MAX(0,O13),0),0)</f>
      </c>
      <c r="P15">
        <f>IF(OR(LEFT('Inputs'!$C$13,7)="Married",'Inputs'!$C$13="Life partner",'Inputs'!$C$13="Civil Union"),SUM('Inputs'!$R$22:$R$39)*P14+SUMIFS('Inputs'!$D$59:$D$70,'Inputs'!$C$59:$C$70,"Spouse",'Inputs'!$E$59:$E$70,"&lt;&gt;No")+SUM('Inputs'!$S$76:$S$81)+IF('Inputs'!$C$14="Spouse",MAX(0,P13),0),0)</f>
      </c>
      <c r="Q15">
        <f>IF(OR(LEFT('Inputs'!$C$13,7)="Married",'Inputs'!$C$13="Life partner",'Inputs'!$C$13="Civil Union"),SUM('Inputs'!$R$22:$R$39)*Q14+SUMIFS('Inputs'!$D$59:$D$70,'Inputs'!$C$59:$C$70,"Spouse",'Inputs'!$E$59:$E$70,"&lt;&gt;No")+SUM('Inputs'!$S$76:$S$81)+IF('Inputs'!$C$14="Spouse",MAX(0,Q13),0),0)</f>
      </c>
      <c r="R15">
        <f>IF(OR(LEFT('Inputs'!$C$13,7)="Married",'Inputs'!$C$13="Life partner",'Inputs'!$C$13="Civil Union"),SUM('Inputs'!$R$22:$R$39)*R14+SUMIFS('Inputs'!$D$59:$D$70,'Inputs'!$C$59:$C$70,"Spouse",'Inputs'!$E$59:$E$70,"&lt;&gt;No")+SUM('Inputs'!$S$76:$S$81)+IF('Inputs'!$C$14="Spouse",MAX(0,R13),0),0)</f>
      </c>
      <c r="S15">
        <f>IF(OR(LEFT('Inputs'!$C$13,7)="Married",'Inputs'!$C$13="Life partner",'Inputs'!$C$13="Civil Union"),SUM('Inputs'!$R$22:$R$39)*S14+SUMIFS('Inputs'!$D$59:$D$70,'Inputs'!$C$59:$C$70,"Spouse",'Inputs'!$E$59:$E$70,"&lt;&gt;No")+SUM('Inputs'!$S$76:$S$81)+IF('Inputs'!$C$14="Spouse",MAX(0,S13),0),0)</f>
      </c>
      <c r="T15">
        <f>IF(OR(LEFT('Inputs'!$C$13,7)="Married",'Inputs'!$C$13="Life partner",'Inputs'!$C$13="Civil Union"),SUM('Inputs'!$R$22:$R$39)*T14+SUMIFS('Inputs'!$D$59:$D$70,'Inputs'!$C$59:$C$70,"Spouse",'Inputs'!$E$59:$E$70,"&lt;&gt;No")+SUM('Inputs'!$S$76:$S$81)+IF('Inputs'!$C$14="Spouse",MAX(0,T13),0),0)</f>
      </c>
    </row>
    <row r="16" spans="2:20" x14ac:dyDescent="0.25">
      <c r="B16" t="s">
        <v>325</v>
      </c>
      <c r="C16">
        <f>ROUND('Workings'!$C$36+C11+C10-C12-(C15+'Workings'!$C$35),2)</f>
      </c>
      <c r="E16">
        <f>ROUND('Workings'!$C$36+E11+E10-E12-(E15+'Workings'!$C$35),2)</f>
      </c>
      <c r="F16">
        <f>ROUND('Workings'!$C$36+F11+F10-F12-(F15+'Workings'!$C$35),2)</f>
      </c>
      <c r="G16">
        <f>ROUND('Workings'!$C$36+G11+G10-G12-(G15+'Workings'!$C$35),2)</f>
      </c>
      <c r="H16">
        <f>ROUND('Workings'!$C$36+H11+H10-H12-(H15+'Workings'!$C$35),2)</f>
      </c>
      <c r="I16">
        <f>ROUND('Workings'!$C$36+I11+I10-I12-(I15+'Workings'!$C$35),2)</f>
      </c>
      <c r="J16">
        <f>ROUND('Workings'!$C$36+J11+J10-J12-(J15+'Workings'!$C$35),2)</f>
      </c>
      <c r="K16">
        <f>ROUND('Workings'!$C$36+K11+K10-K12-(K15+'Workings'!$C$35),2)</f>
      </c>
      <c r="L16">
        <f>ROUND('Workings'!$C$36+L11+L10-L12-(L15+'Workings'!$C$35),2)</f>
      </c>
      <c r="M16">
        <f>ROUND('Workings'!$C$36+M11+M10-M12-(M15+'Workings'!$C$35),2)</f>
      </c>
      <c r="N16">
        <f>ROUND('Workings'!$C$36+N11+N10-N12-(N15+'Workings'!$C$35),2)</f>
      </c>
      <c r="O16">
        <f>ROUND('Workings'!$C$36+O11+O10-O12-(O15+'Workings'!$C$35),2)</f>
      </c>
      <c r="P16">
        <f>ROUND('Workings'!$C$36+P11+P10-P12-(P15+'Workings'!$C$35),2)</f>
      </c>
      <c r="Q16">
        <f>ROUND('Workings'!$C$36+Q11+Q10-Q12-(Q15+'Workings'!$C$35),2)</f>
      </c>
      <c r="R16">
        <f>ROUND('Workings'!$C$36+R11+R10-R12-(R15+'Workings'!$C$35),2)</f>
      </c>
      <c r="S16">
        <f>ROUND('Workings'!$C$36+S11+S10-S12-(S15+'Workings'!$C$35),2)</f>
      </c>
      <c r="T16">
        <f>ROUND('Workings'!$C$36+T11+T10-T12-(T15+'Workings'!$C$35),2)</f>
      </c>
    </row>
    <row r="17" spans="2:20" x14ac:dyDescent="0.25">
      <c r="B17" t="s">
        <v>326</v>
      </c>
      <c r="C17">
        <f>ROUND(IF(MAX(0,C16-'Inputs'!$C$127)&lt;='Inputs'!$C$129,MAX(0,C16-'Inputs'!$C$127)*'Inputs'!$C$128/100,'Inputs'!$C$129*'Inputs'!$C$128/100+(MAX(0,C16-'Inputs'!$C$127)-'Inputs'!$C$129)*'Inputs'!$C$130/100),2)</f>
      </c>
      <c r="E17">
        <f>ROUND(IF(MAX(0,E16-'Inputs'!$C$127)&lt;='Inputs'!$C$129,MAX(0,E16-'Inputs'!$C$127)*'Inputs'!$C$128/100,'Inputs'!$C$129*'Inputs'!$C$128/100+(MAX(0,E16-'Inputs'!$C$127)-'Inputs'!$C$129)*'Inputs'!$C$130/100),2)</f>
      </c>
      <c r="F17">
        <f>ROUND(IF(MAX(0,F16-'Inputs'!$C$127)&lt;='Inputs'!$C$129,MAX(0,F16-'Inputs'!$C$127)*'Inputs'!$C$128/100,'Inputs'!$C$129*'Inputs'!$C$128/100+(MAX(0,F16-'Inputs'!$C$127)-'Inputs'!$C$129)*'Inputs'!$C$130/100),2)</f>
      </c>
      <c r="G17">
        <f>ROUND(IF(MAX(0,G16-'Inputs'!$C$127)&lt;='Inputs'!$C$129,MAX(0,G16-'Inputs'!$C$127)*'Inputs'!$C$128/100,'Inputs'!$C$129*'Inputs'!$C$128/100+(MAX(0,G16-'Inputs'!$C$127)-'Inputs'!$C$129)*'Inputs'!$C$130/100),2)</f>
      </c>
      <c r="H17">
        <f>ROUND(IF(MAX(0,H16-'Inputs'!$C$127)&lt;='Inputs'!$C$129,MAX(0,H16-'Inputs'!$C$127)*'Inputs'!$C$128/100,'Inputs'!$C$129*'Inputs'!$C$128/100+(MAX(0,H16-'Inputs'!$C$127)-'Inputs'!$C$129)*'Inputs'!$C$130/100),2)</f>
      </c>
      <c r="I17">
        <f>ROUND(IF(MAX(0,I16-'Inputs'!$C$127)&lt;='Inputs'!$C$129,MAX(0,I16-'Inputs'!$C$127)*'Inputs'!$C$128/100,'Inputs'!$C$129*'Inputs'!$C$128/100+(MAX(0,I16-'Inputs'!$C$127)-'Inputs'!$C$129)*'Inputs'!$C$130/100),2)</f>
      </c>
      <c r="J17">
        <f>ROUND(IF(MAX(0,J16-'Inputs'!$C$127)&lt;='Inputs'!$C$129,MAX(0,J16-'Inputs'!$C$127)*'Inputs'!$C$128/100,'Inputs'!$C$129*'Inputs'!$C$128/100+(MAX(0,J16-'Inputs'!$C$127)-'Inputs'!$C$129)*'Inputs'!$C$130/100),2)</f>
      </c>
      <c r="K17">
        <f>ROUND(IF(MAX(0,K16-'Inputs'!$C$127)&lt;='Inputs'!$C$129,MAX(0,K16-'Inputs'!$C$127)*'Inputs'!$C$128/100,'Inputs'!$C$129*'Inputs'!$C$128/100+(MAX(0,K16-'Inputs'!$C$127)-'Inputs'!$C$129)*'Inputs'!$C$130/100),2)</f>
      </c>
      <c r="L17">
        <f>ROUND(IF(MAX(0,L16-'Inputs'!$C$127)&lt;='Inputs'!$C$129,MAX(0,L16-'Inputs'!$C$127)*'Inputs'!$C$128/100,'Inputs'!$C$129*'Inputs'!$C$128/100+(MAX(0,L16-'Inputs'!$C$127)-'Inputs'!$C$129)*'Inputs'!$C$130/100),2)</f>
      </c>
      <c r="M17">
        <f>ROUND(IF(MAX(0,M16-'Inputs'!$C$127)&lt;='Inputs'!$C$129,MAX(0,M16-'Inputs'!$C$127)*'Inputs'!$C$128/100,'Inputs'!$C$129*'Inputs'!$C$128/100+(MAX(0,M16-'Inputs'!$C$127)-'Inputs'!$C$129)*'Inputs'!$C$130/100),2)</f>
      </c>
      <c r="N17">
        <f>ROUND(IF(MAX(0,N16-'Inputs'!$C$127)&lt;='Inputs'!$C$129,MAX(0,N16-'Inputs'!$C$127)*'Inputs'!$C$128/100,'Inputs'!$C$129*'Inputs'!$C$128/100+(MAX(0,N16-'Inputs'!$C$127)-'Inputs'!$C$129)*'Inputs'!$C$130/100),2)</f>
      </c>
      <c r="O17">
        <f>ROUND(IF(MAX(0,O16-'Inputs'!$C$127)&lt;='Inputs'!$C$129,MAX(0,O16-'Inputs'!$C$127)*'Inputs'!$C$128/100,'Inputs'!$C$129*'Inputs'!$C$128/100+(MAX(0,O16-'Inputs'!$C$127)-'Inputs'!$C$129)*'Inputs'!$C$130/100),2)</f>
      </c>
      <c r="P17">
        <f>ROUND(IF(MAX(0,P16-'Inputs'!$C$127)&lt;='Inputs'!$C$129,MAX(0,P16-'Inputs'!$C$127)*'Inputs'!$C$128/100,'Inputs'!$C$129*'Inputs'!$C$128/100+(MAX(0,P16-'Inputs'!$C$127)-'Inputs'!$C$129)*'Inputs'!$C$130/100),2)</f>
      </c>
      <c r="Q17">
        <f>ROUND(IF(MAX(0,Q16-'Inputs'!$C$127)&lt;='Inputs'!$C$129,MAX(0,Q16-'Inputs'!$C$127)*'Inputs'!$C$128/100,'Inputs'!$C$129*'Inputs'!$C$128/100+(MAX(0,Q16-'Inputs'!$C$127)-'Inputs'!$C$129)*'Inputs'!$C$130/100),2)</f>
      </c>
      <c r="R17">
        <f>ROUND(IF(MAX(0,R16-'Inputs'!$C$127)&lt;='Inputs'!$C$129,MAX(0,R16-'Inputs'!$C$127)*'Inputs'!$C$128/100,'Inputs'!$C$129*'Inputs'!$C$128/100+(MAX(0,R16-'Inputs'!$C$127)-'Inputs'!$C$129)*'Inputs'!$C$130/100),2)</f>
      </c>
      <c r="S17">
        <f>ROUND(IF(MAX(0,S16-'Inputs'!$C$127)&lt;='Inputs'!$C$129,MAX(0,S16-'Inputs'!$C$127)*'Inputs'!$C$128/100,'Inputs'!$C$129*'Inputs'!$C$128/100+(MAX(0,S16-'Inputs'!$C$127)-'Inputs'!$C$129)*'Inputs'!$C$130/100),2)</f>
      </c>
      <c r="T17">
        <f>ROUND(IF(MAX(0,T16-'Inputs'!$C$127)&lt;='Inputs'!$C$129,MAX(0,T16-'Inputs'!$C$127)*'Inputs'!$C$128/100,'Inputs'!$C$129*'Inputs'!$C$128/100+(MAX(0,T16-'Inputs'!$C$127)-'Inputs'!$C$129)*'Inputs'!$C$130/100),2)</f>
      </c>
    </row>
    <row r="18" spans="2:20" x14ac:dyDescent="0.25">
      <c r="B18" t="s">
        <v>327</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328</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329</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330</v>
      </c>
      <c r="C21">
        <f>(1-'Inputs'!$T$100)*ROUND(C18*C4,2)+(1-'Inputs'!$T$101)*ROUND(C18*C5,2)+(1-'Inputs'!$T$102)*ROUND(C18*C6,2)+(1-'Inputs'!$T$103)*ROUND(C18*C7,2)+(1-'Inputs'!$T$104)*ROUND(C18*C8,2)+(1-'Inputs'!$T$105)*ROUND(C18*C9,2)</f>
      </c>
      <c r="E21">
        <f>(1-'Inputs'!$T$100)*ROUND(E18*E4,2)+(1-'Inputs'!$T$101)*ROUND(E18*E5,2)+(1-'Inputs'!$T$102)*ROUND(E18*E6,2)+(1-'Inputs'!$T$103)*ROUND(E18*E7,2)+(1-'Inputs'!$T$104)*ROUND(E18*E8,2)+(1-'Inputs'!$T$105)*ROUND(E18*E9,2)</f>
      </c>
      <c r="F21">
        <f>(1-'Inputs'!$T$100)*ROUND(F18*F4,2)+(1-'Inputs'!$T$101)*ROUND(F18*F5,2)+(1-'Inputs'!$T$102)*ROUND(F18*F6,2)+(1-'Inputs'!$T$103)*ROUND(F18*F7,2)+(1-'Inputs'!$T$104)*ROUND(F18*F8,2)+(1-'Inputs'!$T$105)*ROUND(F18*F9,2)</f>
      </c>
      <c r="G21">
        <f>(1-'Inputs'!$T$100)*ROUND(G18*G4,2)+(1-'Inputs'!$T$101)*ROUND(G18*G5,2)+(1-'Inputs'!$T$102)*ROUND(G18*G6,2)+(1-'Inputs'!$T$103)*ROUND(G18*G7,2)+(1-'Inputs'!$T$104)*ROUND(G18*G8,2)+(1-'Inputs'!$T$105)*ROUND(G18*G9,2)</f>
      </c>
      <c r="H21">
        <f>(1-'Inputs'!$T$100)*ROUND(H18*H4,2)+(1-'Inputs'!$T$101)*ROUND(H18*H5,2)+(1-'Inputs'!$T$102)*ROUND(H18*H6,2)+(1-'Inputs'!$T$103)*ROUND(H18*H7,2)+(1-'Inputs'!$T$104)*ROUND(H18*H8,2)+(1-'Inputs'!$T$105)*ROUND(H18*H9,2)</f>
      </c>
      <c r="I21">
        <f>(1-'Inputs'!$T$100)*ROUND(I18*I4,2)+(1-'Inputs'!$T$101)*ROUND(I18*I5,2)+(1-'Inputs'!$T$102)*ROUND(I18*I6,2)+(1-'Inputs'!$T$103)*ROUND(I18*I7,2)+(1-'Inputs'!$T$104)*ROUND(I18*I8,2)+(1-'Inputs'!$T$105)*ROUND(I18*I9,2)</f>
      </c>
      <c r="J21">
        <f>(1-'Inputs'!$T$100)*ROUND(J18*J4,2)+(1-'Inputs'!$T$101)*ROUND(J18*J5,2)+(1-'Inputs'!$T$102)*ROUND(J18*J6,2)+(1-'Inputs'!$T$103)*ROUND(J18*J7,2)+(1-'Inputs'!$T$104)*ROUND(J18*J8,2)+(1-'Inputs'!$T$105)*ROUND(J18*J9,2)</f>
      </c>
      <c r="K21">
        <f>(1-'Inputs'!$T$100)*ROUND(K18*K4,2)+(1-'Inputs'!$T$101)*ROUND(K18*K5,2)+(1-'Inputs'!$T$102)*ROUND(K18*K6,2)+(1-'Inputs'!$T$103)*ROUND(K18*K7,2)+(1-'Inputs'!$T$104)*ROUND(K18*K8,2)+(1-'Inputs'!$T$105)*ROUND(K18*K9,2)</f>
      </c>
      <c r="L21">
        <f>(1-'Inputs'!$T$100)*ROUND(L18*L4,2)+(1-'Inputs'!$T$101)*ROUND(L18*L5,2)+(1-'Inputs'!$T$102)*ROUND(L18*L6,2)+(1-'Inputs'!$T$103)*ROUND(L18*L7,2)+(1-'Inputs'!$T$104)*ROUND(L18*L8,2)+(1-'Inputs'!$T$105)*ROUND(L18*L9,2)</f>
      </c>
      <c r="M21">
        <f>(1-'Inputs'!$T$100)*ROUND(M18*M4,2)+(1-'Inputs'!$T$101)*ROUND(M18*M5,2)+(1-'Inputs'!$T$102)*ROUND(M18*M6,2)+(1-'Inputs'!$T$103)*ROUND(M18*M7,2)+(1-'Inputs'!$T$104)*ROUND(M18*M8,2)+(1-'Inputs'!$T$105)*ROUND(M18*M9,2)</f>
      </c>
      <c r="N21">
        <f>(1-'Inputs'!$T$100)*ROUND(N18*N4,2)+(1-'Inputs'!$T$101)*ROUND(N18*N5,2)+(1-'Inputs'!$T$102)*ROUND(N18*N6,2)+(1-'Inputs'!$T$103)*ROUND(N18*N7,2)+(1-'Inputs'!$T$104)*ROUND(N18*N8,2)+(1-'Inputs'!$T$105)*ROUND(N18*N9,2)</f>
      </c>
      <c r="O21">
        <f>(1-'Inputs'!$T$100)*ROUND(O18*O4,2)+(1-'Inputs'!$T$101)*ROUND(O18*O5,2)+(1-'Inputs'!$T$102)*ROUND(O18*O6,2)+(1-'Inputs'!$T$103)*ROUND(O18*O7,2)+(1-'Inputs'!$T$104)*ROUND(O18*O8,2)+(1-'Inputs'!$T$105)*ROUND(O18*O9,2)</f>
      </c>
      <c r="P21">
        <f>(1-'Inputs'!$T$100)*ROUND(P18*P4,2)+(1-'Inputs'!$T$101)*ROUND(P18*P5,2)+(1-'Inputs'!$T$102)*ROUND(P18*P6,2)+(1-'Inputs'!$T$103)*ROUND(P18*P7,2)+(1-'Inputs'!$T$104)*ROUND(P18*P8,2)+(1-'Inputs'!$T$105)*ROUND(P18*P9,2)</f>
      </c>
      <c r="Q21">
        <f>(1-'Inputs'!$T$100)*ROUND(Q18*Q4,2)+(1-'Inputs'!$T$101)*ROUND(Q18*Q5,2)+(1-'Inputs'!$T$102)*ROUND(Q18*Q6,2)+(1-'Inputs'!$T$103)*ROUND(Q18*Q7,2)+(1-'Inputs'!$T$104)*ROUND(Q18*Q8,2)+(1-'Inputs'!$T$105)*ROUND(Q18*Q9,2)</f>
      </c>
      <c r="R21">
        <f>(1-'Inputs'!$T$100)*ROUND(R18*R4,2)+(1-'Inputs'!$T$101)*ROUND(R18*R5,2)+(1-'Inputs'!$T$102)*ROUND(R18*R6,2)+(1-'Inputs'!$T$103)*ROUND(R18*R7,2)+(1-'Inputs'!$T$104)*ROUND(R18*R8,2)+(1-'Inputs'!$T$105)*ROUND(R18*R9,2)</f>
      </c>
      <c r="S21">
        <f>(1-'Inputs'!$T$100)*ROUND(S18*S4,2)+(1-'Inputs'!$T$101)*ROUND(S18*S5,2)+(1-'Inputs'!$T$102)*ROUND(S18*S6,2)+(1-'Inputs'!$T$103)*ROUND(S18*S7,2)+(1-'Inputs'!$T$104)*ROUND(S18*S8,2)+(1-'Inputs'!$T$105)*ROUND(S18*S9,2)</f>
      </c>
      <c r="T21">
        <f>(1-'Inputs'!$T$100)*ROUND(T18*T4,2)+(1-'Inputs'!$T$101)*ROUND(T18*T5,2)+(1-'Inputs'!$T$102)*ROUND(T18*T6,2)+(1-'Inputs'!$T$103)*ROUND(T18*T7,2)+(1-'Inputs'!$T$104)*ROUND(T18*T8,2)+(1-'Inputs'!$T$105)*ROUND(T18*T9,2)</f>
      </c>
    </row>
    <row r="22" spans="2:20" x14ac:dyDescent="0.25">
      <c r="B22" t="s">
        <v>331</v>
      </c>
      <c r="C22">
        <f>SUMPRODUCT(ROUND(C18*'Inputs'!$O$76:$O$81,2))</f>
      </c>
      <c r="E22">
        <f>SUMPRODUCT(ROUND(E18*'Inputs'!$O$76:$O$81,2))</f>
      </c>
      <c r="F22">
        <f>SUMPRODUCT(ROUND(F18*'Inputs'!$O$76:$O$81,2))</f>
      </c>
      <c r="G22">
        <f>SUMPRODUCT(ROUND(G18*'Inputs'!$O$76:$O$81,2))</f>
      </c>
      <c r="H22">
        <f>SUMPRODUCT(ROUND(H18*'Inputs'!$O$76:$O$81,2))</f>
      </c>
      <c r="I22">
        <f>SUMPRODUCT(ROUND(I18*'Inputs'!$O$76:$O$81,2))</f>
      </c>
      <c r="J22">
        <f>SUMPRODUCT(ROUND(J18*'Inputs'!$O$76:$O$81,2))</f>
      </c>
      <c r="K22">
        <f>SUMPRODUCT(ROUND(K18*'Inputs'!$O$76:$O$81,2))</f>
      </c>
      <c r="L22">
        <f>SUMPRODUCT(ROUND(L18*'Inputs'!$O$76:$O$81,2))</f>
      </c>
      <c r="M22">
        <f>SUMPRODUCT(ROUND(M18*'Inputs'!$O$76:$O$81,2))</f>
      </c>
      <c r="N22">
        <f>SUMPRODUCT(ROUND(N18*'Inputs'!$O$76:$O$81,2))</f>
      </c>
      <c r="O22">
        <f>SUMPRODUCT(ROUND(O18*'Inputs'!$O$76:$O$81,2))</f>
      </c>
      <c r="P22">
        <f>SUMPRODUCT(ROUND(P18*'Inputs'!$O$76:$O$81,2))</f>
      </c>
      <c r="Q22">
        <f>SUMPRODUCT(ROUND(Q18*'Inputs'!$O$76:$O$81,2))</f>
      </c>
      <c r="R22">
        <f>SUMPRODUCT(ROUND(R18*'Inputs'!$O$76:$O$81,2))</f>
      </c>
      <c r="S22">
        <f>SUMPRODUCT(ROUND(S18*'Inputs'!$O$76:$O$81,2))</f>
      </c>
      <c r="T22">
        <f>SUMPRODUCT(ROUND(T18*'Inputs'!$O$76:$O$81,2))</f>
      </c>
    </row>
    <row r="23" spans="2:20" x14ac:dyDescent="0.25">
      <c r="B23" t="s">
        <v>332</v>
      </c>
      <c r="C23">
        <f>ROUND(C17-C19-C20-C21-C22,2)</f>
      </c>
      <c r="E23">
        <f>ROUND(E17-E19-E20-E21-E22,2)</f>
      </c>
      <c r="F23">
        <f>ROUND(F17-F19-F20-F21-F22,2)</f>
      </c>
      <c r="G23">
        <f>ROUND(G17-G19-G20-G21-G22,2)</f>
      </c>
      <c r="H23">
        <f>ROUND(H17-H19-H20-H21-H22,2)</f>
      </c>
      <c r="I23">
        <f>ROUND(I17-I19-I20-I21-I22,2)</f>
      </c>
      <c r="J23">
        <f>ROUND(J17-J19-J20-J21-J22,2)</f>
      </c>
      <c r="K23">
        <f>ROUND(K17-K19-K20-K21-K22,2)</f>
      </c>
      <c r="L23">
        <f>ROUND(L17-L19-L20-L21-L22,2)</f>
      </c>
      <c r="M23">
        <f>ROUND(M17-M19-M20-M21-M22,2)</f>
      </c>
      <c r="N23">
        <f>ROUND(N17-N19-N20-N21-N22,2)</f>
      </c>
      <c r="O23">
        <f>ROUND(O17-O19-O20-O21-O22,2)</f>
      </c>
      <c r="P23">
        <f>ROUND(P17-P19-P20-P21-P22,2)</f>
      </c>
      <c r="Q23">
        <f>ROUND(Q17-Q19-Q20-Q21-Q22,2)</f>
      </c>
      <c r="R23">
        <f>ROUND(R17-R19-R20-R21-R22,2)</f>
      </c>
      <c r="S23">
        <f>ROUND(S17-S19-S20-S21-S22,2)</f>
      </c>
      <c r="T23">
        <f>ROUND(T17-T19-T20-T21-T22,2)</f>
      </c>
    </row>
    <row r="24" spans="2:20" x14ac:dyDescent="0.25">
      <c r="B24" t="s">
        <v>333</v>
      </c>
      <c r="C24">
        <f>ROUND('Workings'!$C$63-'Workings'!$C$49+C23+C12,2)</f>
      </c>
      <c r="E24">
        <f>ROUND('Workings'!$C$63-'Workings'!$C$49+E23+E12,2)</f>
      </c>
      <c r="F24">
        <f>ROUND('Workings'!$C$63-'Workings'!$C$49+F23+F12,2)</f>
      </c>
      <c r="G24">
        <f>ROUND('Workings'!$C$63-'Workings'!$C$49+G23+G12,2)</f>
      </c>
      <c r="H24">
        <f>ROUND('Workings'!$C$63-'Workings'!$C$49+H23+H12,2)</f>
      </c>
      <c r="I24">
        <f>ROUND('Workings'!$C$63-'Workings'!$C$49+I23+I12,2)</f>
      </c>
      <c r="J24">
        <f>ROUND('Workings'!$C$63-'Workings'!$C$49+J23+J12,2)</f>
      </c>
      <c r="K24">
        <f>ROUND('Workings'!$C$63-'Workings'!$C$49+K23+K12,2)</f>
      </c>
      <c r="L24">
        <f>ROUND('Workings'!$C$63-'Workings'!$C$49+L23+L12,2)</f>
      </c>
      <c r="M24">
        <f>ROUND('Workings'!$C$63-'Workings'!$C$49+M23+M12,2)</f>
      </c>
      <c r="N24">
        <f>ROUND('Workings'!$C$63-'Workings'!$C$49+N23+N12,2)</f>
      </c>
      <c r="O24">
        <f>ROUND('Workings'!$C$63-'Workings'!$C$49+O23+O12,2)</f>
      </c>
      <c r="P24">
        <f>ROUND('Workings'!$C$63-'Workings'!$C$49+P23+P12,2)</f>
      </c>
      <c r="Q24">
        <f>ROUND('Workings'!$C$63-'Workings'!$C$49+Q23+Q12,2)</f>
      </c>
      <c r="R24">
        <f>ROUND('Workings'!$C$63-'Workings'!$C$49+R23+R12,2)</f>
      </c>
      <c r="S24">
        <f>ROUND('Workings'!$C$63-'Workings'!$C$49+S23+S12,2)</f>
      </c>
      <c r="T24">
        <f>ROUND('Workings'!$C$63-'Workings'!$C$49+T23+T12,2)</f>
      </c>
    </row>
    <row r="25" spans="2:20" x14ac:dyDescent="0.25">
      <c r="B25" t="s">
        <v>334</v>
      </c>
      <c r="C25">
        <f>ROUND('Workings'!$C$66+C10,2)</f>
      </c>
      <c r="E25">
        <f>ROUND('Workings'!$C$66+E10,2)</f>
      </c>
      <c r="F25">
        <f>ROUND('Workings'!$C$66+F10,2)</f>
      </c>
      <c r="G25">
        <f>ROUND('Workings'!$C$66+G10,2)</f>
      </c>
      <c r="H25">
        <f>ROUND('Workings'!$C$66+H10,2)</f>
      </c>
      <c r="I25">
        <f>ROUND('Workings'!$C$66+I10,2)</f>
      </c>
      <c r="J25">
        <f>ROUND('Workings'!$C$66+J10,2)</f>
      </c>
      <c r="K25">
        <f>ROUND('Workings'!$C$66+K10,2)</f>
      </c>
      <c r="L25">
        <f>ROUND('Workings'!$C$66+L10,2)</f>
      </c>
      <c r="M25">
        <f>ROUND('Workings'!$C$66+M10,2)</f>
      </c>
      <c r="N25">
        <f>ROUND('Workings'!$C$66+N10,2)</f>
      </c>
      <c r="O25">
        <f>ROUND('Workings'!$C$66+O10,2)</f>
      </c>
      <c r="P25">
        <f>ROUND('Workings'!$C$66+P10,2)</f>
      </c>
      <c r="Q25">
        <f>ROUND('Workings'!$C$66+Q10,2)</f>
      </c>
      <c r="R25">
        <f>ROUND('Workings'!$C$66+R10,2)</f>
      </c>
      <c r="S25">
        <f>ROUND('Workings'!$C$66+S10,2)</f>
      </c>
      <c r="T25">
        <f>ROUND('Workings'!$C$66+T10,2)</f>
      </c>
    </row>
    <row r="26" spans="2:20" x14ac:dyDescent="0.25">
      <c r="B26" t="s">
        <v>335</v>
      </c>
      <c r="C26">
        <f>ROUND(MAX(0,C25-C24),2)</f>
      </c>
      <c r="E26">
        <f>ROUND(MAX(0,E25-E24),2)</f>
      </c>
      <c r="F26">
        <f>ROUND(MAX(0,F25-F24),2)</f>
      </c>
      <c r="G26">
        <f>ROUND(MAX(0,G25-G24),2)</f>
      </c>
      <c r="H26">
        <f>ROUND(MAX(0,H25-H24),2)</f>
      </c>
      <c r="I26">
        <f>ROUND(MAX(0,I25-I24),2)</f>
      </c>
      <c r="J26">
        <f>ROUND(MAX(0,J25-J24),2)</f>
      </c>
      <c r="K26">
        <f>ROUND(MAX(0,K25-K24),2)</f>
      </c>
      <c r="L26">
        <f>ROUND(MAX(0,L25-L24),2)</f>
      </c>
      <c r="M26">
        <f>ROUND(MAX(0,M25-M24),2)</f>
      </c>
      <c r="N26">
        <f>ROUND(MAX(0,N25-N24),2)</f>
      </c>
      <c r="O26">
        <f>ROUND(MAX(0,O25-O24),2)</f>
      </c>
      <c r="P26">
        <f>ROUND(MAX(0,P25-P24),2)</f>
      </c>
      <c r="Q26">
        <f>ROUND(MAX(0,Q25-Q24),2)</f>
      </c>
      <c r="R26">
        <f>ROUND(MAX(0,R25-R24),2)</f>
      </c>
      <c r="S26">
        <f>ROUND(MAX(0,S25-S24),2)</f>
      </c>
      <c r="T26">
        <f>ROUND(MAX(0,T25-T24),2)</f>
      </c>
    </row>
    <row r="27" spans="2:20" x14ac:dyDescent="0.25">
      <c r="B27" t="s">
        <v>336</v>
      </c>
      <c r="C27">
        <f>ROUND(C24-C25,2)</f>
      </c>
      <c r="E27">
        <f>ROUND(E24-E25,2)</f>
      </c>
      <c r="F27">
        <f>ROUND(F24-F25,2)</f>
      </c>
      <c r="G27">
        <f>ROUND(G24-G25,2)</f>
      </c>
      <c r="H27">
        <f>ROUND(H24-H25,2)</f>
      </c>
      <c r="I27">
        <f>ROUND(I24-I25,2)</f>
      </c>
      <c r="J27">
        <f>ROUND(J24-J25,2)</f>
      </c>
      <c r="K27">
        <f>ROUND(K24-K25,2)</f>
      </c>
      <c r="L27">
        <f>ROUND(L24-L25,2)</f>
      </c>
      <c r="M27">
        <f>ROUND(M24-M25,2)</f>
      </c>
      <c r="N27">
        <f>ROUND(N24-N25,2)</f>
      </c>
      <c r="O27">
        <f>ROUND(O24-O25,2)</f>
      </c>
      <c r="P27">
        <f>ROUND(P24-P25,2)</f>
      </c>
      <c r="Q27">
        <f>ROUND(Q24-Q25,2)</f>
      </c>
      <c r="R27">
        <f>ROUND(R24-R25,2)</f>
      </c>
      <c r="S27">
        <f>ROUND(S24-S25,2)</f>
      </c>
      <c r="T27">
        <f>ROUND(T24-T25,2)</f>
      </c>
    </row>
    <row r="28" spans="2:20" x14ac:dyDescent="0.25">
      <c r="B28" t="s">
        <v>337</v>
      </c>
      <c r="C28">
        <f>ROUND(C26+SUM('Inputs'!$Y$22:$Y$39),2)</f>
      </c>
      <c r="E28">
        <f>ROUND(E26+SUM('Inputs'!$Y$22:$Y$39),2)</f>
      </c>
      <c r="F28">
        <f>ROUND(F26+SUM('Inputs'!$Y$22:$Y$39),2)</f>
      </c>
      <c r="G28">
        <f>ROUND(G26+SUM('Inputs'!$Y$22:$Y$39),2)</f>
      </c>
      <c r="H28">
        <f>ROUND(H26+SUM('Inputs'!$Y$22:$Y$39),2)</f>
      </c>
      <c r="I28">
        <f>ROUND(I26+SUM('Inputs'!$Y$22:$Y$39),2)</f>
      </c>
      <c r="J28">
        <f>ROUND(J26+SUM('Inputs'!$Y$22:$Y$39),2)</f>
      </c>
      <c r="K28">
        <f>ROUND(K26+SUM('Inputs'!$Y$22:$Y$39),2)</f>
      </c>
      <c r="L28">
        <f>ROUND(L26+SUM('Inputs'!$Y$22:$Y$39),2)</f>
      </c>
      <c r="M28">
        <f>ROUND(M26+SUM('Inputs'!$Y$22:$Y$39),2)</f>
      </c>
      <c r="N28">
        <f>ROUND(N26+SUM('Inputs'!$Y$22:$Y$39),2)</f>
      </c>
      <c r="O28">
        <f>ROUND(O26+SUM('Inputs'!$Y$22:$Y$39),2)</f>
      </c>
      <c r="P28">
        <f>ROUND(P26+SUM('Inputs'!$Y$22:$Y$39),2)</f>
      </c>
      <c r="Q28">
        <f>ROUND(Q26+SUM('Inputs'!$Y$22:$Y$39),2)</f>
      </c>
      <c r="R28">
        <f>ROUND(R26+SUM('Inputs'!$Y$22:$Y$39),2)</f>
      </c>
      <c r="S28">
        <f>ROUND(S26+SUM('Inputs'!$Y$22:$Y$39),2)</f>
      </c>
      <c r="T28">
        <f>ROUND(T26+SUM('Inputs'!$Y$22:$Y$39),2)</f>
      </c>
    </row>
    <row r="29" spans="2:20" x14ac:dyDescent="0.25">
      <c r="B29" t="s">
        <v>338</v>
      </c>
      <c r="C29">
        <f>SUM('Inputs'!$L$100:$L$105)</f>
      </c>
      <c r="E29">
        <f>SUM('Inputs'!$L$100:$L$105)</f>
      </c>
      <c r="F29">
        <f>SUM('Inputs'!$L$100:$L$105)</f>
      </c>
      <c r="G29">
        <f>SUM('Inputs'!$L$100:$L$105)</f>
      </c>
      <c r="H29">
        <f>SUM('Inputs'!$L$100:$L$105)</f>
      </c>
      <c r="I29">
        <f>SUM('Inputs'!$L$100:$L$105)</f>
      </c>
      <c r="J29">
        <f>SUM('Inputs'!$L$100:$L$105)</f>
      </c>
      <c r="K29">
        <f>SUM('Inputs'!$L$100:$L$105)</f>
      </c>
      <c r="L29">
        <f>SUM('Inputs'!$L$100:$L$105)</f>
      </c>
      <c r="M29">
        <f>SUM('Inputs'!$L$100:$L$105)</f>
      </c>
      <c r="N29">
        <f>SUM('Inputs'!$L$100:$L$105)</f>
      </c>
      <c r="O29">
        <f>SUM('Inputs'!$L$100:$L$105)</f>
      </c>
      <c r="P29">
        <f>SUM('Inputs'!$L$100:$L$105)</f>
      </c>
      <c r="Q29">
        <f>SUM('Inputs'!$L$100:$L$105)</f>
      </c>
      <c r="R29">
        <f>SUM('Inputs'!$L$100:$L$105)</f>
      </c>
      <c r="S29">
        <f>SUM('Inputs'!$L$100:$L$105)</f>
      </c>
      <c r="T29">
        <f>SUM('Inputs'!$L$100:$L$105)</f>
      </c>
    </row>
    <row r="30" spans="2:20" x14ac:dyDescent="0.25">
      <c r="B30" t="s">
        <v>339</v>
      </c>
      <c r="C30">
        <f>SUM('Inputs'!$Q$100:$Q$105)</f>
      </c>
      <c r="E30">
        <f>SUM('Inputs'!$Q$100:$Q$105)</f>
      </c>
      <c r="F30">
        <f>SUM('Inputs'!$Q$100:$Q$105)</f>
      </c>
      <c r="G30">
        <f>SUM('Inputs'!$Q$100:$Q$105)</f>
      </c>
      <c r="H30">
        <f>SUM('Inputs'!$Q$100:$Q$105)</f>
      </c>
      <c r="I30">
        <f>SUM('Inputs'!$Q$100:$Q$105)</f>
      </c>
      <c r="J30">
        <f>SUM('Inputs'!$Q$100:$Q$105)</f>
      </c>
      <c r="K30">
        <f>SUM('Inputs'!$Q$100:$Q$105)</f>
      </c>
      <c r="L30">
        <f>SUM('Inputs'!$Q$100:$Q$105)</f>
      </c>
      <c r="M30">
        <f>SUM('Inputs'!$Q$100:$Q$105)</f>
      </c>
      <c r="N30">
        <f>SUM('Inputs'!$Q$100:$Q$105)</f>
      </c>
      <c r="O30">
        <f>SUM('Inputs'!$Q$100:$Q$105)</f>
      </c>
      <c r="P30">
        <f>SUM('Inputs'!$Q$100:$Q$105)</f>
      </c>
      <c r="Q30">
        <f>SUM('Inputs'!$Q$100:$Q$105)</f>
      </c>
      <c r="R30">
        <f>SUM('Inputs'!$Q$100:$Q$105)</f>
      </c>
      <c r="S30">
        <f>SUM('Inputs'!$Q$100:$Q$105)</f>
      </c>
      <c r="T30">
        <f>SUM('Inputs'!$Q$100:$Q$105)</f>
      </c>
    </row>
    <row r="31" spans="2:20" x14ac:dyDescent="0.25">
      <c r="B31" t="s">
        <v>340</v>
      </c>
      <c r="C31">
        <f>IF('Inputs'!$C$14="Spouse","S",IF('Inputs'!$C$106="Not to the dependants","N","K"))</f>
      </c>
      <c r="E31">
        <f>IF('Inputs'!$C$14="Spouse","S",IF('Inputs'!$C$106="Not to the dependants","N","K"))</f>
      </c>
      <c r="F31">
        <f>IF('Inputs'!$C$14="Spouse","S",IF('Inputs'!$C$106="Not to the dependants","N","K"))</f>
      </c>
      <c r="G31">
        <f>IF('Inputs'!$C$14="Spouse","S",IF('Inputs'!$C$106="Not to the dependants","N","K"))</f>
      </c>
      <c r="H31">
        <f>IF('Inputs'!$C$14="Spouse","S",IF('Inputs'!$C$106="Not to the dependants","N","K"))</f>
      </c>
      <c r="I31">
        <f>IF('Inputs'!$C$14="Spouse","S",IF('Inputs'!$C$106="Not to the dependants","N","K"))</f>
      </c>
      <c r="J31">
        <f>IF('Inputs'!$C$14="Spouse","S",IF('Inputs'!$C$106="Not to the dependants","N","K"))</f>
      </c>
      <c r="K31">
        <f>IF('Inputs'!$C$14="Spouse","S",IF('Inputs'!$C$106="Not to the dependants","N","K"))</f>
      </c>
      <c r="L31">
        <f>IF('Inputs'!$C$14="Spouse","S",IF('Inputs'!$C$106="Not to the dependants","N","K"))</f>
      </c>
      <c r="M31">
        <f>IF('Inputs'!$C$14="Spouse","S",IF('Inputs'!$C$106="Not to the dependants","N","K"))</f>
      </c>
      <c r="N31">
        <f>IF('Inputs'!$C$14="Spouse","S",IF('Inputs'!$C$106="Not to the dependants","N","K"))</f>
      </c>
      <c r="O31">
        <f>IF('Inputs'!$C$14="Spouse","S",IF('Inputs'!$C$106="Not to the dependants","N","K"))</f>
      </c>
      <c r="P31">
        <f>IF('Inputs'!$C$14="Spouse","S",IF('Inputs'!$C$106="Not to the dependants","N","K"))</f>
      </c>
      <c r="Q31">
        <f>IF('Inputs'!$C$14="Spouse","S",IF('Inputs'!$C$106="Not to the dependants","N","K"))</f>
      </c>
      <c r="R31">
        <f>IF('Inputs'!$C$14="Spouse","S",IF('Inputs'!$C$106="Not to the dependants","N","K"))</f>
      </c>
      <c r="S31">
        <f>IF('Inputs'!$C$14="Spouse","S",IF('Inputs'!$C$106="Not to the dependants","N","K"))</f>
      </c>
      <c r="T31">
        <f>IF('Inputs'!$C$14="Spouse","S",IF('Inputs'!$C$106="Not to the dependants","N","K"))</f>
      </c>
    </row>
    <row r="32" spans="2:20" x14ac:dyDescent="0.25">
      <c r="B32" t="s">
        <v>341</v>
      </c>
      <c r="C32">
        <f>IF(C29=0,0,ROUNDDOWN(C28/C29,2))</f>
      </c>
      <c r="E32">
        <f>IF(E29=0,0,ROUNDDOWN(E28/E29,2))</f>
      </c>
      <c r="F32">
        <f>IF(F29=0,0,ROUNDDOWN(F28/F29,2))</f>
      </c>
      <c r="G32">
        <f>IF(G29=0,0,ROUNDDOWN(G28/G29,2))</f>
      </c>
      <c r="H32">
        <f>IF(H29=0,0,ROUNDDOWN(H28/H29,2))</f>
      </c>
      <c r="I32">
        <f>IF(I29=0,0,ROUNDDOWN(I28/I29,2))</f>
      </c>
      <c r="J32">
        <f>IF(J29=0,0,ROUNDDOWN(J28/J29,2))</f>
      </c>
      <c r="K32">
        <f>IF(K29=0,0,ROUNDDOWN(K28/K29,2))</f>
      </c>
      <c r="L32">
        <f>IF(L29=0,0,ROUNDDOWN(L28/L29,2))</f>
      </c>
      <c r="M32">
        <f>IF(M29=0,0,ROUNDDOWN(M28/M29,2))</f>
      </c>
      <c r="N32">
        <f>IF(N29=0,0,ROUNDDOWN(N28/N29,2))</f>
      </c>
      <c r="O32">
        <f>IF(O29=0,0,ROUNDDOWN(O28/O29,2))</f>
      </c>
      <c r="P32">
        <f>IF(P29=0,0,ROUNDDOWN(P28/P29,2))</f>
      </c>
      <c r="Q32">
        <f>IF(Q29=0,0,ROUNDDOWN(Q28/Q29,2))</f>
      </c>
      <c r="R32">
        <f>IF(R29=0,0,ROUNDDOWN(R28/R29,2))</f>
      </c>
      <c r="S32">
        <f>IF(S29=0,0,ROUNDDOWN(S28/S29,2))</f>
      </c>
      <c r="T32">
        <f>IF(T29=0,0,ROUNDDOWN(T28/T29,2))</f>
      </c>
    </row>
    <row r="33" spans="2:20" x14ac:dyDescent="0.25">
      <c r="B33" t="s">
        <v>342</v>
      </c>
      <c r="C33">
        <f>ROUND(C28-C32*(C29-1),2)</f>
      </c>
      <c r="E33">
        <f>ROUND(E28-E32*(E29-1),2)</f>
      </c>
      <c r="F33">
        <f>ROUND(F28-F32*(F29-1),2)</f>
      </c>
      <c r="G33">
        <f>ROUND(G28-G32*(G29-1),2)</f>
      </c>
      <c r="H33">
        <f>ROUND(H28-H32*(H29-1),2)</f>
      </c>
      <c r="I33">
        <f>ROUND(I28-I32*(I29-1),2)</f>
      </c>
      <c r="J33">
        <f>ROUND(J28-J32*(J29-1),2)</f>
      </c>
      <c r="K33">
        <f>ROUND(K28-K32*(K29-1),2)</f>
      </c>
      <c r="L33">
        <f>ROUND(L28-L32*(L29-1),2)</f>
      </c>
      <c r="M33">
        <f>ROUND(M28-M32*(M29-1),2)</f>
      </c>
      <c r="N33">
        <f>ROUND(N28-N32*(N29-1),2)</f>
      </c>
      <c r="O33">
        <f>ROUND(O28-O32*(O29-1),2)</f>
      </c>
      <c r="P33">
        <f>ROUND(P28-P32*(P29-1),2)</f>
      </c>
      <c r="Q33">
        <f>ROUND(Q28-Q32*(Q29-1),2)</f>
      </c>
      <c r="R33">
        <f>ROUND(R28-R32*(R29-1),2)</f>
      </c>
      <c r="S33">
        <f>ROUND(S28-S32*(S29-1),2)</f>
      </c>
      <c r="T33">
        <f>ROUND(T28-T32*(T29-1),2)</f>
      </c>
    </row>
    <row r="34" spans="2:20" x14ac:dyDescent="0.25">
      <c r="B34" t="s">
        <v>343</v>
      </c>
      <c r="C34">
        <f>IF(C30=0,0,SUMPRODUCT('Inputs'!$Q$59:$Q$70,ROUNDDOWN(('Inputs'!$D$59:$D$70-'Inputs'!$R$59:$R$70*ROUND(C18*'Inputs'!$D$59:$D$70,2))/C30,2)))</f>
      </c>
      <c r="E34">
        <f>IF(E30=0,0,SUMPRODUCT('Inputs'!$Q$59:$Q$70,ROUNDDOWN(('Inputs'!$D$59:$D$70-'Inputs'!$R$59:$R$70*ROUND(E18*'Inputs'!$D$59:$D$70,2))/E30,2)))</f>
      </c>
      <c r="F34">
        <f>IF(F30=0,0,SUMPRODUCT('Inputs'!$Q$59:$Q$70,ROUNDDOWN(('Inputs'!$D$59:$D$70-'Inputs'!$R$59:$R$70*ROUND(F18*'Inputs'!$D$59:$D$70,2))/F30,2)))</f>
      </c>
      <c r="G34">
        <f>IF(G30=0,0,SUMPRODUCT('Inputs'!$Q$59:$Q$70,ROUNDDOWN(('Inputs'!$D$59:$D$70-'Inputs'!$R$59:$R$70*ROUND(G18*'Inputs'!$D$59:$D$70,2))/G30,2)))</f>
      </c>
      <c r="H34">
        <f>IF(H30=0,0,SUMPRODUCT('Inputs'!$Q$59:$Q$70,ROUNDDOWN(('Inputs'!$D$59:$D$70-'Inputs'!$R$59:$R$70*ROUND(H18*'Inputs'!$D$59:$D$70,2))/H30,2)))</f>
      </c>
      <c r="I34">
        <f>IF(I30=0,0,SUMPRODUCT('Inputs'!$Q$59:$Q$70,ROUNDDOWN(('Inputs'!$D$59:$D$70-'Inputs'!$R$59:$R$70*ROUND(I18*'Inputs'!$D$59:$D$70,2))/I30,2)))</f>
      </c>
      <c r="J34">
        <f>IF(J30=0,0,SUMPRODUCT('Inputs'!$Q$59:$Q$70,ROUNDDOWN(('Inputs'!$D$59:$D$70-'Inputs'!$R$59:$R$70*ROUND(J18*'Inputs'!$D$59:$D$70,2))/J30,2)))</f>
      </c>
      <c r="K34">
        <f>IF(K30=0,0,SUMPRODUCT('Inputs'!$Q$59:$Q$70,ROUNDDOWN(('Inputs'!$D$59:$D$70-'Inputs'!$R$59:$R$70*ROUND(K18*'Inputs'!$D$59:$D$70,2))/K30,2)))</f>
      </c>
      <c r="L34">
        <f>IF(L30=0,0,SUMPRODUCT('Inputs'!$Q$59:$Q$70,ROUNDDOWN(('Inputs'!$D$59:$D$70-'Inputs'!$R$59:$R$70*ROUND(L18*'Inputs'!$D$59:$D$70,2))/L30,2)))</f>
      </c>
      <c r="M34">
        <f>IF(M30=0,0,SUMPRODUCT('Inputs'!$Q$59:$Q$70,ROUNDDOWN(('Inputs'!$D$59:$D$70-'Inputs'!$R$59:$R$70*ROUND(M18*'Inputs'!$D$59:$D$70,2))/M30,2)))</f>
      </c>
      <c r="N34">
        <f>IF(N30=0,0,SUMPRODUCT('Inputs'!$Q$59:$Q$70,ROUNDDOWN(('Inputs'!$D$59:$D$70-'Inputs'!$R$59:$R$70*ROUND(N18*'Inputs'!$D$59:$D$70,2))/N30,2)))</f>
      </c>
      <c r="O34">
        <f>IF(O30=0,0,SUMPRODUCT('Inputs'!$Q$59:$Q$70,ROUNDDOWN(('Inputs'!$D$59:$D$70-'Inputs'!$R$59:$R$70*ROUND(O18*'Inputs'!$D$59:$D$70,2))/O30,2)))</f>
      </c>
      <c r="P34">
        <f>IF(P30=0,0,SUMPRODUCT('Inputs'!$Q$59:$Q$70,ROUNDDOWN(('Inputs'!$D$59:$D$70-'Inputs'!$R$59:$R$70*ROUND(P18*'Inputs'!$D$59:$D$70,2))/P30,2)))</f>
      </c>
      <c r="Q34">
        <f>IF(Q30=0,0,SUMPRODUCT('Inputs'!$Q$59:$Q$70,ROUNDDOWN(('Inputs'!$D$59:$D$70-'Inputs'!$R$59:$R$70*ROUND(Q18*'Inputs'!$D$59:$D$70,2))/Q30,2)))</f>
      </c>
      <c r="R34">
        <f>IF(R30=0,0,SUMPRODUCT('Inputs'!$Q$59:$Q$70,ROUNDDOWN(('Inputs'!$D$59:$D$70-'Inputs'!$R$59:$R$70*ROUND(R18*'Inputs'!$D$59:$D$70,2))/R30,2)))</f>
      </c>
      <c r="S34">
        <f>IF(S30=0,0,SUMPRODUCT('Inputs'!$Q$59:$Q$70,ROUNDDOWN(('Inputs'!$D$59:$D$70-'Inputs'!$R$59:$R$70*ROUND(S18*'Inputs'!$D$59:$D$70,2))/S30,2)))</f>
      </c>
      <c r="T34">
        <f>IF(T30=0,0,SUMPRODUCT('Inputs'!$Q$59:$Q$70,ROUNDDOWN(('Inputs'!$D$59:$D$70-'Inputs'!$R$59:$R$70*ROUND(T18*'Inputs'!$D$59:$D$70,2))/T30,2)))</f>
      </c>
    </row>
    <row r="35" spans="2:20" x14ac:dyDescent="0.25">
      <c r="B35" t="s">
        <v>344</v>
      </c>
      <c r="C35">
        <f>IF(C30=0,0,SUMPRODUCT('Inputs'!$Q$59:$Q$70,('Inputs'!$D$59:$D$70-'Inputs'!$R$59:$R$70*ROUND(C18*'Inputs'!$D$59:$D$70,2))-ROUNDDOWN(('Inputs'!$D$59:$D$70-'Inputs'!$R$59:$R$70*ROUND(C18*'Inputs'!$D$59:$D$70,2))/C30,2)*(C30-1)))</f>
      </c>
      <c r="E35">
        <f>IF(E30=0,0,SUMPRODUCT('Inputs'!$Q$59:$Q$70,('Inputs'!$D$59:$D$70-'Inputs'!$R$59:$R$70*ROUND(E18*'Inputs'!$D$59:$D$70,2))-ROUNDDOWN(('Inputs'!$D$59:$D$70-'Inputs'!$R$59:$R$70*ROUND(E18*'Inputs'!$D$59:$D$70,2))/E30,2)*(E30-1)))</f>
      </c>
      <c r="F35">
        <f>IF(F30=0,0,SUMPRODUCT('Inputs'!$Q$59:$Q$70,('Inputs'!$D$59:$D$70-'Inputs'!$R$59:$R$70*ROUND(F18*'Inputs'!$D$59:$D$70,2))-ROUNDDOWN(('Inputs'!$D$59:$D$70-'Inputs'!$R$59:$R$70*ROUND(F18*'Inputs'!$D$59:$D$70,2))/F30,2)*(F30-1)))</f>
      </c>
      <c r="G35">
        <f>IF(G30=0,0,SUMPRODUCT('Inputs'!$Q$59:$Q$70,('Inputs'!$D$59:$D$70-'Inputs'!$R$59:$R$70*ROUND(G18*'Inputs'!$D$59:$D$70,2))-ROUNDDOWN(('Inputs'!$D$59:$D$70-'Inputs'!$R$59:$R$70*ROUND(G18*'Inputs'!$D$59:$D$70,2))/G30,2)*(G30-1)))</f>
      </c>
      <c r="H35">
        <f>IF(H30=0,0,SUMPRODUCT('Inputs'!$Q$59:$Q$70,('Inputs'!$D$59:$D$70-'Inputs'!$R$59:$R$70*ROUND(H18*'Inputs'!$D$59:$D$70,2))-ROUNDDOWN(('Inputs'!$D$59:$D$70-'Inputs'!$R$59:$R$70*ROUND(H18*'Inputs'!$D$59:$D$70,2))/H30,2)*(H30-1)))</f>
      </c>
      <c r="I35">
        <f>IF(I30=0,0,SUMPRODUCT('Inputs'!$Q$59:$Q$70,('Inputs'!$D$59:$D$70-'Inputs'!$R$59:$R$70*ROUND(I18*'Inputs'!$D$59:$D$70,2))-ROUNDDOWN(('Inputs'!$D$59:$D$70-'Inputs'!$R$59:$R$70*ROUND(I18*'Inputs'!$D$59:$D$70,2))/I30,2)*(I30-1)))</f>
      </c>
      <c r="J35">
        <f>IF(J30=0,0,SUMPRODUCT('Inputs'!$Q$59:$Q$70,('Inputs'!$D$59:$D$70-'Inputs'!$R$59:$R$70*ROUND(J18*'Inputs'!$D$59:$D$70,2))-ROUNDDOWN(('Inputs'!$D$59:$D$70-'Inputs'!$R$59:$R$70*ROUND(J18*'Inputs'!$D$59:$D$70,2))/J30,2)*(J30-1)))</f>
      </c>
      <c r="K35">
        <f>IF(K30=0,0,SUMPRODUCT('Inputs'!$Q$59:$Q$70,('Inputs'!$D$59:$D$70-'Inputs'!$R$59:$R$70*ROUND(K18*'Inputs'!$D$59:$D$70,2))-ROUNDDOWN(('Inputs'!$D$59:$D$70-'Inputs'!$R$59:$R$70*ROUND(K18*'Inputs'!$D$59:$D$70,2))/K30,2)*(K30-1)))</f>
      </c>
      <c r="L35">
        <f>IF(L30=0,0,SUMPRODUCT('Inputs'!$Q$59:$Q$70,('Inputs'!$D$59:$D$70-'Inputs'!$R$59:$R$70*ROUND(L18*'Inputs'!$D$59:$D$70,2))-ROUNDDOWN(('Inputs'!$D$59:$D$70-'Inputs'!$R$59:$R$70*ROUND(L18*'Inputs'!$D$59:$D$70,2))/L30,2)*(L30-1)))</f>
      </c>
      <c r="M35">
        <f>IF(M30=0,0,SUMPRODUCT('Inputs'!$Q$59:$Q$70,('Inputs'!$D$59:$D$70-'Inputs'!$R$59:$R$70*ROUND(M18*'Inputs'!$D$59:$D$70,2))-ROUNDDOWN(('Inputs'!$D$59:$D$70-'Inputs'!$R$59:$R$70*ROUND(M18*'Inputs'!$D$59:$D$70,2))/M30,2)*(M30-1)))</f>
      </c>
      <c r="N35">
        <f>IF(N30=0,0,SUMPRODUCT('Inputs'!$Q$59:$Q$70,('Inputs'!$D$59:$D$70-'Inputs'!$R$59:$R$70*ROUND(N18*'Inputs'!$D$59:$D$70,2))-ROUNDDOWN(('Inputs'!$D$59:$D$70-'Inputs'!$R$59:$R$70*ROUND(N18*'Inputs'!$D$59:$D$70,2))/N30,2)*(N30-1)))</f>
      </c>
      <c r="O35">
        <f>IF(O30=0,0,SUMPRODUCT('Inputs'!$Q$59:$Q$70,('Inputs'!$D$59:$D$70-'Inputs'!$R$59:$R$70*ROUND(O18*'Inputs'!$D$59:$D$70,2))-ROUNDDOWN(('Inputs'!$D$59:$D$70-'Inputs'!$R$59:$R$70*ROUND(O18*'Inputs'!$D$59:$D$70,2))/O30,2)*(O30-1)))</f>
      </c>
      <c r="P35">
        <f>IF(P30=0,0,SUMPRODUCT('Inputs'!$Q$59:$Q$70,('Inputs'!$D$59:$D$70-'Inputs'!$R$59:$R$70*ROUND(P18*'Inputs'!$D$59:$D$70,2))-ROUNDDOWN(('Inputs'!$D$59:$D$70-'Inputs'!$R$59:$R$70*ROUND(P18*'Inputs'!$D$59:$D$70,2))/P30,2)*(P30-1)))</f>
      </c>
      <c r="Q35">
        <f>IF(Q30=0,0,SUMPRODUCT('Inputs'!$Q$59:$Q$70,('Inputs'!$D$59:$D$70-'Inputs'!$R$59:$R$70*ROUND(Q18*'Inputs'!$D$59:$D$70,2))-ROUNDDOWN(('Inputs'!$D$59:$D$70-'Inputs'!$R$59:$R$70*ROUND(Q18*'Inputs'!$D$59:$D$70,2))/Q30,2)*(Q30-1)))</f>
      </c>
      <c r="R35">
        <f>IF(R30=0,0,SUMPRODUCT('Inputs'!$Q$59:$Q$70,('Inputs'!$D$59:$D$70-'Inputs'!$R$59:$R$70*ROUND(R18*'Inputs'!$D$59:$D$70,2))-ROUNDDOWN(('Inputs'!$D$59:$D$70-'Inputs'!$R$59:$R$70*ROUND(R18*'Inputs'!$D$59:$D$70,2))/R30,2)*(R30-1)))</f>
      </c>
      <c r="S35">
        <f>IF(S30=0,0,SUMPRODUCT('Inputs'!$Q$59:$Q$70,('Inputs'!$D$59:$D$70-'Inputs'!$R$59:$R$70*ROUND(S18*'Inputs'!$D$59:$D$70,2))-ROUNDDOWN(('Inputs'!$D$59:$D$70-'Inputs'!$R$59:$R$70*ROUND(S18*'Inputs'!$D$59:$D$70,2))/S30,2)*(S30-1)))</f>
      </c>
      <c r="T35">
        <f>IF(T30=0,0,SUMPRODUCT('Inputs'!$Q$59:$Q$70,('Inputs'!$D$59:$D$70-'Inputs'!$R$59:$R$70*ROUND(T18*'Inputs'!$D$59:$D$70,2))-ROUNDDOWN(('Inputs'!$D$59:$D$70-'Inputs'!$R$59:$R$70*ROUND(T18*'Inputs'!$D$59:$D$70,2))/T30,2)*(T30-1)))</f>
      </c>
    </row>
    <row r="36" spans="2:20" x14ac:dyDescent="0.25">
      <c r="B36" t="s">
        <v>345</v>
      </c>
      <c r="C36">
        <f>IF(C30=0,0,SUMPRODUCT(('Inputs'!$F$87:$F$94="The children's trust")*ROUNDDOWN('Inputs'!$J$87:$J$94/C30,2)))</f>
      </c>
      <c r="E36">
        <f>IF(E30=0,0,SUMPRODUCT(('Inputs'!$F$87:$F$94="The children's trust")*ROUNDDOWN('Inputs'!$J$87:$J$94/E30,2)))</f>
      </c>
      <c r="F36">
        <f>IF(F30=0,0,SUMPRODUCT(('Inputs'!$F$87:$F$94="The children's trust")*ROUNDDOWN('Inputs'!$J$87:$J$94/F30,2)))</f>
      </c>
      <c r="G36">
        <f>IF(G30=0,0,SUMPRODUCT(('Inputs'!$F$87:$F$94="The children's trust")*ROUNDDOWN('Inputs'!$J$87:$J$94/G30,2)))</f>
      </c>
      <c r="H36">
        <f>IF(H30=0,0,SUMPRODUCT(('Inputs'!$F$87:$F$94="The children's trust")*ROUNDDOWN('Inputs'!$J$87:$J$94/H30,2)))</f>
      </c>
      <c r="I36">
        <f>IF(I30=0,0,SUMPRODUCT(('Inputs'!$F$87:$F$94="The children's trust")*ROUNDDOWN('Inputs'!$J$87:$J$94/I30,2)))</f>
      </c>
      <c r="J36">
        <f>IF(J30=0,0,SUMPRODUCT(('Inputs'!$F$87:$F$94="The children's trust")*ROUNDDOWN('Inputs'!$J$87:$J$94/J30,2)))</f>
      </c>
      <c r="K36">
        <f>IF(K30=0,0,SUMPRODUCT(('Inputs'!$F$87:$F$94="The children's trust")*ROUNDDOWN('Inputs'!$J$87:$J$94/K30,2)))</f>
      </c>
      <c r="L36">
        <f>IF(L30=0,0,SUMPRODUCT(('Inputs'!$F$87:$F$94="The children's trust")*ROUNDDOWN('Inputs'!$J$87:$J$94/L30,2)))</f>
      </c>
      <c r="M36">
        <f>IF(M30=0,0,SUMPRODUCT(('Inputs'!$F$87:$F$94="The children's trust")*ROUNDDOWN('Inputs'!$J$87:$J$94/M30,2)))</f>
      </c>
      <c r="N36">
        <f>IF(N30=0,0,SUMPRODUCT(('Inputs'!$F$87:$F$94="The children's trust")*ROUNDDOWN('Inputs'!$J$87:$J$94/N30,2)))</f>
      </c>
      <c r="O36">
        <f>IF(O30=0,0,SUMPRODUCT(('Inputs'!$F$87:$F$94="The children's trust")*ROUNDDOWN('Inputs'!$J$87:$J$94/O30,2)))</f>
      </c>
      <c r="P36">
        <f>IF(P30=0,0,SUMPRODUCT(('Inputs'!$F$87:$F$94="The children's trust")*ROUNDDOWN('Inputs'!$J$87:$J$94/P30,2)))</f>
      </c>
      <c r="Q36">
        <f>IF(Q30=0,0,SUMPRODUCT(('Inputs'!$F$87:$F$94="The children's trust")*ROUNDDOWN('Inputs'!$J$87:$J$94/Q30,2)))</f>
      </c>
      <c r="R36">
        <f>IF(R30=0,0,SUMPRODUCT(('Inputs'!$F$87:$F$94="The children's trust")*ROUNDDOWN('Inputs'!$J$87:$J$94/R30,2)))</f>
      </c>
      <c r="S36">
        <f>IF(S30=0,0,SUMPRODUCT(('Inputs'!$F$87:$F$94="The children's trust")*ROUNDDOWN('Inputs'!$J$87:$J$94/S30,2)))</f>
      </c>
      <c r="T36">
        <f>IF(T30=0,0,SUMPRODUCT(('Inputs'!$F$87:$F$94="The children's trust")*ROUNDDOWN('Inputs'!$J$87:$J$94/T30,2)))</f>
      </c>
    </row>
    <row r="37" spans="2:20" x14ac:dyDescent="0.25">
      <c r="B37" t="s">
        <v>346</v>
      </c>
      <c r="C37">
        <f>IF(C30=0,0,SUMPRODUCT(('Inputs'!$F$87:$F$94="The children's trust")*('Inputs'!$J$87:$J$94-ROUNDDOWN('Inputs'!$J$87:$J$94/C30,2)*(C30-1))))</f>
      </c>
      <c r="E37">
        <f>IF(E30=0,0,SUMPRODUCT(('Inputs'!$F$87:$F$94="The children's trust")*('Inputs'!$J$87:$J$94-ROUNDDOWN('Inputs'!$J$87:$J$94/E30,2)*(E30-1))))</f>
      </c>
      <c r="F37">
        <f>IF(F30=0,0,SUMPRODUCT(('Inputs'!$F$87:$F$94="The children's trust")*('Inputs'!$J$87:$J$94-ROUNDDOWN('Inputs'!$J$87:$J$94/F30,2)*(F30-1))))</f>
      </c>
      <c r="G37">
        <f>IF(G30=0,0,SUMPRODUCT(('Inputs'!$F$87:$F$94="The children's trust")*('Inputs'!$J$87:$J$94-ROUNDDOWN('Inputs'!$J$87:$J$94/G30,2)*(G30-1))))</f>
      </c>
      <c r="H37">
        <f>IF(H30=0,0,SUMPRODUCT(('Inputs'!$F$87:$F$94="The children's trust")*('Inputs'!$J$87:$J$94-ROUNDDOWN('Inputs'!$J$87:$J$94/H30,2)*(H30-1))))</f>
      </c>
      <c r="I37">
        <f>IF(I30=0,0,SUMPRODUCT(('Inputs'!$F$87:$F$94="The children's trust")*('Inputs'!$J$87:$J$94-ROUNDDOWN('Inputs'!$J$87:$J$94/I30,2)*(I30-1))))</f>
      </c>
      <c r="J37">
        <f>IF(J30=0,0,SUMPRODUCT(('Inputs'!$F$87:$F$94="The children's trust")*('Inputs'!$J$87:$J$94-ROUNDDOWN('Inputs'!$J$87:$J$94/J30,2)*(J30-1))))</f>
      </c>
      <c r="K37">
        <f>IF(K30=0,0,SUMPRODUCT(('Inputs'!$F$87:$F$94="The children's trust")*('Inputs'!$J$87:$J$94-ROUNDDOWN('Inputs'!$J$87:$J$94/K30,2)*(K30-1))))</f>
      </c>
      <c r="L37">
        <f>IF(L30=0,0,SUMPRODUCT(('Inputs'!$F$87:$F$94="The children's trust")*('Inputs'!$J$87:$J$94-ROUNDDOWN('Inputs'!$J$87:$J$94/L30,2)*(L30-1))))</f>
      </c>
      <c r="M37">
        <f>IF(M30=0,0,SUMPRODUCT(('Inputs'!$F$87:$F$94="The children's trust")*('Inputs'!$J$87:$J$94-ROUNDDOWN('Inputs'!$J$87:$J$94/M30,2)*(M30-1))))</f>
      </c>
      <c r="N37">
        <f>IF(N30=0,0,SUMPRODUCT(('Inputs'!$F$87:$F$94="The children's trust")*('Inputs'!$J$87:$J$94-ROUNDDOWN('Inputs'!$J$87:$J$94/N30,2)*(N30-1))))</f>
      </c>
      <c r="O37">
        <f>IF(O30=0,0,SUMPRODUCT(('Inputs'!$F$87:$F$94="The children's trust")*('Inputs'!$J$87:$J$94-ROUNDDOWN('Inputs'!$J$87:$J$94/O30,2)*(O30-1))))</f>
      </c>
      <c r="P37">
        <f>IF(P30=0,0,SUMPRODUCT(('Inputs'!$F$87:$F$94="The children's trust")*('Inputs'!$J$87:$J$94-ROUNDDOWN('Inputs'!$J$87:$J$94/P30,2)*(P30-1))))</f>
      </c>
      <c r="Q37">
        <f>IF(Q30=0,0,SUMPRODUCT(('Inputs'!$F$87:$F$94="The children's trust")*('Inputs'!$J$87:$J$94-ROUNDDOWN('Inputs'!$J$87:$J$94/Q30,2)*(Q30-1))))</f>
      </c>
      <c r="R37">
        <f>IF(R30=0,0,SUMPRODUCT(('Inputs'!$F$87:$F$94="The children's trust")*('Inputs'!$J$87:$J$94-ROUNDDOWN('Inputs'!$J$87:$J$94/R30,2)*(R30-1))))</f>
      </c>
      <c r="S37">
        <f>IF(S30=0,0,SUMPRODUCT(('Inputs'!$F$87:$F$94="The children's trust")*('Inputs'!$J$87:$J$94-ROUNDDOWN('Inputs'!$J$87:$J$94/S30,2)*(S30-1))))</f>
      </c>
      <c r="T37">
        <f>IF(T30=0,0,SUMPRODUCT(('Inputs'!$F$87:$F$94="The children's trust")*('Inputs'!$J$87:$J$94-ROUNDDOWN('Inputs'!$J$87:$J$94/T30,2)*(T30-1))))</f>
      </c>
    </row>
    <row r="38" spans="2:20" x14ac:dyDescent="0.25">
      <c r="B38" t="s">
        <v>347</v>
      </c>
      <c r="C38">
        <f>SUMPRODUCT('Inputs'!$R$59:$R$70*('Inputs'!$F$59:$F$70=""),'Inputs'!$D$59:$D$70)</f>
      </c>
      <c r="E38">
        <f>SUMPRODUCT('Inputs'!$R$59:$R$70*('Inputs'!$F$59:$F$70=""),'Inputs'!$D$59:$D$70)</f>
      </c>
      <c r="F38">
        <f>SUMPRODUCT('Inputs'!$R$59:$R$70*('Inputs'!$F$59:$F$70=""),'Inputs'!$D$59:$D$70)</f>
      </c>
      <c r="G38">
        <f>SUMPRODUCT('Inputs'!$R$59:$R$70*('Inputs'!$F$59:$F$70=""),'Inputs'!$D$59:$D$70)</f>
      </c>
      <c r="H38">
        <f>SUMPRODUCT('Inputs'!$R$59:$R$70*('Inputs'!$F$59:$F$70=""),'Inputs'!$D$59:$D$70)</f>
      </c>
      <c r="I38">
        <f>SUMPRODUCT('Inputs'!$R$59:$R$70*('Inputs'!$F$59:$F$70=""),'Inputs'!$D$59:$D$70)</f>
      </c>
      <c r="J38">
        <f>SUMPRODUCT('Inputs'!$R$59:$R$70*('Inputs'!$F$59:$F$70=""),'Inputs'!$D$59:$D$70)</f>
      </c>
      <c r="K38">
        <f>SUMPRODUCT('Inputs'!$R$59:$R$70*('Inputs'!$F$59:$F$70=""),'Inputs'!$D$59:$D$70)</f>
      </c>
      <c r="L38">
        <f>SUMPRODUCT('Inputs'!$R$59:$R$70*('Inputs'!$F$59:$F$70=""),'Inputs'!$D$59:$D$70)</f>
      </c>
      <c r="M38">
        <f>SUMPRODUCT('Inputs'!$R$59:$R$70*('Inputs'!$F$59:$F$70=""),'Inputs'!$D$59:$D$70)</f>
      </c>
      <c r="N38">
        <f>SUMPRODUCT('Inputs'!$R$59:$R$70*('Inputs'!$F$59:$F$70=""),'Inputs'!$D$59:$D$70)</f>
      </c>
      <c r="O38">
        <f>SUMPRODUCT('Inputs'!$R$59:$R$70*('Inputs'!$F$59:$F$70=""),'Inputs'!$D$59:$D$70)</f>
      </c>
      <c r="P38">
        <f>SUMPRODUCT('Inputs'!$R$59:$R$70*('Inputs'!$F$59:$F$70=""),'Inputs'!$D$59:$D$70)</f>
      </c>
      <c r="Q38">
        <f>SUMPRODUCT('Inputs'!$R$59:$R$70*('Inputs'!$F$59:$F$70=""),'Inputs'!$D$59:$D$70)</f>
      </c>
      <c r="R38">
        <f>SUMPRODUCT('Inputs'!$R$59:$R$70*('Inputs'!$F$59:$F$70=""),'Inputs'!$D$59:$D$70)</f>
      </c>
      <c r="S38">
        <f>SUMPRODUCT('Inputs'!$R$59:$R$70*('Inputs'!$F$59:$F$70=""),'Inputs'!$D$59:$D$70)</f>
      </c>
      <c r="T38">
        <f>SUMPRODUCT('Inputs'!$R$59:$R$70*('Inputs'!$F$59:$F$70=""),'Inputs'!$D$59:$D$70)</f>
      </c>
    </row>
    <row r="39" spans="2:20" x14ac:dyDescent="0.25">
      <c r="B39" t="s">
        <v>348</v>
      </c>
      <c r="C39">
        <f>SUMPRODUCT('Inputs'!$R$59:$R$70*('Inputs'!$F$59:$F$70=""),ROUND(C18*'Inputs'!$D$59:$D$70,2))</f>
      </c>
      <c r="E39">
        <f>SUMPRODUCT('Inputs'!$R$59:$R$70*('Inputs'!$F$59:$F$70=""),ROUND(E18*'Inputs'!$D$59:$D$70,2))</f>
      </c>
      <c r="F39">
        <f>SUMPRODUCT('Inputs'!$R$59:$R$70*('Inputs'!$F$59:$F$70=""),ROUND(F18*'Inputs'!$D$59:$D$70,2))</f>
      </c>
      <c r="G39">
        <f>SUMPRODUCT('Inputs'!$R$59:$R$70*('Inputs'!$F$59:$F$70=""),ROUND(G18*'Inputs'!$D$59:$D$70,2))</f>
      </c>
      <c r="H39">
        <f>SUMPRODUCT('Inputs'!$R$59:$R$70*('Inputs'!$F$59:$F$70=""),ROUND(H18*'Inputs'!$D$59:$D$70,2))</f>
      </c>
      <c r="I39">
        <f>SUMPRODUCT('Inputs'!$R$59:$R$70*('Inputs'!$F$59:$F$70=""),ROUND(I18*'Inputs'!$D$59:$D$70,2))</f>
      </c>
      <c r="J39">
        <f>SUMPRODUCT('Inputs'!$R$59:$R$70*('Inputs'!$F$59:$F$70=""),ROUND(J18*'Inputs'!$D$59:$D$70,2))</f>
      </c>
      <c r="K39">
        <f>SUMPRODUCT('Inputs'!$R$59:$R$70*('Inputs'!$F$59:$F$70=""),ROUND(K18*'Inputs'!$D$59:$D$70,2))</f>
      </c>
      <c r="L39">
        <f>SUMPRODUCT('Inputs'!$R$59:$R$70*('Inputs'!$F$59:$F$70=""),ROUND(L18*'Inputs'!$D$59:$D$70,2))</f>
      </c>
      <c r="M39">
        <f>SUMPRODUCT('Inputs'!$R$59:$R$70*('Inputs'!$F$59:$F$70=""),ROUND(M18*'Inputs'!$D$59:$D$70,2))</f>
      </c>
      <c r="N39">
        <f>SUMPRODUCT('Inputs'!$R$59:$R$70*('Inputs'!$F$59:$F$70=""),ROUND(N18*'Inputs'!$D$59:$D$70,2))</f>
      </c>
      <c r="O39">
        <f>SUMPRODUCT('Inputs'!$R$59:$R$70*('Inputs'!$F$59:$F$70=""),ROUND(O18*'Inputs'!$D$59:$D$70,2))</f>
      </c>
      <c r="P39">
        <f>SUMPRODUCT('Inputs'!$R$59:$R$70*('Inputs'!$F$59:$F$70=""),ROUND(P18*'Inputs'!$D$59:$D$70,2))</f>
      </c>
      <c r="Q39">
        <f>SUMPRODUCT('Inputs'!$R$59:$R$70*('Inputs'!$F$59:$F$70=""),ROUND(Q18*'Inputs'!$D$59:$D$70,2))</f>
      </c>
      <c r="R39">
        <f>SUMPRODUCT('Inputs'!$R$59:$R$70*('Inputs'!$F$59:$F$70=""),ROUND(R18*'Inputs'!$D$59:$D$70,2))</f>
      </c>
      <c r="S39">
        <f>SUMPRODUCT('Inputs'!$R$59:$R$70*('Inputs'!$F$59:$F$70=""),ROUND(S18*'Inputs'!$D$59:$D$70,2))</f>
      </c>
      <c r="T39">
        <f>SUMPRODUCT('Inputs'!$R$59:$R$70*('Inputs'!$F$59:$F$70=""),ROUND(T18*'Inputs'!$D$59:$D$70,2))</f>
      </c>
    </row>
    <row r="40" spans="2:20" x14ac:dyDescent="0.25">
      <c r="B40" t="s">
        <v>349</v>
      </c>
      <c r="C40">
        <f>IF('Inputs'!$B$100="",0,ROUND(IF(C31="S",'Inputs'!$O$100*C28,IF(C31="K",'Inputs'!$L$100*IF('Inputs'!$N$100=1,C33,C32),0))+'Inputs'!$O$100*ROUND(SUM('Inputs'!$Z$22:$Z$39)*C14,2)+'Inputs'!$Q$100*IF('Inputs'!$S$100=1,C35+C37,C34+C36)+SUMPRODUCT(('Inputs'!$F$59:$F$70='Inputs'!$B$100)*('Inputs'!$C$59:$C$70&lt;&gt;"Estate")*('Inputs'!$C$59:$C$70&lt;&gt;""),('Inputs'!$D$59:$D$70-'Inputs'!$R$59:$R$70*ROUND(C18*'Inputs'!$D$59:$D$70,2)))+SUMPRODUCT(('Inputs'!$F$87:$F$94='Inputs'!$B$100)*'Inputs'!$J$87:$J$94)+C4-(1-'Inputs'!$T$100)*ROUND(C18*C4,2)-SUMPRODUCT(('Inputs'!$G$76:$G$81='Inputs'!$B$100)*ROUND(C18*'Inputs'!$O$76:$O$81,2)),2))</f>
      </c>
      <c r="E40">
        <f>IF('Inputs'!$B$100="",0,ROUND(IF(E31="S",'Inputs'!$O$100*E28,IF(E31="K",'Inputs'!$L$100*IF('Inputs'!$N$100=1,E33,E32),0))+'Inputs'!$O$100*ROUND(SUM('Inputs'!$Z$22:$Z$39)*E14,2)+'Inputs'!$Q$100*IF('Inputs'!$S$100=1,E35+E37,E34+E36)+SUMPRODUCT(('Inputs'!$F$59:$F$70='Inputs'!$B$100)*('Inputs'!$C$59:$C$70&lt;&gt;"Estate")*('Inputs'!$C$59:$C$70&lt;&gt;""),('Inputs'!$D$59:$D$70-'Inputs'!$R$59:$R$70*ROUND(E18*'Inputs'!$D$59:$D$70,2)))+SUMPRODUCT(('Inputs'!$F$87:$F$94='Inputs'!$B$100)*'Inputs'!$J$87:$J$94)+E4-(1-'Inputs'!$T$100)*ROUND(E18*E4,2)-SUMPRODUCT(('Inputs'!$G$76:$G$81='Inputs'!$B$100)*ROUND(E18*'Inputs'!$O$76:$O$81,2)),2))</f>
      </c>
      <c r="F40">
        <f>IF('Inputs'!$B$100="",0,ROUND(IF(F31="S",'Inputs'!$O$100*F28,IF(F31="K",'Inputs'!$L$100*IF('Inputs'!$N$100=1,F33,F32),0))+'Inputs'!$O$100*ROUND(SUM('Inputs'!$Z$22:$Z$39)*F14,2)+'Inputs'!$Q$100*IF('Inputs'!$S$100=1,F35+F37,F34+F36)+SUMPRODUCT(('Inputs'!$F$59:$F$70='Inputs'!$B$100)*('Inputs'!$C$59:$C$70&lt;&gt;"Estate")*('Inputs'!$C$59:$C$70&lt;&gt;""),('Inputs'!$D$59:$D$70-'Inputs'!$R$59:$R$70*ROUND(F18*'Inputs'!$D$59:$D$70,2)))+SUMPRODUCT(('Inputs'!$F$87:$F$94='Inputs'!$B$100)*'Inputs'!$J$87:$J$94)+F4-(1-'Inputs'!$T$100)*ROUND(F18*F4,2)-SUMPRODUCT(('Inputs'!$G$76:$G$81='Inputs'!$B$100)*ROUND(F18*'Inputs'!$O$76:$O$81,2)),2))</f>
      </c>
      <c r="G40">
        <f>IF('Inputs'!$B$100="",0,ROUND(IF(G31="S",'Inputs'!$O$100*G28,IF(G31="K",'Inputs'!$L$100*IF('Inputs'!$N$100=1,G33,G32),0))+'Inputs'!$O$100*ROUND(SUM('Inputs'!$Z$22:$Z$39)*G14,2)+'Inputs'!$Q$100*IF('Inputs'!$S$100=1,G35+G37,G34+G36)+SUMPRODUCT(('Inputs'!$F$59:$F$70='Inputs'!$B$100)*('Inputs'!$C$59:$C$70&lt;&gt;"Estate")*('Inputs'!$C$59:$C$70&lt;&gt;""),('Inputs'!$D$59:$D$70-'Inputs'!$R$59:$R$70*ROUND(G18*'Inputs'!$D$59:$D$70,2)))+SUMPRODUCT(('Inputs'!$F$87:$F$94='Inputs'!$B$100)*'Inputs'!$J$87:$J$94)+G4-(1-'Inputs'!$T$100)*ROUND(G18*G4,2)-SUMPRODUCT(('Inputs'!$G$76:$G$81='Inputs'!$B$100)*ROUND(G18*'Inputs'!$O$76:$O$81,2)),2))</f>
      </c>
      <c r="H40">
        <f>IF('Inputs'!$B$100="",0,ROUND(IF(H31="S",'Inputs'!$O$100*H28,IF(H31="K",'Inputs'!$L$100*IF('Inputs'!$N$100=1,H33,H32),0))+'Inputs'!$O$100*ROUND(SUM('Inputs'!$Z$22:$Z$39)*H14,2)+'Inputs'!$Q$100*IF('Inputs'!$S$100=1,H35+H37,H34+H36)+SUMPRODUCT(('Inputs'!$F$59:$F$70='Inputs'!$B$100)*('Inputs'!$C$59:$C$70&lt;&gt;"Estate")*('Inputs'!$C$59:$C$70&lt;&gt;""),('Inputs'!$D$59:$D$70-'Inputs'!$R$59:$R$70*ROUND(H18*'Inputs'!$D$59:$D$70,2)))+SUMPRODUCT(('Inputs'!$F$87:$F$94='Inputs'!$B$100)*'Inputs'!$J$87:$J$94)+H4-(1-'Inputs'!$T$100)*ROUND(H18*H4,2)-SUMPRODUCT(('Inputs'!$G$76:$G$81='Inputs'!$B$100)*ROUND(H18*'Inputs'!$O$76:$O$81,2)),2))</f>
      </c>
      <c r="I40">
        <f>IF('Inputs'!$B$100="",0,ROUND(IF(I31="S",'Inputs'!$O$100*I28,IF(I31="K",'Inputs'!$L$100*IF('Inputs'!$N$100=1,I33,I32),0))+'Inputs'!$O$100*ROUND(SUM('Inputs'!$Z$22:$Z$39)*I14,2)+'Inputs'!$Q$100*IF('Inputs'!$S$100=1,I35+I37,I34+I36)+SUMPRODUCT(('Inputs'!$F$59:$F$70='Inputs'!$B$100)*('Inputs'!$C$59:$C$70&lt;&gt;"Estate")*('Inputs'!$C$59:$C$70&lt;&gt;""),('Inputs'!$D$59:$D$70-'Inputs'!$R$59:$R$70*ROUND(I18*'Inputs'!$D$59:$D$70,2)))+SUMPRODUCT(('Inputs'!$F$87:$F$94='Inputs'!$B$100)*'Inputs'!$J$87:$J$94)+I4-(1-'Inputs'!$T$100)*ROUND(I18*I4,2)-SUMPRODUCT(('Inputs'!$G$76:$G$81='Inputs'!$B$100)*ROUND(I18*'Inputs'!$O$76:$O$81,2)),2))</f>
      </c>
      <c r="J40">
        <f>IF('Inputs'!$B$100="",0,ROUND(IF(J31="S",'Inputs'!$O$100*J28,IF(J31="K",'Inputs'!$L$100*IF('Inputs'!$N$100=1,J33,J32),0))+'Inputs'!$O$100*ROUND(SUM('Inputs'!$Z$22:$Z$39)*J14,2)+'Inputs'!$Q$100*IF('Inputs'!$S$100=1,J35+J37,J34+J36)+SUMPRODUCT(('Inputs'!$F$59:$F$70='Inputs'!$B$100)*('Inputs'!$C$59:$C$70&lt;&gt;"Estate")*('Inputs'!$C$59:$C$70&lt;&gt;""),('Inputs'!$D$59:$D$70-'Inputs'!$R$59:$R$70*ROUND(J18*'Inputs'!$D$59:$D$70,2)))+SUMPRODUCT(('Inputs'!$F$87:$F$94='Inputs'!$B$100)*'Inputs'!$J$87:$J$94)+J4-(1-'Inputs'!$T$100)*ROUND(J18*J4,2)-SUMPRODUCT(('Inputs'!$G$76:$G$81='Inputs'!$B$100)*ROUND(J18*'Inputs'!$O$76:$O$81,2)),2))</f>
      </c>
      <c r="K40">
        <f>IF('Inputs'!$B$100="",0,ROUND(IF(K31="S",'Inputs'!$O$100*K28,IF(K31="K",'Inputs'!$L$100*IF('Inputs'!$N$100=1,K33,K32),0))+'Inputs'!$O$100*ROUND(SUM('Inputs'!$Z$22:$Z$39)*K14,2)+'Inputs'!$Q$100*IF('Inputs'!$S$100=1,K35+K37,K34+K36)+SUMPRODUCT(('Inputs'!$F$59:$F$70='Inputs'!$B$100)*('Inputs'!$C$59:$C$70&lt;&gt;"Estate")*('Inputs'!$C$59:$C$70&lt;&gt;""),('Inputs'!$D$59:$D$70-'Inputs'!$R$59:$R$70*ROUND(K18*'Inputs'!$D$59:$D$70,2)))+SUMPRODUCT(('Inputs'!$F$87:$F$94='Inputs'!$B$100)*'Inputs'!$J$87:$J$94)+K4-(1-'Inputs'!$T$100)*ROUND(K18*K4,2)-SUMPRODUCT(('Inputs'!$G$76:$G$81='Inputs'!$B$100)*ROUND(K18*'Inputs'!$O$76:$O$81,2)),2))</f>
      </c>
      <c r="L40">
        <f>IF('Inputs'!$B$100="",0,ROUND(IF(L31="S",'Inputs'!$O$100*L28,IF(L31="K",'Inputs'!$L$100*IF('Inputs'!$N$100=1,L33,L32),0))+'Inputs'!$O$100*ROUND(SUM('Inputs'!$Z$22:$Z$39)*L14,2)+'Inputs'!$Q$100*IF('Inputs'!$S$100=1,L35+L37,L34+L36)+SUMPRODUCT(('Inputs'!$F$59:$F$70='Inputs'!$B$100)*('Inputs'!$C$59:$C$70&lt;&gt;"Estate")*('Inputs'!$C$59:$C$70&lt;&gt;""),('Inputs'!$D$59:$D$70-'Inputs'!$R$59:$R$70*ROUND(L18*'Inputs'!$D$59:$D$70,2)))+SUMPRODUCT(('Inputs'!$F$87:$F$94='Inputs'!$B$100)*'Inputs'!$J$87:$J$94)+L4-(1-'Inputs'!$T$100)*ROUND(L18*L4,2)-SUMPRODUCT(('Inputs'!$G$76:$G$81='Inputs'!$B$100)*ROUND(L18*'Inputs'!$O$76:$O$81,2)),2))</f>
      </c>
      <c r="M40">
        <f>IF('Inputs'!$B$100="",0,ROUND(IF(M31="S",'Inputs'!$O$100*M28,IF(M31="K",'Inputs'!$L$100*IF('Inputs'!$N$100=1,M33,M32),0))+'Inputs'!$O$100*ROUND(SUM('Inputs'!$Z$22:$Z$39)*M14,2)+'Inputs'!$Q$100*IF('Inputs'!$S$100=1,M35+M37,M34+M36)+SUMPRODUCT(('Inputs'!$F$59:$F$70='Inputs'!$B$100)*('Inputs'!$C$59:$C$70&lt;&gt;"Estate")*('Inputs'!$C$59:$C$70&lt;&gt;""),('Inputs'!$D$59:$D$70-'Inputs'!$R$59:$R$70*ROUND(M18*'Inputs'!$D$59:$D$70,2)))+SUMPRODUCT(('Inputs'!$F$87:$F$94='Inputs'!$B$100)*'Inputs'!$J$87:$J$94)+M4-(1-'Inputs'!$T$100)*ROUND(M18*M4,2)-SUMPRODUCT(('Inputs'!$G$76:$G$81='Inputs'!$B$100)*ROUND(M18*'Inputs'!$O$76:$O$81,2)),2))</f>
      </c>
      <c r="N40">
        <f>IF('Inputs'!$B$100="",0,ROUND(IF(N31="S",'Inputs'!$O$100*N28,IF(N31="K",'Inputs'!$L$100*IF('Inputs'!$N$100=1,N33,N32),0))+'Inputs'!$O$100*ROUND(SUM('Inputs'!$Z$22:$Z$39)*N14,2)+'Inputs'!$Q$100*IF('Inputs'!$S$100=1,N35+N37,N34+N36)+SUMPRODUCT(('Inputs'!$F$59:$F$70='Inputs'!$B$100)*('Inputs'!$C$59:$C$70&lt;&gt;"Estate")*('Inputs'!$C$59:$C$70&lt;&gt;""),('Inputs'!$D$59:$D$70-'Inputs'!$R$59:$R$70*ROUND(N18*'Inputs'!$D$59:$D$70,2)))+SUMPRODUCT(('Inputs'!$F$87:$F$94='Inputs'!$B$100)*'Inputs'!$J$87:$J$94)+N4-(1-'Inputs'!$T$100)*ROUND(N18*N4,2)-SUMPRODUCT(('Inputs'!$G$76:$G$81='Inputs'!$B$100)*ROUND(N18*'Inputs'!$O$76:$O$81,2)),2))</f>
      </c>
      <c r="O40">
        <f>IF('Inputs'!$B$100="",0,ROUND(IF(O31="S",'Inputs'!$O$100*O28,IF(O31="K",'Inputs'!$L$100*IF('Inputs'!$N$100=1,O33,O32),0))+'Inputs'!$O$100*ROUND(SUM('Inputs'!$Z$22:$Z$39)*O14,2)+'Inputs'!$Q$100*IF('Inputs'!$S$100=1,O35+O37,O34+O36)+SUMPRODUCT(('Inputs'!$F$59:$F$70='Inputs'!$B$100)*('Inputs'!$C$59:$C$70&lt;&gt;"Estate")*('Inputs'!$C$59:$C$70&lt;&gt;""),('Inputs'!$D$59:$D$70-'Inputs'!$R$59:$R$70*ROUND(O18*'Inputs'!$D$59:$D$70,2)))+SUMPRODUCT(('Inputs'!$F$87:$F$94='Inputs'!$B$100)*'Inputs'!$J$87:$J$94)+O4-(1-'Inputs'!$T$100)*ROUND(O18*O4,2)-SUMPRODUCT(('Inputs'!$G$76:$G$81='Inputs'!$B$100)*ROUND(O18*'Inputs'!$O$76:$O$81,2)),2))</f>
      </c>
      <c r="P40">
        <f>IF('Inputs'!$B$100="",0,ROUND(IF(P31="S",'Inputs'!$O$100*P28,IF(P31="K",'Inputs'!$L$100*IF('Inputs'!$N$100=1,P33,P32),0))+'Inputs'!$O$100*ROUND(SUM('Inputs'!$Z$22:$Z$39)*P14,2)+'Inputs'!$Q$100*IF('Inputs'!$S$100=1,P35+P37,P34+P36)+SUMPRODUCT(('Inputs'!$F$59:$F$70='Inputs'!$B$100)*('Inputs'!$C$59:$C$70&lt;&gt;"Estate")*('Inputs'!$C$59:$C$70&lt;&gt;""),('Inputs'!$D$59:$D$70-'Inputs'!$R$59:$R$70*ROUND(P18*'Inputs'!$D$59:$D$70,2)))+SUMPRODUCT(('Inputs'!$F$87:$F$94='Inputs'!$B$100)*'Inputs'!$J$87:$J$94)+P4-(1-'Inputs'!$T$100)*ROUND(P18*P4,2)-SUMPRODUCT(('Inputs'!$G$76:$G$81='Inputs'!$B$100)*ROUND(P18*'Inputs'!$O$76:$O$81,2)),2))</f>
      </c>
      <c r="Q40">
        <f>IF('Inputs'!$B$100="",0,ROUND(IF(Q31="S",'Inputs'!$O$100*Q28,IF(Q31="K",'Inputs'!$L$100*IF('Inputs'!$N$100=1,Q33,Q32),0))+'Inputs'!$O$100*ROUND(SUM('Inputs'!$Z$22:$Z$39)*Q14,2)+'Inputs'!$Q$100*IF('Inputs'!$S$100=1,Q35+Q37,Q34+Q36)+SUMPRODUCT(('Inputs'!$F$59:$F$70='Inputs'!$B$100)*('Inputs'!$C$59:$C$70&lt;&gt;"Estate")*('Inputs'!$C$59:$C$70&lt;&gt;""),('Inputs'!$D$59:$D$70-'Inputs'!$R$59:$R$70*ROUND(Q18*'Inputs'!$D$59:$D$70,2)))+SUMPRODUCT(('Inputs'!$F$87:$F$94='Inputs'!$B$100)*'Inputs'!$J$87:$J$94)+Q4-(1-'Inputs'!$T$100)*ROUND(Q18*Q4,2)-SUMPRODUCT(('Inputs'!$G$76:$G$81='Inputs'!$B$100)*ROUND(Q18*'Inputs'!$O$76:$O$81,2)),2))</f>
      </c>
      <c r="R40">
        <f>IF('Inputs'!$B$100="",0,ROUND(IF(R31="S",'Inputs'!$O$100*R28,IF(R31="K",'Inputs'!$L$100*IF('Inputs'!$N$100=1,R33,R32),0))+'Inputs'!$O$100*ROUND(SUM('Inputs'!$Z$22:$Z$39)*R14,2)+'Inputs'!$Q$100*IF('Inputs'!$S$100=1,R35+R37,R34+R36)+SUMPRODUCT(('Inputs'!$F$59:$F$70='Inputs'!$B$100)*('Inputs'!$C$59:$C$70&lt;&gt;"Estate")*('Inputs'!$C$59:$C$70&lt;&gt;""),('Inputs'!$D$59:$D$70-'Inputs'!$R$59:$R$70*ROUND(R18*'Inputs'!$D$59:$D$70,2)))+SUMPRODUCT(('Inputs'!$F$87:$F$94='Inputs'!$B$100)*'Inputs'!$J$87:$J$94)+R4-(1-'Inputs'!$T$100)*ROUND(R18*R4,2)-SUMPRODUCT(('Inputs'!$G$76:$G$81='Inputs'!$B$100)*ROUND(R18*'Inputs'!$O$76:$O$81,2)),2))</f>
      </c>
      <c r="S40">
        <f>IF('Inputs'!$B$100="",0,ROUND(IF(S31="S",'Inputs'!$O$100*S28,IF(S31="K",'Inputs'!$L$100*IF('Inputs'!$N$100=1,S33,S32),0))+'Inputs'!$O$100*ROUND(SUM('Inputs'!$Z$22:$Z$39)*S14,2)+'Inputs'!$Q$100*IF('Inputs'!$S$100=1,S35+S37,S34+S36)+SUMPRODUCT(('Inputs'!$F$59:$F$70='Inputs'!$B$100)*('Inputs'!$C$59:$C$70&lt;&gt;"Estate")*('Inputs'!$C$59:$C$70&lt;&gt;""),('Inputs'!$D$59:$D$70-'Inputs'!$R$59:$R$70*ROUND(S18*'Inputs'!$D$59:$D$70,2)))+SUMPRODUCT(('Inputs'!$F$87:$F$94='Inputs'!$B$100)*'Inputs'!$J$87:$J$94)+S4-(1-'Inputs'!$T$100)*ROUND(S18*S4,2)-SUMPRODUCT(('Inputs'!$G$76:$G$81='Inputs'!$B$100)*ROUND(S18*'Inputs'!$O$76:$O$81,2)),2))</f>
      </c>
      <c r="T40">
        <f>IF('Inputs'!$B$100="",0,ROUND(IF(T31="S",'Inputs'!$O$100*T28,IF(T31="K",'Inputs'!$L$100*IF('Inputs'!$N$100=1,T33,T32),0))+'Inputs'!$O$100*ROUND(SUM('Inputs'!$Z$22:$Z$39)*T14,2)+'Inputs'!$Q$100*IF('Inputs'!$S$100=1,T35+T37,T34+T36)+SUMPRODUCT(('Inputs'!$F$59:$F$70='Inputs'!$B$100)*('Inputs'!$C$59:$C$70&lt;&gt;"Estate")*('Inputs'!$C$59:$C$70&lt;&gt;""),('Inputs'!$D$59:$D$70-'Inputs'!$R$59:$R$70*ROUND(T18*'Inputs'!$D$59:$D$70,2)))+SUMPRODUCT(('Inputs'!$F$87:$F$94='Inputs'!$B$100)*'Inputs'!$J$87:$J$94)+T4-(1-'Inputs'!$T$100)*ROUND(T18*T4,2)-SUMPRODUCT(('Inputs'!$G$76:$G$81='Inputs'!$B$100)*ROUND(T18*'Inputs'!$O$76:$O$81,2)),2))</f>
      </c>
    </row>
    <row r="41" spans="2:20" x14ac:dyDescent="0.25">
      <c r="B41" t="s">
        <v>350</v>
      </c>
      <c r="C41">
        <f>'Needs years'!$C$5+MAX(0,C40-'Needs years'!$C$10)*('Inputs'!$H$122/100*('Inputs'!$H$125/100+'Inputs'!$H$120/100*'Inputs'!$H$127/100))</f>
      </c>
      <c r="E41">
        <f>'Needs years'!$C$5+MAX(0,E40-'Needs years'!$C$10)*('Inputs'!$H$122/100*('Inputs'!$H$125/100+'Inputs'!$H$120/100*'Inputs'!$H$127/100))</f>
      </c>
      <c r="F41">
        <f>'Needs years'!$C$5+MAX(0,F40-'Needs years'!$C$10)*('Inputs'!$H$122/100*('Inputs'!$H$125/100+'Inputs'!$H$120/100*'Inputs'!$H$127/100))</f>
      </c>
      <c r="G41">
        <f>'Needs years'!$C$5+MAX(0,G40-'Needs years'!$C$10)*('Inputs'!$H$122/100*('Inputs'!$H$125/100+'Inputs'!$H$120/100*'Inputs'!$H$127/100))</f>
      </c>
      <c r="H41">
        <f>'Needs years'!$C$5+MAX(0,H40-'Needs years'!$C$10)*('Inputs'!$H$122/100*('Inputs'!$H$125/100+'Inputs'!$H$120/100*'Inputs'!$H$127/100))</f>
      </c>
      <c r="I41">
        <f>'Needs years'!$C$5+MAX(0,I40-'Needs years'!$C$10)*('Inputs'!$H$122/100*('Inputs'!$H$125/100+'Inputs'!$H$120/100*'Inputs'!$H$127/100))</f>
      </c>
      <c r="J41">
        <f>'Needs years'!$C$5+MAX(0,J40-'Needs years'!$C$10)*('Inputs'!$H$122/100*('Inputs'!$H$125/100+'Inputs'!$H$120/100*'Inputs'!$H$127/100))</f>
      </c>
      <c r="K41">
        <f>'Needs years'!$C$5+MAX(0,K40-'Needs years'!$C$10)*('Inputs'!$H$122/100*('Inputs'!$H$125/100+'Inputs'!$H$120/100*'Inputs'!$H$127/100))</f>
      </c>
      <c r="L41">
        <f>'Needs years'!$C$5+MAX(0,L40-'Needs years'!$C$10)*('Inputs'!$H$122/100*('Inputs'!$H$125/100+'Inputs'!$H$120/100*'Inputs'!$H$127/100))</f>
      </c>
      <c r="M41">
        <f>'Needs years'!$C$5+MAX(0,M40-'Needs years'!$C$10)*('Inputs'!$H$122/100*('Inputs'!$H$125/100+'Inputs'!$H$120/100*'Inputs'!$H$127/100))</f>
      </c>
      <c r="N41">
        <f>'Needs years'!$C$5+MAX(0,N40-'Needs years'!$C$10)*('Inputs'!$H$122/100*('Inputs'!$H$125/100+'Inputs'!$H$120/100*'Inputs'!$H$127/100))</f>
      </c>
      <c r="O41">
        <f>'Needs years'!$C$5+MAX(0,O40-'Needs years'!$C$10)*('Inputs'!$H$122/100*('Inputs'!$H$125/100+'Inputs'!$H$120/100*'Inputs'!$H$127/100))</f>
      </c>
      <c r="P41">
        <f>'Needs years'!$C$5+MAX(0,P40-'Needs years'!$C$10)*('Inputs'!$H$122/100*('Inputs'!$H$125/100+'Inputs'!$H$120/100*'Inputs'!$H$127/100))</f>
      </c>
      <c r="Q41">
        <f>'Needs years'!$C$5+MAX(0,Q40-'Needs years'!$C$10)*('Inputs'!$H$122/100*('Inputs'!$H$125/100+'Inputs'!$H$120/100*'Inputs'!$H$127/100))</f>
      </c>
      <c r="R41">
        <f>'Needs years'!$C$5+MAX(0,R40-'Needs years'!$C$10)*('Inputs'!$H$122/100*('Inputs'!$H$125/100+'Inputs'!$H$120/100*'Inputs'!$H$127/100))</f>
      </c>
      <c r="S41">
        <f>'Needs years'!$C$5+MAX(0,S40-'Needs years'!$C$10)*('Inputs'!$H$122/100*('Inputs'!$H$125/100+'Inputs'!$H$120/100*'Inputs'!$H$127/100))</f>
      </c>
      <c r="T41">
        <f>'Needs years'!$C$5+MAX(0,T40-'Needs years'!$C$10)*('Inputs'!$H$122/100*('Inputs'!$H$125/100+'Inputs'!$H$120/100*'Inputs'!$H$127/100))</f>
      </c>
    </row>
    <row r="42" spans="2:20" x14ac:dyDescent="0.25">
      <c r="B42" t="s">
        <v>351</v>
      </c>
      <c r="C42">
        <f>IF(C41&lt;='Needs years'!$C$4,0,INDEX('Inputs'!$E$134:$E$140,MATCH(C41,'Inputs'!$C$134:$C$140,1)-IF(COUNTIF('Inputs'!$C$134:$C$140,C41)&gt;0,1,0))/100)</f>
      </c>
      <c r="E42">
        <f>IF(E41&lt;='Needs years'!$C$4,0,INDEX('Inputs'!$E$134:$E$140,MATCH(E41,'Inputs'!$C$134:$C$140,1)-IF(COUNTIF('Inputs'!$C$134:$C$140,E41)&gt;0,1,0))/100)</f>
      </c>
      <c r="F42">
        <f>IF(F41&lt;='Needs years'!$C$4,0,INDEX('Inputs'!$E$134:$E$140,MATCH(F41,'Inputs'!$C$134:$C$140,1)-IF(COUNTIF('Inputs'!$C$134:$C$140,F41)&gt;0,1,0))/100)</f>
      </c>
      <c r="G42">
        <f>IF(G41&lt;='Needs years'!$C$4,0,INDEX('Inputs'!$E$134:$E$140,MATCH(G41,'Inputs'!$C$134:$C$140,1)-IF(COUNTIF('Inputs'!$C$134:$C$140,G41)&gt;0,1,0))/100)</f>
      </c>
      <c r="H42">
        <f>IF(H41&lt;='Needs years'!$C$4,0,INDEX('Inputs'!$E$134:$E$140,MATCH(H41,'Inputs'!$C$134:$C$140,1)-IF(COUNTIF('Inputs'!$C$134:$C$140,H41)&gt;0,1,0))/100)</f>
      </c>
      <c r="I42">
        <f>IF(I41&lt;='Needs years'!$C$4,0,INDEX('Inputs'!$E$134:$E$140,MATCH(I41,'Inputs'!$C$134:$C$140,1)-IF(COUNTIF('Inputs'!$C$134:$C$140,I41)&gt;0,1,0))/100)</f>
      </c>
      <c r="J42">
        <f>IF(J41&lt;='Needs years'!$C$4,0,INDEX('Inputs'!$E$134:$E$140,MATCH(J41,'Inputs'!$C$134:$C$140,1)-IF(COUNTIF('Inputs'!$C$134:$C$140,J41)&gt;0,1,0))/100)</f>
      </c>
      <c r="K42">
        <f>IF(K41&lt;='Needs years'!$C$4,0,INDEX('Inputs'!$E$134:$E$140,MATCH(K41,'Inputs'!$C$134:$C$140,1)-IF(COUNTIF('Inputs'!$C$134:$C$140,K41)&gt;0,1,0))/100)</f>
      </c>
      <c r="L42">
        <f>IF(L41&lt;='Needs years'!$C$4,0,INDEX('Inputs'!$E$134:$E$140,MATCH(L41,'Inputs'!$C$134:$C$140,1)-IF(COUNTIF('Inputs'!$C$134:$C$140,L41)&gt;0,1,0))/100)</f>
      </c>
      <c r="M42">
        <f>IF(M41&lt;='Needs years'!$C$4,0,INDEX('Inputs'!$E$134:$E$140,MATCH(M41,'Inputs'!$C$134:$C$140,1)-IF(COUNTIF('Inputs'!$C$134:$C$140,M41)&gt;0,1,0))/100)</f>
      </c>
      <c r="N42">
        <f>IF(N41&lt;='Needs years'!$C$4,0,INDEX('Inputs'!$E$134:$E$140,MATCH(N41,'Inputs'!$C$134:$C$140,1)-IF(COUNTIF('Inputs'!$C$134:$C$140,N41)&gt;0,1,0))/100)</f>
      </c>
      <c r="O42">
        <f>IF(O41&lt;='Needs years'!$C$4,0,INDEX('Inputs'!$E$134:$E$140,MATCH(O41,'Inputs'!$C$134:$C$140,1)-IF(COUNTIF('Inputs'!$C$134:$C$140,O41)&gt;0,1,0))/100)</f>
      </c>
      <c r="P42">
        <f>IF(P41&lt;='Needs years'!$C$4,0,INDEX('Inputs'!$E$134:$E$140,MATCH(P41,'Inputs'!$C$134:$C$140,1)-IF(COUNTIF('Inputs'!$C$134:$C$140,P41)&gt;0,1,0))/100)</f>
      </c>
      <c r="Q42">
        <f>IF(Q41&lt;='Needs years'!$C$4,0,INDEX('Inputs'!$E$134:$E$140,MATCH(Q41,'Inputs'!$C$134:$C$140,1)-IF(COUNTIF('Inputs'!$C$134:$C$140,Q41)&gt;0,1,0))/100)</f>
      </c>
      <c r="R42">
        <f>IF(R41&lt;='Needs years'!$C$4,0,INDEX('Inputs'!$E$134:$E$140,MATCH(R41,'Inputs'!$C$134:$C$140,1)-IF(COUNTIF('Inputs'!$C$134:$C$140,R41)&gt;0,1,0))/100)</f>
      </c>
      <c r="S42">
        <f>IF(S41&lt;='Needs years'!$C$4,0,INDEX('Inputs'!$E$134:$E$140,MATCH(S41,'Inputs'!$C$134:$C$140,1)-IF(COUNTIF('Inputs'!$C$134:$C$140,S41)&gt;0,1,0))/100)</f>
      </c>
      <c r="T42">
        <f>IF(T41&lt;='Needs years'!$C$4,0,INDEX('Inputs'!$E$134:$E$140,MATCH(T41,'Inputs'!$C$134:$C$140,1)-IF(COUNTIF('Inputs'!$C$134:$C$140,T41)&gt;0,1,0))/100)</f>
      </c>
    </row>
    <row r="43" spans="2:20" x14ac:dyDescent="0.25">
      <c r="B43" t="s">
        <v>352</v>
      </c>
      <c r="C43">
        <f>('Inputs'!$H$122/100*(1-('Inputs'!$H$125/100*C42+'Inputs'!$H$126/100*'Inputs'!$H$128/100+'Inputs'!$H$127/100*'Inputs'!$H$120/100*C42))-IF('Needs years'!$C$9=1,'Inputs'!$H$123/100,0))</f>
      </c>
      <c r="E43">
        <f>('Inputs'!$H$122/100*(1-('Inputs'!$H$125/100*E42+'Inputs'!$H$126/100*'Inputs'!$H$128/100+'Inputs'!$H$127/100*'Inputs'!$H$120/100*E42))-IF('Needs years'!$C$9=1,'Inputs'!$H$123/100,0))</f>
      </c>
      <c r="F43">
        <f>('Inputs'!$H$122/100*(1-('Inputs'!$H$125/100*F42+'Inputs'!$H$126/100*'Inputs'!$H$128/100+'Inputs'!$H$127/100*'Inputs'!$H$120/100*F42))-IF('Needs years'!$C$9=1,'Inputs'!$H$123/100,0))</f>
      </c>
      <c r="G43">
        <f>('Inputs'!$H$122/100*(1-('Inputs'!$H$125/100*G42+'Inputs'!$H$126/100*'Inputs'!$H$128/100+'Inputs'!$H$127/100*'Inputs'!$H$120/100*G42))-IF('Needs years'!$C$9=1,'Inputs'!$H$123/100,0))</f>
      </c>
      <c r="H43">
        <f>('Inputs'!$H$122/100*(1-('Inputs'!$H$125/100*H42+'Inputs'!$H$126/100*'Inputs'!$H$128/100+'Inputs'!$H$127/100*'Inputs'!$H$120/100*H42))-IF('Needs years'!$C$9=1,'Inputs'!$H$123/100,0))</f>
      </c>
      <c r="I43">
        <f>('Inputs'!$H$122/100*(1-('Inputs'!$H$125/100*I42+'Inputs'!$H$126/100*'Inputs'!$H$128/100+'Inputs'!$H$127/100*'Inputs'!$H$120/100*I42))-IF('Needs years'!$C$9=1,'Inputs'!$H$123/100,0))</f>
      </c>
      <c r="J43">
        <f>('Inputs'!$H$122/100*(1-('Inputs'!$H$125/100*J42+'Inputs'!$H$126/100*'Inputs'!$H$128/100+'Inputs'!$H$127/100*'Inputs'!$H$120/100*J42))-IF('Needs years'!$C$9=1,'Inputs'!$H$123/100,0))</f>
      </c>
      <c r="K43">
        <f>('Inputs'!$H$122/100*(1-('Inputs'!$H$125/100*K42+'Inputs'!$H$126/100*'Inputs'!$H$128/100+'Inputs'!$H$127/100*'Inputs'!$H$120/100*K42))-IF('Needs years'!$C$9=1,'Inputs'!$H$123/100,0))</f>
      </c>
      <c r="L43">
        <f>('Inputs'!$H$122/100*(1-('Inputs'!$H$125/100*L42+'Inputs'!$H$126/100*'Inputs'!$H$128/100+'Inputs'!$H$127/100*'Inputs'!$H$120/100*L42))-IF('Needs years'!$C$9=1,'Inputs'!$H$123/100,0))</f>
      </c>
      <c r="M43">
        <f>('Inputs'!$H$122/100*(1-('Inputs'!$H$125/100*M42+'Inputs'!$H$126/100*'Inputs'!$H$128/100+'Inputs'!$H$127/100*'Inputs'!$H$120/100*M42))-IF('Needs years'!$C$9=1,'Inputs'!$H$123/100,0))</f>
      </c>
      <c r="N43">
        <f>('Inputs'!$H$122/100*(1-('Inputs'!$H$125/100*N42+'Inputs'!$H$126/100*'Inputs'!$H$128/100+'Inputs'!$H$127/100*'Inputs'!$H$120/100*N42))-IF('Needs years'!$C$9=1,'Inputs'!$H$123/100,0))</f>
      </c>
      <c r="O43">
        <f>('Inputs'!$H$122/100*(1-('Inputs'!$H$125/100*O42+'Inputs'!$H$126/100*'Inputs'!$H$128/100+'Inputs'!$H$127/100*'Inputs'!$H$120/100*O42))-IF('Needs years'!$C$9=1,'Inputs'!$H$123/100,0))</f>
      </c>
      <c r="P43">
        <f>('Inputs'!$H$122/100*(1-('Inputs'!$H$125/100*P42+'Inputs'!$H$126/100*'Inputs'!$H$128/100+'Inputs'!$H$127/100*'Inputs'!$H$120/100*P42))-IF('Needs years'!$C$9=1,'Inputs'!$H$123/100,0))</f>
      </c>
      <c r="Q43">
        <f>('Inputs'!$H$122/100*(1-('Inputs'!$H$125/100*Q42+'Inputs'!$H$126/100*'Inputs'!$H$128/100+'Inputs'!$H$127/100*'Inputs'!$H$120/100*Q42))-IF('Needs years'!$C$9=1,'Inputs'!$H$123/100,0))</f>
      </c>
      <c r="R43">
        <f>('Inputs'!$H$122/100*(1-('Inputs'!$H$125/100*R42+'Inputs'!$H$126/100*'Inputs'!$H$128/100+'Inputs'!$H$127/100*'Inputs'!$H$120/100*R42))-IF('Needs years'!$C$9=1,'Inputs'!$H$123/100,0))</f>
      </c>
      <c r="S43">
        <f>('Inputs'!$H$122/100*(1-('Inputs'!$H$125/100*S42+'Inputs'!$H$126/100*'Inputs'!$H$128/100+'Inputs'!$H$127/100*'Inputs'!$H$120/100*S42))-IF('Needs years'!$C$9=1,'Inputs'!$H$123/100,0))</f>
      </c>
      <c r="T43">
        <f>('Inputs'!$H$122/100*(1-('Inputs'!$H$125/100*T42+'Inputs'!$H$126/100*'Inputs'!$H$128/100+'Inputs'!$H$127/100*'Inputs'!$H$120/100*T42))-IF('Needs years'!$C$9=1,'Inputs'!$H$123/100,0))</f>
      </c>
    </row>
    <row r="44" spans="2:20" x14ac:dyDescent="0.25">
      <c r="B44" t="s">
        <v>353</v>
      </c>
      <c r="C44">
        <f>IF('Inputs'!$B$100="",0,ROUND('Needs years'!$C$10+ROUND(IF(C43=0,SUM('Needs years'!$J$4:$J$53),(1-(1+C43)^-1)/(1-(1+C43)^(-1/12))/12*SUMPRODUCT('Needs years'!$J$4:$J$53,(1+C43)^(-'Needs years'!$I$4:$I$53))),2),2))</f>
      </c>
      <c r="E44">
        <f>IF('Inputs'!$B$100="",0,ROUND('Needs years'!$C$10+ROUND(IF(E43=0,SUM('Needs years'!$J$4:$J$53),(1-(1+E43)^-1)/(1-(1+E43)^(-1/12))/12*SUMPRODUCT('Needs years'!$J$4:$J$53,(1+E43)^(-'Needs years'!$I$4:$I$53))),2),2))</f>
      </c>
      <c r="F44">
        <f>IF('Inputs'!$B$100="",0,ROUND('Needs years'!$C$10+ROUND(IF(F43=0,SUM('Needs years'!$J$4:$J$53),(1-(1+F43)^-1)/(1-(1+F43)^(-1/12))/12*SUMPRODUCT('Needs years'!$J$4:$J$53,(1+F43)^(-'Needs years'!$I$4:$I$53))),2),2))</f>
      </c>
      <c r="G44">
        <f>IF('Inputs'!$B$100="",0,ROUND('Needs years'!$C$10+ROUND(IF(G43=0,SUM('Needs years'!$J$4:$J$53),(1-(1+G43)^-1)/(1-(1+G43)^(-1/12))/12*SUMPRODUCT('Needs years'!$J$4:$J$53,(1+G43)^(-'Needs years'!$I$4:$I$53))),2),2))</f>
      </c>
      <c r="H44">
        <f>IF('Inputs'!$B$100="",0,ROUND('Needs years'!$C$10+ROUND(IF(H43=0,SUM('Needs years'!$J$4:$J$53),(1-(1+H43)^-1)/(1-(1+H43)^(-1/12))/12*SUMPRODUCT('Needs years'!$J$4:$J$53,(1+H43)^(-'Needs years'!$I$4:$I$53))),2),2))</f>
      </c>
      <c r="I44">
        <f>IF('Inputs'!$B$100="",0,ROUND('Needs years'!$C$10+ROUND(IF(I43=0,SUM('Needs years'!$J$4:$J$53),(1-(1+I43)^-1)/(1-(1+I43)^(-1/12))/12*SUMPRODUCT('Needs years'!$J$4:$J$53,(1+I43)^(-'Needs years'!$I$4:$I$53))),2),2))</f>
      </c>
      <c r="J44">
        <f>IF('Inputs'!$B$100="",0,ROUND('Needs years'!$C$10+ROUND(IF(J43=0,SUM('Needs years'!$J$4:$J$53),(1-(1+J43)^-1)/(1-(1+J43)^(-1/12))/12*SUMPRODUCT('Needs years'!$J$4:$J$53,(1+J43)^(-'Needs years'!$I$4:$I$53))),2),2))</f>
      </c>
      <c r="K44">
        <f>IF('Inputs'!$B$100="",0,ROUND('Needs years'!$C$10+ROUND(IF(K43=0,SUM('Needs years'!$J$4:$J$53),(1-(1+K43)^-1)/(1-(1+K43)^(-1/12))/12*SUMPRODUCT('Needs years'!$J$4:$J$53,(1+K43)^(-'Needs years'!$I$4:$I$53))),2),2))</f>
      </c>
      <c r="L44">
        <f>IF('Inputs'!$B$100="",0,ROUND('Needs years'!$C$10+ROUND(IF(L43=0,SUM('Needs years'!$J$4:$J$53),(1-(1+L43)^-1)/(1-(1+L43)^(-1/12))/12*SUMPRODUCT('Needs years'!$J$4:$J$53,(1+L43)^(-'Needs years'!$I$4:$I$53))),2),2))</f>
      </c>
      <c r="M44">
        <f>IF('Inputs'!$B$100="",0,ROUND('Needs years'!$C$10+ROUND(IF(M43=0,SUM('Needs years'!$J$4:$J$53),(1-(1+M43)^-1)/(1-(1+M43)^(-1/12))/12*SUMPRODUCT('Needs years'!$J$4:$J$53,(1+M43)^(-'Needs years'!$I$4:$I$53))),2),2))</f>
      </c>
      <c r="N44">
        <f>IF('Inputs'!$B$100="",0,ROUND('Needs years'!$C$10+ROUND(IF(N43=0,SUM('Needs years'!$J$4:$J$53),(1-(1+N43)^-1)/(1-(1+N43)^(-1/12))/12*SUMPRODUCT('Needs years'!$J$4:$J$53,(1+N43)^(-'Needs years'!$I$4:$I$53))),2),2))</f>
      </c>
      <c r="O44">
        <f>IF('Inputs'!$B$100="",0,ROUND('Needs years'!$C$10+ROUND(IF(O43=0,SUM('Needs years'!$J$4:$J$53),(1-(1+O43)^-1)/(1-(1+O43)^(-1/12))/12*SUMPRODUCT('Needs years'!$J$4:$J$53,(1+O43)^(-'Needs years'!$I$4:$I$53))),2),2))</f>
      </c>
      <c r="P44">
        <f>IF('Inputs'!$B$100="",0,ROUND('Needs years'!$C$10+ROUND(IF(P43=0,SUM('Needs years'!$J$4:$J$53),(1-(1+P43)^-1)/(1-(1+P43)^(-1/12))/12*SUMPRODUCT('Needs years'!$J$4:$J$53,(1+P43)^(-'Needs years'!$I$4:$I$53))),2),2))</f>
      </c>
      <c r="Q44">
        <f>IF('Inputs'!$B$100="",0,ROUND('Needs years'!$C$10+ROUND(IF(Q43=0,SUM('Needs years'!$J$4:$J$53),(1-(1+Q43)^-1)/(1-(1+Q43)^(-1/12))/12*SUMPRODUCT('Needs years'!$J$4:$J$53,(1+Q43)^(-'Needs years'!$I$4:$I$53))),2),2))</f>
      </c>
      <c r="R44">
        <f>IF('Inputs'!$B$100="",0,ROUND('Needs years'!$C$10+ROUND(IF(R43=0,SUM('Needs years'!$J$4:$J$53),(1-(1+R43)^-1)/(1-(1+R43)^(-1/12))/12*SUMPRODUCT('Needs years'!$J$4:$J$53,(1+R43)^(-'Needs years'!$I$4:$I$53))),2),2))</f>
      </c>
      <c r="S44">
        <f>IF('Inputs'!$B$100="",0,ROUND('Needs years'!$C$10+ROUND(IF(S43=0,SUM('Needs years'!$J$4:$J$53),(1-(1+S43)^-1)/(1-(1+S43)^(-1/12))/12*SUMPRODUCT('Needs years'!$J$4:$J$53,(1+S43)^(-'Needs years'!$I$4:$I$53))),2),2))</f>
      </c>
      <c r="T44">
        <f>IF('Inputs'!$B$100="",0,ROUND('Needs years'!$C$10+ROUND(IF(T43=0,SUM('Needs years'!$J$4:$J$53),(1-(1+T43)^-1)/(1-(1+T43)^(-1/12))/12*SUMPRODUCT('Needs years'!$J$4:$J$53,(1+T43)^(-'Needs years'!$I$4:$I$53))),2),2))</f>
      </c>
    </row>
    <row r="45" spans="2:20" x14ac:dyDescent="0.25">
      <c r="B45" t="s">
        <v>354</v>
      </c>
      <c r="C45">
        <f>IF('Inputs'!$B$100="",0,ROUND(C44-C40,2))</f>
      </c>
      <c r="E45">
        <f>IF('Inputs'!$B$100="",0,ROUND(E44-E40,2))</f>
      </c>
      <c r="F45">
        <f>IF('Inputs'!$B$100="",0,ROUND(F44-F40,2))</f>
      </c>
      <c r="G45">
        <f>IF('Inputs'!$B$100="",0,ROUND(G44-G40,2))</f>
      </c>
      <c r="H45">
        <f>IF('Inputs'!$B$100="",0,ROUND(H44-H40,2))</f>
      </c>
      <c r="I45">
        <f>IF('Inputs'!$B$100="",0,ROUND(I44-I40,2))</f>
      </c>
      <c r="J45">
        <f>IF('Inputs'!$B$100="",0,ROUND(J44-J40,2))</f>
      </c>
      <c r="K45">
        <f>IF('Inputs'!$B$100="",0,ROUND(K44-K40,2))</f>
      </c>
      <c r="L45">
        <f>IF('Inputs'!$B$100="",0,ROUND(L44-L40,2))</f>
      </c>
      <c r="M45">
        <f>IF('Inputs'!$B$100="",0,ROUND(M44-M40,2))</f>
      </c>
      <c r="N45">
        <f>IF('Inputs'!$B$100="",0,ROUND(N44-N40,2))</f>
      </c>
      <c r="O45">
        <f>IF('Inputs'!$B$100="",0,ROUND(O44-O40,2))</f>
      </c>
      <c r="P45">
        <f>IF('Inputs'!$B$100="",0,ROUND(P44-P40,2))</f>
      </c>
      <c r="Q45">
        <f>IF('Inputs'!$B$100="",0,ROUND(Q44-Q40,2))</f>
      </c>
      <c r="R45">
        <f>IF('Inputs'!$B$100="",0,ROUND(R44-R40,2))</f>
      </c>
      <c r="S45">
        <f>IF('Inputs'!$B$100="",0,ROUND(S44-S40,2))</f>
      </c>
      <c r="T45">
        <f>IF('Inputs'!$B$100="",0,ROUND(T44-T40,2))</f>
      </c>
    </row>
    <row r="46" spans="2:20" x14ac:dyDescent="0.25">
      <c r="B46" t="s">
        <v>355</v>
      </c>
      <c r="C46">
        <f>IF('Inputs'!$B$100="",0,'Needs years'!$C$16+IF((C44-'Needs years'!$C$10)&gt;0,MAX(0,C40-'Needs years'!$C$10)/(C44-'Needs years'!$C$10)*'Needs years'!$J$4/12,0))</f>
      </c>
      <c r="E46">
        <f>IF('Inputs'!$B$100="",0,'Needs years'!$C$16+IF((E44-'Needs years'!$C$10)&gt;0,MAX(0,E40-'Needs years'!$C$10)/(E44-'Needs years'!$C$10)*'Needs years'!$J$4/12,0))</f>
      </c>
      <c r="F46">
        <f>IF('Inputs'!$B$100="",0,'Needs years'!$C$16+IF((F44-'Needs years'!$C$10)&gt;0,MAX(0,F40-'Needs years'!$C$10)/(F44-'Needs years'!$C$10)*'Needs years'!$J$4/12,0))</f>
      </c>
      <c r="G46">
        <f>IF('Inputs'!$B$100="",0,'Needs years'!$C$16+IF((G44-'Needs years'!$C$10)&gt;0,MAX(0,G40-'Needs years'!$C$10)/(G44-'Needs years'!$C$10)*'Needs years'!$J$4/12,0))</f>
      </c>
      <c r="H46">
        <f>IF('Inputs'!$B$100="",0,'Needs years'!$C$16+IF((H44-'Needs years'!$C$10)&gt;0,MAX(0,H40-'Needs years'!$C$10)/(H44-'Needs years'!$C$10)*'Needs years'!$J$4/12,0))</f>
      </c>
      <c r="I46">
        <f>IF('Inputs'!$B$100="",0,'Needs years'!$C$16+IF((I44-'Needs years'!$C$10)&gt;0,MAX(0,I40-'Needs years'!$C$10)/(I44-'Needs years'!$C$10)*'Needs years'!$J$4/12,0))</f>
      </c>
      <c r="J46">
        <f>IF('Inputs'!$B$100="",0,'Needs years'!$C$16+IF((J44-'Needs years'!$C$10)&gt;0,MAX(0,J40-'Needs years'!$C$10)/(J44-'Needs years'!$C$10)*'Needs years'!$J$4/12,0))</f>
      </c>
      <c r="K46">
        <f>IF('Inputs'!$B$100="",0,'Needs years'!$C$16+IF((K44-'Needs years'!$C$10)&gt;0,MAX(0,K40-'Needs years'!$C$10)/(K44-'Needs years'!$C$10)*'Needs years'!$J$4/12,0))</f>
      </c>
      <c r="L46">
        <f>IF('Inputs'!$B$100="",0,'Needs years'!$C$16+IF((L44-'Needs years'!$C$10)&gt;0,MAX(0,L40-'Needs years'!$C$10)/(L44-'Needs years'!$C$10)*'Needs years'!$J$4/12,0))</f>
      </c>
      <c r="M46">
        <f>IF('Inputs'!$B$100="",0,'Needs years'!$C$16+IF((M44-'Needs years'!$C$10)&gt;0,MAX(0,M40-'Needs years'!$C$10)/(M44-'Needs years'!$C$10)*'Needs years'!$J$4/12,0))</f>
      </c>
      <c r="N46">
        <f>IF('Inputs'!$B$100="",0,'Needs years'!$C$16+IF((N44-'Needs years'!$C$10)&gt;0,MAX(0,N40-'Needs years'!$C$10)/(N44-'Needs years'!$C$10)*'Needs years'!$J$4/12,0))</f>
      </c>
      <c r="O46">
        <f>IF('Inputs'!$B$100="",0,'Needs years'!$C$16+IF((O44-'Needs years'!$C$10)&gt;0,MAX(0,O40-'Needs years'!$C$10)/(O44-'Needs years'!$C$10)*'Needs years'!$J$4/12,0))</f>
      </c>
      <c r="P46">
        <f>IF('Inputs'!$B$100="",0,'Needs years'!$C$16+IF((P44-'Needs years'!$C$10)&gt;0,MAX(0,P40-'Needs years'!$C$10)/(P44-'Needs years'!$C$10)*'Needs years'!$J$4/12,0))</f>
      </c>
      <c r="Q46">
        <f>IF('Inputs'!$B$100="",0,'Needs years'!$C$16+IF((Q44-'Needs years'!$C$10)&gt;0,MAX(0,Q40-'Needs years'!$C$10)/(Q44-'Needs years'!$C$10)*'Needs years'!$J$4/12,0))</f>
      </c>
      <c r="R46">
        <f>IF('Inputs'!$B$100="",0,'Needs years'!$C$16+IF((R44-'Needs years'!$C$10)&gt;0,MAX(0,R40-'Needs years'!$C$10)/(R44-'Needs years'!$C$10)*'Needs years'!$J$4/12,0))</f>
      </c>
      <c r="S46">
        <f>IF('Inputs'!$B$100="",0,'Needs years'!$C$16+IF((S44-'Needs years'!$C$10)&gt;0,MAX(0,S40-'Needs years'!$C$10)/(S44-'Needs years'!$C$10)*'Needs years'!$J$4/12,0))</f>
      </c>
      <c r="T46">
        <f>IF('Inputs'!$B$100="",0,'Needs years'!$C$16+IF((T44-'Needs years'!$C$10)&gt;0,MAX(0,T40-'Needs years'!$C$10)/(T44-'Needs years'!$C$10)*'Needs years'!$J$4/12,0))</f>
      </c>
    </row>
    <row r="47" spans="2:20" x14ac:dyDescent="0.25">
      <c r="B47" t="s">
        <v>356</v>
      </c>
      <c r="C47">
        <f>IF('Inputs'!$B$101="",0,ROUND(IF(C31="S",'Inputs'!$O$101*C28,IF(C31="K",'Inputs'!$L$101*IF('Inputs'!$N$101=1,C33,C32),0))+'Inputs'!$O$101*ROUND(SUM('Inputs'!$Z$22:$Z$39)*C14,2)+'Inputs'!$Q$101*IF('Inputs'!$S$101=1,C35+C37,C34+C36)+SUMPRODUCT(('Inputs'!$F$59:$F$70='Inputs'!$B$101)*('Inputs'!$C$59:$C$70&lt;&gt;"Estate")*('Inputs'!$C$59:$C$70&lt;&gt;""),('Inputs'!$D$59:$D$70-'Inputs'!$R$59:$R$70*ROUND(C18*'Inputs'!$D$59:$D$70,2)))+SUMPRODUCT(('Inputs'!$F$87:$F$94='Inputs'!$B$101)*'Inputs'!$J$87:$J$94)+C5-(1-'Inputs'!$T$101)*ROUND(C18*C5,2)-SUMPRODUCT(('Inputs'!$G$76:$G$81='Inputs'!$B$101)*ROUND(C18*'Inputs'!$O$76:$O$81,2)),2))</f>
      </c>
      <c r="E47">
        <f>IF('Inputs'!$B$101="",0,ROUND(IF(E31="S",'Inputs'!$O$101*E28,IF(E31="K",'Inputs'!$L$101*IF('Inputs'!$N$101=1,E33,E32),0))+'Inputs'!$O$101*ROUND(SUM('Inputs'!$Z$22:$Z$39)*E14,2)+'Inputs'!$Q$101*IF('Inputs'!$S$101=1,E35+E37,E34+E36)+SUMPRODUCT(('Inputs'!$F$59:$F$70='Inputs'!$B$101)*('Inputs'!$C$59:$C$70&lt;&gt;"Estate")*('Inputs'!$C$59:$C$70&lt;&gt;""),('Inputs'!$D$59:$D$70-'Inputs'!$R$59:$R$70*ROUND(E18*'Inputs'!$D$59:$D$70,2)))+SUMPRODUCT(('Inputs'!$F$87:$F$94='Inputs'!$B$101)*'Inputs'!$J$87:$J$94)+E5-(1-'Inputs'!$T$101)*ROUND(E18*E5,2)-SUMPRODUCT(('Inputs'!$G$76:$G$81='Inputs'!$B$101)*ROUND(E18*'Inputs'!$O$76:$O$81,2)),2))</f>
      </c>
      <c r="F47">
        <f>IF('Inputs'!$B$101="",0,ROUND(IF(F31="S",'Inputs'!$O$101*F28,IF(F31="K",'Inputs'!$L$101*IF('Inputs'!$N$101=1,F33,F32),0))+'Inputs'!$O$101*ROUND(SUM('Inputs'!$Z$22:$Z$39)*F14,2)+'Inputs'!$Q$101*IF('Inputs'!$S$101=1,F35+F37,F34+F36)+SUMPRODUCT(('Inputs'!$F$59:$F$70='Inputs'!$B$101)*('Inputs'!$C$59:$C$70&lt;&gt;"Estate")*('Inputs'!$C$59:$C$70&lt;&gt;""),('Inputs'!$D$59:$D$70-'Inputs'!$R$59:$R$70*ROUND(F18*'Inputs'!$D$59:$D$70,2)))+SUMPRODUCT(('Inputs'!$F$87:$F$94='Inputs'!$B$101)*'Inputs'!$J$87:$J$94)+F5-(1-'Inputs'!$T$101)*ROUND(F18*F5,2)-SUMPRODUCT(('Inputs'!$G$76:$G$81='Inputs'!$B$101)*ROUND(F18*'Inputs'!$O$76:$O$81,2)),2))</f>
      </c>
      <c r="G47">
        <f>IF('Inputs'!$B$101="",0,ROUND(IF(G31="S",'Inputs'!$O$101*G28,IF(G31="K",'Inputs'!$L$101*IF('Inputs'!$N$101=1,G33,G32),0))+'Inputs'!$O$101*ROUND(SUM('Inputs'!$Z$22:$Z$39)*G14,2)+'Inputs'!$Q$101*IF('Inputs'!$S$101=1,G35+G37,G34+G36)+SUMPRODUCT(('Inputs'!$F$59:$F$70='Inputs'!$B$101)*('Inputs'!$C$59:$C$70&lt;&gt;"Estate")*('Inputs'!$C$59:$C$70&lt;&gt;""),('Inputs'!$D$59:$D$70-'Inputs'!$R$59:$R$70*ROUND(G18*'Inputs'!$D$59:$D$70,2)))+SUMPRODUCT(('Inputs'!$F$87:$F$94='Inputs'!$B$101)*'Inputs'!$J$87:$J$94)+G5-(1-'Inputs'!$T$101)*ROUND(G18*G5,2)-SUMPRODUCT(('Inputs'!$G$76:$G$81='Inputs'!$B$101)*ROUND(G18*'Inputs'!$O$76:$O$81,2)),2))</f>
      </c>
      <c r="H47">
        <f>IF('Inputs'!$B$101="",0,ROUND(IF(H31="S",'Inputs'!$O$101*H28,IF(H31="K",'Inputs'!$L$101*IF('Inputs'!$N$101=1,H33,H32),0))+'Inputs'!$O$101*ROUND(SUM('Inputs'!$Z$22:$Z$39)*H14,2)+'Inputs'!$Q$101*IF('Inputs'!$S$101=1,H35+H37,H34+H36)+SUMPRODUCT(('Inputs'!$F$59:$F$70='Inputs'!$B$101)*('Inputs'!$C$59:$C$70&lt;&gt;"Estate")*('Inputs'!$C$59:$C$70&lt;&gt;""),('Inputs'!$D$59:$D$70-'Inputs'!$R$59:$R$70*ROUND(H18*'Inputs'!$D$59:$D$70,2)))+SUMPRODUCT(('Inputs'!$F$87:$F$94='Inputs'!$B$101)*'Inputs'!$J$87:$J$94)+H5-(1-'Inputs'!$T$101)*ROUND(H18*H5,2)-SUMPRODUCT(('Inputs'!$G$76:$G$81='Inputs'!$B$101)*ROUND(H18*'Inputs'!$O$76:$O$81,2)),2))</f>
      </c>
      <c r="I47">
        <f>IF('Inputs'!$B$101="",0,ROUND(IF(I31="S",'Inputs'!$O$101*I28,IF(I31="K",'Inputs'!$L$101*IF('Inputs'!$N$101=1,I33,I32),0))+'Inputs'!$O$101*ROUND(SUM('Inputs'!$Z$22:$Z$39)*I14,2)+'Inputs'!$Q$101*IF('Inputs'!$S$101=1,I35+I37,I34+I36)+SUMPRODUCT(('Inputs'!$F$59:$F$70='Inputs'!$B$101)*('Inputs'!$C$59:$C$70&lt;&gt;"Estate")*('Inputs'!$C$59:$C$70&lt;&gt;""),('Inputs'!$D$59:$D$70-'Inputs'!$R$59:$R$70*ROUND(I18*'Inputs'!$D$59:$D$70,2)))+SUMPRODUCT(('Inputs'!$F$87:$F$94='Inputs'!$B$101)*'Inputs'!$J$87:$J$94)+I5-(1-'Inputs'!$T$101)*ROUND(I18*I5,2)-SUMPRODUCT(('Inputs'!$G$76:$G$81='Inputs'!$B$101)*ROUND(I18*'Inputs'!$O$76:$O$81,2)),2))</f>
      </c>
      <c r="J47">
        <f>IF('Inputs'!$B$101="",0,ROUND(IF(J31="S",'Inputs'!$O$101*J28,IF(J31="K",'Inputs'!$L$101*IF('Inputs'!$N$101=1,J33,J32),0))+'Inputs'!$O$101*ROUND(SUM('Inputs'!$Z$22:$Z$39)*J14,2)+'Inputs'!$Q$101*IF('Inputs'!$S$101=1,J35+J37,J34+J36)+SUMPRODUCT(('Inputs'!$F$59:$F$70='Inputs'!$B$101)*('Inputs'!$C$59:$C$70&lt;&gt;"Estate")*('Inputs'!$C$59:$C$70&lt;&gt;""),('Inputs'!$D$59:$D$70-'Inputs'!$R$59:$R$70*ROUND(J18*'Inputs'!$D$59:$D$70,2)))+SUMPRODUCT(('Inputs'!$F$87:$F$94='Inputs'!$B$101)*'Inputs'!$J$87:$J$94)+J5-(1-'Inputs'!$T$101)*ROUND(J18*J5,2)-SUMPRODUCT(('Inputs'!$G$76:$G$81='Inputs'!$B$101)*ROUND(J18*'Inputs'!$O$76:$O$81,2)),2))</f>
      </c>
      <c r="K47">
        <f>IF('Inputs'!$B$101="",0,ROUND(IF(K31="S",'Inputs'!$O$101*K28,IF(K31="K",'Inputs'!$L$101*IF('Inputs'!$N$101=1,K33,K32),0))+'Inputs'!$O$101*ROUND(SUM('Inputs'!$Z$22:$Z$39)*K14,2)+'Inputs'!$Q$101*IF('Inputs'!$S$101=1,K35+K37,K34+K36)+SUMPRODUCT(('Inputs'!$F$59:$F$70='Inputs'!$B$101)*('Inputs'!$C$59:$C$70&lt;&gt;"Estate")*('Inputs'!$C$59:$C$70&lt;&gt;""),('Inputs'!$D$59:$D$70-'Inputs'!$R$59:$R$70*ROUND(K18*'Inputs'!$D$59:$D$70,2)))+SUMPRODUCT(('Inputs'!$F$87:$F$94='Inputs'!$B$101)*'Inputs'!$J$87:$J$94)+K5-(1-'Inputs'!$T$101)*ROUND(K18*K5,2)-SUMPRODUCT(('Inputs'!$G$76:$G$81='Inputs'!$B$101)*ROUND(K18*'Inputs'!$O$76:$O$81,2)),2))</f>
      </c>
      <c r="L47">
        <f>IF('Inputs'!$B$101="",0,ROUND(IF(L31="S",'Inputs'!$O$101*L28,IF(L31="K",'Inputs'!$L$101*IF('Inputs'!$N$101=1,L33,L32),0))+'Inputs'!$O$101*ROUND(SUM('Inputs'!$Z$22:$Z$39)*L14,2)+'Inputs'!$Q$101*IF('Inputs'!$S$101=1,L35+L37,L34+L36)+SUMPRODUCT(('Inputs'!$F$59:$F$70='Inputs'!$B$101)*('Inputs'!$C$59:$C$70&lt;&gt;"Estate")*('Inputs'!$C$59:$C$70&lt;&gt;""),('Inputs'!$D$59:$D$70-'Inputs'!$R$59:$R$70*ROUND(L18*'Inputs'!$D$59:$D$70,2)))+SUMPRODUCT(('Inputs'!$F$87:$F$94='Inputs'!$B$101)*'Inputs'!$J$87:$J$94)+L5-(1-'Inputs'!$T$101)*ROUND(L18*L5,2)-SUMPRODUCT(('Inputs'!$G$76:$G$81='Inputs'!$B$101)*ROUND(L18*'Inputs'!$O$76:$O$81,2)),2))</f>
      </c>
      <c r="M47">
        <f>IF('Inputs'!$B$101="",0,ROUND(IF(M31="S",'Inputs'!$O$101*M28,IF(M31="K",'Inputs'!$L$101*IF('Inputs'!$N$101=1,M33,M32),0))+'Inputs'!$O$101*ROUND(SUM('Inputs'!$Z$22:$Z$39)*M14,2)+'Inputs'!$Q$101*IF('Inputs'!$S$101=1,M35+M37,M34+M36)+SUMPRODUCT(('Inputs'!$F$59:$F$70='Inputs'!$B$101)*('Inputs'!$C$59:$C$70&lt;&gt;"Estate")*('Inputs'!$C$59:$C$70&lt;&gt;""),('Inputs'!$D$59:$D$70-'Inputs'!$R$59:$R$70*ROUND(M18*'Inputs'!$D$59:$D$70,2)))+SUMPRODUCT(('Inputs'!$F$87:$F$94='Inputs'!$B$101)*'Inputs'!$J$87:$J$94)+M5-(1-'Inputs'!$T$101)*ROUND(M18*M5,2)-SUMPRODUCT(('Inputs'!$G$76:$G$81='Inputs'!$B$101)*ROUND(M18*'Inputs'!$O$76:$O$81,2)),2))</f>
      </c>
      <c r="N47">
        <f>IF('Inputs'!$B$101="",0,ROUND(IF(N31="S",'Inputs'!$O$101*N28,IF(N31="K",'Inputs'!$L$101*IF('Inputs'!$N$101=1,N33,N32),0))+'Inputs'!$O$101*ROUND(SUM('Inputs'!$Z$22:$Z$39)*N14,2)+'Inputs'!$Q$101*IF('Inputs'!$S$101=1,N35+N37,N34+N36)+SUMPRODUCT(('Inputs'!$F$59:$F$70='Inputs'!$B$101)*('Inputs'!$C$59:$C$70&lt;&gt;"Estate")*('Inputs'!$C$59:$C$70&lt;&gt;""),('Inputs'!$D$59:$D$70-'Inputs'!$R$59:$R$70*ROUND(N18*'Inputs'!$D$59:$D$70,2)))+SUMPRODUCT(('Inputs'!$F$87:$F$94='Inputs'!$B$101)*'Inputs'!$J$87:$J$94)+N5-(1-'Inputs'!$T$101)*ROUND(N18*N5,2)-SUMPRODUCT(('Inputs'!$G$76:$G$81='Inputs'!$B$101)*ROUND(N18*'Inputs'!$O$76:$O$81,2)),2))</f>
      </c>
      <c r="O47">
        <f>IF('Inputs'!$B$101="",0,ROUND(IF(O31="S",'Inputs'!$O$101*O28,IF(O31="K",'Inputs'!$L$101*IF('Inputs'!$N$101=1,O33,O32),0))+'Inputs'!$O$101*ROUND(SUM('Inputs'!$Z$22:$Z$39)*O14,2)+'Inputs'!$Q$101*IF('Inputs'!$S$101=1,O35+O37,O34+O36)+SUMPRODUCT(('Inputs'!$F$59:$F$70='Inputs'!$B$101)*('Inputs'!$C$59:$C$70&lt;&gt;"Estate")*('Inputs'!$C$59:$C$70&lt;&gt;""),('Inputs'!$D$59:$D$70-'Inputs'!$R$59:$R$70*ROUND(O18*'Inputs'!$D$59:$D$70,2)))+SUMPRODUCT(('Inputs'!$F$87:$F$94='Inputs'!$B$101)*'Inputs'!$J$87:$J$94)+O5-(1-'Inputs'!$T$101)*ROUND(O18*O5,2)-SUMPRODUCT(('Inputs'!$G$76:$G$81='Inputs'!$B$101)*ROUND(O18*'Inputs'!$O$76:$O$81,2)),2))</f>
      </c>
      <c r="P47">
        <f>IF('Inputs'!$B$101="",0,ROUND(IF(P31="S",'Inputs'!$O$101*P28,IF(P31="K",'Inputs'!$L$101*IF('Inputs'!$N$101=1,P33,P32),0))+'Inputs'!$O$101*ROUND(SUM('Inputs'!$Z$22:$Z$39)*P14,2)+'Inputs'!$Q$101*IF('Inputs'!$S$101=1,P35+P37,P34+P36)+SUMPRODUCT(('Inputs'!$F$59:$F$70='Inputs'!$B$101)*('Inputs'!$C$59:$C$70&lt;&gt;"Estate")*('Inputs'!$C$59:$C$70&lt;&gt;""),('Inputs'!$D$59:$D$70-'Inputs'!$R$59:$R$70*ROUND(P18*'Inputs'!$D$59:$D$70,2)))+SUMPRODUCT(('Inputs'!$F$87:$F$94='Inputs'!$B$101)*'Inputs'!$J$87:$J$94)+P5-(1-'Inputs'!$T$101)*ROUND(P18*P5,2)-SUMPRODUCT(('Inputs'!$G$76:$G$81='Inputs'!$B$101)*ROUND(P18*'Inputs'!$O$76:$O$81,2)),2))</f>
      </c>
      <c r="Q47">
        <f>IF('Inputs'!$B$101="",0,ROUND(IF(Q31="S",'Inputs'!$O$101*Q28,IF(Q31="K",'Inputs'!$L$101*IF('Inputs'!$N$101=1,Q33,Q32),0))+'Inputs'!$O$101*ROUND(SUM('Inputs'!$Z$22:$Z$39)*Q14,2)+'Inputs'!$Q$101*IF('Inputs'!$S$101=1,Q35+Q37,Q34+Q36)+SUMPRODUCT(('Inputs'!$F$59:$F$70='Inputs'!$B$101)*('Inputs'!$C$59:$C$70&lt;&gt;"Estate")*('Inputs'!$C$59:$C$70&lt;&gt;""),('Inputs'!$D$59:$D$70-'Inputs'!$R$59:$R$70*ROUND(Q18*'Inputs'!$D$59:$D$70,2)))+SUMPRODUCT(('Inputs'!$F$87:$F$94='Inputs'!$B$101)*'Inputs'!$J$87:$J$94)+Q5-(1-'Inputs'!$T$101)*ROUND(Q18*Q5,2)-SUMPRODUCT(('Inputs'!$G$76:$G$81='Inputs'!$B$101)*ROUND(Q18*'Inputs'!$O$76:$O$81,2)),2))</f>
      </c>
      <c r="R47">
        <f>IF('Inputs'!$B$101="",0,ROUND(IF(R31="S",'Inputs'!$O$101*R28,IF(R31="K",'Inputs'!$L$101*IF('Inputs'!$N$101=1,R33,R32),0))+'Inputs'!$O$101*ROUND(SUM('Inputs'!$Z$22:$Z$39)*R14,2)+'Inputs'!$Q$101*IF('Inputs'!$S$101=1,R35+R37,R34+R36)+SUMPRODUCT(('Inputs'!$F$59:$F$70='Inputs'!$B$101)*('Inputs'!$C$59:$C$70&lt;&gt;"Estate")*('Inputs'!$C$59:$C$70&lt;&gt;""),('Inputs'!$D$59:$D$70-'Inputs'!$R$59:$R$70*ROUND(R18*'Inputs'!$D$59:$D$70,2)))+SUMPRODUCT(('Inputs'!$F$87:$F$94='Inputs'!$B$101)*'Inputs'!$J$87:$J$94)+R5-(1-'Inputs'!$T$101)*ROUND(R18*R5,2)-SUMPRODUCT(('Inputs'!$G$76:$G$81='Inputs'!$B$101)*ROUND(R18*'Inputs'!$O$76:$O$81,2)),2))</f>
      </c>
      <c r="S47">
        <f>IF('Inputs'!$B$101="",0,ROUND(IF(S31="S",'Inputs'!$O$101*S28,IF(S31="K",'Inputs'!$L$101*IF('Inputs'!$N$101=1,S33,S32),0))+'Inputs'!$O$101*ROUND(SUM('Inputs'!$Z$22:$Z$39)*S14,2)+'Inputs'!$Q$101*IF('Inputs'!$S$101=1,S35+S37,S34+S36)+SUMPRODUCT(('Inputs'!$F$59:$F$70='Inputs'!$B$101)*('Inputs'!$C$59:$C$70&lt;&gt;"Estate")*('Inputs'!$C$59:$C$70&lt;&gt;""),('Inputs'!$D$59:$D$70-'Inputs'!$R$59:$R$70*ROUND(S18*'Inputs'!$D$59:$D$70,2)))+SUMPRODUCT(('Inputs'!$F$87:$F$94='Inputs'!$B$101)*'Inputs'!$J$87:$J$94)+S5-(1-'Inputs'!$T$101)*ROUND(S18*S5,2)-SUMPRODUCT(('Inputs'!$G$76:$G$81='Inputs'!$B$101)*ROUND(S18*'Inputs'!$O$76:$O$81,2)),2))</f>
      </c>
      <c r="T47">
        <f>IF('Inputs'!$B$101="",0,ROUND(IF(T31="S",'Inputs'!$O$101*T28,IF(T31="K",'Inputs'!$L$101*IF('Inputs'!$N$101=1,T33,T32),0))+'Inputs'!$O$101*ROUND(SUM('Inputs'!$Z$22:$Z$39)*T14,2)+'Inputs'!$Q$101*IF('Inputs'!$S$101=1,T35+T37,T34+T36)+SUMPRODUCT(('Inputs'!$F$59:$F$70='Inputs'!$B$101)*('Inputs'!$C$59:$C$70&lt;&gt;"Estate")*('Inputs'!$C$59:$C$70&lt;&gt;""),('Inputs'!$D$59:$D$70-'Inputs'!$R$59:$R$70*ROUND(T18*'Inputs'!$D$59:$D$70,2)))+SUMPRODUCT(('Inputs'!$F$87:$F$94='Inputs'!$B$101)*'Inputs'!$J$87:$J$94)+T5-(1-'Inputs'!$T$101)*ROUND(T18*T5,2)-SUMPRODUCT(('Inputs'!$G$76:$G$81='Inputs'!$B$101)*ROUND(T18*'Inputs'!$O$76:$O$81,2)),2))</f>
      </c>
    </row>
    <row r="48" spans="2:20" x14ac:dyDescent="0.25">
      <c r="B48" t="s">
        <v>357</v>
      </c>
      <c r="C48">
        <f>'Needs years'!$C$61+MAX(0,C47-'Needs years'!$C$66)*('Inputs'!$H$122/100*('Inputs'!$H$125/100+'Inputs'!$H$120/100*'Inputs'!$H$127/100))</f>
      </c>
      <c r="E48">
        <f>'Needs years'!$C$61+MAX(0,E47-'Needs years'!$C$66)*('Inputs'!$H$122/100*('Inputs'!$H$125/100+'Inputs'!$H$120/100*'Inputs'!$H$127/100))</f>
      </c>
      <c r="F48">
        <f>'Needs years'!$C$61+MAX(0,F47-'Needs years'!$C$66)*('Inputs'!$H$122/100*('Inputs'!$H$125/100+'Inputs'!$H$120/100*'Inputs'!$H$127/100))</f>
      </c>
      <c r="G48">
        <f>'Needs years'!$C$61+MAX(0,G47-'Needs years'!$C$66)*('Inputs'!$H$122/100*('Inputs'!$H$125/100+'Inputs'!$H$120/100*'Inputs'!$H$127/100))</f>
      </c>
      <c r="H48">
        <f>'Needs years'!$C$61+MAX(0,H47-'Needs years'!$C$66)*('Inputs'!$H$122/100*('Inputs'!$H$125/100+'Inputs'!$H$120/100*'Inputs'!$H$127/100))</f>
      </c>
      <c r="I48">
        <f>'Needs years'!$C$61+MAX(0,I47-'Needs years'!$C$66)*('Inputs'!$H$122/100*('Inputs'!$H$125/100+'Inputs'!$H$120/100*'Inputs'!$H$127/100))</f>
      </c>
      <c r="J48">
        <f>'Needs years'!$C$61+MAX(0,J47-'Needs years'!$C$66)*('Inputs'!$H$122/100*('Inputs'!$H$125/100+'Inputs'!$H$120/100*'Inputs'!$H$127/100))</f>
      </c>
      <c r="K48">
        <f>'Needs years'!$C$61+MAX(0,K47-'Needs years'!$C$66)*('Inputs'!$H$122/100*('Inputs'!$H$125/100+'Inputs'!$H$120/100*'Inputs'!$H$127/100))</f>
      </c>
      <c r="L48">
        <f>'Needs years'!$C$61+MAX(0,L47-'Needs years'!$C$66)*('Inputs'!$H$122/100*('Inputs'!$H$125/100+'Inputs'!$H$120/100*'Inputs'!$H$127/100))</f>
      </c>
      <c r="M48">
        <f>'Needs years'!$C$61+MAX(0,M47-'Needs years'!$C$66)*('Inputs'!$H$122/100*('Inputs'!$H$125/100+'Inputs'!$H$120/100*'Inputs'!$H$127/100))</f>
      </c>
      <c r="N48">
        <f>'Needs years'!$C$61+MAX(0,N47-'Needs years'!$C$66)*('Inputs'!$H$122/100*('Inputs'!$H$125/100+'Inputs'!$H$120/100*'Inputs'!$H$127/100))</f>
      </c>
      <c r="O48">
        <f>'Needs years'!$C$61+MAX(0,O47-'Needs years'!$C$66)*('Inputs'!$H$122/100*('Inputs'!$H$125/100+'Inputs'!$H$120/100*'Inputs'!$H$127/100))</f>
      </c>
      <c r="P48">
        <f>'Needs years'!$C$61+MAX(0,P47-'Needs years'!$C$66)*('Inputs'!$H$122/100*('Inputs'!$H$125/100+'Inputs'!$H$120/100*'Inputs'!$H$127/100))</f>
      </c>
      <c r="Q48">
        <f>'Needs years'!$C$61+MAX(0,Q47-'Needs years'!$C$66)*('Inputs'!$H$122/100*('Inputs'!$H$125/100+'Inputs'!$H$120/100*'Inputs'!$H$127/100))</f>
      </c>
      <c r="R48">
        <f>'Needs years'!$C$61+MAX(0,R47-'Needs years'!$C$66)*('Inputs'!$H$122/100*('Inputs'!$H$125/100+'Inputs'!$H$120/100*'Inputs'!$H$127/100))</f>
      </c>
      <c r="S48">
        <f>'Needs years'!$C$61+MAX(0,S47-'Needs years'!$C$66)*('Inputs'!$H$122/100*('Inputs'!$H$125/100+'Inputs'!$H$120/100*'Inputs'!$H$127/100))</f>
      </c>
      <c r="T48">
        <f>'Needs years'!$C$61+MAX(0,T47-'Needs years'!$C$66)*('Inputs'!$H$122/100*('Inputs'!$H$125/100+'Inputs'!$H$120/100*'Inputs'!$H$127/100))</f>
      </c>
    </row>
    <row r="49" spans="2:20" x14ac:dyDescent="0.25">
      <c r="B49" t="s">
        <v>358</v>
      </c>
      <c r="C49">
        <f>IF(C48&lt;='Needs years'!$C$60,0,INDEX('Inputs'!$E$134:$E$140,MATCH(C48,'Inputs'!$C$134:$C$140,1)-IF(COUNTIF('Inputs'!$C$134:$C$140,C48)&gt;0,1,0))/100)</f>
      </c>
      <c r="E49">
        <f>IF(E48&lt;='Needs years'!$C$60,0,INDEX('Inputs'!$E$134:$E$140,MATCH(E48,'Inputs'!$C$134:$C$140,1)-IF(COUNTIF('Inputs'!$C$134:$C$140,E48)&gt;0,1,0))/100)</f>
      </c>
      <c r="F49">
        <f>IF(F48&lt;='Needs years'!$C$60,0,INDEX('Inputs'!$E$134:$E$140,MATCH(F48,'Inputs'!$C$134:$C$140,1)-IF(COUNTIF('Inputs'!$C$134:$C$140,F48)&gt;0,1,0))/100)</f>
      </c>
      <c r="G49">
        <f>IF(G48&lt;='Needs years'!$C$60,0,INDEX('Inputs'!$E$134:$E$140,MATCH(G48,'Inputs'!$C$134:$C$140,1)-IF(COUNTIF('Inputs'!$C$134:$C$140,G48)&gt;0,1,0))/100)</f>
      </c>
      <c r="H49">
        <f>IF(H48&lt;='Needs years'!$C$60,0,INDEX('Inputs'!$E$134:$E$140,MATCH(H48,'Inputs'!$C$134:$C$140,1)-IF(COUNTIF('Inputs'!$C$134:$C$140,H48)&gt;0,1,0))/100)</f>
      </c>
      <c r="I49">
        <f>IF(I48&lt;='Needs years'!$C$60,0,INDEX('Inputs'!$E$134:$E$140,MATCH(I48,'Inputs'!$C$134:$C$140,1)-IF(COUNTIF('Inputs'!$C$134:$C$140,I48)&gt;0,1,0))/100)</f>
      </c>
      <c r="J49">
        <f>IF(J48&lt;='Needs years'!$C$60,0,INDEX('Inputs'!$E$134:$E$140,MATCH(J48,'Inputs'!$C$134:$C$140,1)-IF(COUNTIF('Inputs'!$C$134:$C$140,J48)&gt;0,1,0))/100)</f>
      </c>
      <c r="K49">
        <f>IF(K48&lt;='Needs years'!$C$60,0,INDEX('Inputs'!$E$134:$E$140,MATCH(K48,'Inputs'!$C$134:$C$140,1)-IF(COUNTIF('Inputs'!$C$134:$C$140,K48)&gt;0,1,0))/100)</f>
      </c>
      <c r="L49">
        <f>IF(L48&lt;='Needs years'!$C$60,0,INDEX('Inputs'!$E$134:$E$140,MATCH(L48,'Inputs'!$C$134:$C$140,1)-IF(COUNTIF('Inputs'!$C$134:$C$140,L48)&gt;0,1,0))/100)</f>
      </c>
      <c r="M49">
        <f>IF(M48&lt;='Needs years'!$C$60,0,INDEX('Inputs'!$E$134:$E$140,MATCH(M48,'Inputs'!$C$134:$C$140,1)-IF(COUNTIF('Inputs'!$C$134:$C$140,M48)&gt;0,1,0))/100)</f>
      </c>
      <c r="N49">
        <f>IF(N48&lt;='Needs years'!$C$60,0,INDEX('Inputs'!$E$134:$E$140,MATCH(N48,'Inputs'!$C$134:$C$140,1)-IF(COUNTIF('Inputs'!$C$134:$C$140,N48)&gt;0,1,0))/100)</f>
      </c>
      <c r="O49">
        <f>IF(O48&lt;='Needs years'!$C$60,0,INDEX('Inputs'!$E$134:$E$140,MATCH(O48,'Inputs'!$C$134:$C$140,1)-IF(COUNTIF('Inputs'!$C$134:$C$140,O48)&gt;0,1,0))/100)</f>
      </c>
      <c r="P49">
        <f>IF(P48&lt;='Needs years'!$C$60,0,INDEX('Inputs'!$E$134:$E$140,MATCH(P48,'Inputs'!$C$134:$C$140,1)-IF(COUNTIF('Inputs'!$C$134:$C$140,P48)&gt;0,1,0))/100)</f>
      </c>
      <c r="Q49">
        <f>IF(Q48&lt;='Needs years'!$C$60,0,INDEX('Inputs'!$E$134:$E$140,MATCH(Q48,'Inputs'!$C$134:$C$140,1)-IF(COUNTIF('Inputs'!$C$134:$C$140,Q48)&gt;0,1,0))/100)</f>
      </c>
      <c r="R49">
        <f>IF(R48&lt;='Needs years'!$C$60,0,INDEX('Inputs'!$E$134:$E$140,MATCH(R48,'Inputs'!$C$134:$C$140,1)-IF(COUNTIF('Inputs'!$C$134:$C$140,R48)&gt;0,1,0))/100)</f>
      </c>
      <c r="S49">
        <f>IF(S48&lt;='Needs years'!$C$60,0,INDEX('Inputs'!$E$134:$E$140,MATCH(S48,'Inputs'!$C$134:$C$140,1)-IF(COUNTIF('Inputs'!$C$134:$C$140,S48)&gt;0,1,0))/100)</f>
      </c>
      <c r="T49">
        <f>IF(T48&lt;='Needs years'!$C$60,0,INDEX('Inputs'!$E$134:$E$140,MATCH(T48,'Inputs'!$C$134:$C$140,1)-IF(COUNTIF('Inputs'!$C$134:$C$140,T48)&gt;0,1,0))/100)</f>
      </c>
    </row>
    <row r="50" spans="2:20" x14ac:dyDescent="0.25">
      <c r="B50" t="s">
        <v>359</v>
      </c>
      <c r="C50">
        <f>('Inputs'!$H$122/100*(1-('Inputs'!$H$125/100*C49+'Inputs'!$H$126/100*'Inputs'!$H$128/100+'Inputs'!$H$127/100*'Inputs'!$H$120/100*C49))-IF('Needs years'!$C$65=1,'Inputs'!$H$123/100,0))</f>
      </c>
      <c r="E50">
        <f>('Inputs'!$H$122/100*(1-('Inputs'!$H$125/100*E49+'Inputs'!$H$126/100*'Inputs'!$H$128/100+'Inputs'!$H$127/100*'Inputs'!$H$120/100*E49))-IF('Needs years'!$C$65=1,'Inputs'!$H$123/100,0))</f>
      </c>
      <c r="F50">
        <f>('Inputs'!$H$122/100*(1-('Inputs'!$H$125/100*F49+'Inputs'!$H$126/100*'Inputs'!$H$128/100+'Inputs'!$H$127/100*'Inputs'!$H$120/100*F49))-IF('Needs years'!$C$65=1,'Inputs'!$H$123/100,0))</f>
      </c>
      <c r="G50">
        <f>('Inputs'!$H$122/100*(1-('Inputs'!$H$125/100*G49+'Inputs'!$H$126/100*'Inputs'!$H$128/100+'Inputs'!$H$127/100*'Inputs'!$H$120/100*G49))-IF('Needs years'!$C$65=1,'Inputs'!$H$123/100,0))</f>
      </c>
      <c r="H50">
        <f>('Inputs'!$H$122/100*(1-('Inputs'!$H$125/100*H49+'Inputs'!$H$126/100*'Inputs'!$H$128/100+'Inputs'!$H$127/100*'Inputs'!$H$120/100*H49))-IF('Needs years'!$C$65=1,'Inputs'!$H$123/100,0))</f>
      </c>
      <c r="I50">
        <f>('Inputs'!$H$122/100*(1-('Inputs'!$H$125/100*I49+'Inputs'!$H$126/100*'Inputs'!$H$128/100+'Inputs'!$H$127/100*'Inputs'!$H$120/100*I49))-IF('Needs years'!$C$65=1,'Inputs'!$H$123/100,0))</f>
      </c>
      <c r="J50">
        <f>('Inputs'!$H$122/100*(1-('Inputs'!$H$125/100*J49+'Inputs'!$H$126/100*'Inputs'!$H$128/100+'Inputs'!$H$127/100*'Inputs'!$H$120/100*J49))-IF('Needs years'!$C$65=1,'Inputs'!$H$123/100,0))</f>
      </c>
      <c r="K50">
        <f>('Inputs'!$H$122/100*(1-('Inputs'!$H$125/100*K49+'Inputs'!$H$126/100*'Inputs'!$H$128/100+'Inputs'!$H$127/100*'Inputs'!$H$120/100*K49))-IF('Needs years'!$C$65=1,'Inputs'!$H$123/100,0))</f>
      </c>
      <c r="L50">
        <f>('Inputs'!$H$122/100*(1-('Inputs'!$H$125/100*L49+'Inputs'!$H$126/100*'Inputs'!$H$128/100+'Inputs'!$H$127/100*'Inputs'!$H$120/100*L49))-IF('Needs years'!$C$65=1,'Inputs'!$H$123/100,0))</f>
      </c>
      <c r="M50">
        <f>('Inputs'!$H$122/100*(1-('Inputs'!$H$125/100*M49+'Inputs'!$H$126/100*'Inputs'!$H$128/100+'Inputs'!$H$127/100*'Inputs'!$H$120/100*M49))-IF('Needs years'!$C$65=1,'Inputs'!$H$123/100,0))</f>
      </c>
      <c r="N50">
        <f>('Inputs'!$H$122/100*(1-('Inputs'!$H$125/100*N49+'Inputs'!$H$126/100*'Inputs'!$H$128/100+'Inputs'!$H$127/100*'Inputs'!$H$120/100*N49))-IF('Needs years'!$C$65=1,'Inputs'!$H$123/100,0))</f>
      </c>
      <c r="O50">
        <f>('Inputs'!$H$122/100*(1-('Inputs'!$H$125/100*O49+'Inputs'!$H$126/100*'Inputs'!$H$128/100+'Inputs'!$H$127/100*'Inputs'!$H$120/100*O49))-IF('Needs years'!$C$65=1,'Inputs'!$H$123/100,0))</f>
      </c>
      <c r="P50">
        <f>('Inputs'!$H$122/100*(1-('Inputs'!$H$125/100*P49+'Inputs'!$H$126/100*'Inputs'!$H$128/100+'Inputs'!$H$127/100*'Inputs'!$H$120/100*P49))-IF('Needs years'!$C$65=1,'Inputs'!$H$123/100,0))</f>
      </c>
      <c r="Q50">
        <f>('Inputs'!$H$122/100*(1-('Inputs'!$H$125/100*Q49+'Inputs'!$H$126/100*'Inputs'!$H$128/100+'Inputs'!$H$127/100*'Inputs'!$H$120/100*Q49))-IF('Needs years'!$C$65=1,'Inputs'!$H$123/100,0))</f>
      </c>
      <c r="R50">
        <f>('Inputs'!$H$122/100*(1-('Inputs'!$H$125/100*R49+'Inputs'!$H$126/100*'Inputs'!$H$128/100+'Inputs'!$H$127/100*'Inputs'!$H$120/100*R49))-IF('Needs years'!$C$65=1,'Inputs'!$H$123/100,0))</f>
      </c>
      <c r="S50">
        <f>('Inputs'!$H$122/100*(1-('Inputs'!$H$125/100*S49+'Inputs'!$H$126/100*'Inputs'!$H$128/100+'Inputs'!$H$127/100*'Inputs'!$H$120/100*S49))-IF('Needs years'!$C$65=1,'Inputs'!$H$123/100,0))</f>
      </c>
      <c r="T50">
        <f>('Inputs'!$H$122/100*(1-('Inputs'!$H$125/100*T49+'Inputs'!$H$126/100*'Inputs'!$H$128/100+'Inputs'!$H$127/100*'Inputs'!$H$120/100*T49))-IF('Needs years'!$C$65=1,'Inputs'!$H$123/100,0))</f>
      </c>
    </row>
    <row r="51" spans="2:20" x14ac:dyDescent="0.25">
      <c r="B51" t="s">
        <v>360</v>
      </c>
      <c r="C51">
        <f>IF('Inputs'!$B$101="",0,ROUND('Needs years'!$C$66+ROUND(IF(C50=0,SUM('Needs years'!$J$60:$J$109),(1-(1+C50)^-1)/(1-(1+C50)^(-1/12))/12*SUMPRODUCT('Needs years'!$J$60:$J$109,(1+C50)^(-'Needs years'!$I$60:$I$109))),2),2))</f>
      </c>
      <c r="E51">
        <f>IF('Inputs'!$B$101="",0,ROUND('Needs years'!$C$66+ROUND(IF(E50=0,SUM('Needs years'!$J$60:$J$109),(1-(1+E50)^-1)/(1-(1+E50)^(-1/12))/12*SUMPRODUCT('Needs years'!$J$60:$J$109,(1+E50)^(-'Needs years'!$I$60:$I$109))),2),2))</f>
      </c>
      <c r="F51">
        <f>IF('Inputs'!$B$101="",0,ROUND('Needs years'!$C$66+ROUND(IF(F50=0,SUM('Needs years'!$J$60:$J$109),(1-(1+F50)^-1)/(1-(1+F50)^(-1/12))/12*SUMPRODUCT('Needs years'!$J$60:$J$109,(1+F50)^(-'Needs years'!$I$60:$I$109))),2),2))</f>
      </c>
      <c r="G51">
        <f>IF('Inputs'!$B$101="",0,ROUND('Needs years'!$C$66+ROUND(IF(G50=0,SUM('Needs years'!$J$60:$J$109),(1-(1+G50)^-1)/(1-(1+G50)^(-1/12))/12*SUMPRODUCT('Needs years'!$J$60:$J$109,(1+G50)^(-'Needs years'!$I$60:$I$109))),2),2))</f>
      </c>
      <c r="H51">
        <f>IF('Inputs'!$B$101="",0,ROUND('Needs years'!$C$66+ROUND(IF(H50=0,SUM('Needs years'!$J$60:$J$109),(1-(1+H50)^-1)/(1-(1+H50)^(-1/12))/12*SUMPRODUCT('Needs years'!$J$60:$J$109,(1+H50)^(-'Needs years'!$I$60:$I$109))),2),2))</f>
      </c>
      <c r="I51">
        <f>IF('Inputs'!$B$101="",0,ROUND('Needs years'!$C$66+ROUND(IF(I50=0,SUM('Needs years'!$J$60:$J$109),(1-(1+I50)^-1)/(1-(1+I50)^(-1/12))/12*SUMPRODUCT('Needs years'!$J$60:$J$109,(1+I50)^(-'Needs years'!$I$60:$I$109))),2),2))</f>
      </c>
      <c r="J51">
        <f>IF('Inputs'!$B$101="",0,ROUND('Needs years'!$C$66+ROUND(IF(J50=0,SUM('Needs years'!$J$60:$J$109),(1-(1+J50)^-1)/(1-(1+J50)^(-1/12))/12*SUMPRODUCT('Needs years'!$J$60:$J$109,(1+J50)^(-'Needs years'!$I$60:$I$109))),2),2))</f>
      </c>
      <c r="K51">
        <f>IF('Inputs'!$B$101="",0,ROUND('Needs years'!$C$66+ROUND(IF(K50=0,SUM('Needs years'!$J$60:$J$109),(1-(1+K50)^-1)/(1-(1+K50)^(-1/12))/12*SUMPRODUCT('Needs years'!$J$60:$J$109,(1+K50)^(-'Needs years'!$I$60:$I$109))),2),2))</f>
      </c>
      <c r="L51">
        <f>IF('Inputs'!$B$101="",0,ROUND('Needs years'!$C$66+ROUND(IF(L50=0,SUM('Needs years'!$J$60:$J$109),(1-(1+L50)^-1)/(1-(1+L50)^(-1/12))/12*SUMPRODUCT('Needs years'!$J$60:$J$109,(1+L50)^(-'Needs years'!$I$60:$I$109))),2),2))</f>
      </c>
      <c r="M51">
        <f>IF('Inputs'!$B$101="",0,ROUND('Needs years'!$C$66+ROUND(IF(M50=0,SUM('Needs years'!$J$60:$J$109),(1-(1+M50)^-1)/(1-(1+M50)^(-1/12))/12*SUMPRODUCT('Needs years'!$J$60:$J$109,(1+M50)^(-'Needs years'!$I$60:$I$109))),2),2))</f>
      </c>
      <c r="N51">
        <f>IF('Inputs'!$B$101="",0,ROUND('Needs years'!$C$66+ROUND(IF(N50=0,SUM('Needs years'!$J$60:$J$109),(1-(1+N50)^-1)/(1-(1+N50)^(-1/12))/12*SUMPRODUCT('Needs years'!$J$60:$J$109,(1+N50)^(-'Needs years'!$I$60:$I$109))),2),2))</f>
      </c>
      <c r="O51">
        <f>IF('Inputs'!$B$101="",0,ROUND('Needs years'!$C$66+ROUND(IF(O50=0,SUM('Needs years'!$J$60:$J$109),(1-(1+O50)^-1)/(1-(1+O50)^(-1/12))/12*SUMPRODUCT('Needs years'!$J$60:$J$109,(1+O50)^(-'Needs years'!$I$60:$I$109))),2),2))</f>
      </c>
      <c r="P51">
        <f>IF('Inputs'!$B$101="",0,ROUND('Needs years'!$C$66+ROUND(IF(P50=0,SUM('Needs years'!$J$60:$J$109),(1-(1+P50)^-1)/(1-(1+P50)^(-1/12))/12*SUMPRODUCT('Needs years'!$J$60:$J$109,(1+P50)^(-'Needs years'!$I$60:$I$109))),2),2))</f>
      </c>
      <c r="Q51">
        <f>IF('Inputs'!$B$101="",0,ROUND('Needs years'!$C$66+ROUND(IF(Q50=0,SUM('Needs years'!$J$60:$J$109),(1-(1+Q50)^-1)/(1-(1+Q50)^(-1/12))/12*SUMPRODUCT('Needs years'!$J$60:$J$109,(1+Q50)^(-'Needs years'!$I$60:$I$109))),2),2))</f>
      </c>
      <c r="R51">
        <f>IF('Inputs'!$B$101="",0,ROUND('Needs years'!$C$66+ROUND(IF(R50=0,SUM('Needs years'!$J$60:$J$109),(1-(1+R50)^-1)/(1-(1+R50)^(-1/12))/12*SUMPRODUCT('Needs years'!$J$60:$J$109,(1+R50)^(-'Needs years'!$I$60:$I$109))),2),2))</f>
      </c>
      <c r="S51">
        <f>IF('Inputs'!$B$101="",0,ROUND('Needs years'!$C$66+ROUND(IF(S50=0,SUM('Needs years'!$J$60:$J$109),(1-(1+S50)^-1)/(1-(1+S50)^(-1/12))/12*SUMPRODUCT('Needs years'!$J$60:$J$109,(1+S50)^(-'Needs years'!$I$60:$I$109))),2),2))</f>
      </c>
      <c r="T51">
        <f>IF('Inputs'!$B$101="",0,ROUND('Needs years'!$C$66+ROUND(IF(T50=0,SUM('Needs years'!$J$60:$J$109),(1-(1+T50)^-1)/(1-(1+T50)^(-1/12))/12*SUMPRODUCT('Needs years'!$J$60:$J$109,(1+T50)^(-'Needs years'!$I$60:$I$109))),2),2))</f>
      </c>
    </row>
    <row r="52" spans="2:20" x14ac:dyDescent="0.25">
      <c r="B52" t="s">
        <v>361</v>
      </c>
      <c r="C52">
        <f>IF('Inputs'!$B$101="",0,ROUND(C51-C47,2))</f>
      </c>
      <c r="E52">
        <f>IF('Inputs'!$B$101="",0,ROUND(E51-E47,2))</f>
      </c>
      <c r="F52">
        <f>IF('Inputs'!$B$101="",0,ROUND(F51-F47,2))</f>
      </c>
      <c r="G52">
        <f>IF('Inputs'!$B$101="",0,ROUND(G51-G47,2))</f>
      </c>
      <c r="H52">
        <f>IF('Inputs'!$B$101="",0,ROUND(H51-H47,2))</f>
      </c>
      <c r="I52">
        <f>IF('Inputs'!$B$101="",0,ROUND(I51-I47,2))</f>
      </c>
      <c r="J52">
        <f>IF('Inputs'!$B$101="",0,ROUND(J51-J47,2))</f>
      </c>
      <c r="K52">
        <f>IF('Inputs'!$B$101="",0,ROUND(K51-K47,2))</f>
      </c>
      <c r="L52">
        <f>IF('Inputs'!$B$101="",0,ROUND(L51-L47,2))</f>
      </c>
      <c r="M52">
        <f>IF('Inputs'!$B$101="",0,ROUND(M51-M47,2))</f>
      </c>
      <c r="N52">
        <f>IF('Inputs'!$B$101="",0,ROUND(N51-N47,2))</f>
      </c>
      <c r="O52">
        <f>IF('Inputs'!$B$101="",0,ROUND(O51-O47,2))</f>
      </c>
      <c r="P52">
        <f>IF('Inputs'!$B$101="",0,ROUND(P51-P47,2))</f>
      </c>
      <c r="Q52">
        <f>IF('Inputs'!$B$101="",0,ROUND(Q51-Q47,2))</f>
      </c>
      <c r="R52">
        <f>IF('Inputs'!$B$101="",0,ROUND(R51-R47,2))</f>
      </c>
      <c r="S52">
        <f>IF('Inputs'!$B$101="",0,ROUND(S51-S47,2))</f>
      </c>
      <c r="T52">
        <f>IF('Inputs'!$B$101="",0,ROUND(T51-T47,2))</f>
      </c>
    </row>
    <row r="53" spans="2:20" x14ac:dyDescent="0.25">
      <c r="B53" t="s">
        <v>362</v>
      </c>
      <c r="C53">
        <f>IF('Inputs'!$B$101="",0,'Needs years'!$C$72+IF((C51-'Needs years'!$C$66)&gt;0,MAX(0,C47-'Needs years'!$C$66)/(C51-'Needs years'!$C$66)*'Needs years'!$J$60/12,0))</f>
      </c>
      <c r="E53">
        <f>IF('Inputs'!$B$101="",0,'Needs years'!$C$72+IF((E51-'Needs years'!$C$66)&gt;0,MAX(0,E47-'Needs years'!$C$66)/(E51-'Needs years'!$C$66)*'Needs years'!$J$60/12,0))</f>
      </c>
      <c r="F53">
        <f>IF('Inputs'!$B$101="",0,'Needs years'!$C$72+IF((F51-'Needs years'!$C$66)&gt;0,MAX(0,F47-'Needs years'!$C$66)/(F51-'Needs years'!$C$66)*'Needs years'!$J$60/12,0))</f>
      </c>
      <c r="G53">
        <f>IF('Inputs'!$B$101="",0,'Needs years'!$C$72+IF((G51-'Needs years'!$C$66)&gt;0,MAX(0,G47-'Needs years'!$C$66)/(G51-'Needs years'!$C$66)*'Needs years'!$J$60/12,0))</f>
      </c>
      <c r="H53">
        <f>IF('Inputs'!$B$101="",0,'Needs years'!$C$72+IF((H51-'Needs years'!$C$66)&gt;0,MAX(0,H47-'Needs years'!$C$66)/(H51-'Needs years'!$C$66)*'Needs years'!$J$60/12,0))</f>
      </c>
      <c r="I53">
        <f>IF('Inputs'!$B$101="",0,'Needs years'!$C$72+IF((I51-'Needs years'!$C$66)&gt;0,MAX(0,I47-'Needs years'!$C$66)/(I51-'Needs years'!$C$66)*'Needs years'!$J$60/12,0))</f>
      </c>
      <c r="J53">
        <f>IF('Inputs'!$B$101="",0,'Needs years'!$C$72+IF((J51-'Needs years'!$C$66)&gt;0,MAX(0,J47-'Needs years'!$C$66)/(J51-'Needs years'!$C$66)*'Needs years'!$J$60/12,0))</f>
      </c>
      <c r="K53">
        <f>IF('Inputs'!$B$101="",0,'Needs years'!$C$72+IF((K51-'Needs years'!$C$66)&gt;0,MAX(0,K47-'Needs years'!$C$66)/(K51-'Needs years'!$C$66)*'Needs years'!$J$60/12,0))</f>
      </c>
      <c r="L53">
        <f>IF('Inputs'!$B$101="",0,'Needs years'!$C$72+IF((L51-'Needs years'!$C$66)&gt;0,MAX(0,L47-'Needs years'!$C$66)/(L51-'Needs years'!$C$66)*'Needs years'!$J$60/12,0))</f>
      </c>
      <c r="M53">
        <f>IF('Inputs'!$B$101="",0,'Needs years'!$C$72+IF((M51-'Needs years'!$C$66)&gt;0,MAX(0,M47-'Needs years'!$C$66)/(M51-'Needs years'!$C$66)*'Needs years'!$J$60/12,0))</f>
      </c>
      <c r="N53">
        <f>IF('Inputs'!$B$101="",0,'Needs years'!$C$72+IF((N51-'Needs years'!$C$66)&gt;0,MAX(0,N47-'Needs years'!$C$66)/(N51-'Needs years'!$C$66)*'Needs years'!$J$60/12,0))</f>
      </c>
      <c r="O53">
        <f>IF('Inputs'!$B$101="",0,'Needs years'!$C$72+IF((O51-'Needs years'!$C$66)&gt;0,MAX(0,O47-'Needs years'!$C$66)/(O51-'Needs years'!$C$66)*'Needs years'!$J$60/12,0))</f>
      </c>
      <c r="P53">
        <f>IF('Inputs'!$B$101="",0,'Needs years'!$C$72+IF((P51-'Needs years'!$C$66)&gt;0,MAX(0,P47-'Needs years'!$C$66)/(P51-'Needs years'!$C$66)*'Needs years'!$J$60/12,0))</f>
      </c>
      <c r="Q53">
        <f>IF('Inputs'!$B$101="",0,'Needs years'!$C$72+IF((Q51-'Needs years'!$C$66)&gt;0,MAX(0,Q47-'Needs years'!$C$66)/(Q51-'Needs years'!$C$66)*'Needs years'!$J$60/12,0))</f>
      </c>
      <c r="R53">
        <f>IF('Inputs'!$B$101="",0,'Needs years'!$C$72+IF((R51-'Needs years'!$C$66)&gt;0,MAX(0,R47-'Needs years'!$C$66)/(R51-'Needs years'!$C$66)*'Needs years'!$J$60/12,0))</f>
      </c>
      <c r="S53">
        <f>IF('Inputs'!$B$101="",0,'Needs years'!$C$72+IF((S51-'Needs years'!$C$66)&gt;0,MAX(0,S47-'Needs years'!$C$66)/(S51-'Needs years'!$C$66)*'Needs years'!$J$60/12,0))</f>
      </c>
      <c r="T53">
        <f>IF('Inputs'!$B$101="",0,'Needs years'!$C$72+IF((T51-'Needs years'!$C$66)&gt;0,MAX(0,T47-'Needs years'!$C$66)/(T51-'Needs years'!$C$66)*'Needs years'!$J$60/12,0))</f>
      </c>
    </row>
    <row r="54" spans="2:20" x14ac:dyDescent="0.25">
      <c r="B54" t="s">
        <v>363</v>
      </c>
      <c r="C54">
        <f>IF('Inputs'!$B$102="",0,ROUND(IF(C31="S",'Inputs'!$O$102*C28,IF(C31="K",'Inputs'!$L$102*IF('Inputs'!$N$102=1,C33,C32),0))+'Inputs'!$O$102*ROUND(SUM('Inputs'!$Z$22:$Z$39)*C14,2)+'Inputs'!$Q$102*IF('Inputs'!$S$102=1,C35+C37,C34+C36)+SUMPRODUCT(('Inputs'!$F$59:$F$70='Inputs'!$B$102)*('Inputs'!$C$59:$C$70&lt;&gt;"Estate")*('Inputs'!$C$59:$C$70&lt;&gt;""),('Inputs'!$D$59:$D$70-'Inputs'!$R$59:$R$70*ROUND(C18*'Inputs'!$D$59:$D$70,2)))+SUMPRODUCT(('Inputs'!$F$87:$F$94='Inputs'!$B$102)*'Inputs'!$J$87:$J$94)+C6-(1-'Inputs'!$T$102)*ROUND(C18*C6,2)-SUMPRODUCT(('Inputs'!$G$76:$G$81='Inputs'!$B$102)*ROUND(C18*'Inputs'!$O$76:$O$81,2)),2))</f>
      </c>
      <c r="E54">
        <f>IF('Inputs'!$B$102="",0,ROUND(IF(E31="S",'Inputs'!$O$102*E28,IF(E31="K",'Inputs'!$L$102*IF('Inputs'!$N$102=1,E33,E32),0))+'Inputs'!$O$102*ROUND(SUM('Inputs'!$Z$22:$Z$39)*E14,2)+'Inputs'!$Q$102*IF('Inputs'!$S$102=1,E35+E37,E34+E36)+SUMPRODUCT(('Inputs'!$F$59:$F$70='Inputs'!$B$102)*('Inputs'!$C$59:$C$70&lt;&gt;"Estate")*('Inputs'!$C$59:$C$70&lt;&gt;""),('Inputs'!$D$59:$D$70-'Inputs'!$R$59:$R$70*ROUND(E18*'Inputs'!$D$59:$D$70,2)))+SUMPRODUCT(('Inputs'!$F$87:$F$94='Inputs'!$B$102)*'Inputs'!$J$87:$J$94)+E6-(1-'Inputs'!$T$102)*ROUND(E18*E6,2)-SUMPRODUCT(('Inputs'!$G$76:$G$81='Inputs'!$B$102)*ROUND(E18*'Inputs'!$O$76:$O$81,2)),2))</f>
      </c>
      <c r="F54">
        <f>IF('Inputs'!$B$102="",0,ROUND(IF(F31="S",'Inputs'!$O$102*F28,IF(F31="K",'Inputs'!$L$102*IF('Inputs'!$N$102=1,F33,F32),0))+'Inputs'!$O$102*ROUND(SUM('Inputs'!$Z$22:$Z$39)*F14,2)+'Inputs'!$Q$102*IF('Inputs'!$S$102=1,F35+F37,F34+F36)+SUMPRODUCT(('Inputs'!$F$59:$F$70='Inputs'!$B$102)*('Inputs'!$C$59:$C$70&lt;&gt;"Estate")*('Inputs'!$C$59:$C$70&lt;&gt;""),('Inputs'!$D$59:$D$70-'Inputs'!$R$59:$R$70*ROUND(F18*'Inputs'!$D$59:$D$70,2)))+SUMPRODUCT(('Inputs'!$F$87:$F$94='Inputs'!$B$102)*'Inputs'!$J$87:$J$94)+F6-(1-'Inputs'!$T$102)*ROUND(F18*F6,2)-SUMPRODUCT(('Inputs'!$G$76:$G$81='Inputs'!$B$102)*ROUND(F18*'Inputs'!$O$76:$O$81,2)),2))</f>
      </c>
      <c r="G54">
        <f>IF('Inputs'!$B$102="",0,ROUND(IF(G31="S",'Inputs'!$O$102*G28,IF(G31="K",'Inputs'!$L$102*IF('Inputs'!$N$102=1,G33,G32),0))+'Inputs'!$O$102*ROUND(SUM('Inputs'!$Z$22:$Z$39)*G14,2)+'Inputs'!$Q$102*IF('Inputs'!$S$102=1,G35+G37,G34+G36)+SUMPRODUCT(('Inputs'!$F$59:$F$70='Inputs'!$B$102)*('Inputs'!$C$59:$C$70&lt;&gt;"Estate")*('Inputs'!$C$59:$C$70&lt;&gt;""),('Inputs'!$D$59:$D$70-'Inputs'!$R$59:$R$70*ROUND(G18*'Inputs'!$D$59:$D$70,2)))+SUMPRODUCT(('Inputs'!$F$87:$F$94='Inputs'!$B$102)*'Inputs'!$J$87:$J$94)+G6-(1-'Inputs'!$T$102)*ROUND(G18*G6,2)-SUMPRODUCT(('Inputs'!$G$76:$G$81='Inputs'!$B$102)*ROUND(G18*'Inputs'!$O$76:$O$81,2)),2))</f>
      </c>
      <c r="H54">
        <f>IF('Inputs'!$B$102="",0,ROUND(IF(H31="S",'Inputs'!$O$102*H28,IF(H31="K",'Inputs'!$L$102*IF('Inputs'!$N$102=1,H33,H32),0))+'Inputs'!$O$102*ROUND(SUM('Inputs'!$Z$22:$Z$39)*H14,2)+'Inputs'!$Q$102*IF('Inputs'!$S$102=1,H35+H37,H34+H36)+SUMPRODUCT(('Inputs'!$F$59:$F$70='Inputs'!$B$102)*('Inputs'!$C$59:$C$70&lt;&gt;"Estate")*('Inputs'!$C$59:$C$70&lt;&gt;""),('Inputs'!$D$59:$D$70-'Inputs'!$R$59:$R$70*ROUND(H18*'Inputs'!$D$59:$D$70,2)))+SUMPRODUCT(('Inputs'!$F$87:$F$94='Inputs'!$B$102)*'Inputs'!$J$87:$J$94)+H6-(1-'Inputs'!$T$102)*ROUND(H18*H6,2)-SUMPRODUCT(('Inputs'!$G$76:$G$81='Inputs'!$B$102)*ROUND(H18*'Inputs'!$O$76:$O$81,2)),2))</f>
      </c>
      <c r="I54">
        <f>IF('Inputs'!$B$102="",0,ROUND(IF(I31="S",'Inputs'!$O$102*I28,IF(I31="K",'Inputs'!$L$102*IF('Inputs'!$N$102=1,I33,I32),0))+'Inputs'!$O$102*ROUND(SUM('Inputs'!$Z$22:$Z$39)*I14,2)+'Inputs'!$Q$102*IF('Inputs'!$S$102=1,I35+I37,I34+I36)+SUMPRODUCT(('Inputs'!$F$59:$F$70='Inputs'!$B$102)*('Inputs'!$C$59:$C$70&lt;&gt;"Estate")*('Inputs'!$C$59:$C$70&lt;&gt;""),('Inputs'!$D$59:$D$70-'Inputs'!$R$59:$R$70*ROUND(I18*'Inputs'!$D$59:$D$70,2)))+SUMPRODUCT(('Inputs'!$F$87:$F$94='Inputs'!$B$102)*'Inputs'!$J$87:$J$94)+I6-(1-'Inputs'!$T$102)*ROUND(I18*I6,2)-SUMPRODUCT(('Inputs'!$G$76:$G$81='Inputs'!$B$102)*ROUND(I18*'Inputs'!$O$76:$O$81,2)),2))</f>
      </c>
      <c r="J54">
        <f>IF('Inputs'!$B$102="",0,ROUND(IF(J31="S",'Inputs'!$O$102*J28,IF(J31="K",'Inputs'!$L$102*IF('Inputs'!$N$102=1,J33,J32),0))+'Inputs'!$O$102*ROUND(SUM('Inputs'!$Z$22:$Z$39)*J14,2)+'Inputs'!$Q$102*IF('Inputs'!$S$102=1,J35+J37,J34+J36)+SUMPRODUCT(('Inputs'!$F$59:$F$70='Inputs'!$B$102)*('Inputs'!$C$59:$C$70&lt;&gt;"Estate")*('Inputs'!$C$59:$C$70&lt;&gt;""),('Inputs'!$D$59:$D$70-'Inputs'!$R$59:$R$70*ROUND(J18*'Inputs'!$D$59:$D$70,2)))+SUMPRODUCT(('Inputs'!$F$87:$F$94='Inputs'!$B$102)*'Inputs'!$J$87:$J$94)+J6-(1-'Inputs'!$T$102)*ROUND(J18*J6,2)-SUMPRODUCT(('Inputs'!$G$76:$G$81='Inputs'!$B$102)*ROUND(J18*'Inputs'!$O$76:$O$81,2)),2))</f>
      </c>
      <c r="K54">
        <f>IF('Inputs'!$B$102="",0,ROUND(IF(K31="S",'Inputs'!$O$102*K28,IF(K31="K",'Inputs'!$L$102*IF('Inputs'!$N$102=1,K33,K32),0))+'Inputs'!$O$102*ROUND(SUM('Inputs'!$Z$22:$Z$39)*K14,2)+'Inputs'!$Q$102*IF('Inputs'!$S$102=1,K35+K37,K34+K36)+SUMPRODUCT(('Inputs'!$F$59:$F$70='Inputs'!$B$102)*('Inputs'!$C$59:$C$70&lt;&gt;"Estate")*('Inputs'!$C$59:$C$70&lt;&gt;""),('Inputs'!$D$59:$D$70-'Inputs'!$R$59:$R$70*ROUND(K18*'Inputs'!$D$59:$D$70,2)))+SUMPRODUCT(('Inputs'!$F$87:$F$94='Inputs'!$B$102)*'Inputs'!$J$87:$J$94)+K6-(1-'Inputs'!$T$102)*ROUND(K18*K6,2)-SUMPRODUCT(('Inputs'!$G$76:$G$81='Inputs'!$B$102)*ROUND(K18*'Inputs'!$O$76:$O$81,2)),2))</f>
      </c>
      <c r="L54">
        <f>IF('Inputs'!$B$102="",0,ROUND(IF(L31="S",'Inputs'!$O$102*L28,IF(L31="K",'Inputs'!$L$102*IF('Inputs'!$N$102=1,L33,L32),0))+'Inputs'!$O$102*ROUND(SUM('Inputs'!$Z$22:$Z$39)*L14,2)+'Inputs'!$Q$102*IF('Inputs'!$S$102=1,L35+L37,L34+L36)+SUMPRODUCT(('Inputs'!$F$59:$F$70='Inputs'!$B$102)*('Inputs'!$C$59:$C$70&lt;&gt;"Estate")*('Inputs'!$C$59:$C$70&lt;&gt;""),('Inputs'!$D$59:$D$70-'Inputs'!$R$59:$R$70*ROUND(L18*'Inputs'!$D$59:$D$70,2)))+SUMPRODUCT(('Inputs'!$F$87:$F$94='Inputs'!$B$102)*'Inputs'!$J$87:$J$94)+L6-(1-'Inputs'!$T$102)*ROUND(L18*L6,2)-SUMPRODUCT(('Inputs'!$G$76:$G$81='Inputs'!$B$102)*ROUND(L18*'Inputs'!$O$76:$O$81,2)),2))</f>
      </c>
      <c r="M54">
        <f>IF('Inputs'!$B$102="",0,ROUND(IF(M31="S",'Inputs'!$O$102*M28,IF(M31="K",'Inputs'!$L$102*IF('Inputs'!$N$102=1,M33,M32),0))+'Inputs'!$O$102*ROUND(SUM('Inputs'!$Z$22:$Z$39)*M14,2)+'Inputs'!$Q$102*IF('Inputs'!$S$102=1,M35+M37,M34+M36)+SUMPRODUCT(('Inputs'!$F$59:$F$70='Inputs'!$B$102)*('Inputs'!$C$59:$C$70&lt;&gt;"Estate")*('Inputs'!$C$59:$C$70&lt;&gt;""),('Inputs'!$D$59:$D$70-'Inputs'!$R$59:$R$70*ROUND(M18*'Inputs'!$D$59:$D$70,2)))+SUMPRODUCT(('Inputs'!$F$87:$F$94='Inputs'!$B$102)*'Inputs'!$J$87:$J$94)+M6-(1-'Inputs'!$T$102)*ROUND(M18*M6,2)-SUMPRODUCT(('Inputs'!$G$76:$G$81='Inputs'!$B$102)*ROUND(M18*'Inputs'!$O$76:$O$81,2)),2))</f>
      </c>
      <c r="N54">
        <f>IF('Inputs'!$B$102="",0,ROUND(IF(N31="S",'Inputs'!$O$102*N28,IF(N31="K",'Inputs'!$L$102*IF('Inputs'!$N$102=1,N33,N32),0))+'Inputs'!$O$102*ROUND(SUM('Inputs'!$Z$22:$Z$39)*N14,2)+'Inputs'!$Q$102*IF('Inputs'!$S$102=1,N35+N37,N34+N36)+SUMPRODUCT(('Inputs'!$F$59:$F$70='Inputs'!$B$102)*('Inputs'!$C$59:$C$70&lt;&gt;"Estate")*('Inputs'!$C$59:$C$70&lt;&gt;""),('Inputs'!$D$59:$D$70-'Inputs'!$R$59:$R$70*ROUND(N18*'Inputs'!$D$59:$D$70,2)))+SUMPRODUCT(('Inputs'!$F$87:$F$94='Inputs'!$B$102)*'Inputs'!$J$87:$J$94)+N6-(1-'Inputs'!$T$102)*ROUND(N18*N6,2)-SUMPRODUCT(('Inputs'!$G$76:$G$81='Inputs'!$B$102)*ROUND(N18*'Inputs'!$O$76:$O$81,2)),2))</f>
      </c>
      <c r="O54">
        <f>IF('Inputs'!$B$102="",0,ROUND(IF(O31="S",'Inputs'!$O$102*O28,IF(O31="K",'Inputs'!$L$102*IF('Inputs'!$N$102=1,O33,O32),0))+'Inputs'!$O$102*ROUND(SUM('Inputs'!$Z$22:$Z$39)*O14,2)+'Inputs'!$Q$102*IF('Inputs'!$S$102=1,O35+O37,O34+O36)+SUMPRODUCT(('Inputs'!$F$59:$F$70='Inputs'!$B$102)*('Inputs'!$C$59:$C$70&lt;&gt;"Estate")*('Inputs'!$C$59:$C$70&lt;&gt;""),('Inputs'!$D$59:$D$70-'Inputs'!$R$59:$R$70*ROUND(O18*'Inputs'!$D$59:$D$70,2)))+SUMPRODUCT(('Inputs'!$F$87:$F$94='Inputs'!$B$102)*'Inputs'!$J$87:$J$94)+O6-(1-'Inputs'!$T$102)*ROUND(O18*O6,2)-SUMPRODUCT(('Inputs'!$G$76:$G$81='Inputs'!$B$102)*ROUND(O18*'Inputs'!$O$76:$O$81,2)),2))</f>
      </c>
      <c r="P54">
        <f>IF('Inputs'!$B$102="",0,ROUND(IF(P31="S",'Inputs'!$O$102*P28,IF(P31="K",'Inputs'!$L$102*IF('Inputs'!$N$102=1,P33,P32),0))+'Inputs'!$O$102*ROUND(SUM('Inputs'!$Z$22:$Z$39)*P14,2)+'Inputs'!$Q$102*IF('Inputs'!$S$102=1,P35+P37,P34+P36)+SUMPRODUCT(('Inputs'!$F$59:$F$70='Inputs'!$B$102)*('Inputs'!$C$59:$C$70&lt;&gt;"Estate")*('Inputs'!$C$59:$C$70&lt;&gt;""),('Inputs'!$D$59:$D$70-'Inputs'!$R$59:$R$70*ROUND(P18*'Inputs'!$D$59:$D$70,2)))+SUMPRODUCT(('Inputs'!$F$87:$F$94='Inputs'!$B$102)*'Inputs'!$J$87:$J$94)+P6-(1-'Inputs'!$T$102)*ROUND(P18*P6,2)-SUMPRODUCT(('Inputs'!$G$76:$G$81='Inputs'!$B$102)*ROUND(P18*'Inputs'!$O$76:$O$81,2)),2))</f>
      </c>
      <c r="Q54">
        <f>IF('Inputs'!$B$102="",0,ROUND(IF(Q31="S",'Inputs'!$O$102*Q28,IF(Q31="K",'Inputs'!$L$102*IF('Inputs'!$N$102=1,Q33,Q32),0))+'Inputs'!$O$102*ROUND(SUM('Inputs'!$Z$22:$Z$39)*Q14,2)+'Inputs'!$Q$102*IF('Inputs'!$S$102=1,Q35+Q37,Q34+Q36)+SUMPRODUCT(('Inputs'!$F$59:$F$70='Inputs'!$B$102)*('Inputs'!$C$59:$C$70&lt;&gt;"Estate")*('Inputs'!$C$59:$C$70&lt;&gt;""),('Inputs'!$D$59:$D$70-'Inputs'!$R$59:$R$70*ROUND(Q18*'Inputs'!$D$59:$D$70,2)))+SUMPRODUCT(('Inputs'!$F$87:$F$94='Inputs'!$B$102)*'Inputs'!$J$87:$J$94)+Q6-(1-'Inputs'!$T$102)*ROUND(Q18*Q6,2)-SUMPRODUCT(('Inputs'!$G$76:$G$81='Inputs'!$B$102)*ROUND(Q18*'Inputs'!$O$76:$O$81,2)),2))</f>
      </c>
      <c r="R54">
        <f>IF('Inputs'!$B$102="",0,ROUND(IF(R31="S",'Inputs'!$O$102*R28,IF(R31="K",'Inputs'!$L$102*IF('Inputs'!$N$102=1,R33,R32),0))+'Inputs'!$O$102*ROUND(SUM('Inputs'!$Z$22:$Z$39)*R14,2)+'Inputs'!$Q$102*IF('Inputs'!$S$102=1,R35+R37,R34+R36)+SUMPRODUCT(('Inputs'!$F$59:$F$70='Inputs'!$B$102)*('Inputs'!$C$59:$C$70&lt;&gt;"Estate")*('Inputs'!$C$59:$C$70&lt;&gt;""),('Inputs'!$D$59:$D$70-'Inputs'!$R$59:$R$70*ROUND(R18*'Inputs'!$D$59:$D$70,2)))+SUMPRODUCT(('Inputs'!$F$87:$F$94='Inputs'!$B$102)*'Inputs'!$J$87:$J$94)+R6-(1-'Inputs'!$T$102)*ROUND(R18*R6,2)-SUMPRODUCT(('Inputs'!$G$76:$G$81='Inputs'!$B$102)*ROUND(R18*'Inputs'!$O$76:$O$81,2)),2))</f>
      </c>
      <c r="S54">
        <f>IF('Inputs'!$B$102="",0,ROUND(IF(S31="S",'Inputs'!$O$102*S28,IF(S31="K",'Inputs'!$L$102*IF('Inputs'!$N$102=1,S33,S32),0))+'Inputs'!$O$102*ROUND(SUM('Inputs'!$Z$22:$Z$39)*S14,2)+'Inputs'!$Q$102*IF('Inputs'!$S$102=1,S35+S37,S34+S36)+SUMPRODUCT(('Inputs'!$F$59:$F$70='Inputs'!$B$102)*('Inputs'!$C$59:$C$70&lt;&gt;"Estate")*('Inputs'!$C$59:$C$70&lt;&gt;""),('Inputs'!$D$59:$D$70-'Inputs'!$R$59:$R$70*ROUND(S18*'Inputs'!$D$59:$D$70,2)))+SUMPRODUCT(('Inputs'!$F$87:$F$94='Inputs'!$B$102)*'Inputs'!$J$87:$J$94)+S6-(1-'Inputs'!$T$102)*ROUND(S18*S6,2)-SUMPRODUCT(('Inputs'!$G$76:$G$81='Inputs'!$B$102)*ROUND(S18*'Inputs'!$O$76:$O$81,2)),2))</f>
      </c>
      <c r="T54">
        <f>IF('Inputs'!$B$102="",0,ROUND(IF(T31="S",'Inputs'!$O$102*T28,IF(T31="K",'Inputs'!$L$102*IF('Inputs'!$N$102=1,T33,T32),0))+'Inputs'!$O$102*ROUND(SUM('Inputs'!$Z$22:$Z$39)*T14,2)+'Inputs'!$Q$102*IF('Inputs'!$S$102=1,T35+T37,T34+T36)+SUMPRODUCT(('Inputs'!$F$59:$F$70='Inputs'!$B$102)*('Inputs'!$C$59:$C$70&lt;&gt;"Estate")*('Inputs'!$C$59:$C$70&lt;&gt;""),('Inputs'!$D$59:$D$70-'Inputs'!$R$59:$R$70*ROUND(T18*'Inputs'!$D$59:$D$70,2)))+SUMPRODUCT(('Inputs'!$F$87:$F$94='Inputs'!$B$102)*'Inputs'!$J$87:$J$94)+T6-(1-'Inputs'!$T$102)*ROUND(T18*T6,2)-SUMPRODUCT(('Inputs'!$G$76:$G$81='Inputs'!$B$102)*ROUND(T18*'Inputs'!$O$76:$O$81,2)),2))</f>
      </c>
    </row>
    <row r="55" spans="2:20" x14ac:dyDescent="0.25">
      <c r="B55" t="s">
        <v>364</v>
      </c>
      <c r="C55">
        <f>'Needs years'!$C$117+MAX(0,C54-'Needs years'!$C$122)*('Inputs'!$H$122/100*('Inputs'!$H$125/100+'Inputs'!$H$120/100*'Inputs'!$H$127/100))</f>
      </c>
      <c r="E55">
        <f>'Needs years'!$C$117+MAX(0,E54-'Needs years'!$C$122)*('Inputs'!$H$122/100*('Inputs'!$H$125/100+'Inputs'!$H$120/100*'Inputs'!$H$127/100))</f>
      </c>
      <c r="F55">
        <f>'Needs years'!$C$117+MAX(0,F54-'Needs years'!$C$122)*('Inputs'!$H$122/100*('Inputs'!$H$125/100+'Inputs'!$H$120/100*'Inputs'!$H$127/100))</f>
      </c>
      <c r="G55">
        <f>'Needs years'!$C$117+MAX(0,G54-'Needs years'!$C$122)*('Inputs'!$H$122/100*('Inputs'!$H$125/100+'Inputs'!$H$120/100*'Inputs'!$H$127/100))</f>
      </c>
      <c r="H55">
        <f>'Needs years'!$C$117+MAX(0,H54-'Needs years'!$C$122)*('Inputs'!$H$122/100*('Inputs'!$H$125/100+'Inputs'!$H$120/100*'Inputs'!$H$127/100))</f>
      </c>
      <c r="I55">
        <f>'Needs years'!$C$117+MAX(0,I54-'Needs years'!$C$122)*('Inputs'!$H$122/100*('Inputs'!$H$125/100+'Inputs'!$H$120/100*'Inputs'!$H$127/100))</f>
      </c>
      <c r="J55">
        <f>'Needs years'!$C$117+MAX(0,J54-'Needs years'!$C$122)*('Inputs'!$H$122/100*('Inputs'!$H$125/100+'Inputs'!$H$120/100*'Inputs'!$H$127/100))</f>
      </c>
      <c r="K55">
        <f>'Needs years'!$C$117+MAX(0,K54-'Needs years'!$C$122)*('Inputs'!$H$122/100*('Inputs'!$H$125/100+'Inputs'!$H$120/100*'Inputs'!$H$127/100))</f>
      </c>
      <c r="L55">
        <f>'Needs years'!$C$117+MAX(0,L54-'Needs years'!$C$122)*('Inputs'!$H$122/100*('Inputs'!$H$125/100+'Inputs'!$H$120/100*'Inputs'!$H$127/100))</f>
      </c>
      <c r="M55">
        <f>'Needs years'!$C$117+MAX(0,M54-'Needs years'!$C$122)*('Inputs'!$H$122/100*('Inputs'!$H$125/100+'Inputs'!$H$120/100*'Inputs'!$H$127/100))</f>
      </c>
      <c r="N55">
        <f>'Needs years'!$C$117+MAX(0,N54-'Needs years'!$C$122)*('Inputs'!$H$122/100*('Inputs'!$H$125/100+'Inputs'!$H$120/100*'Inputs'!$H$127/100))</f>
      </c>
      <c r="O55">
        <f>'Needs years'!$C$117+MAX(0,O54-'Needs years'!$C$122)*('Inputs'!$H$122/100*('Inputs'!$H$125/100+'Inputs'!$H$120/100*'Inputs'!$H$127/100))</f>
      </c>
      <c r="P55">
        <f>'Needs years'!$C$117+MAX(0,P54-'Needs years'!$C$122)*('Inputs'!$H$122/100*('Inputs'!$H$125/100+'Inputs'!$H$120/100*'Inputs'!$H$127/100))</f>
      </c>
      <c r="Q55">
        <f>'Needs years'!$C$117+MAX(0,Q54-'Needs years'!$C$122)*('Inputs'!$H$122/100*('Inputs'!$H$125/100+'Inputs'!$H$120/100*'Inputs'!$H$127/100))</f>
      </c>
      <c r="R55">
        <f>'Needs years'!$C$117+MAX(0,R54-'Needs years'!$C$122)*('Inputs'!$H$122/100*('Inputs'!$H$125/100+'Inputs'!$H$120/100*'Inputs'!$H$127/100))</f>
      </c>
      <c r="S55">
        <f>'Needs years'!$C$117+MAX(0,S54-'Needs years'!$C$122)*('Inputs'!$H$122/100*('Inputs'!$H$125/100+'Inputs'!$H$120/100*'Inputs'!$H$127/100))</f>
      </c>
      <c r="T55">
        <f>'Needs years'!$C$117+MAX(0,T54-'Needs years'!$C$122)*('Inputs'!$H$122/100*('Inputs'!$H$125/100+'Inputs'!$H$120/100*'Inputs'!$H$127/100))</f>
      </c>
    </row>
    <row r="56" spans="2:20" x14ac:dyDescent="0.25">
      <c r="B56" t="s">
        <v>365</v>
      </c>
      <c r="C56">
        <f>IF(C55&lt;='Needs years'!$C$116,0,INDEX('Inputs'!$E$134:$E$140,MATCH(C55,'Inputs'!$C$134:$C$140,1)-IF(COUNTIF('Inputs'!$C$134:$C$140,C55)&gt;0,1,0))/100)</f>
      </c>
      <c r="E56">
        <f>IF(E55&lt;='Needs years'!$C$116,0,INDEX('Inputs'!$E$134:$E$140,MATCH(E55,'Inputs'!$C$134:$C$140,1)-IF(COUNTIF('Inputs'!$C$134:$C$140,E55)&gt;0,1,0))/100)</f>
      </c>
      <c r="F56">
        <f>IF(F55&lt;='Needs years'!$C$116,0,INDEX('Inputs'!$E$134:$E$140,MATCH(F55,'Inputs'!$C$134:$C$140,1)-IF(COUNTIF('Inputs'!$C$134:$C$140,F55)&gt;0,1,0))/100)</f>
      </c>
      <c r="G56">
        <f>IF(G55&lt;='Needs years'!$C$116,0,INDEX('Inputs'!$E$134:$E$140,MATCH(G55,'Inputs'!$C$134:$C$140,1)-IF(COUNTIF('Inputs'!$C$134:$C$140,G55)&gt;0,1,0))/100)</f>
      </c>
      <c r="H56">
        <f>IF(H55&lt;='Needs years'!$C$116,0,INDEX('Inputs'!$E$134:$E$140,MATCH(H55,'Inputs'!$C$134:$C$140,1)-IF(COUNTIF('Inputs'!$C$134:$C$140,H55)&gt;0,1,0))/100)</f>
      </c>
      <c r="I56">
        <f>IF(I55&lt;='Needs years'!$C$116,0,INDEX('Inputs'!$E$134:$E$140,MATCH(I55,'Inputs'!$C$134:$C$140,1)-IF(COUNTIF('Inputs'!$C$134:$C$140,I55)&gt;0,1,0))/100)</f>
      </c>
      <c r="J56">
        <f>IF(J55&lt;='Needs years'!$C$116,0,INDEX('Inputs'!$E$134:$E$140,MATCH(J55,'Inputs'!$C$134:$C$140,1)-IF(COUNTIF('Inputs'!$C$134:$C$140,J55)&gt;0,1,0))/100)</f>
      </c>
      <c r="K56">
        <f>IF(K55&lt;='Needs years'!$C$116,0,INDEX('Inputs'!$E$134:$E$140,MATCH(K55,'Inputs'!$C$134:$C$140,1)-IF(COUNTIF('Inputs'!$C$134:$C$140,K55)&gt;0,1,0))/100)</f>
      </c>
      <c r="L56">
        <f>IF(L55&lt;='Needs years'!$C$116,0,INDEX('Inputs'!$E$134:$E$140,MATCH(L55,'Inputs'!$C$134:$C$140,1)-IF(COUNTIF('Inputs'!$C$134:$C$140,L55)&gt;0,1,0))/100)</f>
      </c>
      <c r="M56">
        <f>IF(M55&lt;='Needs years'!$C$116,0,INDEX('Inputs'!$E$134:$E$140,MATCH(M55,'Inputs'!$C$134:$C$140,1)-IF(COUNTIF('Inputs'!$C$134:$C$140,M55)&gt;0,1,0))/100)</f>
      </c>
      <c r="N56">
        <f>IF(N55&lt;='Needs years'!$C$116,0,INDEX('Inputs'!$E$134:$E$140,MATCH(N55,'Inputs'!$C$134:$C$140,1)-IF(COUNTIF('Inputs'!$C$134:$C$140,N55)&gt;0,1,0))/100)</f>
      </c>
      <c r="O56">
        <f>IF(O55&lt;='Needs years'!$C$116,0,INDEX('Inputs'!$E$134:$E$140,MATCH(O55,'Inputs'!$C$134:$C$140,1)-IF(COUNTIF('Inputs'!$C$134:$C$140,O55)&gt;0,1,0))/100)</f>
      </c>
      <c r="P56">
        <f>IF(P55&lt;='Needs years'!$C$116,0,INDEX('Inputs'!$E$134:$E$140,MATCH(P55,'Inputs'!$C$134:$C$140,1)-IF(COUNTIF('Inputs'!$C$134:$C$140,P55)&gt;0,1,0))/100)</f>
      </c>
      <c r="Q56">
        <f>IF(Q55&lt;='Needs years'!$C$116,0,INDEX('Inputs'!$E$134:$E$140,MATCH(Q55,'Inputs'!$C$134:$C$140,1)-IF(COUNTIF('Inputs'!$C$134:$C$140,Q55)&gt;0,1,0))/100)</f>
      </c>
      <c r="R56">
        <f>IF(R55&lt;='Needs years'!$C$116,0,INDEX('Inputs'!$E$134:$E$140,MATCH(R55,'Inputs'!$C$134:$C$140,1)-IF(COUNTIF('Inputs'!$C$134:$C$140,R55)&gt;0,1,0))/100)</f>
      </c>
      <c r="S56">
        <f>IF(S55&lt;='Needs years'!$C$116,0,INDEX('Inputs'!$E$134:$E$140,MATCH(S55,'Inputs'!$C$134:$C$140,1)-IF(COUNTIF('Inputs'!$C$134:$C$140,S55)&gt;0,1,0))/100)</f>
      </c>
      <c r="T56">
        <f>IF(T55&lt;='Needs years'!$C$116,0,INDEX('Inputs'!$E$134:$E$140,MATCH(T55,'Inputs'!$C$134:$C$140,1)-IF(COUNTIF('Inputs'!$C$134:$C$140,T55)&gt;0,1,0))/100)</f>
      </c>
    </row>
    <row r="57" spans="2:20" x14ac:dyDescent="0.25">
      <c r="B57" t="s">
        <v>366</v>
      </c>
      <c r="C57">
        <f>('Inputs'!$H$122/100*(1-('Inputs'!$H$125/100*C56+'Inputs'!$H$126/100*'Inputs'!$H$128/100+'Inputs'!$H$127/100*'Inputs'!$H$120/100*C56))-IF('Needs years'!$C$121=1,'Inputs'!$H$123/100,0))</f>
      </c>
      <c r="E57">
        <f>('Inputs'!$H$122/100*(1-('Inputs'!$H$125/100*E56+'Inputs'!$H$126/100*'Inputs'!$H$128/100+'Inputs'!$H$127/100*'Inputs'!$H$120/100*E56))-IF('Needs years'!$C$121=1,'Inputs'!$H$123/100,0))</f>
      </c>
      <c r="F57">
        <f>('Inputs'!$H$122/100*(1-('Inputs'!$H$125/100*F56+'Inputs'!$H$126/100*'Inputs'!$H$128/100+'Inputs'!$H$127/100*'Inputs'!$H$120/100*F56))-IF('Needs years'!$C$121=1,'Inputs'!$H$123/100,0))</f>
      </c>
      <c r="G57">
        <f>('Inputs'!$H$122/100*(1-('Inputs'!$H$125/100*G56+'Inputs'!$H$126/100*'Inputs'!$H$128/100+'Inputs'!$H$127/100*'Inputs'!$H$120/100*G56))-IF('Needs years'!$C$121=1,'Inputs'!$H$123/100,0))</f>
      </c>
      <c r="H57">
        <f>('Inputs'!$H$122/100*(1-('Inputs'!$H$125/100*H56+'Inputs'!$H$126/100*'Inputs'!$H$128/100+'Inputs'!$H$127/100*'Inputs'!$H$120/100*H56))-IF('Needs years'!$C$121=1,'Inputs'!$H$123/100,0))</f>
      </c>
      <c r="I57">
        <f>('Inputs'!$H$122/100*(1-('Inputs'!$H$125/100*I56+'Inputs'!$H$126/100*'Inputs'!$H$128/100+'Inputs'!$H$127/100*'Inputs'!$H$120/100*I56))-IF('Needs years'!$C$121=1,'Inputs'!$H$123/100,0))</f>
      </c>
      <c r="J57">
        <f>('Inputs'!$H$122/100*(1-('Inputs'!$H$125/100*J56+'Inputs'!$H$126/100*'Inputs'!$H$128/100+'Inputs'!$H$127/100*'Inputs'!$H$120/100*J56))-IF('Needs years'!$C$121=1,'Inputs'!$H$123/100,0))</f>
      </c>
      <c r="K57">
        <f>('Inputs'!$H$122/100*(1-('Inputs'!$H$125/100*K56+'Inputs'!$H$126/100*'Inputs'!$H$128/100+'Inputs'!$H$127/100*'Inputs'!$H$120/100*K56))-IF('Needs years'!$C$121=1,'Inputs'!$H$123/100,0))</f>
      </c>
      <c r="L57">
        <f>('Inputs'!$H$122/100*(1-('Inputs'!$H$125/100*L56+'Inputs'!$H$126/100*'Inputs'!$H$128/100+'Inputs'!$H$127/100*'Inputs'!$H$120/100*L56))-IF('Needs years'!$C$121=1,'Inputs'!$H$123/100,0))</f>
      </c>
      <c r="M57">
        <f>('Inputs'!$H$122/100*(1-('Inputs'!$H$125/100*M56+'Inputs'!$H$126/100*'Inputs'!$H$128/100+'Inputs'!$H$127/100*'Inputs'!$H$120/100*M56))-IF('Needs years'!$C$121=1,'Inputs'!$H$123/100,0))</f>
      </c>
      <c r="N57">
        <f>('Inputs'!$H$122/100*(1-('Inputs'!$H$125/100*N56+'Inputs'!$H$126/100*'Inputs'!$H$128/100+'Inputs'!$H$127/100*'Inputs'!$H$120/100*N56))-IF('Needs years'!$C$121=1,'Inputs'!$H$123/100,0))</f>
      </c>
      <c r="O57">
        <f>('Inputs'!$H$122/100*(1-('Inputs'!$H$125/100*O56+'Inputs'!$H$126/100*'Inputs'!$H$128/100+'Inputs'!$H$127/100*'Inputs'!$H$120/100*O56))-IF('Needs years'!$C$121=1,'Inputs'!$H$123/100,0))</f>
      </c>
      <c r="P57">
        <f>('Inputs'!$H$122/100*(1-('Inputs'!$H$125/100*P56+'Inputs'!$H$126/100*'Inputs'!$H$128/100+'Inputs'!$H$127/100*'Inputs'!$H$120/100*P56))-IF('Needs years'!$C$121=1,'Inputs'!$H$123/100,0))</f>
      </c>
      <c r="Q57">
        <f>('Inputs'!$H$122/100*(1-('Inputs'!$H$125/100*Q56+'Inputs'!$H$126/100*'Inputs'!$H$128/100+'Inputs'!$H$127/100*'Inputs'!$H$120/100*Q56))-IF('Needs years'!$C$121=1,'Inputs'!$H$123/100,0))</f>
      </c>
      <c r="R57">
        <f>('Inputs'!$H$122/100*(1-('Inputs'!$H$125/100*R56+'Inputs'!$H$126/100*'Inputs'!$H$128/100+'Inputs'!$H$127/100*'Inputs'!$H$120/100*R56))-IF('Needs years'!$C$121=1,'Inputs'!$H$123/100,0))</f>
      </c>
      <c r="S57">
        <f>('Inputs'!$H$122/100*(1-('Inputs'!$H$125/100*S56+'Inputs'!$H$126/100*'Inputs'!$H$128/100+'Inputs'!$H$127/100*'Inputs'!$H$120/100*S56))-IF('Needs years'!$C$121=1,'Inputs'!$H$123/100,0))</f>
      </c>
      <c r="T57">
        <f>('Inputs'!$H$122/100*(1-('Inputs'!$H$125/100*T56+'Inputs'!$H$126/100*'Inputs'!$H$128/100+'Inputs'!$H$127/100*'Inputs'!$H$120/100*T56))-IF('Needs years'!$C$121=1,'Inputs'!$H$123/100,0))</f>
      </c>
    </row>
    <row r="58" spans="2:20" x14ac:dyDescent="0.25">
      <c r="B58" t="s">
        <v>367</v>
      </c>
      <c r="C58">
        <f>IF('Inputs'!$B$102="",0,ROUND('Needs years'!$C$122+ROUND(IF(C57=0,SUM('Needs years'!$J$116:$J$165),(1-(1+C57)^-1)/(1-(1+C57)^(-1/12))/12*SUMPRODUCT('Needs years'!$J$116:$J$165,(1+C57)^(-'Needs years'!$I$116:$I$165))),2),2))</f>
      </c>
      <c r="E58">
        <f>IF('Inputs'!$B$102="",0,ROUND('Needs years'!$C$122+ROUND(IF(E57=0,SUM('Needs years'!$J$116:$J$165),(1-(1+E57)^-1)/(1-(1+E57)^(-1/12))/12*SUMPRODUCT('Needs years'!$J$116:$J$165,(1+E57)^(-'Needs years'!$I$116:$I$165))),2),2))</f>
      </c>
      <c r="F58">
        <f>IF('Inputs'!$B$102="",0,ROUND('Needs years'!$C$122+ROUND(IF(F57=0,SUM('Needs years'!$J$116:$J$165),(1-(1+F57)^-1)/(1-(1+F57)^(-1/12))/12*SUMPRODUCT('Needs years'!$J$116:$J$165,(1+F57)^(-'Needs years'!$I$116:$I$165))),2),2))</f>
      </c>
      <c r="G58">
        <f>IF('Inputs'!$B$102="",0,ROUND('Needs years'!$C$122+ROUND(IF(G57=0,SUM('Needs years'!$J$116:$J$165),(1-(1+G57)^-1)/(1-(1+G57)^(-1/12))/12*SUMPRODUCT('Needs years'!$J$116:$J$165,(1+G57)^(-'Needs years'!$I$116:$I$165))),2),2))</f>
      </c>
      <c r="H58">
        <f>IF('Inputs'!$B$102="",0,ROUND('Needs years'!$C$122+ROUND(IF(H57=0,SUM('Needs years'!$J$116:$J$165),(1-(1+H57)^-1)/(1-(1+H57)^(-1/12))/12*SUMPRODUCT('Needs years'!$J$116:$J$165,(1+H57)^(-'Needs years'!$I$116:$I$165))),2),2))</f>
      </c>
      <c r="I58">
        <f>IF('Inputs'!$B$102="",0,ROUND('Needs years'!$C$122+ROUND(IF(I57=0,SUM('Needs years'!$J$116:$J$165),(1-(1+I57)^-1)/(1-(1+I57)^(-1/12))/12*SUMPRODUCT('Needs years'!$J$116:$J$165,(1+I57)^(-'Needs years'!$I$116:$I$165))),2),2))</f>
      </c>
      <c r="J58">
        <f>IF('Inputs'!$B$102="",0,ROUND('Needs years'!$C$122+ROUND(IF(J57=0,SUM('Needs years'!$J$116:$J$165),(1-(1+J57)^-1)/(1-(1+J57)^(-1/12))/12*SUMPRODUCT('Needs years'!$J$116:$J$165,(1+J57)^(-'Needs years'!$I$116:$I$165))),2),2))</f>
      </c>
      <c r="K58">
        <f>IF('Inputs'!$B$102="",0,ROUND('Needs years'!$C$122+ROUND(IF(K57=0,SUM('Needs years'!$J$116:$J$165),(1-(1+K57)^-1)/(1-(1+K57)^(-1/12))/12*SUMPRODUCT('Needs years'!$J$116:$J$165,(1+K57)^(-'Needs years'!$I$116:$I$165))),2),2))</f>
      </c>
      <c r="L58">
        <f>IF('Inputs'!$B$102="",0,ROUND('Needs years'!$C$122+ROUND(IF(L57=0,SUM('Needs years'!$J$116:$J$165),(1-(1+L57)^-1)/(1-(1+L57)^(-1/12))/12*SUMPRODUCT('Needs years'!$J$116:$J$165,(1+L57)^(-'Needs years'!$I$116:$I$165))),2),2))</f>
      </c>
      <c r="M58">
        <f>IF('Inputs'!$B$102="",0,ROUND('Needs years'!$C$122+ROUND(IF(M57=0,SUM('Needs years'!$J$116:$J$165),(1-(1+M57)^-1)/(1-(1+M57)^(-1/12))/12*SUMPRODUCT('Needs years'!$J$116:$J$165,(1+M57)^(-'Needs years'!$I$116:$I$165))),2),2))</f>
      </c>
      <c r="N58">
        <f>IF('Inputs'!$B$102="",0,ROUND('Needs years'!$C$122+ROUND(IF(N57=0,SUM('Needs years'!$J$116:$J$165),(1-(1+N57)^-1)/(1-(1+N57)^(-1/12))/12*SUMPRODUCT('Needs years'!$J$116:$J$165,(1+N57)^(-'Needs years'!$I$116:$I$165))),2),2))</f>
      </c>
      <c r="O58">
        <f>IF('Inputs'!$B$102="",0,ROUND('Needs years'!$C$122+ROUND(IF(O57=0,SUM('Needs years'!$J$116:$J$165),(1-(1+O57)^-1)/(1-(1+O57)^(-1/12))/12*SUMPRODUCT('Needs years'!$J$116:$J$165,(1+O57)^(-'Needs years'!$I$116:$I$165))),2),2))</f>
      </c>
      <c r="P58">
        <f>IF('Inputs'!$B$102="",0,ROUND('Needs years'!$C$122+ROUND(IF(P57=0,SUM('Needs years'!$J$116:$J$165),(1-(1+P57)^-1)/(1-(1+P57)^(-1/12))/12*SUMPRODUCT('Needs years'!$J$116:$J$165,(1+P57)^(-'Needs years'!$I$116:$I$165))),2),2))</f>
      </c>
      <c r="Q58">
        <f>IF('Inputs'!$B$102="",0,ROUND('Needs years'!$C$122+ROUND(IF(Q57=0,SUM('Needs years'!$J$116:$J$165),(1-(1+Q57)^-1)/(1-(1+Q57)^(-1/12))/12*SUMPRODUCT('Needs years'!$J$116:$J$165,(1+Q57)^(-'Needs years'!$I$116:$I$165))),2),2))</f>
      </c>
      <c r="R58">
        <f>IF('Inputs'!$B$102="",0,ROUND('Needs years'!$C$122+ROUND(IF(R57=0,SUM('Needs years'!$J$116:$J$165),(1-(1+R57)^-1)/(1-(1+R57)^(-1/12))/12*SUMPRODUCT('Needs years'!$J$116:$J$165,(1+R57)^(-'Needs years'!$I$116:$I$165))),2),2))</f>
      </c>
      <c r="S58">
        <f>IF('Inputs'!$B$102="",0,ROUND('Needs years'!$C$122+ROUND(IF(S57=0,SUM('Needs years'!$J$116:$J$165),(1-(1+S57)^-1)/(1-(1+S57)^(-1/12))/12*SUMPRODUCT('Needs years'!$J$116:$J$165,(1+S57)^(-'Needs years'!$I$116:$I$165))),2),2))</f>
      </c>
      <c r="T58">
        <f>IF('Inputs'!$B$102="",0,ROUND('Needs years'!$C$122+ROUND(IF(T57=0,SUM('Needs years'!$J$116:$J$165),(1-(1+T57)^-1)/(1-(1+T57)^(-1/12))/12*SUMPRODUCT('Needs years'!$J$116:$J$165,(1+T57)^(-'Needs years'!$I$116:$I$165))),2),2))</f>
      </c>
    </row>
    <row r="59" spans="2:20" x14ac:dyDescent="0.25">
      <c r="B59" t="s">
        <v>368</v>
      </c>
      <c r="C59">
        <f>IF('Inputs'!$B$102="",0,ROUND(C58-C54,2))</f>
      </c>
      <c r="E59">
        <f>IF('Inputs'!$B$102="",0,ROUND(E58-E54,2))</f>
      </c>
      <c r="F59">
        <f>IF('Inputs'!$B$102="",0,ROUND(F58-F54,2))</f>
      </c>
      <c r="G59">
        <f>IF('Inputs'!$B$102="",0,ROUND(G58-G54,2))</f>
      </c>
      <c r="H59">
        <f>IF('Inputs'!$B$102="",0,ROUND(H58-H54,2))</f>
      </c>
      <c r="I59">
        <f>IF('Inputs'!$B$102="",0,ROUND(I58-I54,2))</f>
      </c>
      <c r="J59">
        <f>IF('Inputs'!$B$102="",0,ROUND(J58-J54,2))</f>
      </c>
      <c r="K59">
        <f>IF('Inputs'!$B$102="",0,ROUND(K58-K54,2))</f>
      </c>
      <c r="L59">
        <f>IF('Inputs'!$B$102="",0,ROUND(L58-L54,2))</f>
      </c>
      <c r="M59">
        <f>IF('Inputs'!$B$102="",0,ROUND(M58-M54,2))</f>
      </c>
      <c r="N59">
        <f>IF('Inputs'!$B$102="",0,ROUND(N58-N54,2))</f>
      </c>
      <c r="O59">
        <f>IF('Inputs'!$B$102="",0,ROUND(O58-O54,2))</f>
      </c>
      <c r="P59">
        <f>IF('Inputs'!$B$102="",0,ROUND(P58-P54,2))</f>
      </c>
      <c r="Q59">
        <f>IF('Inputs'!$B$102="",0,ROUND(Q58-Q54,2))</f>
      </c>
      <c r="R59">
        <f>IF('Inputs'!$B$102="",0,ROUND(R58-R54,2))</f>
      </c>
      <c r="S59">
        <f>IF('Inputs'!$B$102="",0,ROUND(S58-S54,2))</f>
      </c>
      <c r="T59">
        <f>IF('Inputs'!$B$102="",0,ROUND(T58-T54,2))</f>
      </c>
    </row>
    <row r="60" spans="2:20" x14ac:dyDescent="0.25">
      <c r="B60" t="s">
        <v>369</v>
      </c>
      <c r="C60">
        <f>IF('Inputs'!$B$102="",0,'Needs years'!$C$128+IF((C58-'Needs years'!$C$122)&gt;0,MAX(0,C54-'Needs years'!$C$122)/(C58-'Needs years'!$C$122)*'Needs years'!$J$116/12,0))</f>
      </c>
      <c r="E60">
        <f>IF('Inputs'!$B$102="",0,'Needs years'!$C$128+IF((E58-'Needs years'!$C$122)&gt;0,MAX(0,E54-'Needs years'!$C$122)/(E58-'Needs years'!$C$122)*'Needs years'!$J$116/12,0))</f>
      </c>
      <c r="F60">
        <f>IF('Inputs'!$B$102="",0,'Needs years'!$C$128+IF((F58-'Needs years'!$C$122)&gt;0,MAX(0,F54-'Needs years'!$C$122)/(F58-'Needs years'!$C$122)*'Needs years'!$J$116/12,0))</f>
      </c>
      <c r="G60">
        <f>IF('Inputs'!$B$102="",0,'Needs years'!$C$128+IF((G58-'Needs years'!$C$122)&gt;0,MAX(0,G54-'Needs years'!$C$122)/(G58-'Needs years'!$C$122)*'Needs years'!$J$116/12,0))</f>
      </c>
      <c r="H60">
        <f>IF('Inputs'!$B$102="",0,'Needs years'!$C$128+IF((H58-'Needs years'!$C$122)&gt;0,MAX(0,H54-'Needs years'!$C$122)/(H58-'Needs years'!$C$122)*'Needs years'!$J$116/12,0))</f>
      </c>
      <c r="I60">
        <f>IF('Inputs'!$B$102="",0,'Needs years'!$C$128+IF((I58-'Needs years'!$C$122)&gt;0,MAX(0,I54-'Needs years'!$C$122)/(I58-'Needs years'!$C$122)*'Needs years'!$J$116/12,0))</f>
      </c>
      <c r="J60">
        <f>IF('Inputs'!$B$102="",0,'Needs years'!$C$128+IF((J58-'Needs years'!$C$122)&gt;0,MAX(0,J54-'Needs years'!$C$122)/(J58-'Needs years'!$C$122)*'Needs years'!$J$116/12,0))</f>
      </c>
      <c r="K60">
        <f>IF('Inputs'!$B$102="",0,'Needs years'!$C$128+IF((K58-'Needs years'!$C$122)&gt;0,MAX(0,K54-'Needs years'!$C$122)/(K58-'Needs years'!$C$122)*'Needs years'!$J$116/12,0))</f>
      </c>
      <c r="L60">
        <f>IF('Inputs'!$B$102="",0,'Needs years'!$C$128+IF((L58-'Needs years'!$C$122)&gt;0,MAX(0,L54-'Needs years'!$C$122)/(L58-'Needs years'!$C$122)*'Needs years'!$J$116/12,0))</f>
      </c>
      <c r="M60">
        <f>IF('Inputs'!$B$102="",0,'Needs years'!$C$128+IF((M58-'Needs years'!$C$122)&gt;0,MAX(0,M54-'Needs years'!$C$122)/(M58-'Needs years'!$C$122)*'Needs years'!$J$116/12,0))</f>
      </c>
      <c r="N60">
        <f>IF('Inputs'!$B$102="",0,'Needs years'!$C$128+IF((N58-'Needs years'!$C$122)&gt;0,MAX(0,N54-'Needs years'!$C$122)/(N58-'Needs years'!$C$122)*'Needs years'!$J$116/12,0))</f>
      </c>
      <c r="O60">
        <f>IF('Inputs'!$B$102="",0,'Needs years'!$C$128+IF((O58-'Needs years'!$C$122)&gt;0,MAX(0,O54-'Needs years'!$C$122)/(O58-'Needs years'!$C$122)*'Needs years'!$J$116/12,0))</f>
      </c>
      <c r="P60">
        <f>IF('Inputs'!$B$102="",0,'Needs years'!$C$128+IF((P58-'Needs years'!$C$122)&gt;0,MAX(0,P54-'Needs years'!$C$122)/(P58-'Needs years'!$C$122)*'Needs years'!$J$116/12,0))</f>
      </c>
      <c r="Q60">
        <f>IF('Inputs'!$B$102="",0,'Needs years'!$C$128+IF((Q58-'Needs years'!$C$122)&gt;0,MAX(0,Q54-'Needs years'!$C$122)/(Q58-'Needs years'!$C$122)*'Needs years'!$J$116/12,0))</f>
      </c>
      <c r="R60">
        <f>IF('Inputs'!$B$102="",0,'Needs years'!$C$128+IF((R58-'Needs years'!$C$122)&gt;0,MAX(0,R54-'Needs years'!$C$122)/(R58-'Needs years'!$C$122)*'Needs years'!$J$116/12,0))</f>
      </c>
      <c r="S60">
        <f>IF('Inputs'!$B$102="",0,'Needs years'!$C$128+IF((S58-'Needs years'!$C$122)&gt;0,MAX(0,S54-'Needs years'!$C$122)/(S58-'Needs years'!$C$122)*'Needs years'!$J$116/12,0))</f>
      </c>
      <c r="T60">
        <f>IF('Inputs'!$B$102="",0,'Needs years'!$C$128+IF((T58-'Needs years'!$C$122)&gt;0,MAX(0,T54-'Needs years'!$C$122)/(T58-'Needs years'!$C$122)*'Needs years'!$J$116/12,0))</f>
      </c>
    </row>
    <row r="61" spans="2:20" x14ac:dyDescent="0.25">
      <c r="B61" t="s">
        <v>370</v>
      </c>
      <c r="C61">
        <f>IF('Inputs'!$B$103="",0,ROUND(IF(C31="S",'Inputs'!$O$103*C28,IF(C31="K",'Inputs'!$L$103*IF('Inputs'!$N$103=1,C33,C32),0))+'Inputs'!$O$103*ROUND(SUM('Inputs'!$Z$22:$Z$39)*C14,2)+'Inputs'!$Q$103*IF('Inputs'!$S$103=1,C35+C37,C34+C36)+SUMPRODUCT(('Inputs'!$F$59:$F$70='Inputs'!$B$103)*('Inputs'!$C$59:$C$70&lt;&gt;"Estate")*('Inputs'!$C$59:$C$70&lt;&gt;""),('Inputs'!$D$59:$D$70-'Inputs'!$R$59:$R$70*ROUND(C18*'Inputs'!$D$59:$D$70,2)))+SUMPRODUCT(('Inputs'!$F$87:$F$94='Inputs'!$B$103)*'Inputs'!$J$87:$J$94)+C7-(1-'Inputs'!$T$103)*ROUND(C18*C7,2)-SUMPRODUCT(('Inputs'!$G$76:$G$81='Inputs'!$B$103)*ROUND(C18*'Inputs'!$O$76:$O$81,2)),2))</f>
      </c>
      <c r="E61">
        <f>IF('Inputs'!$B$103="",0,ROUND(IF(E31="S",'Inputs'!$O$103*E28,IF(E31="K",'Inputs'!$L$103*IF('Inputs'!$N$103=1,E33,E32),0))+'Inputs'!$O$103*ROUND(SUM('Inputs'!$Z$22:$Z$39)*E14,2)+'Inputs'!$Q$103*IF('Inputs'!$S$103=1,E35+E37,E34+E36)+SUMPRODUCT(('Inputs'!$F$59:$F$70='Inputs'!$B$103)*('Inputs'!$C$59:$C$70&lt;&gt;"Estate")*('Inputs'!$C$59:$C$70&lt;&gt;""),('Inputs'!$D$59:$D$70-'Inputs'!$R$59:$R$70*ROUND(E18*'Inputs'!$D$59:$D$70,2)))+SUMPRODUCT(('Inputs'!$F$87:$F$94='Inputs'!$B$103)*'Inputs'!$J$87:$J$94)+E7-(1-'Inputs'!$T$103)*ROUND(E18*E7,2)-SUMPRODUCT(('Inputs'!$G$76:$G$81='Inputs'!$B$103)*ROUND(E18*'Inputs'!$O$76:$O$81,2)),2))</f>
      </c>
      <c r="F61">
        <f>IF('Inputs'!$B$103="",0,ROUND(IF(F31="S",'Inputs'!$O$103*F28,IF(F31="K",'Inputs'!$L$103*IF('Inputs'!$N$103=1,F33,F32),0))+'Inputs'!$O$103*ROUND(SUM('Inputs'!$Z$22:$Z$39)*F14,2)+'Inputs'!$Q$103*IF('Inputs'!$S$103=1,F35+F37,F34+F36)+SUMPRODUCT(('Inputs'!$F$59:$F$70='Inputs'!$B$103)*('Inputs'!$C$59:$C$70&lt;&gt;"Estate")*('Inputs'!$C$59:$C$70&lt;&gt;""),('Inputs'!$D$59:$D$70-'Inputs'!$R$59:$R$70*ROUND(F18*'Inputs'!$D$59:$D$70,2)))+SUMPRODUCT(('Inputs'!$F$87:$F$94='Inputs'!$B$103)*'Inputs'!$J$87:$J$94)+F7-(1-'Inputs'!$T$103)*ROUND(F18*F7,2)-SUMPRODUCT(('Inputs'!$G$76:$G$81='Inputs'!$B$103)*ROUND(F18*'Inputs'!$O$76:$O$81,2)),2))</f>
      </c>
      <c r="G61">
        <f>IF('Inputs'!$B$103="",0,ROUND(IF(G31="S",'Inputs'!$O$103*G28,IF(G31="K",'Inputs'!$L$103*IF('Inputs'!$N$103=1,G33,G32),0))+'Inputs'!$O$103*ROUND(SUM('Inputs'!$Z$22:$Z$39)*G14,2)+'Inputs'!$Q$103*IF('Inputs'!$S$103=1,G35+G37,G34+G36)+SUMPRODUCT(('Inputs'!$F$59:$F$70='Inputs'!$B$103)*('Inputs'!$C$59:$C$70&lt;&gt;"Estate")*('Inputs'!$C$59:$C$70&lt;&gt;""),('Inputs'!$D$59:$D$70-'Inputs'!$R$59:$R$70*ROUND(G18*'Inputs'!$D$59:$D$70,2)))+SUMPRODUCT(('Inputs'!$F$87:$F$94='Inputs'!$B$103)*'Inputs'!$J$87:$J$94)+G7-(1-'Inputs'!$T$103)*ROUND(G18*G7,2)-SUMPRODUCT(('Inputs'!$G$76:$G$81='Inputs'!$B$103)*ROUND(G18*'Inputs'!$O$76:$O$81,2)),2))</f>
      </c>
      <c r="H61">
        <f>IF('Inputs'!$B$103="",0,ROUND(IF(H31="S",'Inputs'!$O$103*H28,IF(H31="K",'Inputs'!$L$103*IF('Inputs'!$N$103=1,H33,H32),0))+'Inputs'!$O$103*ROUND(SUM('Inputs'!$Z$22:$Z$39)*H14,2)+'Inputs'!$Q$103*IF('Inputs'!$S$103=1,H35+H37,H34+H36)+SUMPRODUCT(('Inputs'!$F$59:$F$70='Inputs'!$B$103)*('Inputs'!$C$59:$C$70&lt;&gt;"Estate")*('Inputs'!$C$59:$C$70&lt;&gt;""),('Inputs'!$D$59:$D$70-'Inputs'!$R$59:$R$70*ROUND(H18*'Inputs'!$D$59:$D$70,2)))+SUMPRODUCT(('Inputs'!$F$87:$F$94='Inputs'!$B$103)*'Inputs'!$J$87:$J$94)+H7-(1-'Inputs'!$T$103)*ROUND(H18*H7,2)-SUMPRODUCT(('Inputs'!$G$76:$G$81='Inputs'!$B$103)*ROUND(H18*'Inputs'!$O$76:$O$81,2)),2))</f>
      </c>
      <c r="I61">
        <f>IF('Inputs'!$B$103="",0,ROUND(IF(I31="S",'Inputs'!$O$103*I28,IF(I31="K",'Inputs'!$L$103*IF('Inputs'!$N$103=1,I33,I32),0))+'Inputs'!$O$103*ROUND(SUM('Inputs'!$Z$22:$Z$39)*I14,2)+'Inputs'!$Q$103*IF('Inputs'!$S$103=1,I35+I37,I34+I36)+SUMPRODUCT(('Inputs'!$F$59:$F$70='Inputs'!$B$103)*('Inputs'!$C$59:$C$70&lt;&gt;"Estate")*('Inputs'!$C$59:$C$70&lt;&gt;""),('Inputs'!$D$59:$D$70-'Inputs'!$R$59:$R$70*ROUND(I18*'Inputs'!$D$59:$D$70,2)))+SUMPRODUCT(('Inputs'!$F$87:$F$94='Inputs'!$B$103)*'Inputs'!$J$87:$J$94)+I7-(1-'Inputs'!$T$103)*ROUND(I18*I7,2)-SUMPRODUCT(('Inputs'!$G$76:$G$81='Inputs'!$B$103)*ROUND(I18*'Inputs'!$O$76:$O$81,2)),2))</f>
      </c>
      <c r="J61">
        <f>IF('Inputs'!$B$103="",0,ROUND(IF(J31="S",'Inputs'!$O$103*J28,IF(J31="K",'Inputs'!$L$103*IF('Inputs'!$N$103=1,J33,J32),0))+'Inputs'!$O$103*ROUND(SUM('Inputs'!$Z$22:$Z$39)*J14,2)+'Inputs'!$Q$103*IF('Inputs'!$S$103=1,J35+J37,J34+J36)+SUMPRODUCT(('Inputs'!$F$59:$F$70='Inputs'!$B$103)*('Inputs'!$C$59:$C$70&lt;&gt;"Estate")*('Inputs'!$C$59:$C$70&lt;&gt;""),('Inputs'!$D$59:$D$70-'Inputs'!$R$59:$R$70*ROUND(J18*'Inputs'!$D$59:$D$70,2)))+SUMPRODUCT(('Inputs'!$F$87:$F$94='Inputs'!$B$103)*'Inputs'!$J$87:$J$94)+J7-(1-'Inputs'!$T$103)*ROUND(J18*J7,2)-SUMPRODUCT(('Inputs'!$G$76:$G$81='Inputs'!$B$103)*ROUND(J18*'Inputs'!$O$76:$O$81,2)),2))</f>
      </c>
      <c r="K61">
        <f>IF('Inputs'!$B$103="",0,ROUND(IF(K31="S",'Inputs'!$O$103*K28,IF(K31="K",'Inputs'!$L$103*IF('Inputs'!$N$103=1,K33,K32),0))+'Inputs'!$O$103*ROUND(SUM('Inputs'!$Z$22:$Z$39)*K14,2)+'Inputs'!$Q$103*IF('Inputs'!$S$103=1,K35+K37,K34+K36)+SUMPRODUCT(('Inputs'!$F$59:$F$70='Inputs'!$B$103)*('Inputs'!$C$59:$C$70&lt;&gt;"Estate")*('Inputs'!$C$59:$C$70&lt;&gt;""),('Inputs'!$D$59:$D$70-'Inputs'!$R$59:$R$70*ROUND(K18*'Inputs'!$D$59:$D$70,2)))+SUMPRODUCT(('Inputs'!$F$87:$F$94='Inputs'!$B$103)*'Inputs'!$J$87:$J$94)+K7-(1-'Inputs'!$T$103)*ROUND(K18*K7,2)-SUMPRODUCT(('Inputs'!$G$76:$G$81='Inputs'!$B$103)*ROUND(K18*'Inputs'!$O$76:$O$81,2)),2))</f>
      </c>
      <c r="L61">
        <f>IF('Inputs'!$B$103="",0,ROUND(IF(L31="S",'Inputs'!$O$103*L28,IF(L31="K",'Inputs'!$L$103*IF('Inputs'!$N$103=1,L33,L32),0))+'Inputs'!$O$103*ROUND(SUM('Inputs'!$Z$22:$Z$39)*L14,2)+'Inputs'!$Q$103*IF('Inputs'!$S$103=1,L35+L37,L34+L36)+SUMPRODUCT(('Inputs'!$F$59:$F$70='Inputs'!$B$103)*('Inputs'!$C$59:$C$70&lt;&gt;"Estate")*('Inputs'!$C$59:$C$70&lt;&gt;""),('Inputs'!$D$59:$D$70-'Inputs'!$R$59:$R$70*ROUND(L18*'Inputs'!$D$59:$D$70,2)))+SUMPRODUCT(('Inputs'!$F$87:$F$94='Inputs'!$B$103)*'Inputs'!$J$87:$J$94)+L7-(1-'Inputs'!$T$103)*ROUND(L18*L7,2)-SUMPRODUCT(('Inputs'!$G$76:$G$81='Inputs'!$B$103)*ROUND(L18*'Inputs'!$O$76:$O$81,2)),2))</f>
      </c>
      <c r="M61">
        <f>IF('Inputs'!$B$103="",0,ROUND(IF(M31="S",'Inputs'!$O$103*M28,IF(M31="K",'Inputs'!$L$103*IF('Inputs'!$N$103=1,M33,M32),0))+'Inputs'!$O$103*ROUND(SUM('Inputs'!$Z$22:$Z$39)*M14,2)+'Inputs'!$Q$103*IF('Inputs'!$S$103=1,M35+M37,M34+M36)+SUMPRODUCT(('Inputs'!$F$59:$F$70='Inputs'!$B$103)*('Inputs'!$C$59:$C$70&lt;&gt;"Estate")*('Inputs'!$C$59:$C$70&lt;&gt;""),('Inputs'!$D$59:$D$70-'Inputs'!$R$59:$R$70*ROUND(M18*'Inputs'!$D$59:$D$70,2)))+SUMPRODUCT(('Inputs'!$F$87:$F$94='Inputs'!$B$103)*'Inputs'!$J$87:$J$94)+M7-(1-'Inputs'!$T$103)*ROUND(M18*M7,2)-SUMPRODUCT(('Inputs'!$G$76:$G$81='Inputs'!$B$103)*ROUND(M18*'Inputs'!$O$76:$O$81,2)),2))</f>
      </c>
      <c r="N61">
        <f>IF('Inputs'!$B$103="",0,ROUND(IF(N31="S",'Inputs'!$O$103*N28,IF(N31="K",'Inputs'!$L$103*IF('Inputs'!$N$103=1,N33,N32),0))+'Inputs'!$O$103*ROUND(SUM('Inputs'!$Z$22:$Z$39)*N14,2)+'Inputs'!$Q$103*IF('Inputs'!$S$103=1,N35+N37,N34+N36)+SUMPRODUCT(('Inputs'!$F$59:$F$70='Inputs'!$B$103)*('Inputs'!$C$59:$C$70&lt;&gt;"Estate")*('Inputs'!$C$59:$C$70&lt;&gt;""),('Inputs'!$D$59:$D$70-'Inputs'!$R$59:$R$70*ROUND(N18*'Inputs'!$D$59:$D$70,2)))+SUMPRODUCT(('Inputs'!$F$87:$F$94='Inputs'!$B$103)*'Inputs'!$J$87:$J$94)+N7-(1-'Inputs'!$T$103)*ROUND(N18*N7,2)-SUMPRODUCT(('Inputs'!$G$76:$G$81='Inputs'!$B$103)*ROUND(N18*'Inputs'!$O$76:$O$81,2)),2))</f>
      </c>
      <c r="O61">
        <f>IF('Inputs'!$B$103="",0,ROUND(IF(O31="S",'Inputs'!$O$103*O28,IF(O31="K",'Inputs'!$L$103*IF('Inputs'!$N$103=1,O33,O32),0))+'Inputs'!$O$103*ROUND(SUM('Inputs'!$Z$22:$Z$39)*O14,2)+'Inputs'!$Q$103*IF('Inputs'!$S$103=1,O35+O37,O34+O36)+SUMPRODUCT(('Inputs'!$F$59:$F$70='Inputs'!$B$103)*('Inputs'!$C$59:$C$70&lt;&gt;"Estate")*('Inputs'!$C$59:$C$70&lt;&gt;""),('Inputs'!$D$59:$D$70-'Inputs'!$R$59:$R$70*ROUND(O18*'Inputs'!$D$59:$D$70,2)))+SUMPRODUCT(('Inputs'!$F$87:$F$94='Inputs'!$B$103)*'Inputs'!$J$87:$J$94)+O7-(1-'Inputs'!$T$103)*ROUND(O18*O7,2)-SUMPRODUCT(('Inputs'!$G$76:$G$81='Inputs'!$B$103)*ROUND(O18*'Inputs'!$O$76:$O$81,2)),2))</f>
      </c>
      <c r="P61">
        <f>IF('Inputs'!$B$103="",0,ROUND(IF(P31="S",'Inputs'!$O$103*P28,IF(P31="K",'Inputs'!$L$103*IF('Inputs'!$N$103=1,P33,P32),0))+'Inputs'!$O$103*ROUND(SUM('Inputs'!$Z$22:$Z$39)*P14,2)+'Inputs'!$Q$103*IF('Inputs'!$S$103=1,P35+P37,P34+P36)+SUMPRODUCT(('Inputs'!$F$59:$F$70='Inputs'!$B$103)*('Inputs'!$C$59:$C$70&lt;&gt;"Estate")*('Inputs'!$C$59:$C$70&lt;&gt;""),('Inputs'!$D$59:$D$70-'Inputs'!$R$59:$R$70*ROUND(P18*'Inputs'!$D$59:$D$70,2)))+SUMPRODUCT(('Inputs'!$F$87:$F$94='Inputs'!$B$103)*'Inputs'!$J$87:$J$94)+P7-(1-'Inputs'!$T$103)*ROUND(P18*P7,2)-SUMPRODUCT(('Inputs'!$G$76:$G$81='Inputs'!$B$103)*ROUND(P18*'Inputs'!$O$76:$O$81,2)),2))</f>
      </c>
      <c r="Q61">
        <f>IF('Inputs'!$B$103="",0,ROUND(IF(Q31="S",'Inputs'!$O$103*Q28,IF(Q31="K",'Inputs'!$L$103*IF('Inputs'!$N$103=1,Q33,Q32),0))+'Inputs'!$O$103*ROUND(SUM('Inputs'!$Z$22:$Z$39)*Q14,2)+'Inputs'!$Q$103*IF('Inputs'!$S$103=1,Q35+Q37,Q34+Q36)+SUMPRODUCT(('Inputs'!$F$59:$F$70='Inputs'!$B$103)*('Inputs'!$C$59:$C$70&lt;&gt;"Estate")*('Inputs'!$C$59:$C$70&lt;&gt;""),('Inputs'!$D$59:$D$70-'Inputs'!$R$59:$R$70*ROUND(Q18*'Inputs'!$D$59:$D$70,2)))+SUMPRODUCT(('Inputs'!$F$87:$F$94='Inputs'!$B$103)*'Inputs'!$J$87:$J$94)+Q7-(1-'Inputs'!$T$103)*ROUND(Q18*Q7,2)-SUMPRODUCT(('Inputs'!$G$76:$G$81='Inputs'!$B$103)*ROUND(Q18*'Inputs'!$O$76:$O$81,2)),2))</f>
      </c>
      <c r="R61">
        <f>IF('Inputs'!$B$103="",0,ROUND(IF(R31="S",'Inputs'!$O$103*R28,IF(R31="K",'Inputs'!$L$103*IF('Inputs'!$N$103=1,R33,R32),0))+'Inputs'!$O$103*ROUND(SUM('Inputs'!$Z$22:$Z$39)*R14,2)+'Inputs'!$Q$103*IF('Inputs'!$S$103=1,R35+R37,R34+R36)+SUMPRODUCT(('Inputs'!$F$59:$F$70='Inputs'!$B$103)*('Inputs'!$C$59:$C$70&lt;&gt;"Estate")*('Inputs'!$C$59:$C$70&lt;&gt;""),('Inputs'!$D$59:$D$70-'Inputs'!$R$59:$R$70*ROUND(R18*'Inputs'!$D$59:$D$70,2)))+SUMPRODUCT(('Inputs'!$F$87:$F$94='Inputs'!$B$103)*'Inputs'!$J$87:$J$94)+R7-(1-'Inputs'!$T$103)*ROUND(R18*R7,2)-SUMPRODUCT(('Inputs'!$G$76:$G$81='Inputs'!$B$103)*ROUND(R18*'Inputs'!$O$76:$O$81,2)),2))</f>
      </c>
      <c r="S61">
        <f>IF('Inputs'!$B$103="",0,ROUND(IF(S31="S",'Inputs'!$O$103*S28,IF(S31="K",'Inputs'!$L$103*IF('Inputs'!$N$103=1,S33,S32),0))+'Inputs'!$O$103*ROUND(SUM('Inputs'!$Z$22:$Z$39)*S14,2)+'Inputs'!$Q$103*IF('Inputs'!$S$103=1,S35+S37,S34+S36)+SUMPRODUCT(('Inputs'!$F$59:$F$70='Inputs'!$B$103)*('Inputs'!$C$59:$C$70&lt;&gt;"Estate")*('Inputs'!$C$59:$C$70&lt;&gt;""),('Inputs'!$D$59:$D$70-'Inputs'!$R$59:$R$70*ROUND(S18*'Inputs'!$D$59:$D$70,2)))+SUMPRODUCT(('Inputs'!$F$87:$F$94='Inputs'!$B$103)*'Inputs'!$J$87:$J$94)+S7-(1-'Inputs'!$T$103)*ROUND(S18*S7,2)-SUMPRODUCT(('Inputs'!$G$76:$G$81='Inputs'!$B$103)*ROUND(S18*'Inputs'!$O$76:$O$81,2)),2))</f>
      </c>
      <c r="T61">
        <f>IF('Inputs'!$B$103="",0,ROUND(IF(T31="S",'Inputs'!$O$103*T28,IF(T31="K",'Inputs'!$L$103*IF('Inputs'!$N$103=1,T33,T32),0))+'Inputs'!$O$103*ROUND(SUM('Inputs'!$Z$22:$Z$39)*T14,2)+'Inputs'!$Q$103*IF('Inputs'!$S$103=1,T35+T37,T34+T36)+SUMPRODUCT(('Inputs'!$F$59:$F$70='Inputs'!$B$103)*('Inputs'!$C$59:$C$70&lt;&gt;"Estate")*('Inputs'!$C$59:$C$70&lt;&gt;""),('Inputs'!$D$59:$D$70-'Inputs'!$R$59:$R$70*ROUND(T18*'Inputs'!$D$59:$D$70,2)))+SUMPRODUCT(('Inputs'!$F$87:$F$94='Inputs'!$B$103)*'Inputs'!$J$87:$J$94)+T7-(1-'Inputs'!$T$103)*ROUND(T18*T7,2)-SUMPRODUCT(('Inputs'!$G$76:$G$81='Inputs'!$B$103)*ROUND(T18*'Inputs'!$O$76:$O$81,2)),2))</f>
      </c>
    </row>
    <row r="62" spans="2:20" x14ac:dyDescent="0.25">
      <c r="B62" t="s">
        <v>371</v>
      </c>
      <c r="C62">
        <f>'Needs years'!$C$173+MAX(0,C61-'Needs years'!$C$178)*('Inputs'!$H$122/100*('Inputs'!$H$125/100+'Inputs'!$H$120/100*'Inputs'!$H$127/100))</f>
      </c>
      <c r="E62">
        <f>'Needs years'!$C$173+MAX(0,E61-'Needs years'!$C$178)*('Inputs'!$H$122/100*('Inputs'!$H$125/100+'Inputs'!$H$120/100*'Inputs'!$H$127/100))</f>
      </c>
      <c r="F62">
        <f>'Needs years'!$C$173+MAX(0,F61-'Needs years'!$C$178)*('Inputs'!$H$122/100*('Inputs'!$H$125/100+'Inputs'!$H$120/100*'Inputs'!$H$127/100))</f>
      </c>
      <c r="G62">
        <f>'Needs years'!$C$173+MAX(0,G61-'Needs years'!$C$178)*('Inputs'!$H$122/100*('Inputs'!$H$125/100+'Inputs'!$H$120/100*'Inputs'!$H$127/100))</f>
      </c>
      <c r="H62">
        <f>'Needs years'!$C$173+MAX(0,H61-'Needs years'!$C$178)*('Inputs'!$H$122/100*('Inputs'!$H$125/100+'Inputs'!$H$120/100*'Inputs'!$H$127/100))</f>
      </c>
      <c r="I62">
        <f>'Needs years'!$C$173+MAX(0,I61-'Needs years'!$C$178)*('Inputs'!$H$122/100*('Inputs'!$H$125/100+'Inputs'!$H$120/100*'Inputs'!$H$127/100))</f>
      </c>
      <c r="J62">
        <f>'Needs years'!$C$173+MAX(0,J61-'Needs years'!$C$178)*('Inputs'!$H$122/100*('Inputs'!$H$125/100+'Inputs'!$H$120/100*'Inputs'!$H$127/100))</f>
      </c>
      <c r="K62">
        <f>'Needs years'!$C$173+MAX(0,K61-'Needs years'!$C$178)*('Inputs'!$H$122/100*('Inputs'!$H$125/100+'Inputs'!$H$120/100*'Inputs'!$H$127/100))</f>
      </c>
      <c r="L62">
        <f>'Needs years'!$C$173+MAX(0,L61-'Needs years'!$C$178)*('Inputs'!$H$122/100*('Inputs'!$H$125/100+'Inputs'!$H$120/100*'Inputs'!$H$127/100))</f>
      </c>
      <c r="M62">
        <f>'Needs years'!$C$173+MAX(0,M61-'Needs years'!$C$178)*('Inputs'!$H$122/100*('Inputs'!$H$125/100+'Inputs'!$H$120/100*'Inputs'!$H$127/100))</f>
      </c>
      <c r="N62">
        <f>'Needs years'!$C$173+MAX(0,N61-'Needs years'!$C$178)*('Inputs'!$H$122/100*('Inputs'!$H$125/100+'Inputs'!$H$120/100*'Inputs'!$H$127/100))</f>
      </c>
      <c r="O62">
        <f>'Needs years'!$C$173+MAX(0,O61-'Needs years'!$C$178)*('Inputs'!$H$122/100*('Inputs'!$H$125/100+'Inputs'!$H$120/100*'Inputs'!$H$127/100))</f>
      </c>
      <c r="P62">
        <f>'Needs years'!$C$173+MAX(0,P61-'Needs years'!$C$178)*('Inputs'!$H$122/100*('Inputs'!$H$125/100+'Inputs'!$H$120/100*'Inputs'!$H$127/100))</f>
      </c>
      <c r="Q62">
        <f>'Needs years'!$C$173+MAX(0,Q61-'Needs years'!$C$178)*('Inputs'!$H$122/100*('Inputs'!$H$125/100+'Inputs'!$H$120/100*'Inputs'!$H$127/100))</f>
      </c>
      <c r="R62">
        <f>'Needs years'!$C$173+MAX(0,R61-'Needs years'!$C$178)*('Inputs'!$H$122/100*('Inputs'!$H$125/100+'Inputs'!$H$120/100*'Inputs'!$H$127/100))</f>
      </c>
      <c r="S62">
        <f>'Needs years'!$C$173+MAX(0,S61-'Needs years'!$C$178)*('Inputs'!$H$122/100*('Inputs'!$H$125/100+'Inputs'!$H$120/100*'Inputs'!$H$127/100))</f>
      </c>
      <c r="T62">
        <f>'Needs years'!$C$173+MAX(0,T61-'Needs years'!$C$178)*('Inputs'!$H$122/100*('Inputs'!$H$125/100+'Inputs'!$H$120/100*'Inputs'!$H$127/100))</f>
      </c>
    </row>
    <row r="63" spans="2:20" x14ac:dyDescent="0.25">
      <c r="B63" t="s">
        <v>372</v>
      </c>
      <c r="C63">
        <f>IF(C62&lt;='Needs years'!$C$172,0,INDEX('Inputs'!$E$134:$E$140,MATCH(C62,'Inputs'!$C$134:$C$140,1)-IF(COUNTIF('Inputs'!$C$134:$C$140,C62)&gt;0,1,0))/100)</f>
      </c>
      <c r="E63">
        <f>IF(E62&lt;='Needs years'!$C$172,0,INDEX('Inputs'!$E$134:$E$140,MATCH(E62,'Inputs'!$C$134:$C$140,1)-IF(COUNTIF('Inputs'!$C$134:$C$140,E62)&gt;0,1,0))/100)</f>
      </c>
      <c r="F63">
        <f>IF(F62&lt;='Needs years'!$C$172,0,INDEX('Inputs'!$E$134:$E$140,MATCH(F62,'Inputs'!$C$134:$C$140,1)-IF(COUNTIF('Inputs'!$C$134:$C$140,F62)&gt;0,1,0))/100)</f>
      </c>
      <c r="G63">
        <f>IF(G62&lt;='Needs years'!$C$172,0,INDEX('Inputs'!$E$134:$E$140,MATCH(G62,'Inputs'!$C$134:$C$140,1)-IF(COUNTIF('Inputs'!$C$134:$C$140,G62)&gt;0,1,0))/100)</f>
      </c>
      <c r="H63">
        <f>IF(H62&lt;='Needs years'!$C$172,0,INDEX('Inputs'!$E$134:$E$140,MATCH(H62,'Inputs'!$C$134:$C$140,1)-IF(COUNTIF('Inputs'!$C$134:$C$140,H62)&gt;0,1,0))/100)</f>
      </c>
      <c r="I63">
        <f>IF(I62&lt;='Needs years'!$C$172,0,INDEX('Inputs'!$E$134:$E$140,MATCH(I62,'Inputs'!$C$134:$C$140,1)-IF(COUNTIF('Inputs'!$C$134:$C$140,I62)&gt;0,1,0))/100)</f>
      </c>
      <c r="J63">
        <f>IF(J62&lt;='Needs years'!$C$172,0,INDEX('Inputs'!$E$134:$E$140,MATCH(J62,'Inputs'!$C$134:$C$140,1)-IF(COUNTIF('Inputs'!$C$134:$C$140,J62)&gt;0,1,0))/100)</f>
      </c>
      <c r="K63">
        <f>IF(K62&lt;='Needs years'!$C$172,0,INDEX('Inputs'!$E$134:$E$140,MATCH(K62,'Inputs'!$C$134:$C$140,1)-IF(COUNTIF('Inputs'!$C$134:$C$140,K62)&gt;0,1,0))/100)</f>
      </c>
      <c r="L63">
        <f>IF(L62&lt;='Needs years'!$C$172,0,INDEX('Inputs'!$E$134:$E$140,MATCH(L62,'Inputs'!$C$134:$C$140,1)-IF(COUNTIF('Inputs'!$C$134:$C$140,L62)&gt;0,1,0))/100)</f>
      </c>
      <c r="M63">
        <f>IF(M62&lt;='Needs years'!$C$172,0,INDEX('Inputs'!$E$134:$E$140,MATCH(M62,'Inputs'!$C$134:$C$140,1)-IF(COUNTIF('Inputs'!$C$134:$C$140,M62)&gt;0,1,0))/100)</f>
      </c>
      <c r="N63">
        <f>IF(N62&lt;='Needs years'!$C$172,0,INDEX('Inputs'!$E$134:$E$140,MATCH(N62,'Inputs'!$C$134:$C$140,1)-IF(COUNTIF('Inputs'!$C$134:$C$140,N62)&gt;0,1,0))/100)</f>
      </c>
      <c r="O63">
        <f>IF(O62&lt;='Needs years'!$C$172,0,INDEX('Inputs'!$E$134:$E$140,MATCH(O62,'Inputs'!$C$134:$C$140,1)-IF(COUNTIF('Inputs'!$C$134:$C$140,O62)&gt;0,1,0))/100)</f>
      </c>
      <c r="P63">
        <f>IF(P62&lt;='Needs years'!$C$172,0,INDEX('Inputs'!$E$134:$E$140,MATCH(P62,'Inputs'!$C$134:$C$140,1)-IF(COUNTIF('Inputs'!$C$134:$C$140,P62)&gt;0,1,0))/100)</f>
      </c>
      <c r="Q63">
        <f>IF(Q62&lt;='Needs years'!$C$172,0,INDEX('Inputs'!$E$134:$E$140,MATCH(Q62,'Inputs'!$C$134:$C$140,1)-IF(COUNTIF('Inputs'!$C$134:$C$140,Q62)&gt;0,1,0))/100)</f>
      </c>
      <c r="R63">
        <f>IF(R62&lt;='Needs years'!$C$172,0,INDEX('Inputs'!$E$134:$E$140,MATCH(R62,'Inputs'!$C$134:$C$140,1)-IF(COUNTIF('Inputs'!$C$134:$C$140,R62)&gt;0,1,0))/100)</f>
      </c>
      <c r="S63">
        <f>IF(S62&lt;='Needs years'!$C$172,0,INDEX('Inputs'!$E$134:$E$140,MATCH(S62,'Inputs'!$C$134:$C$140,1)-IF(COUNTIF('Inputs'!$C$134:$C$140,S62)&gt;0,1,0))/100)</f>
      </c>
      <c r="T63">
        <f>IF(T62&lt;='Needs years'!$C$172,0,INDEX('Inputs'!$E$134:$E$140,MATCH(T62,'Inputs'!$C$134:$C$140,1)-IF(COUNTIF('Inputs'!$C$134:$C$140,T62)&gt;0,1,0))/100)</f>
      </c>
    </row>
    <row r="64" spans="2:20" x14ac:dyDescent="0.25">
      <c r="B64" t="s">
        <v>373</v>
      </c>
      <c r="C64">
        <f>('Inputs'!$H$122/100*(1-('Inputs'!$H$125/100*C63+'Inputs'!$H$126/100*'Inputs'!$H$128/100+'Inputs'!$H$127/100*'Inputs'!$H$120/100*C63))-IF('Needs years'!$C$177=1,'Inputs'!$H$123/100,0))</f>
      </c>
      <c r="E64">
        <f>('Inputs'!$H$122/100*(1-('Inputs'!$H$125/100*E63+'Inputs'!$H$126/100*'Inputs'!$H$128/100+'Inputs'!$H$127/100*'Inputs'!$H$120/100*E63))-IF('Needs years'!$C$177=1,'Inputs'!$H$123/100,0))</f>
      </c>
      <c r="F64">
        <f>('Inputs'!$H$122/100*(1-('Inputs'!$H$125/100*F63+'Inputs'!$H$126/100*'Inputs'!$H$128/100+'Inputs'!$H$127/100*'Inputs'!$H$120/100*F63))-IF('Needs years'!$C$177=1,'Inputs'!$H$123/100,0))</f>
      </c>
      <c r="G64">
        <f>('Inputs'!$H$122/100*(1-('Inputs'!$H$125/100*G63+'Inputs'!$H$126/100*'Inputs'!$H$128/100+'Inputs'!$H$127/100*'Inputs'!$H$120/100*G63))-IF('Needs years'!$C$177=1,'Inputs'!$H$123/100,0))</f>
      </c>
      <c r="H64">
        <f>('Inputs'!$H$122/100*(1-('Inputs'!$H$125/100*H63+'Inputs'!$H$126/100*'Inputs'!$H$128/100+'Inputs'!$H$127/100*'Inputs'!$H$120/100*H63))-IF('Needs years'!$C$177=1,'Inputs'!$H$123/100,0))</f>
      </c>
      <c r="I64">
        <f>('Inputs'!$H$122/100*(1-('Inputs'!$H$125/100*I63+'Inputs'!$H$126/100*'Inputs'!$H$128/100+'Inputs'!$H$127/100*'Inputs'!$H$120/100*I63))-IF('Needs years'!$C$177=1,'Inputs'!$H$123/100,0))</f>
      </c>
      <c r="J64">
        <f>('Inputs'!$H$122/100*(1-('Inputs'!$H$125/100*J63+'Inputs'!$H$126/100*'Inputs'!$H$128/100+'Inputs'!$H$127/100*'Inputs'!$H$120/100*J63))-IF('Needs years'!$C$177=1,'Inputs'!$H$123/100,0))</f>
      </c>
      <c r="K64">
        <f>('Inputs'!$H$122/100*(1-('Inputs'!$H$125/100*K63+'Inputs'!$H$126/100*'Inputs'!$H$128/100+'Inputs'!$H$127/100*'Inputs'!$H$120/100*K63))-IF('Needs years'!$C$177=1,'Inputs'!$H$123/100,0))</f>
      </c>
      <c r="L64">
        <f>('Inputs'!$H$122/100*(1-('Inputs'!$H$125/100*L63+'Inputs'!$H$126/100*'Inputs'!$H$128/100+'Inputs'!$H$127/100*'Inputs'!$H$120/100*L63))-IF('Needs years'!$C$177=1,'Inputs'!$H$123/100,0))</f>
      </c>
      <c r="M64">
        <f>('Inputs'!$H$122/100*(1-('Inputs'!$H$125/100*M63+'Inputs'!$H$126/100*'Inputs'!$H$128/100+'Inputs'!$H$127/100*'Inputs'!$H$120/100*M63))-IF('Needs years'!$C$177=1,'Inputs'!$H$123/100,0))</f>
      </c>
      <c r="N64">
        <f>('Inputs'!$H$122/100*(1-('Inputs'!$H$125/100*N63+'Inputs'!$H$126/100*'Inputs'!$H$128/100+'Inputs'!$H$127/100*'Inputs'!$H$120/100*N63))-IF('Needs years'!$C$177=1,'Inputs'!$H$123/100,0))</f>
      </c>
      <c r="O64">
        <f>('Inputs'!$H$122/100*(1-('Inputs'!$H$125/100*O63+'Inputs'!$H$126/100*'Inputs'!$H$128/100+'Inputs'!$H$127/100*'Inputs'!$H$120/100*O63))-IF('Needs years'!$C$177=1,'Inputs'!$H$123/100,0))</f>
      </c>
      <c r="P64">
        <f>('Inputs'!$H$122/100*(1-('Inputs'!$H$125/100*P63+'Inputs'!$H$126/100*'Inputs'!$H$128/100+'Inputs'!$H$127/100*'Inputs'!$H$120/100*P63))-IF('Needs years'!$C$177=1,'Inputs'!$H$123/100,0))</f>
      </c>
      <c r="Q64">
        <f>('Inputs'!$H$122/100*(1-('Inputs'!$H$125/100*Q63+'Inputs'!$H$126/100*'Inputs'!$H$128/100+'Inputs'!$H$127/100*'Inputs'!$H$120/100*Q63))-IF('Needs years'!$C$177=1,'Inputs'!$H$123/100,0))</f>
      </c>
      <c r="R64">
        <f>('Inputs'!$H$122/100*(1-('Inputs'!$H$125/100*R63+'Inputs'!$H$126/100*'Inputs'!$H$128/100+'Inputs'!$H$127/100*'Inputs'!$H$120/100*R63))-IF('Needs years'!$C$177=1,'Inputs'!$H$123/100,0))</f>
      </c>
      <c r="S64">
        <f>('Inputs'!$H$122/100*(1-('Inputs'!$H$125/100*S63+'Inputs'!$H$126/100*'Inputs'!$H$128/100+'Inputs'!$H$127/100*'Inputs'!$H$120/100*S63))-IF('Needs years'!$C$177=1,'Inputs'!$H$123/100,0))</f>
      </c>
      <c r="T64">
        <f>('Inputs'!$H$122/100*(1-('Inputs'!$H$125/100*T63+'Inputs'!$H$126/100*'Inputs'!$H$128/100+'Inputs'!$H$127/100*'Inputs'!$H$120/100*T63))-IF('Needs years'!$C$177=1,'Inputs'!$H$123/100,0))</f>
      </c>
    </row>
    <row r="65" spans="2:20" x14ac:dyDescent="0.25">
      <c r="B65" t="s">
        <v>374</v>
      </c>
      <c r="C65">
        <f>IF('Inputs'!$B$103="",0,ROUND('Needs years'!$C$178+ROUND(IF(C64=0,SUM('Needs years'!$J$172:$J$221),(1-(1+C64)^-1)/(1-(1+C64)^(-1/12))/12*SUMPRODUCT('Needs years'!$J$172:$J$221,(1+C64)^(-'Needs years'!$I$172:$I$221))),2),2))</f>
      </c>
      <c r="E65">
        <f>IF('Inputs'!$B$103="",0,ROUND('Needs years'!$C$178+ROUND(IF(E64=0,SUM('Needs years'!$J$172:$J$221),(1-(1+E64)^-1)/(1-(1+E64)^(-1/12))/12*SUMPRODUCT('Needs years'!$J$172:$J$221,(1+E64)^(-'Needs years'!$I$172:$I$221))),2),2))</f>
      </c>
      <c r="F65">
        <f>IF('Inputs'!$B$103="",0,ROUND('Needs years'!$C$178+ROUND(IF(F64=0,SUM('Needs years'!$J$172:$J$221),(1-(1+F64)^-1)/(1-(1+F64)^(-1/12))/12*SUMPRODUCT('Needs years'!$J$172:$J$221,(1+F64)^(-'Needs years'!$I$172:$I$221))),2),2))</f>
      </c>
      <c r="G65">
        <f>IF('Inputs'!$B$103="",0,ROUND('Needs years'!$C$178+ROUND(IF(G64=0,SUM('Needs years'!$J$172:$J$221),(1-(1+G64)^-1)/(1-(1+G64)^(-1/12))/12*SUMPRODUCT('Needs years'!$J$172:$J$221,(1+G64)^(-'Needs years'!$I$172:$I$221))),2),2))</f>
      </c>
      <c r="H65">
        <f>IF('Inputs'!$B$103="",0,ROUND('Needs years'!$C$178+ROUND(IF(H64=0,SUM('Needs years'!$J$172:$J$221),(1-(1+H64)^-1)/(1-(1+H64)^(-1/12))/12*SUMPRODUCT('Needs years'!$J$172:$J$221,(1+H64)^(-'Needs years'!$I$172:$I$221))),2),2))</f>
      </c>
      <c r="I65">
        <f>IF('Inputs'!$B$103="",0,ROUND('Needs years'!$C$178+ROUND(IF(I64=0,SUM('Needs years'!$J$172:$J$221),(1-(1+I64)^-1)/(1-(1+I64)^(-1/12))/12*SUMPRODUCT('Needs years'!$J$172:$J$221,(1+I64)^(-'Needs years'!$I$172:$I$221))),2),2))</f>
      </c>
      <c r="J65">
        <f>IF('Inputs'!$B$103="",0,ROUND('Needs years'!$C$178+ROUND(IF(J64=0,SUM('Needs years'!$J$172:$J$221),(1-(1+J64)^-1)/(1-(1+J64)^(-1/12))/12*SUMPRODUCT('Needs years'!$J$172:$J$221,(1+J64)^(-'Needs years'!$I$172:$I$221))),2),2))</f>
      </c>
      <c r="K65">
        <f>IF('Inputs'!$B$103="",0,ROUND('Needs years'!$C$178+ROUND(IF(K64=0,SUM('Needs years'!$J$172:$J$221),(1-(1+K64)^-1)/(1-(1+K64)^(-1/12))/12*SUMPRODUCT('Needs years'!$J$172:$J$221,(1+K64)^(-'Needs years'!$I$172:$I$221))),2),2))</f>
      </c>
      <c r="L65">
        <f>IF('Inputs'!$B$103="",0,ROUND('Needs years'!$C$178+ROUND(IF(L64=0,SUM('Needs years'!$J$172:$J$221),(1-(1+L64)^-1)/(1-(1+L64)^(-1/12))/12*SUMPRODUCT('Needs years'!$J$172:$J$221,(1+L64)^(-'Needs years'!$I$172:$I$221))),2),2))</f>
      </c>
      <c r="M65">
        <f>IF('Inputs'!$B$103="",0,ROUND('Needs years'!$C$178+ROUND(IF(M64=0,SUM('Needs years'!$J$172:$J$221),(1-(1+M64)^-1)/(1-(1+M64)^(-1/12))/12*SUMPRODUCT('Needs years'!$J$172:$J$221,(1+M64)^(-'Needs years'!$I$172:$I$221))),2),2))</f>
      </c>
      <c r="N65">
        <f>IF('Inputs'!$B$103="",0,ROUND('Needs years'!$C$178+ROUND(IF(N64=0,SUM('Needs years'!$J$172:$J$221),(1-(1+N64)^-1)/(1-(1+N64)^(-1/12))/12*SUMPRODUCT('Needs years'!$J$172:$J$221,(1+N64)^(-'Needs years'!$I$172:$I$221))),2),2))</f>
      </c>
      <c r="O65">
        <f>IF('Inputs'!$B$103="",0,ROUND('Needs years'!$C$178+ROUND(IF(O64=0,SUM('Needs years'!$J$172:$J$221),(1-(1+O64)^-1)/(1-(1+O64)^(-1/12))/12*SUMPRODUCT('Needs years'!$J$172:$J$221,(1+O64)^(-'Needs years'!$I$172:$I$221))),2),2))</f>
      </c>
      <c r="P65">
        <f>IF('Inputs'!$B$103="",0,ROUND('Needs years'!$C$178+ROUND(IF(P64=0,SUM('Needs years'!$J$172:$J$221),(1-(1+P64)^-1)/(1-(1+P64)^(-1/12))/12*SUMPRODUCT('Needs years'!$J$172:$J$221,(1+P64)^(-'Needs years'!$I$172:$I$221))),2),2))</f>
      </c>
      <c r="Q65">
        <f>IF('Inputs'!$B$103="",0,ROUND('Needs years'!$C$178+ROUND(IF(Q64=0,SUM('Needs years'!$J$172:$J$221),(1-(1+Q64)^-1)/(1-(1+Q64)^(-1/12))/12*SUMPRODUCT('Needs years'!$J$172:$J$221,(1+Q64)^(-'Needs years'!$I$172:$I$221))),2),2))</f>
      </c>
      <c r="R65">
        <f>IF('Inputs'!$B$103="",0,ROUND('Needs years'!$C$178+ROUND(IF(R64=0,SUM('Needs years'!$J$172:$J$221),(1-(1+R64)^-1)/(1-(1+R64)^(-1/12))/12*SUMPRODUCT('Needs years'!$J$172:$J$221,(1+R64)^(-'Needs years'!$I$172:$I$221))),2),2))</f>
      </c>
      <c r="S65">
        <f>IF('Inputs'!$B$103="",0,ROUND('Needs years'!$C$178+ROUND(IF(S64=0,SUM('Needs years'!$J$172:$J$221),(1-(1+S64)^-1)/(1-(1+S64)^(-1/12))/12*SUMPRODUCT('Needs years'!$J$172:$J$221,(1+S64)^(-'Needs years'!$I$172:$I$221))),2),2))</f>
      </c>
      <c r="T65">
        <f>IF('Inputs'!$B$103="",0,ROUND('Needs years'!$C$178+ROUND(IF(T64=0,SUM('Needs years'!$J$172:$J$221),(1-(1+T64)^-1)/(1-(1+T64)^(-1/12))/12*SUMPRODUCT('Needs years'!$J$172:$J$221,(1+T64)^(-'Needs years'!$I$172:$I$221))),2),2))</f>
      </c>
    </row>
    <row r="66" spans="2:20" x14ac:dyDescent="0.25">
      <c r="B66" t="s">
        <v>375</v>
      </c>
      <c r="C66">
        <f>IF('Inputs'!$B$103="",0,ROUND(C65-C61,2))</f>
      </c>
      <c r="E66">
        <f>IF('Inputs'!$B$103="",0,ROUND(E65-E61,2))</f>
      </c>
      <c r="F66">
        <f>IF('Inputs'!$B$103="",0,ROUND(F65-F61,2))</f>
      </c>
      <c r="G66">
        <f>IF('Inputs'!$B$103="",0,ROUND(G65-G61,2))</f>
      </c>
      <c r="H66">
        <f>IF('Inputs'!$B$103="",0,ROUND(H65-H61,2))</f>
      </c>
      <c r="I66">
        <f>IF('Inputs'!$B$103="",0,ROUND(I65-I61,2))</f>
      </c>
      <c r="J66">
        <f>IF('Inputs'!$B$103="",0,ROUND(J65-J61,2))</f>
      </c>
      <c r="K66">
        <f>IF('Inputs'!$B$103="",0,ROUND(K65-K61,2))</f>
      </c>
      <c r="L66">
        <f>IF('Inputs'!$B$103="",0,ROUND(L65-L61,2))</f>
      </c>
      <c r="M66">
        <f>IF('Inputs'!$B$103="",0,ROUND(M65-M61,2))</f>
      </c>
      <c r="N66">
        <f>IF('Inputs'!$B$103="",0,ROUND(N65-N61,2))</f>
      </c>
      <c r="O66">
        <f>IF('Inputs'!$B$103="",0,ROUND(O65-O61,2))</f>
      </c>
      <c r="P66">
        <f>IF('Inputs'!$B$103="",0,ROUND(P65-P61,2))</f>
      </c>
      <c r="Q66">
        <f>IF('Inputs'!$B$103="",0,ROUND(Q65-Q61,2))</f>
      </c>
      <c r="R66">
        <f>IF('Inputs'!$B$103="",0,ROUND(R65-R61,2))</f>
      </c>
      <c r="S66">
        <f>IF('Inputs'!$B$103="",0,ROUND(S65-S61,2))</f>
      </c>
      <c r="T66">
        <f>IF('Inputs'!$B$103="",0,ROUND(T65-T61,2))</f>
      </c>
    </row>
    <row r="67" spans="2:20" x14ac:dyDescent="0.25">
      <c r="B67" t="s">
        <v>376</v>
      </c>
      <c r="C67">
        <f>IF('Inputs'!$B$103="",0,'Needs years'!$C$184+IF((C65-'Needs years'!$C$178)&gt;0,MAX(0,C61-'Needs years'!$C$178)/(C65-'Needs years'!$C$178)*'Needs years'!$J$172/12,0))</f>
      </c>
      <c r="E67">
        <f>IF('Inputs'!$B$103="",0,'Needs years'!$C$184+IF((E65-'Needs years'!$C$178)&gt;0,MAX(0,E61-'Needs years'!$C$178)/(E65-'Needs years'!$C$178)*'Needs years'!$J$172/12,0))</f>
      </c>
      <c r="F67">
        <f>IF('Inputs'!$B$103="",0,'Needs years'!$C$184+IF((F65-'Needs years'!$C$178)&gt;0,MAX(0,F61-'Needs years'!$C$178)/(F65-'Needs years'!$C$178)*'Needs years'!$J$172/12,0))</f>
      </c>
      <c r="G67">
        <f>IF('Inputs'!$B$103="",0,'Needs years'!$C$184+IF((G65-'Needs years'!$C$178)&gt;0,MAX(0,G61-'Needs years'!$C$178)/(G65-'Needs years'!$C$178)*'Needs years'!$J$172/12,0))</f>
      </c>
      <c r="H67">
        <f>IF('Inputs'!$B$103="",0,'Needs years'!$C$184+IF((H65-'Needs years'!$C$178)&gt;0,MAX(0,H61-'Needs years'!$C$178)/(H65-'Needs years'!$C$178)*'Needs years'!$J$172/12,0))</f>
      </c>
      <c r="I67">
        <f>IF('Inputs'!$B$103="",0,'Needs years'!$C$184+IF((I65-'Needs years'!$C$178)&gt;0,MAX(0,I61-'Needs years'!$C$178)/(I65-'Needs years'!$C$178)*'Needs years'!$J$172/12,0))</f>
      </c>
      <c r="J67">
        <f>IF('Inputs'!$B$103="",0,'Needs years'!$C$184+IF((J65-'Needs years'!$C$178)&gt;0,MAX(0,J61-'Needs years'!$C$178)/(J65-'Needs years'!$C$178)*'Needs years'!$J$172/12,0))</f>
      </c>
      <c r="K67">
        <f>IF('Inputs'!$B$103="",0,'Needs years'!$C$184+IF((K65-'Needs years'!$C$178)&gt;0,MAX(0,K61-'Needs years'!$C$178)/(K65-'Needs years'!$C$178)*'Needs years'!$J$172/12,0))</f>
      </c>
      <c r="L67">
        <f>IF('Inputs'!$B$103="",0,'Needs years'!$C$184+IF((L65-'Needs years'!$C$178)&gt;0,MAX(0,L61-'Needs years'!$C$178)/(L65-'Needs years'!$C$178)*'Needs years'!$J$172/12,0))</f>
      </c>
      <c r="M67">
        <f>IF('Inputs'!$B$103="",0,'Needs years'!$C$184+IF((M65-'Needs years'!$C$178)&gt;0,MAX(0,M61-'Needs years'!$C$178)/(M65-'Needs years'!$C$178)*'Needs years'!$J$172/12,0))</f>
      </c>
      <c r="N67">
        <f>IF('Inputs'!$B$103="",0,'Needs years'!$C$184+IF((N65-'Needs years'!$C$178)&gt;0,MAX(0,N61-'Needs years'!$C$178)/(N65-'Needs years'!$C$178)*'Needs years'!$J$172/12,0))</f>
      </c>
      <c r="O67">
        <f>IF('Inputs'!$B$103="",0,'Needs years'!$C$184+IF((O65-'Needs years'!$C$178)&gt;0,MAX(0,O61-'Needs years'!$C$178)/(O65-'Needs years'!$C$178)*'Needs years'!$J$172/12,0))</f>
      </c>
      <c r="P67">
        <f>IF('Inputs'!$B$103="",0,'Needs years'!$C$184+IF((P65-'Needs years'!$C$178)&gt;0,MAX(0,P61-'Needs years'!$C$178)/(P65-'Needs years'!$C$178)*'Needs years'!$J$172/12,0))</f>
      </c>
      <c r="Q67">
        <f>IF('Inputs'!$B$103="",0,'Needs years'!$C$184+IF((Q65-'Needs years'!$C$178)&gt;0,MAX(0,Q61-'Needs years'!$C$178)/(Q65-'Needs years'!$C$178)*'Needs years'!$J$172/12,0))</f>
      </c>
      <c r="R67">
        <f>IF('Inputs'!$B$103="",0,'Needs years'!$C$184+IF((R65-'Needs years'!$C$178)&gt;0,MAX(0,R61-'Needs years'!$C$178)/(R65-'Needs years'!$C$178)*'Needs years'!$J$172/12,0))</f>
      </c>
      <c r="S67">
        <f>IF('Inputs'!$B$103="",0,'Needs years'!$C$184+IF((S65-'Needs years'!$C$178)&gt;0,MAX(0,S61-'Needs years'!$C$178)/(S65-'Needs years'!$C$178)*'Needs years'!$J$172/12,0))</f>
      </c>
      <c r="T67">
        <f>IF('Inputs'!$B$103="",0,'Needs years'!$C$184+IF((T65-'Needs years'!$C$178)&gt;0,MAX(0,T61-'Needs years'!$C$178)/(T65-'Needs years'!$C$178)*'Needs years'!$J$172/12,0))</f>
      </c>
    </row>
    <row r="68" spans="2:20" x14ac:dyDescent="0.25">
      <c r="B68" t="s">
        <v>377</v>
      </c>
      <c r="C68">
        <f>IF('Inputs'!$B$104="",0,ROUND(IF(C31="S",'Inputs'!$O$104*C28,IF(C31="K",'Inputs'!$L$104*IF('Inputs'!$N$104=1,C33,C32),0))+'Inputs'!$O$104*ROUND(SUM('Inputs'!$Z$22:$Z$39)*C14,2)+'Inputs'!$Q$104*IF('Inputs'!$S$104=1,C35+C37,C34+C36)+SUMPRODUCT(('Inputs'!$F$59:$F$70='Inputs'!$B$104)*('Inputs'!$C$59:$C$70&lt;&gt;"Estate")*('Inputs'!$C$59:$C$70&lt;&gt;""),('Inputs'!$D$59:$D$70-'Inputs'!$R$59:$R$70*ROUND(C18*'Inputs'!$D$59:$D$70,2)))+SUMPRODUCT(('Inputs'!$F$87:$F$94='Inputs'!$B$104)*'Inputs'!$J$87:$J$94)+C8-(1-'Inputs'!$T$104)*ROUND(C18*C8,2)-SUMPRODUCT(('Inputs'!$G$76:$G$81='Inputs'!$B$104)*ROUND(C18*'Inputs'!$O$76:$O$81,2)),2))</f>
      </c>
      <c r="E68">
        <f>IF('Inputs'!$B$104="",0,ROUND(IF(E31="S",'Inputs'!$O$104*E28,IF(E31="K",'Inputs'!$L$104*IF('Inputs'!$N$104=1,E33,E32),0))+'Inputs'!$O$104*ROUND(SUM('Inputs'!$Z$22:$Z$39)*E14,2)+'Inputs'!$Q$104*IF('Inputs'!$S$104=1,E35+E37,E34+E36)+SUMPRODUCT(('Inputs'!$F$59:$F$70='Inputs'!$B$104)*('Inputs'!$C$59:$C$70&lt;&gt;"Estate")*('Inputs'!$C$59:$C$70&lt;&gt;""),('Inputs'!$D$59:$D$70-'Inputs'!$R$59:$R$70*ROUND(E18*'Inputs'!$D$59:$D$70,2)))+SUMPRODUCT(('Inputs'!$F$87:$F$94='Inputs'!$B$104)*'Inputs'!$J$87:$J$94)+E8-(1-'Inputs'!$T$104)*ROUND(E18*E8,2)-SUMPRODUCT(('Inputs'!$G$76:$G$81='Inputs'!$B$104)*ROUND(E18*'Inputs'!$O$76:$O$81,2)),2))</f>
      </c>
      <c r="F68">
        <f>IF('Inputs'!$B$104="",0,ROUND(IF(F31="S",'Inputs'!$O$104*F28,IF(F31="K",'Inputs'!$L$104*IF('Inputs'!$N$104=1,F33,F32),0))+'Inputs'!$O$104*ROUND(SUM('Inputs'!$Z$22:$Z$39)*F14,2)+'Inputs'!$Q$104*IF('Inputs'!$S$104=1,F35+F37,F34+F36)+SUMPRODUCT(('Inputs'!$F$59:$F$70='Inputs'!$B$104)*('Inputs'!$C$59:$C$70&lt;&gt;"Estate")*('Inputs'!$C$59:$C$70&lt;&gt;""),('Inputs'!$D$59:$D$70-'Inputs'!$R$59:$R$70*ROUND(F18*'Inputs'!$D$59:$D$70,2)))+SUMPRODUCT(('Inputs'!$F$87:$F$94='Inputs'!$B$104)*'Inputs'!$J$87:$J$94)+F8-(1-'Inputs'!$T$104)*ROUND(F18*F8,2)-SUMPRODUCT(('Inputs'!$G$76:$G$81='Inputs'!$B$104)*ROUND(F18*'Inputs'!$O$76:$O$81,2)),2))</f>
      </c>
      <c r="G68">
        <f>IF('Inputs'!$B$104="",0,ROUND(IF(G31="S",'Inputs'!$O$104*G28,IF(G31="K",'Inputs'!$L$104*IF('Inputs'!$N$104=1,G33,G32),0))+'Inputs'!$O$104*ROUND(SUM('Inputs'!$Z$22:$Z$39)*G14,2)+'Inputs'!$Q$104*IF('Inputs'!$S$104=1,G35+G37,G34+G36)+SUMPRODUCT(('Inputs'!$F$59:$F$70='Inputs'!$B$104)*('Inputs'!$C$59:$C$70&lt;&gt;"Estate")*('Inputs'!$C$59:$C$70&lt;&gt;""),('Inputs'!$D$59:$D$70-'Inputs'!$R$59:$R$70*ROUND(G18*'Inputs'!$D$59:$D$70,2)))+SUMPRODUCT(('Inputs'!$F$87:$F$94='Inputs'!$B$104)*'Inputs'!$J$87:$J$94)+G8-(1-'Inputs'!$T$104)*ROUND(G18*G8,2)-SUMPRODUCT(('Inputs'!$G$76:$G$81='Inputs'!$B$104)*ROUND(G18*'Inputs'!$O$76:$O$81,2)),2))</f>
      </c>
      <c r="H68">
        <f>IF('Inputs'!$B$104="",0,ROUND(IF(H31="S",'Inputs'!$O$104*H28,IF(H31="K",'Inputs'!$L$104*IF('Inputs'!$N$104=1,H33,H32),0))+'Inputs'!$O$104*ROUND(SUM('Inputs'!$Z$22:$Z$39)*H14,2)+'Inputs'!$Q$104*IF('Inputs'!$S$104=1,H35+H37,H34+H36)+SUMPRODUCT(('Inputs'!$F$59:$F$70='Inputs'!$B$104)*('Inputs'!$C$59:$C$70&lt;&gt;"Estate")*('Inputs'!$C$59:$C$70&lt;&gt;""),('Inputs'!$D$59:$D$70-'Inputs'!$R$59:$R$70*ROUND(H18*'Inputs'!$D$59:$D$70,2)))+SUMPRODUCT(('Inputs'!$F$87:$F$94='Inputs'!$B$104)*'Inputs'!$J$87:$J$94)+H8-(1-'Inputs'!$T$104)*ROUND(H18*H8,2)-SUMPRODUCT(('Inputs'!$G$76:$G$81='Inputs'!$B$104)*ROUND(H18*'Inputs'!$O$76:$O$81,2)),2))</f>
      </c>
      <c r="I68">
        <f>IF('Inputs'!$B$104="",0,ROUND(IF(I31="S",'Inputs'!$O$104*I28,IF(I31="K",'Inputs'!$L$104*IF('Inputs'!$N$104=1,I33,I32),0))+'Inputs'!$O$104*ROUND(SUM('Inputs'!$Z$22:$Z$39)*I14,2)+'Inputs'!$Q$104*IF('Inputs'!$S$104=1,I35+I37,I34+I36)+SUMPRODUCT(('Inputs'!$F$59:$F$70='Inputs'!$B$104)*('Inputs'!$C$59:$C$70&lt;&gt;"Estate")*('Inputs'!$C$59:$C$70&lt;&gt;""),('Inputs'!$D$59:$D$70-'Inputs'!$R$59:$R$70*ROUND(I18*'Inputs'!$D$59:$D$70,2)))+SUMPRODUCT(('Inputs'!$F$87:$F$94='Inputs'!$B$104)*'Inputs'!$J$87:$J$94)+I8-(1-'Inputs'!$T$104)*ROUND(I18*I8,2)-SUMPRODUCT(('Inputs'!$G$76:$G$81='Inputs'!$B$104)*ROUND(I18*'Inputs'!$O$76:$O$81,2)),2))</f>
      </c>
      <c r="J68">
        <f>IF('Inputs'!$B$104="",0,ROUND(IF(J31="S",'Inputs'!$O$104*J28,IF(J31="K",'Inputs'!$L$104*IF('Inputs'!$N$104=1,J33,J32),0))+'Inputs'!$O$104*ROUND(SUM('Inputs'!$Z$22:$Z$39)*J14,2)+'Inputs'!$Q$104*IF('Inputs'!$S$104=1,J35+J37,J34+J36)+SUMPRODUCT(('Inputs'!$F$59:$F$70='Inputs'!$B$104)*('Inputs'!$C$59:$C$70&lt;&gt;"Estate")*('Inputs'!$C$59:$C$70&lt;&gt;""),('Inputs'!$D$59:$D$70-'Inputs'!$R$59:$R$70*ROUND(J18*'Inputs'!$D$59:$D$70,2)))+SUMPRODUCT(('Inputs'!$F$87:$F$94='Inputs'!$B$104)*'Inputs'!$J$87:$J$94)+J8-(1-'Inputs'!$T$104)*ROUND(J18*J8,2)-SUMPRODUCT(('Inputs'!$G$76:$G$81='Inputs'!$B$104)*ROUND(J18*'Inputs'!$O$76:$O$81,2)),2))</f>
      </c>
      <c r="K68">
        <f>IF('Inputs'!$B$104="",0,ROUND(IF(K31="S",'Inputs'!$O$104*K28,IF(K31="K",'Inputs'!$L$104*IF('Inputs'!$N$104=1,K33,K32),0))+'Inputs'!$O$104*ROUND(SUM('Inputs'!$Z$22:$Z$39)*K14,2)+'Inputs'!$Q$104*IF('Inputs'!$S$104=1,K35+K37,K34+K36)+SUMPRODUCT(('Inputs'!$F$59:$F$70='Inputs'!$B$104)*('Inputs'!$C$59:$C$70&lt;&gt;"Estate")*('Inputs'!$C$59:$C$70&lt;&gt;""),('Inputs'!$D$59:$D$70-'Inputs'!$R$59:$R$70*ROUND(K18*'Inputs'!$D$59:$D$70,2)))+SUMPRODUCT(('Inputs'!$F$87:$F$94='Inputs'!$B$104)*'Inputs'!$J$87:$J$94)+K8-(1-'Inputs'!$T$104)*ROUND(K18*K8,2)-SUMPRODUCT(('Inputs'!$G$76:$G$81='Inputs'!$B$104)*ROUND(K18*'Inputs'!$O$76:$O$81,2)),2))</f>
      </c>
      <c r="L68">
        <f>IF('Inputs'!$B$104="",0,ROUND(IF(L31="S",'Inputs'!$O$104*L28,IF(L31="K",'Inputs'!$L$104*IF('Inputs'!$N$104=1,L33,L32),0))+'Inputs'!$O$104*ROUND(SUM('Inputs'!$Z$22:$Z$39)*L14,2)+'Inputs'!$Q$104*IF('Inputs'!$S$104=1,L35+L37,L34+L36)+SUMPRODUCT(('Inputs'!$F$59:$F$70='Inputs'!$B$104)*('Inputs'!$C$59:$C$70&lt;&gt;"Estate")*('Inputs'!$C$59:$C$70&lt;&gt;""),('Inputs'!$D$59:$D$70-'Inputs'!$R$59:$R$70*ROUND(L18*'Inputs'!$D$59:$D$70,2)))+SUMPRODUCT(('Inputs'!$F$87:$F$94='Inputs'!$B$104)*'Inputs'!$J$87:$J$94)+L8-(1-'Inputs'!$T$104)*ROUND(L18*L8,2)-SUMPRODUCT(('Inputs'!$G$76:$G$81='Inputs'!$B$104)*ROUND(L18*'Inputs'!$O$76:$O$81,2)),2))</f>
      </c>
      <c r="M68">
        <f>IF('Inputs'!$B$104="",0,ROUND(IF(M31="S",'Inputs'!$O$104*M28,IF(M31="K",'Inputs'!$L$104*IF('Inputs'!$N$104=1,M33,M32),0))+'Inputs'!$O$104*ROUND(SUM('Inputs'!$Z$22:$Z$39)*M14,2)+'Inputs'!$Q$104*IF('Inputs'!$S$104=1,M35+M37,M34+M36)+SUMPRODUCT(('Inputs'!$F$59:$F$70='Inputs'!$B$104)*('Inputs'!$C$59:$C$70&lt;&gt;"Estate")*('Inputs'!$C$59:$C$70&lt;&gt;""),('Inputs'!$D$59:$D$70-'Inputs'!$R$59:$R$70*ROUND(M18*'Inputs'!$D$59:$D$70,2)))+SUMPRODUCT(('Inputs'!$F$87:$F$94='Inputs'!$B$104)*'Inputs'!$J$87:$J$94)+M8-(1-'Inputs'!$T$104)*ROUND(M18*M8,2)-SUMPRODUCT(('Inputs'!$G$76:$G$81='Inputs'!$B$104)*ROUND(M18*'Inputs'!$O$76:$O$81,2)),2))</f>
      </c>
      <c r="N68">
        <f>IF('Inputs'!$B$104="",0,ROUND(IF(N31="S",'Inputs'!$O$104*N28,IF(N31="K",'Inputs'!$L$104*IF('Inputs'!$N$104=1,N33,N32),0))+'Inputs'!$O$104*ROUND(SUM('Inputs'!$Z$22:$Z$39)*N14,2)+'Inputs'!$Q$104*IF('Inputs'!$S$104=1,N35+N37,N34+N36)+SUMPRODUCT(('Inputs'!$F$59:$F$70='Inputs'!$B$104)*('Inputs'!$C$59:$C$70&lt;&gt;"Estate")*('Inputs'!$C$59:$C$70&lt;&gt;""),('Inputs'!$D$59:$D$70-'Inputs'!$R$59:$R$70*ROUND(N18*'Inputs'!$D$59:$D$70,2)))+SUMPRODUCT(('Inputs'!$F$87:$F$94='Inputs'!$B$104)*'Inputs'!$J$87:$J$94)+N8-(1-'Inputs'!$T$104)*ROUND(N18*N8,2)-SUMPRODUCT(('Inputs'!$G$76:$G$81='Inputs'!$B$104)*ROUND(N18*'Inputs'!$O$76:$O$81,2)),2))</f>
      </c>
      <c r="O68">
        <f>IF('Inputs'!$B$104="",0,ROUND(IF(O31="S",'Inputs'!$O$104*O28,IF(O31="K",'Inputs'!$L$104*IF('Inputs'!$N$104=1,O33,O32),0))+'Inputs'!$O$104*ROUND(SUM('Inputs'!$Z$22:$Z$39)*O14,2)+'Inputs'!$Q$104*IF('Inputs'!$S$104=1,O35+O37,O34+O36)+SUMPRODUCT(('Inputs'!$F$59:$F$70='Inputs'!$B$104)*('Inputs'!$C$59:$C$70&lt;&gt;"Estate")*('Inputs'!$C$59:$C$70&lt;&gt;""),('Inputs'!$D$59:$D$70-'Inputs'!$R$59:$R$70*ROUND(O18*'Inputs'!$D$59:$D$70,2)))+SUMPRODUCT(('Inputs'!$F$87:$F$94='Inputs'!$B$104)*'Inputs'!$J$87:$J$94)+O8-(1-'Inputs'!$T$104)*ROUND(O18*O8,2)-SUMPRODUCT(('Inputs'!$G$76:$G$81='Inputs'!$B$104)*ROUND(O18*'Inputs'!$O$76:$O$81,2)),2))</f>
      </c>
      <c r="P68">
        <f>IF('Inputs'!$B$104="",0,ROUND(IF(P31="S",'Inputs'!$O$104*P28,IF(P31="K",'Inputs'!$L$104*IF('Inputs'!$N$104=1,P33,P32),0))+'Inputs'!$O$104*ROUND(SUM('Inputs'!$Z$22:$Z$39)*P14,2)+'Inputs'!$Q$104*IF('Inputs'!$S$104=1,P35+P37,P34+P36)+SUMPRODUCT(('Inputs'!$F$59:$F$70='Inputs'!$B$104)*('Inputs'!$C$59:$C$70&lt;&gt;"Estate")*('Inputs'!$C$59:$C$70&lt;&gt;""),('Inputs'!$D$59:$D$70-'Inputs'!$R$59:$R$70*ROUND(P18*'Inputs'!$D$59:$D$70,2)))+SUMPRODUCT(('Inputs'!$F$87:$F$94='Inputs'!$B$104)*'Inputs'!$J$87:$J$94)+P8-(1-'Inputs'!$T$104)*ROUND(P18*P8,2)-SUMPRODUCT(('Inputs'!$G$76:$G$81='Inputs'!$B$104)*ROUND(P18*'Inputs'!$O$76:$O$81,2)),2))</f>
      </c>
      <c r="Q68">
        <f>IF('Inputs'!$B$104="",0,ROUND(IF(Q31="S",'Inputs'!$O$104*Q28,IF(Q31="K",'Inputs'!$L$104*IF('Inputs'!$N$104=1,Q33,Q32),0))+'Inputs'!$O$104*ROUND(SUM('Inputs'!$Z$22:$Z$39)*Q14,2)+'Inputs'!$Q$104*IF('Inputs'!$S$104=1,Q35+Q37,Q34+Q36)+SUMPRODUCT(('Inputs'!$F$59:$F$70='Inputs'!$B$104)*('Inputs'!$C$59:$C$70&lt;&gt;"Estate")*('Inputs'!$C$59:$C$70&lt;&gt;""),('Inputs'!$D$59:$D$70-'Inputs'!$R$59:$R$70*ROUND(Q18*'Inputs'!$D$59:$D$70,2)))+SUMPRODUCT(('Inputs'!$F$87:$F$94='Inputs'!$B$104)*'Inputs'!$J$87:$J$94)+Q8-(1-'Inputs'!$T$104)*ROUND(Q18*Q8,2)-SUMPRODUCT(('Inputs'!$G$76:$G$81='Inputs'!$B$104)*ROUND(Q18*'Inputs'!$O$76:$O$81,2)),2))</f>
      </c>
      <c r="R68">
        <f>IF('Inputs'!$B$104="",0,ROUND(IF(R31="S",'Inputs'!$O$104*R28,IF(R31="K",'Inputs'!$L$104*IF('Inputs'!$N$104=1,R33,R32),0))+'Inputs'!$O$104*ROUND(SUM('Inputs'!$Z$22:$Z$39)*R14,2)+'Inputs'!$Q$104*IF('Inputs'!$S$104=1,R35+R37,R34+R36)+SUMPRODUCT(('Inputs'!$F$59:$F$70='Inputs'!$B$104)*('Inputs'!$C$59:$C$70&lt;&gt;"Estate")*('Inputs'!$C$59:$C$70&lt;&gt;""),('Inputs'!$D$59:$D$70-'Inputs'!$R$59:$R$70*ROUND(R18*'Inputs'!$D$59:$D$70,2)))+SUMPRODUCT(('Inputs'!$F$87:$F$94='Inputs'!$B$104)*'Inputs'!$J$87:$J$94)+R8-(1-'Inputs'!$T$104)*ROUND(R18*R8,2)-SUMPRODUCT(('Inputs'!$G$76:$G$81='Inputs'!$B$104)*ROUND(R18*'Inputs'!$O$76:$O$81,2)),2))</f>
      </c>
      <c r="S68">
        <f>IF('Inputs'!$B$104="",0,ROUND(IF(S31="S",'Inputs'!$O$104*S28,IF(S31="K",'Inputs'!$L$104*IF('Inputs'!$N$104=1,S33,S32),0))+'Inputs'!$O$104*ROUND(SUM('Inputs'!$Z$22:$Z$39)*S14,2)+'Inputs'!$Q$104*IF('Inputs'!$S$104=1,S35+S37,S34+S36)+SUMPRODUCT(('Inputs'!$F$59:$F$70='Inputs'!$B$104)*('Inputs'!$C$59:$C$70&lt;&gt;"Estate")*('Inputs'!$C$59:$C$70&lt;&gt;""),('Inputs'!$D$59:$D$70-'Inputs'!$R$59:$R$70*ROUND(S18*'Inputs'!$D$59:$D$70,2)))+SUMPRODUCT(('Inputs'!$F$87:$F$94='Inputs'!$B$104)*'Inputs'!$J$87:$J$94)+S8-(1-'Inputs'!$T$104)*ROUND(S18*S8,2)-SUMPRODUCT(('Inputs'!$G$76:$G$81='Inputs'!$B$104)*ROUND(S18*'Inputs'!$O$76:$O$81,2)),2))</f>
      </c>
      <c r="T68">
        <f>IF('Inputs'!$B$104="",0,ROUND(IF(T31="S",'Inputs'!$O$104*T28,IF(T31="K",'Inputs'!$L$104*IF('Inputs'!$N$104=1,T33,T32),0))+'Inputs'!$O$104*ROUND(SUM('Inputs'!$Z$22:$Z$39)*T14,2)+'Inputs'!$Q$104*IF('Inputs'!$S$104=1,T35+T37,T34+T36)+SUMPRODUCT(('Inputs'!$F$59:$F$70='Inputs'!$B$104)*('Inputs'!$C$59:$C$70&lt;&gt;"Estate")*('Inputs'!$C$59:$C$70&lt;&gt;""),('Inputs'!$D$59:$D$70-'Inputs'!$R$59:$R$70*ROUND(T18*'Inputs'!$D$59:$D$70,2)))+SUMPRODUCT(('Inputs'!$F$87:$F$94='Inputs'!$B$104)*'Inputs'!$J$87:$J$94)+T8-(1-'Inputs'!$T$104)*ROUND(T18*T8,2)-SUMPRODUCT(('Inputs'!$G$76:$G$81='Inputs'!$B$104)*ROUND(T18*'Inputs'!$O$76:$O$81,2)),2))</f>
      </c>
    </row>
    <row r="69" spans="2:20" x14ac:dyDescent="0.25">
      <c r="B69" t="s">
        <v>378</v>
      </c>
      <c r="C69">
        <f>'Needs years'!$C$229+MAX(0,C68-'Needs years'!$C$234)*('Inputs'!$H$122/100*('Inputs'!$H$125/100+'Inputs'!$H$120/100*'Inputs'!$H$127/100))</f>
      </c>
      <c r="E69">
        <f>'Needs years'!$C$229+MAX(0,E68-'Needs years'!$C$234)*('Inputs'!$H$122/100*('Inputs'!$H$125/100+'Inputs'!$H$120/100*'Inputs'!$H$127/100))</f>
      </c>
      <c r="F69">
        <f>'Needs years'!$C$229+MAX(0,F68-'Needs years'!$C$234)*('Inputs'!$H$122/100*('Inputs'!$H$125/100+'Inputs'!$H$120/100*'Inputs'!$H$127/100))</f>
      </c>
      <c r="G69">
        <f>'Needs years'!$C$229+MAX(0,G68-'Needs years'!$C$234)*('Inputs'!$H$122/100*('Inputs'!$H$125/100+'Inputs'!$H$120/100*'Inputs'!$H$127/100))</f>
      </c>
      <c r="H69">
        <f>'Needs years'!$C$229+MAX(0,H68-'Needs years'!$C$234)*('Inputs'!$H$122/100*('Inputs'!$H$125/100+'Inputs'!$H$120/100*'Inputs'!$H$127/100))</f>
      </c>
      <c r="I69">
        <f>'Needs years'!$C$229+MAX(0,I68-'Needs years'!$C$234)*('Inputs'!$H$122/100*('Inputs'!$H$125/100+'Inputs'!$H$120/100*'Inputs'!$H$127/100))</f>
      </c>
      <c r="J69">
        <f>'Needs years'!$C$229+MAX(0,J68-'Needs years'!$C$234)*('Inputs'!$H$122/100*('Inputs'!$H$125/100+'Inputs'!$H$120/100*'Inputs'!$H$127/100))</f>
      </c>
      <c r="K69">
        <f>'Needs years'!$C$229+MAX(0,K68-'Needs years'!$C$234)*('Inputs'!$H$122/100*('Inputs'!$H$125/100+'Inputs'!$H$120/100*'Inputs'!$H$127/100))</f>
      </c>
      <c r="L69">
        <f>'Needs years'!$C$229+MAX(0,L68-'Needs years'!$C$234)*('Inputs'!$H$122/100*('Inputs'!$H$125/100+'Inputs'!$H$120/100*'Inputs'!$H$127/100))</f>
      </c>
      <c r="M69">
        <f>'Needs years'!$C$229+MAX(0,M68-'Needs years'!$C$234)*('Inputs'!$H$122/100*('Inputs'!$H$125/100+'Inputs'!$H$120/100*'Inputs'!$H$127/100))</f>
      </c>
      <c r="N69">
        <f>'Needs years'!$C$229+MAX(0,N68-'Needs years'!$C$234)*('Inputs'!$H$122/100*('Inputs'!$H$125/100+'Inputs'!$H$120/100*'Inputs'!$H$127/100))</f>
      </c>
      <c r="O69">
        <f>'Needs years'!$C$229+MAX(0,O68-'Needs years'!$C$234)*('Inputs'!$H$122/100*('Inputs'!$H$125/100+'Inputs'!$H$120/100*'Inputs'!$H$127/100))</f>
      </c>
      <c r="P69">
        <f>'Needs years'!$C$229+MAX(0,P68-'Needs years'!$C$234)*('Inputs'!$H$122/100*('Inputs'!$H$125/100+'Inputs'!$H$120/100*'Inputs'!$H$127/100))</f>
      </c>
      <c r="Q69">
        <f>'Needs years'!$C$229+MAX(0,Q68-'Needs years'!$C$234)*('Inputs'!$H$122/100*('Inputs'!$H$125/100+'Inputs'!$H$120/100*'Inputs'!$H$127/100))</f>
      </c>
      <c r="R69">
        <f>'Needs years'!$C$229+MAX(0,R68-'Needs years'!$C$234)*('Inputs'!$H$122/100*('Inputs'!$H$125/100+'Inputs'!$H$120/100*'Inputs'!$H$127/100))</f>
      </c>
      <c r="S69">
        <f>'Needs years'!$C$229+MAX(0,S68-'Needs years'!$C$234)*('Inputs'!$H$122/100*('Inputs'!$H$125/100+'Inputs'!$H$120/100*'Inputs'!$H$127/100))</f>
      </c>
      <c r="T69">
        <f>'Needs years'!$C$229+MAX(0,T68-'Needs years'!$C$234)*('Inputs'!$H$122/100*('Inputs'!$H$125/100+'Inputs'!$H$120/100*'Inputs'!$H$127/100))</f>
      </c>
    </row>
    <row r="70" spans="2:20" x14ac:dyDescent="0.25">
      <c r="B70" t="s">
        <v>379</v>
      </c>
      <c r="C70">
        <f>IF(C69&lt;='Needs years'!$C$228,0,INDEX('Inputs'!$E$134:$E$140,MATCH(C69,'Inputs'!$C$134:$C$140,1)-IF(COUNTIF('Inputs'!$C$134:$C$140,C69)&gt;0,1,0))/100)</f>
      </c>
      <c r="E70">
        <f>IF(E69&lt;='Needs years'!$C$228,0,INDEX('Inputs'!$E$134:$E$140,MATCH(E69,'Inputs'!$C$134:$C$140,1)-IF(COUNTIF('Inputs'!$C$134:$C$140,E69)&gt;0,1,0))/100)</f>
      </c>
      <c r="F70">
        <f>IF(F69&lt;='Needs years'!$C$228,0,INDEX('Inputs'!$E$134:$E$140,MATCH(F69,'Inputs'!$C$134:$C$140,1)-IF(COUNTIF('Inputs'!$C$134:$C$140,F69)&gt;0,1,0))/100)</f>
      </c>
      <c r="G70">
        <f>IF(G69&lt;='Needs years'!$C$228,0,INDEX('Inputs'!$E$134:$E$140,MATCH(G69,'Inputs'!$C$134:$C$140,1)-IF(COUNTIF('Inputs'!$C$134:$C$140,G69)&gt;0,1,0))/100)</f>
      </c>
      <c r="H70">
        <f>IF(H69&lt;='Needs years'!$C$228,0,INDEX('Inputs'!$E$134:$E$140,MATCH(H69,'Inputs'!$C$134:$C$140,1)-IF(COUNTIF('Inputs'!$C$134:$C$140,H69)&gt;0,1,0))/100)</f>
      </c>
      <c r="I70">
        <f>IF(I69&lt;='Needs years'!$C$228,0,INDEX('Inputs'!$E$134:$E$140,MATCH(I69,'Inputs'!$C$134:$C$140,1)-IF(COUNTIF('Inputs'!$C$134:$C$140,I69)&gt;0,1,0))/100)</f>
      </c>
      <c r="J70">
        <f>IF(J69&lt;='Needs years'!$C$228,0,INDEX('Inputs'!$E$134:$E$140,MATCH(J69,'Inputs'!$C$134:$C$140,1)-IF(COUNTIF('Inputs'!$C$134:$C$140,J69)&gt;0,1,0))/100)</f>
      </c>
      <c r="K70">
        <f>IF(K69&lt;='Needs years'!$C$228,0,INDEX('Inputs'!$E$134:$E$140,MATCH(K69,'Inputs'!$C$134:$C$140,1)-IF(COUNTIF('Inputs'!$C$134:$C$140,K69)&gt;0,1,0))/100)</f>
      </c>
      <c r="L70">
        <f>IF(L69&lt;='Needs years'!$C$228,0,INDEX('Inputs'!$E$134:$E$140,MATCH(L69,'Inputs'!$C$134:$C$140,1)-IF(COUNTIF('Inputs'!$C$134:$C$140,L69)&gt;0,1,0))/100)</f>
      </c>
      <c r="M70">
        <f>IF(M69&lt;='Needs years'!$C$228,0,INDEX('Inputs'!$E$134:$E$140,MATCH(M69,'Inputs'!$C$134:$C$140,1)-IF(COUNTIF('Inputs'!$C$134:$C$140,M69)&gt;0,1,0))/100)</f>
      </c>
      <c r="N70">
        <f>IF(N69&lt;='Needs years'!$C$228,0,INDEX('Inputs'!$E$134:$E$140,MATCH(N69,'Inputs'!$C$134:$C$140,1)-IF(COUNTIF('Inputs'!$C$134:$C$140,N69)&gt;0,1,0))/100)</f>
      </c>
      <c r="O70">
        <f>IF(O69&lt;='Needs years'!$C$228,0,INDEX('Inputs'!$E$134:$E$140,MATCH(O69,'Inputs'!$C$134:$C$140,1)-IF(COUNTIF('Inputs'!$C$134:$C$140,O69)&gt;0,1,0))/100)</f>
      </c>
      <c r="P70">
        <f>IF(P69&lt;='Needs years'!$C$228,0,INDEX('Inputs'!$E$134:$E$140,MATCH(P69,'Inputs'!$C$134:$C$140,1)-IF(COUNTIF('Inputs'!$C$134:$C$140,P69)&gt;0,1,0))/100)</f>
      </c>
      <c r="Q70">
        <f>IF(Q69&lt;='Needs years'!$C$228,0,INDEX('Inputs'!$E$134:$E$140,MATCH(Q69,'Inputs'!$C$134:$C$140,1)-IF(COUNTIF('Inputs'!$C$134:$C$140,Q69)&gt;0,1,0))/100)</f>
      </c>
      <c r="R70">
        <f>IF(R69&lt;='Needs years'!$C$228,0,INDEX('Inputs'!$E$134:$E$140,MATCH(R69,'Inputs'!$C$134:$C$140,1)-IF(COUNTIF('Inputs'!$C$134:$C$140,R69)&gt;0,1,0))/100)</f>
      </c>
      <c r="S70">
        <f>IF(S69&lt;='Needs years'!$C$228,0,INDEX('Inputs'!$E$134:$E$140,MATCH(S69,'Inputs'!$C$134:$C$140,1)-IF(COUNTIF('Inputs'!$C$134:$C$140,S69)&gt;0,1,0))/100)</f>
      </c>
      <c r="T70">
        <f>IF(T69&lt;='Needs years'!$C$228,0,INDEX('Inputs'!$E$134:$E$140,MATCH(T69,'Inputs'!$C$134:$C$140,1)-IF(COUNTIF('Inputs'!$C$134:$C$140,T69)&gt;0,1,0))/100)</f>
      </c>
    </row>
    <row r="71" spans="2:20" x14ac:dyDescent="0.25">
      <c r="B71" t="s">
        <v>380</v>
      </c>
      <c r="C71">
        <f>('Inputs'!$H$122/100*(1-('Inputs'!$H$125/100*C70+'Inputs'!$H$126/100*'Inputs'!$H$128/100+'Inputs'!$H$127/100*'Inputs'!$H$120/100*C70))-IF('Needs years'!$C$233=1,'Inputs'!$H$123/100,0))</f>
      </c>
      <c r="E71">
        <f>('Inputs'!$H$122/100*(1-('Inputs'!$H$125/100*E70+'Inputs'!$H$126/100*'Inputs'!$H$128/100+'Inputs'!$H$127/100*'Inputs'!$H$120/100*E70))-IF('Needs years'!$C$233=1,'Inputs'!$H$123/100,0))</f>
      </c>
      <c r="F71">
        <f>('Inputs'!$H$122/100*(1-('Inputs'!$H$125/100*F70+'Inputs'!$H$126/100*'Inputs'!$H$128/100+'Inputs'!$H$127/100*'Inputs'!$H$120/100*F70))-IF('Needs years'!$C$233=1,'Inputs'!$H$123/100,0))</f>
      </c>
      <c r="G71">
        <f>('Inputs'!$H$122/100*(1-('Inputs'!$H$125/100*G70+'Inputs'!$H$126/100*'Inputs'!$H$128/100+'Inputs'!$H$127/100*'Inputs'!$H$120/100*G70))-IF('Needs years'!$C$233=1,'Inputs'!$H$123/100,0))</f>
      </c>
      <c r="H71">
        <f>('Inputs'!$H$122/100*(1-('Inputs'!$H$125/100*H70+'Inputs'!$H$126/100*'Inputs'!$H$128/100+'Inputs'!$H$127/100*'Inputs'!$H$120/100*H70))-IF('Needs years'!$C$233=1,'Inputs'!$H$123/100,0))</f>
      </c>
      <c r="I71">
        <f>('Inputs'!$H$122/100*(1-('Inputs'!$H$125/100*I70+'Inputs'!$H$126/100*'Inputs'!$H$128/100+'Inputs'!$H$127/100*'Inputs'!$H$120/100*I70))-IF('Needs years'!$C$233=1,'Inputs'!$H$123/100,0))</f>
      </c>
      <c r="J71">
        <f>('Inputs'!$H$122/100*(1-('Inputs'!$H$125/100*J70+'Inputs'!$H$126/100*'Inputs'!$H$128/100+'Inputs'!$H$127/100*'Inputs'!$H$120/100*J70))-IF('Needs years'!$C$233=1,'Inputs'!$H$123/100,0))</f>
      </c>
      <c r="K71">
        <f>('Inputs'!$H$122/100*(1-('Inputs'!$H$125/100*K70+'Inputs'!$H$126/100*'Inputs'!$H$128/100+'Inputs'!$H$127/100*'Inputs'!$H$120/100*K70))-IF('Needs years'!$C$233=1,'Inputs'!$H$123/100,0))</f>
      </c>
      <c r="L71">
        <f>('Inputs'!$H$122/100*(1-('Inputs'!$H$125/100*L70+'Inputs'!$H$126/100*'Inputs'!$H$128/100+'Inputs'!$H$127/100*'Inputs'!$H$120/100*L70))-IF('Needs years'!$C$233=1,'Inputs'!$H$123/100,0))</f>
      </c>
      <c r="M71">
        <f>('Inputs'!$H$122/100*(1-('Inputs'!$H$125/100*M70+'Inputs'!$H$126/100*'Inputs'!$H$128/100+'Inputs'!$H$127/100*'Inputs'!$H$120/100*M70))-IF('Needs years'!$C$233=1,'Inputs'!$H$123/100,0))</f>
      </c>
      <c r="N71">
        <f>('Inputs'!$H$122/100*(1-('Inputs'!$H$125/100*N70+'Inputs'!$H$126/100*'Inputs'!$H$128/100+'Inputs'!$H$127/100*'Inputs'!$H$120/100*N70))-IF('Needs years'!$C$233=1,'Inputs'!$H$123/100,0))</f>
      </c>
      <c r="O71">
        <f>('Inputs'!$H$122/100*(1-('Inputs'!$H$125/100*O70+'Inputs'!$H$126/100*'Inputs'!$H$128/100+'Inputs'!$H$127/100*'Inputs'!$H$120/100*O70))-IF('Needs years'!$C$233=1,'Inputs'!$H$123/100,0))</f>
      </c>
      <c r="P71">
        <f>('Inputs'!$H$122/100*(1-('Inputs'!$H$125/100*P70+'Inputs'!$H$126/100*'Inputs'!$H$128/100+'Inputs'!$H$127/100*'Inputs'!$H$120/100*P70))-IF('Needs years'!$C$233=1,'Inputs'!$H$123/100,0))</f>
      </c>
      <c r="Q71">
        <f>('Inputs'!$H$122/100*(1-('Inputs'!$H$125/100*Q70+'Inputs'!$H$126/100*'Inputs'!$H$128/100+'Inputs'!$H$127/100*'Inputs'!$H$120/100*Q70))-IF('Needs years'!$C$233=1,'Inputs'!$H$123/100,0))</f>
      </c>
      <c r="R71">
        <f>('Inputs'!$H$122/100*(1-('Inputs'!$H$125/100*R70+'Inputs'!$H$126/100*'Inputs'!$H$128/100+'Inputs'!$H$127/100*'Inputs'!$H$120/100*R70))-IF('Needs years'!$C$233=1,'Inputs'!$H$123/100,0))</f>
      </c>
      <c r="S71">
        <f>('Inputs'!$H$122/100*(1-('Inputs'!$H$125/100*S70+'Inputs'!$H$126/100*'Inputs'!$H$128/100+'Inputs'!$H$127/100*'Inputs'!$H$120/100*S70))-IF('Needs years'!$C$233=1,'Inputs'!$H$123/100,0))</f>
      </c>
      <c r="T71">
        <f>('Inputs'!$H$122/100*(1-('Inputs'!$H$125/100*T70+'Inputs'!$H$126/100*'Inputs'!$H$128/100+'Inputs'!$H$127/100*'Inputs'!$H$120/100*T70))-IF('Needs years'!$C$233=1,'Inputs'!$H$123/100,0))</f>
      </c>
    </row>
    <row r="72" spans="2:20" x14ac:dyDescent="0.25">
      <c r="B72" t="s">
        <v>381</v>
      </c>
      <c r="C72">
        <f>IF('Inputs'!$B$104="",0,ROUND('Needs years'!$C$234+ROUND(IF(C71=0,SUM('Needs years'!$J$228:$J$277),(1-(1+C71)^-1)/(1-(1+C71)^(-1/12))/12*SUMPRODUCT('Needs years'!$J$228:$J$277,(1+C71)^(-'Needs years'!$I$228:$I$277))),2),2))</f>
      </c>
      <c r="E72">
        <f>IF('Inputs'!$B$104="",0,ROUND('Needs years'!$C$234+ROUND(IF(E71=0,SUM('Needs years'!$J$228:$J$277),(1-(1+E71)^-1)/(1-(1+E71)^(-1/12))/12*SUMPRODUCT('Needs years'!$J$228:$J$277,(1+E71)^(-'Needs years'!$I$228:$I$277))),2),2))</f>
      </c>
      <c r="F72">
        <f>IF('Inputs'!$B$104="",0,ROUND('Needs years'!$C$234+ROUND(IF(F71=0,SUM('Needs years'!$J$228:$J$277),(1-(1+F71)^-1)/(1-(1+F71)^(-1/12))/12*SUMPRODUCT('Needs years'!$J$228:$J$277,(1+F71)^(-'Needs years'!$I$228:$I$277))),2),2))</f>
      </c>
      <c r="G72">
        <f>IF('Inputs'!$B$104="",0,ROUND('Needs years'!$C$234+ROUND(IF(G71=0,SUM('Needs years'!$J$228:$J$277),(1-(1+G71)^-1)/(1-(1+G71)^(-1/12))/12*SUMPRODUCT('Needs years'!$J$228:$J$277,(1+G71)^(-'Needs years'!$I$228:$I$277))),2),2))</f>
      </c>
      <c r="H72">
        <f>IF('Inputs'!$B$104="",0,ROUND('Needs years'!$C$234+ROUND(IF(H71=0,SUM('Needs years'!$J$228:$J$277),(1-(1+H71)^-1)/(1-(1+H71)^(-1/12))/12*SUMPRODUCT('Needs years'!$J$228:$J$277,(1+H71)^(-'Needs years'!$I$228:$I$277))),2),2))</f>
      </c>
      <c r="I72">
        <f>IF('Inputs'!$B$104="",0,ROUND('Needs years'!$C$234+ROUND(IF(I71=0,SUM('Needs years'!$J$228:$J$277),(1-(1+I71)^-1)/(1-(1+I71)^(-1/12))/12*SUMPRODUCT('Needs years'!$J$228:$J$277,(1+I71)^(-'Needs years'!$I$228:$I$277))),2),2))</f>
      </c>
      <c r="J72">
        <f>IF('Inputs'!$B$104="",0,ROUND('Needs years'!$C$234+ROUND(IF(J71=0,SUM('Needs years'!$J$228:$J$277),(1-(1+J71)^-1)/(1-(1+J71)^(-1/12))/12*SUMPRODUCT('Needs years'!$J$228:$J$277,(1+J71)^(-'Needs years'!$I$228:$I$277))),2),2))</f>
      </c>
      <c r="K72">
        <f>IF('Inputs'!$B$104="",0,ROUND('Needs years'!$C$234+ROUND(IF(K71=0,SUM('Needs years'!$J$228:$J$277),(1-(1+K71)^-1)/(1-(1+K71)^(-1/12))/12*SUMPRODUCT('Needs years'!$J$228:$J$277,(1+K71)^(-'Needs years'!$I$228:$I$277))),2),2))</f>
      </c>
      <c r="L72">
        <f>IF('Inputs'!$B$104="",0,ROUND('Needs years'!$C$234+ROUND(IF(L71=0,SUM('Needs years'!$J$228:$J$277),(1-(1+L71)^-1)/(1-(1+L71)^(-1/12))/12*SUMPRODUCT('Needs years'!$J$228:$J$277,(1+L71)^(-'Needs years'!$I$228:$I$277))),2),2))</f>
      </c>
      <c r="M72">
        <f>IF('Inputs'!$B$104="",0,ROUND('Needs years'!$C$234+ROUND(IF(M71=0,SUM('Needs years'!$J$228:$J$277),(1-(1+M71)^-1)/(1-(1+M71)^(-1/12))/12*SUMPRODUCT('Needs years'!$J$228:$J$277,(1+M71)^(-'Needs years'!$I$228:$I$277))),2),2))</f>
      </c>
      <c r="N72">
        <f>IF('Inputs'!$B$104="",0,ROUND('Needs years'!$C$234+ROUND(IF(N71=0,SUM('Needs years'!$J$228:$J$277),(1-(1+N71)^-1)/(1-(1+N71)^(-1/12))/12*SUMPRODUCT('Needs years'!$J$228:$J$277,(1+N71)^(-'Needs years'!$I$228:$I$277))),2),2))</f>
      </c>
      <c r="O72">
        <f>IF('Inputs'!$B$104="",0,ROUND('Needs years'!$C$234+ROUND(IF(O71=0,SUM('Needs years'!$J$228:$J$277),(1-(1+O71)^-1)/(1-(1+O71)^(-1/12))/12*SUMPRODUCT('Needs years'!$J$228:$J$277,(1+O71)^(-'Needs years'!$I$228:$I$277))),2),2))</f>
      </c>
      <c r="P72">
        <f>IF('Inputs'!$B$104="",0,ROUND('Needs years'!$C$234+ROUND(IF(P71=0,SUM('Needs years'!$J$228:$J$277),(1-(1+P71)^-1)/(1-(1+P71)^(-1/12))/12*SUMPRODUCT('Needs years'!$J$228:$J$277,(1+P71)^(-'Needs years'!$I$228:$I$277))),2),2))</f>
      </c>
      <c r="Q72">
        <f>IF('Inputs'!$B$104="",0,ROUND('Needs years'!$C$234+ROUND(IF(Q71=0,SUM('Needs years'!$J$228:$J$277),(1-(1+Q71)^-1)/(1-(1+Q71)^(-1/12))/12*SUMPRODUCT('Needs years'!$J$228:$J$277,(1+Q71)^(-'Needs years'!$I$228:$I$277))),2),2))</f>
      </c>
      <c r="R72">
        <f>IF('Inputs'!$B$104="",0,ROUND('Needs years'!$C$234+ROUND(IF(R71=0,SUM('Needs years'!$J$228:$J$277),(1-(1+R71)^-1)/(1-(1+R71)^(-1/12))/12*SUMPRODUCT('Needs years'!$J$228:$J$277,(1+R71)^(-'Needs years'!$I$228:$I$277))),2),2))</f>
      </c>
      <c r="S72">
        <f>IF('Inputs'!$B$104="",0,ROUND('Needs years'!$C$234+ROUND(IF(S71=0,SUM('Needs years'!$J$228:$J$277),(1-(1+S71)^-1)/(1-(1+S71)^(-1/12))/12*SUMPRODUCT('Needs years'!$J$228:$J$277,(1+S71)^(-'Needs years'!$I$228:$I$277))),2),2))</f>
      </c>
      <c r="T72">
        <f>IF('Inputs'!$B$104="",0,ROUND('Needs years'!$C$234+ROUND(IF(T71=0,SUM('Needs years'!$J$228:$J$277),(1-(1+T71)^-1)/(1-(1+T71)^(-1/12))/12*SUMPRODUCT('Needs years'!$J$228:$J$277,(1+T71)^(-'Needs years'!$I$228:$I$277))),2),2))</f>
      </c>
    </row>
    <row r="73" spans="2:20" x14ac:dyDescent="0.25">
      <c r="B73" t="s">
        <v>382</v>
      </c>
      <c r="C73">
        <f>IF('Inputs'!$B$104="",0,ROUND(C72-C68,2))</f>
      </c>
      <c r="E73">
        <f>IF('Inputs'!$B$104="",0,ROUND(E72-E68,2))</f>
      </c>
      <c r="F73">
        <f>IF('Inputs'!$B$104="",0,ROUND(F72-F68,2))</f>
      </c>
      <c r="G73">
        <f>IF('Inputs'!$B$104="",0,ROUND(G72-G68,2))</f>
      </c>
      <c r="H73">
        <f>IF('Inputs'!$B$104="",0,ROUND(H72-H68,2))</f>
      </c>
      <c r="I73">
        <f>IF('Inputs'!$B$104="",0,ROUND(I72-I68,2))</f>
      </c>
      <c r="J73">
        <f>IF('Inputs'!$B$104="",0,ROUND(J72-J68,2))</f>
      </c>
      <c r="K73">
        <f>IF('Inputs'!$B$104="",0,ROUND(K72-K68,2))</f>
      </c>
      <c r="L73">
        <f>IF('Inputs'!$B$104="",0,ROUND(L72-L68,2))</f>
      </c>
      <c r="M73">
        <f>IF('Inputs'!$B$104="",0,ROUND(M72-M68,2))</f>
      </c>
      <c r="N73">
        <f>IF('Inputs'!$B$104="",0,ROUND(N72-N68,2))</f>
      </c>
      <c r="O73">
        <f>IF('Inputs'!$B$104="",0,ROUND(O72-O68,2))</f>
      </c>
      <c r="P73">
        <f>IF('Inputs'!$B$104="",0,ROUND(P72-P68,2))</f>
      </c>
      <c r="Q73">
        <f>IF('Inputs'!$B$104="",0,ROUND(Q72-Q68,2))</f>
      </c>
      <c r="R73">
        <f>IF('Inputs'!$B$104="",0,ROUND(R72-R68,2))</f>
      </c>
      <c r="S73">
        <f>IF('Inputs'!$B$104="",0,ROUND(S72-S68,2))</f>
      </c>
      <c r="T73">
        <f>IF('Inputs'!$B$104="",0,ROUND(T72-T68,2))</f>
      </c>
    </row>
    <row r="74" spans="2:20" x14ac:dyDescent="0.25">
      <c r="B74" t="s">
        <v>383</v>
      </c>
      <c r="C74">
        <f>IF('Inputs'!$B$104="",0,'Needs years'!$C$240+IF((C72-'Needs years'!$C$234)&gt;0,MAX(0,C68-'Needs years'!$C$234)/(C72-'Needs years'!$C$234)*'Needs years'!$J$228/12,0))</f>
      </c>
      <c r="E74">
        <f>IF('Inputs'!$B$104="",0,'Needs years'!$C$240+IF((E72-'Needs years'!$C$234)&gt;0,MAX(0,E68-'Needs years'!$C$234)/(E72-'Needs years'!$C$234)*'Needs years'!$J$228/12,0))</f>
      </c>
      <c r="F74">
        <f>IF('Inputs'!$B$104="",0,'Needs years'!$C$240+IF((F72-'Needs years'!$C$234)&gt;0,MAX(0,F68-'Needs years'!$C$234)/(F72-'Needs years'!$C$234)*'Needs years'!$J$228/12,0))</f>
      </c>
      <c r="G74">
        <f>IF('Inputs'!$B$104="",0,'Needs years'!$C$240+IF((G72-'Needs years'!$C$234)&gt;0,MAX(0,G68-'Needs years'!$C$234)/(G72-'Needs years'!$C$234)*'Needs years'!$J$228/12,0))</f>
      </c>
      <c r="H74">
        <f>IF('Inputs'!$B$104="",0,'Needs years'!$C$240+IF((H72-'Needs years'!$C$234)&gt;0,MAX(0,H68-'Needs years'!$C$234)/(H72-'Needs years'!$C$234)*'Needs years'!$J$228/12,0))</f>
      </c>
      <c r="I74">
        <f>IF('Inputs'!$B$104="",0,'Needs years'!$C$240+IF((I72-'Needs years'!$C$234)&gt;0,MAX(0,I68-'Needs years'!$C$234)/(I72-'Needs years'!$C$234)*'Needs years'!$J$228/12,0))</f>
      </c>
      <c r="J74">
        <f>IF('Inputs'!$B$104="",0,'Needs years'!$C$240+IF((J72-'Needs years'!$C$234)&gt;0,MAX(0,J68-'Needs years'!$C$234)/(J72-'Needs years'!$C$234)*'Needs years'!$J$228/12,0))</f>
      </c>
      <c r="K74">
        <f>IF('Inputs'!$B$104="",0,'Needs years'!$C$240+IF((K72-'Needs years'!$C$234)&gt;0,MAX(0,K68-'Needs years'!$C$234)/(K72-'Needs years'!$C$234)*'Needs years'!$J$228/12,0))</f>
      </c>
      <c r="L74">
        <f>IF('Inputs'!$B$104="",0,'Needs years'!$C$240+IF((L72-'Needs years'!$C$234)&gt;0,MAX(0,L68-'Needs years'!$C$234)/(L72-'Needs years'!$C$234)*'Needs years'!$J$228/12,0))</f>
      </c>
      <c r="M74">
        <f>IF('Inputs'!$B$104="",0,'Needs years'!$C$240+IF((M72-'Needs years'!$C$234)&gt;0,MAX(0,M68-'Needs years'!$C$234)/(M72-'Needs years'!$C$234)*'Needs years'!$J$228/12,0))</f>
      </c>
      <c r="N74">
        <f>IF('Inputs'!$B$104="",0,'Needs years'!$C$240+IF((N72-'Needs years'!$C$234)&gt;0,MAX(0,N68-'Needs years'!$C$234)/(N72-'Needs years'!$C$234)*'Needs years'!$J$228/12,0))</f>
      </c>
      <c r="O74">
        <f>IF('Inputs'!$B$104="",0,'Needs years'!$C$240+IF((O72-'Needs years'!$C$234)&gt;0,MAX(0,O68-'Needs years'!$C$234)/(O72-'Needs years'!$C$234)*'Needs years'!$J$228/12,0))</f>
      </c>
      <c r="P74">
        <f>IF('Inputs'!$B$104="",0,'Needs years'!$C$240+IF((P72-'Needs years'!$C$234)&gt;0,MAX(0,P68-'Needs years'!$C$234)/(P72-'Needs years'!$C$234)*'Needs years'!$J$228/12,0))</f>
      </c>
      <c r="Q74">
        <f>IF('Inputs'!$B$104="",0,'Needs years'!$C$240+IF((Q72-'Needs years'!$C$234)&gt;0,MAX(0,Q68-'Needs years'!$C$234)/(Q72-'Needs years'!$C$234)*'Needs years'!$J$228/12,0))</f>
      </c>
      <c r="R74">
        <f>IF('Inputs'!$B$104="",0,'Needs years'!$C$240+IF((R72-'Needs years'!$C$234)&gt;0,MAX(0,R68-'Needs years'!$C$234)/(R72-'Needs years'!$C$234)*'Needs years'!$J$228/12,0))</f>
      </c>
      <c r="S74">
        <f>IF('Inputs'!$B$104="",0,'Needs years'!$C$240+IF((S72-'Needs years'!$C$234)&gt;0,MAX(0,S68-'Needs years'!$C$234)/(S72-'Needs years'!$C$234)*'Needs years'!$J$228/12,0))</f>
      </c>
      <c r="T74">
        <f>IF('Inputs'!$B$104="",0,'Needs years'!$C$240+IF((T72-'Needs years'!$C$234)&gt;0,MAX(0,T68-'Needs years'!$C$234)/(T72-'Needs years'!$C$234)*'Needs years'!$J$228/12,0))</f>
      </c>
    </row>
    <row r="75" spans="2:20" x14ac:dyDescent="0.25">
      <c r="B75" t="s">
        <v>384</v>
      </c>
      <c r="C75">
        <f>IF('Inputs'!$B$105="",0,ROUND(IF(C31="S",'Inputs'!$O$105*C28,IF(C31="K",'Inputs'!$L$105*IF('Inputs'!$N$105=1,C33,C32),0))+'Inputs'!$O$105*ROUND(SUM('Inputs'!$Z$22:$Z$39)*C14,2)+'Inputs'!$Q$105*IF('Inputs'!$S$105=1,C35+C37,C34+C36)+SUMPRODUCT(('Inputs'!$F$59:$F$70='Inputs'!$B$105)*('Inputs'!$C$59:$C$70&lt;&gt;"Estate")*('Inputs'!$C$59:$C$70&lt;&gt;""),('Inputs'!$D$59:$D$70-'Inputs'!$R$59:$R$70*ROUND(C18*'Inputs'!$D$59:$D$70,2)))+SUMPRODUCT(('Inputs'!$F$87:$F$94='Inputs'!$B$105)*'Inputs'!$J$87:$J$94)+C9-(1-'Inputs'!$T$105)*ROUND(C18*C9,2)-SUMPRODUCT(('Inputs'!$G$76:$G$81='Inputs'!$B$105)*ROUND(C18*'Inputs'!$O$76:$O$81,2)),2))</f>
      </c>
      <c r="E75">
        <f>IF('Inputs'!$B$105="",0,ROUND(IF(E31="S",'Inputs'!$O$105*E28,IF(E31="K",'Inputs'!$L$105*IF('Inputs'!$N$105=1,E33,E32),0))+'Inputs'!$O$105*ROUND(SUM('Inputs'!$Z$22:$Z$39)*E14,2)+'Inputs'!$Q$105*IF('Inputs'!$S$105=1,E35+E37,E34+E36)+SUMPRODUCT(('Inputs'!$F$59:$F$70='Inputs'!$B$105)*('Inputs'!$C$59:$C$70&lt;&gt;"Estate")*('Inputs'!$C$59:$C$70&lt;&gt;""),('Inputs'!$D$59:$D$70-'Inputs'!$R$59:$R$70*ROUND(E18*'Inputs'!$D$59:$D$70,2)))+SUMPRODUCT(('Inputs'!$F$87:$F$94='Inputs'!$B$105)*'Inputs'!$J$87:$J$94)+E9-(1-'Inputs'!$T$105)*ROUND(E18*E9,2)-SUMPRODUCT(('Inputs'!$G$76:$G$81='Inputs'!$B$105)*ROUND(E18*'Inputs'!$O$76:$O$81,2)),2))</f>
      </c>
      <c r="F75">
        <f>IF('Inputs'!$B$105="",0,ROUND(IF(F31="S",'Inputs'!$O$105*F28,IF(F31="K",'Inputs'!$L$105*IF('Inputs'!$N$105=1,F33,F32),0))+'Inputs'!$O$105*ROUND(SUM('Inputs'!$Z$22:$Z$39)*F14,2)+'Inputs'!$Q$105*IF('Inputs'!$S$105=1,F35+F37,F34+F36)+SUMPRODUCT(('Inputs'!$F$59:$F$70='Inputs'!$B$105)*('Inputs'!$C$59:$C$70&lt;&gt;"Estate")*('Inputs'!$C$59:$C$70&lt;&gt;""),('Inputs'!$D$59:$D$70-'Inputs'!$R$59:$R$70*ROUND(F18*'Inputs'!$D$59:$D$70,2)))+SUMPRODUCT(('Inputs'!$F$87:$F$94='Inputs'!$B$105)*'Inputs'!$J$87:$J$94)+F9-(1-'Inputs'!$T$105)*ROUND(F18*F9,2)-SUMPRODUCT(('Inputs'!$G$76:$G$81='Inputs'!$B$105)*ROUND(F18*'Inputs'!$O$76:$O$81,2)),2))</f>
      </c>
      <c r="G75">
        <f>IF('Inputs'!$B$105="",0,ROUND(IF(G31="S",'Inputs'!$O$105*G28,IF(G31="K",'Inputs'!$L$105*IF('Inputs'!$N$105=1,G33,G32),0))+'Inputs'!$O$105*ROUND(SUM('Inputs'!$Z$22:$Z$39)*G14,2)+'Inputs'!$Q$105*IF('Inputs'!$S$105=1,G35+G37,G34+G36)+SUMPRODUCT(('Inputs'!$F$59:$F$70='Inputs'!$B$105)*('Inputs'!$C$59:$C$70&lt;&gt;"Estate")*('Inputs'!$C$59:$C$70&lt;&gt;""),('Inputs'!$D$59:$D$70-'Inputs'!$R$59:$R$70*ROUND(G18*'Inputs'!$D$59:$D$70,2)))+SUMPRODUCT(('Inputs'!$F$87:$F$94='Inputs'!$B$105)*'Inputs'!$J$87:$J$94)+G9-(1-'Inputs'!$T$105)*ROUND(G18*G9,2)-SUMPRODUCT(('Inputs'!$G$76:$G$81='Inputs'!$B$105)*ROUND(G18*'Inputs'!$O$76:$O$81,2)),2))</f>
      </c>
      <c r="H75">
        <f>IF('Inputs'!$B$105="",0,ROUND(IF(H31="S",'Inputs'!$O$105*H28,IF(H31="K",'Inputs'!$L$105*IF('Inputs'!$N$105=1,H33,H32),0))+'Inputs'!$O$105*ROUND(SUM('Inputs'!$Z$22:$Z$39)*H14,2)+'Inputs'!$Q$105*IF('Inputs'!$S$105=1,H35+H37,H34+H36)+SUMPRODUCT(('Inputs'!$F$59:$F$70='Inputs'!$B$105)*('Inputs'!$C$59:$C$70&lt;&gt;"Estate")*('Inputs'!$C$59:$C$70&lt;&gt;""),('Inputs'!$D$59:$D$70-'Inputs'!$R$59:$R$70*ROUND(H18*'Inputs'!$D$59:$D$70,2)))+SUMPRODUCT(('Inputs'!$F$87:$F$94='Inputs'!$B$105)*'Inputs'!$J$87:$J$94)+H9-(1-'Inputs'!$T$105)*ROUND(H18*H9,2)-SUMPRODUCT(('Inputs'!$G$76:$G$81='Inputs'!$B$105)*ROUND(H18*'Inputs'!$O$76:$O$81,2)),2))</f>
      </c>
      <c r="I75">
        <f>IF('Inputs'!$B$105="",0,ROUND(IF(I31="S",'Inputs'!$O$105*I28,IF(I31="K",'Inputs'!$L$105*IF('Inputs'!$N$105=1,I33,I32),0))+'Inputs'!$O$105*ROUND(SUM('Inputs'!$Z$22:$Z$39)*I14,2)+'Inputs'!$Q$105*IF('Inputs'!$S$105=1,I35+I37,I34+I36)+SUMPRODUCT(('Inputs'!$F$59:$F$70='Inputs'!$B$105)*('Inputs'!$C$59:$C$70&lt;&gt;"Estate")*('Inputs'!$C$59:$C$70&lt;&gt;""),('Inputs'!$D$59:$D$70-'Inputs'!$R$59:$R$70*ROUND(I18*'Inputs'!$D$59:$D$70,2)))+SUMPRODUCT(('Inputs'!$F$87:$F$94='Inputs'!$B$105)*'Inputs'!$J$87:$J$94)+I9-(1-'Inputs'!$T$105)*ROUND(I18*I9,2)-SUMPRODUCT(('Inputs'!$G$76:$G$81='Inputs'!$B$105)*ROUND(I18*'Inputs'!$O$76:$O$81,2)),2))</f>
      </c>
      <c r="J75">
        <f>IF('Inputs'!$B$105="",0,ROUND(IF(J31="S",'Inputs'!$O$105*J28,IF(J31="K",'Inputs'!$L$105*IF('Inputs'!$N$105=1,J33,J32),0))+'Inputs'!$O$105*ROUND(SUM('Inputs'!$Z$22:$Z$39)*J14,2)+'Inputs'!$Q$105*IF('Inputs'!$S$105=1,J35+J37,J34+J36)+SUMPRODUCT(('Inputs'!$F$59:$F$70='Inputs'!$B$105)*('Inputs'!$C$59:$C$70&lt;&gt;"Estate")*('Inputs'!$C$59:$C$70&lt;&gt;""),('Inputs'!$D$59:$D$70-'Inputs'!$R$59:$R$70*ROUND(J18*'Inputs'!$D$59:$D$70,2)))+SUMPRODUCT(('Inputs'!$F$87:$F$94='Inputs'!$B$105)*'Inputs'!$J$87:$J$94)+J9-(1-'Inputs'!$T$105)*ROUND(J18*J9,2)-SUMPRODUCT(('Inputs'!$G$76:$G$81='Inputs'!$B$105)*ROUND(J18*'Inputs'!$O$76:$O$81,2)),2))</f>
      </c>
      <c r="K75">
        <f>IF('Inputs'!$B$105="",0,ROUND(IF(K31="S",'Inputs'!$O$105*K28,IF(K31="K",'Inputs'!$L$105*IF('Inputs'!$N$105=1,K33,K32),0))+'Inputs'!$O$105*ROUND(SUM('Inputs'!$Z$22:$Z$39)*K14,2)+'Inputs'!$Q$105*IF('Inputs'!$S$105=1,K35+K37,K34+K36)+SUMPRODUCT(('Inputs'!$F$59:$F$70='Inputs'!$B$105)*('Inputs'!$C$59:$C$70&lt;&gt;"Estate")*('Inputs'!$C$59:$C$70&lt;&gt;""),('Inputs'!$D$59:$D$70-'Inputs'!$R$59:$R$70*ROUND(K18*'Inputs'!$D$59:$D$70,2)))+SUMPRODUCT(('Inputs'!$F$87:$F$94='Inputs'!$B$105)*'Inputs'!$J$87:$J$94)+K9-(1-'Inputs'!$T$105)*ROUND(K18*K9,2)-SUMPRODUCT(('Inputs'!$G$76:$G$81='Inputs'!$B$105)*ROUND(K18*'Inputs'!$O$76:$O$81,2)),2))</f>
      </c>
      <c r="L75">
        <f>IF('Inputs'!$B$105="",0,ROUND(IF(L31="S",'Inputs'!$O$105*L28,IF(L31="K",'Inputs'!$L$105*IF('Inputs'!$N$105=1,L33,L32),0))+'Inputs'!$O$105*ROUND(SUM('Inputs'!$Z$22:$Z$39)*L14,2)+'Inputs'!$Q$105*IF('Inputs'!$S$105=1,L35+L37,L34+L36)+SUMPRODUCT(('Inputs'!$F$59:$F$70='Inputs'!$B$105)*('Inputs'!$C$59:$C$70&lt;&gt;"Estate")*('Inputs'!$C$59:$C$70&lt;&gt;""),('Inputs'!$D$59:$D$70-'Inputs'!$R$59:$R$70*ROUND(L18*'Inputs'!$D$59:$D$70,2)))+SUMPRODUCT(('Inputs'!$F$87:$F$94='Inputs'!$B$105)*'Inputs'!$J$87:$J$94)+L9-(1-'Inputs'!$T$105)*ROUND(L18*L9,2)-SUMPRODUCT(('Inputs'!$G$76:$G$81='Inputs'!$B$105)*ROUND(L18*'Inputs'!$O$76:$O$81,2)),2))</f>
      </c>
      <c r="M75">
        <f>IF('Inputs'!$B$105="",0,ROUND(IF(M31="S",'Inputs'!$O$105*M28,IF(M31="K",'Inputs'!$L$105*IF('Inputs'!$N$105=1,M33,M32),0))+'Inputs'!$O$105*ROUND(SUM('Inputs'!$Z$22:$Z$39)*M14,2)+'Inputs'!$Q$105*IF('Inputs'!$S$105=1,M35+M37,M34+M36)+SUMPRODUCT(('Inputs'!$F$59:$F$70='Inputs'!$B$105)*('Inputs'!$C$59:$C$70&lt;&gt;"Estate")*('Inputs'!$C$59:$C$70&lt;&gt;""),('Inputs'!$D$59:$D$70-'Inputs'!$R$59:$R$70*ROUND(M18*'Inputs'!$D$59:$D$70,2)))+SUMPRODUCT(('Inputs'!$F$87:$F$94='Inputs'!$B$105)*'Inputs'!$J$87:$J$94)+M9-(1-'Inputs'!$T$105)*ROUND(M18*M9,2)-SUMPRODUCT(('Inputs'!$G$76:$G$81='Inputs'!$B$105)*ROUND(M18*'Inputs'!$O$76:$O$81,2)),2))</f>
      </c>
      <c r="N75">
        <f>IF('Inputs'!$B$105="",0,ROUND(IF(N31="S",'Inputs'!$O$105*N28,IF(N31="K",'Inputs'!$L$105*IF('Inputs'!$N$105=1,N33,N32),0))+'Inputs'!$O$105*ROUND(SUM('Inputs'!$Z$22:$Z$39)*N14,2)+'Inputs'!$Q$105*IF('Inputs'!$S$105=1,N35+N37,N34+N36)+SUMPRODUCT(('Inputs'!$F$59:$F$70='Inputs'!$B$105)*('Inputs'!$C$59:$C$70&lt;&gt;"Estate")*('Inputs'!$C$59:$C$70&lt;&gt;""),('Inputs'!$D$59:$D$70-'Inputs'!$R$59:$R$70*ROUND(N18*'Inputs'!$D$59:$D$70,2)))+SUMPRODUCT(('Inputs'!$F$87:$F$94='Inputs'!$B$105)*'Inputs'!$J$87:$J$94)+N9-(1-'Inputs'!$T$105)*ROUND(N18*N9,2)-SUMPRODUCT(('Inputs'!$G$76:$G$81='Inputs'!$B$105)*ROUND(N18*'Inputs'!$O$76:$O$81,2)),2))</f>
      </c>
      <c r="O75">
        <f>IF('Inputs'!$B$105="",0,ROUND(IF(O31="S",'Inputs'!$O$105*O28,IF(O31="K",'Inputs'!$L$105*IF('Inputs'!$N$105=1,O33,O32),0))+'Inputs'!$O$105*ROUND(SUM('Inputs'!$Z$22:$Z$39)*O14,2)+'Inputs'!$Q$105*IF('Inputs'!$S$105=1,O35+O37,O34+O36)+SUMPRODUCT(('Inputs'!$F$59:$F$70='Inputs'!$B$105)*('Inputs'!$C$59:$C$70&lt;&gt;"Estate")*('Inputs'!$C$59:$C$70&lt;&gt;""),('Inputs'!$D$59:$D$70-'Inputs'!$R$59:$R$70*ROUND(O18*'Inputs'!$D$59:$D$70,2)))+SUMPRODUCT(('Inputs'!$F$87:$F$94='Inputs'!$B$105)*'Inputs'!$J$87:$J$94)+O9-(1-'Inputs'!$T$105)*ROUND(O18*O9,2)-SUMPRODUCT(('Inputs'!$G$76:$G$81='Inputs'!$B$105)*ROUND(O18*'Inputs'!$O$76:$O$81,2)),2))</f>
      </c>
      <c r="P75">
        <f>IF('Inputs'!$B$105="",0,ROUND(IF(P31="S",'Inputs'!$O$105*P28,IF(P31="K",'Inputs'!$L$105*IF('Inputs'!$N$105=1,P33,P32),0))+'Inputs'!$O$105*ROUND(SUM('Inputs'!$Z$22:$Z$39)*P14,2)+'Inputs'!$Q$105*IF('Inputs'!$S$105=1,P35+P37,P34+P36)+SUMPRODUCT(('Inputs'!$F$59:$F$70='Inputs'!$B$105)*('Inputs'!$C$59:$C$70&lt;&gt;"Estate")*('Inputs'!$C$59:$C$70&lt;&gt;""),('Inputs'!$D$59:$D$70-'Inputs'!$R$59:$R$70*ROUND(P18*'Inputs'!$D$59:$D$70,2)))+SUMPRODUCT(('Inputs'!$F$87:$F$94='Inputs'!$B$105)*'Inputs'!$J$87:$J$94)+P9-(1-'Inputs'!$T$105)*ROUND(P18*P9,2)-SUMPRODUCT(('Inputs'!$G$76:$G$81='Inputs'!$B$105)*ROUND(P18*'Inputs'!$O$76:$O$81,2)),2))</f>
      </c>
      <c r="Q75">
        <f>IF('Inputs'!$B$105="",0,ROUND(IF(Q31="S",'Inputs'!$O$105*Q28,IF(Q31="K",'Inputs'!$L$105*IF('Inputs'!$N$105=1,Q33,Q32),0))+'Inputs'!$O$105*ROUND(SUM('Inputs'!$Z$22:$Z$39)*Q14,2)+'Inputs'!$Q$105*IF('Inputs'!$S$105=1,Q35+Q37,Q34+Q36)+SUMPRODUCT(('Inputs'!$F$59:$F$70='Inputs'!$B$105)*('Inputs'!$C$59:$C$70&lt;&gt;"Estate")*('Inputs'!$C$59:$C$70&lt;&gt;""),('Inputs'!$D$59:$D$70-'Inputs'!$R$59:$R$70*ROUND(Q18*'Inputs'!$D$59:$D$70,2)))+SUMPRODUCT(('Inputs'!$F$87:$F$94='Inputs'!$B$105)*'Inputs'!$J$87:$J$94)+Q9-(1-'Inputs'!$T$105)*ROUND(Q18*Q9,2)-SUMPRODUCT(('Inputs'!$G$76:$G$81='Inputs'!$B$105)*ROUND(Q18*'Inputs'!$O$76:$O$81,2)),2))</f>
      </c>
      <c r="R75">
        <f>IF('Inputs'!$B$105="",0,ROUND(IF(R31="S",'Inputs'!$O$105*R28,IF(R31="K",'Inputs'!$L$105*IF('Inputs'!$N$105=1,R33,R32),0))+'Inputs'!$O$105*ROUND(SUM('Inputs'!$Z$22:$Z$39)*R14,2)+'Inputs'!$Q$105*IF('Inputs'!$S$105=1,R35+R37,R34+R36)+SUMPRODUCT(('Inputs'!$F$59:$F$70='Inputs'!$B$105)*('Inputs'!$C$59:$C$70&lt;&gt;"Estate")*('Inputs'!$C$59:$C$70&lt;&gt;""),('Inputs'!$D$59:$D$70-'Inputs'!$R$59:$R$70*ROUND(R18*'Inputs'!$D$59:$D$70,2)))+SUMPRODUCT(('Inputs'!$F$87:$F$94='Inputs'!$B$105)*'Inputs'!$J$87:$J$94)+R9-(1-'Inputs'!$T$105)*ROUND(R18*R9,2)-SUMPRODUCT(('Inputs'!$G$76:$G$81='Inputs'!$B$105)*ROUND(R18*'Inputs'!$O$76:$O$81,2)),2))</f>
      </c>
      <c r="S75">
        <f>IF('Inputs'!$B$105="",0,ROUND(IF(S31="S",'Inputs'!$O$105*S28,IF(S31="K",'Inputs'!$L$105*IF('Inputs'!$N$105=1,S33,S32),0))+'Inputs'!$O$105*ROUND(SUM('Inputs'!$Z$22:$Z$39)*S14,2)+'Inputs'!$Q$105*IF('Inputs'!$S$105=1,S35+S37,S34+S36)+SUMPRODUCT(('Inputs'!$F$59:$F$70='Inputs'!$B$105)*('Inputs'!$C$59:$C$70&lt;&gt;"Estate")*('Inputs'!$C$59:$C$70&lt;&gt;""),('Inputs'!$D$59:$D$70-'Inputs'!$R$59:$R$70*ROUND(S18*'Inputs'!$D$59:$D$70,2)))+SUMPRODUCT(('Inputs'!$F$87:$F$94='Inputs'!$B$105)*'Inputs'!$J$87:$J$94)+S9-(1-'Inputs'!$T$105)*ROUND(S18*S9,2)-SUMPRODUCT(('Inputs'!$G$76:$G$81='Inputs'!$B$105)*ROUND(S18*'Inputs'!$O$76:$O$81,2)),2))</f>
      </c>
      <c r="T75">
        <f>IF('Inputs'!$B$105="",0,ROUND(IF(T31="S",'Inputs'!$O$105*T28,IF(T31="K",'Inputs'!$L$105*IF('Inputs'!$N$105=1,T33,T32),0))+'Inputs'!$O$105*ROUND(SUM('Inputs'!$Z$22:$Z$39)*T14,2)+'Inputs'!$Q$105*IF('Inputs'!$S$105=1,T35+T37,T34+T36)+SUMPRODUCT(('Inputs'!$F$59:$F$70='Inputs'!$B$105)*('Inputs'!$C$59:$C$70&lt;&gt;"Estate")*('Inputs'!$C$59:$C$70&lt;&gt;""),('Inputs'!$D$59:$D$70-'Inputs'!$R$59:$R$70*ROUND(T18*'Inputs'!$D$59:$D$70,2)))+SUMPRODUCT(('Inputs'!$F$87:$F$94='Inputs'!$B$105)*'Inputs'!$J$87:$J$94)+T9-(1-'Inputs'!$T$105)*ROUND(T18*T9,2)-SUMPRODUCT(('Inputs'!$G$76:$G$81='Inputs'!$B$105)*ROUND(T18*'Inputs'!$O$76:$O$81,2)),2))</f>
      </c>
    </row>
    <row r="76" spans="2:20" x14ac:dyDescent="0.25">
      <c r="B76" t="s">
        <v>385</v>
      </c>
      <c r="C76">
        <f>'Needs years'!$C$285+MAX(0,C75-'Needs years'!$C$290)*('Inputs'!$H$122/100*('Inputs'!$H$125/100+'Inputs'!$H$120/100*'Inputs'!$H$127/100))</f>
      </c>
      <c r="E76">
        <f>'Needs years'!$C$285+MAX(0,E75-'Needs years'!$C$290)*('Inputs'!$H$122/100*('Inputs'!$H$125/100+'Inputs'!$H$120/100*'Inputs'!$H$127/100))</f>
      </c>
      <c r="F76">
        <f>'Needs years'!$C$285+MAX(0,F75-'Needs years'!$C$290)*('Inputs'!$H$122/100*('Inputs'!$H$125/100+'Inputs'!$H$120/100*'Inputs'!$H$127/100))</f>
      </c>
      <c r="G76">
        <f>'Needs years'!$C$285+MAX(0,G75-'Needs years'!$C$290)*('Inputs'!$H$122/100*('Inputs'!$H$125/100+'Inputs'!$H$120/100*'Inputs'!$H$127/100))</f>
      </c>
      <c r="H76">
        <f>'Needs years'!$C$285+MAX(0,H75-'Needs years'!$C$290)*('Inputs'!$H$122/100*('Inputs'!$H$125/100+'Inputs'!$H$120/100*'Inputs'!$H$127/100))</f>
      </c>
      <c r="I76">
        <f>'Needs years'!$C$285+MAX(0,I75-'Needs years'!$C$290)*('Inputs'!$H$122/100*('Inputs'!$H$125/100+'Inputs'!$H$120/100*'Inputs'!$H$127/100))</f>
      </c>
      <c r="J76">
        <f>'Needs years'!$C$285+MAX(0,J75-'Needs years'!$C$290)*('Inputs'!$H$122/100*('Inputs'!$H$125/100+'Inputs'!$H$120/100*'Inputs'!$H$127/100))</f>
      </c>
      <c r="K76">
        <f>'Needs years'!$C$285+MAX(0,K75-'Needs years'!$C$290)*('Inputs'!$H$122/100*('Inputs'!$H$125/100+'Inputs'!$H$120/100*'Inputs'!$H$127/100))</f>
      </c>
      <c r="L76">
        <f>'Needs years'!$C$285+MAX(0,L75-'Needs years'!$C$290)*('Inputs'!$H$122/100*('Inputs'!$H$125/100+'Inputs'!$H$120/100*'Inputs'!$H$127/100))</f>
      </c>
      <c r="M76">
        <f>'Needs years'!$C$285+MAX(0,M75-'Needs years'!$C$290)*('Inputs'!$H$122/100*('Inputs'!$H$125/100+'Inputs'!$H$120/100*'Inputs'!$H$127/100))</f>
      </c>
      <c r="N76">
        <f>'Needs years'!$C$285+MAX(0,N75-'Needs years'!$C$290)*('Inputs'!$H$122/100*('Inputs'!$H$125/100+'Inputs'!$H$120/100*'Inputs'!$H$127/100))</f>
      </c>
      <c r="O76">
        <f>'Needs years'!$C$285+MAX(0,O75-'Needs years'!$C$290)*('Inputs'!$H$122/100*('Inputs'!$H$125/100+'Inputs'!$H$120/100*'Inputs'!$H$127/100))</f>
      </c>
      <c r="P76">
        <f>'Needs years'!$C$285+MAX(0,P75-'Needs years'!$C$290)*('Inputs'!$H$122/100*('Inputs'!$H$125/100+'Inputs'!$H$120/100*'Inputs'!$H$127/100))</f>
      </c>
      <c r="Q76">
        <f>'Needs years'!$C$285+MAX(0,Q75-'Needs years'!$C$290)*('Inputs'!$H$122/100*('Inputs'!$H$125/100+'Inputs'!$H$120/100*'Inputs'!$H$127/100))</f>
      </c>
      <c r="R76">
        <f>'Needs years'!$C$285+MAX(0,R75-'Needs years'!$C$290)*('Inputs'!$H$122/100*('Inputs'!$H$125/100+'Inputs'!$H$120/100*'Inputs'!$H$127/100))</f>
      </c>
      <c r="S76">
        <f>'Needs years'!$C$285+MAX(0,S75-'Needs years'!$C$290)*('Inputs'!$H$122/100*('Inputs'!$H$125/100+'Inputs'!$H$120/100*'Inputs'!$H$127/100))</f>
      </c>
      <c r="T76">
        <f>'Needs years'!$C$285+MAX(0,T75-'Needs years'!$C$290)*('Inputs'!$H$122/100*('Inputs'!$H$125/100+'Inputs'!$H$120/100*'Inputs'!$H$127/100))</f>
      </c>
    </row>
    <row r="77" spans="2:20" x14ac:dyDescent="0.25">
      <c r="B77" t="s">
        <v>386</v>
      </c>
      <c r="C77">
        <f>IF(C76&lt;='Needs years'!$C$284,0,INDEX('Inputs'!$E$134:$E$140,MATCH(C76,'Inputs'!$C$134:$C$140,1)-IF(COUNTIF('Inputs'!$C$134:$C$140,C76)&gt;0,1,0))/100)</f>
      </c>
      <c r="E77">
        <f>IF(E76&lt;='Needs years'!$C$284,0,INDEX('Inputs'!$E$134:$E$140,MATCH(E76,'Inputs'!$C$134:$C$140,1)-IF(COUNTIF('Inputs'!$C$134:$C$140,E76)&gt;0,1,0))/100)</f>
      </c>
      <c r="F77">
        <f>IF(F76&lt;='Needs years'!$C$284,0,INDEX('Inputs'!$E$134:$E$140,MATCH(F76,'Inputs'!$C$134:$C$140,1)-IF(COUNTIF('Inputs'!$C$134:$C$140,F76)&gt;0,1,0))/100)</f>
      </c>
      <c r="G77">
        <f>IF(G76&lt;='Needs years'!$C$284,0,INDEX('Inputs'!$E$134:$E$140,MATCH(G76,'Inputs'!$C$134:$C$140,1)-IF(COUNTIF('Inputs'!$C$134:$C$140,G76)&gt;0,1,0))/100)</f>
      </c>
      <c r="H77">
        <f>IF(H76&lt;='Needs years'!$C$284,0,INDEX('Inputs'!$E$134:$E$140,MATCH(H76,'Inputs'!$C$134:$C$140,1)-IF(COUNTIF('Inputs'!$C$134:$C$140,H76)&gt;0,1,0))/100)</f>
      </c>
      <c r="I77">
        <f>IF(I76&lt;='Needs years'!$C$284,0,INDEX('Inputs'!$E$134:$E$140,MATCH(I76,'Inputs'!$C$134:$C$140,1)-IF(COUNTIF('Inputs'!$C$134:$C$140,I76)&gt;0,1,0))/100)</f>
      </c>
      <c r="J77">
        <f>IF(J76&lt;='Needs years'!$C$284,0,INDEX('Inputs'!$E$134:$E$140,MATCH(J76,'Inputs'!$C$134:$C$140,1)-IF(COUNTIF('Inputs'!$C$134:$C$140,J76)&gt;0,1,0))/100)</f>
      </c>
      <c r="K77">
        <f>IF(K76&lt;='Needs years'!$C$284,0,INDEX('Inputs'!$E$134:$E$140,MATCH(K76,'Inputs'!$C$134:$C$140,1)-IF(COUNTIF('Inputs'!$C$134:$C$140,K76)&gt;0,1,0))/100)</f>
      </c>
      <c r="L77">
        <f>IF(L76&lt;='Needs years'!$C$284,0,INDEX('Inputs'!$E$134:$E$140,MATCH(L76,'Inputs'!$C$134:$C$140,1)-IF(COUNTIF('Inputs'!$C$134:$C$140,L76)&gt;0,1,0))/100)</f>
      </c>
      <c r="M77">
        <f>IF(M76&lt;='Needs years'!$C$284,0,INDEX('Inputs'!$E$134:$E$140,MATCH(M76,'Inputs'!$C$134:$C$140,1)-IF(COUNTIF('Inputs'!$C$134:$C$140,M76)&gt;0,1,0))/100)</f>
      </c>
      <c r="N77">
        <f>IF(N76&lt;='Needs years'!$C$284,0,INDEX('Inputs'!$E$134:$E$140,MATCH(N76,'Inputs'!$C$134:$C$140,1)-IF(COUNTIF('Inputs'!$C$134:$C$140,N76)&gt;0,1,0))/100)</f>
      </c>
      <c r="O77">
        <f>IF(O76&lt;='Needs years'!$C$284,0,INDEX('Inputs'!$E$134:$E$140,MATCH(O76,'Inputs'!$C$134:$C$140,1)-IF(COUNTIF('Inputs'!$C$134:$C$140,O76)&gt;0,1,0))/100)</f>
      </c>
      <c r="P77">
        <f>IF(P76&lt;='Needs years'!$C$284,0,INDEX('Inputs'!$E$134:$E$140,MATCH(P76,'Inputs'!$C$134:$C$140,1)-IF(COUNTIF('Inputs'!$C$134:$C$140,P76)&gt;0,1,0))/100)</f>
      </c>
      <c r="Q77">
        <f>IF(Q76&lt;='Needs years'!$C$284,0,INDEX('Inputs'!$E$134:$E$140,MATCH(Q76,'Inputs'!$C$134:$C$140,1)-IF(COUNTIF('Inputs'!$C$134:$C$140,Q76)&gt;0,1,0))/100)</f>
      </c>
      <c r="R77">
        <f>IF(R76&lt;='Needs years'!$C$284,0,INDEX('Inputs'!$E$134:$E$140,MATCH(R76,'Inputs'!$C$134:$C$140,1)-IF(COUNTIF('Inputs'!$C$134:$C$140,R76)&gt;0,1,0))/100)</f>
      </c>
      <c r="S77">
        <f>IF(S76&lt;='Needs years'!$C$284,0,INDEX('Inputs'!$E$134:$E$140,MATCH(S76,'Inputs'!$C$134:$C$140,1)-IF(COUNTIF('Inputs'!$C$134:$C$140,S76)&gt;0,1,0))/100)</f>
      </c>
      <c r="T77">
        <f>IF(T76&lt;='Needs years'!$C$284,0,INDEX('Inputs'!$E$134:$E$140,MATCH(T76,'Inputs'!$C$134:$C$140,1)-IF(COUNTIF('Inputs'!$C$134:$C$140,T76)&gt;0,1,0))/100)</f>
      </c>
    </row>
    <row r="78" spans="2:20" x14ac:dyDescent="0.25">
      <c r="B78" t="s">
        <v>387</v>
      </c>
      <c r="C78">
        <f>('Inputs'!$H$122/100*(1-('Inputs'!$H$125/100*C77+'Inputs'!$H$126/100*'Inputs'!$H$128/100+'Inputs'!$H$127/100*'Inputs'!$H$120/100*C77))-IF('Needs years'!$C$289=1,'Inputs'!$H$123/100,0))</f>
      </c>
      <c r="E78">
        <f>('Inputs'!$H$122/100*(1-('Inputs'!$H$125/100*E77+'Inputs'!$H$126/100*'Inputs'!$H$128/100+'Inputs'!$H$127/100*'Inputs'!$H$120/100*E77))-IF('Needs years'!$C$289=1,'Inputs'!$H$123/100,0))</f>
      </c>
      <c r="F78">
        <f>('Inputs'!$H$122/100*(1-('Inputs'!$H$125/100*F77+'Inputs'!$H$126/100*'Inputs'!$H$128/100+'Inputs'!$H$127/100*'Inputs'!$H$120/100*F77))-IF('Needs years'!$C$289=1,'Inputs'!$H$123/100,0))</f>
      </c>
      <c r="G78">
        <f>('Inputs'!$H$122/100*(1-('Inputs'!$H$125/100*G77+'Inputs'!$H$126/100*'Inputs'!$H$128/100+'Inputs'!$H$127/100*'Inputs'!$H$120/100*G77))-IF('Needs years'!$C$289=1,'Inputs'!$H$123/100,0))</f>
      </c>
      <c r="H78">
        <f>('Inputs'!$H$122/100*(1-('Inputs'!$H$125/100*H77+'Inputs'!$H$126/100*'Inputs'!$H$128/100+'Inputs'!$H$127/100*'Inputs'!$H$120/100*H77))-IF('Needs years'!$C$289=1,'Inputs'!$H$123/100,0))</f>
      </c>
      <c r="I78">
        <f>('Inputs'!$H$122/100*(1-('Inputs'!$H$125/100*I77+'Inputs'!$H$126/100*'Inputs'!$H$128/100+'Inputs'!$H$127/100*'Inputs'!$H$120/100*I77))-IF('Needs years'!$C$289=1,'Inputs'!$H$123/100,0))</f>
      </c>
      <c r="J78">
        <f>('Inputs'!$H$122/100*(1-('Inputs'!$H$125/100*J77+'Inputs'!$H$126/100*'Inputs'!$H$128/100+'Inputs'!$H$127/100*'Inputs'!$H$120/100*J77))-IF('Needs years'!$C$289=1,'Inputs'!$H$123/100,0))</f>
      </c>
      <c r="K78">
        <f>('Inputs'!$H$122/100*(1-('Inputs'!$H$125/100*K77+'Inputs'!$H$126/100*'Inputs'!$H$128/100+'Inputs'!$H$127/100*'Inputs'!$H$120/100*K77))-IF('Needs years'!$C$289=1,'Inputs'!$H$123/100,0))</f>
      </c>
      <c r="L78">
        <f>('Inputs'!$H$122/100*(1-('Inputs'!$H$125/100*L77+'Inputs'!$H$126/100*'Inputs'!$H$128/100+'Inputs'!$H$127/100*'Inputs'!$H$120/100*L77))-IF('Needs years'!$C$289=1,'Inputs'!$H$123/100,0))</f>
      </c>
      <c r="M78">
        <f>('Inputs'!$H$122/100*(1-('Inputs'!$H$125/100*M77+'Inputs'!$H$126/100*'Inputs'!$H$128/100+'Inputs'!$H$127/100*'Inputs'!$H$120/100*M77))-IF('Needs years'!$C$289=1,'Inputs'!$H$123/100,0))</f>
      </c>
      <c r="N78">
        <f>('Inputs'!$H$122/100*(1-('Inputs'!$H$125/100*N77+'Inputs'!$H$126/100*'Inputs'!$H$128/100+'Inputs'!$H$127/100*'Inputs'!$H$120/100*N77))-IF('Needs years'!$C$289=1,'Inputs'!$H$123/100,0))</f>
      </c>
      <c r="O78">
        <f>('Inputs'!$H$122/100*(1-('Inputs'!$H$125/100*O77+'Inputs'!$H$126/100*'Inputs'!$H$128/100+'Inputs'!$H$127/100*'Inputs'!$H$120/100*O77))-IF('Needs years'!$C$289=1,'Inputs'!$H$123/100,0))</f>
      </c>
      <c r="P78">
        <f>('Inputs'!$H$122/100*(1-('Inputs'!$H$125/100*P77+'Inputs'!$H$126/100*'Inputs'!$H$128/100+'Inputs'!$H$127/100*'Inputs'!$H$120/100*P77))-IF('Needs years'!$C$289=1,'Inputs'!$H$123/100,0))</f>
      </c>
      <c r="Q78">
        <f>('Inputs'!$H$122/100*(1-('Inputs'!$H$125/100*Q77+'Inputs'!$H$126/100*'Inputs'!$H$128/100+'Inputs'!$H$127/100*'Inputs'!$H$120/100*Q77))-IF('Needs years'!$C$289=1,'Inputs'!$H$123/100,0))</f>
      </c>
      <c r="R78">
        <f>('Inputs'!$H$122/100*(1-('Inputs'!$H$125/100*R77+'Inputs'!$H$126/100*'Inputs'!$H$128/100+'Inputs'!$H$127/100*'Inputs'!$H$120/100*R77))-IF('Needs years'!$C$289=1,'Inputs'!$H$123/100,0))</f>
      </c>
      <c r="S78">
        <f>('Inputs'!$H$122/100*(1-('Inputs'!$H$125/100*S77+'Inputs'!$H$126/100*'Inputs'!$H$128/100+'Inputs'!$H$127/100*'Inputs'!$H$120/100*S77))-IF('Needs years'!$C$289=1,'Inputs'!$H$123/100,0))</f>
      </c>
      <c r="T78">
        <f>('Inputs'!$H$122/100*(1-('Inputs'!$H$125/100*T77+'Inputs'!$H$126/100*'Inputs'!$H$128/100+'Inputs'!$H$127/100*'Inputs'!$H$120/100*T77))-IF('Needs years'!$C$289=1,'Inputs'!$H$123/100,0))</f>
      </c>
    </row>
    <row r="79" spans="2:20" x14ac:dyDescent="0.25">
      <c r="B79" t="s">
        <v>388</v>
      </c>
      <c r="C79">
        <f>IF('Inputs'!$B$105="",0,ROUND('Needs years'!$C$290+ROUND(IF(C78=0,SUM('Needs years'!$J$284:$J$333),(1-(1+C78)^-1)/(1-(1+C78)^(-1/12))/12*SUMPRODUCT('Needs years'!$J$284:$J$333,(1+C78)^(-'Needs years'!$I$284:$I$333))),2),2))</f>
      </c>
      <c r="E79">
        <f>IF('Inputs'!$B$105="",0,ROUND('Needs years'!$C$290+ROUND(IF(E78=0,SUM('Needs years'!$J$284:$J$333),(1-(1+E78)^-1)/(1-(1+E78)^(-1/12))/12*SUMPRODUCT('Needs years'!$J$284:$J$333,(1+E78)^(-'Needs years'!$I$284:$I$333))),2),2))</f>
      </c>
      <c r="F79">
        <f>IF('Inputs'!$B$105="",0,ROUND('Needs years'!$C$290+ROUND(IF(F78=0,SUM('Needs years'!$J$284:$J$333),(1-(1+F78)^-1)/(1-(1+F78)^(-1/12))/12*SUMPRODUCT('Needs years'!$J$284:$J$333,(1+F78)^(-'Needs years'!$I$284:$I$333))),2),2))</f>
      </c>
      <c r="G79">
        <f>IF('Inputs'!$B$105="",0,ROUND('Needs years'!$C$290+ROUND(IF(G78=0,SUM('Needs years'!$J$284:$J$333),(1-(1+G78)^-1)/(1-(1+G78)^(-1/12))/12*SUMPRODUCT('Needs years'!$J$284:$J$333,(1+G78)^(-'Needs years'!$I$284:$I$333))),2),2))</f>
      </c>
      <c r="H79">
        <f>IF('Inputs'!$B$105="",0,ROUND('Needs years'!$C$290+ROUND(IF(H78=0,SUM('Needs years'!$J$284:$J$333),(1-(1+H78)^-1)/(1-(1+H78)^(-1/12))/12*SUMPRODUCT('Needs years'!$J$284:$J$333,(1+H78)^(-'Needs years'!$I$284:$I$333))),2),2))</f>
      </c>
      <c r="I79">
        <f>IF('Inputs'!$B$105="",0,ROUND('Needs years'!$C$290+ROUND(IF(I78=0,SUM('Needs years'!$J$284:$J$333),(1-(1+I78)^-1)/(1-(1+I78)^(-1/12))/12*SUMPRODUCT('Needs years'!$J$284:$J$333,(1+I78)^(-'Needs years'!$I$284:$I$333))),2),2))</f>
      </c>
      <c r="J79">
        <f>IF('Inputs'!$B$105="",0,ROUND('Needs years'!$C$290+ROUND(IF(J78=0,SUM('Needs years'!$J$284:$J$333),(1-(1+J78)^-1)/(1-(1+J78)^(-1/12))/12*SUMPRODUCT('Needs years'!$J$284:$J$333,(1+J78)^(-'Needs years'!$I$284:$I$333))),2),2))</f>
      </c>
      <c r="K79">
        <f>IF('Inputs'!$B$105="",0,ROUND('Needs years'!$C$290+ROUND(IF(K78=0,SUM('Needs years'!$J$284:$J$333),(1-(1+K78)^-1)/(1-(1+K78)^(-1/12))/12*SUMPRODUCT('Needs years'!$J$284:$J$333,(1+K78)^(-'Needs years'!$I$284:$I$333))),2),2))</f>
      </c>
      <c r="L79">
        <f>IF('Inputs'!$B$105="",0,ROUND('Needs years'!$C$290+ROUND(IF(L78=0,SUM('Needs years'!$J$284:$J$333),(1-(1+L78)^-1)/(1-(1+L78)^(-1/12))/12*SUMPRODUCT('Needs years'!$J$284:$J$333,(1+L78)^(-'Needs years'!$I$284:$I$333))),2),2))</f>
      </c>
      <c r="M79">
        <f>IF('Inputs'!$B$105="",0,ROUND('Needs years'!$C$290+ROUND(IF(M78=0,SUM('Needs years'!$J$284:$J$333),(1-(1+M78)^-1)/(1-(1+M78)^(-1/12))/12*SUMPRODUCT('Needs years'!$J$284:$J$333,(1+M78)^(-'Needs years'!$I$284:$I$333))),2),2))</f>
      </c>
      <c r="N79">
        <f>IF('Inputs'!$B$105="",0,ROUND('Needs years'!$C$290+ROUND(IF(N78=0,SUM('Needs years'!$J$284:$J$333),(1-(1+N78)^-1)/(1-(1+N78)^(-1/12))/12*SUMPRODUCT('Needs years'!$J$284:$J$333,(1+N78)^(-'Needs years'!$I$284:$I$333))),2),2))</f>
      </c>
      <c r="O79">
        <f>IF('Inputs'!$B$105="",0,ROUND('Needs years'!$C$290+ROUND(IF(O78=0,SUM('Needs years'!$J$284:$J$333),(1-(1+O78)^-1)/(1-(1+O78)^(-1/12))/12*SUMPRODUCT('Needs years'!$J$284:$J$333,(1+O78)^(-'Needs years'!$I$284:$I$333))),2),2))</f>
      </c>
      <c r="P79">
        <f>IF('Inputs'!$B$105="",0,ROUND('Needs years'!$C$290+ROUND(IF(P78=0,SUM('Needs years'!$J$284:$J$333),(1-(1+P78)^-1)/(1-(1+P78)^(-1/12))/12*SUMPRODUCT('Needs years'!$J$284:$J$333,(1+P78)^(-'Needs years'!$I$284:$I$333))),2),2))</f>
      </c>
      <c r="Q79">
        <f>IF('Inputs'!$B$105="",0,ROUND('Needs years'!$C$290+ROUND(IF(Q78=0,SUM('Needs years'!$J$284:$J$333),(1-(1+Q78)^-1)/(1-(1+Q78)^(-1/12))/12*SUMPRODUCT('Needs years'!$J$284:$J$333,(1+Q78)^(-'Needs years'!$I$284:$I$333))),2),2))</f>
      </c>
      <c r="R79">
        <f>IF('Inputs'!$B$105="",0,ROUND('Needs years'!$C$290+ROUND(IF(R78=0,SUM('Needs years'!$J$284:$J$333),(1-(1+R78)^-1)/(1-(1+R78)^(-1/12))/12*SUMPRODUCT('Needs years'!$J$284:$J$333,(1+R78)^(-'Needs years'!$I$284:$I$333))),2),2))</f>
      </c>
      <c r="S79">
        <f>IF('Inputs'!$B$105="",0,ROUND('Needs years'!$C$290+ROUND(IF(S78=0,SUM('Needs years'!$J$284:$J$333),(1-(1+S78)^-1)/(1-(1+S78)^(-1/12))/12*SUMPRODUCT('Needs years'!$J$284:$J$333,(1+S78)^(-'Needs years'!$I$284:$I$333))),2),2))</f>
      </c>
      <c r="T79">
        <f>IF('Inputs'!$B$105="",0,ROUND('Needs years'!$C$290+ROUND(IF(T78=0,SUM('Needs years'!$J$284:$J$333),(1-(1+T78)^-1)/(1-(1+T78)^(-1/12))/12*SUMPRODUCT('Needs years'!$J$284:$J$333,(1+T78)^(-'Needs years'!$I$284:$I$333))),2),2))</f>
      </c>
    </row>
    <row r="80" spans="2:20" x14ac:dyDescent="0.25">
      <c r="B80" t="s">
        <v>389</v>
      </c>
      <c r="C80">
        <f>IF('Inputs'!$B$105="",0,ROUND(C79-C75,2))</f>
      </c>
      <c r="E80">
        <f>IF('Inputs'!$B$105="",0,ROUND(E79-E75,2))</f>
      </c>
      <c r="F80">
        <f>IF('Inputs'!$B$105="",0,ROUND(F79-F75,2))</f>
      </c>
      <c r="G80">
        <f>IF('Inputs'!$B$105="",0,ROUND(G79-G75,2))</f>
      </c>
      <c r="H80">
        <f>IF('Inputs'!$B$105="",0,ROUND(H79-H75,2))</f>
      </c>
      <c r="I80">
        <f>IF('Inputs'!$B$105="",0,ROUND(I79-I75,2))</f>
      </c>
      <c r="J80">
        <f>IF('Inputs'!$B$105="",0,ROUND(J79-J75,2))</f>
      </c>
      <c r="K80">
        <f>IF('Inputs'!$B$105="",0,ROUND(K79-K75,2))</f>
      </c>
      <c r="L80">
        <f>IF('Inputs'!$B$105="",0,ROUND(L79-L75,2))</f>
      </c>
      <c r="M80">
        <f>IF('Inputs'!$B$105="",0,ROUND(M79-M75,2))</f>
      </c>
      <c r="N80">
        <f>IF('Inputs'!$B$105="",0,ROUND(N79-N75,2))</f>
      </c>
      <c r="O80">
        <f>IF('Inputs'!$B$105="",0,ROUND(O79-O75,2))</f>
      </c>
      <c r="P80">
        <f>IF('Inputs'!$B$105="",0,ROUND(P79-P75,2))</f>
      </c>
      <c r="Q80">
        <f>IF('Inputs'!$B$105="",0,ROUND(Q79-Q75,2))</f>
      </c>
      <c r="R80">
        <f>IF('Inputs'!$B$105="",0,ROUND(R79-R75,2))</f>
      </c>
      <c r="S80">
        <f>IF('Inputs'!$B$105="",0,ROUND(S79-S75,2))</f>
      </c>
      <c r="T80">
        <f>IF('Inputs'!$B$105="",0,ROUND(T79-T75,2))</f>
      </c>
    </row>
    <row r="81" spans="2:20" x14ac:dyDescent="0.25">
      <c r="B81" t="s">
        <v>390</v>
      </c>
      <c r="C81">
        <f>IF('Inputs'!$B$105="",0,'Needs years'!$C$296+IF((C79-'Needs years'!$C$290)&gt;0,MAX(0,C75-'Needs years'!$C$290)/(C79-'Needs years'!$C$290)*'Needs years'!$J$284/12,0))</f>
      </c>
      <c r="E81">
        <f>IF('Inputs'!$B$105="",0,'Needs years'!$C$296+IF((E79-'Needs years'!$C$290)&gt;0,MAX(0,E75-'Needs years'!$C$290)/(E79-'Needs years'!$C$290)*'Needs years'!$J$284/12,0))</f>
      </c>
      <c r="F81">
        <f>IF('Inputs'!$B$105="",0,'Needs years'!$C$296+IF((F79-'Needs years'!$C$290)&gt;0,MAX(0,F75-'Needs years'!$C$290)/(F79-'Needs years'!$C$290)*'Needs years'!$J$284/12,0))</f>
      </c>
      <c r="G81">
        <f>IF('Inputs'!$B$105="",0,'Needs years'!$C$296+IF((G79-'Needs years'!$C$290)&gt;0,MAX(0,G75-'Needs years'!$C$290)/(G79-'Needs years'!$C$290)*'Needs years'!$J$284/12,0))</f>
      </c>
      <c r="H81">
        <f>IF('Inputs'!$B$105="",0,'Needs years'!$C$296+IF((H79-'Needs years'!$C$290)&gt;0,MAX(0,H75-'Needs years'!$C$290)/(H79-'Needs years'!$C$290)*'Needs years'!$J$284/12,0))</f>
      </c>
      <c r="I81">
        <f>IF('Inputs'!$B$105="",0,'Needs years'!$C$296+IF((I79-'Needs years'!$C$290)&gt;0,MAX(0,I75-'Needs years'!$C$290)/(I79-'Needs years'!$C$290)*'Needs years'!$J$284/12,0))</f>
      </c>
      <c r="J81">
        <f>IF('Inputs'!$B$105="",0,'Needs years'!$C$296+IF((J79-'Needs years'!$C$290)&gt;0,MAX(0,J75-'Needs years'!$C$290)/(J79-'Needs years'!$C$290)*'Needs years'!$J$284/12,0))</f>
      </c>
      <c r="K81">
        <f>IF('Inputs'!$B$105="",0,'Needs years'!$C$296+IF((K79-'Needs years'!$C$290)&gt;0,MAX(0,K75-'Needs years'!$C$290)/(K79-'Needs years'!$C$290)*'Needs years'!$J$284/12,0))</f>
      </c>
      <c r="L81">
        <f>IF('Inputs'!$B$105="",0,'Needs years'!$C$296+IF((L79-'Needs years'!$C$290)&gt;0,MAX(0,L75-'Needs years'!$C$290)/(L79-'Needs years'!$C$290)*'Needs years'!$J$284/12,0))</f>
      </c>
      <c r="M81">
        <f>IF('Inputs'!$B$105="",0,'Needs years'!$C$296+IF((M79-'Needs years'!$C$290)&gt;0,MAX(0,M75-'Needs years'!$C$290)/(M79-'Needs years'!$C$290)*'Needs years'!$J$284/12,0))</f>
      </c>
      <c r="N81">
        <f>IF('Inputs'!$B$105="",0,'Needs years'!$C$296+IF((N79-'Needs years'!$C$290)&gt;0,MAX(0,N75-'Needs years'!$C$290)/(N79-'Needs years'!$C$290)*'Needs years'!$J$284/12,0))</f>
      </c>
      <c r="O81">
        <f>IF('Inputs'!$B$105="",0,'Needs years'!$C$296+IF((O79-'Needs years'!$C$290)&gt;0,MAX(0,O75-'Needs years'!$C$290)/(O79-'Needs years'!$C$290)*'Needs years'!$J$284/12,0))</f>
      </c>
      <c r="P81">
        <f>IF('Inputs'!$B$105="",0,'Needs years'!$C$296+IF((P79-'Needs years'!$C$290)&gt;0,MAX(0,P75-'Needs years'!$C$290)/(P79-'Needs years'!$C$290)*'Needs years'!$J$284/12,0))</f>
      </c>
      <c r="Q81">
        <f>IF('Inputs'!$B$105="",0,'Needs years'!$C$296+IF((Q79-'Needs years'!$C$290)&gt;0,MAX(0,Q75-'Needs years'!$C$290)/(Q79-'Needs years'!$C$290)*'Needs years'!$J$284/12,0))</f>
      </c>
      <c r="R81">
        <f>IF('Inputs'!$B$105="",0,'Needs years'!$C$296+IF((R79-'Needs years'!$C$290)&gt;0,MAX(0,R75-'Needs years'!$C$290)/(R79-'Needs years'!$C$290)*'Needs years'!$J$284/12,0))</f>
      </c>
      <c r="S81">
        <f>IF('Inputs'!$B$105="",0,'Needs years'!$C$296+IF((S79-'Needs years'!$C$290)&gt;0,MAX(0,S75-'Needs years'!$C$290)/(S79-'Needs years'!$C$290)*'Needs years'!$J$284/12,0))</f>
      </c>
      <c r="T81">
        <f>IF('Inputs'!$B$105="",0,'Needs years'!$C$296+IF((T79-'Needs years'!$C$290)&gt;0,MAX(0,T75-'Needs years'!$C$290)/(T79-'Needs years'!$C$290)*'Needs years'!$J$284/12,0))</f>
      </c>
    </row>
    <row r="82" spans="2:20" x14ac:dyDescent="0.25">
      <c r="B82" t="s">
        <v>391</v>
      </c>
      <c r="C82">
        <f>IF(C3=1,IF(AND(C4=0,C45&lt;=0),0,MAX(0,C4+C45/(1-(1-'Inputs'!$T$100)*C18))),0)</f>
      </c>
      <c r="E82">
        <f>IF(E3=1,IF(AND(E4=0,E45&lt;=0),0,MAX(0,E4+E45/(1-(1-'Inputs'!$T$100)*E18))),0)</f>
      </c>
      <c r="F82">
        <f>IF(F3=1,IF(AND(F4=0,F45&lt;=0),0,MAX(0,F4+F45/(1-(1-'Inputs'!$T$100)*F18))),0)</f>
      </c>
      <c r="G82">
        <f>IF(G3=1,IF(AND(G4=0,G45&lt;=0),0,MAX(0,G4+G45/(1-(1-'Inputs'!$T$100)*G18))),0)</f>
      </c>
      <c r="H82">
        <f>IF(H3=1,IF(AND(H4=0,H45&lt;=0),0,MAX(0,H4+H45/(1-(1-'Inputs'!$T$100)*H18))),0)</f>
      </c>
      <c r="I82">
        <f>IF(I3=1,IF(AND(I4=0,I45&lt;=0),0,MAX(0,I4+I45/(1-(1-'Inputs'!$T$100)*I18))),0)</f>
      </c>
      <c r="J82">
        <f>IF(J3=1,IF(AND(J4=0,J45&lt;=0),0,MAX(0,J4+J45/(1-(1-'Inputs'!$T$100)*J18))),0)</f>
      </c>
      <c r="K82">
        <f>IF(K3=1,IF(AND(K4=0,K45&lt;=0),0,MAX(0,K4+K45/(1-(1-'Inputs'!$T$100)*K18))),0)</f>
      </c>
      <c r="L82">
        <f>IF(L3=1,IF(AND(L4=0,L45&lt;=0),0,MAX(0,L4+L45/(1-(1-'Inputs'!$T$100)*L18))),0)</f>
      </c>
      <c r="M82">
        <f>IF(M3=1,IF(AND(M4=0,M45&lt;=0),0,MAX(0,M4+M45/(1-(1-'Inputs'!$T$100)*M18))),0)</f>
      </c>
      <c r="N82">
        <f>IF(N3=1,IF(AND(N4=0,N45&lt;=0),0,MAX(0,N4+N45/(1-(1-'Inputs'!$T$100)*N18))),0)</f>
      </c>
      <c r="O82">
        <f>IF(O3=1,IF(AND(O4=0,O45&lt;=0),0,MAX(0,O4+O45/(1-(1-'Inputs'!$T$100)*O18))),0)</f>
      </c>
      <c r="P82">
        <f>IF(P3=1,IF(AND(P4=0,P45&lt;=0),0,MAX(0,P4+P45/(1-(1-'Inputs'!$T$100)*P18))),0)</f>
      </c>
      <c r="Q82">
        <f>IF(Q3=1,IF(AND(Q4=0,Q45&lt;=0),0,MAX(0,Q4+Q45/(1-(1-'Inputs'!$T$100)*Q18))),0)</f>
      </c>
      <c r="R82">
        <f>IF(R3=1,IF(AND(R4=0,R45&lt;=0),0,MAX(0,R4+R45/(1-(1-'Inputs'!$T$100)*R18))),0)</f>
      </c>
      <c r="S82">
        <f>IF(S3=1,IF(AND(S4=0,S45&lt;=0),0,MAX(0,S4+S45/(1-(1-'Inputs'!$T$100)*S18))),0)</f>
      </c>
      <c r="T82">
        <f>IF(T3=1,IF(AND(T4=0,T45&lt;=0),0,MAX(0,T4+T45/(1-(1-'Inputs'!$T$100)*T18))),0)</f>
      </c>
    </row>
    <row r="83" spans="2:20" x14ac:dyDescent="0.25">
      <c r="B83" t="s">
        <v>392</v>
      </c>
      <c r="C83">
        <f>IF(C3=1,IF(AND(C5=0,C52&lt;=0),0,MAX(0,C5+C52/(1-(1-'Inputs'!$T$101)*C18))),0)</f>
      </c>
      <c r="E83">
        <f>IF(E3=1,IF(AND(E5=0,E52&lt;=0),0,MAX(0,E5+E52/(1-(1-'Inputs'!$T$101)*E18))),0)</f>
      </c>
      <c r="F83">
        <f>IF(F3=1,IF(AND(F5=0,F52&lt;=0),0,MAX(0,F5+F52/(1-(1-'Inputs'!$T$101)*F18))),0)</f>
      </c>
      <c r="G83">
        <f>IF(G3=1,IF(AND(G5=0,G52&lt;=0),0,MAX(0,G5+G52/(1-(1-'Inputs'!$T$101)*G18))),0)</f>
      </c>
      <c r="H83">
        <f>IF(H3=1,IF(AND(H5=0,H52&lt;=0),0,MAX(0,H5+H52/(1-(1-'Inputs'!$T$101)*H18))),0)</f>
      </c>
      <c r="I83">
        <f>IF(I3=1,IF(AND(I5=0,I52&lt;=0),0,MAX(0,I5+I52/(1-(1-'Inputs'!$T$101)*I18))),0)</f>
      </c>
      <c r="J83">
        <f>IF(J3=1,IF(AND(J5=0,J52&lt;=0),0,MAX(0,J5+J52/(1-(1-'Inputs'!$T$101)*J18))),0)</f>
      </c>
      <c r="K83">
        <f>IF(K3=1,IF(AND(K5=0,K52&lt;=0),0,MAX(0,K5+K52/(1-(1-'Inputs'!$T$101)*K18))),0)</f>
      </c>
      <c r="L83">
        <f>IF(L3=1,IF(AND(L5=0,L52&lt;=0),0,MAX(0,L5+L52/(1-(1-'Inputs'!$T$101)*L18))),0)</f>
      </c>
      <c r="M83">
        <f>IF(M3=1,IF(AND(M5=0,M52&lt;=0),0,MAX(0,M5+M52/(1-(1-'Inputs'!$T$101)*M18))),0)</f>
      </c>
      <c r="N83">
        <f>IF(N3=1,IF(AND(N5=0,N52&lt;=0),0,MAX(0,N5+N52/(1-(1-'Inputs'!$T$101)*N18))),0)</f>
      </c>
      <c r="O83">
        <f>IF(O3=1,IF(AND(O5=0,O52&lt;=0),0,MAX(0,O5+O52/(1-(1-'Inputs'!$T$101)*O18))),0)</f>
      </c>
      <c r="P83">
        <f>IF(P3=1,IF(AND(P5=0,P52&lt;=0),0,MAX(0,P5+P52/(1-(1-'Inputs'!$T$101)*P18))),0)</f>
      </c>
      <c r="Q83">
        <f>IF(Q3=1,IF(AND(Q5=0,Q52&lt;=0),0,MAX(0,Q5+Q52/(1-(1-'Inputs'!$T$101)*Q18))),0)</f>
      </c>
      <c r="R83">
        <f>IF(R3=1,IF(AND(R5=0,R52&lt;=0),0,MAX(0,R5+R52/(1-(1-'Inputs'!$T$101)*R18))),0)</f>
      </c>
      <c r="S83">
        <f>IF(S3=1,IF(AND(S5=0,S52&lt;=0),0,MAX(0,S5+S52/(1-(1-'Inputs'!$T$101)*S18))),0)</f>
      </c>
      <c r="T83">
        <f>IF(T3=1,IF(AND(T5=0,T52&lt;=0),0,MAX(0,T5+T52/(1-(1-'Inputs'!$T$101)*T18))),0)</f>
      </c>
    </row>
    <row r="84" spans="2:20" x14ac:dyDescent="0.25">
      <c r="B84" t="s">
        <v>393</v>
      </c>
      <c r="C84">
        <f>IF(C3=1,IF(AND(C6=0,C59&lt;=0),0,MAX(0,C6+C59/(1-(1-'Inputs'!$T$102)*C18))),0)</f>
      </c>
      <c r="E84">
        <f>IF(E3=1,IF(AND(E6=0,E59&lt;=0),0,MAX(0,E6+E59/(1-(1-'Inputs'!$T$102)*E18))),0)</f>
      </c>
      <c r="F84">
        <f>IF(F3=1,IF(AND(F6=0,F59&lt;=0),0,MAX(0,F6+F59/(1-(1-'Inputs'!$T$102)*F18))),0)</f>
      </c>
      <c r="G84">
        <f>IF(G3=1,IF(AND(G6=0,G59&lt;=0),0,MAX(0,G6+G59/(1-(1-'Inputs'!$T$102)*G18))),0)</f>
      </c>
      <c r="H84">
        <f>IF(H3=1,IF(AND(H6=0,H59&lt;=0),0,MAX(0,H6+H59/(1-(1-'Inputs'!$T$102)*H18))),0)</f>
      </c>
      <c r="I84">
        <f>IF(I3=1,IF(AND(I6=0,I59&lt;=0),0,MAX(0,I6+I59/(1-(1-'Inputs'!$T$102)*I18))),0)</f>
      </c>
      <c r="J84">
        <f>IF(J3=1,IF(AND(J6=0,J59&lt;=0),0,MAX(0,J6+J59/(1-(1-'Inputs'!$T$102)*J18))),0)</f>
      </c>
      <c r="K84">
        <f>IF(K3=1,IF(AND(K6=0,K59&lt;=0),0,MAX(0,K6+K59/(1-(1-'Inputs'!$T$102)*K18))),0)</f>
      </c>
      <c r="L84">
        <f>IF(L3=1,IF(AND(L6=0,L59&lt;=0),0,MAX(0,L6+L59/(1-(1-'Inputs'!$T$102)*L18))),0)</f>
      </c>
      <c r="M84">
        <f>IF(M3=1,IF(AND(M6=0,M59&lt;=0),0,MAX(0,M6+M59/(1-(1-'Inputs'!$T$102)*M18))),0)</f>
      </c>
      <c r="N84">
        <f>IF(N3=1,IF(AND(N6=0,N59&lt;=0),0,MAX(0,N6+N59/(1-(1-'Inputs'!$T$102)*N18))),0)</f>
      </c>
      <c r="O84">
        <f>IF(O3=1,IF(AND(O6=0,O59&lt;=0),0,MAX(0,O6+O59/(1-(1-'Inputs'!$T$102)*O18))),0)</f>
      </c>
      <c r="P84">
        <f>IF(P3=1,IF(AND(P6=0,P59&lt;=0),0,MAX(0,P6+P59/(1-(1-'Inputs'!$T$102)*P18))),0)</f>
      </c>
      <c r="Q84">
        <f>IF(Q3=1,IF(AND(Q6=0,Q59&lt;=0),0,MAX(0,Q6+Q59/(1-(1-'Inputs'!$T$102)*Q18))),0)</f>
      </c>
      <c r="R84">
        <f>IF(R3=1,IF(AND(R6=0,R59&lt;=0),0,MAX(0,R6+R59/(1-(1-'Inputs'!$T$102)*R18))),0)</f>
      </c>
      <c r="S84">
        <f>IF(S3=1,IF(AND(S6=0,S59&lt;=0),0,MAX(0,S6+S59/(1-(1-'Inputs'!$T$102)*S18))),0)</f>
      </c>
      <c r="T84">
        <f>IF(T3=1,IF(AND(T6=0,T59&lt;=0),0,MAX(0,T6+T59/(1-(1-'Inputs'!$T$102)*T18))),0)</f>
      </c>
    </row>
    <row r="85" spans="2:20" x14ac:dyDescent="0.25">
      <c r="B85" t="s">
        <v>394</v>
      </c>
      <c r="C85">
        <f>IF(C3=1,IF(AND(C7=0,C66&lt;=0),0,MAX(0,C7+C66/(1-(1-'Inputs'!$T$103)*C18))),0)</f>
      </c>
      <c r="E85">
        <f>IF(E3=1,IF(AND(E7=0,E66&lt;=0),0,MAX(0,E7+E66/(1-(1-'Inputs'!$T$103)*E18))),0)</f>
      </c>
      <c r="F85">
        <f>IF(F3=1,IF(AND(F7=0,F66&lt;=0),0,MAX(0,F7+F66/(1-(1-'Inputs'!$T$103)*F18))),0)</f>
      </c>
      <c r="G85">
        <f>IF(G3=1,IF(AND(G7=0,G66&lt;=0),0,MAX(0,G7+G66/(1-(1-'Inputs'!$T$103)*G18))),0)</f>
      </c>
      <c r="H85">
        <f>IF(H3=1,IF(AND(H7=0,H66&lt;=0),0,MAX(0,H7+H66/(1-(1-'Inputs'!$T$103)*H18))),0)</f>
      </c>
      <c r="I85">
        <f>IF(I3=1,IF(AND(I7=0,I66&lt;=0),0,MAX(0,I7+I66/(1-(1-'Inputs'!$T$103)*I18))),0)</f>
      </c>
      <c r="J85">
        <f>IF(J3=1,IF(AND(J7=0,J66&lt;=0),0,MAX(0,J7+J66/(1-(1-'Inputs'!$T$103)*J18))),0)</f>
      </c>
      <c r="K85">
        <f>IF(K3=1,IF(AND(K7=0,K66&lt;=0),0,MAX(0,K7+K66/(1-(1-'Inputs'!$T$103)*K18))),0)</f>
      </c>
      <c r="L85">
        <f>IF(L3=1,IF(AND(L7=0,L66&lt;=0),0,MAX(0,L7+L66/(1-(1-'Inputs'!$T$103)*L18))),0)</f>
      </c>
      <c r="M85">
        <f>IF(M3=1,IF(AND(M7=0,M66&lt;=0),0,MAX(0,M7+M66/(1-(1-'Inputs'!$T$103)*M18))),0)</f>
      </c>
      <c r="N85">
        <f>IF(N3=1,IF(AND(N7=0,N66&lt;=0),0,MAX(0,N7+N66/(1-(1-'Inputs'!$T$103)*N18))),0)</f>
      </c>
      <c r="O85">
        <f>IF(O3=1,IF(AND(O7=0,O66&lt;=0),0,MAX(0,O7+O66/(1-(1-'Inputs'!$T$103)*O18))),0)</f>
      </c>
      <c r="P85">
        <f>IF(P3=1,IF(AND(P7=0,P66&lt;=0),0,MAX(0,P7+P66/(1-(1-'Inputs'!$T$103)*P18))),0)</f>
      </c>
      <c r="Q85">
        <f>IF(Q3=1,IF(AND(Q7=0,Q66&lt;=0),0,MAX(0,Q7+Q66/(1-(1-'Inputs'!$T$103)*Q18))),0)</f>
      </c>
      <c r="R85">
        <f>IF(R3=1,IF(AND(R7=0,R66&lt;=0),0,MAX(0,R7+R66/(1-(1-'Inputs'!$T$103)*R18))),0)</f>
      </c>
      <c r="S85">
        <f>IF(S3=1,IF(AND(S7=0,S66&lt;=0),0,MAX(0,S7+S66/(1-(1-'Inputs'!$T$103)*S18))),0)</f>
      </c>
      <c r="T85">
        <f>IF(T3=1,IF(AND(T7=0,T66&lt;=0),0,MAX(0,T7+T66/(1-(1-'Inputs'!$T$103)*T18))),0)</f>
      </c>
    </row>
    <row r="86" spans="2:20" x14ac:dyDescent="0.25">
      <c r="B86" t="s">
        <v>395</v>
      </c>
      <c r="C86">
        <f>IF(C3=1,IF(AND(C8=0,C73&lt;=0),0,MAX(0,C8+C73/(1-(1-'Inputs'!$T$104)*C18))),0)</f>
      </c>
      <c r="E86">
        <f>IF(E3=1,IF(AND(E8=0,E73&lt;=0),0,MAX(0,E8+E73/(1-(1-'Inputs'!$T$104)*E18))),0)</f>
      </c>
      <c r="F86">
        <f>IF(F3=1,IF(AND(F8=0,F73&lt;=0),0,MAX(0,F8+F73/(1-(1-'Inputs'!$T$104)*F18))),0)</f>
      </c>
      <c r="G86">
        <f>IF(G3=1,IF(AND(G8=0,G73&lt;=0),0,MAX(0,G8+G73/(1-(1-'Inputs'!$T$104)*G18))),0)</f>
      </c>
      <c r="H86">
        <f>IF(H3=1,IF(AND(H8=0,H73&lt;=0),0,MAX(0,H8+H73/(1-(1-'Inputs'!$T$104)*H18))),0)</f>
      </c>
      <c r="I86">
        <f>IF(I3=1,IF(AND(I8=0,I73&lt;=0),0,MAX(0,I8+I73/(1-(1-'Inputs'!$T$104)*I18))),0)</f>
      </c>
      <c r="J86">
        <f>IF(J3=1,IF(AND(J8=0,J73&lt;=0),0,MAX(0,J8+J73/(1-(1-'Inputs'!$T$104)*J18))),0)</f>
      </c>
      <c r="K86">
        <f>IF(K3=1,IF(AND(K8=0,K73&lt;=0),0,MAX(0,K8+K73/(1-(1-'Inputs'!$T$104)*K18))),0)</f>
      </c>
      <c r="L86">
        <f>IF(L3=1,IF(AND(L8=0,L73&lt;=0),0,MAX(0,L8+L73/(1-(1-'Inputs'!$T$104)*L18))),0)</f>
      </c>
      <c r="M86">
        <f>IF(M3=1,IF(AND(M8=0,M73&lt;=0),0,MAX(0,M8+M73/(1-(1-'Inputs'!$T$104)*M18))),0)</f>
      </c>
      <c r="N86">
        <f>IF(N3=1,IF(AND(N8=0,N73&lt;=0),0,MAX(0,N8+N73/(1-(1-'Inputs'!$T$104)*N18))),0)</f>
      </c>
      <c r="O86">
        <f>IF(O3=1,IF(AND(O8=0,O73&lt;=0),0,MAX(0,O8+O73/(1-(1-'Inputs'!$T$104)*O18))),0)</f>
      </c>
      <c r="P86">
        <f>IF(P3=1,IF(AND(P8=0,P73&lt;=0),0,MAX(0,P8+P73/(1-(1-'Inputs'!$T$104)*P18))),0)</f>
      </c>
      <c r="Q86">
        <f>IF(Q3=1,IF(AND(Q8=0,Q73&lt;=0),0,MAX(0,Q8+Q73/(1-(1-'Inputs'!$T$104)*Q18))),0)</f>
      </c>
      <c r="R86">
        <f>IF(R3=1,IF(AND(R8=0,R73&lt;=0),0,MAX(0,R8+R73/(1-(1-'Inputs'!$T$104)*R18))),0)</f>
      </c>
      <c r="S86">
        <f>IF(S3=1,IF(AND(S8=0,S73&lt;=0),0,MAX(0,S8+S73/(1-(1-'Inputs'!$T$104)*S18))),0)</f>
      </c>
      <c r="T86">
        <f>IF(T3=1,IF(AND(T8=0,T73&lt;=0),0,MAX(0,T8+T73/(1-(1-'Inputs'!$T$104)*T18))),0)</f>
      </c>
    </row>
    <row r="87" spans="2:20" x14ac:dyDescent="0.25">
      <c r="B87" t="s">
        <v>396</v>
      </c>
      <c r="C87">
        <f>IF(C3=1,IF(AND(C9=0,C80&lt;=0),0,MAX(0,C9+C80/(1-(1-'Inputs'!$T$105)*C18))),0)</f>
      </c>
      <c r="E87">
        <f>IF(E3=1,IF(AND(E9=0,E80&lt;=0),0,MAX(0,E9+E80/(1-(1-'Inputs'!$T$105)*E18))),0)</f>
      </c>
      <c r="F87">
        <f>IF(F3=1,IF(AND(F9=0,F80&lt;=0),0,MAX(0,F9+F80/(1-(1-'Inputs'!$T$105)*F18))),0)</f>
      </c>
      <c r="G87">
        <f>IF(G3=1,IF(AND(G9=0,G80&lt;=0),0,MAX(0,G9+G80/(1-(1-'Inputs'!$T$105)*G18))),0)</f>
      </c>
      <c r="H87">
        <f>IF(H3=1,IF(AND(H9=0,H80&lt;=0),0,MAX(0,H9+H80/(1-(1-'Inputs'!$T$105)*H18))),0)</f>
      </c>
      <c r="I87">
        <f>IF(I3=1,IF(AND(I9=0,I80&lt;=0),0,MAX(0,I9+I80/(1-(1-'Inputs'!$T$105)*I18))),0)</f>
      </c>
      <c r="J87">
        <f>IF(J3=1,IF(AND(J9=0,J80&lt;=0),0,MAX(0,J9+J80/(1-(1-'Inputs'!$T$105)*J18))),0)</f>
      </c>
      <c r="K87">
        <f>IF(K3=1,IF(AND(K9=0,K80&lt;=0),0,MAX(0,K9+K80/(1-(1-'Inputs'!$T$105)*K18))),0)</f>
      </c>
      <c r="L87">
        <f>IF(L3=1,IF(AND(L9=0,L80&lt;=0),0,MAX(0,L9+L80/(1-(1-'Inputs'!$T$105)*L18))),0)</f>
      </c>
      <c r="M87">
        <f>IF(M3=1,IF(AND(M9=0,M80&lt;=0),0,MAX(0,M9+M80/(1-(1-'Inputs'!$T$105)*M18))),0)</f>
      </c>
      <c r="N87">
        <f>IF(N3=1,IF(AND(N9=0,N80&lt;=0),0,MAX(0,N9+N80/(1-(1-'Inputs'!$T$105)*N18))),0)</f>
      </c>
      <c r="O87">
        <f>IF(O3=1,IF(AND(O9=0,O80&lt;=0),0,MAX(0,O9+O80/(1-(1-'Inputs'!$T$105)*O18))),0)</f>
      </c>
      <c r="P87">
        <f>IF(P3=1,IF(AND(P9=0,P80&lt;=0),0,MAX(0,P9+P80/(1-(1-'Inputs'!$T$105)*P18))),0)</f>
      </c>
      <c r="Q87">
        <f>IF(Q3=1,IF(AND(Q9=0,Q80&lt;=0),0,MAX(0,Q9+Q80/(1-(1-'Inputs'!$T$105)*Q18))),0)</f>
      </c>
      <c r="R87">
        <f>IF(R3=1,IF(AND(R9=0,R80&lt;=0),0,MAX(0,R9+R80/(1-(1-'Inputs'!$T$105)*R18))),0)</f>
      </c>
      <c r="S87">
        <f>IF(S3=1,IF(AND(S9=0,S80&lt;=0),0,MAX(0,S9+S80/(1-(1-'Inputs'!$T$105)*S18))),0)</f>
      </c>
      <c r="T87">
        <f>IF(T3=1,IF(AND(T9=0,T80&lt;=0),0,MAX(0,T9+T80/(1-(1-'Inputs'!$T$105)*T18))),0)</f>
      </c>
    </row>
    <row r="88" spans="2:20" x14ac:dyDescent="0.25">
      <c r="B88" t="s">
        <v>397</v>
      </c>
      <c r="C88">
        <f>IF(C3=1,IF(AND(C10=0,C27&lt;=0),0,MAX(0,C10+C27/((1-('Inputs'!$C$120/100*(1+'Inputs'!$C$121/100)))*(1-IF('Inputs'!$C$14="Spouse",0,C18))))),0)</f>
      </c>
      <c r="E88">
        <f>IF(E3=1,IF(AND(E10=0,E27&lt;=0),0,MAX(0,E10+E27/((1-('Inputs'!$C$120/100*(1+'Inputs'!$C$121/100)))*(1-IF('Inputs'!$C$14="Spouse",0,E18))))),0)</f>
      </c>
      <c r="F88">
        <f>IF(F3=1,IF(AND(F10=0,F27&lt;=0),0,MAX(0,F10+F27/((1-('Inputs'!$C$120/100*(1+'Inputs'!$C$121/100)))*(1-IF('Inputs'!$C$14="Spouse",0,F18))))),0)</f>
      </c>
      <c r="G88">
        <f>IF(G3=1,IF(AND(G10=0,G27&lt;=0),0,MAX(0,G10+G27/((1-('Inputs'!$C$120/100*(1+'Inputs'!$C$121/100)))*(1-IF('Inputs'!$C$14="Spouse",0,G18))))),0)</f>
      </c>
      <c r="H88">
        <f>IF(H3=1,IF(AND(H10=0,H27&lt;=0),0,MAX(0,H10+H27/((1-('Inputs'!$C$120/100*(1+'Inputs'!$C$121/100)))*(1-IF('Inputs'!$C$14="Spouse",0,H18))))),0)</f>
      </c>
      <c r="I88">
        <f>IF(I3=1,IF(AND(I10=0,I27&lt;=0),0,MAX(0,I10+I27/((1-('Inputs'!$C$120/100*(1+'Inputs'!$C$121/100)))*(1-IF('Inputs'!$C$14="Spouse",0,I18))))),0)</f>
      </c>
      <c r="J88">
        <f>IF(J3=1,IF(AND(J10=0,J27&lt;=0),0,MAX(0,J10+J27/((1-('Inputs'!$C$120/100*(1+'Inputs'!$C$121/100)))*(1-IF('Inputs'!$C$14="Spouse",0,J18))))),0)</f>
      </c>
      <c r="K88">
        <f>IF(K3=1,IF(AND(K10=0,K27&lt;=0),0,MAX(0,K10+K27/((1-('Inputs'!$C$120/100*(1+'Inputs'!$C$121/100)))*(1-IF('Inputs'!$C$14="Spouse",0,K18))))),0)</f>
      </c>
      <c r="L88">
        <f>IF(L3=1,IF(AND(L10=0,L27&lt;=0),0,MAX(0,L10+L27/((1-('Inputs'!$C$120/100*(1+'Inputs'!$C$121/100)))*(1-IF('Inputs'!$C$14="Spouse",0,L18))))),0)</f>
      </c>
      <c r="M88">
        <f>IF(M3=1,IF(AND(M10=0,M27&lt;=0),0,MAX(0,M10+M27/((1-('Inputs'!$C$120/100*(1+'Inputs'!$C$121/100)))*(1-IF('Inputs'!$C$14="Spouse",0,M18))))),0)</f>
      </c>
      <c r="N88">
        <f>IF(N3=1,IF(AND(N10=0,N27&lt;=0),0,MAX(0,N10+N27/((1-('Inputs'!$C$120/100*(1+'Inputs'!$C$121/100)))*(1-IF('Inputs'!$C$14="Spouse",0,N18))))),0)</f>
      </c>
      <c r="O88">
        <f>IF(O3=1,IF(AND(O10=0,O27&lt;=0),0,MAX(0,O10+O27/((1-('Inputs'!$C$120/100*(1+'Inputs'!$C$121/100)))*(1-IF('Inputs'!$C$14="Spouse",0,O18))))),0)</f>
      </c>
      <c r="P88">
        <f>IF(P3=1,IF(AND(P10=0,P27&lt;=0),0,MAX(0,P10+P27/((1-('Inputs'!$C$120/100*(1+'Inputs'!$C$121/100)))*(1-IF('Inputs'!$C$14="Spouse",0,P18))))),0)</f>
      </c>
      <c r="Q88">
        <f>IF(Q3=1,IF(AND(Q10=0,Q27&lt;=0),0,MAX(0,Q10+Q27/((1-('Inputs'!$C$120/100*(1+'Inputs'!$C$121/100)))*(1-IF('Inputs'!$C$14="Spouse",0,Q18))))),0)</f>
      </c>
      <c r="R88">
        <f>IF(R3=1,IF(AND(R10=0,R27&lt;=0),0,MAX(0,R10+R27/((1-('Inputs'!$C$120/100*(1+'Inputs'!$C$121/100)))*(1-IF('Inputs'!$C$14="Spouse",0,R18))))),0)</f>
      </c>
      <c r="S88">
        <f>IF(S3=1,IF(AND(S10=0,S27&lt;=0),0,MAX(0,S10+S27/((1-('Inputs'!$C$120/100*(1+'Inputs'!$C$121/100)))*(1-IF('Inputs'!$C$14="Spouse",0,S18))))),0)</f>
      </c>
      <c r="T88">
        <f>IF(T3=1,IF(AND(T10=0,T27&lt;=0),0,MAX(0,T10+T27/((1-('Inputs'!$C$120/100*(1+'Inputs'!$C$121/100)))*(1-IF('Inputs'!$C$14="Spouse",0,T18))))),0)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4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49</v>
      </c>
      <c r="C1" s="1"/>
      <c r="D1" s="1"/>
      <c r="E1" s="1"/>
      <c r="F1" s="1"/>
      <c r="G1" s="1"/>
      <c r="H1" s="1"/>
      <c r="I1" s="1"/>
    </row>
    <row r="2" ht="15" customHeight="1" spans="2:9" x14ac:dyDescent="0.25">
      <c r="B2" s="2" t="s">
        <v>50</v>
      </c>
      <c r="C2" s="2"/>
      <c r="D2" s="2"/>
      <c r="E2" s="2"/>
      <c r="F2" s="2"/>
      <c r="G2" s="2"/>
      <c r="H2" s="2"/>
      <c r="I2" s="2"/>
    </row>
    <row r="4" ht="20" customHeight="1" spans="2:2" x14ac:dyDescent="0.25">
      <c r="B4" s="3" t="s">
        <v>278</v>
      </c>
    </row>
    <row r="5" spans="2:2" x14ac:dyDescent="0.25">
      <c r="B5" s="4" t="s">
        <v>279</v>
      </c>
    </row>
    <row r="6" ht="18" customHeight="1" spans="2:9" x14ac:dyDescent="0.25">
      <c r="B6" s="5" t="s">
        <v>280</v>
      </c>
      <c r="C6" s="6"/>
      <c r="D6" s="6"/>
      <c r="E6" s="6"/>
      <c r="F6" s="6"/>
      <c r="G6" s="6"/>
      <c r="H6" s="6"/>
      <c r="I6" s="6"/>
    </row>
    <row r="7" ht="20" customHeight="1" spans="2:8" x14ac:dyDescent="0.25">
      <c r="B7" s="12" t="s">
        <v>173</v>
      </c>
      <c r="C7" s="13">
        <f>IF('Inputs'!$B$100="","",'Inputs'!$B$100)</f>
      </c>
      <c r="D7" s="13">
        <f>IF('Inputs'!$B$101="","",'Inputs'!$B$101)</f>
      </c>
      <c r="E7" s="13">
        <f>IF('Inputs'!$B$102="","",'Inputs'!$B$102)</f>
      </c>
      <c r="F7" s="13">
        <f>IF('Inputs'!$B$103="","",'Inputs'!$B$103)</f>
      </c>
      <c r="G7" s="13">
        <f>IF('Inputs'!$B$104="","",'Inputs'!$B$104)</f>
      </c>
      <c r="H7" s="13">
        <f>IF('Inputs'!$B$105="","",'Inputs'!$B$105)</f>
      </c>
    </row>
    <row r="8" spans="2:8" x14ac:dyDescent="0.25">
      <c r="B8" s="7" t="s">
        <v>281</v>
      </c>
      <c r="C8" s="19">
        <f>IF('Inputs'!$B$100="","",N('Inputs'!$E$100))</f>
      </c>
      <c r="D8" s="19">
        <f>IF('Inputs'!$B$101="","",N('Inputs'!$E$101))</f>
      </c>
      <c r="E8" s="19">
        <f>IF('Inputs'!$B$102="","",N('Inputs'!$E$102))</f>
      </c>
      <c r="F8" s="19">
        <f>IF('Inputs'!$B$103="","",N('Inputs'!$E$103))</f>
      </c>
      <c r="G8" s="19">
        <f>IF('Inputs'!$B$104="","",N('Inputs'!$E$104))</f>
      </c>
      <c r="H8" s="19">
        <f>IF('Inputs'!$B$105="","",N('Inputs'!$E$105))</f>
      </c>
    </row>
    <row r="9" spans="2:8" x14ac:dyDescent="0.25">
      <c r="B9" s="7" t="s">
        <v>122</v>
      </c>
      <c r="C9" s="46">
        <f>IF('Inputs'!$B$100="","",IF('Needs years'!$C$6=0,"",'Needs years'!$C$6))</f>
      </c>
      <c r="D9" s="46">
        <f>IF('Inputs'!$B$101="","",IF('Needs years'!$C$62=0,"",'Needs years'!$C$62))</f>
      </c>
      <c r="E9" s="46">
        <f>IF('Inputs'!$B$102="","",IF('Needs years'!$C$118=0,"",'Needs years'!$C$118))</f>
      </c>
      <c r="F9" s="46">
        <f>IF('Inputs'!$B$103="","",IF('Needs years'!$C$174=0,"",'Needs years'!$C$174))</f>
      </c>
      <c r="G9" s="46">
        <f>IF('Inputs'!$B$104="","",IF('Needs years'!$C$230=0,"",'Needs years'!$C$230))</f>
      </c>
      <c r="H9" s="46">
        <f>IF('Inputs'!$B$105="","",IF('Needs years'!$C$286=0,"",'Needs years'!$C$286))</f>
      </c>
    </row>
    <row r="10" spans="2:8" x14ac:dyDescent="0.25">
      <c r="B10" s="7" t="s">
        <v>195</v>
      </c>
      <c r="C10" s="47">
        <f>IF('Inputs'!$B$100="","",IF('Needs years'!$C$6=0,"",'Needs years'!$C$8))</f>
      </c>
      <c r="D10" s="47">
        <f>IF('Inputs'!$B$101="","",IF('Needs years'!$C$62=0,"",'Needs years'!$C$64))</f>
      </c>
      <c r="E10" s="47">
        <f>IF('Inputs'!$B$102="","",IF('Needs years'!$C$118=0,"",'Needs years'!$C$120))</f>
      </c>
      <c r="F10" s="47">
        <f>IF('Inputs'!$B$103="","",IF('Needs years'!$C$174=0,"",'Needs years'!$C$176))</f>
      </c>
      <c r="G10" s="47">
        <f>IF('Inputs'!$B$104="","",IF('Needs years'!$C$230=0,"",'Needs years'!$C$232))</f>
      </c>
      <c r="H10" s="47">
        <f>IF('Inputs'!$B$105="","",IF('Needs years'!$C$286=0,"",'Needs years'!$C$288))</f>
      </c>
    </row>
    <row r="11" spans="2:8" x14ac:dyDescent="0.25">
      <c r="B11" s="7" t="s">
        <v>282</v>
      </c>
      <c r="C11" s="19">
        <f>IF('Inputs'!$B$100="","",'Needs years'!$C$10)</f>
      </c>
      <c r="D11" s="19">
        <f>IF('Inputs'!$B$101="","",'Needs years'!$C$66)</f>
      </c>
      <c r="E11" s="19">
        <f>IF('Inputs'!$B$102="","",'Needs years'!$C$122)</f>
      </c>
      <c r="F11" s="19">
        <f>IF('Inputs'!$B$103="","",'Needs years'!$C$178)</f>
      </c>
      <c r="G11" s="19">
        <f>IF('Inputs'!$B$104="","",'Needs years'!$C$234)</f>
      </c>
      <c r="H11" s="19">
        <f>IF('Inputs'!$B$105="","",'Needs years'!$C$290)</f>
      </c>
    </row>
    <row r="12" spans="2:8" x14ac:dyDescent="0.25">
      <c r="B12" s="7" t="s">
        <v>283</v>
      </c>
      <c r="C12" s="19">
        <f>IF('Inputs'!$B$100="","",'Needs years'!$C$15)</f>
      </c>
      <c r="D12" s="19">
        <f>IF('Inputs'!$B$101="","",'Needs years'!$C$71)</f>
      </c>
      <c r="E12" s="19">
        <f>IF('Inputs'!$B$102="","",'Needs years'!$C$127)</f>
      </c>
      <c r="F12" s="19">
        <f>IF('Inputs'!$B$103="","",'Needs years'!$C$183)</f>
      </c>
      <c r="G12" s="19">
        <f>IF('Inputs'!$B$104="","",'Needs years'!$C$239)</f>
      </c>
      <c r="H12" s="19">
        <f>IF('Inputs'!$B$105="","",'Needs years'!$C$295)</f>
      </c>
    </row>
    <row r="13" spans="2:8" x14ac:dyDescent="0.25">
      <c r="B13" s="7" t="s">
        <v>284</v>
      </c>
      <c r="C13" s="19">
        <f>IF('Inputs'!$B$100="","",SUMPRODUCT(('Inputs'!$G$76:$G$81='Inputs'!$B$100)*'Inputs'!$P$76:$P$81))</f>
      </c>
      <c r="D13" s="19">
        <f>IF('Inputs'!$B$101="","",SUMPRODUCT(('Inputs'!$G$76:$G$81='Inputs'!$B$101)*'Inputs'!$P$76:$P$81))</f>
      </c>
      <c r="E13" s="19">
        <f>IF('Inputs'!$B$102="","",SUMPRODUCT(('Inputs'!$G$76:$G$81='Inputs'!$B$102)*'Inputs'!$P$76:$P$81))</f>
      </c>
      <c r="F13" s="19">
        <f>IF('Inputs'!$B$103="","",SUMPRODUCT(('Inputs'!$G$76:$G$81='Inputs'!$B$103)*'Inputs'!$P$76:$P$81))</f>
      </c>
      <c r="G13" s="19">
        <f>IF('Inputs'!$B$104="","",SUMPRODUCT(('Inputs'!$G$76:$G$81='Inputs'!$B$104)*'Inputs'!$P$76:$P$81))</f>
      </c>
      <c r="H13" s="19">
        <f>IF('Inputs'!$B$105="","",SUMPRODUCT(('Inputs'!$G$76:$G$81='Inputs'!$B$105)*'Inputs'!$P$76:$P$81))</f>
      </c>
    </row>
    <row r="14" spans="2:8" x14ac:dyDescent="0.25">
      <c r="B14" s="30" t="s">
        <v>285</v>
      </c>
      <c r="C14" s="43">
        <f>IF('Inputs'!$B$100="","",'Needs calc'!$C$40)</f>
      </c>
      <c r="D14" s="43">
        <f>IF('Inputs'!$B$101="","",'Needs calc'!$C$47)</f>
      </c>
      <c r="E14" s="43">
        <f>IF('Inputs'!$B$102="","",'Needs calc'!$C$54)</f>
      </c>
      <c r="F14" s="43">
        <f>IF('Inputs'!$B$103="","",'Needs calc'!$C$61)</f>
      </c>
      <c r="G14" s="43">
        <f>IF('Inputs'!$B$104="","",'Needs calc'!$C$68)</f>
      </c>
      <c r="H14" s="43">
        <f>IF('Inputs'!$B$105="","",'Needs calc'!$C$75)</f>
      </c>
    </row>
    <row r="15" spans="2:8" x14ac:dyDescent="0.25">
      <c r="B15" s="7" t="s">
        <v>286</v>
      </c>
      <c r="C15" s="38">
        <f>IF('Inputs'!$B$100="","",'Needs calc'!$C$42)</f>
      </c>
      <c r="D15" s="38">
        <f>IF('Inputs'!$B$101="","",'Needs calc'!$C$49)</f>
      </c>
      <c r="E15" s="38">
        <f>IF('Inputs'!$B$102="","",'Needs calc'!$C$56)</f>
      </c>
      <c r="F15" s="38">
        <f>IF('Inputs'!$B$103="","",'Needs calc'!$C$63)</f>
      </c>
      <c r="G15" s="38">
        <f>IF('Inputs'!$B$104="","",'Needs calc'!$C$70)</f>
      </c>
      <c r="H15" s="38">
        <f>IF('Inputs'!$B$105="","",'Needs calc'!$C$77)</f>
      </c>
    </row>
    <row r="16" spans="2:8" x14ac:dyDescent="0.25">
      <c r="B16" s="7" t="s">
        <v>287</v>
      </c>
      <c r="C16" s="47">
        <f>IF('Inputs'!$B$100="","",'Needs calc'!$C$43)</f>
      </c>
      <c r="D16" s="47">
        <f>IF('Inputs'!$B$101="","",'Needs calc'!$C$50)</f>
      </c>
      <c r="E16" s="47">
        <f>IF('Inputs'!$B$102="","",'Needs calc'!$C$57)</f>
      </c>
      <c r="F16" s="47">
        <f>IF('Inputs'!$B$103="","",'Needs calc'!$C$64)</f>
      </c>
      <c r="G16" s="47">
        <f>IF('Inputs'!$B$104="","",'Needs calc'!$C$71)</f>
      </c>
      <c r="H16" s="47">
        <f>IF('Inputs'!$B$105="","",'Needs calc'!$C$78)</f>
      </c>
    </row>
    <row r="17" spans="2:8" x14ac:dyDescent="0.25">
      <c r="B17" s="30" t="s">
        <v>288</v>
      </c>
      <c r="C17" s="43">
        <f>IF('Inputs'!$B$100="","",'Needs calc'!$C$44)</f>
      </c>
      <c r="D17" s="43">
        <f>IF('Inputs'!$B$101="","",'Needs calc'!$C$51)</f>
      </c>
      <c r="E17" s="43">
        <f>IF('Inputs'!$B$102="","",'Needs calc'!$C$58)</f>
      </c>
      <c r="F17" s="43">
        <f>IF('Inputs'!$B$103="","",'Needs calc'!$C$65)</f>
      </c>
      <c r="G17" s="43">
        <f>IF('Inputs'!$B$104="","",'Needs calc'!$C$72)</f>
      </c>
      <c r="H17" s="43">
        <f>IF('Inputs'!$B$105="","",'Needs calc'!$C$79)</f>
      </c>
    </row>
    <row r="18" spans="2:8" x14ac:dyDescent="0.25">
      <c r="B18" s="30" t="s">
        <v>289</v>
      </c>
      <c r="C18" s="43">
        <f>IF('Inputs'!$B$100="","",'Needs calc'!$C$45)</f>
      </c>
      <c r="D18" s="43">
        <f>IF('Inputs'!$B$101="","",'Needs calc'!$C$52)</f>
      </c>
      <c r="E18" s="43">
        <f>IF('Inputs'!$B$102="","",'Needs calc'!$C$59)</f>
      </c>
      <c r="F18" s="43">
        <f>IF('Inputs'!$B$103="","",'Needs calc'!$C$66)</f>
      </c>
      <c r="G18" s="43">
        <f>IF('Inputs'!$B$104="","",'Needs calc'!$C$73)</f>
      </c>
      <c r="H18" s="43">
        <f>IF('Inputs'!$B$105="","",'Needs calc'!$C$80)</f>
      </c>
    </row>
    <row r="19" spans="2:8" x14ac:dyDescent="0.25">
      <c r="B19" s="7" t="s">
        <v>290</v>
      </c>
      <c r="C19" s="19">
        <f>IF('Inputs'!$B$100="","",'Needs calc'!$C$46)</f>
      </c>
      <c r="D19" s="19">
        <f>IF('Inputs'!$B$101="","",'Needs calc'!$C$53)</f>
      </c>
      <c r="E19" s="19">
        <f>IF('Inputs'!$B$102="","",'Needs calc'!$C$60)</f>
      </c>
      <c r="F19" s="19">
        <f>IF('Inputs'!$B$103="","",'Needs calc'!$C$67)</f>
      </c>
      <c r="G19" s="19">
        <f>IF('Inputs'!$B$104="","",'Needs calc'!$C$74)</f>
      </c>
      <c r="H19" s="19">
        <f>IF('Inputs'!$B$105="","",'Needs calc'!$C$81)</f>
      </c>
    </row>
    <row r="21" ht="18" customHeight="1" spans="2:9" x14ac:dyDescent="0.25">
      <c r="B21" s="5" t="s">
        <v>291</v>
      </c>
      <c r="C21" s="6"/>
      <c r="D21" s="6"/>
      <c r="E21" s="6"/>
      <c r="F21" s="6"/>
      <c r="G21" s="6"/>
      <c r="H21" s="6"/>
      <c r="I21" s="6"/>
    </row>
    <row r="22" ht="20" customHeight="1" spans="2:8" x14ac:dyDescent="0.25">
      <c r="B22" s="12" t="s">
        <v>173</v>
      </c>
      <c r="C22" s="13">
        <f>IF('Inputs'!$B$100="","",'Inputs'!$B$100)</f>
      </c>
      <c r="D22" s="13">
        <f>IF('Inputs'!$B$101="","",'Inputs'!$B$101)</f>
      </c>
      <c r="E22" s="13">
        <f>IF('Inputs'!$B$102="","",'Inputs'!$B$102)</f>
      </c>
      <c r="F22" s="13">
        <f>IF('Inputs'!$B$103="","",'Inputs'!$B$103)</f>
      </c>
      <c r="G22" s="13">
        <f>IF('Inputs'!$B$104="","",'Inputs'!$B$104)</f>
      </c>
      <c r="H22" s="13">
        <f>IF('Inputs'!$B$105="","",'Inputs'!$B$105)</f>
      </c>
    </row>
    <row r="23" spans="2:8" x14ac:dyDescent="0.25">
      <c r="B23" s="30" t="s">
        <v>292</v>
      </c>
      <c r="C23" s="43">
        <f>IF('Inputs'!$B$100="","",'Needs calc'!$T$4)</f>
      </c>
      <c r="D23" s="43">
        <f>IF('Inputs'!$B$101="","",'Needs calc'!$T$5)</f>
      </c>
      <c r="E23" s="43">
        <f>IF('Inputs'!$B$102="","",'Needs calc'!$T$6)</f>
      </c>
      <c r="F23" s="43">
        <f>IF('Inputs'!$B$103="","",'Needs calc'!$T$7)</f>
      </c>
      <c r="G23" s="43">
        <f>IF('Inputs'!$B$104="","",'Needs calc'!$T$8)</f>
      </c>
      <c r="H23" s="43">
        <f>IF('Inputs'!$B$105="","",'Needs calc'!$T$9)</f>
      </c>
    </row>
    <row r="24" spans="2:8" x14ac:dyDescent="0.25">
      <c r="B24" s="7" t="s">
        <v>293</v>
      </c>
      <c r="C24" s="19">
        <f>IF('Inputs'!$B$100="","",IF('Needs calc'!$T$4=0,"",IF('Inputs'!$T$100=1,"spouse, no duty",IF('Inputs'!$Q$100=1,"the trust","them"))))</f>
      </c>
      <c r="D24" s="19">
        <f>IF('Inputs'!$B$101="","",IF('Needs calc'!$T$5=0,"",IF('Inputs'!$T$101=1,"spouse, no duty",IF('Inputs'!$Q$101=1,"the trust","them"))))</f>
      </c>
      <c r="E24" s="19">
        <f>IF('Inputs'!$B$102="","",IF('Needs calc'!$T$6=0,"",IF('Inputs'!$T$102=1,"spouse, no duty",IF('Inputs'!$Q$102=1,"the trust","them"))))</f>
      </c>
      <c r="F24" s="19">
        <f>IF('Inputs'!$B$103="","",IF('Needs calc'!$T$7=0,"",IF('Inputs'!$T$103=1,"spouse, no duty",IF('Inputs'!$Q$103=1,"the trust","them"))))</f>
      </c>
      <c r="G24" s="19">
        <f>IF('Inputs'!$B$104="","",IF('Needs calc'!$T$8=0,"",IF('Inputs'!$T$104=1,"spouse, no duty",IF('Inputs'!$Q$104=1,"the trust","them"))))</f>
      </c>
      <c r="H24" s="19">
        <f>IF('Inputs'!$B$105="","",IF('Needs calc'!$T$9=0,"",IF('Inputs'!$T$105=1,"spouse, no duty",IF('Inputs'!$Q$105=1,"the trust","them"))))</f>
      </c>
    </row>
    <row r="25" spans="2:8" x14ac:dyDescent="0.25">
      <c r="B25" s="7" t="s">
        <v>294</v>
      </c>
      <c r="C25" s="19">
        <f>IF('Inputs'!$B$100="","",'Needs calc'!$T$40)</f>
      </c>
      <c r="D25" s="19">
        <f>IF('Inputs'!$B$101="","",'Needs calc'!$T$47)</f>
      </c>
      <c r="E25" s="19">
        <f>IF('Inputs'!$B$102="","",'Needs calc'!$T$54)</f>
      </c>
      <c r="F25" s="19">
        <f>IF('Inputs'!$B$103="","",'Needs calc'!$T$61)</f>
      </c>
      <c r="G25" s="19">
        <f>IF('Inputs'!$B$104="","",'Needs calc'!$T$68)</f>
      </c>
      <c r="H25" s="19">
        <f>IF('Inputs'!$B$105="","",'Needs calc'!$T$75)</f>
      </c>
    </row>
    <row r="26" spans="2:8" x14ac:dyDescent="0.25">
      <c r="B26" s="7" t="s">
        <v>295</v>
      </c>
      <c r="C26" s="38">
        <f>IF('Inputs'!$B$100="","",'Needs calc'!$T$42)</f>
      </c>
      <c r="D26" s="38">
        <f>IF('Inputs'!$B$101="","",'Needs calc'!$T$49)</f>
      </c>
      <c r="E26" s="38">
        <f>IF('Inputs'!$B$102="","",'Needs calc'!$T$56)</f>
      </c>
      <c r="F26" s="38">
        <f>IF('Inputs'!$B$103="","",'Needs calc'!$T$63)</f>
      </c>
      <c r="G26" s="38">
        <f>IF('Inputs'!$B$104="","",'Needs calc'!$T$70)</f>
      </c>
      <c r="H26" s="38">
        <f>IF('Inputs'!$B$105="","",'Needs calc'!$T$77)</f>
      </c>
    </row>
    <row r="27" spans="2:8" x14ac:dyDescent="0.25">
      <c r="B27" s="7" t="s">
        <v>296</v>
      </c>
      <c r="C27" s="19">
        <f>IF('Inputs'!$B$100="","",'Needs calc'!$T$44)</f>
      </c>
      <c r="D27" s="19">
        <f>IF('Inputs'!$B$101="","",'Needs calc'!$T$51)</f>
      </c>
      <c r="E27" s="19">
        <f>IF('Inputs'!$B$102="","",'Needs calc'!$T$58)</f>
      </c>
      <c r="F27" s="19">
        <f>IF('Inputs'!$B$103="","",'Needs calc'!$T$65)</f>
      </c>
      <c r="G27" s="19">
        <f>IF('Inputs'!$B$104="","",'Needs calc'!$T$72)</f>
      </c>
      <c r="H27" s="19">
        <f>IF('Inputs'!$B$105="","",'Needs calc'!$T$79)</f>
      </c>
    </row>
    <row r="28" spans="2:8" x14ac:dyDescent="0.25">
      <c r="B28" s="7" t="s">
        <v>297</v>
      </c>
      <c r="C28" s="19">
        <f>IF('Inputs'!$B$100="","",'Needs calc'!$T$45)</f>
      </c>
      <c r="D28" s="19">
        <f>IF('Inputs'!$B$101="","",'Needs calc'!$T$52)</f>
      </c>
      <c r="E28" s="19">
        <f>IF('Inputs'!$B$102="","",'Needs calc'!$T$59)</f>
      </c>
      <c r="F28" s="19">
        <f>IF('Inputs'!$B$103="","",'Needs calc'!$T$66)</f>
      </c>
      <c r="G28" s="19">
        <f>IF('Inputs'!$B$104="","",'Needs calc'!$T$73)</f>
      </c>
      <c r="H28" s="19">
        <f>IF('Inputs'!$B$105="","",'Needs calc'!$T$80)</f>
      </c>
    </row>
    <row r="30" spans="2:3" x14ac:dyDescent="0.25">
      <c r="B30" s="7" t="s">
        <v>298</v>
      </c>
      <c r="C30" s="19">
        <f>'Workings'!$C$67</f>
      </c>
    </row>
    <row r="31" ht="27" customHeight="1" spans="2:3" x14ac:dyDescent="0.25">
      <c r="B31" s="7" t="s">
        <v>299</v>
      </c>
      <c r="C31" s="19">
        <f>'Needs calc'!$T$10</f>
      </c>
    </row>
    <row r="32" spans="2:3" x14ac:dyDescent="0.25">
      <c r="B32" s="7" t="s">
        <v>300</v>
      </c>
      <c r="C32" s="19">
        <f>'Needs calc'!$T$27</f>
      </c>
    </row>
    <row r="33" ht="27" customHeight="1" spans="2:3" x14ac:dyDescent="0.25">
      <c r="B33" s="7" t="s">
        <v>301</v>
      </c>
      <c r="C33" s="19">
        <f>IF(AND(OR(LEFT('Inputs'!$C$13,7)="Married",'Inputs'!$C$13="Life partner",'Inputs'!$C$13="Civil Union"),'Workings'!$C$67&gt;0),'Workings'!$C$67,0)</f>
      </c>
    </row>
    <row r="34" spans="2:3" x14ac:dyDescent="0.25">
      <c r="B34" s="7" t="s">
        <v>302</v>
      </c>
      <c r="C34" s="19">
        <f>'Needs calc'!$T$17</f>
      </c>
    </row>
    <row r="35" spans="2:3" x14ac:dyDescent="0.25">
      <c r="B35" s="7" t="s">
        <v>303</v>
      </c>
      <c r="C35" s="45">
        <f>'Needs calc'!$T$18</f>
      </c>
    </row>
    <row r="36" spans="2:3" x14ac:dyDescent="0.25">
      <c r="B36" s="7" t="s">
        <v>304</v>
      </c>
      <c r="C36" s="19">
        <f>'Needs calc'!$T$26</f>
      </c>
    </row>
    <row r="37" spans="2:3" x14ac:dyDescent="0.25">
      <c r="B37" s="30" t="s">
        <v>305</v>
      </c>
      <c r="C37" s="43">
        <f>('Needs calc'!$T$10+('Needs calc'!$T$4+'Needs calc'!$T$5+'Needs calc'!$T$6+'Needs calc'!$T$7+'Needs calc'!$T$8+'Needs calc'!$T$9))</f>
      </c>
    </row>
    <row r="39" ht="18" customHeight="1" spans="2:9" x14ac:dyDescent="0.25">
      <c r="B39" s="5" t="s">
        <v>306</v>
      </c>
      <c r="C39" s="6"/>
      <c r="D39" s="6"/>
      <c r="E39" s="6"/>
      <c r="F39" s="6"/>
      <c r="G39" s="6"/>
      <c r="H39" s="6"/>
      <c r="I39" s="6"/>
    </row>
    <row r="40" ht="20" customHeight="1" spans="2:8" x14ac:dyDescent="0.25">
      <c r="B40" s="12" t="s">
        <v>173</v>
      </c>
      <c r="C40" s="13">
        <f>IF('Inputs'!$B$100="","",'Inputs'!$B$100)</f>
      </c>
      <c r="D40" s="13">
        <f>IF('Inputs'!$B$101="","",'Inputs'!$B$101)</f>
      </c>
      <c r="E40" s="13">
        <f>IF('Inputs'!$B$102="","",'Inputs'!$B$102)</f>
      </c>
      <c r="F40" s="13">
        <f>IF('Inputs'!$B$103="","",'Inputs'!$B$103)</f>
      </c>
      <c r="G40" s="13">
        <f>IF('Inputs'!$B$104="","",'Inputs'!$B$104)</f>
      </c>
      <c r="H40" s="13">
        <f>IF('Inputs'!$B$105="","",'Inputs'!$B$105)</f>
      </c>
    </row>
    <row r="41" spans="2:8" x14ac:dyDescent="0.25">
      <c r="B41" s="7" t="s">
        <v>307</v>
      </c>
      <c r="C41" s="19">
        <f>IF('Inputs'!$B$100="","",'Needs years'!$C$11)</f>
      </c>
      <c r="D41" s="19">
        <f>IF('Inputs'!$B$101="","",'Needs years'!$C$67)</f>
      </c>
      <c r="E41" s="19">
        <f>IF('Inputs'!$B$102="","",'Needs years'!$C$123)</f>
      </c>
      <c r="F41" s="19">
        <f>IF('Inputs'!$B$103="","",'Needs years'!$C$179)</f>
      </c>
      <c r="G41" s="19">
        <f>IF('Inputs'!$B$104="","",'Needs years'!$C$235)</f>
      </c>
      <c r="H41" s="19">
        <f>IF('Inputs'!$B$105="","",'Needs years'!$C$291)</f>
      </c>
    </row>
    <row r="42" spans="2:8" x14ac:dyDescent="0.25">
      <c r="B42" s="7" t="s">
        <v>308</v>
      </c>
      <c r="C42" s="19">
        <f>IF('Inputs'!$B$100="","",'Needs years'!$C$12)</f>
      </c>
      <c r="D42" s="19">
        <f>IF('Inputs'!$B$101="","",'Needs years'!$C$68)</f>
      </c>
      <c r="E42" s="19">
        <f>IF('Inputs'!$B$102="","",'Needs years'!$C$124)</f>
      </c>
      <c r="F42" s="19">
        <f>IF('Inputs'!$B$103="","",'Needs years'!$C$180)</f>
      </c>
      <c r="G42" s="19">
        <f>IF('Inputs'!$B$104="","",'Needs years'!$C$236)</f>
      </c>
      <c r="H42" s="19">
        <f>IF('Inputs'!$B$105="","",'Needs years'!$C$292)</f>
      </c>
    </row>
    <row r="43" spans="2:8" x14ac:dyDescent="0.25">
      <c r="B43" s="7" t="s">
        <v>309</v>
      </c>
      <c r="C43" s="19">
        <f>IF('Inputs'!$B$100="","",'Needs years'!$C$13)</f>
      </c>
      <c r="D43" s="19">
        <f>IF('Inputs'!$B$101="","",'Needs years'!$C$69)</f>
      </c>
      <c r="E43" s="19">
        <f>IF('Inputs'!$B$102="","",'Needs years'!$C$125)</f>
      </c>
      <c r="F43" s="19">
        <f>IF('Inputs'!$B$103="","",'Needs years'!$C$181)</f>
      </c>
      <c r="G43" s="19">
        <f>IF('Inputs'!$B$104="","",'Needs years'!$C$237)</f>
      </c>
      <c r="H43" s="19">
        <f>IF('Inputs'!$B$105="","",'Needs years'!$C$293)</f>
      </c>
    </row>
    <row r="45" ht="96" customHeight="1" spans="2:9" x14ac:dyDescent="0.25">
      <c r="B45" s="36">
        <f>"Basis: monthly needs are net, paid monthly in advance from the date of death and rising at each anniversary. Capital for a person earns "&amp;FIXED('Inputs'!$H$122,1)&amp;"% a year before tax as a unit trust, taxed in their hands at their marginal rate m (their own income plus the taxable part of what the capital earns): E(m) = "&amp;FIXED('Inputs'!$H$125,2)&amp;"% x m + "&amp;FIXED('Inputs'!$H$126,2)&amp;"% x "&amp;FIXED('Inputs'!$H$128,0)&amp;"% + "&amp;FIXED('Inputs'!$H$127,2)&amp;"% x "&amp;FIXED('Inputs'!$H$120,0)&amp;"% x m, less trustee fees of "&amp;FIXED('Inputs'!$H$123,1)&amp;"% a year while in a trust. A once-off need is spent at death, so it is not invested or taxed. Retirement money is paid out in cash, taxed in the deceased's hands as a death benefit lump sum on the total of the funds. A death income benefit is set against the need of the person it is for in each year it pays (any excess in a year is not counted); it is counted for estate duty at the insurer's value or its value worked out at "&amp;FIXED('Inputs'!$H$122,1)&amp;"% a year, and that person pays the duty on it unless it goes to the spouse (s.4(q)).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45" s="36"/>
      <c r="D45" s="36"/>
      <c r="E45" s="36"/>
      <c r="F45" s="36"/>
      <c r="G45" s="36"/>
      <c r="H45" s="36"/>
      <c r="I45" s="36"/>
    </row>
  </sheetData>
  <sheetProtection sheet="1" formatRows="0"/>
  <mergeCells count="3">
    <mergeCell ref="B1:I1"/>
    <mergeCell ref="B2:I2"/>
    <mergeCell ref="B45:I45"/>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49</v>
      </c>
      <c r="C1" s="1"/>
      <c r="D1" s="1"/>
      <c r="E1" s="1"/>
      <c r="F1" s="1"/>
    </row>
    <row r="2" ht="15" customHeight="1" spans="2:6" x14ac:dyDescent="0.25">
      <c r="B2" s="2" t="s">
        <v>50</v>
      </c>
      <c r="C2" s="2"/>
      <c r="D2" s="2"/>
      <c r="E2" s="2"/>
      <c r="F2" s="2"/>
    </row>
    <row r="3" spans="2:6" x14ac:dyDescent="0.25">
      <c r="B3" s="24">
        <f>IF(OR(COUNTIF('Inputs'!$B$154:$B$167,"✗ Full FNA*")&gt;0,LEFT('Inputs'!$B$147,1)="✗"),"NOT FOR THE CLIENT: this case needs the full FNA (see Checks on Inputs)","")</f>
      </c>
      <c r="C3" s="24"/>
      <c r="D3" s="24"/>
      <c r="E3" s="24"/>
      <c r="F3" s="24"/>
    </row>
    <row r="4" ht="20" customHeight="1" spans="2:2" x14ac:dyDescent="0.25">
      <c r="B4" s="3" t="s">
        <v>187</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5">
        <f>IF(COUNTIF('Inputs'!$B$100:$B$105,"?*")=0,"No one who depends on you is recorded, so there is no need for them to cover.",TRIM("If you died today, "&amp;IF((('Needs calc'!$C$45&gt;0)+('Needs calc'!$C$52&gt;0)+('Needs calc'!$C$59&gt;0)+('Needs calc'!$C$66&gt;0)+('Needs calc'!$C$73&gt;0)+('Needs calc'!$C$80&gt;0))=0,"everyone who depends on you would have what you want for them.",'Needs years'!$C$19&amp;'Needs years'!$C$75&amp;'Needs years'!$C$131&amp;'Needs years'!$C$187&amp;'Needs years'!$C$243&amp;'Needs years'!$C$299&amp;IF((('Needs calc'!$C$45&gt;0)+('Needs calc'!$C$52&gt;0)+('Needs calc'!$C$59&gt;0)+('Needs calc'!$C$66&gt;0)+('Needs calc'!$C$73&gt;0)+('Needs calc'!$C$80&gt;0))&lt;COUNTIF('Inputs'!$B$100:$B$105,"?*"),"Everyone else is provided for.",""))))</f>
      </c>
      <c r="C7" s="25"/>
      <c r="D7" s="25"/>
      <c r="E7" s="25"/>
      <c r="F7" s="25"/>
    </row>
    <row r="8" ht="30" customHeight="1" spans="2:6" x14ac:dyDescent="0.25">
      <c r="B8" s="25">
        <f>IF('Workings'!$C$67&gt;0,"Your estate itself would be short of cash by about R "&amp;FIXED(ROUND('Workings'!$C$67,-3),0)&amp;" to pay its debts and costs.","Your estate itself has enough cash to pay its debts and costs, with about R "&amp;FIXED(ROUND('Workings'!$C$68,-3),0)&amp;" left over for your heirs.")</f>
      </c>
      <c r="C8" s="25"/>
      <c r="D8" s="25"/>
      <c r="E8" s="25"/>
      <c r="F8" s="25"/>
    </row>
    <row r="10" spans="2:6" x14ac:dyDescent="0.25">
      <c r="B10" s="26">
        <f>IF(('Needs calc'!$T$10+('Needs calc'!$T$4+'Needs calc'!$T$5+'Needs calc'!$T$6+'Needs calc'!$T$7+'Needs calc'!$T$8+'Needs calc'!$T$9))&gt;0,"TOTAL LIFE COVER NEEDED","NO NEW LIFE COVER NEEDED")</f>
      </c>
      <c r="C10" s="26"/>
      <c r="D10" s="26"/>
      <c r="E10" s="26"/>
      <c r="F10" s="26"/>
    </row>
    <row r="11" ht="28" customHeight="1" spans="2:6" x14ac:dyDescent="0.25">
      <c r="B11" s="27">
        <f>IF(('Needs calc'!$T$10+('Needs calc'!$T$4+'Needs calc'!$T$5+'Needs calc'!$T$6+'Needs calc'!$T$7+'Needs calc'!$T$8+'Needs calc'!$T$9))&gt;0,"R "&amp;FIXED(ROUND(('Needs calc'!$T$10+('Needs calc'!$T$4+'Needs calc'!$T$5+'Needs calc'!$T$6+'Needs calc'!$T$7+'Needs calc'!$T$8+'Needs calc'!$T$9)),-3),0),"Everyone is provided for")</f>
      </c>
      <c r="C11" s="27"/>
      <c r="D11" s="27"/>
      <c r="E11" s="27"/>
      <c r="F11" s="27"/>
    </row>
    <row r="12" spans="2:6" x14ac:dyDescent="0.25">
      <c r="B12" s="28">
        <f>IF(('Needs calc'!$T$10+('Needs calc'!$T$4+'Needs calc'!$T$5+'Needs calc'!$T$6+'Needs calc'!$T$7+'Needs calc'!$T$8+'Needs calc'!$T$9))&gt;0,IF('Needs calc'!$T$10&gt;0,"R "&amp;FIXED(ROUND('Needs calc'!$T$10,-3),0)&amp;" for your estate and R "&amp;FIXED(ROUND(('Needs calc'!$T$4+'Needs calc'!$T$5+'Needs calc'!$T$6+'Needs calc'!$T$7+'Needs calc'!$T$8+'Needs calc'!$T$9),-3),0)&amp;" for the people who depend on you","for the people who depend on you")&amp;IF('Needs calc'!$T$17&gt;'Needs calc'!$C$17+0.005,", after the estate duty it brings",""),"on the needs you gave us, as your policies and will instructions stand today")</f>
      </c>
      <c r="C12" s="28"/>
      <c r="D12" s="28"/>
      <c r="E12" s="28"/>
      <c r="F12" s="28"/>
    </row>
    <row r="14" spans="2:6" x14ac:dyDescent="0.25">
      <c r="B14" s="12" t="s">
        <v>188</v>
      </c>
      <c r="C14" s="12" t="s">
        <v>173</v>
      </c>
      <c r="D14" s="12"/>
      <c r="E14" s="12"/>
      <c r="F14" s="12"/>
    </row>
    <row r="15" spans="2:6" x14ac:dyDescent="0.25">
      <c r="B15" s="7" t="s">
        <v>189</v>
      </c>
      <c r="C15" s="15">
        <f>'Workings'!$C$63</f>
      </c>
      <c r="D15" s="15"/>
      <c r="E15" s="15"/>
      <c r="F15" s="15"/>
    </row>
    <row r="16" spans="2:6" x14ac:dyDescent="0.25">
      <c r="B16" s="7" t="s">
        <v>190</v>
      </c>
      <c r="C16" s="15">
        <f>'Workings'!$C$66</f>
      </c>
      <c r="D16" s="15"/>
      <c r="E16" s="15"/>
      <c r="F16" s="15"/>
    </row>
    <row r="17" ht="30" customHeight="1" spans="2:6" x14ac:dyDescent="0.25">
      <c r="B17" s="7" t="s">
        <v>191</v>
      </c>
      <c r="C17" s="37">
        <f>IF('Workings'!$C$67&gt;0,"Short R "&amp;FIXED(ROUND('Workings'!$C$67,-3),0)&amp;". Cover paid to your estate to close it: R "&amp;FIXED(ROUND('Needs calc'!$T$10,-3),0)&amp;IF(OR(LEFT('Inputs'!$C$13,7)="Married",'Inputs'!$C$13="Life partner",'Inputs'!$C$13="Civil Union")," (or R "&amp;FIXED(ROUND('Workings'!$C$67,-3),0)&amp;" nominated to your spouse, who pays it in)","")&amp;".","Covered: R "&amp;FIXED(ROUND('Workings'!$C$68,-3),0)&amp;" left for your heirs")</f>
      </c>
      <c r="D17" s="37"/>
      <c r="E17" s="37"/>
      <c r="F17" s="37"/>
    </row>
    <row r="19" ht="20" customHeight="1" spans="2:6" x14ac:dyDescent="0.25">
      <c r="B19" s="12" t="s">
        <v>192</v>
      </c>
      <c r="C19" s="13">
        <f>IF('Inputs'!$B$100="","",'Inputs'!$B$100)</f>
      </c>
      <c r="D19" s="13">
        <f>IF('Inputs'!$B$101="","",'Inputs'!$B$101)</f>
      </c>
      <c r="E19" s="13">
        <f>IF('Inputs'!$B$102="","",'Inputs'!$B$102)</f>
      </c>
      <c r="F19" s="13">
        <f>IF('Inputs'!$B$103="","",'Inputs'!$B$103)</f>
      </c>
    </row>
    <row r="20" spans="2:6" x14ac:dyDescent="0.25">
      <c r="B20" s="7" t="s">
        <v>193</v>
      </c>
      <c r="C20" s="15">
        <f>IF('Inputs'!$B$100="","",N('Inputs'!$E$100))</f>
      </c>
      <c r="D20" s="15">
        <f>IF('Inputs'!$B$101="","",N('Inputs'!$E$101))</f>
      </c>
      <c r="E20" s="15">
        <f>IF('Inputs'!$B$102="","",N('Inputs'!$E$102))</f>
      </c>
      <c r="F20" s="15">
        <f>IF('Inputs'!$B$103="","",N('Inputs'!$E$103))</f>
      </c>
    </row>
    <row r="21" spans="2:6" x14ac:dyDescent="0.25">
      <c r="B21" s="7" t="s">
        <v>194</v>
      </c>
      <c r="C21" s="34">
        <f>IF('Inputs'!$B$100="","",IF('Needs years'!$C$6=0,"",'Needs years'!$C$6&amp;" years"))</f>
      </c>
      <c r="D21" s="34">
        <f>IF('Inputs'!$B$101="","",IF('Needs years'!$C$62=0,"",'Needs years'!$C$62&amp;" years"))</f>
      </c>
      <c r="E21" s="34">
        <f>IF('Inputs'!$B$102="","",IF('Needs years'!$C$118=0,"",'Needs years'!$C$118&amp;" years"))</f>
      </c>
      <c r="F21" s="34">
        <f>IF('Inputs'!$B$103="","",IF('Needs years'!$C$174=0,"",'Needs years'!$C$174&amp;" years"))</f>
      </c>
    </row>
    <row r="22" spans="2:6" x14ac:dyDescent="0.25">
      <c r="B22" s="7" t="s">
        <v>195</v>
      </c>
      <c r="C22" s="38">
        <f>IF('Inputs'!$B$100="","",IF('Needs years'!$C$6=0,"",'Needs years'!$C$8))</f>
      </c>
      <c r="D22" s="38">
        <f>IF('Inputs'!$B$101="","",IF('Needs years'!$C$62=0,"",'Needs years'!$C$64))</f>
      </c>
      <c r="E22" s="38">
        <f>IF('Inputs'!$B$102="","",IF('Needs years'!$C$118=0,"",'Needs years'!$C$120))</f>
      </c>
      <c r="F22" s="38">
        <f>IF('Inputs'!$B$103="","",IF('Needs years'!$C$174=0,"",'Needs years'!$C$176))</f>
      </c>
    </row>
    <row r="23" spans="2:6" x14ac:dyDescent="0.25">
      <c r="B23" s="7" t="s">
        <v>196</v>
      </c>
      <c r="C23" s="15">
        <f>IF('Inputs'!$B$100="","",'Needs years'!$C$10)</f>
      </c>
      <c r="D23" s="15">
        <f>IF('Inputs'!$B$101="","",'Needs years'!$C$66)</f>
      </c>
      <c r="E23" s="15">
        <f>IF('Inputs'!$B$102="","",'Needs years'!$C$122)</f>
      </c>
      <c r="F23" s="15">
        <f>IF('Inputs'!$B$103="","",'Needs years'!$C$178)</f>
      </c>
    </row>
    <row r="24" spans="2:6" x14ac:dyDescent="0.25">
      <c r="B24" s="7" t="s">
        <v>197</v>
      </c>
      <c r="C24" s="15">
        <f>IF('Inputs'!$B$100="","",'Needs years'!$C$15)</f>
      </c>
      <c r="D24" s="15">
        <f>IF('Inputs'!$B$101="","",'Needs years'!$C$71)</f>
      </c>
      <c r="E24" s="15">
        <f>IF('Inputs'!$B$102="","",'Needs years'!$C$127)</f>
      </c>
      <c r="F24" s="15">
        <f>IF('Inputs'!$B$103="","",'Needs years'!$C$183)</f>
      </c>
    </row>
    <row r="25" spans="2:6" x14ac:dyDescent="0.25">
      <c r="B25" s="7" t="s">
        <v>198</v>
      </c>
      <c r="C25" s="15">
        <f>IF('Inputs'!$B$100="","",'Needs years'!$C$21)</f>
      </c>
      <c r="D25" s="15">
        <f>IF('Inputs'!$B$101="","",'Needs years'!$C$77)</f>
      </c>
      <c r="E25" s="15">
        <f>IF('Inputs'!$B$102="","",'Needs years'!$C$133)</f>
      </c>
      <c r="F25" s="15">
        <f>IF('Inputs'!$B$103="","",'Needs years'!$C$189)</f>
      </c>
    </row>
    <row r="26" spans="2:6" x14ac:dyDescent="0.25">
      <c r="B26" s="30" t="s">
        <v>199</v>
      </c>
      <c r="C26" s="31">
        <f>IF('Inputs'!$B$100="","",'Needs calc'!$C$44)</f>
      </c>
      <c r="D26" s="31">
        <f>IF('Inputs'!$B$101="","",'Needs calc'!$C$51)</f>
      </c>
      <c r="E26" s="31">
        <f>IF('Inputs'!$B$102="","",'Needs calc'!$C$58)</f>
      </c>
      <c r="F26" s="31">
        <f>IF('Inputs'!$B$103="","",'Needs calc'!$C$65)</f>
      </c>
    </row>
    <row r="27" spans="2:6" x14ac:dyDescent="0.25">
      <c r="B27" s="7" t="s">
        <v>200</v>
      </c>
      <c r="C27" s="15">
        <f>IF('Inputs'!$B$100="","",'Needs calc'!$C$40)</f>
      </c>
      <c r="D27" s="15">
        <f>IF('Inputs'!$B$101="","",'Needs calc'!$C$47)</f>
      </c>
      <c r="E27" s="15">
        <f>IF('Inputs'!$B$102="","",'Needs calc'!$C$54)</f>
      </c>
      <c r="F27" s="15">
        <f>IF('Inputs'!$B$103="","",'Needs calc'!$C$61)</f>
      </c>
    </row>
    <row r="28" spans="2:6" x14ac:dyDescent="0.25">
      <c r="B28" s="7" t="s">
        <v>201</v>
      </c>
      <c r="C28" s="15">
        <f>IF('Inputs'!$B$100="","",'Needs calc'!$C$46)</f>
      </c>
      <c r="D28" s="15">
        <f>IF('Inputs'!$B$101="","",'Needs calc'!$C$53)</f>
      </c>
      <c r="E28" s="15">
        <f>IF('Inputs'!$B$102="","",'Needs calc'!$C$60)</f>
      </c>
      <c r="F28" s="15">
        <f>IF('Inputs'!$B$103="","",'Needs calc'!$C$67)</f>
      </c>
    </row>
    <row r="29" spans="2:6" x14ac:dyDescent="0.25">
      <c r="B29" s="21" t="s">
        <v>202</v>
      </c>
      <c r="C29" s="39">
        <f>IF('Inputs'!$B$100="","",IF('Needs calc'!$C$45&gt;0,"Short R "&amp;FIXED(ROUND('Needs calc'!$C$45,-3),0),IF('Needs calc'!$C$45&lt;0,"R "&amp;FIXED(ROUND(-'Needs calc'!$C$45,-3),0)&amp;" over","Covered")))</f>
      </c>
      <c r="D29" s="39">
        <f>IF('Inputs'!$B$101="","",IF('Needs calc'!$C$52&gt;0,"Short R "&amp;FIXED(ROUND('Needs calc'!$C$52,-3),0),IF('Needs calc'!$C$52&lt;0,"R "&amp;FIXED(ROUND(-'Needs calc'!$C$52,-3),0)&amp;" over","Covered")))</f>
      </c>
      <c r="E29" s="39">
        <f>IF('Inputs'!$B$102="","",IF('Needs calc'!$C$59&gt;0,"Short R "&amp;FIXED(ROUND('Needs calc'!$C$59,-3),0),IF('Needs calc'!$C$59&lt;0,"R "&amp;FIXED(ROUND(-'Needs calc'!$C$59,-3),0)&amp;" over","Covered")))</f>
      </c>
      <c r="F29" s="39">
        <f>IF('Inputs'!$B$103="","",IF('Needs calc'!$C$66&gt;0,"Short R "&amp;FIXED(ROUND('Needs calc'!$C$66,-3),0),IF('Needs calc'!$C$66&lt;0,"R "&amp;FIXED(ROUND(-'Needs calc'!$C$66,-3),0)&amp;" over","Covered")))</f>
      </c>
    </row>
    <row r="30" spans="2:6" x14ac:dyDescent="0.25">
      <c r="B30" s="30" t="s">
        <v>203</v>
      </c>
      <c r="C30" s="31">
        <f>IF('Inputs'!$B$100="","",IF('Needs calc'!$T$4&gt;0,'Needs calc'!$T$4,"None needed"))</f>
      </c>
      <c r="D30" s="31">
        <f>IF('Inputs'!$B$101="","",IF('Needs calc'!$T$5&gt;0,'Needs calc'!$T$5,"None needed"))</f>
      </c>
      <c r="E30" s="31">
        <f>IF('Inputs'!$B$102="","",IF('Needs calc'!$T$6&gt;0,'Needs calc'!$T$6,"None needed"))</f>
      </c>
      <c r="F30" s="31">
        <f>IF('Inputs'!$B$103="","",IF('Needs calc'!$T$7&gt;0,'Needs calc'!$T$7,"None needed"))</f>
      </c>
    </row>
    <row r="31" ht="40" customHeight="1" spans="2:6" x14ac:dyDescent="0.25">
      <c r="B31" s="40">
        <f>TRIM(IF(COUNTIF('Inputs'!$B$100:$B$105,"?*")&gt;4,"The others who depend on you are on the workings page. ","")&amp;IF('Needs calc'!$C$38&gt;0,"Life cover of R "&amp;FIXED(ROUND('Needs calc'!$C$38,-3),0)&amp;" is paid directly to "&amp;IF(SUMPRODUCT('Inputs'!$R$59:$R$70*('Inputs'!$F$59:$F$70="")*('Inputs'!$D$59:$D$70&gt;0))=1,"someone who is","people who are")&amp;" not recorded as depending on you"&amp;IF('Needs calc'!$C$39&gt;0,"; they pay R "&amp;FIXED(ROUND('Needs calc'!$C$39,-3),0)&amp;" of the estate duty on it today","")&amp;", and it is not counted for anyone above. ","")&amp;IF(SUMPRODUCT(('Inputs'!$T$100:$T$105=1)*1)&gt;0,"New cover for your spouse is nominated to them, so it carries no estate duty. ","")&amp;IF(SUMPRODUCT(('Inputs'!$D$76:$D$81&gt;0)*1)&gt;0,"Death income from your policies is set against the need of the person it is for while it pays"&amp;IF(SUM('Inputs'!$P$76:$P$81)&gt;0,"; the people it is paid to or for pay R "&amp;FIXED(ROUND(SUM('Inputs'!$P$76:$P$81),-3),0)&amp;" of the estate duty on it today, taken off what reaches them","")&amp;".",""))</f>
      </c>
      <c r="C31" s="40"/>
      <c r="D31" s="40"/>
      <c r="E31" s="40"/>
      <c r="F31" s="40"/>
    </row>
    <row r="33" spans="2:6" x14ac:dyDescent="0.25">
      <c r="B33" s="12" t="s">
        <v>204</v>
      </c>
      <c r="C33" s="12" t="s">
        <v>173</v>
      </c>
      <c r="D33" s="12"/>
      <c r="E33" s="12"/>
      <c r="F33" s="12"/>
    </row>
    <row r="34" spans="2:6" x14ac:dyDescent="0.25">
      <c r="B34" s="7" t="s">
        <v>205</v>
      </c>
      <c r="C34" s="15">
        <f>'Needs calc'!$T$10</f>
      </c>
      <c r="D34" s="15"/>
      <c r="E34" s="15"/>
      <c r="F34" s="15"/>
    </row>
    <row r="35" spans="2:6" x14ac:dyDescent="0.25">
      <c r="B35" s="7" t="s">
        <v>206</v>
      </c>
      <c r="C35" s="15">
        <f>('Needs calc'!$T$4+'Needs calc'!$T$5+'Needs calc'!$T$6+'Needs calc'!$T$7+'Needs calc'!$T$8+'Needs calc'!$T$9)</f>
      </c>
      <c r="D35" s="15"/>
      <c r="E35" s="15"/>
      <c r="F35" s="15"/>
    </row>
    <row r="36" spans="2:6" x14ac:dyDescent="0.25">
      <c r="B36" s="30" t="s">
        <v>207</v>
      </c>
      <c r="C36" s="31">
        <f>('Needs calc'!$T$10+('Needs calc'!$T$4+'Needs calc'!$T$5+'Needs calc'!$T$6+'Needs calc'!$T$7+'Needs calc'!$T$8+'Needs calc'!$T$9))</f>
      </c>
      <c r="D36" s="31"/>
      <c r="E36" s="31"/>
      <c r="F36" s="31"/>
    </row>
    <row r="38" spans="2:6" x14ac:dyDescent="0.25">
      <c r="B38" s="12">
        <f>IF(SUMPRODUCT(('Inputs'!$H$100:$H$105="Yes")*('Inputs'!$B$100:$B$105&lt;&gt;""))&gt;0,"What the trust will cost (trustee fees of "&amp;IF(ROUND('Inputs'!$H$123,0)='Inputs'!$H$123,FIXED('Inputs'!$H$123,0),IF(ROUND('Inputs'!$H$123,1)='Inputs'!$H$123,FIXED('Inputs'!$H$123,1),FIXED('Inputs'!$H$123,2)))&amp;"%"&amp;" a year)","")</f>
      </c>
      <c r="C38" s="13">
        <f>IF('Inputs'!$H$100="Yes",'Inputs'!$B$100,"")</f>
      </c>
      <c r="D38" s="13">
        <f>IF('Inputs'!$H$101="Yes",'Inputs'!$B$101,"")</f>
      </c>
      <c r="E38" s="13">
        <f>IF('Inputs'!$H$102="Yes",'Inputs'!$B$102,"")</f>
      </c>
      <c r="F38" s="13">
        <f>IF('Inputs'!$H$103="Yes",'Inputs'!$B$103,"")</f>
      </c>
    </row>
    <row r="39" spans="2:6" x14ac:dyDescent="0.25">
      <c r="B39" s="41">
        <f>IF(SUMPRODUCT(('Inputs'!$H$100:$H$105="Yes")*('Inputs'!$B$100:$B$105&lt;&gt;""))&gt;0,"First year","")</f>
      </c>
      <c r="C39" s="15">
        <f>IF('Inputs'!$H$100="Yes",'Needs years'!$C$11,"")</f>
      </c>
      <c r="D39" s="15">
        <f>IF('Inputs'!$H$101="Yes",'Needs years'!$C$67,"")</f>
      </c>
      <c r="E39" s="15">
        <f>IF('Inputs'!$H$102="Yes",'Needs years'!$C$123,"")</f>
      </c>
      <c r="F39" s="15">
        <f>IF('Inputs'!$H$103="Yes",'Needs years'!$C$179,"")</f>
      </c>
    </row>
    <row r="40" spans="2:6" x14ac:dyDescent="0.25">
      <c r="B40" s="41">
        <f>IF(SUMPRODUCT(('Inputs'!$H$100:$H$105="Yes")*('Inputs'!$B$100:$B$105&lt;&gt;""))&gt;0,"Over the whole period","")</f>
      </c>
      <c r="C40" s="15">
        <f>IF('Inputs'!$H$100="Yes",'Needs years'!$C$12,"")</f>
      </c>
      <c r="D40" s="15">
        <f>IF('Inputs'!$H$101="Yes",'Needs years'!$C$68,"")</f>
      </c>
      <c r="E40" s="15">
        <f>IF('Inputs'!$H$102="Yes",'Needs years'!$C$124,"")</f>
      </c>
      <c r="F40" s="15">
        <f>IF('Inputs'!$H$103="Yes",'Needs years'!$C$180,"")</f>
      </c>
    </row>
    <row r="41" spans="2:6" x14ac:dyDescent="0.25">
      <c r="B41" s="41">
        <f>IF(SUMPRODUCT(('Inputs'!$H$100:$H$105="Yes")*('Inputs'!$B$100:$B$105&lt;&gt;""))&gt;0,"Extra capital it needs today (already in the need)","")</f>
      </c>
      <c r="C41" s="15">
        <f>IF('Inputs'!$H$100="Yes",'Needs years'!$C$13,"")</f>
      </c>
      <c r="D41" s="15">
        <f>IF('Inputs'!$H$101="Yes",'Needs years'!$C$69,"")</f>
      </c>
      <c r="E41" s="15">
        <f>IF('Inputs'!$H$102="Yes",'Needs years'!$C$125,"")</f>
      </c>
      <c r="F41" s="15">
        <f>IF('Inputs'!$H$103="Yes",'Needs years'!$C$181,"")</f>
      </c>
    </row>
    <row r="43" ht="18" customHeight="1" spans="2:6" x14ac:dyDescent="0.25">
      <c r="B43" s="5" t="s">
        <v>186</v>
      </c>
      <c r="C43" s="6"/>
      <c r="D43" s="6"/>
      <c r="E43" s="6"/>
      <c r="F43" s="6"/>
    </row>
    <row r="44" ht="27" customHeight="1" spans="2:6" x14ac:dyDescent="0.25">
      <c r="B44" s="35">
        <f>"1.  "&amp;IF(('Needs calc'!$T$10+('Needs calc'!$T$4+'Needs calc'!$T$5+'Needs calc'!$T$6+'Needs calc'!$T$7+'Needs calc'!$T$8+'Needs calc'!$T$9))&gt;0,"New life cover of R "&amp;FIXED(ROUND(('Needs calc'!$T$10+('Needs calc'!$T$4+'Needs calc'!$T$5+'Needs calc'!$T$6+'Needs calc'!$T$7+'Needs calc'!$T$8+'Needs calc'!$T$9)),-3),0)&amp;IF('Needs calc'!$T$10&gt;0,": R "&amp;FIXED(ROUND('Needs calc'!$T$10,-3),0)&amp;" paid to your estate, and the rest nominated for each person as shown",", nominated for each person as shown")&amp;".","Keep your nominations and will instructions as they are: they provide for everyone today.")</f>
      </c>
      <c r="C44" s="35"/>
      <c r="D44" s="35"/>
      <c r="E44" s="35"/>
      <c r="F44" s="35"/>
    </row>
    <row r="45" ht="27" customHeight="1" spans="2:6" x14ac:dyDescent="0.25">
      <c r="B45" s="35" t="s">
        <v>208</v>
      </c>
      <c r="C45" s="35"/>
      <c r="D45" s="35"/>
      <c r="E45" s="35"/>
      <c r="F45" s="35"/>
    </row>
    <row r="46" ht="27" customHeight="1" spans="2:6" x14ac:dyDescent="0.25">
      <c r="B46" s="35">
        <f>"3.  "&amp;IF(SUMPRODUCT(('Inputs'!$H$100:$H$105="Yes")*('Inputs'!$B$100:$B$105&lt;&gt;""))&gt;0,"Make sure your will sets up the trust that receives the children's money, and names the trustees.","Sign a will that says who inherits, so the law does not decide it for you.")</f>
      </c>
      <c r="C46" s="35"/>
      <c r="D46" s="35"/>
      <c r="E46" s="35"/>
      <c r="F46" s="35"/>
    </row>
    <row r="48" ht="44" customHeight="1" spans="2:6" x14ac:dyDescent="0.25">
      <c r="B48" s="36">
        <f>"Basis: indicative, on the needs you gave us and your policies and will instructions as they stand. Capital for a person is invested at "&amp;FIXED('Inputs'!$H$122,0)&amp;"% a year before tax as a unit trust, less their tax"&amp;IF(SUMPRODUCT(('Inputs'!$H$100:$H$105="Yes")*('Inputs'!$B$100:$B$105&lt;&gt;""))&gt;0," and trustee fees of "&amp;IF(ROUND('Inputs'!$H$123,0)='Inputs'!$H$123,FIXED('Inputs'!$H$123,0),IF(ROUND('Inputs'!$H$123,1)='Inputs'!$H$123,FIXED('Inputs'!$H$123,1),FIXED('Inputs'!$H$123,2)))&amp;"%"&amp;" a year while it is in the trust","")&amp;". Once-off needs are in today's money. Retirement money is paid out in cash, after the lump sum tax on death benefits. Each need rises as you asked. Not legal or tax advice."</f>
      </c>
      <c r="C48" s="36"/>
      <c r="D48" s="36"/>
      <c r="E48" s="36"/>
      <c r="F48" s="36"/>
    </row>
  </sheetData>
  <sheetProtection sheet="1" formatRows="0"/>
  <mergeCells count="21">
    <mergeCell ref="B1:F1"/>
    <mergeCell ref="B2:F2"/>
    <mergeCell ref="B3:F3"/>
    <mergeCell ref="B7:F7"/>
    <mergeCell ref="B8:F8"/>
    <mergeCell ref="B10:F10"/>
    <mergeCell ref="B11:F11"/>
    <mergeCell ref="B12:F12"/>
    <mergeCell ref="C14:F14"/>
    <mergeCell ref="C15:F15"/>
    <mergeCell ref="C16:F16"/>
    <mergeCell ref="C17:F17"/>
    <mergeCell ref="B31:F31"/>
    <mergeCell ref="C33:F33"/>
    <mergeCell ref="C34:F34"/>
    <mergeCell ref="C35:F35"/>
    <mergeCell ref="C36:F36"/>
    <mergeCell ref="B44:F44"/>
    <mergeCell ref="B45:F45"/>
    <mergeCell ref="B46:F46"/>
    <mergeCell ref="B48:F48"/>
  </mergeCells>
  <conditionalFormatting sqref="B10:F12">
    <cfRule type="expression" dxfId="23" priority="1">
      <formula>('Needs calc'!$T$10+('Needs calc'!$T$4+'Needs calc'!$T$5+'Needs calc'!$T$6+'Needs calc'!$T$7+'Needs calc'!$T$8+'Needs calc'!$T$9))=0</formula>
    </cfRule>
  </conditionalFormatting>
  <conditionalFormatting sqref="C29:F29">
    <cfRule type="expression" dxfId="24" priority="2">
      <formula>LEFT(C29,5)="Short"</formula>
    </cfRule>
    <cfRule type="expression" dxfId="25" priority="3">
      <formula>OR(LEFT(C29,7)="Covered",RIGHT(C29,4)="over")</formula>
    </cfRule>
  </conditionalFormatting>
  <conditionalFormatting sqref="C20:F30">
    <cfRule type="expression" dxfId="26" priority="4">
      <formula>C$19=""</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Lists</vt:lpstr>
      <vt:lpstr>Inputs</vt:lpstr>
      <vt:lpstr>Summary</vt:lpstr>
      <vt:lpstr>Life cover need</vt:lpstr>
      <vt:lpstr>Figures for quoting</vt:lpstr>
      <vt:lpstr>Workings</vt:lpstr>
      <vt:lpstr>Needs workings</vt:lpstr>
      <vt:lpstr>Needs calc</vt:lpstr>
      <vt:lpstr>Needs years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2026-10-15T19:38:55Z</dcterms:created>
  <dcterms:modified xsi:type="dcterms:W3CDTF">2026-10-15T19:38:55Z</dcterms:modified>
</cp:coreProperties>
</file>