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1"/>
  </bookViews>
  <sheets>
    <sheet sheetId="1" name="Lists" state="veryHidden" r:id="rId4"/>
    <sheet sheetId="2" name="Inputs" state="visible" r:id="rId5"/>
    <sheet sheetId="3" name="Summary" state="visible" r:id="rId6"/>
    <sheet sheetId="4" name="Figures for quoting" state="visible" r:id="rId7"/>
    <sheet sheetId="5" name="Workings" state="visible" r:id="rId8"/>
  </sheets>
  <definedNames>
    <definedName name="QF_M_ClientID">Lists!$I$1</definedName>
    <definedName name="QF_M_ClientName">Lists!$I$2</definedName>
    <definedName name="QF_M_Version">Lists!$I$3</definedName>
    <definedName name="QF_M_ExportedAt">Lists!$I$4</definedName>
    <definedName name="QF_M_ExportedBy">Lists!$I$5</definedName>
    <definedName name="QF_M_TemplateVersion">Lists!$I$6</definedName>
    <definedName name="QF_Client">Inputs!$C$8</definedName>
    <definedName name="QF_First">Inputs!$C$9</definedName>
    <definedName name="QF_Adviser">Inputs!$C$10</definedName>
    <definedName name="QF_Date">Inputs!$C$11</definedName>
    <definedName name="QF_AsAt">Inputs!$C$12</definedName>
    <definedName name="QF_Marital">Inputs!$C$13</definedName>
    <definedName name="QF_Residue">Inputs!$C$14</definedName>
    <definedName name="QF_Wishes">Inputs!$C$15</definedName>
    <definedName name="QF_TI">Inputs!$C$16</definedName>
    <definedName name="QF_TINote">Inputs!$C$17</definedName>
    <definedName name="QF_K_assets">Inputs!$B$20:$I$20</definedName>
    <definedName name="QF_T_assets">Inputs!$B$22:$I$39</definedName>
    <definedName name="QF_K_debts">Inputs!$B$43:$I$43</definedName>
    <definedName name="QF_T_debts">Inputs!$B$45:$I$54</definedName>
    <definedName name="QF_K_cover">Inputs!$B$57:$I$57</definedName>
    <definedName name="QF_T_cover">Inputs!$B$59:$I$70</definedName>
    <definedName name="QF_K_funds">Inputs!$B$74:$I$74</definedName>
    <definedName name="QF_T_funds">Inputs!$B$76:$I$83</definedName>
    <definedName name="QF_QuoteNo">Inputs!$C$86</definedName>
    <definedName name="QF_CLFee">Inputs!$C$87</definedName>
    <definedName name="QF_CLConv">Inputs!$C$88</definedName>
    <definedName name="QF_CLPays">Inputs!$C$89</definedName>
    <definedName name="QF_CLLimit">Inputs!$C$90</definedName>
    <definedName name="QF_CLPrem">Inputs!$C$91</definedName>
    <definedName name="QF_A_ExecFee">Inputs!$C$95</definedName>
    <definedName name="QF_A_VAT">Inputs!$C$96</definedName>
    <definedName name="QF_A_Master">Inputs!$C$97</definedName>
    <definedName name="QF_A_Funeral">Inputs!$C$98</definedName>
    <definedName name="QF_A_Sundries">Inputs!$C$99</definedName>
    <definedName name="QF_A_PropCost">Inputs!$C$100</definedName>
    <definedName name="QF_A_Agent">Inputs!$C$101</definedName>
    <definedName name="QF_A_Abatement">Inputs!$H$95</definedName>
    <definedName name="QF_A_DutyRate">Inputs!$H$96</definedName>
    <definedName name="QF_A_DutyBand">Inputs!$H$97</definedName>
    <definedName name="QF_A_DutyHigh">Inputs!$H$98</definedName>
    <definedName name="QF_A_CGTExcl">Inputs!$H$99</definedName>
    <definedName name="QF_A_Inclusion">Inputs!$H$100</definedName>
    <definedName name="QF_A_PRExcl">Inputs!$H$101</definedName>
    <definedName name="QF_A_TaxTable">Inputs!$C$104:$E$110</definedName>
    <definedName name="QF_K_checks">Inputs!$B$118</definedName>
    <definedName name="QF_T_checks">Inputs!$B$119:$B$132</definedName>
    <definedName name="QF_W_cost">Workings!$C$48</definedName>
    <definedName name="_xlnm.Print_Area" localSheetId="1">'Inputs'!$A1:$J132</definedName>
    <definedName name="_xlnm.Print_Titles" localSheetId="1">'Inputs'!$1:$2</definedName>
    <definedName name="_xlnm.Print_Area" localSheetId="2">'Summary'!$A1:$D35</definedName>
    <definedName name="_xlnm.Print_Titles" localSheetId="2">'Summary'!$1:$2</definedName>
    <definedName name="_xlnm.Print_Area" localSheetId="3">'Figures for quoting'!$A1:$D35</definedName>
    <definedName name="_xlnm.Print_Titles" localSheetId="3">'Figures for quoting'!$1:$2</definedName>
    <definedName name="_xlnm.Print_Area" localSheetId="4">'Workings'!$A1:$D60</definedName>
    <definedName name="_xlnm.Print_Titles" localSheetId="4">'Workings'!$1:$2</definedName>
  </definedNames>
  <calcPr calcId="171027" fullCalcOnLoad="1"/>
</workbook>
</file>

<file path=xl/sharedStrings.xml><?xml version="1.0" encoding="utf-8"?>
<sst xmlns="http://schemas.openxmlformats.org/spreadsheetml/2006/main" count="238" uniqueCount="196">
  <si>
    <t>kind</t>
  </si>
  <si>
    <t>passes</t>
  </si>
  <si>
    <t>paidTo</t>
  </si>
  <si>
    <t>yesno</t>
  </si>
  <si>
    <t>residue</t>
  </si>
  <si>
    <t>marital</t>
  </si>
  <si>
    <t>ClientID</t>
  </si>
  <si>
    <t>Property</t>
  </si>
  <si>
    <t>Estate (residue)</t>
  </si>
  <si>
    <t>Estate</t>
  </si>
  <si>
    <t>Yes</t>
  </si>
  <si>
    <t>Heirs (people)</t>
  </si>
  <si>
    <t>Single</t>
  </si>
  <si>
    <t>ClientName</t>
  </si>
  <si>
    <t>Cash and deposits</t>
  </si>
  <si>
    <t>Spouse</t>
  </si>
  <si>
    <t>No</t>
  </si>
  <si>
    <t>Engaged</t>
  </si>
  <si>
    <t>Version</t>
  </si>
  <si>
    <t>1.0</t>
  </si>
  <si>
    <t>Shares and unit trusts</t>
  </si>
  <si>
    <t>Named heir</t>
  </si>
  <si>
    <t>Named person</t>
  </si>
  <si>
    <t>Married - ANC with accrual</t>
  </si>
  <si>
    <t>ExportedAt</t>
  </si>
  <si>
    <t>Other investment</t>
  </si>
  <si>
    <t>Married - ANC without accrual</t>
  </si>
  <si>
    <t>ExportedBy</t>
  </si>
  <si>
    <t>Tax-free investment</t>
  </si>
  <si>
    <t>Married in COP</t>
  </si>
  <si>
    <t>TemplateVersion</t>
  </si>
  <si>
    <t>Loan account</t>
  </si>
  <si>
    <t>Life partner</t>
  </si>
  <si>
    <t>Vehicle or contents</t>
  </si>
  <si>
    <t>Divorced</t>
  </si>
  <si>
    <t>Business interest</t>
  </si>
  <si>
    <t>Widowed</t>
  </si>
  <si>
    <t>Married</t>
  </si>
  <si>
    <t>Civil Union</t>
  </si>
  <si>
    <t>Co-Habitation</t>
  </si>
  <si>
    <t>Duwalcoe Financial Consultants CC</t>
  </si>
  <si>
    <t>FSP 9978   |   clinton@duwalcoe.co.za   |   083 608 5617</t>
  </si>
  <si>
    <t>Inputs: check the yellow cells</t>
  </si>
  <si>
    <t>The CRM fills this sheet from the client's record. Yellow cells are yours to change; everything else works itself out.</t>
  </si>
  <si>
    <t>1. The client</t>
  </si>
  <si>
    <t>Client</t>
  </si>
  <si>
    <t>First name, for the wording</t>
  </si>
  <si>
    <t>Prepared by</t>
  </si>
  <si>
    <t>Date of this FNA</t>
  </si>
  <si>
    <t>Values as at</t>
  </si>
  <si>
    <t>Marital status</t>
  </si>
  <si>
    <t>Who inherits the residue</t>
  </si>
  <si>
    <t>Their wishes in one line (optional, starts the summary)</t>
  </si>
  <si>
    <t>Taxable income for the year of death (R a year)</t>
  </si>
  <si>
    <t>Made up of</t>
  </si>
  <si>
    <t>2. What they own (in the estate)</t>
  </si>
  <si>
    <t>name</t>
  </si>
  <si>
    <t>value</t>
  </si>
  <si>
    <t>base</t>
  </si>
  <si>
    <t>home</t>
  </si>
  <si>
    <t>sold</t>
  </si>
  <si>
    <t>notes</t>
  </si>
  <si>
    <t>Asset</t>
  </si>
  <si>
    <t>Kind</t>
  </si>
  <si>
    <t>Value (R)</t>
  </si>
  <si>
    <t>Base cost (R)</t>
  </si>
  <si>
    <t>Main home?</t>
  </si>
  <si>
    <t>Passes to</t>
  </si>
  <si>
    <t>Executor sells or cashes it?</t>
  </si>
  <si>
    <t>Notes</t>
  </si>
  <si>
    <t>Gain for capital gains tax</t>
  </si>
  <si>
    <t>Base cost: leave it blank only if it is not known; capital gains tax is then worked out on the full value (the worst case) and flagged below. Joint assets: enter your client's share.</t>
  </si>
  <si>
    <t>3. Debts</t>
  </si>
  <si>
    <t>amount</t>
  </si>
  <si>
    <t>Debt</t>
  </si>
  <si>
    <t>Amount (R)</t>
  </si>
  <si>
    <t>4. Life cover and policies paid out at death</t>
  </si>
  <si>
    <t>counted</t>
  </si>
  <si>
    <t>Policy</t>
  </si>
  <si>
    <t>Paid to</t>
  </si>
  <si>
    <t>Paid at death (R)</t>
  </si>
  <si>
    <t>Counted for estate duty?</t>
  </si>
  <si>
    <t>Paid to Estate: paid into the estate, so the executor can use it, and executor's fees are charged on it. Spouse or Named person: paid to them directly. Counted for estate duty: No only for approved group life inside a pension or provident fund.</t>
  </si>
  <si>
    <t>5. Retirement funds and annuities (not in the estate, no estate duty)</t>
  </si>
  <si>
    <t>Retirement fund or annuity</t>
  </si>
  <si>
    <t>6. Capital Legacy quote (the second column)</t>
  </si>
  <si>
    <t>Quote number</t>
  </si>
  <si>
    <t>Capital Legacy executor's fee, before VAT (%)</t>
  </si>
  <si>
    <t>Conveyancing estimate (R)</t>
  </si>
  <si>
    <t>The plan pays (% of the fees)</t>
  </si>
  <si>
    <t>Limit the plan pays today (R)</t>
  </si>
  <si>
    <t>Premium, first year (R a month)</t>
  </si>
  <si>
    <t>Leave the quote blank and the second column stays empty. The plan pays its share of Capital Legacy's executor's fee and the conveyancing, up to the limit; it does not pay capital gains tax or estate duty.</t>
  </si>
  <si>
    <t>7. Standard assumptions (change them only for this client)</t>
  </si>
  <si>
    <t>Executor's fee, before VAT (%)</t>
  </si>
  <si>
    <t>Estate duty abatement (R)</t>
  </si>
  <si>
    <t>VAT (%)</t>
  </si>
  <si>
    <t>Estate duty rate (%)</t>
  </si>
  <si>
    <t>Master's fees (R)</t>
  </si>
  <si>
    <t>Higher rate applies above (R)</t>
  </si>
  <si>
    <t>Funeral (R)</t>
  </si>
  <si>
    <t>Higher estate duty rate (%)</t>
  </si>
  <si>
    <t>Estate sundries (R)</t>
  </si>
  <si>
    <t>Capital gains exclusion in the year of death (R)</t>
  </si>
  <si>
    <t>Property transfer costs (% of value)</t>
  </si>
  <si>
    <t>Capital gains inclusion rate (%)</t>
  </si>
  <si>
    <t>Agent's commission on a property sold, before VAT (%)</t>
  </si>
  <si>
    <t>Primary residence exclusion (R)</t>
  </si>
  <si>
    <t>Income tax table, 2027 tax year</t>
  </si>
  <si>
    <t>Taxable income over (R)</t>
  </si>
  <si>
    <t>Tax on that (R)</t>
  </si>
  <si>
    <t>Rate above it (%)</t>
  </si>
  <si>
    <t>Source: Momentum Tax Guide 2026/2027. Tax before rebates: the rebates cancel out, because capital gains tax is the tax with the gain less the tax without it.</t>
  </si>
  <si>
    <t>8. Checks</t>
  </si>
  <si>
    <t>text</t>
  </si>
  <si>
    <t>Cost of dying</t>
  </si>
  <si>
    <t/>
  </si>
  <si>
    <t>Today</t>
  </si>
  <si>
    <t>Estate duty</t>
  </si>
  <si>
    <t>Capital gains tax</t>
  </si>
  <si>
    <t>Agent's commission</t>
  </si>
  <si>
    <t>Funeral, Master's fees and sundries</t>
  </si>
  <si>
    <t>Cost of winding up</t>
  </si>
  <si>
    <t>Paid by the Legacy plan</t>
  </si>
  <si>
    <t>Paid by your estate</t>
  </si>
  <si>
    <t>Debts</t>
  </si>
  <si>
    <t>Shortfall, or cash left over</t>
  </si>
  <si>
    <t>Cost to you</t>
  </si>
  <si>
    <t>None</t>
  </si>
  <si>
    <t>Next steps to discuss</t>
  </si>
  <si>
    <t>Winding up the estate: the figures</t>
  </si>
  <si>
    <t>Split the way quotes ask for them. Debts are shown separately.</t>
  </si>
  <si>
    <t>IN THE ESTATE: EXECUTOR'S FEES ARE CHARGED ON THESE</t>
  </si>
  <si>
    <t>Immovable property</t>
  </si>
  <si>
    <t>Movable property (vehicles, contents)</t>
  </si>
  <si>
    <t>Cash: bank accounts and deposits</t>
  </si>
  <si>
    <t>Listed shares and unit trusts</t>
  </si>
  <si>
    <t>Other investments (tax-free, loan accounts, business interests)</t>
  </si>
  <si>
    <t>Life assurance paid into the estate</t>
  </si>
  <si>
    <t>Total in the estate</t>
  </si>
  <si>
    <t>OUTSIDE THE ESTATE: NO EXECUTOR'S FEES</t>
  </si>
  <si>
    <t>Policies paid to a named person or spouse (counted for estate duty)</t>
  </si>
  <si>
    <t>Approved group life (not counted)</t>
  </si>
  <si>
    <t>Retirement funds (not counted)</t>
  </si>
  <si>
    <t>TOTALS</t>
  </si>
  <si>
    <t>Everything owned</t>
  </si>
  <si>
    <t>Counted for estate duty</t>
  </si>
  <si>
    <t>Liabilities</t>
  </si>
  <si>
    <t>COST OF WINDING UP</t>
  </si>
  <si>
    <t>Executor's fees</t>
  </si>
  <si>
    <t>Master's fees, funeral, notices and sundries</t>
  </si>
  <si>
    <t>Property transfer and conveyancing</t>
  </si>
  <si>
    <t>Agent's commission on property sold</t>
  </si>
  <si>
    <t>Estate duty borne by the estate</t>
  </si>
  <si>
    <t>Cost of winding up, before debts</t>
  </si>
  <si>
    <t>Debts (not included above)</t>
  </si>
  <si>
    <t>Cover paid into an estate is itself charged executor's fees; cover paid to a named person or trust is not.</t>
  </si>
  <si>
    <t>Workings</t>
  </si>
  <si>
    <t>Adviser reference and compliance record. Precise figures.</t>
  </si>
  <si>
    <t>1. Capital gains tax on death</t>
  </si>
  <si>
    <t>With the plan</t>
  </si>
  <si>
    <t>Gains: value less base cost, on property, shares, unit trusts and other investments</t>
  </si>
  <si>
    <t>Less the primary residence exclusion</t>
  </si>
  <si>
    <t>Less the exclusion in the year of death</t>
  </si>
  <si>
    <t>Net gain</t>
  </si>
  <si>
    <t>Tax on taxable income plus the gain added</t>
  </si>
  <si>
    <t>Less tax on taxable income alone</t>
  </si>
  <si>
    <t>Capital gains tax on death</t>
  </si>
  <si>
    <t>2. Estate duty</t>
  </si>
  <si>
    <t>Assets in the estate</t>
  </si>
  <si>
    <t>Life cover paid into the estate</t>
  </si>
  <si>
    <t>Gross estate (handled by the executor)</t>
  </si>
  <si>
    <t>Policies paid to a named person or spouse, counted for estate duty</t>
  </si>
  <si>
    <t>Gross dutiable estate</t>
  </si>
  <si>
    <t>Less debts</t>
  </si>
  <si>
    <t>Less funeral</t>
  </si>
  <si>
    <t>Less Master's fees</t>
  </si>
  <si>
    <t>Less estate sundries</t>
  </si>
  <si>
    <t>Less property transfer costs / Capital Legacy conveyancing</t>
  </si>
  <si>
    <t>Less agent's commission on property sold</t>
  </si>
  <si>
    <t>Less capital gains tax on death (s.4(l))</t>
  </si>
  <si>
    <t>Less everything passing to the spouse (s.4(q))</t>
  </si>
  <si>
    <t>Net value of the estate</t>
  </si>
  <si>
    <t>Less abatement (s.4A)</t>
  </si>
  <si>
    <t>Dutiable amount</t>
  </si>
  <si>
    <t>Average rate (duty / net value)</t>
  </si>
  <si>
    <t>Less duty the executor recovers from named people (policies and bequests)</t>
  </si>
  <si>
    <t>3. Does the estate have enough cash?</t>
  </si>
  <si>
    <t>Property transfer costs / conveyancing</t>
  </si>
  <si>
    <t>Paid by the estate</t>
  </si>
  <si>
    <t>Cash the executor needs</t>
  </si>
  <si>
    <t>Cash and deposits, and investments the executor cashes in</t>
  </si>
  <si>
    <t>Cash the executor has</t>
  </si>
  <si>
    <t>Shortfall</t>
  </si>
  <si>
    <t>Cash left over</t>
  </si>
  <si>
    <t>Left from the estate for everyone who inherits from it, if they pay any shortfall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</si>
</sst>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&quot;R &quot;#,##0.00;&quot;(R &quot;#,##0.00\);\-"/>
    <numFmt numFmtId="166" formatCode="&quot;R &quot;#,##0;&quot;(R &quot;#,##0\);\-"/>
    <numFmt numFmtId="167" formatCode="0.0000%"/>
  </numFmts>
  <fonts count="20" x14ac:knownFonts="1">
    <font>
      <color theme="1"/>
      <family val="2"/>
      <scheme val="minor"/>
      <sz val="11"/>
      <name val="Calibri"/>
    </font>
    <font>
      <b/>
      <color rgb="FFFFFFFF"/>
      <sz val="13"/>
      <name val="Arial"/>
    </font>
    <font>
      <color rgb="FFFFFFFF"/>
      <sz val="9"/>
      <name val="Arial"/>
    </font>
    <font>
      <b/>
      <color rgb="FF0E413A"/>
      <sz val="15"/>
      <name val="Arial"/>
    </font>
    <font>
      <color rgb="FF6B7A77"/>
      <sz val="9"/>
      <name val="Arial"/>
    </font>
    <font>
      <b/>
      <color rgb="FF0E413A"/>
      <sz val="12"/>
      <name val="Arial"/>
    </font>
    <font>
      <color rgb="FF000000"/>
      <sz val="10"/>
      <name val="Arial"/>
    </font>
    <font>
      <sz val="10"/>
      <name val="Arial"/>
    </font>
    <font>
      <b/>
      <color rgb="FFFFFFFF"/>
      <sz val="9"/>
      <name val="Arial"/>
    </font>
    <font>
      <sz val="9"/>
      <name val="Arial"/>
    </font>
    <font>
      <b/>
      <color rgb="FF000000"/>
      <sz val="10"/>
      <name val="Arial"/>
    </font>
    <font>
      <b/>
      <sz val="10"/>
      <name val="Arial"/>
    </font>
    <font>
      <b/>
      <color rgb="FFB3261E"/>
      <sz val="9"/>
      <name val="Arial"/>
    </font>
    <font>
      <color rgb="FF333333"/>
      <sz val="10.5"/>
      <name val="Arial"/>
    </font>
    <font>
      <b/>
      <color rgb="FF6B7A77"/>
      <sz val="8"/>
      <name val="Arial"/>
    </font>
    <font>
      <b/>
      <color rgb="FFB3261E"/>
      <sz val="20"/>
      <name val="Arial"/>
    </font>
    <font>
      <b/>
      <color rgb="FF2F7A4F"/>
      <sz val="10"/>
      <name val="Arial"/>
    </font>
    <font>
      <color rgb="FF333333"/>
      <sz val="10"/>
      <name val="Arial"/>
    </font>
    <font>
      <color rgb="FF6B7A77"/>
      <sz val="8"/>
      <name val="Arial"/>
    </font>
    <font>
      <b/>
      <color rgb="FF0E413A"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0E413A"/>
      </patternFill>
    </fill>
    <fill>
      <patternFill patternType="solid">
        <fgColor rgb="FFFFF2A8"/>
      </patternFill>
    </fill>
    <fill>
      <patternFill patternType="solid">
        <fgColor rgb="FFF2F5F4"/>
      </patternFill>
    </fill>
    <fill>
      <patternFill patternType="solid">
        <fgColor rgb="FFFBEFEE"/>
      </patternFill>
    </fill>
    <fill>
      <patternFill patternType="solid">
        <fgColor rgb="FFE4EBE9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A8B938"/>
      </bottom>
      <diagonal/>
    </border>
    <border>
      <left style="thin">
        <color rgb="FFBFC9C7"/>
      </left>
      <right style="thin">
        <color rgb="FFBFC9C7"/>
      </right>
      <top style="thin">
        <color rgb="FFBFC9C7"/>
      </top>
      <bottom style="thin">
        <color rgb="FFBFC9C7"/>
      </bottom>
      <diagonal/>
    </border>
    <border>
      <left style="thick">
        <color rgb="FFB3261E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2" borderId="1" xfId="0" applyFont="1" applyFill="1" applyBorder="1" applyAlignment="1">
      <alignment vertical="center" indent="1"/>
    </xf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0" fillId="0" borderId="1" xfId="0" applyBorder="1"/>
    <xf numFmtId="0" fontId="6" fillId="0" borderId="2" xfId="0" applyFont="1" applyBorder="1" applyAlignment="1">
      <alignment vertical="top" wrapText="1"/>
    </xf>
    <xf numFmtId="0" fontId="7" fillId="3" borderId="2" xfId="0" applyFont="1" applyFill="1" applyBorder="1" applyAlignment="1" applyProtection="1">
      <alignment vertical="top" wrapText="1"/>
      <protection locked="0"/>
    </xf>
    <xf numFmtId="164" fontId="7" fillId="3" borderId="2" xfId="0" applyNumberFormat="1" applyFont="1" applyFill="1" applyBorder="1" applyAlignment="1" applyProtection="1">
      <alignment vertical="top"/>
      <protection locked="0"/>
    </xf>
    <xf numFmtId="0" fontId="7" fillId="3" borderId="2" xfId="0" applyFont="1" applyFill="1" applyBorder="1" applyAlignment="1" applyProtection="1">
      <alignment vertical="top"/>
      <protection locked="0"/>
    </xf>
    <xf numFmtId="165" fontId="7" fillId="3" borderId="2" xfId="0" applyNumberFormat="1" applyFont="1" applyFill="1" applyBorder="1" applyAlignment="1" applyProtection="1">
      <alignment horizontal="right" vertical="top"/>
      <protection locked="0"/>
    </xf>
    <xf numFmtId="0" fontId="8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right" vertical="center" wrapText="1"/>
    </xf>
    <xf numFmtId="0" fontId="9" fillId="3" borderId="2" xfId="0" applyFont="1" applyFill="1" applyBorder="1" applyAlignment="1" applyProtection="1">
      <alignment vertical="top" wrapText="1"/>
      <protection locked="0"/>
    </xf>
    <xf numFmtId="166" fontId="6" fillId="4" borderId="2" xfId="0" applyNumberFormat="1" applyFont="1" applyFill="1" applyBorder="1" applyAlignment="1">
      <alignment horizontal="right" vertical="top"/>
    </xf>
    <xf numFmtId="0" fontId="4" fillId="0" borderId="0" xfId="0" applyFont="1" applyAlignment="1">
      <alignment vertical="top" wrapText="1"/>
    </xf>
    <xf numFmtId="2" fontId="7" fillId="3" borderId="2" xfId="0" applyNumberFormat="1" applyFont="1" applyFill="1" applyBorder="1" applyAlignment="1" applyProtection="1">
      <alignment horizontal="right" vertical="top"/>
      <protection locked="0"/>
    </xf>
    <xf numFmtId="0" fontId="10" fillId="0" borderId="2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0" applyFont="1" applyAlignment="1" applyProtection="1">
      <alignment vertical="top" wrapText="1"/>
      <protection locked="0"/>
    </xf>
    <xf numFmtId="0" fontId="12" fillId="0" borderId="0" xfId="0" applyFont="1" applyAlignment="1">
      <alignment horizontal="right"/>
    </xf>
    <xf numFmtId="0" fontId="13" fillId="0" borderId="0" xfId="0" applyFont="1" applyAlignment="1">
      <alignment vertical="top" wrapText="1"/>
    </xf>
    <xf numFmtId="0" fontId="14" fillId="5" borderId="3" xfId="0" applyFont="1" applyFill="1" applyBorder="1" applyAlignment="1">
      <alignment vertical="center" indent="1"/>
    </xf>
    <xf numFmtId="0" fontId="15" fillId="5" borderId="3" xfId="0" applyFont="1" applyFill="1" applyBorder="1" applyAlignment="1">
      <alignment vertical="center" indent="1"/>
    </xf>
    <xf numFmtId="0" fontId="4" fillId="5" borderId="3" xfId="0" applyFont="1" applyFill="1" applyBorder="1" applyAlignment="1">
      <alignment vertical="center" indent="1"/>
    </xf>
    <xf numFmtId="0" fontId="7" fillId="0" borderId="2" xfId="0" applyFont="1" applyBorder="1" applyAlignment="1">
      <alignment vertical="top" wrapText="1"/>
    </xf>
    <xf numFmtId="0" fontId="10" fillId="6" borderId="2" xfId="0" applyFont="1" applyFill="1" applyBorder="1" applyAlignment="1">
      <alignment vertical="top" wrapText="1"/>
    </xf>
    <xf numFmtId="166" fontId="10" fillId="6" borderId="2" xfId="0" applyNumberFormat="1" applyFont="1" applyFill="1" applyBorder="1" applyAlignment="1">
      <alignment horizontal="right" vertical="top"/>
    </xf>
    <xf numFmtId="0" fontId="10" fillId="4" borderId="2" xfId="0" applyFont="1" applyFill="1" applyBorder="1" applyAlignment="1">
      <alignment horizontal="right" vertical="top"/>
    </xf>
    <xf numFmtId="166" fontId="16" fillId="4" borderId="2" xfId="0" applyNumberFormat="1" applyFont="1" applyFill="1" applyBorder="1" applyAlignment="1">
      <alignment horizontal="right" vertical="top"/>
    </xf>
    <xf numFmtId="0" fontId="6" fillId="4" borderId="2" xfId="0" applyFont="1" applyFill="1" applyBorder="1" applyAlignment="1">
      <alignment horizontal="right" vertical="top"/>
    </xf>
    <xf numFmtId="0" fontId="17" fillId="0" borderId="0" xfId="0" applyFont="1" applyAlignment="1">
      <alignment vertical="top" wrapText="1"/>
    </xf>
    <xf numFmtId="0" fontId="18" fillId="0" borderId="0" xfId="0" applyFont="1" applyAlignment="1">
      <alignment vertical="top" wrapText="1"/>
    </xf>
    <xf numFmtId="0" fontId="19" fillId="4" borderId="0" xfId="0" applyFont="1" applyFill="1"/>
    <xf numFmtId="165" fontId="6" fillId="4" borderId="2" xfId="0" applyNumberFormat="1" applyFont="1" applyFill="1" applyBorder="1" applyAlignment="1">
      <alignment horizontal="right" vertical="top"/>
    </xf>
    <xf numFmtId="165" fontId="10" fillId="6" borderId="2" xfId="0" applyNumberFormat="1" applyFont="1" applyFill="1" applyBorder="1" applyAlignment="1">
      <alignment horizontal="right" vertical="top"/>
    </xf>
    <xf numFmtId="167" fontId="6" fillId="4" borderId="2" xfId="0" applyNumberFormat="1" applyFont="1" applyFill="1" applyBorder="1" applyAlignment="1">
      <alignment vertical="top"/>
    </xf>
  </cellXfs>
  <cellStyles count="1">
    <cellStyle name="Normal" xfId="0" builtinId="0"/>
  </cellStyles>
  <dxfs count="5">
    <dxf>
      <font>
        <b/>
        <color rgb="FFB3261E"/>
      </font>
      <fill>
        <patternFill patternType="solid">
          <bgColor rgb="FFFBEFEE"/>
        </patternFill>
      </fill>
    </dxf>
    <dxf>
      <font>
        <b/>
        <color rgb="FF2F7A4F"/>
      </font>
      <fill>
        <patternFill patternType="solid">
          <bgColor rgb="FFEAF4EE"/>
        </patternFill>
      </fill>
    </dxf>
    <dxf>
      <font>
        <color rgb="FF2F7A4F"/>
      </font>
      <fill>
        <patternFill patternType="solid">
          <bgColor rgb="FFEAF4EE"/>
        </patternFill>
      </fill>
    </dxf>
    <dxf>
      <font>
        <b/>
        <color rgb="FFB3261E"/>
      </font>
      <fill>
        <patternFill patternType="solid">
          <bgColor rgb="FFFBEFEE"/>
        </patternFill>
      </fill>
    </dxf>
    <dxf>
      <font>
        <b/>
        <color rgb="FF2F7A4F"/>
      </font>
      <fill>
        <patternFill patternType="solid">
          <bgColor rgb="FFEAF4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FormatPr defaultRowHeight="15" outlineLevelRow="0" outlineLevelCol="0" x14ac:dyDescent="5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6</v>
      </c>
    </row>
    <row r="2" spans="1:8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H2" t="s">
        <v>13</v>
      </c>
    </row>
    <row r="3" spans="1:9" x14ac:dyDescent="0.25">
      <c r="A3" t="s">
        <v>14</v>
      </c>
      <c r="B3" t="s">
        <v>15</v>
      </c>
      <c r="C3" t="s">
        <v>15</v>
      </c>
      <c r="D3" t="s">
        <v>16</v>
      </c>
      <c r="E3" t="s">
        <v>15</v>
      </c>
      <c r="F3" t="s">
        <v>17</v>
      </c>
      <c r="H3" t="s">
        <v>18</v>
      </c>
      <c r="I3" t="s">
        <v>19</v>
      </c>
    </row>
    <row r="4" spans="1:8" x14ac:dyDescent="0.25">
      <c r="A4" t="s">
        <v>20</v>
      </c>
      <c r="B4" t="s">
        <v>21</v>
      </c>
      <c r="C4" t="s">
        <v>22</v>
      </c>
      <c r="F4" t="s">
        <v>23</v>
      </c>
      <c r="H4" t="s">
        <v>24</v>
      </c>
    </row>
    <row r="5" spans="1:8" x14ac:dyDescent="0.25">
      <c r="A5" t="s">
        <v>25</v>
      </c>
      <c r="F5" t="s">
        <v>26</v>
      </c>
      <c r="H5" t="s">
        <v>27</v>
      </c>
    </row>
    <row r="6" spans="1:9" x14ac:dyDescent="0.25">
      <c r="A6" t="s">
        <v>28</v>
      </c>
      <c r="F6" t="s">
        <v>29</v>
      </c>
      <c r="H6" t="s">
        <v>30</v>
      </c>
      <c r="I6" t="s">
        <v>19</v>
      </c>
    </row>
    <row r="7" spans="1:6" x14ac:dyDescent="0.25">
      <c r="A7" t="s">
        <v>31</v>
      </c>
      <c r="F7" t="s">
        <v>32</v>
      </c>
    </row>
    <row r="8" spans="1:6" x14ac:dyDescent="0.25">
      <c r="A8" t="s">
        <v>33</v>
      </c>
      <c r="F8" t="s">
        <v>34</v>
      </c>
    </row>
    <row r="9" spans="1:6" x14ac:dyDescent="0.25">
      <c r="A9" t="s">
        <v>35</v>
      </c>
      <c r="F9" t="s">
        <v>36</v>
      </c>
    </row>
    <row r="10" spans="6:6" x14ac:dyDescent="0.25">
      <c r="F10" t="s">
        <v>37</v>
      </c>
    </row>
    <row r="11" spans="6:6" x14ac:dyDescent="0.25">
      <c r="F11" t="s">
        <v>38</v>
      </c>
    </row>
    <row r="12" spans="6:6" x14ac:dyDescent="0.25">
      <c r="F12" t="s">
        <v>39</v>
      </c>
    </row>
  </sheetData>
  <sheetProtection sheet="1" formatRows="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132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" customWidth="1"/>
    <col min="2" max="2" width="40" customWidth="1"/>
    <col min="3" max="3" width="20" customWidth="1"/>
    <col min="4" max="5" width="15" customWidth="1"/>
    <col min="6" max="6" width="10" customWidth="1"/>
    <col min="7" max="7" width="17" customWidth="1"/>
    <col min="8" max="8" width="18" customWidth="1"/>
    <col min="9" max="9" width="34" customWidth="1"/>
    <col min="10" max="10" width="15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</cols>
  <sheetData>
    <row r="1" ht="21.75" customHeight="1" spans="2:10" x14ac:dyDescent="0.25">
      <c r="B1" s="1" t="s">
        <v>40</v>
      </c>
      <c r="C1" s="1"/>
      <c r="D1" s="1"/>
      <c r="E1" s="1"/>
      <c r="F1" s="1"/>
      <c r="G1" s="1"/>
      <c r="H1" s="1"/>
      <c r="I1" s="1"/>
      <c r="J1" s="1"/>
    </row>
    <row r="2" ht="15" customHeight="1" spans="2:10" x14ac:dyDescent="0.25">
      <c r="B2" s="2" t="s">
        <v>41</v>
      </c>
      <c r="C2" s="2"/>
      <c r="D2" s="2"/>
      <c r="E2" s="2"/>
      <c r="F2" s="2"/>
      <c r="G2" s="2"/>
      <c r="H2" s="2"/>
      <c r="I2" s="2"/>
      <c r="J2" s="2"/>
    </row>
    <row r="4" ht="20" customHeight="1" spans="2:2" x14ac:dyDescent="0.25">
      <c r="B4" s="3" t="s">
        <v>42</v>
      </c>
    </row>
    <row r="5" spans="2:2" x14ac:dyDescent="0.25">
      <c r="B5" s="4" t="s">
        <v>43</v>
      </c>
    </row>
    <row r="7" ht="18" customHeight="1" spans="2:10" x14ac:dyDescent="0.25">
      <c r="B7" s="5" t="s">
        <v>44</v>
      </c>
      <c r="C7" s="6"/>
      <c r="D7" s="6"/>
      <c r="E7" s="6"/>
      <c r="F7" s="6"/>
      <c r="G7" s="6"/>
      <c r="H7" s="6"/>
      <c r="I7" s="6"/>
      <c r="J7" s="6"/>
    </row>
    <row r="8" spans="2:5" x14ac:dyDescent="0.25">
      <c r="B8" s="7" t="s">
        <v>45</v>
      </c>
      <c r="C8" s="8"/>
      <c r="D8" s="8"/>
      <c r="E8" s="8"/>
    </row>
    <row r="9" spans="2:5" x14ac:dyDescent="0.25">
      <c r="B9" s="7" t="s">
        <v>46</v>
      </c>
      <c r="C9" s="8"/>
      <c r="D9" s="8"/>
      <c r="E9" s="8"/>
    </row>
    <row r="10" spans="2:5" x14ac:dyDescent="0.25">
      <c r="B10" s="7" t="s">
        <v>47</v>
      </c>
      <c r="C10" s="8"/>
      <c r="D10" s="8"/>
      <c r="E10" s="8"/>
    </row>
    <row r="11" spans="2:5" x14ac:dyDescent="0.25">
      <c r="B11" s="7" t="s">
        <v>48</v>
      </c>
      <c r="C11" s="9"/>
      <c r="D11" s="9"/>
      <c r="E11" s="9"/>
    </row>
    <row r="12" spans="2:5" x14ac:dyDescent="0.25">
      <c r="B12" s="7" t="s">
        <v>49</v>
      </c>
      <c r="C12" s="9"/>
      <c r="D12" s="9"/>
      <c r="E12" s="9"/>
    </row>
    <row r="13" spans="2:5" x14ac:dyDescent="0.25">
      <c r="B13" s="7" t="s">
        <v>50</v>
      </c>
      <c r="C13" s="10"/>
      <c r="D13" s="10"/>
      <c r="E13" s="10"/>
    </row>
    <row r="14" spans="2:5" x14ac:dyDescent="0.25">
      <c r="B14" s="7" t="s">
        <v>51</v>
      </c>
      <c r="C14" s="10"/>
      <c r="D14" s="10"/>
      <c r="E14" s="10"/>
    </row>
    <row r="15" ht="27" customHeight="1" spans="2:9" x14ac:dyDescent="0.25">
      <c r="B15" s="7" t="s">
        <v>52</v>
      </c>
      <c r="C15" s="8"/>
      <c r="D15" s="8"/>
      <c r="E15" s="8"/>
      <c r="F15" s="8"/>
      <c r="G15" s="8"/>
      <c r="H15" s="8"/>
      <c r="I15" s="8"/>
    </row>
    <row r="16" spans="2:5" x14ac:dyDescent="0.25">
      <c r="B16" s="7" t="s">
        <v>53</v>
      </c>
      <c r="C16" s="11"/>
      <c r="D16" s="11"/>
      <c r="E16" s="11"/>
    </row>
    <row r="17" ht="27" customHeight="1" spans="2:9" x14ac:dyDescent="0.25">
      <c r="B17" s="7" t="s">
        <v>54</v>
      </c>
      <c r="C17" s="8"/>
      <c r="D17" s="8"/>
      <c r="E17" s="8"/>
      <c r="F17" s="8"/>
      <c r="G17" s="8"/>
      <c r="H17" s="8"/>
      <c r="I17" s="8"/>
    </row>
    <row r="19" ht="18" customHeight="1" spans="2:10" x14ac:dyDescent="0.25">
      <c r="B19" s="5" t="s">
        <v>55</v>
      </c>
      <c r="C19" s="6"/>
      <c r="D19" s="6"/>
      <c r="E19" s="6"/>
      <c r="F19" s="6"/>
      <c r="G19" s="6"/>
      <c r="H19" s="6"/>
      <c r="I19" s="6"/>
      <c r="J19" s="6"/>
    </row>
    <row r="20" hidden="1" spans="2:9" x14ac:dyDescent="0.25">
      <c r="B20" t="s">
        <v>56</v>
      </c>
      <c r="C20" t="s">
        <v>0</v>
      </c>
      <c r="D20" t="s">
        <v>57</v>
      </c>
      <c r="E20" t="s">
        <v>58</v>
      </c>
      <c r="F20" t="s">
        <v>59</v>
      </c>
      <c r="G20" t="s">
        <v>1</v>
      </c>
      <c r="H20" t="s">
        <v>60</v>
      </c>
      <c r="I20" t="s">
        <v>61</v>
      </c>
    </row>
    <row r="21" ht="30" customHeight="1" spans="2:10" x14ac:dyDescent="0.25">
      <c r="B21" s="12" t="s">
        <v>62</v>
      </c>
      <c r="C21" s="12" t="s">
        <v>63</v>
      </c>
      <c r="D21" s="13" t="s">
        <v>64</v>
      </c>
      <c r="E21" s="13" t="s">
        <v>65</v>
      </c>
      <c r="F21" s="12" t="s">
        <v>66</v>
      </c>
      <c r="G21" s="12" t="s">
        <v>67</v>
      </c>
      <c r="H21" s="12" t="s">
        <v>68</v>
      </c>
      <c r="I21" s="12" t="s">
        <v>69</v>
      </c>
      <c r="J21" s="13" t="s">
        <v>70</v>
      </c>
    </row>
    <row r="22" ht="15" customHeight="1" spans="2:23" x14ac:dyDescent="0.25">
      <c r="B22" s="8"/>
      <c r="C22" s="10"/>
      <c r="D22" s="11"/>
      <c r="E22" s="11"/>
      <c r="F22" s="10"/>
      <c r="G22" s="10"/>
      <c r="H22" s="10"/>
      <c r="I22" s="14"/>
      <c r="J22" s="15">
        <f>IF(L22=1,M22-N22,"")</f>
      </c>
      <c r="L22">
        <f>IF(AND(OR(C22="Property",C22="Shares and unit trusts",C22="Other investment",C22="Business interest"),NOT(OR(G22="Spouse",AND(G22="Estate (residue)",'Inputs'!$C$14="Spouse")))),1,0)</f>
      </c>
      <c r="M22">
        <f>IF(L22=1,N(D22)-N(E22),0)</f>
      </c>
      <c r="N22">
        <f>IF(AND(L22=1,F22="Yes",M22&gt;0),MIN(M22,'Inputs'!$H$101),0)</f>
      </c>
      <c r="O22">
        <f>IF(OR(C22="Cash and deposits",H22="Yes"),N(D22),0)</f>
      </c>
      <c r="P22">
        <f>IF(C22="Property",ROUND('Inputs'!$C$100/100*N(D22),2),0)</f>
      </c>
      <c r="Q22">
        <f>IF(AND(C22="Property",H22="Yes"),ROUND('Inputs'!$C$101/100*(1+'Inputs'!$C$96/100)*N(D22),2),0)</f>
      </c>
      <c r="R22">
        <f>IF(G22="Spouse",N(D22),0)</f>
      </c>
      <c r="S22">
        <f>IF(G22="Named heir",N(D22),0)</f>
      </c>
      <c r="T22">
        <f>IF(AND(L22=1,N(D22)&gt;0,E22=""),1,0)</f>
      </c>
      <c r="U22">
        <f>ROUND('Workings'!$C$37*S22,2)</f>
      </c>
      <c r="V22">
        <f>ROUND('Workings'!$D$37*S22,2)</f>
      </c>
      <c r="W22">
        <f>IF(AND(B22="",N(D22)=0),0,IF(OR(C22="",G22=""),1,0))</f>
      </c>
    </row>
    <row r="23" ht="15" customHeight="1" spans="2:23" x14ac:dyDescent="0.25">
      <c r="B23" s="8"/>
      <c r="C23" s="10"/>
      <c r="D23" s="11"/>
      <c r="E23" s="11"/>
      <c r="F23" s="10"/>
      <c r="G23" s="10"/>
      <c r="H23" s="10"/>
      <c r="I23" s="14"/>
      <c r="J23" s="15">
        <f>IF(L23=1,M23-N23,"")</f>
      </c>
      <c r="L23">
        <f>IF(AND(OR(C23="Property",C23="Shares and unit trusts",C23="Other investment",C23="Business interest"),NOT(OR(G23="Spouse",AND(G23="Estate (residue)",'Inputs'!$C$14="Spouse")))),1,0)</f>
      </c>
      <c r="M23">
        <f>IF(L23=1,N(D23)-N(E23),0)</f>
      </c>
      <c r="N23">
        <f>IF(AND(L23=1,F23="Yes",M23&gt;0),MIN(M23,'Inputs'!$H$101),0)</f>
      </c>
      <c r="O23">
        <f>IF(OR(C23="Cash and deposits",H23="Yes"),N(D23),0)</f>
      </c>
      <c r="P23">
        <f>IF(C23="Property",ROUND('Inputs'!$C$100/100*N(D23),2),0)</f>
      </c>
      <c r="Q23">
        <f>IF(AND(C23="Property",H23="Yes"),ROUND('Inputs'!$C$101/100*(1+'Inputs'!$C$96/100)*N(D23),2),0)</f>
      </c>
      <c r="R23">
        <f>IF(G23="Spouse",N(D23),0)</f>
      </c>
      <c r="S23">
        <f>IF(G23="Named heir",N(D23),0)</f>
      </c>
      <c r="T23">
        <f>IF(AND(L23=1,N(D23)&gt;0,E23=""),1,0)</f>
      </c>
      <c r="U23">
        <f>ROUND('Workings'!$C$37*S23,2)</f>
      </c>
      <c r="V23">
        <f>ROUND('Workings'!$D$37*S23,2)</f>
      </c>
      <c r="W23">
        <f>IF(AND(B23="",N(D23)=0),0,IF(OR(C23="",G23=""),1,0))</f>
      </c>
    </row>
    <row r="24" ht="15" customHeight="1" spans="2:23" x14ac:dyDescent="0.25">
      <c r="B24" s="8"/>
      <c r="C24" s="10"/>
      <c r="D24" s="11"/>
      <c r="E24" s="11"/>
      <c r="F24" s="10"/>
      <c r="G24" s="10"/>
      <c r="H24" s="10"/>
      <c r="I24" s="14"/>
      <c r="J24" s="15">
        <f>IF(L24=1,M24-N24,"")</f>
      </c>
      <c r="L24">
        <f>IF(AND(OR(C24="Property",C24="Shares and unit trusts",C24="Other investment",C24="Business interest"),NOT(OR(G24="Spouse",AND(G24="Estate (residue)",'Inputs'!$C$14="Spouse")))),1,0)</f>
      </c>
      <c r="M24">
        <f>IF(L24=1,N(D24)-N(E24),0)</f>
      </c>
      <c r="N24">
        <f>IF(AND(L24=1,F24="Yes",M24&gt;0),MIN(M24,'Inputs'!$H$101),0)</f>
      </c>
      <c r="O24">
        <f>IF(OR(C24="Cash and deposits",H24="Yes"),N(D24),0)</f>
      </c>
      <c r="P24">
        <f>IF(C24="Property",ROUND('Inputs'!$C$100/100*N(D24),2),0)</f>
      </c>
      <c r="Q24">
        <f>IF(AND(C24="Property",H24="Yes"),ROUND('Inputs'!$C$101/100*(1+'Inputs'!$C$96/100)*N(D24),2),0)</f>
      </c>
      <c r="R24">
        <f>IF(G24="Spouse",N(D24),0)</f>
      </c>
      <c r="S24">
        <f>IF(G24="Named heir",N(D24),0)</f>
      </c>
      <c r="T24">
        <f>IF(AND(L24=1,N(D24)&gt;0,E24=""),1,0)</f>
      </c>
      <c r="U24">
        <f>ROUND('Workings'!$C$37*S24,2)</f>
      </c>
      <c r="V24">
        <f>ROUND('Workings'!$D$37*S24,2)</f>
      </c>
      <c r="W24">
        <f>IF(AND(B24="",N(D24)=0),0,IF(OR(C24="",G24=""),1,0))</f>
      </c>
    </row>
    <row r="25" ht="15" customHeight="1" spans="2:23" x14ac:dyDescent="0.25">
      <c r="B25" s="8"/>
      <c r="C25" s="10"/>
      <c r="D25" s="11"/>
      <c r="E25" s="11"/>
      <c r="F25" s="10"/>
      <c r="G25" s="10"/>
      <c r="H25" s="10"/>
      <c r="I25" s="14"/>
      <c r="J25" s="15">
        <f>IF(L25=1,M25-N25,"")</f>
      </c>
      <c r="L25">
        <f>IF(AND(OR(C25="Property",C25="Shares and unit trusts",C25="Other investment",C25="Business interest"),NOT(OR(G25="Spouse",AND(G25="Estate (residue)",'Inputs'!$C$14="Spouse")))),1,0)</f>
      </c>
      <c r="M25">
        <f>IF(L25=1,N(D25)-N(E25),0)</f>
      </c>
      <c r="N25">
        <f>IF(AND(L25=1,F25="Yes",M25&gt;0),MIN(M25,'Inputs'!$H$101),0)</f>
      </c>
      <c r="O25">
        <f>IF(OR(C25="Cash and deposits",H25="Yes"),N(D25),0)</f>
      </c>
      <c r="P25">
        <f>IF(C25="Property",ROUND('Inputs'!$C$100/100*N(D25),2),0)</f>
      </c>
      <c r="Q25">
        <f>IF(AND(C25="Property",H25="Yes"),ROUND('Inputs'!$C$101/100*(1+'Inputs'!$C$96/100)*N(D25),2),0)</f>
      </c>
      <c r="R25">
        <f>IF(G25="Spouse",N(D25),0)</f>
      </c>
      <c r="S25">
        <f>IF(G25="Named heir",N(D25),0)</f>
      </c>
      <c r="T25">
        <f>IF(AND(L25=1,N(D25)&gt;0,E25=""),1,0)</f>
      </c>
      <c r="U25">
        <f>ROUND('Workings'!$C$37*S25,2)</f>
      </c>
      <c r="V25">
        <f>ROUND('Workings'!$D$37*S25,2)</f>
      </c>
      <c r="W25">
        <f>IF(AND(B25="",N(D25)=0),0,IF(OR(C25="",G25=""),1,0))</f>
      </c>
    </row>
    <row r="26" ht="15" customHeight="1" spans="2:23" x14ac:dyDescent="0.25">
      <c r="B26" s="8"/>
      <c r="C26" s="10"/>
      <c r="D26" s="11"/>
      <c r="E26" s="11"/>
      <c r="F26" s="10"/>
      <c r="G26" s="10"/>
      <c r="H26" s="10"/>
      <c r="I26" s="14"/>
      <c r="J26" s="15">
        <f>IF(L26=1,M26-N26,"")</f>
      </c>
      <c r="L26">
        <f>IF(AND(OR(C26="Property",C26="Shares and unit trusts",C26="Other investment",C26="Business interest"),NOT(OR(G26="Spouse",AND(G26="Estate (residue)",'Inputs'!$C$14="Spouse")))),1,0)</f>
      </c>
      <c r="M26">
        <f>IF(L26=1,N(D26)-N(E26),0)</f>
      </c>
      <c r="N26">
        <f>IF(AND(L26=1,F26="Yes",M26&gt;0),MIN(M26,'Inputs'!$H$101),0)</f>
      </c>
      <c r="O26">
        <f>IF(OR(C26="Cash and deposits",H26="Yes"),N(D26),0)</f>
      </c>
      <c r="P26">
        <f>IF(C26="Property",ROUND('Inputs'!$C$100/100*N(D26),2),0)</f>
      </c>
      <c r="Q26">
        <f>IF(AND(C26="Property",H26="Yes"),ROUND('Inputs'!$C$101/100*(1+'Inputs'!$C$96/100)*N(D26),2),0)</f>
      </c>
      <c r="R26">
        <f>IF(G26="Spouse",N(D26),0)</f>
      </c>
      <c r="S26">
        <f>IF(G26="Named heir",N(D26),0)</f>
      </c>
      <c r="T26">
        <f>IF(AND(L26=1,N(D26)&gt;0,E26=""),1,0)</f>
      </c>
      <c r="U26">
        <f>ROUND('Workings'!$C$37*S26,2)</f>
      </c>
      <c r="V26">
        <f>ROUND('Workings'!$D$37*S26,2)</f>
      </c>
      <c r="W26">
        <f>IF(AND(B26="",N(D26)=0),0,IF(OR(C26="",G26=""),1,0))</f>
      </c>
    </row>
    <row r="27" ht="15" customHeight="1" spans="2:23" x14ac:dyDescent="0.25">
      <c r="B27" s="8"/>
      <c r="C27" s="10"/>
      <c r="D27" s="11"/>
      <c r="E27" s="11"/>
      <c r="F27" s="10"/>
      <c r="G27" s="10"/>
      <c r="H27" s="10"/>
      <c r="I27" s="14"/>
      <c r="J27" s="15">
        <f>IF(L27=1,M27-N27,"")</f>
      </c>
      <c r="L27">
        <f>IF(AND(OR(C27="Property",C27="Shares and unit trusts",C27="Other investment",C27="Business interest"),NOT(OR(G27="Spouse",AND(G27="Estate (residue)",'Inputs'!$C$14="Spouse")))),1,0)</f>
      </c>
      <c r="M27">
        <f>IF(L27=1,N(D27)-N(E27),0)</f>
      </c>
      <c r="N27">
        <f>IF(AND(L27=1,F27="Yes",M27&gt;0),MIN(M27,'Inputs'!$H$101),0)</f>
      </c>
      <c r="O27">
        <f>IF(OR(C27="Cash and deposits",H27="Yes"),N(D27),0)</f>
      </c>
      <c r="P27">
        <f>IF(C27="Property",ROUND('Inputs'!$C$100/100*N(D27),2),0)</f>
      </c>
      <c r="Q27">
        <f>IF(AND(C27="Property",H27="Yes"),ROUND('Inputs'!$C$101/100*(1+'Inputs'!$C$96/100)*N(D27),2),0)</f>
      </c>
      <c r="R27">
        <f>IF(G27="Spouse",N(D27),0)</f>
      </c>
      <c r="S27">
        <f>IF(G27="Named heir",N(D27),0)</f>
      </c>
      <c r="T27">
        <f>IF(AND(L27=1,N(D27)&gt;0,E27=""),1,0)</f>
      </c>
      <c r="U27">
        <f>ROUND('Workings'!$C$37*S27,2)</f>
      </c>
      <c r="V27">
        <f>ROUND('Workings'!$D$37*S27,2)</f>
      </c>
      <c r="W27">
        <f>IF(AND(B27="",N(D27)=0),0,IF(OR(C27="",G27=""),1,0))</f>
      </c>
    </row>
    <row r="28" ht="15" customHeight="1" spans="2:23" x14ac:dyDescent="0.25">
      <c r="B28" s="8"/>
      <c r="C28" s="10"/>
      <c r="D28" s="11"/>
      <c r="E28" s="11"/>
      <c r="F28" s="10"/>
      <c r="G28" s="10"/>
      <c r="H28" s="10"/>
      <c r="I28" s="14"/>
      <c r="J28" s="15">
        <f>IF(L28=1,M28-N28,"")</f>
      </c>
      <c r="L28">
        <f>IF(AND(OR(C28="Property",C28="Shares and unit trusts",C28="Other investment",C28="Business interest"),NOT(OR(G28="Spouse",AND(G28="Estate (residue)",'Inputs'!$C$14="Spouse")))),1,0)</f>
      </c>
      <c r="M28">
        <f>IF(L28=1,N(D28)-N(E28),0)</f>
      </c>
      <c r="N28">
        <f>IF(AND(L28=1,F28="Yes",M28&gt;0),MIN(M28,'Inputs'!$H$101),0)</f>
      </c>
      <c r="O28">
        <f>IF(OR(C28="Cash and deposits",H28="Yes"),N(D28),0)</f>
      </c>
      <c r="P28">
        <f>IF(C28="Property",ROUND('Inputs'!$C$100/100*N(D28),2),0)</f>
      </c>
      <c r="Q28">
        <f>IF(AND(C28="Property",H28="Yes"),ROUND('Inputs'!$C$101/100*(1+'Inputs'!$C$96/100)*N(D28),2),0)</f>
      </c>
      <c r="R28">
        <f>IF(G28="Spouse",N(D28),0)</f>
      </c>
      <c r="S28">
        <f>IF(G28="Named heir",N(D28),0)</f>
      </c>
      <c r="T28">
        <f>IF(AND(L28=1,N(D28)&gt;0,E28=""),1,0)</f>
      </c>
      <c r="U28">
        <f>ROUND('Workings'!$C$37*S28,2)</f>
      </c>
      <c r="V28">
        <f>ROUND('Workings'!$D$37*S28,2)</f>
      </c>
      <c r="W28">
        <f>IF(AND(B28="",N(D28)=0),0,IF(OR(C28="",G28=""),1,0))</f>
      </c>
    </row>
    <row r="29" ht="15" customHeight="1" spans="2:23" x14ac:dyDescent="0.25">
      <c r="B29" s="8"/>
      <c r="C29" s="10"/>
      <c r="D29" s="11"/>
      <c r="E29" s="11"/>
      <c r="F29" s="10"/>
      <c r="G29" s="10"/>
      <c r="H29" s="10"/>
      <c r="I29" s="14"/>
      <c r="J29" s="15">
        <f>IF(L29=1,M29-N29,"")</f>
      </c>
      <c r="L29">
        <f>IF(AND(OR(C29="Property",C29="Shares and unit trusts",C29="Other investment",C29="Business interest"),NOT(OR(G29="Spouse",AND(G29="Estate (residue)",'Inputs'!$C$14="Spouse")))),1,0)</f>
      </c>
      <c r="M29">
        <f>IF(L29=1,N(D29)-N(E29),0)</f>
      </c>
      <c r="N29">
        <f>IF(AND(L29=1,F29="Yes",M29&gt;0),MIN(M29,'Inputs'!$H$101),0)</f>
      </c>
      <c r="O29">
        <f>IF(OR(C29="Cash and deposits",H29="Yes"),N(D29),0)</f>
      </c>
      <c r="P29">
        <f>IF(C29="Property",ROUND('Inputs'!$C$100/100*N(D29),2),0)</f>
      </c>
      <c r="Q29">
        <f>IF(AND(C29="Property",H29="Yes"),ROUND('Inputs'!$C$101/100*(1+'Inputs'!$C$96/100)*N(D29),2),0)</f>
      </c>
      <c r="R29">
        <f>IF(G29="Spouse",N(D29),0)</f>
      </c>
      <c r="S29">
        <f>IF(G29="Named heir",N(D29),0)</f>
      </c>
      <c r="T29">
        <f>IF(AND(L29=1,N(D29)&gt;0,E29=""),1,0)</f>
      </c>
      <c r="U29">
        <f>ROUND('Workings'!$C$37*S29,2)</f>
      </c>
      <c r="V29">
        <f>ROUND('Workings'!$D$37*S29,2)</f>
      </c>
      <c r="W29">
        <f>IF(AND(B29="",N(D29)=0),0,IF(OR(C29="",G29=""),1,0))</f>
      </c>
    </row>
    <row r="30" ht="15" customHeight="1" spans="2:23" x14ac:dyDescent="0.25">
      <c r="B30" s="8"/>
      <c r="C30" s="10"/>
      <c r="D30" s="11"/>
      <c r="E30" s="11"/>
      <c r="F30" s="10"/>
      <c r="G30" s="10"/>
      <c r="H30" s="10"/>
      <c r="I30" s="14"/>
      <c r="J30" s="15">
        <f>IF(L30=1,M30-N30,"")</f>
      </c>
      <c r="L30">
        <f>IF(AND(OR(C30="Property",C30="Shares and unit trusts",C30="Other investment",C30="Business interest"),NOT(OR(G30="Spouse",AND(G30="Estate (residue)",'Inputs'!$C$14="Spouse")))),1,0)</f>
      </c>
      <c r="M30">
        <f>IF(L30=1,N(D30)-N(E30),0)</f>
      </c>
      <c r="N30">
        <f>IF(AND(L30=1,F30="Yes",M30&gt;0),MIN(M30,'Inputs'!$H$101),0)</f>
      </c>
      <c r="O30">
        <f>IF(OR(C30="Cash and deposits",H30="Yes"),N(D30),0)</f>
      </c>
      <c r="P30">
        <f>IF(C30="Property",ROUND('Inputs'!$C$100/100*N(D30),2),0)</f>
      </c>
      <c r="Q30">
        <f>IF(AND(C30="Property",H30="Yes"),ROUND('Inputs'!$C$101/100*(1+'Inputs'!$C$96/100)*N(D30),2),0)</f>
      </c>
      <c r="R30">
        <f>IF(G30="Spouse",N(D30),0)</f>
      </c>
      <c r="S30">
        <f>IF(G30="Named heir",N(D30),0)</f>
      </c>
      <c r="T30">
        <f>IF(AND(L30=1,N(D30)&gt;0,E30=""),1,0)</f>
      </c>
      <c r="U30">
        <f>ROUND('Workings'!$C$37*S30,2)</f>
      </c>
      <c r="V30">
        <f>ROUND('Workings'!$D$37*S30,2)</f>
      </c>
      <c r="W30">
        <f>IF(AND(B30="",N(D30)=0),0,IF(OR(C30="",G30=""),1,0))</f>
      </c>
    </row>
    <row r="31" ht="15" customHeight="1" spans="2:23" x14ac:dyDescent="0.25">
      <c r="B31" s="8"/>
      <c r="C31" s="10"/>
      <c r="D31" s="11"/>
      <c r="E31" s="11"/>
      <c r="F31" s="10"/>
      <c r="G31" s="10"/>
      <c r="H31" s="10"/>
      <c r="I31" s="14"/>
      <c r="J31" s="15">
        <f>IF(L31=1,M31-N31,"")</f>
      </c>
      <c r="L31">
        <f>IF(AND(OR(C31="Property",C31="Shares and unit trusts",C31="Other investment",C31="Business interest"),NOT(OR(G31="Spouse",AND(G31="Estate (residue)",'Inputs'!$C$14="Spouse")))),1,0)</f>
      </c>
      <c r="M31">
        <f>IF(L31=1,N(D31)-N(E31),0)</f>
      </c>
      <c r="N31">
        <f>IF(AND(L31=1,F31="Yes",M31&gt;0),MIN(M31,'Inputs'!$H$101),0)</f>
      </c>
      <c r="O31">
        <f>IF(OR(C31="Cash and deposits",H31="Yes"),N(D31),0)</f>
      </c>
      <c r="P31">
        <f>IF(C31="Property",ROUND('Inputs'!$C$100/100*N(D31),2),0)</f>
      </c>
      <c r="Q31">
        <f>IF(AND(C31="Property",H31="Yes"),ROUND('Inputs'!$C$101/100*(1+'Inputs'!$C$96/100)*N(D31),2),0)</f>
      </c>
      <c r="R31">
        <f>IF(G31="Spouse",N(D31),0)</f>
      </c>
      <c r="S31">
        <f>IF(G31="Named heir",N(D31),0)</f>
      </c>
      <c r="T31">
        <f>IF(AND(L31=1,N(D31)&gt;0,E31=""),1,0)</f>
      </c>
      <c r="U31">
        <f>ROUND('Workings'!$C$37*S31,2)</f>
      </c>
      <c r="V31">
        <f>ROUND('Workings'!$D$37*S31,2)</f>
      </c>
      <c r="W31">
        <f>IF(AND(B31="",N(D31)=0),0,IF(OR(C31="",G31=""),1,0))</f>
      </c>
    </row>
    <row r="32" ht="15" customHeight="1" spans="2:23" x14ac:dyDescent="0.25">
      <c r="B32" s="8"/>
      <c r="C32" s="10"/>
      <c r="D32" s="11"/>
      <c r="E32" s="11"/>
      <c r="F32" s="10"/>
      <c r="G32" s="10"/>
      <c r="H32" s="10"/>
      <c r="I32" s="14"/>
      <c r="J32" s="15">
        <f>IF(L32=1,M32-N32,"")</f>
      </c>
      <c r="L32">
        <f>IF(AND(OR(C32="Property",C32="Shares and unit trusts",C32="Other investment",C32="Business interest"),NOT(OR(G32="Spouse",AND(G32="Estate (residue)",'Inputs'!$C$14="Spouse")))),1,0)</f>
      </c>
      <c r="M32">
        <f>IF(L32=1,N(D32)-N(E32),0)</f>
      </c>
      <c r="N32">
        <f>IF(AND(L32=1,F32="Yes",M32&gt;0),MIN(M32,'Inputs'!$H$101),0)</f>
      </c>
      <c r="O32">
        <f>IF(OR(C32="Cash and deposits",H32="Yes"),N(D32),0)</f>
      </c>
      <c r="P32">
        <f>IF(C32="Property",ROUND('Inputs'!$C$100/100*N(D32),2),0)</f>
      </c>
      <c r="Q32">
        <f>IF(AND(C32="Property",H32="Yes"),ROUND('Inputs'!$C$101/100*(1+'Inputs'!$C$96/100)*N(D32),2),0)</f>
      </c>
      <c r="R32">
        <f>IF(G32="Spouse",N(D32),0)</f>
      </c>
      <c r="S32">
        <f>IF(G32="Named heir",N(D32),0)</f>
      </c>
      <c r="T32">
        <f>IF(AND(L32=1,N(D32)&gt;0,E32=""),1,0)</f>
      </c>
      <c r="U32">
        <f>ROUND('Workings'!$C$37*S32,2)</f>
      </c>
      <c r="V32">
        <f>ROUND('Workings'!$D$37*S32,2)</f>
      </c>
      <c r="W32">
        <f>IF(AND(B32="",N(D32)=0),0,IF(OR(C32="",G32=""),1,0))</f>
      </c>
    </row>
    <row r="33" ht="15" customHeight="1" spans="2:23" x14ac:dyDescent="0.25">
      <c r="B33" s="8"/>
      <c r="C33" s="10"/>
      <c r="D33" s="11"/>
      <c r="E33" s="11"/>
      <c r="F33" s="10"/>
      <c r="G33" s="10"/>
      <c r="H33" s="10"/>
      <c r="I33" s="14"/>
      <c r="J33" s="15">
        <f>IF(L33=1,M33-N33,"")</f>
      </c>
      <c r="L33">
        <f>IF(AND(OR(C33="Property",C33="Shares and unit trusts",C33="Other investment",C33="Business interest"),NOT(OR(G33="Spouse",AND(G33="Estate (residue)",'Inputs'!$C$14="Spouse")))),1,0)</f>
      </c>
      <c r="M33">
        <f>IF(L33=1,N(D33)-N(E33),0)</f>
      </c>
      <c r="N33">
        <f>IF(AND(L33=1,F33="Yes",M33&gt;0),MIN(M33,'Inputs'!$H$101),0)</f>
      </c>
      <c r="O33">
        <f>IF(OR(C33="Cash and deposits",H33="Yes"),N(D33),0)</f>
      </c>
      <c r="P33">
        <f>IF(C33="Property",ROUND('Inputs'!$C$100/100*N(D33),2),0)</f>
      </c>
      <c r="Q33">
        <f>IF(AND(C33="Property",H33="Yes"),ROUND('Inputs'!$C$101/100*(1+'Inputs'!$C$96/100)*N(D33),2),0)</f>
      </c>
      <c r="R33">
        <f>IF(G33="Spouse",N(D33),0)</f>
      </c>
      <c r="S33">
        <f>IF(G33="Named heir",N(D33),0)</f>
      </c>
      <c r="T33">
        <f>IF(AND(L33=1,N(D33)&gt;0,E33=""),1,0)</f>
      </c>
      <c r="U33">
        <f>ROUND('Workings'!$C$37*S33,2)</f>
      </c>
      <c r="V33">
        <f>ROUND('Workings'!$D$37*S33,2)</f>
      </c>
      <c r="W33">
        <f>IF(AND(B33="",N(D33)=0),0,IF(OR(C33="",G33=""),1,0))</f>
      </c>
    </row>
    <row r="34" ht="15" customHeight="1" spans="2:23" x14ac:dyDescent="0.25">
      <c r="B34" s="8"/>
      <c r="C34" s="10"/>
      <c r="D34" s="11"/>
      <c r="E34" s="11"/>
      <c r="F34" s="10"/>
      <c r="G34" s="10"/>
      <c r="H34" s="10"/>
      <c r="I34" s="14"/>
      <c r="J34" s="15">
        <f>IF(L34=1,M34-N34,"")</f>
      </c>
      <c r="L34">
        <f>IF(AND(OR(C34="Property",C34="Shares and unit trusts",C34="Other investment",C34="Business interest"),NOT(OR(G34="Spouse",AND(G34="Estate (residue)",'Inputs'!$C$14="Spouse")))),1,0)</f>
      </c>
      <c r="M34">
        <f>IF(L34=1,N(D34)-N(E34),0)</f>
      </c>
      <c r="N34">
        <f>IF(AND(L34=1,F34="Yes",M34&gt;0),MIN(M34,'Inputs'!$H$101),0)</f>
      </c>
      <c r="O34">
        <f>IF(OR(C34="Cash and deposits",H34="Yes"),N(D34),0)</f>
      </c>
      <c r="P34">
        <f>IF(C34="Property",ROUND('Inputs'!$C$100/100*N(D34),2),0)</f>
      </c>
      <c r="Q34">
        <f>IF(AND(C34="Property",H34="Yes"),ROUND('Inputs'!$C$101/100*(1+'Inputs'!$C$96/100)*N(D34),2),0)</f>
      </c>
      <c r="R34">
        <f>IF(G34="Spouse",N(D34),0)</f>
      </c>
      <c r="S34">
        <f>IF(G34="Named heir",N(D34),0)</f>
      </c>
      <c r="T34">
        <f>IF(AND(L34=1,N(D34)&gt;0,E34=""),1,0)</f>
      </c>
      <c r="U34">
        <f>ROUND('Workings'!$C$37*S34,2)</f>
      </c>
      <c r="V34">
        <f>ROUND('Workings'!$D$37*S34,2)</f>
      </c>
      <c r="W34">
        <f>IF(AND(B34="",N(D34)=0),0,IF(OR(C34="",G34=""),1,0))</f>
      </c>
    </row>
    <row r="35" ht="15" customHeight="1" spans="2:23" x14ac:dyDescent="0.25">
      <c r="B35" s="8"/>
      <c r="C35" s="10"/>
      <c r="D35" s="11"/>
      <c r="E35" s="11"/>
      <c r="F35" s="10"/>
      <c r="G35" s="10"/>
      <c r="H35" s="10"/>
      <c r="I35" s="14"/>
      <c r="J35" s="15">
        <f>IF(L35=1,M35-N35,"")</f>
      </c>
      <c r="L35">
        <f>IF(AND(OR(C35="Property",C35="Shares and unit trusts",C35="Other investment",C35="Business interest"),NOT(OR(G35="Spouse",AND(G35="Estate (residue)",'Inputs'!$C$14="Spouse")))),1,0)</f>
      </c>
      <c r="M35">
        <f>IF(L35=1,N(D35)-N(E35),0)</f>
      </c>
      <c r="N35">
        <f>IF(AND(L35=1,F35="Yes",M35&gt;0),MIN(M35,'Inputs'!$H$101),0)</f>
      </c>
      <c r="O35">
        <f>IF(OR(C35="Cash and deposits",H35="Yes"),N(D35),0)</f>
      </c>
      <c r="P35">
        <f>IF(C35="Property",ROUND('Inputs'!$C$100/100*N(D35),2),0)</f>
      </c>
      <c r="Q35">
        <f>IF(AND(C35="Property",H35="Yes"),ROUND('Inputs'!$C$101/100*(1+'Inputs'!$C$96/100)*N(D35),2),0)</f>
      </c>
      <c r="R35">
        <f>IF(G35="Spouse",N(D35),0)</f>
      </c>
      <c r="S35">
        <f>IF(G35="Named heir",N(D35),0)</f>
      </c>
      <c r="T35">
        <f>IF(AND(L35=1,N(D35)&gt;0,E35=""),1,0)</f>
      </c>
      <c r="U35">
        <f>ROUND('Workings'!$C$37*S35,2)</f>
      </c>
      <c r="V35">
        <f>ROUND('Workings'!$D$37*S35,2)</f>
      </c>
      <c r="W35">
        <f>IF(AND(B35="",N(D35)=0),0,IF(OR(C35="",G35=""),1,0))</f>
      </c>
    </row>
    <row r="36" ht="15" customHeight="1" spans="2:23" x14ac:dyDescent="0.25">
      <c r="B36" s="8"/>
      <c r="C36" s="10"/>
      <c r="D36" s="11"/>
      <c r="E36" s="11"/>
      <c r="F36" s="10"/>
      <c r="G36" s="10"/>
      <c r="H36" s="10"/>
      <c r="I36" s="14"/>
      <c r="J36" s="15">
        <f>IF(L36=1,M36-N36,"")</f>
      </c>
      <c r="L36">
        <f>IF(AND(OR(C36="Property",C36="Shares and unit trusts",C36="Other investment",C36="Business interest"),NOT(OR(G36="Spouse",AND(G36="Estate (residue)",'Inputs'!$C$14="Spouse")))),1,0)</f>
      </c>
      <c r="M36">
        <f>IF(L36=1,N(D36)-N(E36),0)</f>
      </c>
      <c r="N36">
        <f>IF(AND(L36=1,F36="Yes",M36&gt;0),MIN(M36,'Inputs'!$H$101),0)</f>
      </c>
      <c r="O36">
        <f>IF(OR(C36="Cash and deposits",H36="Yes"),N(D36),0)</f>
      </c>
      <c r="P36">
        <f>IF(C36="Property",ROUND('Inputs'!$C$100/100*N(D36),2),0)</f>
      </c>
      <c r="Q36">
        <f>IF(AND(C36="Property",H36="Yes"),ROUND('Inputs'!$C$101/100*(1+'Inputs'!$C$96/100)*N(D36),2),0)</f>
      </c>
      <c r="R36">
        <f>IF(G36="Spouse",N(D36),0)</f>
      </c>
      <c r="S36">
        <f>IF(G36="Named heir",N(D36),0)</f>
      </c>
      <c r="T36">
        <f>IF(AND(L36=1,N(D36)&gt;0,E36=""),1,0)</f>
      </c>
      <c r="U36">
        <f>ROUND('Workings'!$C$37*S36,2)</f>
      </c>
      <c r="V36">
        <f>ROUND('Workings'!$D$37*S36,2)</f>
      </c>
      <c r="W36">
        <f>IF(AND(B36="",N(D36)=0),0,IF(OR(C36="",G36=""),1,0))</f>
      </c>
    </row>
    <row r="37" ht="15" customHeight="1" spans="2:23" x14ac:dyDescent="0.25">
      <c r="B37" s="8"/>
      <c r="C37" s="10"/>
      <c r="D37" s="11"/>
      <c r="E37" s="11"/>
      <c r="F37" s="10"/>
      <c r="G37" s="10"/>
      <c r="H37" s="10"/>
      <c r="I37" s="14"/>
      <c r="J37" s="15">
        <f>IF(L37=1,M37-N37,"")</f>
      </c>
      <c r="L37">
        <f>IF(AND(OR(C37="Property",C37="Shares and unit trusts",C37="Other investment",C37="Business interest"),NOT(OR(G37="Spouse",AND(G37="Estate (residue)",'Inputs'!$C$14="Spouse")))),1,0)</f>
      </c>
      <c r="M37">
        <f>IF(L37=1,N(D37)-N(E37),0)</f>
      </c>
      <c r="N37">
        <f>IF(AND(L37=1,F37="Yes",M37&gt;0),MIN(M37,'Inputs'!$H$101),0)</f>
      </c>
      <c r="O37">
        <f>IF(OR(C37="Cash and deposits",H37="Yes"),N(D37),0)</f>
      </c>
      <c r="P37">
        <f>IF(C37="Property",ROUND('Inputs'!$C$100/100*N(D37),2),0)</f>
      </c>
      <c r="Q37">
        <f>IF(AND(C37="Property",H37="Yes"),ROUND('Inputs'!$C$101/100*(1+'Inputs'!$C$96/100)*N(D37),2),0)</f>
      </c>
      <c r="R37">
        <f>IF(G37="Spouse",N(D37),0)</f>
      </c>
      <c r="S37">
        <f>IF(G37="Named heir",N(D37),0)</f>
      </c>
      <c r="T37">
        <f>IF(AND(L37=1,N(D37)&gt;0,E37=""),1,0)</f>
      </c>
      <c r="U37">
        <f>ROUND('Workings'!$C$37*S37,2)</f>
      </c>
      <c r="V37">
        <f>ROUND('Workings'!$D$37*S37,2)</f>
      </c>
      <c r="W37">
        <f>IF(AND(B37="",N(D37)=0),0,IF(OR(C37="",G37=""),1,0))</f>
      </c>
    </row>
    <row r="38" ht="15" customHeight="1" spans="2:23" x14ac:dyDescent="0.25">
      <c r="B38" s="8"/>
      <c r="C38" s="10"/>
      <c r="D38" s="11"/>
      <c r="E38" s="11"/>
      <c r="F38" s="10"/>
      <c r="G38" s="10"/>
      <c r="H38" s="10"/>
      <c r="I38" s="14"/>
      <c r="J38" s="15">
        <f>IF(L38=1,M38-N38,"")</f>
      </c>
      <c r="L38">
        <f>IF(AND(OR(C38="Property",C38="Shares and unit trusts",C38="Other investment",C38="Business interest"),NOT(OR(G38="Spouse",AND(G38="Estate (residue)",'Inputs'!$C$14="Spouse")))),1,0)</f>
      </c>
      <c r="M38">
        <f>IF(L38=1,N(D38)-N(E38),0)</f>
      </c>
      <c r="N38">
        <f>IF(AND(L38=1,F38="Yes",M38&gt;0),MIN(M38,'Inputs'!$H$101),0)</f>
      </c>
      <c r="O38">
        <f>IF(OR(C38="Cash and deposits",H38="Yes"),N(D38),0)</f>
      </c>
      <c r="P38">
        <f>IF(C38="Property",ROUND('Inputs'!$C$100/100*N(D38),2),0)</f>
      </c>
      <c r="Q38">
        <f>IF(AND(C38="Property",H38="Yes"),ROUND('Inputs'!$C$101/100*(1+'Inputs'!$C$96/100)*N(D38),2),0)</f>
      </c>
      <c r="R38">
        <f>IF(G38="Spouse",N(D38),0)</f>
      </c>
      <c r="S38">
        <f>IF(G38="Named heir",N(D38),0)</f>
      </c>
      <c r="T38">
        <f>IF(AND(L38=1,N(D38)&gt;0,E38=""),1,0)</f>
      </c>
      <c r="U38">
        <f>ROUND('Workings'!$C$37*S38,2)</f>
      </c>
      <c r="V38">
        <f>ROUND('Workings'!$D$37*S38,2)</f>
      </c>
      <c r="W38">
        <f>IF(AND(B38="",N(D38)=0),0,IF(OR(C38="",G38=""),1,0))</f>
      </c>
    </row>
    <row r="39" ht="15" customHeight="1" spans="2:23" x14ac:dyDescent="0.25">
      <c r="B39" s="8"/>
      <c r="C39" s="10"/>
      <c r="D39" s="11"/>
      <c r="E39" s="11"/>
      <c r="F39" s="10"/>
      <c r="G39" s="10"/>
      <c r="H39" s="10"/>
      <c r="I39" s="14"/>
      <c r="J39" s="15">
        <f>IF(L39=1,M39-N39,"")</f>
      </c>
      <c r="L39">
        <f>IF(AND(OR(C39="Property",C39="Shares and unit trusts",C39="Other investment",C39="Business interest"),NOT(OR(G39="Spouse",AND(G39="Estate (residue)",'Inputs'!$C$14="Spouse")))),1,0)</f>
      </c>
      <c r="M39">
        <f>IF(L39=1,N(D39)-N(E39),0)</f>
      </c>
      <c r="N39">
        <f>IF(AND(L39=1,F39="Yes",M39&gt;0),MIN(M39,'Inputs'!$H$101),0)</f>
      </c>
      <c r="O39">
        <f>IF(OR(C39="Cash and deposits",H39="Yes"),N(D39),0)</f>
      </c>
      <c r="P39">
        <f>IF(C39="Property",ROUND('Inputs'!$C$100/100*N(D39),2),0)</f>
      </c>
      <c r="Q39">
        <f>IF(AND(C39="Property",H39="Yes"),ROUND('Inputs'!$C$101/100*(1+'Inputs'!$C$96/100)*N(D39),2),0)</f>
      </c>
      <c r="R39">
        <f>IF(G39="Spouse",N(D39),0)</f>
      </c>
      <c r="S39">
        <f>IF(G39="Named heir",N(D39),0)</f>
      </c>
      <c r="T39">
        <f>IF(AND(L39=1,N(D39)&gt;0,E39=""),1,0)</f>
      </c>
      <c r="U39">
        <f>ROUND('Workings'!$C$37*S39,2)</f>
      </c>
      <c r="V39">
        <f>ROUND('Workings'!$D$37*S39,2)</f>
      </c>
      <c r="W39">
        <f>IF(AND(B39="",N(D39)=0),0,IF(OR(C39="",G39=""),1,0))</f>
      </c>
    </row>
    <row r="40" ht="26" customHeight="1" spans="2:10" x14ac:dyDescent="0.25">
      <c r="B40" s="16" t="s">
        <v>71</v>
      </c>
      <c r="C40" s="16"/>
      <c r="D40" s="16"/>
      <c r="E40" s="16"/>
      <c r="F40" s="16"/>
      <c r="G40" s="16"/>
      <c r="H40" s="16"/>
      <c r="I40" s="16"/>
      <c r="J40" s="16"/>
    </row>
    <row r="42" ht="18" customHeight="1" spans="2:10" x14ac:dyDescent="0.25">
      <c r="B42" s="5" t="s">
        <v>72</v>
      </c>
      <c r="C42" s="6"/>
      <c r="D42" s="6"/>
      <c r="E42" s="6"/>
      <c r="F42" s="6"/>
      <c r="G42" s="6"/>
      <c r="H42" s="6"/>
      <c r="I42" s="6"/>
      <c r="J42" s="6"/>
    </row>
    <row r="43" hidden="1" spans="2:9" x14ac:dyDescent="0.25">
      <c r="B43" t="s">
        <v>56</v>
      </c>
      <c r="D43" t="s">
        <v>73</v>
      </c>
      <c r="I43" t="s">
        <v>61</v>
      </c>
    </row>
    <row r="44" ht="22" customHeight="1" spans="2:9" x14ac:dyDescent="0.25">
      <c r="B44" s="12" t="s">
        <v>74</v>
      </c>
      <c r="D44" s="13" t="s">
        <v>75</v>
      </c>
      <c r="I44" s="12" t="s">
        <v>69</v>
      </c>
    </row>
    <row r="45" spans="2:9" x14ac:dyDescent="0.25">
      <c r="B45" s="8"/>
      <c r="D45" s="11"/>
      <c r="I45" s="14"/>
    </row>
    <row r="46" spans="2:9" x14ac:dyDescent="0.25">
      <c r="B46" s="8"/>
      <c r="D46" s="11"/>
      <c r="I46" s="14"/>
    </row>
    <row r="47" spans="2:9" x14ac:dyDescent="0.25">
      <c r="B47" s="8"/>
      <c r="D47" s="11"/>
      <c r="I47" s="14"/>
    </row>
    <row r="48" spans="2:9" x14ac:dyDescent="0.25">
      <c r="B48" s="8"/>
      <c r="D48" s="11"/>
      <c r="I48" s="14"/>
    </row>
    <row r="49" spans="2:9" x14ac:dyDescent="0.25">
      <c r="B49" s="8"/>
      <c r="D49" s="11"/>
      <c r="I49" s="14"/>
    </row>
    <row r="50" spans="2:9" x14ac:dyDescent="0.25">
      <c r="B50" s="8"/>
      <c r="D50" s="11"/>
      <c r="I50" s="14"/>
    </row>
    <row r="51" spans="2:9" x14ac:dyDescent="0.25">
      <c r="B51" s="8"/>
      <c r="D51" s="11"/>
      <c r="I51" s="14"/>
    </row>
    <row r="52" spans="2:9" x14ac:dyDescent="0.25">
      <c r="B52" s="8"/>
      <c r="D52" s="11"/>
      <c r="I52" s="14"/>
    </row>
    <row r="53" spans="2:9" x14ac:dyDescent="0.25">
      <c r="B53" s="8"/>
      <c r="D53" s="11"/>
      <c r="I53" s="14"/>
    </row>
    <row r="54" spans="2:9" x14ac:dyDescent="0.25">
      <c r="B54" s="8"/>
      <c r="D54" s="11"/>
      <c r="I54" s="14"/>
    </row>
    <row r="56" ht="18" customHeight="1" spans="2:10" x14ac:dyDescent="0.25">
      <c r="B56" s="5" t="s">
        <v>76</v>
      </c>
      <c r="C56" s="6"/>
      <c r="D56" s="6"/>
      <c r="E56" s="6"/>
      <c r="F56" s="6"/>
      <c r="G56" s="6"/>
      <c r="H56" s="6"/>
      <c r="I56" s="6"/>
      <c r="J56" s="6"/>
    </row>
    <row r="57" hidden="1" spans="2:9" x14ac:dyDescent="0.25">
      <c r="B57" t="s">
        <v>56</v>
      </c>
      <c r="C57" t="s">
        <v>2</v>
      </c>
      <c r="D57" t="s">
        <v>73</v>
      </c>
      <c r="E57" t="s">
        <v>77</v>
      </c>
      <c r="I57" t="s">
        <v>61</v>
      </c>
    </row>
    <row r="58" ht="30" customHeight="1" spans="2:9" x14ac:dyDescent="0.25">
      <c r="B58" s="12" t="s">
        <v>78</v>
      </c>
      <c r="C58" s="12" t="s">
        <v>79</v>
      </c>
      <c r="D58" s="13" t="s">
        <v>80</v>
      </c>
      <c r="E58" s="12" t="s">
        <v>81</v>
      </c>
      <c r="I58" s="12" t="s">
        <v>69</v>
      </c>
    </row>
    <row r="59" spans="2:14" x14ac:dyDescent="0.25">
      <c r="B59" s="8"/>
      <c r="C59" s="10"/>
      <c r="D59" s="11"/>
      <c r="E59" s="10"/>
      <c r="I59" s="14"/>
      <c r="L59">
        <f>IF(AND(C59="Named person",E59&lt;&gt;"No"),N(D59),0)</f>
      </c>
      <c r="M59">
        <f>ROUND('Workings'!$C$37*L59,2)</f>
      </c>
      <c r="N59">
        <f>ROUND('Workings'!$D$37*L59,2)</f>
      </c>
    </row>
    <row r="60" spans="2:14" x14ac:dyDescent="0.25">
      <c r="B60" s="8"/>
      <c r="C60" s="10"/>
      <c r="D60" s="11"/>
      <c r="E60" s="10"/>
      <c r="I60" s="14"/>
      <c r="L60">
        <f>IF(AND(C60="Named person",E60&lt;&gt;"No"),N(D60),0)</f>
      </c>
      <c r="M60">
        <f>ROUND('Workings'!$C$37*L60,2)</f>
      </c>
      <c r="N60">
        <f>ROUND('Workings'!$D$37*L60,2)</f>
      </c>
    </row>
    <row r="61" spans="2:14" x14ac:dyDescent="0.25">
      <c r="B61" s="8"/>
      <c r="C61" s="10"/>
      <c r="D61" s="11"/>
      <c r="E61" s="10"/>
      <c r="I61" s="14"/>
      <c r="L61">
        <f>IF(AND(C61="Named person",E61&lt;&gt;"No"),N(D61),0)</f>
      </c>
      <c r="M61">
        <f>ROUND('Workings'!$C$37*L61,2)</f>
      </c>
      <c r="N61">
        <f>ROUND('Workings'!$D$37*L61,2)</f>
      </c>
    </row>
    <row r="62" spans="2:14" x14ac:dyDescent="0.25">
      <c r="B62" s="8"/>
      <c r="C62" s="10"/>
      <c r="D62" s="11"/>
      <c r="E62" s="10"/>
      <c r="I62" s="14"/>
      <c r="L62">
        <f>IF(AND(C62="Named person",E62&lt;&gt;"No"),N(D62),0)</f>
      </c>
      <c r="M62">
        <f>ROUND('Workings'!$C$37*L62,2)</f>
      </c>
      <c r="N62">
        <f>ROUND('Workings'!$D$37*L62,2)</f>
      </c>
    </row>
    <row r="63" spans="2:14" x14ac:dyDescent="0.25">
      <c r="B63" s="8"/>
      <c r="C63" s="10"/>
      <c r="D63" s="11"/>
      <c r="E63" s="10"/>
      <c r="I63" s="14"/>
      <c r="L63">
        <f>IF(AND(C63="Named person",E63&lt;&gt;"No"),N(D63),0)</f>
      </c>
      <c r="M63">
        <f>ROUND('Workings'!$C$37*L63,2)</f>
      </c>
      <c r="N63">
        <f>ROUND('Workings'!$D$37*L63,2)</f>
      </c>
    </row>
    <row r="64" spans="2:14" x14ac:dyDescent="0.25">
      <c r="B64" s="8"/>
      <c r="C64" s="10"/>
      <c r="D64" s="11"/>
      <c r="E64" s="10"/>
      <c r="I64" s="14"/>
      <c r="L64">
        <f>IF(AND(C64="Named person",E64&lt;&gt;"No"),N(D64),0)</f>
      </c>
      <c r="M64">
        <f>ROUND('Workings'!$C$37*L64,2)</f>
      </c>
      <c r="N64">
        <f>ROUND('Workings'!$D$37*L64,2)</f>
      </c>
    </row>
    <row r="65" spans="2:14" x14ac:dyDescent="0.25">
      <c r="B65" s="8"/>
      <c r="C65" s="10"/>
      <c r="D65" s="11"/>
      <c r="E65" s="10"/>
      <c r="I65" s="14"/>
      <c r="L65">
        <f>IF(AND(C65="Named person",E65&lt;&gt;"No"),N(D65),0)</f>
      </c>
      <c r="M65">
        <f>ROUND('Workings'!$C$37*L65,2)</f>
      </c>
      <c r="N65">
        <f>ROUND('Workings'!$D$37*L65,2)</f>
      </c>
    </row>
    <row r="66" spans="2:14" x14ac:dyDescent="0.25">
      <c r="B66" s="8"/>
      <c r="C66" s="10"/>
      <c r="D66" s="11"/>
      <c r="E66" s="10"/>
      <c r="I66" s="14"/>
      <c r="L66">
        <f>IF(AND(C66="Named person",E66&lt;&gt;"No"),N(D66),0)</f>
      </c>
      <c r="M66">
        <f>ROUND('Workings'!$C$37*L66,2)</f>
      </c>
      <c r="N66">
        <f>ROUND('Workings'!$D$37*L66,2)</f>
      </c>
    </row>
    <row r="67" spans="2:14" x14ac:dyDescent="0.25">
      <c r="B67" s="8"/>
      <c r="C67" s="10"/>
      <c r="D67" s="11"/>
      <c r="E67" s="10"/>
      <c r="I67" s="14"/>
      <c r="L67">
        <f>IF(AND(C67="Named person",E67&lt;&gt;"No"),N(D67),0)</f>
      </c>
      <c r="M67">
        <f>ROUND('Workings'!$C$37*L67,2)</f>
      </c>
      <c r="N67">
        <f>ROUND('Workings'!$D$37*L67,2)</f>
      </c>
    </row>
    <row r="68" spans="2:14" x14ac:dyDescent="0.25">
      <c r="B68" s="8"/>
      <c r="C68" s="10"/>
      <c r="D68" s="11"/>
      <c r="E68" s="10"/>
      <c r="I68" s="14"/>
      <c r="L68">
        <f>IF(AND(C68="Named person",E68&lt;&gt;"No"),N(D68),0)</f>
      </c>
      <c r="M68">
        <f>ROUND('Workings'!$C$37*L68,2)</f>
      </c>
      <c r="N68">
        <f>ROUND('Workings'!$D$37*L68,2)</f>
      </c>
    </row>
    <row r="69" spans="2:14" x14ac:dyDescent="0.25">
      <c r="B69" s="8"/>
      <c r="C69" s="10"/>
      <c r="D69" s="11"/>
      <c r="E69" s="10"/>
      <c r="I69" s="14"/>
      <c r="L69">
        <f>IF(AND(C69="Named person",E69&lt;&gt;"No"),N(D69),0)</f>
      </c>
      <c r="M69">
        <f>ROUND('Workings'!$C$37*L69,2)</f>
      </c>
      <c r="N69">
        <f>ROUND('Workings'!$D$37*L69,2)</f>
      </c>
    </row>
    <row r="70" spans="2:14" x14ac:dyDescent="0.25">
      <c r="B70" s="8"/>
      <c r="C70" s="10"/>
      <c r="D70" s="11"/>
      <c r="E70" s="10"/>
      <c r="I70" s="14"/>
      <c r="L70">
        <f>IF(AND(C70="Named person",E70&lt;&gt;"No"),N(D70),0)</f>
      </c>
      <c r="M70">
        <f>ROUND('Workings'!$C$37*L70,2)</f>
      </c>
      <c r="N70">
        <f>ROUND('Workings'!$D$37*L70,2)</f>
      </c>
    </row>
    <row r="71" ht="26" customHeight="1" spans="2:10" x14ac:dyDescent="0.25">
      <c r="B71" s="16" t="s">
        <v>82</v>
      </c>
      <c r="C71" s="16"/>
      <c r="D71" s="16"/>
      <c r="E71" s="16"/>
      <c r="F71" s="16"/>
      <c r="G71" s="16"/>
      <c r="H71" s="16"/>
      <c r="I71" s="16"/>
      <c r="J71" s="16"/>
    </row>
    <row r="73" ht="18" customHeight="1" spans="2:10" x14ac:dyDescent="0.25">
      <c r="B73" s="5" t="s">
        <v>83</v>
      </c>
      <c r="C73" s="6"/>
      <c r="D73" s="6"/>
      <c r="E73" s="6"/>
      <c r="F73" s="6"/>
      <c r="G73" s="6"/>
      <c r="H73" s="6"/>
      <c r="I73" s="6"/>
      <c r="J73" s="6"/>
    </row>
    <row r="74" hidden="1" spans="2:9" x14ac:dyDescent="0.25">
      <c r="B74" t="s">
        <v>56</v>
      </c>
      <c r="D74" t="s">
        <v>57</v>
      </c>
      <c r="I74" t="s">
        <v>61</v>
      </c>
    </row>
    <row r="75" ht="22" customHeight="1" spans="2:9" x14ac:dyDescent="0.25">
      <c r="B75" s="12" t="s">
        <v>84</v>
      </c>
      <c r="D75" s="13" t="s">
        <v>64</v>
      </c>
      <c r="I75" s="12" t="s">
        <v>69</v>
      </c>
    </row>
    <row r="76" spans="2:9" x14ac:dyDescent="0.25">
      <c r="B76" s="8"/>
      <c r="D76" s="11"/>
      <c r="I76" s="14"/>
    </row>
    <row r="77" spans="2:9" x14ac:dyDescent="0.25">
      <c r="B77" s="8"/>
      <c r="D77" s="11"/>
      <c r="I77" s="14"/>
    </row>
    <row r="78" spans="2:9" x14ac:dyDescent="0.25">
      <c r="B78" s="8"/>
      <c r="D78" s="11"/>
      <c r="I78" s="14"/>
    </row>
    <row r="79" spans="2:9" x14ac:dyDescent="0.25">
      <c r="B79" s="8"/>
      <c r="D79" s="11"/>
      <c r="I79" s="14"/>
    </row>
    <row r="80" spans="2:9" x14ac:dyDescent="0.25">
      <c r="B80" s="8"/>
      <c r="D80" s="11"/>
      <c r="I80" s="14"/>
    </row>
    <row r="81" spans="2:9" x14ac:dyDescent="0.25">
      <c r="B81" s="8"/>
      <c r="D81" s="11"/>
      <c r="I81" s="14"/>
    </row>
    <row r="82" spans="2:9" x14ac:dyDescent="0.25">
      <c r="B82" s="8"/>
      <c r="D82" s="11"/>
      <c r="I82" s="14"/>
    </row>
    <row r="83" spans="2:9" x14ac:dyDescent="0.25">
      <c r="B83" s="8"/>
      <c r="D83" s="11"/>
      <c r="I83" s="14"/>
    </row>
    <row r="85" ht="18" customHeight="1" spans="2:10" x14ac:dyDescent="0.25">
      <c r="B85" s="5" t="s">
        <v>85</v>
      </c>
      <c r="C85" s="6"/>
      <c r="D85" s="6"/>
      <c r="E85" s="6"/>
      <c r="F85" s="6"/>
      <c r="G85" s="6"/>
      <c r="H85" s="6"/>
      <c r="I85" s="6"/>
      <c r="J85" s="6"/>
    </row>
    <row r="86" spans="2:3" x14ac:dyDescent="0.25">
      <c r="B86" s="7" t="s">
        <v>86</v>
      </c>
      <c r="C86" s="8"/>
    </row>
    <row r="87" spans="2:3" x14ac:dyDescent="0.25">
      <c r="B87" s="7" t="s">
        <v>87</v>
      </c>
      <c r="C87" s="17"/>
    </row>
    <row r="88" spans="2:3" x14ac:dyDescent="0.25">
      <c r="B88" s="7" t="s">
        <v>88</v>
      </c>
      <c r="C88" s="11"/>
    </row>
    <row r="89" spans="2:3" x14ac:dyDescent="0.25">
      <c r="B89" s="7" t="s">
        <v>89</v>
      </c>
      <c r="C89" s="17"/>
    </row>
    <row r="90" spans="2:3" x14ac:dyDescent="0.25">
      <c r="B90" s="7" t="s">
        <v>90</v>
      </c>
      <c r="C90" s="11"/>
    </row>
    <row r="91" spans="2:3" x14ac:dyDescent="0.25">
      <c r="B91" s="7" t="s">
        <v>91</v>
      </c>
      <c r="C91" s="11"/>
    </row>
    <row r="92" ht="26" customHeight="1" spans="2:10" x14ac:dyDescent="0.25">
      <c r="B92" s="16" t="s">
        <v>92</v>
      </c>
      <c r="C92" s="16"/>
      <c r="D92" s="16"/>
      <c r="E92" s="16"/>
      <c r="F92" s="16"/>
      <c r="G92" s="16"/>
      <c r="H92" s="16"/>
      <c r="I92" s="16"/>
      <c r="J92" s="16"/>
    </row>
    <row r="94" ht="18" customHeight="1" spans="2:10" x14ac:dyDescent="0.25">
      <c r="B94" s="5" t="s">
        <v>93</v>
      </c>
      <c r="C94" s="6"/>
      <c r="D94" s="6"/>
      <c r="E94" s="6"/>
      <c r="F94" s="6"/>
      <c r="G94" s="6"/>
      <c r="H94" s="6"/>
      <c r="I94" s="6"/>
      <c r="J94" s="6"/>
    </row>
    <row r="95" spans="2:8" x14ac:dyDescent="0.25">
      <c r="B95" s="7" t="s">
        <v>94</v>
      </c>
      <c r="C95" s="17">
        <v>3.5</v>
      </c>
      <c r="E95" s="7" t="s">
        <v>95</v>
      </c>
      <c r="F95" s="7"/>
      <c r="G95" s="7"/>
      <c r="H95" s="11">
        <v>3500000</v>
      </c>
    </row>
    <row r="96" spans="2:8" x14ac:dyDescent="0.25">
      <c r="B96" s="7" t="s">
        <v>96</v>
      </c>
      <c r="C96" s="17">
        <v>15</v>
      </c>
      <c r="E96" s="7" t="s">
        <v>97</v>
      </c>
      <c r="F96" s="7"/>
      <c r="G96" s="7"/>
      <c r="H96" s="17">
        <v>20</v>
      </c>
    </row>
    <row r="97" spans="2:8" x14ac:dyDescent="0.25">
      <c r="B97" s="7" t="s">
        <v>98</v>
      </c>
      <c r="C97" s="11">
        <v>7000</v>
      </c>
      <c r="E97" s="7" t="s">
        <v>99</v>
      </c>
      <c r="F97" s="7"/>
      <c r="G97" s="7"/>
      <c r="H97" s="11">
        <v>30000000</v>
      </c>
    </row>
    <row r="98" spans="2:8" x14ac:dyDescent="0.25">
      <c r="B98" s="7" t="s">
        <v>100</v>
      </c>
      <c r="C98" s="11">
        <v>50000</v>
      </c>
      <c r="E98" s="7" t="s">
        <v>101</v>
      </c>
      <c r="F98" s="7"/>
      <c r="G98" s="7"/>
      <c r="H98" s="17">
        <v>25</v>
      </c>
    </row>
    <row r="99" spans="2:8" x14ac:dyDescent="0.25">
      <c r="B99" s="7" t="s">
        <v>102</v>
      </c>
      <c r="C99" s="11">
        <v>8000</v>
      </c>
      <c r="E99" s="7" t="s">
        <v>103</v>
      </c>
      <c r="F99" s="7"/>
      <c r="G99" s="7"/>
      <c r="H99" s="11">
        <v>440000</v>
      </c>
    </row>
    <row r="100" spans="2:8" x14ac:dyDescent="0.25">
      <c r="B100" s="7" t="s">
        <v>104</v>
      </c>
      <c r="C100" s="17">
        <v>1</v>
      </c>
      <c r="E100" s="7" t="s">
        <v>105</v>
      </c>
      <c r="F100" s="7"/>
      <c r="G100" s="7"/>
      <c r="H100" s="17">
        <v>40</v>
      </c>
    </row>
    <row r="101" spans="2:8" x14ac:dyDescent="0.25">
      <c r="B101" s="7" t="s">
        <v>106</v>
      </c>
      <c r="C101" s="17">
        <v>7.5</v>
      </c>
      <c r="E101" s="7" t="s">
        <v>107</v>
      </c>
      <c r="F101" s="7"/>
      <c r="G101" s="7"/>
      <c r="H101" s="11">
        <v>3000000</v>
      </c>
    </row>
    <row r="103" ht="30" customHeight="1" spans="2:5" x14ac:dyDescent="0.25">
      <c r="B103" s="18" t="s">
        <v>108</v>
      </c>
      <c r="C103" s="13" t="s">
        <v>109</v>
      </c>
      <c r="D103" s="13" t="s">
        <v>110</v>
      </c>
      <c r="E103" s="13" t="s">
        <v>111</v>
      </c>
    </row>
    <row r="104" spans="3:5" x14ac:dyDescent="0.25">
      <c r="C104" s="11">
        <v>0</v>
      </c>
      <c r="D104" s="11">
        <v>0</v>
      </c>
      <c r="E104" s="17">
        <v>18</v>
      </c>
    </row>
    <row r="105" spans="3:5" x14ac:dyDescent="0.25">
      <c r="C105" s="11">
        <v>245100</v>
      </c>
      <c r="D105" s="11">
        <v>44118</v>
      </c>
      <c r="E105" s="17">
        <v>26</v>
      </c>
    </row>
    <row r="106" spans="3:5" x14ac:dyDescent="0.25">
      <c r="C106" s="11">
        <v>383100</v>
      </c>
      <c r="D106" s="11">
        <v>79998</v>
      </c>
      <c r="E106" s="17">
        <v>31</v>
      </c>
    </row>
    <row r="107" spans="3:5" x14ac:dyDescent="0.25">
      <c r="C107" s="11">
        <v>530200</v>
      </c>
      <c r="D107" s="11">
        <v>125599</v>
      </c>
      <c r="E107" s="17">
        <v>36</v>
      </c>
    </row>
    <row r="108" spans="3:5" x14ac:dyDescent="0.25">
      <c r="C108" s="11">
        <v>695800</v>
      </c>
      <c r="D108" s="11">
        <v>185215</v>
      </c>
      <c r="E108" s="17">
        <v>39</v>
      </c>
    </row>
    <row r="109" spans="3:5" x14ac:dyDescent="0.25">
      <c r="C109" s="11">
        <v>887000</v>
      </c>
      <c r="D109" s="11">
        <v>259783</v>
      </c>
      <c r="E109" s="17">
        <v>41</v>
      </c>
    </row>
    <row r="110" spans="3:5" x14ac:dyDescent="0.25">
      <c r="C110" s="11">
        <v>1878600</v>
      </c>
      <c r="D110" s="11">
        <v>666339</v>
      </c>
      <c r="E110" s="17">
        <v>45</v>
      </c>
    </row>
    <row r="111" ht="15" customHeight="1" spans="2:10" x14ac:dyDescent="0.25">
      <c r="B111" s="16" t="s">
        <v>112</v>
      </c>
      <c r="C111" s="16"/>
      <c r="D111" s="16"/>
      <c r="E111" s="16"/>
      <c r="F111" s="16"/>
      <c r="G111" s="16"/>
      <c r="H111" s="16"/>
      <c r="I111" s="16"/>
      <c r="J111" s="16"/>
    </row>
    <row r="113" ht="18" customHeight="1" spans="2:10" x14ac:dyDescent="0.25">
      <c r="B113" s="5" t="s">
        <v>113</v>
      </c>
      <c r="C113" s="6"/>
      <c r="D113" s="6"/>
      <c r="E113" s="6"/>
      <c r="F113" s="6"/>
      <c r="G113" s="6"/>
      <c r="H113" s="6"/>
      <c r="I113" s="6"/>
      <c r="J113" s="6"/>
    </row>
    <row r="114" ht="15" customHeight="1" spans="2:10" x14ac:dyDescent="0.25">
      <c r="B114" s="19">
        <f>IF(SUM(T22:T39)=0,"✓ Every asset taxed on death has a base cost.","✗ "&amp;SUM(T22:T39)&amp;IF(SUM(T22:T39)=1," asset has"," assets have")&amp;" no base cost. Capital gains tax is worked out on the full value (the worst case) until you add it.")</f>
      </c>
      <c r="C114" s="19"/>
      <c r="D114" s="19"/>
      <c r="E114" s="19"/>
      <c r="F114" s="19"/>
      <c r="G114" s="19"/>
      <c r="H114" s="19"/>
      <c r="I114" s="19"/>
      <c r="J114" s="19"/>
    </row>
    <row r="115" ht="15" customHeight="1" spans="2:10" x14ac:dyDescent="0.25">
      <c r="B115" s="19">
        <f>IF(SUM(W22:W39)=0,"✓ Every asset has a kind and says who it passes to.","✗ "&amp;SUM(W22:W39)&amp;IF(SUM(W22:W39)=1," asset is"," assets are")&amp;" missing its kind or who it passes to.")</f>
      </c>
      <c r="C115" s="19"/>
      <c r="D115" s="19"/>
      <c r="E115" s="19"/>
      <c r="F115" s="19"/>
      <c r="G115" s="19"/>
      <c r="H115" s="19"/>
      <c r="I115" s="19"/>
      <c r="J115" s="19"/>
    </row>
    <row r="116" ht="15" customHeight="1" spans="2:10" x14ac:dyDescent="0.25">
      <c r="B116" s="19">
        <f>IF(AND('Inputs'!$C$14="Spouse",LEFT('Inputs'!$C$13,7)&lt;&gt;"Married",'Inputs'!$C$13&lt;&gt;"Life partner",'Inputs'!$C$13&lt;&gt;"Civil Union"),"✗ The residue goes to a spouse, but the marital status is "&amp;'Inputs'!$C$13&amp;".","✓ Who inherits matches the marital status.")</f>
      </c>
      <c r="C116" s="19"/>
      <c r="D116" s="19"/>
      <c r="E116" s="19"/>
      <c r="F116" s="19"/>
      <c r="G116" s="19"/>
      <c r="H116" s="19"/>
      <c r="I116" s="19"/>
      <c r="J116" s="19"/>
    </row>
    <row r="117" ht="15" customHeight="1" spans="2:10" x14ac:dyDescent="0.25">
      <c r="B117" s="19">
        <f>IF(OR('Inputs'!$C$13="Married in COP",'Inputs'!$C$13="Married - ANC with accrual",'Inputs'!$C$13="Married",'Inputs'!$C$13="Civil Union"),"✗ "&amp;IF(OR('Inputs'!$C$13="Married",'Inputs'!$C$13="Civil Union"),"The marriage regime is not captured.","Community of property and accrual are not in the Quick FNA yet.")&amp;" Use the full FNA for this client.","✓ The marital status is one the Quick FNA covers.")</f>
      </c>
      <c r="C117" s="19"/>
      <c r="D117" s="19"/>
      <c r="E117" s="19"/>
      <c r="F117" s="19"/>
      <c r="G117" s="19"/>
      <c r="H117" s="19"/>
      <c r="I117" s="19"/>
      <c r="J117" s="19"/>
    </row>
    <row r="118" hidden="1" spans="2:2" x14ac:dyDescent="0.25">
      <c r="B118" t="s">
        <v>114</v>
      </c>
    </row>
    <row r="119" ht="15" customHeight="1" spans="2:10" x14ac:dyDescent="0.25">
      <c r="B119" s="20"/>
      <c r="C119" s="20"/>
      <c r="D119" s="20"/>
      <c r="E119" s="20"/>
      <c r="F119" s="20"/>
      <c r="G119" s="20"/>
      <c r="H119" s="20"/>
      <c r="I119" s="20"/>
      <c r="J119" s="20"/>
    </row>
    <row r="120" ht="15" customHeight="1" spans="2:10" x14ac:dyDescent="0.25">
      <c r="B120" s="20"/>
      <c r="C120" s="20"/>
      <c r="D120" s="20"/>
      <c r="E120" s="20"/>
      <c r="F120" s="20"/>
      <c r="G120" s="20"/>
      <c r="H120" s="20"/>
      <c r="I120" s="20"/>
      <c r="J120" s="20"/>
    </row>
    <row r="121" ht="15" customHeight="1" spans="2:10" x14ac:dyDescent="0.25">
      <c r="B121" s="20"/>
      <c r="C121" s="20"/>
      <c r="D121" s="20"/>
      <c r="E121" s="20"/>
      <c r="F121" s="20"/>
      <c r="G121" s="20"/>
      <c r="H121" s="20"/>
      <c r="I121" s="20"/>
      <c r="J121" s="20"/>
    </row>
    <row r="122" ht="15" customHeight="1" spans="2:10" x14ac:dyDescent="0.25">
      <c r="B122" s="20"/>
      <c r="C122" s="20"/>
      <c r="D122" s="20"/>
      <c r="E122" s="20"/>
      <c r="F122" s="20"/>
      <c r="G122" s="20"/>
      <c r="H122" s="20"/>
      <c r="I122" s="20"/>
      <c r="J122" s="20"/>
    </row>
    <row r="123" ht="15" customHeight="1" spans="2:10" x14ac:dyDescent="0.25">
      <c r="B123" s="20"/>
      <c r="C123" s="20"/>
      <c r="D123" s="20"/>
      <c r="E123" s="20"/>
      <c r="F123" s="20"/>
      <c r="G123" s="20"/>
      <c r="H123" s="20"/>
      <c r="I123" s="20"/>
      <c r="J123" s="20"/>
    </row>
    <row r="124" ht="15" customHeight="1" spans="2:10" x14ac:dyDescent="0.25">
      <c r="B124" s="20"/>
      <c r="C124" s="20"/>
      <c r="D124" s="20"/>
      <c r="E124" s="20"/>
      <c r="F124" s="20"/>
      <c r="G124" s="20"/>
      <c r="H124" s="20"/>
      <c r="I124" s="20"/>
      <c r="J124" s="20"/>
    </row>
    <row r="125" ht="15" customHeight="1" spans="2:10" x14ac:dyDescent="0.25">
      <c r="B125" s="20"/>
      <c r="C125" s="20"/>
      <c r="D125" s="20"/>
      <c r="E125" s="20"/>
      <c r="F125" s="20"/>
      <c r="G125" s="20"/>
      <c r="H125" s="20"/>
      <c r="I125" s="20"/>
      <c r="J125" s="20"/>
    </row>
    <row r="126" ht="15" customHeight="1" spans="2:10" x14ac:dyDescent="0.25">
      <c r="B126" s="20"/>
      <c r="C126" s="20"/>
      <c r="D126" s="20"/>
      <c r="E126" s="20"/>
      <c r="F126" s="20"/>
      <c r="G126" s="20"/>
      <c r="H126" s="20"/>
      <c r="I126" s="20"/>
      <c r="J126" s="20"/>
    </row>
    <row r="127" ht="15" customHeight="1" spans="2:10" x14ac:dyDescent="0.25">
      <c r="B127" s="20"/>
      <c r="C127" s="20"/>
      <c r="D127" s="20"/>
      <c r="E127" s="20"/>
      <c r="F127" s="20"/>
      <c r="G127" s="20"/>
      <c r="H127" s="20"/>
      <c r="I127" s="20"/>
      <c r="J127" s="20"/>
    </row>
    <row r="128" ht="15" customHeight="1" spans="2:10" x14ac:dyDescent="0.25">
      <c r="B128" s="20"/>
      <c r="C128" s="20"/>
      <c r="D128" s="20"/>
      <c r="E128" s="20"/>
      <c r="F128" s="20"/>
      <c r="G128" s="20"/>
      <c r="H128" s="20"/>
      <c r="I128" s="20"/>
      <c r="J128" s="20"/>
    </row>
    <row r="129" ht="15" customHeight="1" spans="2:10" x14ac:dyDescent="0.25">
      <c r="B129" s="20"/>
      <c r="C129" s="20"/>
      <c r="D129" s="20"/>
      <c r="E129" s="20"/>
      <c r="F129" s="20"/>
      <c r="G129" s="20"/>
      <c r="H129" s="20"/>
      <c r="I129" s="20"/>
      <c r="J129" s="20"/>
    </row>
    <row r="130" ht="15" customHeight="1" spans="2:10" x14ac:dyDescent="0.25">
      <c r="B130" s="20"/>
      <c r="C130" s="20"/>
      <c r="D130" s="20"/>
      <c r="E130" s="20"/>
      <c r="F130" s="20"/>
      <c r="G130" s="20"/>
      <c r="H130" s="20"/>
      <c r="I130" s="20"/>
      <c r="J130" s="20"/>
    </row>
    <row r="131" ht="15" customHeight="1" spans="2:10" x14ac:dyDescent="0.25">
      <c r="B131" s="20"/>
      <c r="C131" s="20"/>
      <c r="D131" s="20"/>
      <c r="E131" s="20"/>
      <c r="F131" s="20"/>
      <c r="G131" s="20"/>
      <c r="H131" s="20"/>
      <c r="I131" s="20"/>
      <c r="J131" s="20"/>
    </row>
    <row r="132" ht="15" customHeight="1" spans="2:10" x14ac:dyDescent="0.25">
      <c r="B132" s="20"/>
      <c r="C132" s="20"/>
      <c r="D132" s="20"/>
      <c r="E132" s="20"/>
      <c r="F132" s="20"/>
      <c r="G132" s="20"/>
      <c r="H132" s="20"/>
      <c r="I132" s="20"/>
      <c r="J132" s="20"/>
    </row>
  </sheetData>
  <sheetProtection sheet="1" formatRows="0"/>
  <mergeCells count="41">
    <mergeCell ref="B1:J1"/>
    <mergeCell ref="B2:J2"/>
    <mergeCell ref="C8:E8"/>
    <mergeCell ref="C9:E9"/>
    <mergeCell ref="C10:E10"/>
    <mergeCell ref="C11:E11"/>
    <mergeCell ref="C12:E12"/>
    <mergeCell ref="C13:E13"/>
    <mergeCell ref="C14:E14"/>
    <mergeCell ref="C15:I15"/>
    <mergeCell ref="C16:E16"/>
    <mergeCell ref="C17:I17"/>
    <mergeCell ref="B40:J40"/>
    <mergeCell ref="B71:J71"/>
    <mergeCell ref="B92:J92"/>
    <mergeCell ref="E95:G95"/>
    <mergeCell ref="E96:G96"/>
    <mergeCell ref="E97:G97"/>
    <mergeCell ref="E98:G98"/>
    <mergeCell ref="E99:G99"/>
    <mergeCell ref="E100:G100"/>
    <mergeCell ref="E101:G101"/>
    <mergeCell ref="B111:J111"/>
    <mergeCell ref="B114:J114"/>
    <mergeCell ref="B115:J115"/>
    <mergeCell ref="B116:J116"/>
    <mergeCell ref="B117:J117"/>
    <mergeCell ref="B119:J119"/>
    <mergeCell ref="B120:J120"/>
    <mergeCell ref="B121:J121"/>
    <mergeCell ref="B122:J122"/>
    <mergeCell ref="B123:J123"/>
    <mergeCell ref="B124:J124"/>
    <mergeCell ref="B125:J125"/>
    <mergeCell ref="B126:J126"/>
    <mergeCell ref="B127:J127"/>
    <mergeCell ref="B128:J128"/>
    <mergeCell ref="B129:J129"/>
    <mergeCell ref="B130:J130"/>
    <mergeCell ref="B131:J131"/>
    <mergeCell ref="B132:J132"/>
  </mergeCells>
  <conditionalFormatting sqref="B114:J132">
    <cfRule type="expression" dxfId="0" priority="1">
      <formula>LEFT($B114,1)="✗"</formula>
    </cfRule>
    <cfRule type="expression" dxfId="1" priority="2">
      <formula>LEFT($B114,1)="✓"</formula>
    </cfRule>
  </conditionalFormatting>
  <dataValidations count="30">
    <dataValidation type="decimal" allowBlank="1" showErrorMessage="1" errorStyle="stop" errorTitle="Percentage" error="Please type the percentage as a plain number, e.g. 2.92 for 2.92%. Do not add the % sign." sqref="C100:C101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C104:D110">
      <formula1>0</formula1>
    </dataValidation>
    <dataValidation type="date" allowBlank="1" showErrorMessage="1" errorStyle="stop" errorTitle="Date" error="Please type a date like 2026-10-13." sqref="C11:C12">
      <formula1>32874</formula1>
      <formula2>73415</formula2>
    </dataValidation>
    <dataValidation type="list" allowBlank="1" showErrorMessage="1" errorStyle="stop" errorTitle="Please choose from the list" error="Please choose one of the options in the list." sqref="C13">
      <formula1>'Lists'!$F$2:$F$12</formula1>
    </dataValidation>
    <dataValidation type="list" allowBlank="1" showErrorMessage="1" errorStyle="stop" errorTitle="Please choose from the list" error="Please choose one of the options in the list." sqref="C14">
      <formula1>'Lists'!$E$2:$E$3</formula1>
    </dataValidation>
    <dataValidation type="decimal" operator="greaterThanOrEqual" allowBlank="1" showErrorMessage="1" errorStyle="stop" errorTitle="Amount" error="Please type the amount in rand as a number, without R or spaces, e.g. 1250000." sqref="C16">
      <formula1>0</formula1>
    </dataValidation>
    <dataValidation type="list" allowBlank="1" showErrorMessage="1" errorStyle="stop" errorTitle="Please choose from the list" error="Please choose one of the options in the list." sqref="C22:C39">
      <formula1>'Lists'!$A$2:$A$9</formula1>
    </dataValidation>
    <dataValidation type="list" allowBlank="1" showErrorMessage="1" errorStyle="stop" errorTitle="Please choose from the list" error="Please choose one of the options in the list." sqref="C59:C70">
      <formula1>'Lists'!$C$2:$C$4</formula1>
    </dataValidation>
    <dataValidation type="decimal" allowBlank="1" showErrorMessage="1" errorStyle="stop" errorTitle="Percentage" error="Please type the percentage as a plain number, e.g. 2.92 for 2.92%. Do not add the % sign." sqref="C87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C88">
      <formula1>0</formula1>
    </dataValidation>
    <dataValidation type="decimal" allowBlank="1" showErrorMessage="1" errorStyle="stop" errorTitle="Percentage" error="Please type the percentage as a plain number, e.g. 2.92 for 2.92%. Do not add the % sign." sqref="C89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C90:C91">
      <formula1>0</formula1>
    </dataValidation>
    <dataValidation type="decimal" allowBlank="1" showErrorMessage="1" errorStyle="stop" errorTitle="Percentage" error="Please type the percentage as a plain number, e.g. 2.92 for 2.92%. Do not add the % sign." sqref="C95:C96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C97:C99">
      <formula1>0</formula1>
    </dataValidation>
    <dataValidation type="decimal" operator="greaterThanOrEqual" allowBlank="1" showErrorMessage="1" errorStyle="stop" errorTitle="Amount" error="Please type the amount in rand as a number, without R or spaces, e.g. 1250000." sqref="D22:E39">
      <formula1>0</formula1>
    </dataValidation>
    <dataValidation type="decimal" operator="greaterThanOrEqual" allowBlank="1" showErrorMessage="1" errorStyle="stop" errorTitle="Amount" error="Please type the amount in rand as a number, without R or spaces, e.g. 1250000." sqref="D45:D54">
      <formula1>0</formula1>
    </dataValidation>
    <dataValidation type="decimal" operator="greaterThanOrEqual" allowBlank="1" showErrorMessage="1" errorStyle="stop" errorTitle="Amount" error="Please type the amount in rand as a number, without R or spaces, e.g. 1250000." sqref="D59:D70">
      <formula1>0</formula1>
    </dataValidation>
    <dataValidation type="decimal" operator="greaterThanOrEqual" allowBlank="1" showErrorMessage="1" errorStyle="stop" errorTitle="Amount" error="Please type the amount in rand as a number, without R or spaces, e.g. 1250000." sqref="D76:D83">
      <formula1>0</formula1>
    </dataValidation>
    <dataValidation type="decimal" allowBlank="1" showErrorMessage="1" errorStyle="stop" errorTitle="Percentage" error="Please type the percentage as a plain number, e.g. 2.92 for 2.92%. Do not add the % sign." sqref="E104:E110">
      <formula1>0</formula1>
      <formula2>100</formula2>
    </dataValidation>
    <dataValidation type="list" allowBlank="1" showErrorMessage="1" errorStyle="stop" errorTitle="Please choose from the list" error="Please choose one of the options in the list." sqref="E59:E70">
      <formula1>'Lists'!$D$2:$D$3</formula1>
    </dataValidation>
    <dataValidation type="list" allowBlank="1" showErrorMessage="1" errorStyle="stop" errorTitle="Please choose from the list" error="Please choose one of the options in the list." sqref="F22:F39">
      <formula1>'Lists'!$D$2:$D$3</formula1>
    </dataValidation>
    <dataValidation type="list" allowBlank="1" showErrorMessage="1" errorStyle="stop" errorTitle="Please choose from the list" error="Please choose one of the options in the list." sqref="G22:G39">
      <formula1>'Lists'!$B$2:$B$4</formula1>
    </dataValidation>
    <dataValidation type="decimal" allowBlank="1" showErrorMessage="1" errorStyle="stop" errorTitle="Percentage" error="Please type the percentage as a plain number, e.g. 2.92 for 2.92%. Do not add the % sign." sqref="H100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H101">
      <formula1>0</formula1>
    </dataValidation>
    <dataValidation type="list" allowBlank="1" showErrorMessage="1" errorStyle="stop" errorTitle="Please choose from the list" error="Please choose one of the options in the list." sqref="H22:H39">
      <formula1>'Lists'!$D$2:$D$3</formula1>
    </dataValidation>
    <dataValidation type="decimal" operator="greaterThanOrEqual" allowBlank="1" showErrorMessage="1" errorStyle="stop" errorTitle="Amount" error="Please type the amount in rand as a number, without R or spaces, e.g. 1250000." sqref="H95">
      <formula1>0</formula1>
    </dataValidation>
    <dataValidation type="decimal" allowBlank="1" showErrorMessage="1" errorStyle="stop" errorTitle="Percentage" error="Please type the percentage as a plain number, e.g. 2.92 for 2.92%. Do not add the % sign." sqref="H96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H97">
      <formula1>0</formula1>
    </dataValidation>
    <dataValidation type="decimal" allowBlank="1" showErrorMessage="1" errorStyle="stop" errorTitle="Percentage" error="Please type the percentage as a plain number, e.g. 2.92 for 2.92%. Do not add the % sign." sqref="H98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H99">
      <formula1>0</formula1>
    </dataValidation>
  </dataValidations>
  <printOptions horizontalCentered="1"/>
  <pageMargins left="0.4" right="0.4" top="0.45" bottom="0.6" header="0.25" footer="0.3"/>
  <pageSetup paperSize="9" orientation="landscape" horizontalDpi="4294967295" verticalDpi="4294967295" scale="100" fitToWidth="1" fitToHeight="0"/>
  <headerFooter>
    <oddFooter>&amp;L&amp;8&amp;"Arial"Duwalcoe Financial Consultants CC  ·  FSP 9978  ·  Quick FNA inputs&amp;R&amp;8&amp;"Arial"&amp;A  · 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5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" customWidth="1"/>
    <col min="2" max="2" width="46" customWidth="1"/>
    <col min="3" max="3" width="21" customWidth="1"/>
    <col min="4" max="4" width="27" customWidth="1"/>
  </cols>
  <sheetData>
    <row r="1" ht="21.75" customHeight="1" spans="2:4" x14ac:dyDescent="0.25">
      <c r="B1" s="1" t="s">
        <v>40</v>
      </c>
      <c r="C1" s="1"/>
      <c r="D1" s="1"/>
    </row>
    <row r="2" ht="15" customHeight="1" spans="2:4" x14ac:dyDescent="0.25">
      <c r="B2" s="2" t="s">
        <v>41</v>
      </c>
      <c r="C2" s="2"/>
      <c r="D2" s="2"/>
    </row>
    <row r="3" spans="2:4" x14ac:dyDescent="0.25">
      <c r="B3" s="21">
        <f>IF(OR(COUNTIF('Inputs'!$B$119:$B$132,"✗ Full FNA*")&gt;0,LEFT('Inputs'!$B$117,1)="✗"),"NOT FOR THE CLIENT: this case needs the full FNA (see Checks on Inputs)","")</f>
      </c>
      <c r="C3" s="21"/>
      <c r="D3" s="21"/>
    </row>
    <row r="4" ht="20" customHeight="1" spans="2:2" x14ac:dyDescent="0.25">
      <c r="B4" s="3" t="s">
        <v>115</v>
      </c>
    </row>
    <row r="5" spans="2:2" x14ac:dyDescent="0.25">
      <c r="B5" s="4">
        <f>"Prepared for "&amp;'Inputs'!$C$8&amp;" by "&amp;'Inputs'!$C$10&amp;" · "&amp;IF(ISNUMBER('Inputs'!$C$11),FIXED(DAY('Inputs'!$C$11),0)&amp;" "&amp;CHOOSE(MONTH('Inputs'!$C$11),"January","February","March","April","May","June","July","August","September","October","November","December")&amp;" "&amp;FIXED(YEAR('Inputs'!$C$11),0,TRUE),"")</f>
      </c>
    </row>
    <row r="7" ht="58" customHeight="1" spans="2:4" x14ac:dyDescent="0.25">
      <c r="B7" s="22">
        <f>IF('Inputs'!$C$15&lt;&gt;"",TRIM('Inputs'!$C$15)&amp;" ","")&amp;"If you died today, winding up your estate would cost about R "&amp;FIXED(('Workings'!$C$48)/1000000,2)&amp;" million"&amp;IF('Workings'!$C$51&gt;0,", and your debts of R "&amp;FIXED(('Workings'!$C$51)/1000000,2)&amp;" million have to be paid too","")&amp;". Your executor would have R "&amp;FIXED(('Workings'!$C$55)/1000000,2)&amp;" million in cash, so "&amp;IF('Workings'!$C$56&gt;0,"would be short by about R "&amp;FIXED(('Workings'!$C$56)/1000000,2)&amp;" million.","would have enough, with about R "&amp;FIXED(ROUND('Workings'!$C$57,-3),0)&amp;" left over.")</f>
      </c>
      <c r="C7" s="22"/>
      <c r="D7" s="22"/>
    </row>
    <row r="8" ht="44" customHeight="1" spans="2:4" x14ac:dyDescent="0.25">
      <c r="B8" s="22">
        <f>IF(AND(ISNUMBER('Inputs'!$C$87),'Inputs'!$C$87&gt;0),"With a Capital Legacy will and the Legacy Protection Plan, the plan pays about R "&amp;FIXED(ROUND(-'Workings'!$D$49,-3),0)&amp;" of the executor's and conveyancing fees, "&amp;IF('Workings'!$D$56=0,IF('Workings'!$C$56&gt;0,"the shortfall disappears","your executor still has enough"),"the shortfall falls to about R "&amp;FIXED(ROUND('Workings'!$D$56,-3),0))&amp;", and your heirs receive about R "&amp;FIXED(('Workings'!$D$58-'Workings'!$C$58)/1000000,2)&amp;" million more.","")</f>
      </c>
      <c r="C8" s="22"/>
      <c r="D8" s="22"/>
    </row>
    <row r="10" spans="2:4" x14ac:dyDescent="0.25">
      <c r="B10" s="23">
        <f>IF('Workings'!$C$56&gt;0,"YOUR EXECUTOR'S CASH SHORTFALL TODAY","CASH LEFT OVER FOR YOUR EXECUTOR TODAY")</f>
      </c>
      <c r="C10" s="23"/>
      <c r="D10" s="23"/>
    </row>
    <row r="11" ht="28" customHeight="1" spans="2:4" x14ac:dyDescent="0.25">
      <c r="B11" s="24">
        <f>"R "&amp;FIXED(ROUND(IF('Workings'!$C$56&gt;0,'Workings'!$C$56,'Workings'!$C$57),-3),0)</f>
      </c>
      <c r="C11" s="24"/>
      <c r="D11" s="24"/>
    </row>
    <row r="12" spans="2:4" x14ac:dyDescent="0.25">
      <c r="B12" s="25">
        <f>IF('Workings'!$C$56&gt;0,"the cash that has to be found before your estate can be wound up","what is left once the costs are paid")</f>
      </c>
      <c r="C12" s="25"/>
      <c r="D12" s="25"/>
    </row>
    <row r="14" ht="42" customHeight="1" spans="2:4" x14ac:dyDescent="0.25">
      <c r="B14" s="12" t="s">
        <v>116</v>
      </c>
      <c r="C14" s="13" t="s">
        <v>117</v>
      </c>
      <c r="D14" s="13">
        <f>IF(AND(ISNUMBER('Inputs'!$C$87),'Inputs'!$C$87&gt;0),"With a Capital Legacy will and the Legacy Protection Plan","Capital Legacy column: enter the quote on Inputs")</f>
      </c>
    </row>
    <row r="15" spans="2:4" x14ac:dyDescent="0.25">
      <c r="B15" s="7" t="s">
        <v>118</v>
      </c>
      <c r="C15" s="15">
        <f>'Workings'!$C$47</f>
      </c>
      <c r="D15" s="15">
        <f>IF(AND(ISNUMBER('Inputs'!$C$87),'Inputs'!$C$87&gt;0),'Workings'!$D$47,"")</f>
      </c>
    </row>
    <row r="16" spans="2:4" x14ac:dyDescent="0.25">
      <c r="B16" s="7" t="s">
        <v>119</v>
      </c>
      <c r="C16" s="15">
        <f>'Workings'!$C$46</f>
      </c>
      <c r="D16" s="15">
        <f>IF(AND(ISNUMBER('Inputs'!$C$87),'Inputs'!$C$87&gt;0),'Workings'!$D$46,"")</f>
      </c>
    </row>
    <row r="17" ht="27" customHeight="1" spans="2:4" x14ac:dyDescent="0.25">
      <c r="B17" s="26">
        <f>"Executor's fees"&amp;CHAR(10)&amp;IF(ROUND('Inputs'!$C$95,0)='Inputs'!$C$95,FIXED('Inputs'!$C$95,0),IF(ROUND('Inputs'!$C$95,1)='Inputs'!$C$95,FIXED('Inputs'!$C$95,1),FIXED('Inputs'!$C$95,2)))&amp;"%"&amp;" plus VAT"&amp;IF(AND(ISNUMBER('Inputs'!$C$87),'Inputs'!$C$87&gt;0)," / Capital Legacy "&amp;IF(ROUND('Inputs'!$C$87,0)='Inputs'!$C$87,FIXED('Inputs'!$C$87,0),IF(ROUND('Inputs'!$C$87,1)='Inputs'!$C$87,FIXED('Inputs'!$C$87,1),FIXED('Inputs'!$C$87,2)))&amp;"%"&amp;" plus VAT","")</f>
      </c>
      <c r="C17" s="15">
        <f>'Workings'!$C$43</f>
      </c>
      <c r="D17" s="15">
        <f>IF(AND(ISNUMBER('Inputs'!$C$87),'Inputs'!$C$87&gt;0),'Workings'!$D$43,"")</f>
      </c>
    </row>
    <row r="18" ht="27" customHeight="1" spans="2:4" x14ac:dyDescent="0.25">
      <c r="B18" s="26">
        <f>"Property transfer and conveyancing"&amp;CHAR(10)&amp;IF(ROUND('Inputs'!$C$100,0)='Inputs'!$C$100,FIXED('Inputs'!$C$100,0),IF(ROUND('Inputs'!$C$100,1)='Inputs'!$C$100,FIXED('Inputs'!$C$100,1),FIXED('Inputs'!$C$100,2)))&amp;"%"&amp;" of value"&amp;IF(AND(ISNUMBER('Inputs'!$C$87),'Inputs'!$C$87&gt;0)," / Capital Legacy's estimate","")</f>
      </c>
      <c r="C18" s="15">
        <f>'Workings'!$C$44</f>
      </c>
      <c r="D18" s="15">
        <f>IF(AND(ISNUMBER('Inputs'!$C$87),'Inputs'!$C$87&gt;0),'Workings'!$D$44,"")</f>
      </c>
    </row>
    <row r="19" spans="2:4" x14ac:dyDescent="0.25">
      <c r="B19" s="7" t="s">
        <v>120</v>
      </c>
      <c r="C19" s="15">
        <f>'Workings'!$C$45</f>
      </c>
      <c r="D19" s="15">
        <f>IF(AND(ISNUMBER('Inputs'!$C$87),'Inputs'!$C$87&gt;0),'Workings'!$D$45,"")</f>
      </c>
    </row>
    <row r="20" spans="2:4" x14ac:dyDescent="0.25">
      <c r="B20" s="7" t="s">
        <v>121</v>
      </c>
      <c r="C20" s="15">
        <f>'Workings'!$C$42</f>
      </c>
      <c r="D20" s="15">
        <f>IF(AND(ISNUMBER('Inputs'!$C$87),'Inputs'!$C$87&gt;0),'Workings'!$D$42,"")</f>
      </c>
    </row>
    <row r="21" spans="2:4" x14ac:dyDescent="0.25">
      <c r="B21" s="27" t="s">
        <v>122</v>
      </c>
      <c r="C21" s="28">
        <f>'Workings'!$C$48</f>
      </c>
      <c r="D21" s="28">
        <f>IF(AND(ISNUMBER('Inputs'!$C$87),'Inputs'!$C$87&gt;0),'Workings'!$D$48,"")</f>
      </c>
    </row>
    <row r="22" spans="2:4" x14ac:dyDescent="0.25">
      <c r="B22" s="7" t="s">
        <v>123</v>
      </c>
      <c r="C22" s="15">
        <f>-'Workings'!$C$49</f>
      </c>
      <c r="D22" s="15">
        <f>IF(AND(ISNUMBER('Inputs'!$C$87),'Inputs'!$C$87&gt;0),-'Workings'!$D$49,"")</f>
      </c>
    </row>
    <row r="23" spans="2:4" x14ac:dyDescent="0.25">
      <c r="B23" s="27" t="s">
        <v>124</v>
      </c>
      <c r="C23" s="28">
        <f>'Workings'!$C$50</f>
      </c>
      <c r="D23" s="28">
        <f>IF(AND(ISNUMBER('Inputs'!$C$87),'Inputs'!$C$87&gt;0),'Workings'!$D$50,"")</f>
      </c>
    </row>
    <row r="24" spans="2:4" x14ac:dyDescent="0.25">
      <c r="B24" s="7" t="s">
        <v>125</v>
      </c>
      <c r="C24" s="15">
        <f>'Workings'!$C$51</f>
      </c>
      <c r="D24" s="15">
        <f>IF(AND(ISNUMBER('Inputs'!$C$87),'Inputs'!$C$87&gt;0),'Workings'!$D$51,"")</f>
      </c>
    </row>
    <row r="25" ht="27" customHeight="1" spans="2:4" x14ac:dyDescent="0.25">
      <c r="B25" s="26">
        <f>"Cash your executor has"&amp;CHAR(10)&amp;"bank accounts, deposits and investments cashed in"</f>
      </c>
      <c r="C25" s="15">
        <f>'Workings'!$C$55</f>
      </c>
      <c r="D25" s="15">
        <f>IF(AND(ISNUMBER('Inputs'!$C$87),'Inputs'!$C$87&gt;0),'Workings'!$D$55,"")</f>
      </c>
    </row>
    <row r="26" spans="2:4" x14ac:dyDescent="0.25">
      <c r="B26" s="18" t="s">
        <v>126</v>
      </c>
      <c r="C26" s="29">
        <f>IF('Workings'!$C$56&gt;0,"Short R "&amp;FIXED(ROUND('Workings'!$C$56,-3),0),"Covered: R "&amp;FIXED(ROUND('Workings'!$C$57,-3),0)&amp;" left over")</f>
      </c>
      <c r="D26" s="29">
        <f>IF(AND(ISNUMBER('Inputs'!$C$87),'Inputs'!$C$87&gt;0),IF('Workings'!$D$56&gt;0,"Short R "&amp;FIXED(ROUND('Workings'!$D$56,-3),0),"Covered: R "&amp;FIXED(ROUND('Workings'!$D$57,-3),0)&amp;" left over"),"")</f>
      </c>
    </row>
    <row r="27" ht="27" customHeight="1" spans="2:4" x14ac:dyDescent="0.25">
      <c r="B27" s="26">
        <f>IF(OR(SUM('Inputs'!$R$22:$R$39)&gt;0,'Inputs'!$C$14="Spouse"),"Left for your spouse and heirs","Left for your heirs")&amp;CHAR(10)&amp;"if they pay any shortfall in"</f>
      </c>
      <c r="C27" s="15">
        <f>'Workings'!$C$58</f>
      </c>
      <c r="D27" s="30">
        <f>IF(AND(ISNUMBER('Inputs'!$C$87),'Inputs'!$C$87&gt;0),'Workings'!$D$58,"")</f>
      </c>
    </row>
    <row r="28" spans="2:4" x14ac:dyDescent="0.25">
      <c r="B28" s="7" t="s">
        <v>127</v>
      </c>
      <c r="C28" s="31" t="s">
        <v>128</v>
      </c>
      <c r="D28" s="31">
        <f>IF(AND(ISNUMBER('Inputs'!$C$87),'Inputs'!$C$87&gt;0),IF(ISNUMBER('Inputs'!$C$91),"From R "&amp;FIXED('Inputs'!$C$91,2)&amp;" a month","Premium: enter it on Inputs"),"")</f>
      </c>
    </row>
    <row r="30" ht="18" customHeight="1" spans="2:4" x14ac:dyDescent="0.25">
      <c r="B30" s="5" t="s">
        <v>129</v>
      </c>
      <c r="C30" s="6"/>
      <c r="D30" s="6"/>
    </row>
    <row r="31" ht="27" customHeight="1" spans="2:4" x14ac:dyDescent="0.25">
      <c r="B31" s="32">
        <f>"1.  Sign a new will that says what you want"&amp;IF(AND(ISNUMBER('Inputs'!$C$87),'Inputs'!$C$87&gt;0),", with Capital Legacy as your executor","")&amp;". Until you do, your current will, or the law if you have none, decides who inherits."</f>
      </c>
      <c r="C31" s="32"/>
      <c r="D31" s="32"/>
    </row>
    <row r="32" ht="27" customHeight="1" spans="2:4" x14ac:dyDescent="0.25">
      <c r="B32" s="32">
        <f>"2.  "&amp;IF('Workings'!$C$56&gt;0,"Decide how your executor will find the cash: "&amp;IF(AND(ISNUMBER('Inputs'!$C$87),'Inputs'!$C$87&gt;0),"the Legacy Protection Plan, ","")&amp;"a property sold, or your heirs paying it in.","Keep enough cash for your executor: today there is enough, with about R "&amp;FIXED(ROUND('Workings'!$C$57,-3),0)&amp;" to spare.")</f>
      </c>
      <c r="C32" s="32"/>
      <c r="D32" s="32"/>
    </row>
    <row r="33" ht="27" customHeight="1" spans="2:4" x14ac:dyDescent="0.25">
      <c r="B33" s="32">
        <f>"3.  Remember that your savings are your executor's cash. Every R 1 spent from them "&amp;IF('Workings'!$C$56&gt;0,"adds about "&amp;ROUND(100*(1-'Inputs'!$C$95/100*(1+'Inputs'!$C$96/100))*IF('Workings'!$C$35&gt;0,1-'Inputs'!$H$96/100,1),0)&amp;" cents to the shortfall.","takes about "&amp;ROUND(100*(1-'Inputs'!$C$95/100*(1+'Inputs'!$C$96/100))*IF('Workings'!$C$35&gt;0,1-'Inputs'!$H$96/100,1),0)&amp;" cents off what your executor has spare.")</f>
      </c>
      <c r="C33" s="32"/>
      <c r="D33" s="32"/>
    </row>
    <row r="35" ht="52" customHeight="1" spans="2:4" x14ac:dyDescent="0.25">
      <c r="B35" s="33">
        <f>"Basis: indicative and worst case, based on your instructed wishes, not a signed will, and on the values you gave us"&amp;IF(ISNUMBER('Inputs'!$C$12)," on "&amp;FIXED(DAY('Inputs'!$C$12),0)&amp;" "&amp;CHOOSE(MONTH('Inputs'!$C$12),"January","February","March","April","May","June","July","August","September","October","November","December")&amp;" "&amp;FIXED(YEAR('Inputs'!$C$12),0,TRUE),"")&amp;". Our standard assumptions are on the Workings page."&amp;IF(AND(ISNUMBER('Inputs'!$C$87),'Inputs'!$C$87&gt;0)," Capital Legacy quote "&amp;'Inputs'!$C$86&amp;"; premiums rise each year and are not guaranteed.","")&amp;" Figures are for your death today. Not legal or tax advice; the executor's actual costs may differ."</f>
      </c>
      <c r="C35" s="33"/>
      <c r="D35" s="33"/>
    </row>
  </sheetData>
  <sheetProtection sheet="1" formatRows="0"/>
  <mergeCells count="12">
    <mergeCell ref="B1:D1"/>
    <mergeCell ref="B2:D2"/>
    <mergeCell ref="B3:D3"/>
    <mergeCell ref="B7:D7"/>
    <mergeCell ref="B8:D8"/>
    <mergeCell ref="B10:D10"/>
    <mergeCell ref="B11:D11"/>
    <mergeCell ref="B12:D12"/>
    <mergeCell ref="B31:D31"/>
    <mergeCell ref="B32:D32"/>
    <mergeCell ref="B33:D33"/>
    <mergeCell ref="B35:D35"/>
  </mergeCells>
  <conditionalFormatting sqref="B10:D12">
    <cfRule type="expression" dxfId="2" priority="1">
      <formula>'Workings'!$C$56=0</formula>
    </cfRule>
  </conditionalFormatting>
  <conditionalFormatting sqref="C26:D26">
    <cfRule type="expression" dxfId="3" priority="2">
      <formula>LEFT(C26,5)="Short"</formula>
    </cfRule>
    <cfRule type="expression" dxfId="4" priority="3">
      <formula>LEFT(C26,7)="Covered"</formula>
    </cfRule>
  </conditionalFormatting>
  <printOptions horizontalCentered="1"/>
  <pageMargins left="0.4" right="0.4" top="0.45" bottom="0.6" header="0.25" footer="0.3"/>
  <pageSetup paperSize="9" orientation="portrait" horizontalDpi="4294967295" verticalDpi="4294967295" scale="100" fitToWidth="1" fitToHeight="0"/>
  <headerFooter>
    <oddFooter>&amp;L&amp;8&amp;"Arial"Duwalcoe Financial Consultants CC  ·  FSP 9978  ·  Cost of dying&amp;R&amp;8&amp;"Arial"&amp;A  · 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5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" customWidth="1"/>
    <col min="2" max="2" width="56" customWidth="1"/>
    <col min="3" max="4" width="21" customWidth="1"/>
  </cols>
  <sheetData>
    <row r="1" ht="21.75" customHeight="1" spans="2:4" x14ac:dyDescent="0.25">
      <c r="B1" s="1" t="s">
        <v>40</v>
      </c>
      <c r="C1" s="1"/>
      <c r="D1" s="1"/>
    </row>
    <row r="2" ht="15" customHeight="1" spans="2:4" x14ac:dyDescent="0.25">
      <c r="B2" s="2" t="s">
        <v>41</v>
      </c>
      <c r="C2" s="2"/>
      <c r="D2" s="2"/>
    </row>
    <row r="4" ht="20" customHeight="1" spans="2:2" x14ac:dyDescent="0.25">
      <c r="B4" s="3" t="s">
        <v>130</v>
      </c>
    </row>
    <row r="5" spans="2:2" x14ac:dyDescent="0.25">
      <c r="B5" s="4" t="s">
        <v>131</v>
      </c>
    </row>
    <row r="7" ht="30" customHeight="1" spans="2:4" x14ac:dyDescent="0.25">
      <c r="B7" s="12" t="s">
        <v>116</v>
      </c>
      <c r="C7" s="13">
        <f>"If "&amp;'Inputs'!$C$9&amp;" dies"</f>
      </c>
      <c r="D7" s="13">
        <f>IF(AND(ISNUMBER('Inputs'!$C$87),'Inputs'!$C$87&gt;0),"With the Legacy plan","")</f>
      </c>
    </row>
    <row r="8" spans="2:4" x14ac:dyDescent="0.25">
      <c r="B8" s="34" t="s">
        <v>132</v>
      </c>
      <c r="C8" s="34"/>
      <c r="D8" s="34"/>
    </row>
    <row r="9" spans="2:4" x14ac:dyDescent="0.25">
      <c r="B9" s="7" t="s">
        <v>133</v>
      </c>
      <c r="C9" s="15">
        <f>SUMIFS('Inputs'!$D$22:$D$39,'Inputs'!$C$22:$C$39,"Property")</f>
      </c>
      <c r="D9" s="15">
        <f>IF(AND(ISNUMBER('Inputs'!$C$87),'Inputs'!$C$87&gt;0),SUMIFS('Inputs'!$D$22:$D$39,'Inputs'!$C$22:$C$39,"Property"),"")</f>
      </c>
    </row>
    <row r="10" spans="2:4" x14ac:dyDescent="0.25">
      <c r="B10" s="7" t="s">
        <v>134</v>
      </c>
      <c r="C10" s="15">
        <f>SUMIFS('Inputs'!$D$22:$D$39,'Inputs'!$C$22:$C$39,"Vehicle or contents")</f>
      </c>
      <c r="D10" s="15">
        <f>IF(AND(ISNUMBER('Inputs'!$C$87),'Inputs'!$C$87&gt;0),SUMIFS('Inputs'!$D$22:$D$39,'Inputs'!$C$22:$C$39,"Vehicle or contents"),"")</f>
      </c>
    </row>
    <row r="11" spans="2:4" x14ac:dyDescent="0.25">
      <c r="B11" s="7" t="s">
        <v>135</v>
      </c>
      <c r="C11" s="15">
        <f>SUMIFS('Inputs'!$D$22:$D$39,'Inputs'!$C$22:$C$39,"Cash and deposits")</f>
      </c>
      <c r="D11" s="15">
        <f>IF(AND(ISNUMBER('Inputs'!$C$87),'Inputs'!$C$87&gt;0),SUMIFS('Inputs'!$D$22:$D$39,'Inputs'!$C$22:$C$39,"Cash and deposits"),"")</f>
      </c>
    </row>
    <row r="12" spans="2:4" x14ac:dyDescent="0.25">
      <c r="B12" s="7" t="s">
        <v>136</v>
      </c>
      <c r="C12" s="15">
        <f>SUMIFS('Inputs'!$D$22:$D$39,'Inputs'!$C$22:$C$39,"Shares and unit trusts")</f>
      </c>
      <c r="D12" s="15">
        <f>IF(AND(ISNUMBER('Inputs'!$C$87),'Inputs'!$C$87&gt;0),SUMIFS('Inputs'!$D$22:$D$39,'Inputs'!$C$22:$C$39,"Shares and unit trusts"),"")</f>
      </c>
    </row>
    <row r="13" spans="2:4" x14ac:dyDescent="0.25">
      <c r="B13" s="7" t="s">
        <v>137</v>
      </c>
      <c r="C13" s="15">
        <f>SUMIFS('Inputs'!$D$22:$D$39,'Inputs'!$C$22:$C$39,"Other investment")+SUMIFS('Inputs'!$D$22:$D$39,'Inputs'!$C$22:$C$39,"Tax-free investment")+SUMIFS('Inputs'!$D$22:$D$39,'Inputs'!$C$22:$C$39,"Loan account")+SUMIFS('Inputs'!$D$22:$D$39,'Inputs'!$C$22:$C$39,"Business interest")</f>
      </c>
      <c r="D13" s="15">
        <f>IF(AND(ISNUMBER('Inputs'!$C$87),'Inputs'!$C$87&gt;0),SUMIFS('Inputs'!$D$22:$D$39,'Inputs'!$C$22:$C$39,"Other investment")+SUMIFS('Inputs'!$D$22:$D$39,'Inputs'!$C$22:$C$39,"Tax-free investment")+SUMIFS('Inputs'!$D$22:$D$39,'Inputs'!$C$22:$C$39,"Loan account")+SUMIFS('Inputs'!$D$22:$D$39,'Inputs'!$C$22:$C$39,"Business interest"),"")</f>
      </c>
    </row>
    <row r="14" spans="2:4" x14ac:dyDescent="0.25">
      <c r="B14" s="7" t="s">
        <v>138</v>
      </c>
      <c r="C14" s="15">
        <f>'Workings'!$C$20</f>
      </c>
      <c r="D14" s="15">
        <f>IF(AND(ISNUMBER('Inputs'!$C$87),'Inputs'!$C$87&gt;0),'Workings'!$C$20,"")</f>
      </c>
    </row>
    <row r="15" spans="2:4" x14ac:dyDescent="0.25">
      <c r="B15" s="27" t="s">
        <v>139</v>
      </c>
      <c r="C15" s="28">
        <f>SUM(C9:C14)</f>
      </c>
      <c r="D15" s="28">
        <f>IF(AND(ISNUMBER('Inputs'!$C$87),'Inputs'!$C$87&gt;0),SUM(C9:C14),"")</f>
      </c>
    </row>
    <row r="16" spans="2:4" x14ac:dyDescent="0.25">
      <c r="B16" s="34" t="s">
        <v>140</v>
      </c>
      <c r="C16" s="34"/>
      <c r="D16" s="34"/>
    </row>
    <row r="17" spans="2:4" x14ac:dyDescent="0.25">
      <c r="B17" s="7" t="s">
        <v>141</v>
      </c>
      <c r="C17" s="15">
        <f>'Workings'!$C$22</f>
      </c>
      <c r="D17" s="15">
        <f>IF(AND(ISNUMBER('Inputs'!$C$87),'Inputs'!$C$87&gt;0),'Workings'!$C$22,"")</f>
      </c>
    </row>
    <row r="18" spans="2:4" x14ac:dyDescent="0.25">
      <c r="B18" s="7" t="s">
        <v>142</v>
      </c>
      <c r="C18" s="15">
        <f>SUMIFS('Inputs'!$D$59:$D$70,'Inputs'!$E$59:$E$70,"No")</f>
      </c>
      <c r="D18" s="15">
        <f>IF(AND(ISNUMBER('Inputs'!$C$87),'Inputs'!$C$87&gt;0),SUMIFS('Inputs'!$D$59:$D$70,'Inputs'!$E$59:$E$70,"No"),"")</f>
      </c>
    </row>
    <row r="19" spans="2:4" x14ac:dyDescent="0.25">
      <c r="B19" s="7" t="s">
        <v>143</v>
      </c>
      <c r="C19" s="15">
        <f>SUM('Inputs'!$D$76:$D$83)</f>
      </c>
      <c r="D19" s="15">
        <f>IF(AND(ISNUMBER('Inputs'!$C$87),'Inputs'!$C$87&gt;0),SUM('Inputs'!$D$76:$D$83),"")</f>
      </c>
    </row>
    <row r="20" spans="2:4" x14ac:dyDescent="0.25">
      <c r="B20" s="34" t="s">
        <v>144</v>
      </c>
      <c r="C20" s="34"/>
      <c r="D20" s="34"/>
    </row>
    <row r="21" spans="2:4" x14ac:dyDescent="0.25">
      <c r="B21" s="7" t="s">
        <v>145</v>
      </c>
      <c r="C21" s="15">
        <f>C15+SUM(C17:C19)</f>
      </c>
      <c r="D21" s="15">
        <f>IF(AND(ISNUMBER('Inputs'!$C$87),'Inputs'!$C$87&gt;0),C15+SUM(C17:C19),"")</f>
      </c>
    </row>
    <row r="22" spans="2:4" x14ac:dyDescent="0.25">
      <c r="B22" s="7" t="s">
        <v>146</v>
      </c>
      <c r="C22" s="15">
        <f>'Workings'!$C$23</f>
      </c>
      <c r="D22" s="15">
        <f>IF(AND(ISNUMBER('Inputs'!$C$87),'Inputs'!$C$87&gt;0),'Workings'!$C$23,"")</f>
      </c>
    </row>
    <row r="23" spans="2:4" x14ac:dyDescent="0.25">
      <c r="B23" s="7" t="s">
        <v>147</v>
      </c>
      <c r="C23" s="15">
        <f>'Workings'!$C$51</f>
      </c>
      <c r="D23" s="15">
        <f>IF(AND(ISNUMBER('Inputs'!$C$87),'Inputs'!$C$87&gt;0),'Workings'!$C$51,"")</f>
      </c>
    </row>
    <row r="24" spans="2:4" x14ac:dyDescent="0.25">
      <c r="B24" s="34" t="s">
        <v>148</v>
      </c>
      <c r="C24" s="34"/>
      <c r="D24" s="34"/>
    </row>
    <row r="25" spans="2:4" x14ac:dyDescent="0.25">
      <c r="B25" s="7" t="s">
        <v>149</v>
      </c>
      <c r="C25" s="15">
        <f>'Workings'!$C$43</f>
      </c>
      <c r="D25" s="15">
        <f>IF(AND(ISNUMBER('Inputs'!$C$87),'Inputs'!$C$87&gt;0),'Workings'!$D$43,"")</f>
      </c>
    </row>
    <row r="26" spans="2:4" x14ac:dyDescent="0.25">
      <c r="B26" s="7" t="s">
        <v>150</v>
      </c>
      <c r="C26" s="15">
        <f>'Workings'!$C$42</f>
      </c>
      <c r="D26" s="15">
        <f>IF(AND(ISNUMBER('Inputs'!$C$87),'Inputs'!$C$87&gt;0),'Workings'!$D$42,"")</f>
      </c>
    </row>
    <row r="27" spans="2:4" x14ac:dyDescent="0.25">
      <c r="B27" s="7" t="s">
        <v>151</v>
      </c>
      <c r="C27" s="15">
        <f>'Workings'!$C$44</f>
      </c>
      <c r="D27" s="15">
        <f>IF(AND(ISNUMBER('Inputs'!$C$87),'Inputs'!$C$87&gt;0),'Workings'!$D$44,"")</f>
      </c>
    </row>
    <row r="28" spans="2:4" x14ac:dyDescent="0.25">
      <c r="B28" s="7" t="s">
        <v>152</v>
      </c>
      <c r="C28" s="15">
        <f>'Workings'!$C$45</f>
      </c>
      <c r="D28" s="15">
        <f>IF(AND(ISNUMBER('Inputs'!$C$87),'Inputs'!$C$87&gt;0),'Workings'!$D$45,"")</f>
      </c>
    </row>
    <row r="29" spans="2:4" x14ac:dyDescent="0.25">
      <c r="B29" s="7" t="s">
        <v>119</v>
      </c>
      <c r="C29" s="15">
        <f>'Workings'!$C$46</f>
      </c>
      <c r="D29" s="15">
        <f>IF(AND(ISNUMBER('Inputs'!$C$87),'Inputs'!$C$87&gt;0),'Workings'!$D$46,"")</f>
      </c>
    </row>
    <row r="30" spans="2:4" x14ac:dyDescent="0.25">
      <c r="B30" s="7" t="s">
        <v>153</v>
      </c>
      <c r="C30" s="15">
        <f>'Workings'!$C$47</f>
      </c>
      <c r="D30" s="15">
        <f>IF(AND(ISNUMBER('Inputs'!$C$87),'Inputs'!$C$87&gt;0),'Workings'!$D$47,"")</f>
      </c>
    </row>
    <row r="31" spans="2:4" x14ac:dyDescent="0.25">
      <c r="B31" s="27" t="s">
        <v>154</v>
      </c>
      <c r="C31" s="28">
        <f>'Workings'!$C$48</f>
      </c>
      <c r="D31" s="28">
        <f>IF(AND(ISNUMBER('Inputs'!$C$87),'Inputs'!$C$87&gt;0),'Workings'!$D$48,"")</f>
      </c>
    </row>
    <row r="32" spans="2:4" x14ac:dyDescent="0.25">
      <c r="B32" s="7" t="s">
        <v>123</v>
      </c>
      <c r="C32" s="15">
        <f>-'Workings'!$C$49</f>
      </c>
      <c r="D32" s="15">
        <f>IF(AND(ISNUMBER('Inputs'!$C$87),'Inputs'!$C$87&gt;0),-'Workings'!$D$49,"")</f>
      </c>
    </row>
    <row r="33" spans="2:4" x14ac:dyDescent="0.25">
      <c r="B33" s="7" t="s">
        <v>155</v>
      </c>
      <c r="C33" s="15">
        <f>'Workings'!$C$51</f>
      </c>
      <c r="D33" s="15">
        <f>IF(AND(ISNUMBER('Inputs'!$C$87),'Inputs'!$C$87&gt;0),'Workings'!$D$51,"")</f>
      </c>
    </row>
    <row r="35" ht="15" customHeight="1" spans="2:4" x14ac:dyDescent="0.25">
      <c r="B35" s="33" t="s">
        <v>156</v>
      </c>
      <c r="C35" s="33"/>
      <c r="D35" s="33"/>
    </row>
  </sheetData>
  <sheetProtection sheet="1" formatRows="0"/>
  <mergeCells count="7">
    <mergeCell ref="B1:D1"/>
    <mergeCell ref="B2:D2"/>
    <mergeCell ref="B8:D8"/>
    <mergeCell ref="B16:D16"/>
    <mergeCell ref="B20:D20"/>
    <mergeCell ref="B24:D24"/>
    <mergeCell ref="B35:D35"/>
  </mergeCells>
  <printOptions horizontalCentered="1"/>
  <pageMargins left="0.4" right="0.4" top="0.45" bottom="0.6" header="0.25" footer="0.3"/>
  <pageSetup paperSize="9" orientation="portrait" horizontalDpi="4294967295" verticalDpi="4294967295" scale="100" fitToWidth="1" fitToHeight="0"/>
  <headerFooter>
    <oddFooter>&amp;L&amp;8&amp;"Arial"Duwalcoe Financial Consultants CC  ·  FSP 9978  ·  Figures for quoting&amp;R&amp;8&amp;"Arial"&amp;A  · 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60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" customWidth="1"/>
    <col min="2" max="2" width="66" customWidth="1"/>
    <col min="3" max="4" width="20" customWidth="1"/>
    <col min="5" max="5" width="2" customWidth="1"/>
  </cols>
  <sheetData>
    <row r="1" ht="21.75" customHeight="1" spans="2:4" x14ac:dyDescent="0.25">
      <c r="B1" s="1" t="s">
        <v>40</v>
      </c>
      <c r="C1" s="1"/>
      <c r="D1" s="1"/>
    </row>
    <row r="2" ht="15" customHeight="1" spans="2:4" x14ac:dyDescent="0.25">
      <c r="B2" s="2" t="s">
        <v>41</v>
      </c>
      <c r="C2" s="2"/>
      <c r="D2" s="2"/>
    </row>
    <row r="4" ht="20" customHeight="1" spans="2:2" x14ac:dyDescent="0.25">
      <c r="B4" s="3" t="s">
        <v>157</v>
      </c>
    </row>
    <row r="5" spans="2:2" x14ac:dyDescent="0.25">
      <c r="B5" s="4" t="s">
        <v>158</v>
      </c>
    </row>
    <row r="7" ht="20" customHeight="1" spans="2:4" x14ac:dyDescent="0.25">
      <c r="B7" s="12" t="s">
        <v>159</v>
      </c>
      <c r="C7" s="13" t="s">
        <v>117</v>
      </c>
      <c r="D7" s="13" t="s">
        <v>160</v>
      </c>
    </row>
    <row r="8" spans="2:4" x14ac:dyDescent="0.25">
      <c r="B8" s="7">
        <f>"Taxable income for the year"&amp;IF('Inputs'!$C$17&lt;&gt;"",": "&amp;'Inputs'!$C$17,"")</f>
      </c>
      <c r="C8" s="35">
        <f>N('Inputs'!$C$16)</f>
      </c>
      <c r="D8" s="35">
        <f>N('Inputs'!$C$16)</f>
      </c>
    </row>
    <row r="9" ht="27" customHeight="1" spans="2:4" x14ac:dyDescent="0.25">
      <c r="B9" s="7" t="s">
        <v>161</v>
      </c>
      <c r="C9" s="35">
        <f>SUM('Inputs'!$M$22:$M$39)</f>
      </c>
      <c r="D9" s="35">
        <f>SUM('Inputs'!$M$22:$M$39)</f>
      </c>
    </row>
    <row r="10" spans="2:4" x14ac:dyDescent="0.25">
      <c r="B10" s="7" t="s">
        <v>162</v>
      </c>
      <c r="C10" s="35">
        <f>-SUM('Inputs'!$N$22:$N$39)</f>
      </c>
      <c r="D10" s="35">
        <f>-SUM('Inputs'!$N$22:$N$39)</f>
      </c>
    </row>
    <row r="11" spans="2:4" x14ac:dyDescent="0.25">
      <c r="B11" s="7" t="s">
        <v>163</v>
      </c>
      <c r="C11" s="35">
        <f>-MIN('Inputs'!$H$99,MAX(0,C9+C10))</f>
      </c>
      <c r="D11" s="35">
        <f>-MIN('Inputs'!$H$99,MAX(0,D9+D10))</f>
      </c>
    </row>
    <row r="12" spans="2:4" x14ac:dyDescent="0.25">
      <c r="B12" s="27" t="s">
        <v>164</v>
      </c>
      <c r="C12" s="36">
        <f>MAX(0,C9+C10+C11)</f>
      </c>
      <c r="D12" s="36">
        <f>MAX(0,D9+D10+D11)</f>
      </c>
    </row>
    <row r="13" ht="27" customHeight="1" spans="2:4" x14ac:dyDescent="0.25">
      <c r="B13" s="7">
        <f>"Added to taxable income: "&amp;FIXED('Inputs'!$H$100,0)&amp;"% of the net gain (the inclusion rate, not a tax rate)"</f>
      </c>
      <c r="C13" s="35">
        <f>C12*'Inputs'!$H$100/100</f>
      </c>
      <c r="D13" s="35">
        <f>D12*'Inputs'!$H$100/100</f>
      </c>
    </row>
    <row r="14" spans="2:4" x14ac:dyDescent="0.25">
      <c r="B14" s="7" t="s">
        <v>165</v>
      </c>
      <c r="C14" s="35">
        <f>(INDEX('Inputs'!$D$104:$D$110,MATCH(C8+C13,'Inputs'!$C$104:$C$110,1))+INDEX('Inputs'!$E$104:$E$110,MATCH(C8+C13,'Inputs'!$C$104:$C$110,1))/100*((C8+C13)-INDEX('Inputs'!$C$104:$C$110,MATCH(C8+C13,'Inputs'!$C$104:$C$110,1))))</f>
      </c>
      <c r="D14" s="35">
        <f>(INDEX('Inputs'!$D$104:$D$110,MATCH(D8+D13,'Inputs'!$C$104:$C$110,1))+INDEX('Inputs'!$E$104:$E$110,MATCH(D8+D13,'Inputs'!$C$104:$C$110,1))/100*((D8+D13)-INDEX('Inputs'!$C$104:$C$110,MATCH(D8+D13,'Inputs'!$C$104:$C$110,1))))</f>
      </c>
    </row>
    <row r="15" spans="2:4" x14ac:dyDescent="0.25">
      <c r="B15" s="7" t="s">
        <v>166</v>
      </c>
      <c r="C15" s="35">
        <f>-(INDEX('Inputs'!$D$104:$D$110,MATCH(C8,'Inputs'!$C$104:$C$110,1))+INDEX('Inputs'!$E$104:$E$110,MATCH(C8,'Inputs'!$C$104:$C$110,1))/100*((C8)-INDEX('Inputs'!$C$104:$C$110,MATCH(C8,'Inputs'!$C$104:$C$110,1))))</f>
      </c>
      <c r="D15" s="35">
        <f>-(INDEX('Inputs'!$D$104:$D$110,MATCH(D8,'Inputs'!$C$104:$C$110,1))+INDEX('Inputs'!$E$104:$E$110,MATCH(D8,'Inputs'!$C$104:$C$110,1))/100*((D8)-INDEX('Inputs'!$C$104:$C$110,MATCH(D8,'Inputs'!$C$104:$C$110,1))))</f>
      </c>
    </row>
    <row r="16" spans="2:4" x14ac:dyDescent="0.25">
      <c r="B16" s="27" t="s">
        <v>167</v>
      </c>
      <c r="C16" s="36">
        <f>IF(C12&gt;0,ROUND(C14+C15,2),0)</f>
      </c>
      <c r="D16" s="36">
        <f>IF(D12&gt;0,ROUND(D14+D15,2),0)</f>
      </c>
    </row>
    <row r="18" ht="20" customHeight="1" spans="2:4" x14ac:dyDescent="0.25">
      <c r="B18" s="12" t="s">
        <v>168</v>
      </c>
      <c r="C18" s="13" t="s">
        <v>117</v>
      </c>
      <c r="D18" s="13" t="s">
        <v>160</v>
      </c>
    </row>
    <row r="19" spans="2:4" x14ac:dyDescent="0.25">
      <c r="B19" s="7" t="s">
        <v>169</v>
      </c>
      <c r="C19" s="35">
        <f>ROUND(SUM('Inputs'!$D$22:$D$39),2)</f>
      </c>
      <c r="D19" s="35">
        <f>ROUND(SUM('Inputs'!$D$22:$D$39),2)</f>
      </c>
    </row>
    <row r="20" spans="2:4" x14ac:dyDescent="0.25">
      <c r="B20" s="7" t="s">
        <v>170</v>
      </c>
      <c r="C20" s="35">
        <f>SUMIFS('Inputs'!$D$59:$D$70,'Inputs'!$C$59:$C$70,"Estate")</f>
      </c>
      <c r="D20" s="35">
        <f>SUMIFS('Inputs'!$D$59:$D$70,'Inputs'!$C$59:$C$70,"Estate")</f>
      </c>
    </row>
    <row r="21" spans="2:4" x14ac:dyDescent="0.25">
      <c r="B21" s="27" t="s">
        <v>171</v>
      </c>
      <c r="C21" s="36">
        <f>C19+C20</f>
      </c>
      <c r="D21" s="36">
        <f>D19+D20</f>
      </c>
    </row>
    <row r="22" spans="2:4" x14ac:dyDescent="0.25">
      <c r="B22" s="7" t="s">
        <v>172</v>
      </c>
      <c r="C22" s="35">
        <f>SUMIFS('Inputs'!$D$59:$D$70,'Inputs'!$C$59:$C$70,"&lt;&gt;Estate",'Inputs'!$E$59:$E$70,"&lt;&gt;No")</f>
      </c>
      <c r="D22" s="35">
        <f>SUMIFS('Inputs'!$D$59:$D$70,'Inputs'!$C$59:$C$70,"&lt;&gt;Estate",'Inputs'!$E$59:$E$70,"&lt;&gt;No")</f>
      </c>
    </row>
    <row r="23" spans="2:4" x14ac:dyDescent="0.25">
      <c r="B23" s="27" t="s">
        <v>173</v>
      </c>
      <c r="C23" s="36">
        <f>C21+C22</f>
      </c>
      <c r="D23" s="36">
        <f>D21+D22</f>
      </c>
    </row>
    <row r="24" spans="2:4" x14ac:dyDescent="0.25">
      <c r="B24" s="7" t="s">
        <v>174</v>
      </c>
      <c r="C24" s="35">
        <f>-SUM('Inputs'!$D$45:$D$54)</f>
      </c>
      <c r="D24" s="35">
        <f>-SUM('Inputs'!$D$45:$D$54)</f>
      </c>
    </row>
    <row r="25" spans="2:4" x14ac:dyDescent="0.25">
      <c r="B25" s="7" t="s">
        <v>175</v>
      </c>
      <c r="C25" s="35">
        <f>-'Inputs'!$C$98</f>
      </c>
      <c r="D25" s="35">
        <f>-'Inputs'!$C$98</f>
      </c>
    </row>
    <row r="26" spans="2:4" x14ac:dyDescent="0.25">
      <c r="B26" s="7" t="s">
        <v>176</v>
      </c>
      <c r="C26" s="35">
        <f>-'Inputs'!$C$97</f>
      </c>
      <c r="D26" s="35">
        <f>-'Inputs'!$C$97</f>
      </c>
    </row>
    <row r="27" spans="2:4" x14ac:dyDescent="0.25">
      <c r="B27" s="7" t="s">
        <v>177</v>
      </c>
      <c r="C27" s="35">
        <f>-'Inputs'!$C$99</f>
      </c>
      <c r="D27" s="35">
        <f>-'Inputs'!$C$99</f>
      </c>
    </row>
    <row r="28" spans="2:4" x14ac:dyDescent="0.25">
      <c r="B28" s="7">
        <f>"Less executor's fees: "&amp;IF(ROUND('Inputs'!$C$95,0)='Inputs'!$C$95,FIXED('Inputs'!$C$95,0),IF(ROUND('Inputs'!$C$95,1)='Inputs'!$C$95,FIXED('Inputs'!$C$95,1),FIXED('Inputs'!$C$95,2)))&amp;"%"&amp;" plus VAT"&amp;IF(AND(ISNUMBER('Inputs'!$C$87),'Inputs'!$C$87&gt;0)," / Capital Legacy "&amp;IF(ROUND('Inputs'!$C$87,0)='Inputs'!$C$87,FIXED('Inputs'!$C$87,0),IF(ROUND('Inputs'!$C$87,1)='Inputs'!$C$87,FIXED('Inputs'!$C$87,1),FIXED('Inputs'!$C$87,2)))&amp;"%"&amp;" plus VAT","")</f>
      </c>
      <c r="C28" s="35">
        <f>-ROUND('Inputs'!$C$95/100*(1+'Inputs'!$C$96/100)*C21,2)</f>
      </c>
      <c r="D28" s="35">
        <f>-ROUND(IF(AND(ISNUMBER('Inputs'!$C$87),'Inputs'!$C$87&gt;0),'Inputs'!$C$87,'Inputs'!$C$95)/100*(1+'Inputs'!$C$96/100)*D21,2)</f>
      </c>
    </row>
    <row r="29" spans="2:4" x14ac:dyDescent="0.25">
      <c r="B29" s="7" t="s">
        <v>178</v>
      </c>
      <c r="C29" s="35">
        <f>-SUM('Inputs'!$P$22:$P$39)</f>
      </c>
      <c r="D29" s="35">
        <f>-IF(AND(AND(ISNUMBER('Inputs'!$C$87),'Inputs'!$C$87&gt;0),ISNUMBER('Inputs'!$C$88)),'Inputs'!$C$88,SUM('Inputs'!$P$22:$P$39))</f>
      </c>
    </row>
    <row r="30" spans="2:4" x14ac:dyDescent="0.25">
      <c r="B30" s="7" t="s">
        <v>179</v>
      </c>
      <c r="C30" s="35">
        <f>-SUM('Inputs'!$Q$22:$Q$39)</f>
      </c>
      <c r="D30" s="35">
        <f>-SUM('Inputs'!$Q$22:$Q$39)</f>
      </c>
    </row>
    <row r="31" spans="2:4" x14ac:dyDescent="0.25">
      <c r="B31" s="7" t="s">
        <v>180</v>
      </c>
      <c r="C31" s="35">
        <f>-C16</f>
      </c>
      <c r="D31" s="35">
        <f>-D16</f>
      </c>
    </row>
    <row r="32" spans="2:4" x14ac:dyDescent="0.25">
      <c r="B32" s="7" t="s">
        <v>181</v>
      </c>
      <c r="C32" s="35">
        <f>-(SUM('Inputs'!$R$22:$R$39)+SUMIFS('Inputs'!$D$59:$D$70,'Inputs'!$C$59:$C$70,"Spouse",'Inputs'!$E$59:$E$70,"&lt;&gt;No")+IF('Inputs'!$C$14="Spouse",MAX(0,C21+C24-(-C25-C26-C27-C28-C29-C30-C31)-SUM('Inputs'!$R$22:$R$39)-SUM('Inputs'!$S$22:$S$39)),0))</f>
      </c>
      <c r="D32" s="35">
        <f>-(SUM('Inputs'!$R$22:$R$39)+SUMIFS('Inputs'!$D$59:$D$70,'Inputs'!$C$59:$C$70,"Spouse",'Inputs'!$E$59:$E$70,"&lt;&gt;No")+IF('Inputs'!$C$14="Spouse",MAX(0,D21+D24-(-D25-D26-D27-D28-D29-D30-D31)-SUM('Inputs'!$R$22:$R$39)-SUM('Inputs'!$S$22:$S$39)),0))</f>
      </c>
    </row>
    <row r="33" spans="2:4" x14ac:dyDescent="0.25">
      <c r="B33" s="27" t="s">
        <v>182</v>
      </c>
      <c r="C33" s="36">
        <f>ROUND(C23+C24+C25+C26+C27+C28+C29+C30+C31+C32,2)</f>
      </c>
      <c r="D33" s="36">
        <f>ROUND(D23+D24+D25+D26+D27+D28+D29+D30+D31+D32,2)</f>
      </c>
    </row>
    <row r="34" spans="2:4" x14ac:dyDescent="0.25">
      <c r="B34" s="7" t="s">
        <v>183</v>
      </c>
      <c r="C34" s="35">
        <f>-'Inputs'!$H$95</f>
      </c>
      <c r="D34" s="35">
        <f>-'Inputs'!$H$95</f>
      </c>
    </row>
    <row r="35" spans="2:4" x14ac:dyDescent="0.25">
      <c r="B35" s="7" t="s">
        <v>184</v>
      </c>
      <c r="C35" s="35">
        <f>MAX(0,C33+C34)</f>
      </c>
      <c r="D35" s="35">
        <f>MAX(0,D33+D34)</f>
      </c>
    </row>
    <row r="36" spans="2:4" x14ac:dyDescent="0.25">
      <c r="B36" s="27" t="s">
        <v>118</v>
      </c>
      <c r="C36" s="36">
        <f>ROUND(IF(C35&lt;='Inputs'!$H$97,C35*'Inputs'!$H$96/100,'Inputs'!$H$97*'Inputs'!$H$96/100+(C35-'Inputs'!$H$97)*'Inputs'!$H$98/100),2)</f>
      </c>
      <c r="D36" s="36">
        <f>ROUND(IF(D35&lt;='Inputs'!$H$97,D35*'Inputs'!$H$96/100,'Inputs'!$H$97*'Inputs'!$H$96/100+(D35-'Inputs'!$H$97)*'Inputs'!$H$98/100),2)</f>
      </c>
    </row>
    <row r="37" spans="2:4" x14ac:dyDescent="0.25">
      <c r="B37" s="7" t="s">
        <v>185</v>
      </c>
      <c r="C37" s="37">
        <f>IF(C33&gt;0,C36/C33,0)</f>
      </c>
      <c r="D37" s="37">
        <f>IF(D33&gt;0,D36/D33,0)</f>
      </c>
    </row>
    <row r="38" ht="27" customHeight="1" spans="2:4" x14ac:dyDescent="0.25">
      <c r="B38" s="7" t="s">
        <v>186</v>
      </c>
      <c r="C38" s="35">
        <f>-(SUM('Inputs'!$M$59:$M$70)+SUM('Inputs'!$U$22:$U$39))</f>
      </c>
      <c r="D38" s="35">
        <f>-(SUM('Inputs'!$N$59:$N$70)+SUM('Inputs'!$V$22:$V$39))</f>
      </c>
    </row>
    <row r="39" spans="2:4" x14ac:dyDescent="0.25">
      <c r="B39" s="27" t="s">
        <v>153</v>
      </c>
      <c r="C39" s="36">
        <f>C36+C38</f>
      </c>
      <c r="D39" s="36">
        <f>D36+D38</f>
      </c>
    </row>
    <row r="41" ht="20" customHeight="1" spans="2:4" x14ac:dyDescent="0.25">
      <c r="B41" s="12" t="s">
        <v>187</v>
      </c>
      <c r="C41" s="13" t="s">
        <v>117</v>
      </c>
      <c r="D41" s="13" t="s">
        <v>160</v>
      </c>
    </row>
    <row r="42" spans="2:4" x14ac:dyDescent="0.25">
      <c r="B42" s="7" t="s">
        <v>121</v>
      </c>
      <c r="C42" s="35">
        <f>-(C25+C26+C27)</f>
      </c>
      <c r="D42" s="35">
        <f>-(D25+D26+D27)</f>
      </c>
    </row>
    <row r="43" spans="2:4" x14ac:dyDescent="0.25">
      <c r="B43" s="7" t="s">
        <v>149</v>
      </c>
      <c r="C43" s="35">
        <f>-C28</f>
      </c>
      <c r="D43" s="35">
        <f>-D28</f>
      </c>
    </row>
    <row r="44" spans="2:4" x14ac:dyDescent="0.25">
      <c r="B44" s="7" t="s">
        <v>188</v>
      </c>
      <c r="C44" s="35">
        <f>-C29</f>
      </c>
      <c r="D44" s="35">
        <f>-D29</f>
      </c>
    </row>
    <row r="45" spans="2:4" x14ac:dyDescent="0.25">
      <c r="B45" s="7" t="s">
        <v>120</v>
      </c>
      <c r="C45" s="35">
        <f>-C30</f>
      </c>
      <c r="D45" s="35">
        <f>-D30</f>
      </c>
    </row>
    <row r="46" spans="2:4" x14ac:dyDescent="0.25">
      <c r="B46" s="7" t="s">
        <v>167</v>
      </c>
      <c r="C46" s="35">
        <f>C16</f>
      </c>
      <c r="D46" s="35">
        <f>D16</f>
      </c>
    </row>
    <row r="47" spans="2:4" x14ac:dyDescent="0.25">
      <c r="B47" s="7" t="s">
        <v>153</v>
      </c>
      <c r="C47" s="35">
        <f>C39</f>
      </c>
      <c r="D47" s="35">
        <f>D39</f>
      </c>
    </row>
    <row r="48" spans="2:4" x14ac:dyDescent="0.25">
      <c r="B48" s="27" t="s">
        <v>154</v>
      </c>
      <c r="C48" s="36">
        <f>ROUND(SUM(C42:C47),2)</f>
      </c>
      <c r="D48" s="36">
        <f>ROUND(SUM(D42:D47),2)</f>
      </c>
    </row>
    <row r="49" ht="27" customHeight="1" spans="2:4" x14ac:dyDescent="0.25">
      <c r="B49" s="7">
        <f>"Less paid by the Legacy plan: "&amp;IF(AND(ISNUMBER('Inputs'!$C$87),'Inputs'!$C$87&gt;0),FIXED(N('Inputs'!$C$89),0)&amp;"% of the executor's fee and conveyancing, up to R "&amp;FIXED(N('Inputs'!$C$90),2),"no quote entered")</f>
      </c>
      <c r="C49" s="35">
        <f>0</f>
      </c>
      <c r="D49" s="35">
        <f>IF(AND(ISNUMBER('Inputs'!$C$87),'Inputs'!$C$87&gt;0),-ROUND(MIN(N('Inputs'!$C$89)/100*(D43+D44),N('Inputs'!$C$90)),2),0)</f>
      </c>
    </row>
    <row r="50" spans="2:4" x14ac:dyDescent="0.25">
      <c r="B50" s="27" t="s">
        <v>189</v>
      </c>
      <c r="C50" s="36">
        <f>ROUND(C48+C49,2)</f>
      </c>
      <c r="D50" s="36">
        <f>ROUND(D48+D49,2)</f>
      </c>
    </row>
    <row r="51" spans="2:4" x14ac:dyDescent="0.25">
      <c r="B51" s="7" t="s">
        <v>125</v>
      </c>
      <c r="C51" s="35">
        <f>-C24</f>
      </c>
      <c r="D51" s="35">
        <f>-D24</f>
      </c>
    </row>
    <row r="52" spans="2:4" x14ac:dyDescent="0.25">
      <c r="B52" s="27" t="s">
        <v>190</v>
      </c>
      <c r="C52" s="36">
        <f>ROUND(C50+C51,2)</f>
      </c>
      <c r="D52" s="36">
        <f>ROUND(D50+D51,2)</f>
      </c>
    </row>
    <row r="53" spans="2:4" x14ac:dyDescent="0.25">
      <c r="B53" s="7" t="s">
        <v>191</v>
      </c>
      <c r="C53" s="35">
        <f>ROUND(SUM('Inputs'!$O$22:$O$39),2)</f>
      </c>
      <c r="D53" s="35">
        <f>ROUND(SUM('Inputs'!$O$22:$O$39),2)</f>
      </c>
    </row>
    <row r="54" spans="2:4" x14ac:dyDescent="0.25">
      <c r="B54" s="7" t="s">
        <v>170</v>
      </c>
      <c r="C54" s="35">
        <f>C20</f>
      </c>
      <c r="D54" s="35">
        <f>D20</f>
      </c>
    </row>
    <row r="55" spans="2:4" x14ac:dyDescent="0.25">
      <c r="B55" s="27" t="s">
        <v>192</v>
      </c>
      <c r="C55" s="36">
        <f>C53+C54</f>
      </c>
      <c r="D55" s="36">
        <f>D53+D54</f>
      </c>
    </row>
    <row r="56" spans="2:4" x14ac:dyDescent="0.25">
      <c r="B56" s="27" t="s">
        <v>193</v>
      </c>
      <c r="C56" s="36">
        <f>ROUND(MAX(0,C52-C55),2)</f>
      </c>
      <c r="D56" s="36">
        <f>ROUND(MAX(0,D52-D55),2)</f>
      </c>
    </row>
    <row r="57" spans="2:4" x14ac:dyDescent="0.25">
      <c r="B57" s="7" t="s">
        <v>194</v>
      </c>
      <c r="C57" s="35">
        <f>ROUND(MAX(0,C55-C52),2)</f>
      </c>
      <c r="D57" s="35">
        <f>ROUND(MAX(0,D55-D52),2)</f>
      </c>
    </row>
    <row r="58" ht="27" customHeight="1" spans="2:4" x14ac:dyDescent="0.25">
      <c r="B58" s="27" t="s">
        <v>195</v>
      </c>
      <c r="C58" s="36">
        <f>ROUND(C21-C52,2)</f>
      </c>
      <c r="D58" s="36">
        <f>ROUND(D21-D52,2)</f>
      </c>
    </row>
    <row r="60" ht="52" customHeight="1" spans="2:4" x14ac:dyDescent="0.25">
      <c r="B60" s="33">
        <f>"Our standard assumptions: executor "&amp;IF(ROUND('Inputs'!$C$95,0)='Inputs'!$C$95,FIXED('Inputs'!$C$95,0),IF(ROUND('Inputs'!$C$95,1)='Inputs'!$C$95,FIXED('Inputs'!$C$95,1),FIXED('Inputs'!$C$95,2)))&amp;"%"&amp;" plus VAT unless Capital Legacy acts; Master's fees R "&amp;FIXED('Inputs'!$C$97,0)&amp;"; funeral R "&amp;FIXED('Inputs'!$C$98,0)&amp;"; sundries R "&amp;FIXED('Inputs'!$C$99,0)&amp;"; property transfer costs "&amp;IF(ROUND('Inputs'!$C$100,0)='Inputs'!$C$100,FIXED('Inputs'!$C$100,0),IF(ROUND('Inputs'!$C$100,1)='Inputs'!$C$100,FIXED('Inputs'!$C$100,1),FIXED('Inputs'!$C$100,2)))&amp;"%"&amp;" of value; agent's commission "&amp;IF(ROUND('Inputs'!$C$101,0)='Inputs'!$C$101,FIXED('Inputs'!$C$101,0),IF(ROUND('Inputs'!$C$101,1)='Inputs'!$C$101,FIXED('Inputs'!$C$101,1),FIXED('Inputs'!$C$101,2)))&amp;"%"&amp;" plus VAT on a property sold; estate duty "&amp;IF(ROUND('Inputs'!$H$96,0)='Inputs'!$H$96,FIXED('Inputs'!$H$96,0),IF(ROUND('Inputs'!$H$96,1)='Inputs'!$H$96,FIXED('Inputs'!$H$96,1),FIXED('Inputs'!$H$96,2)))&amp;"%"&amp;" above R "&amp;FIXED('Inputs'!$H$95,0)&amp;"; 2027 tax tables. Capital gains tax on death (s.9HA): everything treated as sold at its value; assets left to a spouse roll over (no tax now). The Capital Legacy fees stay deductible for estate duty, although the plan pays them."</f>
      </c>
      <c r="C60" s="33"/>
      <c r="D60" s="33"/>
    </row>
  </sheetData>
  <sheetProtection sheet="1" formatRows="0"/>
  <mergeCells count="3">
    <mergeCell ref="B1:D1"/>
    <mergeCell ref="B2:D2"/>
    <mergeCell ref="B60:D60"/>
  </mergeCells>
  <printOptions horizontalCentered="1"/>
  <pageMargins left="0.4" right="0.4" top="0.45" bottom="0.6" header="0.25" footer="0.3"/>
  <pageSetup paperSize="9" orientation="portrait" horizontalDpi="4294967295" verticalDpi="4294967295" scale="100" fitToWidth="1" fitToHeight="0"/>
  <headerFooter>
    <oddFooter>&amp;L&amp;8&amp;"Arial"Duwalcoe Financial Consultants CC  ·  FSP 9978  ·  Quick FNA workings&amp;R&amp;8&amp;"Arial"&amp;A  · 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Lists</vt:lpstr>
      <vt:lpstr>Inputs</vt:lpstr>
      <vt:lpstr>Summary</vt:lpstr>
      <vt:lpstr>Figures for quoting</vt:lpstr>
      <vt:lpstr>Workings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Duwalcoe Financial Consultants CC</dc:creator>
  <dc:title/>
  <dc:subject/>
  <dc:description/>
  <cp:keywords/>
  <cp:category/>
  <cp:lastModifiedBy>Unknown</cp:lastModifiedBy>
  <dcterms:created xsi:type="dcterms:W3CDTF">2026-10-13T20:11:37Z</dcterms:created>
  <dcterms:modified xsi:type="dcterms:W3CDTF">2026-10-13T20:11:37Z</dcterms:modified>
</cp:coreProperties>
</file>