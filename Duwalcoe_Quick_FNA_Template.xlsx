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1"/>
  </bookViews>
  <sheets>
    <sheet sheetId="1" name="Lists" state="veryHidden" r:id="rId4"/>
    <sheet sheetId="2" name="Inputs" state="visible" r:id="rId5"/>
    <sheet sheetId="3" name="Summary" state="visible" r:id="rId6"/>
    <sheet sheetId="9" name="Life cover need" state="visible" r:id="rId7"/>
    <sheet sheetId="10" name="Options" state="visible" r:id="rId8"/>
    <sheet sheetId="4" name="Figures for quoting" state="visible" r:id="rId9"/>
    <sheet sheetId="5" name="Workings" state="visible" r:id="rId10"/>
    <sheet sheetId="8" name="Needs workings" state="visible" r:id="rId11"/>
    <sheet sheetId="7" name="Needs calc" state="hidden" r:id="rId12"/>
    <sheet sheetId="6" name="Needs years" state="hidden" r:id="rId13"/>
  </sheets>
  <definedNames>
    <definedName name="QF_M_ClientID">Lists!$M$1</definedName>
    <definedName name="QF_M_ClientName">Lists!$M$2</definedName>
    <definedName name="QF_M_Version">Lists!$M$3</definedName>
    <definedName name="QF_M_ExportedAt">Lists!$M$4</definedName>
    <definedName name="QF_M_ExportedBy">Lists!$M$5</definedName>
    <definedName name="QF_M_TemplateVersion">Lists!$M$6</definedName>
    <definedName name="QF_Client">Inputs!$C$8</definedName>
    <definedName name="QF_First">Inputs!$C$9</definedName>
    <definedName name="QF_Adviser">Inputs!$C$10</definedName>
    <definedName name="QF_Date">Inputs!$C$11</definedName>
    <definedName name="QF_AsAt">Inputs!$C$12</definedName>
    <definedName name="QF_Marital">Inputs!$C$13</definedName>
    <definedName name="QF_Residue">Inputs!$C$14</definedName>
    <definedName name="QF_Wishes">Inputs!$C$15</definedName>
    <definedName name="QF_TI">Inputs!$C$16</definedName>
    <definedName name="QF_TINote">Inputs!$C$17</definedName>
    <definedName name="QF_K_assets">Inputs!$B$20:$I$20</definedName>
    <definedName name="QF_T_assets">Inputs!$B$22:$I$39</definedName>
    <definedName name="QF_K_debts">Inputs!$B$43:$I$43</definedName>
    <definedName name="QF_T_debts">Inputs!$B$45:$I$54</definedName>
    <definedName name="QF_K_cover">Inputs!$B$57:$I$57</definedName>
    <definedName name="QF_T_cover">Inputs!$B$59:$I$70</definedName>
    <definedName name="QF_K_funds">Inputs!$B$74:$I$74</definedName>
    <definedName name="QF_T_funds">Inputs!$B$76:$I$83</definedName>
    <definedName name="QF_K_deps">Inputs!$B$87:$I$87</definedName>
    <definedName name="QF_T_deps">Inputs!$B$89:$I$94</definedName>
    <definedName name="QF_L_whom">Inputs!$Z$88:$Z$94</definedName>
    <definedName name="QF_KidsShare">Inputs!$C$95</definedName>
    <definedName name="QF_QuoteNo">Inputs!$C$99</definedName>
    <definedName name="QF_CLFee">Inputs!$C$100</definedName>
    <definedName name="QF_CLConv">Inputs!$C$101</definedName>
    <definedName name="QF_CLPays">Inputs!$C$102</definedName>
    <definedName name="QF_CLLimit">Inputs!$C$103</definedName>
    <definedName name="QF_CLPrem">Inputs!$C$104</definedName>
    <definedName name="QF_A_ExecFee">Inputs!$C$108</definedName>
    <definedName name="QF_A_VAT">Inputs!$C$109</definedName>
    <definedName name="QF_A_Master">Inputs!$C$110</definedName>
    <definedName name="QF_A_Funeral">Inputs!$C$111</definedName>
    <definedName name="QF_A_Sundries">Inputs!$C$112</definedName>
    <definedName name="QF_A_PropCost">Inputs!$C$113</definedName>
    <definedName name="QF_A_Agent">Inputs!$C$114</definedName>
    <definedName name="QF_A_Abatement">Inputs!$C$115</definedName>
    <definedName name="QF_A_DutyRate">Inputs!$C$116</definedName>
    <definedName name="QF_A_DutyBand">Inputs!$C$117</definedName>
    <definedName name="QF_A_DutyHigh">Inputs!$C$118</definedName>
    <definedName name="QF_A_CGTExcl">Inputs!$C$119</definedName>
    <definedName name="QF_A_Inclusion">Inputs!$C$120</definedName>
    <definedName name="QF_A_PRExcl">Inputs!$C$121</definedName>
    <definedName name="QF_A_Gross">Inputs!$C$122</definedName>
    <definedName name="QF_A_TrustFee">Inputs!$H$108</definedName>
    <definedName name="QF_A_Threshold">Inputs!$H$109</definedName>
    <definedName name="QF_A_Interest">Inputs!$H$110</definedName>
    <definedName name="QF_A_Dividends">Inputs!$H$111</definedName>
    <definedName name="QF_A_Growth">Inputs!$H$112</definedName>
    <definedName name="QF_A_DivTax">Inputs!$H$113</definedName>
    <definedName name="QF_A_CPI">Inputs!$H$114</definedName>
    <definedName name="QF_A_LAMin">Inputs!$H$115</definedName>
    <definedName name="QF_A_LAMax">Inputs!$H$116</definedName>
    <definedName name="QF_A_Rebate1">Inputs!$H$117</definedName>
    <definedName name="QF_A_Rebate2">Inputs!$H$118</definedName>
    <definedName name="QF_A_Rebate3">Inputs!$H$119</definedName>
    <definedName name="QF_A_Thr65">Inputs!$H$120</definedName>
    <definedName name="QF_A_Thr75">Inputs!$H$121</definedName>
    <definedName name="QF_A_TaxTable">Inputs!$C$125:$E$131</definedName>
    <definedName name="QF_A_LumpTable">Inputs!$G$125:$I$128</definedName>
    <definedName name="QF_K_checks">Inputs!$B$142</definedName>
    <definedName name="QF_T_checks">Inputs!$B$143:$B$156</definedName>
    <definedName name="QF_W_cost">Workings!$C$56</definedName>
    <definedName name="QF_L_cover">Inputs!$B$59:$B$70</definedName>
    <definedName name="QF_O1_share">Options!$D$9</definedName>
    <definedName name="QF_O2_share">Options!$E$9</definedName>
    <definedName name="QF_O3_share">Options!$F$9</definedName>
    <definedName name="QF_O1_close">Options!$D$10</definedName>
    <definedName name="QF_O2_close">Options!$E$10</definedName>
    <definedName name="QF_O3_close">Options!$F$10</definedName>
    <definedName name="QF_O1_nom">Options!$D$11</definedName>
    <definedName name="QF_O2_nom">Options!$E$11</definedName>
    <definedName name="QF_O3_nom">Options!$F$11</definedName>
    <definedName name="QF_O1_dest">Options!$D$12</definedName>
    <definedName name="QF_O2_dest">Options!$E$12</definedName>
    <definedName name="QF_O3_dest">Options!$F$12</definedName>
    <definedName name="_xlnm.Print_Area" localSheetId="1">'Inputs'!$A1:$J156</definedName>
    <definedName name="_xlnm.Print_Titles" localSheetId="1">'Inputs'!$1:$2</definedName>
    <definedName name="_xlnm.Print_Area" localSheetId="2">'Summary'!$A1:$D36</definedName>
    <definedName name="_xlnm.Print_Titles" localSheetId="2">'Summary'!$1:$2</definedName>
    <definedName name="_xlnm.Print_Area" localSheetId="3">'Life cover need'!$A1:$F43</definedName>
    <definedName name="_xlnm.Print_Titles" localSheetId="3">'Life cover need'!$1:$2</definedName>
    <definedName name="_xlnm.Print_Area" localSheetId="4">'Options'!$A1:$F38</definedName>
    <definedName name="_xlnm.Print_Titles" localSheetId="4">'Options'!$1:$2</definedName>
    <definedName name="_xlnm.Print_Area" localSheetId="5">'Figures for quoting'!$A1:$D35</definedName>
    <definedName name="_xlnm.Print_Titles" localSheetId="5">'Figures for quoting'!$1:$2</definedName>
    <definedName name="_xlnm.Print_Area" localSheetId="6">'Workings'!$A1:$D68</definedName>
    <definedName name="_xlnm.Print_Titles" localSheetId="6">'Workings'!$1:$2</definedName>
    <definedName name="_xlnm.Print_Area" localSheetId="7">'Needs workings'!$A1:$I43</definedName>
    <definedName name="_xlnm.Print_Titles" localSheetId="7">'Needs workings'!$1:$2</definedName>
  </definedNames>
  <calcPr calcId="171027" fullCalcOnLoad="1"/>
</workbook>
</file>

<file path=xl/sharedStrings.xml><?xml version="1.0" encoding="utf-8"?>
<sst xmlns="http://schemas.openxmlformats.org/spreadsheetml/2006/main" count="685" uniqueCount="455">
  <si>
    <t>kind</t>
  </si>
  <si>
    <t>passes</t>
  </si>
  <si>
    <t>paidTo</t>
  </si>
  <si>
    <t>yesno</t>
  </si>
  <si>
    <t>residue</t>
  </si>
  <si>
    <t>rel</t>
  </si>
  <si>
    <t>kidsShare</t>
  </si>
  <si>
    <t>potShare</t>
  </si>
  <si>
    <t>closeWith</t>
  </si>
  <si>
    <t>marital</t>
  </si>
  <si>
    <t>ClientID</t>
  </si>
  <si>
    <t>Property</t>
  </si>
  <si>
    <t>Estate (residue)</t>
  </si>
  <si>
    <t>Estate</t>
  </si>
  <si>
    <t>Yes</t>
  </si>
  <si>
    <t>Heirs (people)</t>
  </si>
  <si>
    <t>Spouse</t>
  </si>
  <si>
    <t>In equal shares</t>
  </si>
  <si>
    <t>Equal shares</t>
  </si>
  <si>
    <t>Nothing</t>
  </si>
  <si>
    <t>Single</t>
  </si>
  <si>
    <t>ClientName</t>
  </si>
  <si>
    <t>Cash and deposits</t>
  </si>
  <si>
    <t>No</t>
  </si>
  <si>
    <t>Child</t>
  </si>
  <si>
    <t>As one family pot</t>
  </si>
  <si>
    <t>One family pot</t>
  </si>
  <si>
    <t>New life cover</t>
  </si>
  <si>
    <t>Engaged</t>
  </si>
  <si>
    <t>Version</t>
  </si>
  <si>
    <t>2.0</t>
  </si>
  <si>
    <t>Shares and unit trusts</t>
  </si>
  <si>
    <t>Named heir</t>
  </si>
  <si>
    <t>Named person</t>
  </si>
  <si>
    <t>Other</t>
  </si>
  <si>
    <t>Not to the dependants</t>
  </si>
  <si>
    <t>Part of a nomination</t>
  </si>
  <si>
    <t>Married - ANC with accrual</t>
  </si>
  <si>
    <t>ExportedAt</t>
  </si>
  <si>
    <t>Other investment</t>
  </si>
  <si>
    <t>All of a nomination</t>
  </si>
  <si>
    <t>Married - ANC without accrual</t>
  </si>
  <si>
    <t>ExportedBy</t>
  </si>
  <si>
    <t>Tax-free investment</t>
  </si>
  <si>
    <t>Married in COP</t>
  </si>
  <si>
    <t>TemplateVersion</t>
  </si>
  <si>
    <t>Loan account</t>
  </si>
  <si>
    <t>Life partner</t>
  </si>
  <si>
    <t>Vehicle or contents</t>
  </si>
  <si>
    <t>Divorced</t>
  </si>
  <si>
    <t>Business interest</t>
  </si>
  <si>
    <t>Widowed</t>
  </si>
  <si>
    <t>Married</t>
  </si>
  <si>
    <t>Civil Union</t>
  </si>
  <si>
    <t>Co-Habitation</t>
  </si>
  <si>
    <t>Duwalcoe Financial Consultants CC</t>
  </si>
  <si>
    <t>FSP 9978   |   clinton@duwalcoe.co.za   |   083 608 5617</t>
  </si>
  <si>
    <t>Inputs: check the yellow cells</t>
  </si>
  <si>
    <t>The CRM fills this sheet from the client's record. Yellow cells are yours to change; everything else works itself out.</t>
  </si>
  <si>
    <t>1. The client</t>
  </si>
  <si>
    <t>Client</t>
  </si>
  <si>
    <t>First name, for the wording</t>
  </si>
  <si>
    <t>Prepared by</t>
  </si>
  <si>
    <t>Date of this FNA</t>
  </si>
  <si>
    <t>Values as at</t>
  </si>
  <si>
    <t>Marital status</t>
  </si>
  <si>
    <t>Who inherits the residue</t>
  </si>
  <si>
    <t>Their wishes in one line (optional, starts the summary)</t>
  </si>
  <si>
    <t>Taxable income for the year of death (R a year)</t>
  </si>
  <si>
    <t>Made up of</t>
  </si>
  <si>
    <t>2. What they own (in the estate)</t>
  </si>
  <si>
    <t>name</t>
  </si>
  <si>
    <t>value</t>
  </si>
  <si>
    <t>base</t>
  </si>
  <si>
    <t>home</t>
  </si>
  <si>
    <t>sold</t>
  </si>
  <si>
    <t>notes</t>
  </si>
  <si>
    <t>Asset</t>
  </si>
  <si>
    <t>Kind</t>
  </si>
  <si>
    <t>Value (R)</t>
  </si>
  <si>
    <t>Base cost (R)</t>
  </si>
  <si>
    <t>Main home?</t>
  </si>
  <si>
    <t>Passes to</t>
  </si>
  <si>
    <t>Executor sells or cashes it?</t>
  </si>
  <si>
    <t>Notes</t>
  </si>
  <si>
    <t>Gain for capital gains tax</t>
  </si>
  <si>
    <t>Base cost: leave it blank only if it is not known; capital gains tax is then worked out on the full value (the worst case) and flagged below. Joint assets: enter your client's share.</t>
  </si>
  <si>
    <t>3. Debts</t>
  </si>
  <si>
    <t>amount</t>
  </si>
  <si>
    <t>Debt</t>
  </si>
  <si>
    <t>Amount (R)</t>
  </si>
  <si>
    <t>4. Life cover and policies paid out at death</t>
  </si>
  <si>
    <t>counted</t>
  </si>
  <si>
    <t>forWhom</t>
  </si>
  <si>
    <t>Policy</t>
  </si>
  <si>
    <t>Paid to</t>
  </si>
  <si>
    <t>Paid at death (R)</t>
  </si>
  <si>
    <t>Counted for estate duty?</t>
  </si>
  <si>
    <t>For whom (a dependant in section 6, or the children's trust)</t>
  </si>
  <si>
    <t>Paid to Estate: paid into the estate, so the executor can use it, and executor's fees are charged on it. Spouse or Named person: paid to them directly. Counted for estate duty: No only for approved group life inside a pension or provident fund. For whom: the dependant it is meant for, or the children's trust (shared like the residue); blank when the person it is paid to is not a dependant. Paid to the estate needs nothing: it reaches them through the residue.</t>
  </si>
  <si>
    <t>5. Retirement funds and annuities (not in the estate, no estate duty)</t>
  </si>
  <si>
    <t>creditTo</t>
  </si>
  <si>
    <t>Retirement fund or annuity</t>
  </si>
  <si>
    <t>Credited to (the fund trustees decide, s.37C)</t>
  </si>
  <si>
    <t>To the trust, after lump sum tax</t>
  </si>
  <si>
    <t>Credited to: who the fund trustees are expected to pay. They must look after dependants first (s.37C), so where the nominee is not a dependant the CRM proposes the children. Blank: not counted for any dependant.</t>
  </si>
  <si>
    <t>6. The people who depend on your client</t>
  </si>
  <si>
    <t>age</t>
  </si>
  <si>
    <t>needPM</t>
  </si>
  <si>
    <t>years</t>
  </si>
  <si>
    <t>esc</t>
  </si>
  <si>
    <t>trust</t>
  </si>
  <si>
    <t>other</t>
  </si>
  <si>
    <t>Name</t>
  </si>
  <si>
    <t>Relationship</t>
  </si>
  <si>
    <t>Age</t>
  </si>
  <si>
    <t>Needs a month from this money (R, after tax)</t>
  </si>
  <si>
    <t>For how many years</t>
  </si>
  <si>
    <t>Rising each year by (%, blank: inflation)</t>
  </si>
  <si>
    <t>Held in a trust?</t>
  </si>
  <si>
    <t>Their own taxable income (R a year)</t>
  </si>
  <si>
    <t>The children's trust</t>
  </si>
  <si>
    <t>When the residue goes to heirs (not the spouse), the children receive it</t>
  </si>
  <si>
    <t>Needs a month: what must come from this money, after tax. If they earn, enter only the part their own income does not cover; their own income is used for the tax on what the capital earns. The children share the residue and anything for the children's trust in the order listed (the youngest last gets the odd cent). A spouse receives the residue when it goes to the spouse.</t>
  </si>
  <si>
    <t>7. Capital Legacy quote (the second column)</t>
  </si>
  <si>
    <t>Quote number</t>
  </si>
  <si>
    <t>Capital Legacy executor's fee, before VAT (%)</t>
  </si>
  <si>
    <t>Conveyancing estimate (R)</t>
  </si>
  <si>
    <t>The plan pays (% of the fees)</t>
  </si>
  <si>
    <t>Limit the plan pays today (R)</t>
  </si>
  <si>
    <t>Premium, first year (R a month)</t>
  </si>
  <si>
    <t>Leave the quote blank and the second column stays empty. The plan pays its share of Capital Legacy's executor's fee and the conveyancing, up to the limit; it does not pay capital gains tax or estate duty.</t>
  </si>
  <si>
    <t>8. Standard assumptions (change them only for this client)</t>
  </si>
  <si>
    <t>Executor's fee, before VAT (%)</t>
  </si>
  <si>
    <t>Trustee fees while in a trust (% a year)</t>
  </si>
  <si>
    <t>VAT (%)</t>
  </si>
  <si>
    <t>Tax threshold, under 65 (R)</t>
  </si>
  <si>
    <t>Master's fees (R)</t>
  </si>
  <si>
    <t>Unit trust return: interest part (%)</t>
  </si>
  <si>
    <t>Funeral (R)</t>
  </si>
  <si>
    <t>Unit trust return: dividends part (%)</t>
  </si>
  <si>
    <t>Estate sundries (R)</t>
  </si>
  <si>
    <t>Unit trust return: growth part (%)</t>
  </si>
  <si>
    <t>Property transfer costs (% of value)</t>
  </si>
  <si>
    <t>Dividends tax (%)</t>
  </si>
  <si>
    <t>Agent's commission on a property sold, before VAT (%)</t>
  </si>
  <si>
    <t>Inflation, when a need gives no increase (%)</t>
  </si>
  <si>
    <t>Estate duty abatement (R)</t>
  </si>
  <si>
    <t>Living annuity: lowest drawdown (% a year)</t>
  </si>
  <si>
    <t>Estate duty rate (%)</t>
  </si>
  <si>
    <t>Living annuity: highest drawdown (% a year)</t>
  </si>
  <si>
    <t>Higher rate applies above (R)</t>
  </si>
  <si>
    <t>Primary rebate (R)</t>
  </si>
  <si>
    <t>Higher estate duty rate (%)</t>
  </si>
  <si>
    <t>Secondary rebate, 65 and older (R)</t>
  </si>
  <si>
    <t>Capital gains exclusion in the year of death (R)</t>
  </si>
  <si>
    <t>Tertiary rebate, 75 and older (R)</t>
  </si>
  <si>
    <t>Capital gains inclusion rate (%)</t>
  </si>
  <si>
    <t>Tax threshold, 65 to 74 (R)</t>
  </si>
  <si>
    <t>Primary residence exclusion (R)</t>
  </si>
  <si>
    <t>Tax threshold, 75 and older (R)</t>
  </si>
  <si>
    <t>Return on capital, after fees, before tax (%)</t>
  </si>
  <si>
    <t>Income tax table, 2027 tax year</t>
  </si>
  <si>
    <t>Taxable income over (R)</t>
  </si>
  <si>
    <t>Tax on that (R)</t>
  </si>
  <si>
    <t>Rate above it (%)</t>
  </si>
  <si>
    <t>Lump sum table, death benefits</t>
  </si>
  <si>
    <t>Source: Momentum Tax Guide 2026/2027. Tax before rebates: the rebates cancel out, because capital gains tax is the tax with the gain less the tax without it.</t>
  </si>
  <si>
    <t>9. Checks</t>
  </si>
  <si>
    <t>text</t>
  </si>
  <si>
    <t>Cost of dying</t>
  </si>
  <si>
    <t/>
  </si>
  <si>
    <t>Today</t>
  </si>
  <si>
    <t>Estate duty</t>
  </si>
  <si>
    <t>Capital gains tax</t>
  </si>
  <si>
    <t>Agent's commission</t>
  </si>
  <si>
    <t>Funeral, Master's fees and sundries</t>
  </si>
  <si>
    <t>Cost of winding up</t>
  </si>
  <si>
    <t>Paid by the Legacy plan</t>
  </si>
  <si>
    <t>Paid by your estate</t>
  </si>
  <si>
    <t>Debts</t>
  </si>
  <si>
    <t>Shortfall, or cash left over</t>
  </si>
  <si>
    <t>Cost to you</t>
  </si>
  <si>
    <t>None</t>
  </si>
  <si>
    <t>Next steps to discuss</t>
  </si>
  <si>
    <t>Life cover need</t>
  </si>
  <si>
    <t>Your estate (the cost of dying)</t>
  </si>
  <si>
    <t>Cash the executor needs</t>
  </si>
  <si>
    <t>Cash the executor has</t>
  </si>
  <si>
    <t>Result</t>
  </si>
  <si>
    <t>The people who depend on you</t>
  </si>
  <si>
    <t>You want for them, a month</t>
  </si>
  <si>
    <t>For</t>
  </si>
  <si>
    <t>Rising each year by</t>
  </si>
  <si>
    <t>Capital needed today</t>
  </si>
  <si>
    <t>Retirement money (a living annuity for them)</t>
  </si>
  <si>
    <t>From your estate, policies and the trust</t>
  </si>
  <si>
    <t>Capital in place</t>
  </si>
  <si>
    <t>Monthly income it pays</t>
  </si>
  <si>
    <t>Shortfall, or over</t>
  </si>
  <si>
    <t>New life cover to close the gap</t>
  </si>
  <si>
    <t>2.  Check who each of your policies and retirement funds pays to: the nominations decide who receives the money, not your will.</t>
  </si>
  <si>
    <t>Options to discuss</t>
  </si>
  <si>
    <t>Change a yellow cell and the whole column works itself out again, estate duty included.</t>
  </si>
  <si>
    <t>Option 1</t>
  </si>
  <si>
    <t>Option 2</t>
  </si>
  <si>
    <t>Option 3</t>
  </si>
  <si>
    <t>How the trust shares</t>
  </si>
  <si>
    <t>Close the gaps with</t>
  </si>
  <si>
    <t>Nomination to use</t>
  </si>
  <si>
    <t>Moved to (for "All of a nomination")</t>
  </si>
  <si>
    <t>What changes</t>
  </si>
  <si>
    <t>What it does</t>
  </si>
  <si>
    <t>Left in the family pot after every need</t>
  </si>
  <si>
    <t>Others receive, after their estate duty</t>
  </si>
  <si>
    <t>Estate duty in total</t>
  </si>
  <si>
    <t>New premium</t>
  </si>
  <si>
    <t>Things to know</t>
  </si>
  <si>
    <t>Moving a nomination uses what you already have: no new premium, but the person it is moved from receives less. One family pot lets the trustees pay each child what they need first and share what is left at the end.</t>
  </si>
  <si>
    <t>Policy money nominated to the trust or to a child carries its share of estate duty at the estate's average rate. New cover adds to the estate for duty, which is why it is more than the shortfall.</t>
  </si>
  <si>
    <t>Before a nomination is changed to the trust in your will, we confirm with the insurer that it accepts the trustees as the nominee.</t>
  </si>
  <si>
    <t>Winding up the estate: the figures</t>
  </si>
  <si>
    <t>Split the way quotes ask for them. Debts are shown separately.</t>
  </si>
  <si>
    <t>IN THE ESTATE: EXECUTOR'S FEES ARE CHARGED ON THESE</t>
  </si>
  <si>
    <t>Immovable property</t>
  </si>
  <si>
    <t>Movable property (vehicles, contents)</t>
  </si>
  <si>
    <t>Cash: bank accounts and deposits</t>
  </si>
  <si>
    <t>Listed shares and unit trusts</t>
  </si>
  <si>
    <t>Other investments (tax-free, loan accounts, business interests)</t>
  </si>
  <si>
    <t>Life assurance paid into the estate</t>
  </si>
  <si>
    <t>Total in the estate</t>
  </si>
  <si>
    <t>OUTSIDE THE ESTATE: NO EXECUTOR'S FEES</t>
  </si>
  <si>
    <t>Policies paid to a named person or spouse (counted for estate duty)</t>
  </si>
  <si>
    <t>Approved group life (not counted)</t>
  </si>
  <si>
    <t>Retirement funds (not counted)</t>
  </si>
  <si>
    <t>TOTALS</t>
  </si>
  <si>
    <t>Everything owned</t>
  </si>
  <si>
    <t>Counted for estate duty</t>
  </si>
  <si>
    <t>Liabilities</t>
  </si>
  <si>
    <t>COST OF WINDING UP</t>
  </si>
  <si>
    <t>Executor's fees</t>
  </si>
  <si>
    <t>Master's fees, funeral, notices and sundries</t>
  </si>
  <si>
    <t>Property transfer and conveyancing</t>
  </si>
  <si>
    <t>Agent's commission on property sold</t>
  </si>
  <si>
    <t>Estate duty borne by the estate</t>
  </si>
  <si>
    <t>Cost of winding up, before debts</t>
  </si>
  <si>
    <t>Debts (not included above)</t>
  </si>
  <si>
    <t>Cover paid into an estate is itself charged executor's fees; cover paid to a named person or trust is not.</t>
  </si>
  <si>
    <t>Workings</t>
  </si>
  <si>
    <t>Adviser reference and compliance record. Precise figures.</t>
  </si>
  <si>
    <t>1. Capital gains tax on death</t>
  </si>
  <si>
    <t>With the plan</t>
  </si>
  <si>
    <t>Gains: value less base cost, on property, shares, unit trusts and other investments</t>
  </si>
  <si>
    <t>Less the primary residence exclusion</t>
  </si>
  <si>
    <t>Less the exclusion in the year of death</t>
  </si>
  <si>
    <t>Net gain</t>
  </si>
  <si>
    <t>Tax on taxable income plus the gain added</t>
  </si>
  <si>
    <t>Less tax on taxable income alone</t>
  </si>
  <si>
    <t>Capital gains tax on death</t>
  </si>
  <si>
    <t>2. Estate duty</t>
  </si>
  <si>
    <t>Assets in the estate</t>
  </si>
  <si>
    <t>Life cover paid into the estate</t>
  </si>
  <si>
    <t>Gross estate (handled by the executor)</t>
  </si>
  <si>
    <t>Policies paid to a named person or spouse, counted for estate duty</t>
  </si>
  <si>
    <t>Gross dutiable estate</t>
  </si>
  <si>
    <t>Less debts</t>
  </si>
  <si>
    <t>Less funeral</t>
  </si>
  <si>
    <t>Less Master's fees</t>
  </si>
  <si>
    <t>Less estate sundries</t>
  </si>
  <si>
    <t>Less property transfer costs / Capital Legacy conveyancing</t>
  </si>
  <si>
    <t>Less agent's commission on property sold</t>
  </si>
  <si>
    <t>Less capital gains tax on death (s.4(l))</t>
  </si>
  <si>
    <t>Less everything passing to the spouse (s.4(q))</t>
  </si>
  <si>
    <t>Net value of the estate</t>
  </si>
  <si>
    <t>Less abatement (s.4A)</t>
  </si>
  <si>
    <t>Dutiable amount</t>
  </si>
  <si>
    <t>Average rate (duty / net value)</t>
  </si>
  <si>
    <t>Estate duty the named people pay themselves (the executor recovers it from them):</t>
  </si>
  <si>
    <t>Less duty the executor recovers from named people (policies and bequests)</t>
  </si>
  <si>
    <t>If the executor cannot recover it from them, the estate pays it.</t>
  </si>
  <si>
    <t>3. Does the estate have enough cash?</t>
  </si>
  <si>
    <t>Property transfer costs / conveyancing</t>
  </si>
  <si>
    <t>Paid by the estate</t>
  </si>
  <si>
    <t>Cash and deposits, and investments the executor cashes in</t>
  </si>
  <si>
    <t>Shortfall</t>
  </si>
  <si>
    <t>Cash left over</t>
  </si>
  <si>
    <t>Left from the estate for everyone who inherits from it, if they pay any shortfall in</t>
  </si>
  <si>
    <t>Workings: the life cover need</t>
  </si>
  <si>
    <t>Adviser reference and compliance record. Same basis as the full FNA calculator.</t>
  </si>
  <si>
    <t>1. Each dependant today</t>
  </si>
  <si>
    <t>Needs a month from this money (after tax)</t>
  </si>
  <si>
    <t>Retirement money into a living annuity in their name</t>
  </si>
  <si>
    <t>It pays in the first year, after tax (a month)</t>
  </si>
  <si>
    <t>Capital invested for them (residue, policies, the trust)</t>
  </si>
  <si>
    <t>Their marginal tax rate (unit trust basis)</t>
  </si>
  <si>
    <t>Net rate: 7% less tax and trustee fees</t>
  </si>
  <si>
    <t>Capital needed today (invested part)</t>
  </si>
  <si>
    <t>Shortfall (negative: over)</t>
  </si>
  <si>
    <t>Monthly income in place (first year)</t>
  </si>
  <si>
    <t>2. Life cover to close each gap (nominated for them, sized by rerunning the estate)</t>
  </si>
  <si>
    <t>New cover for them</t>
  </si>
  <si>
    <t>Capital after the cover (after its estate duty)</t>
  </si>
  <si>
    <t>Marginal tax rate then</t>
  </si>
  <si>
    <t>Capital needed then</t>
  </si>
  <si>
    <t>Remaining shortfall</t>
  </si>
  <si>
    <t>Cover for the family pot</t>
  </si>
  <si>
    <t>Estate duty with the new cover / average rate</t>
  </si>
  <si>
    <t>Left in the estate for the heirs, with the new cover</t>
  </si>
  <si>
    <t>3. Trustee fees (2% a year of what the trust holds for them)</t>
  </si>
  <si>
    <t>Fees in the first year</t>
  </si>
  <si>
    <t>Fees over the whole period</t>
  </si>
  <si>
    <t>Extra capital needed today for the fees (in the need above)</t>
  </si>
  <si>
    <t>4. The estate's own gap</t>
  </si>
  <si>
    <t>Executor's cash shortfall today</t>
  </si>
  <si>
    <t>Route 1: cover paid to the estate (charged executor's fees and estate duty, rerun to the cent)</t>
  </si>
  <si>
    <t>Route 1 reconciled to the cent (no gap at this cover, a gap at a cent less)</t>
  </si>
  <si>
    <t>Route 2: cover nominated to the spouse, who pays the costs (no fees, no duty)</t>
  </si>
  <si>
    <t>T</t>
  </si>
  <si>
    <t>V</t>
  </si>
  <si>
    <t>O1</t>
  </si>
  <si>
    <t>O2</t>
  </si>
  <si>
    <t>O3</t>
  </si>
  <si>
    <t>close</t>
  </si>
  <si>
    <t>pot</t>
  </si>
  <si>
    <t>src</t>
  </si>
  <si>
    <t>dest</t>
  </si>
  <si>
    <t>extra for dependant 1</t>
  </si>
  <si>
    <t>extra for dependant 2</t>
  </si>
  <si>
    <t>extra for dependant 3</t>
  </si>
  <si>
    <t>extra for dependant 4</t>
  </si>
  <si>
    <t>extra for dependant 5</t>
  </si>
  <si>
    <t>extra for dependant 6</t>
  </si>
  <si>
    <t>extra for the family pot</t>
  </si>
  <si>
    <t>M</t>
  </si>
  <si>
    <t>NC</t>
  </si>
  <si>
    <t>srcAmt</t>
  </si>
  <si>
    <t>srcSp</t>
  </si>
  <si>
    <t>srcBad</t>
  </si>
  <si>
    <t>net</t>
  </si>
  <si>
    <t>duty</t>
  </si>
  <si>
    <t>avg</t>
  </si>
  <si>
    <t>dNamed</t>
  </si>
  <si>
    <t>dHeir</t>
  </si>
  <si>
    <t>dX</t>
  </si>
  <si>
    <t>est</t>
  </si>
  <si>
    <t>need</t>
  </si>
  <si>
    <t>res</t>
  </si>
  <si>
    <t>pool</t>
  </si>
  <si>
    <t>n</t>
  </si>
  <si>
    <t>nt</t>
  </si>
  <si>
    <t>resTo</t>
  </si>
  <si>
    <t>resE</t>
  </si>
  <si>
    <t>resL</t>
  </si>
  <si>
    <t>tpE</t>
  </si>
  <si>
    <t>tpL</t>
  </si>
  <si>
    <t>fdE</t>
  </si>
  <si>
    <t>fdL</t>
  </si>
  <si>
    <t>allX</t>
  </si>
  <si>
    <t>allE</t>
  </si>
  <si>
    <t>allL</t>
  </si>
  <si>
    <t>potX</t>
  </si>
  <si>
    <t>potE</t>
  </si>
  <si>
    <t>potL</t>
  </si>
  <si>
    <t>othG</t>
  </si>
  <si>
    <t>othD</t>
  </si>
  <si>
    <t>dependant 1: cap</t>
  </si>
  <si>
    <t>dependant 1: ti</t>
  </si>
  <si>
    <t>dependant 1: m</t>
  </si>
  <si>
    <t>dependant 1: r</t>
  </si>
  <si>
    <t>dependant 1: need</t>
  </si>
  <si>
    <t>dependant 1: gap</t>
  </si>
  <si>
    <t>dependant 1: inc</t>
  </si>
  <si>
    <t>dependant 2: cap</t>
  </si>
  <si>
    <t>dependant 2: ti</t>
  </si>
  <si>
    <t>dependant 2: m</t>
  </si>
  <si>
    <t>dependant 2: r</t>
  </si>
  <si>
    <t>dependant 2: need</t>
  </si>
  <si>
    <t>dependant 2: gap</t>
  </si>
  <si>
    <t>dependant 2: inc</t>
  </si>
  <si>
    <t>dependant 3: cap</t>
  </si>
  <si>
    <t>dependant 3: ti</t>
  </si>
  <si>
    <t>dependant 3: m</t>
  </si>
  <si>
    <t>dependant 3: r</t>
  </si>
  <si>
    <t>dependant 3: need</t>
  </si>
  <si>
    <t>dependant 3: gap</t>
  </si>
  <si>
    <t>dependant 3: inc</t>
  </si>
  <si>
    <t>dependant 4: cap</t>
  </si>
  <si>
    <t>dependant 4: ti</t>
  </si>
  <si>
    <t>dependant 4: m</t>
  </si>
  <si>
    <t>dependant 4: r</t>
  </si>
  <si>
    <t>dependant 4: need</t>
  </si>
  <si>
    <t>dependant 4: gap</t>
  </si>
  <si>
    <t>dependant 4: inc</t>
  </si>
  <si>
    <t>dependant 5: cap</t>
  </si>
  <si>
    <t>dependant 5: ti</t>
  </si>
  <si>
    <t>dependant 5: m</t>
  </si>
  <si>
    <t>dependant 5: r</t>
  </si>
  <si>
    <t>dependant 5: need</t>
  </si>
  <si>
    <t>dependant 5: gap</t>
  </si>
  <si>
    <t>dependant 5: inc</t>
  </si>
  <si>
    <t>dependant 6: cap</t>
  </si>
  <si>
    <t>dependant 6: ti</t>
  </si>
  <si>
    <t>dependant 6: m</t>
  </si>
  <si>
    <t>dependant 6: r</t>
  </si>
  <si>
    <t>dependant 6: need</t>
  </si>
  <si>
    <t>dependant 6: gap</t>
  </si>
  <si>
    <t>dependant 6: inc</t>
  </si>
  <si>
    <t>potCap</t>
  </si>
  <si>
    <t>potNeed</t>
  </si>
  <si>
    <t>potLeft</t>
  </si>
  <si>
    <t>potGap</t>
  </si>
  <si>
    <t>next extra 1</t>
  </si>
  <si>
    <t>next extra 2</t>
  </si>
  <si>
    <t>next extra 3</t>
  </si>
  <si>
    <t>next extra 4</t>
  </si>
  <si>
    <t>next extra 5</t>
  </si>
  <si>
    <t>next extra 6</t>
  </si>
  <si>
    <t>next extra 7</t>
  </si>
  <si>
    <t>sumX</t>
  </si>
  <si>
    <t>infeasible</t>
  </si>
  <si>
    <t>P (total income)</t>
  </si>
  <si>
    <t>net at P</t>
  </si>
  <si>
    <t>slope</t>
  </si>
  <si>
    <t>pot m</t>
  </si>
  <si>
    <t>pot need</t>
  </si>
  <si>
    <t>y</t>
  </si>
  <si>
    <t>net need</t>
  </si>
  <si>
    <t>gross needed</t>
  </si>
  <si>
    <t>annuity at start</t>
  </si>
  <si>
    <t>drawdown</t>
  </si>
  <si>
    <t>drawdown after tax</t>
  </si>
  <si>
    <t>from invested capital</t>
  </si>
  <si>
    <t>trust balance</t>
  </si>
  <si>
    <t>trust fees</t>
  </si>
  <si>
    <t>Rebates (R)</t>
  </si>
  <si>
    <t>Tax threshold (R)</t>
  </si>
  <si>
    <t>Own taxable income (R a year)</t>
  </si>
  <si>
    <t>Living annuity in their name (R)</t>
  </si>
  <si>
    <t>Years</t>
  </si>
  <si>
    <t>Need a month (R)</t>
  </si>
  <si>
    <t>Increase a year</t>
  </si>
  <si>
    <t>In a trust (1/0)</t>
  </si>
  <si>
    <t>Tax on own income (R)</t>
  </si>
  <si>
    <t>First-year drawdown (R)</t>
  </si>
  <si>
    <t>Family pot: capital needed (R)</t>
  </si>
  <si>
    <t>First-year drawdown after tax (R)</t>
  </si>
  <si>
    <t>First-year need from invested capital (R)</t>
  </si>
  <si>
    <t>Trustee fees, first year</t>
  </si>
  <si>
    <t>Trustee fees, whole period</t>
  </si>
  <si>
    <t>Extra capital for the fees</t>
  </si>
  <si>
    <t>Rate today (with fees)</t>
  </si>
  <si>
    <t>Estate cover (Route 1): E, fee, net, duty, avg, named, heir, estate duty, need, has, gap (need less has), unused</t>
  </si>
  <si>
    <t>The answer to the cent: five rows a cent apart round the last step</t>
  </si>
  <si>
    <t>Route 1 cover</t>
  </si>
  <si>
    <t>Route 1 reconciled (no gap at the cover, a gap a cent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</si>
</sst>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quot;R &quot;#,##0.00;&quot;(R &quot;#,##0.00\);\-"/>
    <numFmt numFmtId="166" formatCode="&quot;R &quot;#,##0;&quot;(R &quot;#,##0\);\-"/>
    <numFmt numFmtId="167" formatCode="0.0000%"/>
  </numFmts>
  <fonts count="22" x14ac:knownFonts="1">
    <font>
      <color theme="1"/>
      <family val="2"/>
      <scheme val="minor"/>
      <sz val="11"/>
      <name val="Calibri"/>
    </font>
    <font>
      <b/>
      <color rgb="FFFFFFFF"/>
      <sz val="13"/>
      <name val="Arial"/>
    </font>
    <font>
      <color rgb="FFFFFFFF"/>
      <sz val="9"/>
      <name val="Arial"/>
    </font>
    <font>
      <b/>
      <color rgb="FF0E413A"/>
      <sz val="15"/>
      <name val="Arial"/>
    </font>
    <font>
      <color rgb="FF6B7A77"/>
      <sz val="9"/>
      <name val="Arial"/>
    </font>
    <font>
      <b/>
      <color rgb="FF0E413A"/>
      <sz val="12"/>
      <name val="Arial"/>
    </font>
    <font>
      <color rgb="FF000000"/>
      <sz val="10"/>
      <name val="Arial"/>
    </font>
    <font>
      <sz val="10"/>
      <name val="Arial"/>
    </font>
    <font>
      <b/>
      <color rgb="FFFFFFFF"/>
      <sz val="9"/>
      <name val="Arial"/>
    </font>
    <font>
      <sz val="9"/>
      <name val="Arial"/>
    </font>
    <font>
      <color rgb="FF6B7A77"/>
      <sz val="8"/>
      <name val="Arial"/>
    </font>
    <font>
      <b/>
      <color rgb="FF000000"/>
      <sz val="10"/>
      <name val="Arial"/>
    </font>
    <font>
      <b/>
      <sz val="10"/>
      <name val="Arial"/>
    </font>
    <font>
      <b/>
      <color rgb="FFB3261E"/>
      <sz val="9"/>
      <name val="Arial"/>
    </font>
    <font>
      <color rgb="FF333333"/>
      <sz val="10.5"/>
      <name val="Arial"/>
    </font>
    <font>
      <b/>
      <color rgb="FF6B7A77"/>
      <sz val="8"/>
      <name val="Arial"/>
    </font>
    <font>
      <b/>
      <color rgb="FFB3261E"/>
      <sz val="20"/>
      <name val="Arial"/>
    </font>
    <font>
      <b/>
      <color rgb="FF2F7A4F"/>
      <sz val="10"/>
      <name val="Arial"/>
    </font>
    <font>
      <color rgb="FF333333"/>
      <sz val="10"/>
      <name val="Arial"/>
    </font>
    <font>
      <color rgb="FF000000"/>
      <sz val="9"/>
      <name val="Arial"/>
    </font>
    <font>
      <b/>
      <color rgb="FF000000"/>
      <sz val="9"/>
      <name val="Arial"/>
    </font>
    <font>
      <b/>
      <color rgb="FF0E413A"/>
      <sz val="9"/>
      <name val="Arial"/>
    </font>
  </fonts>
  <fills count="7">
    <fill>
      <patternFill patternType="none"/>
    </fill>
    <fill>
      <patternFill patternType="gray125"/>
    </fill>
    <fill>
      <patternFill patternType="solid">
        <fgColor rgb="FF0E413A"/>
      </patternFill>
    </fill>
    <fill>
      <patternFill patternType="solid">
        <fgColor rgb="FFFFF2A8"/>
      </patternFill>
    </fill>
    <fill>
      <patternFill patternType="solid">
        <fgColor rgb="FFF2F5F4"/>
      </patternFill>
    </fill>
    <fill>
      <patternFill patternType="solid">
        <fgColor rgb="FFFBEFEE"/>
      </patternFill>
    </fill>
    <fill>
      <patternFill patternType="solid">
        <fgColor rgb="FFE4EBE9"/>
      </patternFill>
    </fill>
  </fills>
  <borders count="4">
    <border>
      <left/>
      <right/>
      <top/>
      <bottom/>
      <diagonal/>
    </border>
    <border>
      <left/>
      <right/>
      <top/>
      <bottom style="medium">
        <color rgb="FFA8B938"/>
      </bottom>
      <diagonal/>
    </border>
    <border>
      <left style="thin">
        <color rgb="FFBFC9C7"/>
      </left>
      <right style="thin">
        <color rgb="FFBFC9C7"/>
      </right>
      <top style="thin">
        <color rgb="FFBFC9C7"/>
      </top>
      <bottom style="thin">
        <color rgb="FFBFC9C7"/>
      </bottom>
      <diagonal/>
    </border>
    <border>
      <left style="thick">
        <color rgb="FFB3261E"/>
      </left>
      <right/>
      <top/>
      <bottom/>
      <diagonal/>
    </border>
  </borders>
  <cellStyleXfs count="1">
    <xf numFmtId="0" fontId="0" fillId="0" borderId="0"/>
  </cellStyleXfs>
  <cellXfs count="54">
    <xf numFmtId="0" fontId="0" fillId="0" borderId="0" xfId="0"/>
    <xf numFmtId="0" fontId="1" fillId="2" borderId="0" xfId="0" applyFont="1" applyFill="1" applyAlignment="1">
      <alignment vertical="center" indent="1"/>
    </xf>
    <xf numFmtId="0" fontId="2" fillId="2" borderId="1" xfId="0" applyFont="1" applyFill="1" applyBorder="1" applyAlignment="1">
      <alignment vertical="center" indent="1"/>
    </xf>
    <xf numFmtId="0" fontId="3" fillId="0" borderId="0" xfId="0" applyFont="1"/>
    <xf numFmtId="0" fontId="4" fillId="0" borderId="0" xfId="0" applyFont="1"/>
    <xf numFmtId="0" fontId="5" fillId="0" borderId="1" xfId="0" applyFont="1" applyBorder="1"/>
    <xf numFmtId="0" fontId="0" fillId="0" borderId="1" xfId="0" applyBorder="1"/>
    <xf numFmtId="0" fontId="6" fillId="0" borderId="2" xfId="0" applyFont="1" applyBorder="1" applyAlignment="1">
      <alignment vertical="top" wrapText="1"/>
    </xf>
    <xf numFmtId="0" fontId="7" fillId="3" borderId="2" xfId="0" applyFont="1" applyFill="1" applyBorder="1" applyAlignment="1" applyProtection="1">
      <alignment vertical="top" wrapText="1"/>
      <protection locked="0"/>
    </xf>
    <xf numFmtId="164" fontId="7" fillId="3" borderId="2" xfId="0" applyNumberFormat="1" applyFont="1" applyFill="1" applyBorder="1" applyAlignment="1" applyProtection="1">
      <alignment vertical="top"/>
      <protection locked="0"/>
    </xf>
    <xf numFmtId="0" fontId="7" fillId="3" borderId="2" xfId="0" applyFont="1" applyFill="1" applyBorder="1" applyAlignment="1" applyProtection="1">
      <alignment vertical="top"/>
      <protection locked="0"/>
    </xf>
    <xf numFmtId="165" fontId="7" fillId="3" borderId="2" xfId="0" applyNumberFormat="1" applyFont="1" applyFill="1" applyBorder="1" applyAlignment="1" applyProtection="1">
      <alignment horizontal="right" vertical="top"/>
      <protection locked="0"/>
    </xf>
    <xf numFmtId="0" fontId="8" fillId="2" borderId="2" xfId="0" applyFont="1" applyFill="1" applyBorder="1" applyAlignment="1">
      <alignment horizontal="left" vertical="center" wrapText="1"/>
    </xf>
    <xf numFmtId="0" fontId="8" fillId="2" borderId="2" xfId="0" applyFont="1" applyFill="1" applyBorder="1" applyAlignment="1">
      <alignment horizontal="right" vertical="center" wrapText="1"/>
    </xf>
    <xf numFmtId="0" fontId="9" fillId="3" borderId="2" xfId="0" applyFont="1" applyFill="1" applyBorder="1" applyAlignment="1" applyProtection="1">
      <alignment vertical="top" wrapText="1"/>
      <protection locked="0"/>
    </xf>
    <xf numFmtId="166" fontId="6" fillId="4" borderId="2" xfId="0" applyNumberFormat="1" applyFont="1" applyFill="1" applyBorder="1" applyAlignment="1">
      <alignment horizontal="right" vertical="top"/>
    </xf>
    <xf numFmtId="0" fontId="4" fillId="0" borderId="0" xfId="0" applyFont="1" applyAlignment="1">
      <alignment vertical="top" wrapText="1"/>
    </xf>
    <xf numFmtId="165" fontId="10" fillId="0" borderId="0" xfId="0" applyNumberFormat="1" applyFont="1"/>
    <xf numFmtId="1" fontId="7" fillId="3" borderId="2" xfId="0" applyNumberFormat="1" applyFont="1" applyFill="1" applyBorder="1" applyAlignment="1" applyProtection="1">
      <alignment horizontal="right" vertical="top"/>
      <protection locked="0"/>
    </xf>
    <xf numFmtId="2" fontId="7" fillId="3" borderId="2" xfId="0" applyNumberFormat="1" applyFont="1" applyFill="1" applyBorder="1" applyAlignment="1" applyProtection="1">
      <alignment horizontal="right" vertical="top"/>
      <protection locked="0"/>
    </xf>
    <xf numFmtId="0" fontId="11" fillId="0" borderId="2" xfId="0" applyFont="1" applyBorder="1" applyAlignment="1">
      <alignment vertical="top" wrapText="1"/>
    </xf>
    <xf numFmtId="0" fontId="12" fillId="0" borderId="0" xfId="0" applyFont="1" applyAlignment="1">
      <alignment vertical="top" wrapText="1"/>
    </xf>
    <xf numFmtId="0" fontId="12" fillId="0" borderId="0" xfId="0" applyFont="1" applyAlignment="1" applyProtection="1">
      <alignment vertical="top" wrapText="1"/>
      <protection locked="0"/>
    </xf>
    <xf numFmtId="0" fontId="13" fillId="0" borderId="0" xfId="0" applyFont="1" applyAlignment="1">
      <alignment horizontal="right"/>
    </xf>
    <xf numFmtId="0" fontId="14" fillId="0" borderId="0" xfId="0" applyFont="1" applyAlignment="1">
      <alignment vertical="top" wrapText="1"/>
    </xf>
    <xf numFmtId="0" fontId="15" fillId="5" borderId="3" xfId="0" applyFont="1" applyFill="1" applyBorder="1" applyAlignment="1">
      <alignment vertical="center" indent="1"/>
    </xf>
    <xf numFmtId="0" fontId="16" fillId="5" borderId="3" xfId="0" applyFont="1" applyFill="1" applyBorder="1" applyAlignment="1">
      <alignment vertical="center" indent="1"/>
    </xf>
    <xf numFmtId="0" fontId="4" fillId="5" borderId="3" xfId="0" applyFont="1" applyFill="1" applyBorder="1" applyAlignment="1">
      <alignment vertical="center" indent="1"/>
    </xf>
    <xf numFmtId="0" fontId="7" fillId="0" borderId="2" xfId="0" applyFont="1" applyBorder="1" applyAlignment="1">
      <alignment vertical="top" wrapText="1"/>
    </xf>
    <xf numFmtId="0" fontId="11" fillId="6" borderId="2" xfId="0" applyFont="1" applyFill="1" applyBorder="1" applyAlignment="1">
      <alignment vertical="top" wrapText="1"/>
    </xf>
    <xf numFmtId="166" fontId="11" fillId="6" borderId="2" xfId="0" applyNumberFormat="1" applyFont="1" applyFill="1" applyBorder="1" applyAlignment="1">
      <alignment horizontal="right" vertical="top"/>
    </xf>
    <xf numFmtId="0" fontId="11" fillId="4" borderId="2" xfId="0" applyFont="1" applyFill="1" applyBorder="1" applyAlignment="1">
      <alignment horizontal="right" vertical="top"/>
    </xf>
    <xf numFmtId="166" fontId="17" fillId="4" borderId="2" xfId="0" applyNumberFormat="1" applyFont="1" applyFill="1" applyBorder="1" applyAlignment="1">
      <alignment horizontal="right" vertical="top"/>
    </xf>
    <xf numFmtId="0" fontId="6" fillId="4" borderId="2" xfId="0" applyFont="1" applyFill="1" applyBorder="1" applyAlignment="1">
      <alignment horizontal="right" vertical="top"/>
    </xf>
    <xf numFmtId="0" fontId="18" fillId="0" borderId="0" xfId="0" applyFont="1" applyAlignment="1">
      <alignment vertical="top" wrapText="1"/>
    </xf>
    <xf numFmtId="0" fontId="10" fillId="0" borderId="0" xfId="0" applyFont="1" applyAlignment="1">
      <alignment vertical="top" wrapText="1"/>
    </xf>
    <xf numFmtId="0" fontId="6" fillId="4" borderId="2" xfId="0" applyFont="1" applyFill="1" applyBorder="1" applyAlignment="1">
      <alignment horizontal="left" vertical="top" wrapText="1"/>
    </xf>
    <xf numFmtId="9" fontId="6" fillId="4" borderId="2" xfId="0" applyNumberFormat="1" applyFont="1" applyFill="1" applyBorder="1" applyAlignment="1">
      <alignment horizontal="right" vertical="top"/>
    </xf>
    <xf numFmtId="0" fontId="7" fillId="0" borderId="2" xfId="0" applyFont="1" applyBorder="1"/>
    <xf numFmtId="0" fontId="19" fillId="4" borderId="2" xfId="0" applyFont="1" applyFill="1" applyBorder="1" applyAlignment="1">
      <alignment horizontal="center" vertical="top"/>
    </xf>
    <xf numFmtId="0" fontId="9" fillId="3" borderId="2" xfId="0" applyFont="1" applyFill="1" applyBorder="1" applyAlignment="1" applyProtection="1">
      <alignment horizontal="center" vertical="center" wrapText="1"/>
      <protection locked="0"/>
    </xf>
    <xf numFmtId="0" fontId="19" fillId="4" borderId="2" xfId="0" applyFont="1" applyFill="1" applyBorder="1" applyAlignment="1">
      <alignment horizontal="center" vertical="top" wrapText="1"/>
    </xf>
    <xf numFmtId="0" fontId="7" fillId="0" borderId="2" xfId="0" applyFont="1" applyBorder="1" applyAlignment="1">
      <alignment wrapText="1"/>
    </xf>
    <xf numFmtId="166" fontId="19" fillId="4" borderId="2" xfId="0" applyNumberFormat="1" applyFont="1" applyFill="1" applyBorder="1" applyAlignment="1">
      <alignment horizontal="right" vertical="top"/>
    </xf>
    <xf numFmtId="0" fontId="12" fillId="0" borderId="2" xfId="0" applyFont="1" applyBorder="1" applyAlignment="1">
      <alignment wrapText="1"/>
    </xf>
    <xf numFmtId="0" fontId="20" fillId="4" borderId="2" xfId="0" applyFont="1" applyFill="1" applyBorder="1" applyAlignment="1">
      <alignment horizontal="right" vertical="top" wrapText="1"/>
    </xf>
    <xf numFmtId="0" fontId="19" fillId="4" borderId="2" xfId="0" applyFont="1" applyFill="1" applyBorder="1" applyAlignment="1">
      <alignment horizontal="right" vertical="top" wrapText="1"/>
    </xf>
    <xf numFmtId="0" fontId="21" fillId="4" borderId="0" xfId="0" applyFont="1" applyFill="1"/>
    <xf numFmtId="165" fontId="6" fillId="4" borderId="2" xfId="0" applyNumberFormat="1" applyFont="1" applyFill="1" applyBorder="1" applyAlignment="1">
      <alignment horizontal="right" vertical="top"/>
    </xf>
    <xf numFmtId="165" fontId="11" fillId="6" borderId="2" xfId="0" applyNumberFormat="1" applyFont="1" applyFill="1" applyBorder="1" applyAlignment="1">
      <alignment horizontal="right" vertical="top"/>
    </xf>
    <xf numFmtId="167" fontId="6" fillId="4" borderId="2" xfId="0" applyNumberFormat="1" applyFont="1" applyFill="1" applyBorder="1" applyAlignment="1">
      <alignment vertical="top"/>
    </xf>
    <xf numFmtId="1" fontId="6" fillId="4" borderId="2" xfId="0" applyNumberFormat="1" applyFont="1" applyFill="1" applyBorder="1" applyAlignment="1">
      <alignment vertical="top"/>
    </xf>
    <xf numFmtId="10" fontId="6" fillId="4" borderId="2" xfId="0" applyNumberFormat="1" applyFont="1" applyFill="1" applyBorder="1" applyAlignment="1">
      <alignment vertical="top"/>
    </xf>
    <xf numFmtId="9" fontId="6" fillId="4" borderId="2" xfId="0" applyNumberFormat="1" applyFont="1" applyFill="1" applyBorder="1" applyAlignment="1">
      <alignment vertical="top"/>
    </xf>
  </cellXfs>
  <cellStyles count="1">
    <cellStyle name="Normal" xfId="0" builtinId="0"/>
  </cellStyles>
  <dxfs count="33">
    <dxf>
      <font>
        <b/>
        <color rgb="FFB3261E"/>
      </font>
      <fill>
        <patternFill patternType="solid">
          <bgColor rgb="FFFBEFEE"/>
        </patternFill>
      </fill>
    </dxf>
    <dxf>
      <font>
        <b/>
        <color rgb="FF2F7A4F"/>
      </font>
      <fill>
        <patternFill patternType="solid">
          <bgColor rgb="FFEAF4EE"/>
        </patternFill>
      </fill>
    </dxf>
    <dxf>
      <font>
        <b/>
        <color rgb="FFB45309"/>
      </font>
      <fill>
        <patternFill patternType="solid">
          <bgColor rgb="FFFFF1E0"/>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ill>
        <patternFill patternType="solid">
          <bgColor rgb="FFFFC78A"/>
        </patternFill>
      </fill>
    </dxf>
    <dxf>
      <font>
        <color rgb="FF2F7A4F"/>
      </font>
      <fill>
        <patternFill patternType="solid">
          <bgColor rgb="FFEAF4EE"/>
        </patternFill>
      </fill>
    </dxf>
    <dxf>
      <font>
        <b/>
        <color rgb="FFB3261E"/>
      </font>
      <fill>
        <patternFill patternType="solid">
          <bgColor rgb="FFFBEFEE"/>
        </patternFill>
      </fill>
    </dxf>
    <dxf>
      <font>
        <b/>
        <color rgb="FF2F7A4F"/>
      </font>
      <fill>
        <patternFill patternType="solid">
          <bgColor rgb="FFEAF4EE"/>
        </patternFill>
      </fill>
    </dxf>
    <dxf>
      <font>
        <color rgb="FF2F7A4F"/>
      </font>
      <fill>
        <patternFill patternType="solid">
          <bgColor rgb="FFEAF4EE"/>
        </patternFill>
      </fill>
    </dxf>
    <dxf>
      <font>
        <b/>
        <color rgb="FFB3261E"/>
      </font>
      <fill>
        <patternFill patternType="solid">
          <bgColor rgb="FFFBEFEE"/>
        </patternFill>
      </fill>
    </dxf>
    <dxf>
      <font>
        <b/>
        <color rgb="FF2F7A4F"/>
      </font>
      <fill>
        <patternFill patternType="solid">
          <bgColor rgb="FFEAF4EE"/>
        </patternFill>
      </fill>
    </dxf>
    <dxf>
      <fill>
        <patternFill patternType="solid">
          <bgColor rgb="FFFFFFFF"/>
        </patternFill>
      </fill>
    </dxf>
    <dxf>
      <font>
        <b/>
        <color rgb="FFB3261E"/>
      </font>
      <fill>
        <patternFill patternType="solid">
          <bgColor rgb="FFFBEFEE"/>
        </patternFill>
      </fill>
    </dxf>
    <dxf>
      <font>
        <b/>
        <color rgb="FF2F7A4F"/>
      </font>
      <fill>
        <patternFill patternType="solid">
          <bgColor rgb="FFEAF4EE"/>
        </patternFill>
      </fill>
    </dxf>
    <dxf>
      <font>
        <b/>
        <color rgb="FFB3261E"/>
      </font>
      <fill>
        <patternFill patternType="solid">
          <bgColor rgb="FFFBEFEE"/>
        </patternFill>
      </fill>
    </dxf>
    <dxf>
      <font>
        <b/>
        <color rgb="FF2F7A4F"/>
      </font>
      <fill>
        <patternFill patternType="solid">
          <bgColor rgb="FFEAF4EE"/>
        </patternFill>
      </fill>
    </dxf>
    <dxf>
      <font>
        <b/>
        <color rgb="FFB3261E"/>
      </font>
      <fill>
        <patternFill patternType="solid">
          <bgColor rgb="FFFBEFEE"/>
        </patternFill>
      </fill>
    </dxf>
    <dxf>
      <font>
        <b/>
        <color rgb="FF2F7A4F"/>
      </font>
      <fill>
        <patternFill patternType="solid">
          <bgColor rgb="FFEAF4EE"/>
        </patternFill>
      </fill>
    </dxf>
    <dxf>
      <font>
        <b/>
        <color rgb="FFB3261E"/>
      </font>
      <fill>
        <patternFill patternType="solid">
          <bgColor rgb="FFFBEFEE"/>
        </patternFill>
      </fill>
    </dxf>
    <dxf>
      <font>
        <b/>
        <color rgb="FF2F7A4F"/>
      </font>
      <fill>
        <patternFill patternType="solid">
          <bgColor rgb="FFEAF4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9.xml"/><Relationship Id="rId8" Type="http://schemas.openxmlformats.org/officeDocument/2006/relationships/worksheet" Target="worksheets/sheet10.xml"/><Relationship Id="rId9" Type="http://schemas.openxmlformats.org/officeDocument/2006/relationships/worksheet" Target="worksheets/sheet4.xml"/><Relationship Id="rId10" Type="http://schemas.openxmlformats.org/officeDocument/2006/relationships/worksheet" Target="worksheets/sheet5.xml"/><Relationship Id="rId11" Type="http://schemas.openxmlformats.org/officeDocument/2006/relationships/worksheet" Target="worksheets/sheet8.xml"/><Relationship Id="rId12" Type="http://schemas.openxmlformats.org/officeDocument/2006/relationships/worksheet" Target="worksheets/sheet7.xml"/><Relationship Id="rId13"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FormatPr defaultRowHeight="15" outlineLevelRow="0" outlineLevelCol="0" x14ac:dyDescent="55"/>
  <sheetData>
    <row r="1" spans="1:12" x14ac:dyDescent="0.25">
      <c r="A1" t="s">
        <v>0</v>
      </c>
      <c r="B1" t="s">
        <v>1</v>
      </c>
      <c r="C1" t="s">
        <v>2</v>
      </c>
      <c r="D1" t="s">
        <v>3</v>
      </c>
      <c r="E1" t="s">
        <v>4</v>
      </c>
      <c r="F1" t="s">
        <v>5</v>
      </c>
      <c r="G1" t="s">
        <v>6</v>
      </c>
      <c r="H1" t="s">
        <v>7</v>
      </c>
      <c r="I1" t="s">
        <v>8</v>
      </c>
      <c r="J1" t="s">
        <v>9</v>
      </c>
      <c r="L1" t="s">
        <v>10</v>
      </c>
    </row>
    <row r="2" spans="1:12" x14ac:dyDescent="0.25">
      <c r="A2" t="s">
        <v>11</v>
      </c>
      <c r="B2" t="s">
        <v>12</v>
      </c>
      <c r="C2" t="s">
        <v>13</v>
      </c>
      <c r="D2" t="s">
        <v>14</v>
      </c>
      <c r="E2" t="s">
        <v>15</v>
      </c>
      <c r="F2" t="s">
        <v>16</v>
      </c>
      <c r="G2" t="s">
        <v>17</v>
      </c>
      <c r="H2" t="s">
        <v>18</v>
      </c>
      <c r="I2" t="s">
        <v>19</v>
      </c>
      <c r="J2" t="s">
        <v>20</v>
      </c>
      <c r="L2" t="s">
        <v>21</v>
      </c>
    </row>
    <row r="3" spans="1:13" x14ac:dyDescent="0.25">
      <c r="A3" t="s">
        <v>22</v>
      </c>
      <c r="B3" t="s">
        <v>16</v>
      </c>
      <c r="C3" t="s">
        <v>16</v>
      </c>
      <c r="D3" t="s">
        <v>23</v>
      </c>
      <c r="E3" t="s">
        <v>16</v>
      </c>
      <c r="F3" t="s">
        <v>24</v>
      </c>
      <c r="G3" t="s">
        <v>25</v>
      </c>
      <c r="H3" t="s">
        <v>26</v>
      </c>
      <c r="I3" t="s">
        <v>27</v>
      </c>
      <c r="J3" t="s">
        <v>28</v>
      </c>
      <c r="L3" t="s">
        <v>29</v>
      </c>
      <c r="M3" t="s">
        <v>30</v>
      </c>
    </row>
    <row r="4" spans="1:12" x14ac:dyDescent="0.25">
      <c r="A4" t="s">
        <v>31</v>
      </c>
      <c r="B4" t="s">
        <v>32</v>
      </c>
      <c r="C4" t="s">
        <v>33</v>
      </c>
      <c r="F4" t="s">
        <v>34</v>
      </c>
      <c r="G4" t="s">
        <v>35</v>
      </c>
      <c r="I4" t="s">
        <v>36</v>
      </c>
      <c r="J4" t="s">
        <v>37</v>
      </c>
      <c r="L4" t="s">
        <v>38</v>
      </c>
    </row>
    <row r="5" spans="1:12" x14ac:dyDescent="0.25">
      <c r="A5" t="s">
        <v>39</v>
      </c>
      <c r="I5" t="s">
        <v>40</v>
      </c>
      <c r="J5" t="s">
        <v>41</v>
      </c>
      <c r="L5" t="s">
        <v>42</v>
      </c>
    </row>
    <row r="6" spans="1:13" x14ac:dyDescent="0.25">
      <c r="A6" t="s">
        <v>43</v>
      </c>
      <c r="J6" t="s">
        <v>44</v>
      </c>
      <c r="L6" t="s">
        <v>45</v>
      </c>
      <c r="M6" t="s">
        <v>30</v>
      </c>
    </row>
    <row r="7" spans="1:10" x14ac:dyDescent="0.25">
      <c r="A7" t="s">
        <v>46</v>
      </c>
      <c r="J7" t="s">
        <v>47</v>
      </c>
    </row>
    <row r="8" spans="1:10" x14ac:dyDescent="0.25">
      <c r="A8" t="s">
        <v>48</v>
      </c>
      <c r="J8" t="s">
        <v>49</v>
      </c>
    </row>
    <row r="9" spans="1:10" x14ac:dyDescent="0.25">
      <c r="A9" t="s">
        <v>50</v>
      </c>
      <c r="J9" t="s">
        <v>51</v>
      </c>
    </row>
    <row r="10" spans="10:10" x14ac:dyDescent="0.25">
      <c r="J10" t="s">
        <v>52</v>
      </c>
    </row>
    <row r="11" spans="10:10" x14ac:dyDescent="0.25">
      <c r="J11" t="s">
        <v>53</v>
      </c>
    </row>
    <row r="12" spans="10:10" x14ac:dyDescent="0.25">
      <c r="J12" t="s">
        <v>54</v>
      </c>
    </row>
  </sheetData>
  <sheetProtection sheet="1" formatRows="0"/>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Z156"/>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40" customWidth="1"/>
    <col min="3" max="3" width="20" customWidth="1"/>
    <col min="4" max="5" width="15" customWidth="1"/>
    <col min="6" max="6" width="10" customWidth="1"/>
    <col min="7" max="7" width="17" customWidth="1"/>
    <col min="8" max="8" width="18" customWidth="1"/>
    <col min="9" max="9" width="34" customWidth="1"/>
    <col min="10" max="10" width="15" customWidth="1"/>
    <col min="12" max="12" width="9" hidden="1" customWidth="1"/>
    <col min="13" max="13" width="9" hidden="1" customWidth="1"/>
    <col min="14" max="14" width="9" hidden="1" customWidth="1"/>
    <col min="15" max="15" width="9" hidden="1" customWidth="1"/>
    <col min="16" max="16" width="9" hidden="1" customWidth="1"/>
    <col min="17" max="17" width="9" hidden="1" customWidth="1"/>
    <col min="18" max="18" width="9" hidden="1" customWidth="1"/>
    <col min="19" max="19" width="9" hidden="1" customWidth="1"/>
    <col min="20" max="20" width="9" hidden="1" customWidth="1"/>
    <col min="21" max="21" width="9" hidden="1" customWidth="1"/>
    <col min="22" max="22" width="9" hidden="1" customWidth="1"/>
    <col min="23" max="23" width="9" hidden="1" customWidth="1"/>
    <col min="24" max="24" width="9" hidden="1" customWidth="1"/>
    <col min="25" max="25" width="9" hidden="1" customWidth="1"/>
    <col min="26" max="26" width="9" hidden="1" customWidth="1"/>
    <col min="27" max="27" width="9" hidden="1" customWidth="1"/>
    <col min="28" max="28" width="9" hidden="1" customWidth="1"/>
    <col min="29" max="29" width="9" hidden="1" customWidth="1"/>
    <col min="30" max="30" width="9" hidden="1" customWidth="1"/>
    <col min="31" max="31" width="9" hidden="1" customWidth="1"/>
    <col min="32" max="32" width="9" hidden="1" customWidth="1"/>
    <col min="33" max="33" width="9" hidden="1" customWidth="1"/>
    <col min="34" max="34" width="9" hidden="1" customWidth="1"/>
  </cols>
  <sheetData>
    <row r="1" ht="21.75" customHeight="1" spans="2:10" x14ac:dyDescent="0.25">
      <c r="B1" s="1" t="s">
        <v>55</v>
      </c>
      <c r="C1" s="1"/>
      <c r="D1" s="1"/>
      <c r="E1" s="1"/>
      <c r="F1" s="1"/>
      <c r="G1" s="1"/>
      <c r="H1" s="1"/>
      <c r="I1" s="1"/>
      <c r="J1" s="1"/>
    </row>
    <row r="2" ht="15" customHeight="1" spans="2:10" x14ac:dyDescent="0.25">
      <c r="B2" s="2" t="s">
        <v>56</v>
      </c>
      <c r="C2" s="2"/>
      <c r="D2" s="2"/>
      <c r="E2" s="2"/>
      <c r="F2" s="2"/>
      <c r="G2" s="2"/>
      <c r="H2" s="2"/>
      <c r="I2" s="2"/>
      <c r="J2" s="2"/>
    </row>
    <row r="4" ht="20" customHeight="1" spans="2:2" x14ac:dyDescent="0.25">
      <c r="B4" s="3" t="s">
        <v>57</v>
      </c>
    </row>
    <row r="5" spans="2:2" x14ac:dyDescent="0.25">
      <c r="B5" s="4" t="s">
        <v>58</v>
      </c>
    </row>
    <row r="7" ht="18" customHeight="1" spans="2:10" x14ac:dyDescent="0.25">
      <c r="B7" s="5" t="s">
        <v>59</v>
      </c>
      <c r="C7" s="6"/>
      <c r="D7" s="6"/>
      <c r="E7" s="6"/>
      <c r="F7" s="6"/>
      <c r="G7" s="6"/>
      <c r="H7" s="6"/>
      <c r="I7" s="6"/>
      <c r="J7" s="6"/>
    </row>
    <row r="8" spans="2:5" x14ac:dyDescent="0.25">
      <c r="B8" s="7" t="s">
        <v>60</v>
      </c>
      <c r="C8" s="8"/>
      <c r="D8" s="8"/>
      <c r="E8" s="8"/>
    </row>
    <row r="9" spans="2:5" x14ac:dyDescent="0.25">
      <c r="B9" s="7" t="s">
        <v>61</v>
      </c>
      <c r="C9" s="8"/>
      <c r="D9" s="8"/>
      <c r="E9" s="8"/>
    </row>
    <row r="10" spans="2:5" x14ac:dyDescent="0.25">
      <c r="B10" s="7" t="s">
        <v>62</v>
      </c>
      <c r="C10" s="8"/>
      <c r="D10" s="8"/>
      <c r="E10" s="8"/>
    </row>
    <row r="11" spans="2:5" x14ac:dyDescent="0.25">
      <c r="B11" s="7" t="s">
        <v>63</v>
      </c>
      <c r="C11" s="9"/>
      <c r="D11" s="9"/>
      <c r="E11" s="9"/>
    </row>
    <row r="12" spans="2:5" x14ac:dyDescent="0.25">
      <c r="B12" s="7" t="s">
        <v>64</v>
      </c>
      <c r="C12" s="9"/>
      <c r="D12" s="9"/>
      <c r="E12" s="9"/>
    </row>
    <row r="13" spans="2:5" x14ac:dyDescent="0.25">
      <c r="B13" s="7" t="s">
        <v>65</v>
      </c>
      <c r="C13" s="10"/>
      <c r="D13" s="10"/>
      <c r="E13" s="10"/>
    </row>
    <row r="14" spans="2:5" x14ac:dyDescent="0.25">
      <c r="B14" s="7" t="s">
        <v>66</v>
      </c>
      <c r="C14" s="10"/>
      <c r="D14" s="10"/>
      <c r="E14" s="10"/>
    </row>
    <row r="15" ht="27" customHeight="1" spans="2:9" x14ac:dyDescent="0.25">
      <c r="B15" s="7" t="s">
        <v>67</v>
      </c>
      <c r="C15" s="8"/>
      <c r="D15" s="8"/>
      <c r="E15" s="8"/>
      <c r="F15" s="8"/>
      <c r="G15" s="8"/>
      <c r="H15" s="8"/>
      <c r="I15" s="8"/>
    </row>
    <row r="16" spans="2:5" x14ac:dyDescent="0.25">
      <c r="B16" s="7" t="s">
        <v>68</v>
      </c>
      <c r="C16" s="11"/>
      <c r="D16" s="11"/>
      <c r="E16" s="11"/>
    </row>
    <row r="17" ht="27" customHeight="1" spans="2:9" x14ac:dyDescent="0.25">
      <c r="B17" s="7" t="s">
        <v>69</v>
      </c>
      <c r="C17" s="8"/>
      <c r="D17" s="8"/>
      <c r="E17" s="8"/>
      <c r="F17" s="8"/>
      <c r="G17" s="8"/>
      <c r="H17" s="8"/>
      <c r="I17" s="8"/>
    </row>
    <row r="19" ht="18" customHeight="1" spans="2:10" x14ac:dyDescent="0.25">
      <c r="B19" s="5" t="s">
        <v>70</v>
      </c>
      <c r="C19" s="6"/>
      <c r="D19" s="6"/>
      <c r="E19" s="6"/>
      <c r="F19" s="6"/>
      <c r="G19" s="6"/>
      <c r="H19" s="6"/>
      <c r="I19" s="6"/>
      <c r="J19" s="6"/>
    </row>
    <row r="20" hidden="1" spans="2:9" x14ac:dyDescent="0.25">
      <c r="B20" t="s">
        <v>71</v>
      </c>
      <c r="C20" t="s">
        <v>0</v>
      </c>
      <c r="D20" t="s">
        <v>72</v>
      </c>
      <c r="E20" t="s">
        <v>73</v>
      </c>
      <c r="F20" t="s">
        <v>74</v>
      </c>
      <c r="G20" t="s">
        <v>1</v>
      </c>
      <c r="H20" t="s">
        <v>75</v>
      </c>
      <c r="I20" t="s">
        <v>76</v>
      </c>
    </row>
    <row r="21" ht="30" customHeight="1" spans="2:10" x14ac:dyDescent="0.25">
      <c r="B21" s="12" t="s">
        <v>77</v>
      </c>
      <c r="C21" s="12" t="s">
        <v>78</v>
      </c>
      <c r="D21" s="13" t="s">
        <v>79</v>
      </c>
      <c r="E21" s="13" t="s">
        <v>80</v>
      </c>
      <c r="F21" s="12" t="s">
        <v>81</v>
      </c>
      <c r="G21" s="12" t="s">
        <v>82</v>
      </c>
      <c r="H21" s="12" t="s">
        <v>83</v>
      </c>
      <c r="I21" s="12" t="s">
        <v>84</v>
      </c>
      <c r="J21" s="13" t="s">
        <v>85</v>
      </c>
    </row>
    <row r="22" ht="15" customHeight="1" spans="2:25" x14ac:dyDescent="0.25">
      <c r="B22" s="8"/>
      <c r="C22" s="10"/>
      <c r="D22" s="11"/>
      <c r="E22" s="11"/>
      <c r="F22" s="10"/>
      <c r="G22" s="10"/>
      <c r="H22" s="10"/>
      <c r="I22" s="14"/>
      <c r="J22" s="15">
        <f>IF(L22=1,M22-N22,"")</f>
      </c>
      <c r="L22">
        <f>IF(AND(OR(C22="Property",C22="Shares and unit trusts",C22="Other investment",C22="Business interest"),NOT(OR(G22="Spouse",AND(G22="Estate (residue)",'Inputs'!$C$14="Spouse")))),1,0)</f>
      </c>
      <c r="M22">
        <f>IF(L22=1,N(D22)-N(E22),0)</f>
      </c>
      <c r="N22">
        <f>IF(AND(L22=1,F22="Yes",M22&gt;0),MIN(M22,'Inputs'!$C$121),0)</f>
      </c>
      <c r="O22">
        <f>IF(OR(C22="Cash and deposits",H22="Yes"),N(D22),0)</f>
      </c>
      <c r="P22">
        <f>IF(C22="Property",ROUND('Inputs'!$C$113/100*N(D22),2),0)</f>
      </c>
      <c r="Q22">
        <f>IF(AND(C22="Property",H22="Yes"),ROUND('Inputs'!$C$114/100*(1+'Inputs'!$C$109/100)*N(D22),2),0)</f>
      </c>
      <c r="R22">
        <f>IF(G22="Spouse",N(D22),0)</f>
      </c>
      <c r="S22">
        <f>IF(G22="Named heir",N(D22),0)</f>
      </c>
      <c r="T22">
        <f>IF(AND(L22=1,N(D22)&gt;0,E22=""),1,0)</f>
      </c>
      <c r="U22">
        <f>ROUND('Workings'!$C$37*S22,2)</f>
      </c>
      <c r="V22">
        <f>ROUND('Workings'!$D$37*S22,2)</f>
      </c>
      <c r="W22">
        <f>IF(AND(B22="",N(D22)=0),0,IF(OR(C22="",G22=""),1,0))</f>
      </c>
      <c r="X22">
        <f>IF(S22&gt;0,COUNTIF(S$22:S22,"&gt;0"),0)</f>
      </c>
      <c r="Y22">
        <f>IF(AND(G22="Estate (residue)",H22&lt;&gt;"Yes",OR(C22="Shares and unit trusts",C22="Other investment",C22="Tax-free investment")),N(D22),0)</f>
      </c>
    </row>
    <row r="23" ht="15" customHeight="1" spans="2:25" x14ac:dyDescent="0.25">
      <c r="B23" s="8"/>
      <c r="C23" s="10"/>
      <c r="D23" s="11"/>
      <c r="E23" s="11"/>
      <c r="F23" s="10"/>
      <c r="G23" s="10"/>
      <c r="H23" s="10"/>
      <c r="I23" s="14"/>
      <c r="J23" s="15">
        <f>IF(L23=1,M23-N23,"")</f>
      </c>
      <c r="L23">
        <f>IF(AND(OR(C23="Property",C23="Shares and unit trusts",C23="Other investment",C23="Business interest"),NOT(OR(G23="Spouse",AND(G23="Estate (residue)",'Inputs'!$C$14="Spouse")))),1,0)</f>
      </c>
      <c r="M23">
        <f>IF(L23=1,N(D23)-N(E23),0)</f>
      </c>
      <c r="N23">
        <f>IF(AND(L23=1,F23="Yes",M23&gt;0),MIN(M23,'Inputs'!$C$121),0)</f>
      </c>
      <c r="O23">
        <f>IF(OR(C23="Cash and deposits",H23="Yes"),N(D23),0)</f>
      </c>
      <c r="P23">
        <f>IF(C23="Property",ROUND('Inputs'!$C$113/100*N(D23),2),0)</f>
      </c>
      <c r="Q23">
        <f>IF(AND(C23="Property",H23="Yes"),ROUND('Inputs'!$C$114/100*(1+'Inputs'!$C$109/100)*N(D23),2),0)</f>
      </c>
      <c r="R23">
        <f>IF(G23="Spouse",N(D23),0)</f>
      </c>
      <c r="S23">
        <f>IF(G23="Named heir",N(D23),0)</f>
      </c>
      <c r="T23">
        <f>IF(AND(L23=1,N(D23)&gt;0,E23=""),1,0)</f>
      </c>
      <c r="U23">
        <f>ROUND('Workings'!$C$37*S23,2)</f>
      </c>
      <c r="V23">
        <f>ROUND('Workings'!$D$37*S23,2)</f>
      </c>
      <c r="W23">
        <f>IF(AND(B23="",N(D23)=0),0,IF(OR(C23="",G23=""),1,0))</f>
      </c>
      <c r="X23">
        <f>IF(S23&gt;0,COUNTIF(S$22:S23,"&gt;0"),0)</f>
      </c>
      <c r="Y23">
        <f>IF(AND(G23="Estate (residue)",H23&lt;&gt;"Yes",OR(C23="Shares and unit trusts",C23="Other investment",C23="Tax-free investment")),N(D23),0)</f>
      </c>
    </row>
    <row r="24" ht="15" customHeight="1" spans="2:25" x14ac:dyDescent="0.25">
      <c r="B24" s="8"/>
      <c r="C24" s="10"/>
      <c r="D24" s="11"/>
      <c r="E24" s="11"/>
      <c r="F24" s="10"/>
      <c r="G24" s="10"/>
      <c r="H24" s="10"/>
      <c r="I24" s="14"/>
      <c r="J24" s="15">
        <f>IF(L24=1,M24-N24,"")</f>
      </c>
      <c r="L24">
        <f>IF(AND(OR(C24="Property",C24="Shares and unit trusts",C24="Other investment",C24="Business interest"),NOT(OR(G24="Spouse",AND(G24="Estate (residue)",'Inputs'!$C$14="Spouse")))),1,0)</f>
      </c>
      <c r="M24">
        <f>IF(L24=1,N(D24)-N(E24),0)</f>
      </c>
      <c r="N24">
        <f>IF(AND(L24=1,F24="Yes",M24&gt;0),MIN(M24,'Inputs'!$C$121),0)</f>
      </c>
      <c r="O24">
        <f>IF(OR(C24="Cash and deposits",H24="Yes"),N(D24),0)</f>
      </c>
      <c r="P24">
        <f>IF(C24="Property",ROUND('Inputs'!$C$113/100*N(D24),2),0)</f>
      </c>
      <c r="Q24">
        <f>IF(AND(C24="Property",H24="Yes"),ROUND('Inputs'!$C$114/100*(1+'Inputs'!$C$109/100)*N(D24),2),0)</f>
      </c>
      <c r="R24">
        <f>IF(G24="Spouse",N(D24),0)</f>
      </c>
      <c r="S24">
        <f>IF(G24="Named heir",N(D24),0)</f>
      </c>
      <c r="T24">
        <f>IF(AND(L24=1,N(D24)&gt;0,E24=""),1,0)</f>
      </c>
      <c r="U24">
        <f>ROUND('Workings'!$C$37*S24,2)</f>
      </c>
      <c r="V24">
        <f>ROUND('Workings'!$D$37*S24,2)</f>
      </c>
      <c r="W24">
        <f>IF(AND(B24="",N(D24)=0),0,IF(OR(C24="",G24=""),1,0))</f>
      </c>
      <c r="X24">
        <f>IF(S24&gt;0,COUNTIF(S$22:S24,"&gt;0"),0)</f>
      </c>
      <c r="Y24">
        <f>IF(AND(G24="Estate (residue)",H24&lt;&gt;"Yes",OR(C24="Shares and unit trusts",C24="Other investment",C24="Tax-free investment")),N(D24),0)</f>
      </c>
    </row>
    <row r="25" ht="15" customHeight="1" spans="2:25" x14ac:dyDescent="0.25">
      <c r="B25" s="8"/>
      <c r="C25" s="10"/>
      <c r="D25" s="11"/>
      <c r="E25" s="11"/>
      <c r="F25" s="10"/>
      <c r="G25" s="10"/>
      <c r="H25" s="10"/>
      <c r="I25" s="14"/>
      <c r="J25" s="15">
        <f>IF(L25=1,M25-N25,"")</f>
      </c>
      <c r="L25">
        <f>IF(AND(OR(C25="Property",C25="Shares and unit trusts",C25="Other investment",C25="Business interest"),NOT(OR(G25="Spouse",AND(G25="Estate (residue)",'Inputs'!$C$14="Spouse")))),1,0)</f>
      </c>
      <c r="M25">
        <f>IF(L25=1,N(D25)-N(E25),0)</f>
      </c>
      <c r="N25">
        <f>IF(AND(L25=1,F25="Yes",M25&gt;0),MIN(M25,'Inputs'!$C$121),0)</f>
      </c>
      <c r="O25">
        <f>IF(OR(C25="Cash and deposits",H25="Yes"),N(D25),0)</f>
      </c>
      <c r="P25">
        <f>IF(C25="Property",ROUND('Inputs'!$C$113/100*N(D25),2),0)</f>
      </c>
      <c r="Q25">
        <f>IF(AND(C25="Property",H25="Yes"),ROUND('Inputs'!$C$114/100*(1+'Inputs'!$C$109/100)*N(D25),2),0)</f>
      </c>
      <c r="R25">
        <f>IF(G25="Spouse",N(D25),0)</f>
      </c>
      <c r="S25">
        <f>IF(G25="Named heir",N(D25),0)</f>
      </c>
      <c r="T25">
        <f>IF(AND(L25=1,N(D25)&gt;0,E25=""),1,0)</f>
      </c>
      <c r="U25">
        <f>ROUND('Workings'!$C$37*S25,2)</f>
      </c>
      <c r="V25">
        <f>ROUND('Workings'!$D$37*S25,2)</f>
      </c>
      <c r="W25">
        <f>IF(AND(B25="",N(D25)=0),0,IF(OR(C25="",G25=""),1,0))</f>
      </c>
      <c r="X25">
        <f>IF(S25&gt;0,COUNTIF(S$22:S25,"&gt;0"),0)</f>
      </c>
      <c r="Y25">
        <f>IF(AND(G25="Estate (residue)",H25&lt;&gt;"Yes",OR(C25="Shares and unit trusts",C25="Other investment",C25="Tax-free investment")),N(D25),0)</f>
      </c>
    </row>
    <row r="26" ht="15" customHeight="1" spans="2:25" x14ac:dyDescent="0.25">
      <c r="B26" s="8"/>
      <c r="C26" s="10"/>
      <c r="D26" s="11"/>
      <c r="E26" s="11"/>
      <c r="F26" s="10"/>
      <c r="G26" s="10"/>
      <c r="H26" s="10"/>
      <c r="I26" s="14"/>
      <c r="J26" s="15">
        <f>IF(L26=1,M26-N26,"")</f>
      </c>
      <c r="L26">
        <f>IF(AND(OR(C26="Property",C26="Shares and unit trusts",C26="Other investment",C26="Business interest"),NOT(OR(G26="Spouse",AND(G26="Estate (residue)",'Inputs'!$C$14="Spouse")))),1,0)</f>
      </c>
      <c r="M26">
        <f>IF(L26=1,N(D26)-N(E26),0)</f>
      </c>
      <c r="N26">
        <f>IF(AND(L26=1,F26="Yes",M26&gt;0),MIN(M26,'Inputs'!$C$121),0)</f>
      </c>
      <c r="O26">
        <f>IF(OR(C26="Cash and deposits",H26="Yes"),N(D26),0)</f>
      </c>
      <c r="P26">
        <f>IF(C26="Property",ROUND('Inputs'!$C$113/100*N(D26),2),0)</f>
      </c>
      <c r="Q26">
        <f>IF(AND(C26="Property",H26="Yes"),ROUND('Inputs'!$C$114/100*(1+'Inputs'!$C$109/100)*N(D26),2),0)</f>
      </c>
      <c r="R26">
        <f>IF(G26="Spouse",N(D26),0)</f>
      </c>
      <c r="S26">
        <f>IF(G26="Named heir",N(D26),0)</f>
      </c>
      <c r="T26">
        <f>IF(AND(L26=1,N(D26)&gt;0,E26=""),1,0)</f>
      </c>
      <c r="U26">
        <f>ROUND('Workings'!$C$37*S26,2)</f>
      </c>
      <c r="V26">
        <f>ROUND('Workings'!$D$37*S26,2)</f>
      </c>
      <c r="W26">
        <f>IF(AND(B26="",N(D26)=0),0,IF(OR(C26="",G26=""),1,0))</f>
      </c>
      <c r="X26">
        <f>IF(S26&gt;0,COUNTIF(S$22:S26,"&gt;0"),0)</f>
      </c>
      <c r="Y26">
        <f>IF(AND(G26="Estate (residue)",H26&lt;&gt;"Yes",OR(C26="Shares and unit trusts",C26="Other investment",C26="Tax-free investment")),N(D26),0)</f>
      </c>
    </row>
    <row r="27" ht="15" customHeight="1" spans="2:25" x14ac:dyDescent="0.25">
      <c r="B27" s="8"/>
      <c r="C27" s="10"/>
      <c r="D27" s="11"/>
      <c r="E27" s="11"/>
      <c r="F27" s="10"/>
      <c r="G27" s="10"/>
      <c r="H27" s="10"/>
      <c r="I27" s="14"/>
      <c r="J27" s="15">
        <f>IF(L27=1,M27-N27,"")</f>
      </c>
      <c r="L27">
        <f>IF(AND(OR(C27="Property",C27="Shares and unit trusts",C27="Other investment",C27="Business interest"),NOT(OR(G27="Spouse",AND(G27="Estate (residue)",'Inputs'!$C$14="Spouse")))),1,0)</f>
      </c>
      <c r="M27">
        <f>IF(L27=1,N(D27)-N(E27),0)</f>
      </c>
      <c r="N27">
        <f>IF(AND(L27=1,F27="Yes",M27&gt;0),MIN(M27,'Inputs'!$C$121),0)</f>
      </c>
      <c r="O27">
        <f>IF(OR(C27="Cash and deposits",H27="Yes"),N(D27),0)</f>
      </c>
      <c r="P27">
        <f>IF(C27="Property",ROUND('Inputs'!$C$113/100*N(D27),2),0)</f>
      </c>
      <c r="Q27">
        <f>IF(AND(C27="Property",H27="Yes"),ROUND('Inputs'!$C$114/100*(1+'Inputs'!$C$109/100)*N(D27),2),0)</f>
      </c>
      <c r="R27">
        <f>IF(G27="Spouse",N(D27),0)</f>
      </c>
      <c r="S27">
        <f>IF(G27="Named heir",N(D27),0)</f>
      </c>
      <c r="T27">
        <f>IF(AND(L27=1,N(D27)&gt;0,E27=""),1,0)</f>
      </c>
      <c r="U27">
        <f>ROUND('Workings'!$C$37*S27,2)</f>
      </c>
      <c r="V27">
        <f>ROUND('Workings'!$D$37*S27,2)</f>
      </c>
      <c r="W27">
        <f>IF(AND(B27="",N(D27)=0),0,IF(OR(C27="",G27=""),1,0))</f>
      </c>
      <c r="X27">
        <f>IF(S27&gt;0,COUNTIF(S$22:S27,"&gt;0"),0)</f>
      </c>
      <c r="Y27">
        <f>IF(AND(G27="Estate (residue)",H27&lt;&gt;"Yes",OR(C27="Shares and unit trusts",C27="Other investment",C27="Tax-free investment")),N(D27),0)</f>
      </c>
    </row>
    <row r="28" ht="15" customHeight="1" spans="2:25" x14ac:dyDescent="0.25">
      <c r="B28" s="8"/>
      <c r="C28" s="10"/>
      <c r="D28" s="11"/>
      <c r="E28" s="11"/>
      <c r="F28" s="10"/>
      <c r="G28" s="10"/>
      <c r="H28" s="10"/>
      <c r="I28" s="14"/>
      <c r="J28" s="15">
        <f>IF(L28=1,M28-N28,"")</f>
      </c>
      <c r="L28">
        <f>IF(AND(OR(C28="Property",C28="Shares and unit trusts",C28="Other investment",C28="Business interest"),NOT(OR(G28="Spouse",AND(G28="Estate (residue)",'Inputs'!$C$14="Spouse")))),1,0)</f>
      </c>
      <c r="M28">
        <f>IF(L28=1,N(D28)-N(E28),0)</f>
      </c>
      <c r="N28">
        <f>IF(AND(L28=1,F28="Yes",M28&gt;0),MIN(M28,'Inputs'!$C$121),0)</f>
      </c>
      <c r="O28">
        <f>IF(OR(C28="Cash and deposits",H28="Yes"),N(D28),0)</f>
      </c>
      <c r="P28">
        <f>IF(C28="Property",ROUND('Inputs'!$C$113/100*N(D28),2),0)</f>
      </c>
      <c r="Q28">
        <f>IF(AND(C28="Property",H28="Yes"),ROUND('Inputs'!$C$114/100*(1+'Inputs'!$C$109/100)*N(D28),2),0)</f>
      </c>
      <c r="R28">
        <f>IF(G28="Spouse",N(D28),0)</f>
      </c>
      <c r="S28">
        <f>IF(G28="Named heir",N(D28),0)</f>
      </c>
      <c r="T28">
        <f>IF(AND(L28=1,N(D28)&gt;0,E28=""),1,0)</f>
      </c>
      <c r="U28">
        <f>ROUND('Workings'!$C$37*S28,2)</f>
      </c>
      <c r="V28">
        <f>ROUND('Workings'!$D$37*S28,2)</f>
      </c>
      <c r="W28">
        <f>IF(AND(B28="",N(D28)=0),0,IF(OR(C28="",G28=""),1,0))</f>
      </c>
      <c r="X28">
        <f>IF(S28&gt;0,COUNTIF(S$22:S28,"&gt;0"),0)</f>
      </c>
      <c r="Y28">
        <f>IF(AND(G28="Estate (residue)",H28&lt;&gt;"Yes",OR(C28="Shares and unit trusts",C28="Other investment",C28="Tax-free investment")),N(D28),0)</f>
      </c>
    </row>
    <row r="29" ht="15" customHeight="1" spans="2:25" x14ac:dyDescent="0.25">
      <c r="B29" s="8"/>
      <c r="C29" s="10"/>
      <c r="D29" s="11"/>
      <c r="E29" s="11"/>
      <c r="F29" s="10"/>
      <c r="G29" s="10"/>
      <c r="H29" s="10"/>
      <c r="I29" s="14"/>
      <c r="J29" s="15">
        <f>IF(L29=1,M29-N29,"")</f>
      </c>
      <c r="L29">
        <f>IF(AND(OR(C29="Property",C29="Shares and unit trusts",C29="Other investment",C29="Business interest"),NOT(OR(G29="Spouse",AND(G29="Estate (residue)",'Inputs'!$C$14="Spouse")))),1,0)</f>
      </c>
      <c r="M29">
        <f>IF(L29=1,N(D29)-N(E29),0)</f>
      </c>
      <c r="N29">
        <f>IF(AND(L29=1,F29="Yes",M29&gt;0),MIN(M29,'Inputs'!$C$121),0)</f>
      </c>
      <c r="O29">
        <f>IF(OR(C29="Cash and deposits",H29="Yes"),N(D29),0)</f>
      </c>
      <c r="P29">
        <f>IF(C29="Property",ROUND('Inputs'!$C$113/100*N(D29),2),0)</f>
      </c>
      <c r="Q29">
        <f>IF(AND(C29="Property",H29="Yes"),ROUND('Inputs'!$C$114/100*(1+'Inputs'!$C$109/100)*N(D29),2),0)</f>
      </c>
      <c r="R29">
        <f>IF(G29="Spouse",N(D29),0)</f>
      </c>
      <c r="S29">
        <f>IF(G29="Named heir",N(D29),0)</f>
      </c>
      <c r="T29">
        <f>IF(AND(L29=1,N(D29)&gt;0,E29=""),1,0)</f>
      </c>
      <c r="U29">
        <f>ROUND('Workings'!$C$37*S29,2)</f>
      </c>
      <c r="V29">
        <f>ROUND('Workings'!$D$37*S29,2)</f>
      </c>
      <c r="W29">
        <f>IF(AND(B29="",N(D29)=0),0,IF(OR(C29="",G29=""),1,0))</f>
      </c>
      <c r="X29">
        <f>IF(S29&gt;0,COUNTIF(S$22:S29,"&gt;0"),0)</f>
      </c>
      <c r="Y29">
        <f>IF(AND(G29="Estate (residue)",H29&lt;&gt;"Yes",OR(C29="Shares and unit trusts",C29="Other investment",C29="Tax-free investment")),N(D29),0)</f>
      </c>
    </row>
    <row r="30" ht="15" customHeight="1" spans="2:25" x14ac:dyDescent="0.25">
      <c r="B30" s="8"/>
      <c r="C30" s="10"/>
      <c r="D30" s="11"/>
      <c r="E30" s="11"/>
      <c r="F30" s="10"/>
      <c r="G30" s="10"/>
      <c r="H30" s="10"/>
      <c r="I30" s="14"/>
      <c r="J30" s="15">
        <f>IF(L30=1,M30-N30,"")</f>
      </c>
      <c r="L30">
        <f>IF(AND(OR(C30="Property",C30="Shares and unit trusts",C30="Other investment",C30="Business interest"),NOT(OR(G30="Spouse",AND(G30="Estate (residue)",'Inputs'!$C$14="Spouse")))),1,0)</f>
      </c>
      <c r="M30">
        <f>IF(L30=1,N(D30)-N(E30),0)</f>
      </c>
      <c r="N30">
        <f>IF(AND(L30=1,F30="Yes",M30&gt;0),MIN(M30,'Inputs'!$C$121),0)</f>
      </c>
      <c r="O30">
        <f>IF(OR(C30="Cash and deposits",H30="Yes"),N(D30),0)</f>
      </c>
      <c r="P30">
        <f>IF(C30="Property",ROUND('Inputs'!$C$113/100*N(D30),2),0)</f>
      </c>
      <c r="Q30">
        <f>IF(AND(C30="Property",H30="Yes"),ROUND('Inputs'!$C$114/100*(1+'Inputs'!$C$109/100)*N(D30),2),0)</f>
      </c>
      <c r="R30">
        <f>IF(G30="Spouse",N(D30),0)</f>
      </c>
      <c r="S30">
        <f>IF(G30="Named heir",N(D30),0)</f>
      </c>
      <c r="T30">
        <f>IF(AND(L30=1,N(D30)&gt;0,E30=""),1,0)</f>
      </c>
      <c r="U30">
        <f>ROUND('Workings'!$C$37*S30,2)</f>
      </c>
      <c r="V30">
        <f>ROUND('Workings'!$D$37*S30,2)</f>
      </c>
      <c r="W30">
        <f>IF(AND(B30="",N(D30)=0),0,IF(OR(C30="",G30=""),1,0))</f>
      </c>
      <c r="X30">
        <f>IF(S30&gt;0,COUNTIF(S$22:S30,"&gt;0"),0)</f>
      </c>
      <c r="Y30">
        <f>IF(AND(G30="Estate (residue)",H30&lt;&gt;"Yes",OR(C30="Shares and unit trusts",C30="Other investment",C30="Tax-free investment")),N(D30),0)</f>
      </c>
    </row>
    <row r="31" ht="15" customHeight="1" spans="2:25" x14ac:dyDescent="0.25">
      <c r="B31" s="8"/>
      <c r="C31" s="10"/>
      <c r="D31" s="11"/>
      <c r="E31" s="11"/>
      <c r="F31" s="10"/>
      <c r="G31" s="10"/>
      <c r="H31" s="10"/>
      <c r="I31" s="14"/>
      <c r="J31" s="15">
        <f>IF(L31=1,M31-N31,"")</f>
      </c>
      <c r="L31">
        <f>IF(AND(OR(C31="Property",C31="Shares and unit trusts",C31="Other investment",C31="Business interest"),NOT(OR(G31="Spouse",AND(G31="Estate (residue)",'Inputs'!$C$14="Spouse")))),1,0)</f>
      </c>
      <c r="M31">
        <f>IF(L31=1,N(D31)-N(E31),0)</f>
      </c>
      <c r="N31">
        <f>IF(AND(L31=1,F31="Yes",M31&gt;0),MIN(M31,'Inputs'!$C$121),0)</f>
      </c>
      <c r="O31">
        <f>IF(OR(C31="Cash and deposits",H31="Yes"),N(D31),0)</f>
      </c>
      <c r="P31">
        <f>IF(C31="Property",ROUND('Inputs'!$C$113/100*N(D31),2),0)</f>
      </c>
      <c r="Q31">
        <f>IF(AND(C31="Property",H31="Yes"),ROUND('Inputs'!$C$114/100*(1+'Inputs'!$C$109/100)*N(D31),2),0)</f>
      </c>
      <c r="R31">
        <f>IF(G31="Spouse",N(D31),0)</f>
      </c>
      <c r="S31">
        <f>IF(G31="Named heir",N(D31),0)</f>
      </c>
      <c r="T31">
        <f>IF(AND(L31=1,N(D31)&gt;0,E31=""),1,0)</f>
      </c>
      <c r="U31">
        <f>ROUND('Workings'!$C$37*S31,2)</f>
      </c>
      <c r="V31">
        <f>ROUND('Workings'!$D$37*S31,2)</f>
      </c>
      <c r="W31">
        <f>IF(AND(B31="",N(D31)=0),0,IF(OR(C31="",G31=""),1,0))</f>
      </c>
      <c r="X31">
        <f>IF(S31&gt;0,COUNTIF(S$22:S31,"&gt;0"),0)</f>
      </c>
      <c r="Y31">
        <f>IF(AND(G31="Estate (residue)",H31&lt;&gt;"Yes",OR(C31="Shares and unit trusts",C31="Other investment",C31="Tax-free investment")),N(D31),0)</f>
      </c>
    </row>
    <row r="32" ht="15" customHeight="1" spans="2:25" x14ac:dyDescent="0.25">
      <c r="B32" s="8"/>
      <c r="C32" s="10"/>
      <c r="D32" s="11"/>
      <c r="E32" s="11"/>
      <c r="F32" s="10"/>
      <c r="G32" s="10"/>
      <c r="H32" s="10"/>
      <c r="I32" s="14"/>
      <c r="J32" s="15">
        <f>IF(L32=1,M32-N32,"")</f>
      </c>
      <c r="L32">
        <f>IF(AND(OR(C32="Property",C32="Shares and unit trusts",C32="Other investment",C32="Business interest"),NOT(OR(G32="Spouse",AND(G32="Estate (residue)",'Inputs'!$C$14="Spouse")))),1,0)</f>
      </c>
      <c r="M32">
        <f>IF(L32=1,N(D32)-N(E32),0)</f>
      </c>
      <c r="N32">
        <f>IF(AND(L32=1,F32="Yes",M32&gt;0),MIN(M32,'Inputs'!$C$121),0)</f>
      </c>
      <c r="O32">
        <f>IF(OR(C32="Cash and deposits",H32="Yes"),N(D32),0)</f>
      </c>
      <c r="P32">
        <f>IF(C32="Property",ROUND('Inputs'!$C$113/100*N(D32),2),0)</f>
      </c>
      <c r="Q32">
        <f>IF(AND(C32="Property",H32="Yes"),ROUND('Inputs'!$C$114/100*(1+'Inputs'!$C$109/100)*N(D32),2),0)</f>
      </c>
      <c r="R32">
        <f>IF(G32="Spouse",N(D32),0)</f>
      </c>
      <c r="S32">
        <f>IF(G32="Named heir",N(D32),0)</f>
      </c>
      <c r="T32">
        <f>IF(AND(L32=1,N(D32)&gt;0,E32=""),1,0)</f>
      </c>
      <c r="U32">
        <f>ROUND('Workings'!$C$37*S32,2)</f>
      </c>
      <c r="V32">
        <f>ROUND('Workings'!$D$37*S32,2)</f>
      </c>
      <c r="W32">
        <f>IF(AND(B32="",N(D32)=0),0,IF(OR(C32="",G32=""),1,0))</f>
      </c>
      <c r="X32">
        <f>IF(S32&gt;0,COUNTIF(S$22:S32,"&gt;0"),0)</f>
      </c>
      <c r="Y32">
        <f>IF(AND(G32="Estate (residue)",H32&lt;&gt;"Yes",OR(C32="Shares and unit trusts",C32="Other investment",C32="Tax-free investment")),N(D32),0)</f>
      </c>
    </row>
    <row r="33" ht="15" customHeight="1" spans="2:25" x14ac:dyDescent="0.25">
      <c r="B33" s="8"/>
      <c r="C33" s="10"/>
      <c r="D33" s="11"/>
      <c r="E33" s="11"/>
      <c r="F33" s="10"/>
      <c r="G33" s="10"/>
      <c r="H33" s="10"/>
      <c r="I33" s="14"/>
      <c r="J33" s="15">
        <f>IF(L33=1,M33-N33,"")</f>
      </c>
      <c r="L33">
        <f>IF(AND(OR(C33="Property",C33="Shares and unit trusts",C33="Other investment",C33="Business interest"),NOT(OR(G33="Spouse",AND(G33="Estate (residue)",'Inputs'!$C$14="Spouse")))),1,0)</f>
      </c>
      <c r="M33">
        <f>IF(L33=1,N(D33)-N(E33),0)</f>
      </c>
      <c r="N33">
        <f>IF(AND(L33=1,F33="Yes",M33&gt;0),MIN(M33,'Inputs'!$C$121),0)</f>
      </c>
      <c r="O33">
        <f>IF(OR(C33="Cash and deposits",H33="Yes"),N(D33),0)</f>
      </c>
      <c r="P33">
        <f>IF(C33="Property",ROUND('Inputs'!$C$113/100*N(D33),2),0)</f>
      </c>
      <c r="Q33">
        <f>IF(AND(C33="Property",H33="Yes"),ROUND('Inputs'!$C$114/100*(1+'Inputs'!$C$109/100)*N(D33),2),0)</f>
      </c>
      <c r="R33">
        <f>IF(G33="Spouse",N(D33),0)</f>
      </c>
      <c r="S33">
        <f>IF(G33="Named heir",N(D33),0)</f>
      </c>
      <c r="T33">
        <f>IF(AND(L33=1,N(D33)&gt;0,E33=""),1,0)</f>
      </c>
      <c r="U33">
        <f>ROUND('Workings'!$C$37*S33,2)</f>
      </c>
      <c r="V33">
        <f>ROUND('Workings'!$D$37*S33,2)</f>
      </c>
      <c r="W33">
        <f>IF(AND(B33="",N(D33)=0),0,IF(OR(C33="",G33=""),1,0))</f>
      </c>
      <c r="X33">
        <f>IF(S33&gt;0,COUNTIF(S$22:S33,"&gt;0"),0)</f>
      </c>
      <c r="Y33">
        <f>IF(AND(G33="Estate (residue)",H33&lt;&gt;"Yes",OR(C33="Shares and unit trusts",C33="Other investment",C33="Tax-free investment")),N(D33),0)</f>
      </c>
    </row>
    <row r="34" ht="15" customHeight="1" spans="2:25" x14ac:dyDescent="0.25">
      <c r="B34" s="8"/>
      <c r="C34" s="10"/>
      <c r="D34" s="11"/>
      <c r="E34" s="11"/>
      <c r="F34" s="10"/>
      <c r="G34" s="10"/>
      <c r="H34" s="10"/>
      <c r="I34" s="14"/>
      <c r="J34" s="15">
        <f>IF(L34=1,M34-N34,"")</f>
      </c>
      <c r="L34">
        <f>IF(AND(OR(C34="Property",C34="Shares and unit trusts",C34="Other investment",C34="Business interest"),NOT(OR(G34="Spouse",AND(G34="Estate (residue)",'Inputs'!$C$14="Spouse")))),1,0)</f>
      </c>
      <c r="M34">
        <f>IF(L34=1,N(D34)-N(E34),0)</f>
      </c>
      <c r="N34">
        <f>IF(AND(L34=1,F34="Yes",M34&gt;0),MIN(M34,'Inputs'!$C$121),0)</f>
      </c>
      <c r="O34">
        <f>IF(OR(C34="Cash and deposits",H34="Yes"),N(D34),0)</f>
      </c>
      <c r="P34">
        <f>IF(C34="Property",ROUND('Inputs'!$C$113/100*N(D34),2),0)</f>
      </c>
      <c r="Q34">
        <f>IF(AND(C34="Property",H34="Yes"),ROUND('Inputs'!$C$114/100*(1+'Inputs'!$C$109/100)*N(D34),2),0)</f>
      </c>
      <c r="R34">
        <f>IF(G34="Spouse",N(D34),0)</f>
      </c>
      <c r="S34">
        <f>IF(G34="Named heir",N(D34),0)</f>
      </c>
      <c r="T34">
        <f>IF(AND(L34=1,N(D34)&gt;0,E34=""),1,0)</f>
      </c>
      <c r="U34">
        <f>ROUND('Workings'!$C$37*S34,2)</f>
      </c>
      <c r="V34">
        <f>ROUND('Workings'!$D$37*S34,2)</f>
      </c>
      <c r="W34">
        <f>IF(AND(B34="",N(D34)=0),0,IF(OR(C34="",G34=""),1,0))</f>
      </c>
      <c r="X34">
        <f>IF(S34&gt;0,COUNTIF(S$22:S34,"&gt;0"),0)</f>
      </c>
      <c r="Y34">
        <f>IF(AND(G34="Estate (residue)",H34&lt;&gt;"Yes",OR(C34="Shares and unit trusts",C34="Other investment",C34="Tax-free investment")),N(D34),0)</f>
      </c>
    </row>
    <row r="35" ht="15" customHeight="1" spans="2:25" x14ac:dyDescent="0.25">
      <c r="B35" s="8"/>
      <c r="C35" s="10"/>
      <c r="D35" s="11"/>
      <c r="E35" s="11"/>
      <c r="F35" s="10"/>
      <c r="G35" s="10"/>
      <c r="H35" s="10"/>
      <c r="I35" s="14"/>
      <c r="J35" s="15">
        <f>IF(L35=1,M35-N35,"")</f>
      </c>
      <c r="L35">
        <f>IF(AND(OR(C35="Property",C35="Shares and unit trusts",C35="Other investment",C35="Business interest"),NOT(OR(G35="Spouse",AND(G35="Estate (residue)",'Inputs'!$C$14="Spouse")))),1,0)</f>
      </c>
      <c r="M35">
        <f>IF(L35=1,N(D35)-N(E35),0)</f>
      </c>
      <c r="N35">
        <f>IF(AND(L35=1,F35="Yes",M35&gt;0),MIN(M35,'Inputs'!$C$121),0)</f>
      </c>
      <c r="O35">
        <f>IF(OR(C35="Cash and deposits",H35="Yes"),N(D35),0)</f>
      </c>
      <c r="P35">
        <f>IF(C35="Property",ROUND('Inputs'!$C$113/100*N(D35),2),0)</f>
      </c>
      <c r="Q35">
        <f>IF(AND(C35="Property",H35="Yes"),ROUND('Inputs'!$C$114/100*(1+'Inputs'!$C$109/100)*N(D35),2),0)</f>
      </c>
      <c r="R35">
        <f>IF(G35="Spouse",N(D35),0)</f>
      </c>
      <c r="S35">
        <f>IF(G35="Named heir",N(D35),0)</f>
      </c>
      <c r="T35">
        <f>IF(AND(L35=1,N(D35)&gt;0,E35=""),1,0)</f>
      </c>
      <c r="U35">
        <f>ROUND('Workings'!$C$37*S35,2)</f>
      </c>
      <c r="V35">
        <f>ROUND('Workings'!$D$37*S35,2)</f>
      </c>
      <c r="W35">
        <f>IF(AND(B35="",N(D35)=0),0,IF(OR(C35="",G35=""),1,0))</f>
      </c>
      <c r="X35">
        <f>IF(S35&gt;0,COUNTIF(S$22:S35,"&gt;0"),0)</f>
      </c>
      <c r="Y35">
        <f>IF(AND(G35="Estate (residue)",H35&lt;&gt;"Yes",OR(C35="Shares and unit trusts",C35="Other investment",C35="Tax-free investment")),N(D35),0)</f>
      </c>
    </row>
    <row r="36" ht="15" customHeight="1" spans="2:25" x14ac:dyDescent="0.25">
      <c r="B36" s="8"/>
      <c r="C36" s="10"/>
      <c r="D36" s="11"/>
      <c r="E36" s="11"/>
      <c r="F36" s="10"/>
      <c r="G36" s="10"/>
      <c r="H36" s="10"/>
      <c r="I36" s="14"/>
      <c r="J36" s="15">
        <f>IF(L36=1,M36-N36,"")</f>
      </c>
      <c r="L36">
        <f>IF(AND(OR(C36="Property",C36="Shares and unit trusts",C36="Other investment",C36="Business interest"),NOT(OR(G36="Spouse",AND(G36="Estate (residue)",'Inputs'!$C$14="Spouse")))),1,0)</f>
      </c>
      <c r="M36">
        <f>IF(L36=1,N(D36)-N(E36),0)</f>
      </c>
      <c r="N36">
        <f>IF(AND(L36=1,F36="Yes",M36&gt;0),MIN(M36,'Inputs'!$C$121),0)</f>
      </c>
      <c r="O36">
        <f>IF(OR(C36="Cash and deposits",H36="Yes"),N(D36),0)</f>
      </c>
      <c r="P36">
        <f>IF(C36="Property",ROUND('Inputs'!$C$113/100*N(D36),2),0)</f>
      </c>
      <c r="Q36">
        <f>IF(AND(C36="Property",H36="Yes"),ROUND('Inputs'!$C$114/100*(1+'Inputs'!$C$109/100)*N(D36),2),0)</f>
      </c>
      <c r="R36">
        <f>IF(G36="Spouse",N(D36),0)</f>
      </c>
      <c r="S36">
        <f>IF(G36="Named heir",N(D36),0)</f>
      </c>
      <c r="T36">
        <f>IF(AND(L36=1,N(D36)&gt;0,E36=""),1,0)</f>
      </c>
      <c r="U36">
        <f>ROUND('Workings'!$C$37*S36,2)</f>
      </c>
      <c r="V36">
        <f>ROUND('Workings'!$D$37*S36,2)</f>
      </c>
      <c r="W36">
        <f>IF(AND(B36="",N(D36)=0),0,IF(OR(C36="",G36=""),1,0))</f>
      </c>
      <c r="X36">
        <f>IF(S36&gt;0,COUNTIF(S$22:S36,"&gt;0"),0)</f>
      </c>
      <c r="Y36">
        <f>IF(AND(G36="Estate (residue)",H36&lt;&gt;"Yes",OR(C36="Shares and unit trusts",C36="Other investment",C36="Tax-free investment")),N(D36),0)</f>
      </c>
    </row>
    <row r="37" ht="15" customHeight="1" spans="2:25" x14ac:dyDescent="0.25">
      <c r="B37" s="8"/>
      <c r="C37" s="10"/>
      <c r="D37" s="11"/>
      <c r="E37" s="11"/>
      <c r="F37" s="10"/>
      <c r="G37" s="10"/>
      <c r="H37" s="10"/>
      <c r="I37" s="14"/>
      <c r="J37" s="15">
        <f>IF(L37=1,M37-N37,"")</f>
      </c>
      <c r="L37">
        <f>IF(AND(OR(C37="Property",C37="Shares and unit trusts",C37="Other investment",C37="Business interest"),NOT(OR(G37="Spouse",AND(G37="Estate (residue)",'Inputs'!$C$14="Spouse")))),1,0)</f>
      </c>
      <c r="M37">
        <f>IF(L37=1,N(D37)-N(E37),0)</f>
      </c>
      <c r="N37">
        <f>IF(AND(L37=1,F37="Yes",M37&gt;0),MIN(M37,'Inputs'!$C$121),0)</f>
      </c>
      <c r="O37">
        <f>IF(OR(C37="Cash and deposits",H37="Yes"),N(D37),0)</f>
      </c>
      <c r="P37">
        <f>IF(C37="Property",ROUND('Inputs'!$C$113/100*N(D37),2),0)</f>
      </c>
      <c r="Q37">
        <f>IF(AND(C37="Property",H37="Yes"),ROUND('Inputs'!$C$114/100*(1+'Inputs'!$C$109/100)*N(D37),2),0)</f>
      </c>
      <c r="R37">
        <f>IF(G37="Spouse",N(D37),0)</f>
      </c>
      <c r="S37">
        <f>IF(G37="Named heir",N(D37),0)</f>
      </c>
      <c r="T37">
        <f>IF(AND(L37=1,N(D37)&gt;0,E37=""),1,0)</f>
      </c>
      <c r="U37">
        <f>ROUND('Workings'!$C$37*S37,2)</f>
      </c>
      <c r="V37">
        <f>ROUND('Workings'!$D$37*S37,2)</f>
      </c>
      <c r="W37">
        <f>IF(AND(B37="",N(D37)=0),0,IF(OR(C37="",G37=""),1,0))</f>
      </c>
      <c r="X37">
        <f>IF(S37&gt;0,COUNTIF(S$22:S37,"&gt;0"),0)</f>
      </c>
      <c r="Y37">
        <f>IF(AND(G37="Estate (residue)",H37&lt;&gt;"Yes",OR(C37="Shares and unit trusts",C37="Other investment",C37="Tax-free investment")),N(D37),0)</f>
      </c>
    </row>
    <row r="38" ht="15" customHeight="1" spans="2:25" x14ac:dyDescent="0.25">
      <c r="B38" s="8"/>
      <c r="C38" s="10"/>
      <c r="D38" s="11"/>
      <c r="E38" s="11"/>
      <c r="F38" s="10"/>
      <c r="G38" s="10"/>
      <c r="H38" s="10"/>
      <c r="I38" s="14"/>
      <c r="J38" s="15">
        <f>IF(L38=1,M38-N38,"")</f>
      </c>
      <c r="L38">
        <f>IF(AND(OR(C38="Property",C38="Shares and unit trusts",C38="Other investment",C38="Business interest"),NOT(OR(G38="Spouse",AND(G38="Estate (residue)",'Inputs'!$C$14="Spouse")))),1,0)</f>
      </c>
      <c r="M38">
        <f>IF(L38=1,N(D38)-N(E38),0)</f>
      </c>
      <c r="N38">
        <f>IF(AND(L38=1,F38="Yes",M38&gt;0),MIN(M38,'Inputs'!$C$121),0)</f>
      </c>
      <c r="O38">
        <f>IF(OR(C38="Cash and deposits",H38="Yes"),N(D38),0)</f>
      </c>
      <c r="P38">
        <f>IF(C38="Property",ROUND('Inputs'!$C$113/100*N(D38),2),0)</f>
      </c>
      <c r="Q38">
        <f>IF(AND(C38="Property",H38="Yes"),ROUND('Inputs'!$C$114/100*(1+'Inputs'!$C$109/100)*N(D38),2),0)</f>
      </c>
      <c r="R38">
        <f>IF(G38="Spouse",N(D38),0)</f>
      </c>
      <c r="S38">
        <f>IF(G38="Named heir",N(D38),0)</f>
      </c>
      <c r="T38">
        <f>IF(AND(L38=1,N(D38)&gt;0,E38=""),1,0)</f>
      </c>
      <c r="U38">
        <f>ROUND('Workings'!$C$37*S38,2)</f>
      </c>
      <c r="V38">
        <f>ROUND('Workings'!$D$37*S38,2)</f>
      </c>
      <c r="W38">
        <f>IF(AND(B38="",N(D38)=0),0,IF(OR(C38="",G38=""),1,0))</f>
      </c>
      <c r="X38">
        <f>IF(S38&gt;0,COUNTIF(S$22:S38,"&gt;0"),0)</f>
      </c>
      <c r="Y38">
        <f>IF(AND(G38="Estate (residue)",H38&lt;&gt;"Yes",OR(C38="Shares and unit trusts",C38="Other investment",C38="Tax-free investment")),N(D38),0)</f>
      </c>
    </row>
    <row r="39" ht="15" customHeight="1" spans="2:25" x14ac:dyDescent="0.25">
      <c r="B39" s="8"/>
      <c r="C39" s="10"/>
      <c r="D39" s="11"/>
      <c r="E39" s="11"/>
      <c r="F39" s="10"/>
      <c r="G39" s="10"/>
      <c r="H39" s="10"/>
      <c r="I39" s="14"/>
      <c r="J39" s="15">
        <f>IF(L39=1,M39-N39,"")</f>
      </c>
      <c r="L39">
        <f>IF(AND(OR(C39="Property",C39="Shares and unit trusts",C39="Other investment",C39="Business interest"),NOT(OR(G39="Spouse",AND(G39="Estate (residue)",'Inputs'!$C$14="Spouse")))),1,0)</f>
      </c>
      <c r="M39">
        <f>IF(L39=1,N(D39)-N(E39),0)</f>
      </c>
      <c r="N39">
        <f>IF(AND(L39=1,F39="Yes",M39&gt;0),MIN(M39,'Inputs'!$C$121),0)</f>
      </c>
      <c r="O39">
        <f>IF(OR(C39="Cash and deposits",H39="Yes"),N(D39),0)</f>
      </c>
      <c r="P39">
        <f>IF(C39="Property",ROUND('Inputs'!$C$113/100*N(D39),2),0)</f>
      </c>
      <c r="Q39">
        <f>IF(AND(C39="Property",H39="Yes"),ROUND('Inputs'!$C$114/100*(1+'Inputs'!$C$109/100)*N(D39),2),0)</f>
      </c>
      <c r="R39">
        <f>IF(G39="Spouse",N(D39),0)</f>
      </c>
      <c r="S39">
        <f>IF(G39="Named heir",N(D39),0)</f>
      </c>
      <c r="T39">
        <f>IF(AND(L39=1,N(D39)&gt;0,E39=""),1,0)</f>
      </c>
      <c r="U39">
        <f>ROUND('Workings'!$C$37*S39,2)</f>
      </c>
      <c r="V39">
        <f>ROUND('Workings'!$D$37*S39,2)</f>
      </c>
      <c r="W39">
        <f>IF(AND(B39="",N(D39)=0),0,IF(OR(C39="",G39=""),1,0))</f>
      </c>
      <c r="X39">
        <f>IF(S39&gt;0,COUNTIF(S$22:S39,"&gt;0"),0)</f>
      </c>
      <c r="Y39">
        <f>IF(AND(G39="Estate (residue)",H39&lt;&gt;"Yes",OR(C39="Shares and unit trusts",C39="Other investment",C39="Tax-free investment")),N(D39),0)</f>
      </c>
    </row>
    <row r="40" ht="26" customHeight="1" spans="2:10" x14ac:dyDescent="0.25">
      <c r="B40" s="16" t="s">
        <v>86</v>
      </c>
      <c r="C40" s="16"/>
      <c r="D40" s="16"/>
      <c r="E40" s="16"/>
      <c r="F40" s="16"/>
      <c r="G40" s="16"/>
      <c r="H40" s="16"/>
      <c r="I40" s="16"/>
      <c r="J40" s="16"/>
    </row>
    <row r="42" ht="18" customHeight="1" spans="2:10" x14ac:dyDescent="0.25">
      <c r="B42" s="5" t="s">
        <v>87</v>
      </c>
      <c r="C42" s="6"/>
      <c r="D42" s="6"/>
      <c r="E42" s="6"/>
      <c r="F42" s="6"/>
      <c r="G42" s="6"/>
      <c r="H42" s="6"/>
      <c r="I42" s="6"/>
      <c r="J42" s="6"/>
    </row>
    <row r="43" hidden="1" spans="2:9" x14ac:dyDescent="0.25">
      <c r="B43" t="s">
        <v>71</v>
      </c>
      <c r="D43" t="s">
        <v>88</v>
      </c>
      <c r="I43" t="s">
        <v>76</v>
      </c>
    </row>
    <row r="44" ht="22" customHeight="1" spans="2:9" x14ac:dyDescent="0.25">
      <c r="B44" s="12" t="s">
        <v>89</v>
      </c>
      <c r="D44" s="13" t="s">
        <v>90</v>
      </c>
      <c r="I44" s="12" t="s">
        <v>84</v>
      </c>
    </row>
    <row r="45" spans="2:9" x14ac:dyDescent="0.25">
      <c r="B45" s="8"/>
      <c r="D45" s="11"/>
      <c r="I45" s="14"/>
    </row>
    <row r="46" spans="2:9" x14ac:dyDescent="0.25">
      <c r="B46" s="8"/>
      <c r="D46" s="11"/>
      <c r="I46" s="14"/>
    </row>
    <row r="47" spans="2:9" x14ac:dyDescent="0.25">
      <c r="B47" s="8"/>
      <c r="D47" s="11"/>
      <c r="I47" s="14"/>
    </row>
    <row r="48" spans="2:9" x14ac:dyDescent="0.25">
      <c r="B48" s="8"/>
      <c r="D48" s="11"/>
      <c r="I48" s="14"/>
    </row>
    <row r="49" spans="2:9" x14ac:dyDescent="0.25">
      <c r="B49" s="8"/>
      <c r="D49" s="11"/>
      <c r="I49" s="14"/>
    </row>
    <row r="50" spans="2:9" x14ac:dyDescent="0.25">
      <c r="B50" s="8"/>
      <c r="D50" s="11"/>
      <c r="I50" s="14"/>
    </row>
    <row r="51" spans="2:9" x14ac:dyDescent="0.25">
      <c r="B51" s="8"/>
      <c r="D51" s="11"/>
      <c r="I51" s="14"/>
    </row>
    <row r="52" spans="2:9" x14ac:dyDescent="0.25">
      <c r="B52" s="8"/>
      <c r="D52" s="11"/>
      <c r="I52" s="14"/>
    </row>
    <row r="53" spans="2:9" x14ac:dyDescent="0.25">
      <c r="B53" s="8"/>
      <c r="D53" s="11"/>
      <c r="I53" s="14"/>
    </row>
    <row r="54" spans="2:9" x14ac:dyDescent="0.25">
      <c r="B54" s="8"/>
      <c r="D54" s="11"/>
      <c r="I54" s="14"/>
    </row>
    <row r="56" ht="18" customHeight="1" spans="2:10" x14ac:dyDescent="0.25">
      <c r="B56" s="5" t="s">
        <v>91</v>
      </c>
      <c r="C56" s="6"/>
      <c r="D56" s="6"/>
      <c r="E56" s="6"/>
      <c r="F56" s="6"/>
      <c r="G56" s="6"/>
      <c r="H56" s="6"/>
      <c r="I56" s="6"/>
      <c r="J56" s="6"/>
    </row>
    <row r="57" hidden="1" spans="2:9" x14ac:dyDescent="0.25">
      <c r="B57" t="s">
        <v>71</v>
      </c>
      <c r="C57" t="s">
        <v>2</v>
      </c>
      <c r="D57" t="s">
        <v>88</v>
      </c>
      <c r="E57" t="s">
        <v>92</v>
      </c>
      <c r="F57" t="s">
        <v>93</v>
      </c>
      <c r="I57" t="s">
        <v>76</v>
      </c>
    </row>
    <row r="58" ht="30" customHeight="1" spans="2:9" x14ac:dyDescent="0.25">
      <c r="B58" s="12" t="s">
        <v>94</v>
      </c>
      <c r="C58" s="12" t="s">
        <v>95</v>
      </c>
      <c r="D58" s="13" t="s">
        <v>96</v>
      </c>
      <c r="E58" s="12" t="s">
        <v>97</v>
      </c>
      <c r="F58" s="12" t="s">
        <v>98</v>
      </c>
      <c r="G58" s="12"/>
      <c r="H58" s="12"/>
      <c r="I58" s="12" t="s">
        <v>84</v>
      </c>
    </row>
    <row r="59" spans="2:18" x14ac:dyDescent="0.25">
      <c r="B59" s="8"/>
      <c r="C59" s="10"/>
      <c r="D59" s="11"/>
      <c r="E59" s="10"/>
      <c r="F59" s="14"/>
      <c r="G59" s="14"/>
      <c r="H59" s="14"/>
      <c r="I59" s="14"/>
      <c r="L59">
        <f>IF(AND(C59="Named person",E59&lt;&gt;"No"),N(D59),0)</f>
      </c>
      <c r="M59">
        <f>ROUND('Workings'!$C$37*L59,2)</f>
      </c>
      <c r="N59">
        <f>ROUND('Workings'!$D$37*L59,2)</f>
      </c>
      <c r="O59">
        <f>IF(L59&gt;0,COUNTIF(S$22:S$39,"&gt;0")+COUNTIF(L$59:L59,"&gt;0"),0)</f>
      </c>
      <c r="P59">
        <v>1</v>
      </c>
      <c r="Q59">
        <f>IF(AND(F59="The children's trust",C59&lt;&gt;"Estate",C59&lt;&gt;""),1,0)</f>
      </c>
      <c r="R59">
        <f>IF(L59&gt;0,1,0)</f>
      </c>
    </row>
    <row r="60" spans="2:18" x14ac:dyDescent="0.25">
      <c r="B60" s="8"/>
      <c r="C60" s="10"/>
      <c r="D60" s="11"/>
      <c r="E60" s="10"/>
      <c r="F60" s="14"/>
      <c r="G60" s="14"/>
      <c r="H60" s="14"/>
      <c r="I60" s="14"/>
      <c r="L60">
        <f>IF(AND(C60="Named person",E60&lt;&gt;"No"),N(D60),0)</f>
      </c>
      <c r="M60">
        <f>ROUND('Workings'!$C$37*L60,2)</f>
      </c>
      <c r="N60">
        <f>ROUND('Workings'!$D$37*L60,2)</f>
      </c>
      <c r="O60">
        <f>IF(L60&gt;0,COUNTIF(S$22:S$39,"&gt;0")+COUNTIF(L$59:L60,"&gt;0"),0)</f>
      </c>
      <c r="P60">
        <v>2</v>
      </c>
      <c r="Q60">
        <f>IF(AND(F60="The children's trust",C60&lt;&gt;"Estate",C60&lt;&gt;""),1,0)</f>
      </c>
      <c r="R60">
        <f>IF(L60&gt;0,1,0)</f>
      </c>
    </row>
    <row r="61" spans="2:18" x14ac:dyDescent="0.25">
      <c r="B61" s="8"/>
      <c r="C61" s="10"/>
      <c r="D61" s="11"/>
      <c r="E61" s="10"/>
      <c r="F61" s="14"/>
      <c r="G61" s="14"/>
      <c r="H61" s="14"/>
      <c r="I61" s="14"/>
      <c r="L61">
        <f>IF(AND(C61="Named person",E61&lt;&gt;"No"),N(D61),0)</f>
      </c>
      <c r="M61">
        <f>ROUND('Workings'!$C$37*L61,2)</f>
      </c>
      <c r="N61">
        <f>ROUND('Workings'!$D$37*L61,2)</f>
      </c>
      <c r="O61">
        <f>IF(L61&gt;0,COUNTIF(S$22:S$39,"&gt;0")+COUNTIF(L$59:L61,"&gt;0"),0)</f>
      </c>
      <c r="P61">
        <v>3</v>
      </c>
      <c r="Q61">
        <f>IF(AND(F61="The children's trust",C61&lt;&gt;"Estate",C61&lt;&gt;""),1,0)</f>
      </c>
      <c r="R61">
        <f>IF(L61&gt;0,1,0)</f>
      </c>
    </row>
    <row r="62" spans="2:18" x14ac:dyDescent="0.25">
      <c r="B62" s="8"/>
      <c r="C62" s="10"/>
      <c r="D62" s="11"/>
      <c r="E62" s="10"/>
      <c r="F62" s="14"/>
      <c r="G62" s="14"/>
      <c r="H62" s="14"/>
      <c r="I62" s="14"/>
      <c r="L62">
        <f>IF(AND(C62="Named person",E62&lt;&gt;"No"),N(D62),0)</f>
      </c>
      <c r="M62">
        <f>ROUND('Workings'!$C$37*L62,2)</f>
      </c>
      <c r="N62">
        <f>ROUND('Workings'!$D$37*L62,2)</f>
      </c>
      <c r="O62">
        <f>IF(L62&gt;0,COUNTIF(S$22:S$39,"&gt;0")+COUNTIF(L$59:L62,"&gt;0"),0)</f>
      </c>
      <c r="P62">
        <v>4</v>
      </c>
      <c r="Q62">
        <f>IF(AND(F62="The children's trust",C62&lt;&gt;"Estate",C62&lt;&gt;""),1,0)</f>
      </c>
      <c r="R62">
        <f>IF(L62&gt;0,1,0)</f>
      </c>
    </row>
    <row r="63" spans="2:18" x14ac:dyDescent="0.25">
      <c r="B63" s="8"/>
      <c r="C63" s="10"/>
      <c r="D63" s="11"/>
      <c r="E63" s="10"/>
      <c r="F63" s="14"/>
      <c r="G63" s="14"/>
      <c r="H63" s="14"/>
      <c r="I63" s="14"/>
      <c r="L63">
        <f>IF(AND(C63="Named person",E63&lt;&gt;"No"),N(D63),0)</f>
      </c>
      <c r="M63">
        <f>ROUND('Workings'!$C$37*L63,2)</f>
      </c>
      <c r="N63">
        <f>ROUND('Workings'!$D$37*L63,2)</f>
      </c>
      <c r="O63">
        <f>IF(L63&gt;0,COUNTIF(S$22:S$39,"&gt;0")+COUNTIF(L$59:L63,"&gt;0"),0)</f>
      </c>
      <c r="P63">
        <v>5</v>
      </c>
      <c r="Q63">
        <f>IF(AND(F63="The children's trust",C63&lt;&gt;"Estate",C63&lt;&gt;""),1,0)</f>
      </c>
      <c r="R63">
        <f>IF(L63&gt;0,1,0)</f>
      </c>
    </row>
    <row r="64" spans="2:18" x14ac:dyDescent="0.25">
      <c r="B64" s="8"/>
      <c r="C64" s="10"/>
      <c r="D64" s="11"/>
      <c r="E64" s="10"/>
      <c r="F64" s="14"/>
      <c r="G64" s="14"/>
      <c r="H64" s="14"/>
      <c r="I64" s="14"/>
      <c r="L64">
        <f>IF(AND(C64="Named person",E64&lt;&gt;"No"),N(D64),0)</f>
      </c>
      <c r="M64">
        <f>ROUND('Workings'!$C$37*L64,2)</f>
      </c>
      <c r="N64">
        <f>ROUND('Workings'!$D$37*L64,2)</f>
      </c>
      <c r="O64">
        <f>IF(L64&gt;0,COUNTIF(S$22:S$39,"&gt;0")+COUNTIF(L$59:L64,"&gt;0"),0)</f>
      </c>
      <c r="P64">
        <v>6</v>
      </c>
      <c r="Q64">
        <f>IF(AND(F64="The children's trust",C64&lt;&gt;"Estate",C64&lt;&gt;""),1,0)</f>
      </c>
      <c r="R64">
        <f>IF(L64&gt;0,1,0)</f>
      </c>
    </row>
    <row r="65" spans="2:18" x14ac:dyDescent="0.25">
      <c r="B65" s="8"/>
      <c r="C65" s="10"/>
      <c r="D65" s="11"/>
      <c r="E65" s="10"/>
      <c r="F65" s="14"/>
      <c r="G65" s="14"/>
      <c r="H65" s="14"/>
      <c r="I65" s="14"/>
      <c r="L65">
        <f>IF(AND(C65="Named person",E65&lt;&gt;"No"),N(D65),0)</f>
      </c>
      <c r="M65">
        <f>ROUND('Workings'!$C$37*L65,2)</f>
      </c>
      <c r="N65">
        <f>ROUND('Workings'!$D$37*L65,2)</f>
      </c>
      <c r="O65">
        <f>IF(L65&gt;0,COUNTIF(S$22:S$39,"&gt;0")+COUNTIF(L$59:L65,"&gt;0"),0)</f>
      </c>
      <c r="P65">
        <v>7</v>
      </c>
      <c r="Q65">
        <f>IF(AND(F65="The children's trust",C65&lt;&gt;"Estate",C65&lt;&gt;""),1,0)</f>
      </c>
      <c r="R65">
        <f>IF(L65&gt;0,1,0)</f>
      </c>
    </row>
    <row r="66" spans="2:18" x14ac:dyDescent="0.25">
      <c r="B66" s="8"/>
      <c r="C66" s="10"/>
      <c r="D66" s="11"/>
      <c r="E66" s="10"/>
      <c r="F66" s="14"/>
      <c r="G66" s="14"/>
      <c r="H66" s="14"/>
      <c r="I66" s="14"/>
      <c r="L66">
        <f>IF(AND(C66="Named person",E66&lt;&gt;"No"),N(D66),0)</f>
      </c>
      <c r="M66">
        <f>ROUND('Workings'!$C$37*L66,2)</f>
      </c>
      <c r="N66">
        <f>ROUND('Workings'!$D$37*L66,2)</f>
      </c>
      <c r="O66">
        <f>IF(L66&gt;0,COUNTIF(S$22:S$39,"&gt;0")+COUNTIF(L$59:L66,"&gt;0"),0)</f>
      </c>
      <c r="P66">
        <v>8</v>
      </c>
      <c r="Q66">
        <f>IF(AND(F66="The children's trust",C66&lt;&gt;"Estate",C66&lt;&gt;""),1,0)</f>
      </c>
      <c r="R66">
        <f>IF(L66&gt;0,1,0)</f>
      </c>
    </row>
    <row r="67" spans="2:18" x14ac:dyDescent="0.25">
      <c r="B67" s="8"/>
      <c r="C67" s="10"/>
      <c r="D67" s="11"/>
      <c r="E67" s="10"/>
      <c r="F67" s="14"/>
      <c r="G67" s="14"/>
      <c r="H67" s="14"/>
      <c r="I67" s="14"/>
      <c r="L67">
        <f>IF(AND(C67="Named person",E67&lt;&gt;"No"),N(D67),0)</f>
      </c>
      <c r="M67">
        <f>ROUND('Workings'!$C$37*L67,2)</f>
      </c>
      <c r="N67">
        <f>ROUND('Workings'!$D$37*L67,2)</f>
      </c>
      <c r="O67">
        <f>IF(L67&gt;0,COUNTIF(S$22:S$39,"&gt;0")+COUNTIF(L$59:L67,"&gt;0"),0)</f>
      </c>
      <c r="P67">
        <v>9</v>
      </c>
      <c r="Q67">
        <f>IF(AND(F67="The children's trust",C67&lt;&gt;"Estate",C67&lt;&gt;""),1,0)</f>
      </c>
      <c r="R67">
        <f>IF(L67&gt;0,1,0)</f>
      </c>
    </row>
    <row r="68" spans="2:18" x14ac:dyDescent="0.25">
      <c r="B68" s="8"/>
      <c r="C68" s="10"/>
      <c r="D68" s="11"/>
      <c r="E68" s="10"/>
      <c r="F68" s="14"/>
      <c r="G68" s="14"/>
      <c r="H68" s="14"/>
      <c r="I68" s="14"/>
      <c r="L68">
        <f>IF(AND(C68="Named person",E68&lt;&gt;"No"),N(D68),0)</f>
      </c>
      <c r="M68">
        <f>ROUND('Workings'!$C$37*L68,2)</f>
      </c>
      <c r="N68">
        <f>ROUND('Workings'!$D$37*L68,2)</f>
      </c>
      <c r="O68">
        <f>IF(L68&gt;0,COUNTIF(S$22:S$39,"&gt;0")+COUNTIF(L$59:L68,"&gt;0"),0)</f>
      </c>
      <c r="P68">
        <v>10</v>
      </c>
      <c r="Q68">
        <f>IF(AND(F68="The children's trust",C68&lt;&gt;"Estate",C68&lt;&gt;""),1,0)</f>
      </c>
      <c r="R68">
        <f>IF(L68&gt;0,1,0)</f>
      </c>
    </row>
    <row r="69" spans="2:18" x14ac:dyDescent="0.25">
      <c r="B69" s="8"/>
      <c r="C69" s="10"/>
      <c r="D69" s="11"/>
      <c r="E69" s="10"/>
      <c r="F69" s="14"/>
      <c r="G69" s="14"/>
      <c r="H69" s="14"/>
      <c r="I69" s="14"/>
      <c r="L69">
        <f>IF(AND(C69="Named person",E69&lt;&gt;"No"),N(D69),0)</f>
      </c>
      <c r="M69">
        <f>ROUND('Workings'!$C$37*L69,2)</f>
      </c>
      <c r="N69">
        <f>ROUND('Workings'!$D$37*L69,2)</f>
      </c>
      <c r="O69">
        <f>IF(L69&gt;0,COUNTIF(S$22:S$39,"&gt;0")+COUNTIF(L$59:L69,"&gt;0"),0)</f>
      </c>
      <c r="P69">
        <v>11</v>
      </c>
      <c r="Q69">
        <f>IF(AND(F69="The children's trust",C69&lt;&gt;"Estate",C69&lt;&gt;""),1,0)</f>
      </c>
      <c r="R69">
        <f>IF(L69&gt;0,1,0)</f>
      </c>
    </row>
    <row r="70" spans="2:18" x14ac:dyDescent="0.25">
      <c r="B70" s="8"/>
      <c r="C70" s="10"/>
      <c r="D70" s="11"/>
      <c r="E70" s="10"/>
      <c r="F70" s="14"/>
      <c r="G70" s="14"/>
      <c r="H70" s="14"/>
      <c r="I70" s="14"/>
      <c r="L70">
        <f>IF(AND(C70="Named person",E70&lt;&gt;"No"),N(D70),0)</f>
      </c>
      <c r="M70">
        <f>ROUND('Workings'!$C$37*L70,2)</f>
      </c>
      <c r="N70">
        <f>ROUND('Workings'!$D$37*L70,2)</f>
      </c>
      <c r="O70">
        <f>IF(L70&gt;0,COUNTIF(S$22:S$39,"&gt;0")+COUNTIF(L$59:L70,"&gt;0"),0)</f>
      </c>
      <c r="P70">
        <v>12</v>
      </c>
      <c r="Q70">
        <f>IF(AND(F70="The children's trust",C70&lt;&gt;"Estate",C70&lt;&gt;""),1,0)</f>
      </c>
      <c r="R70">
        <f>IF(L70&gt;0,1,0)</f>
      </c>
    </row>
    <row r="71" ht="39" customHeight="1" spans="2:10" x14ac:dyDescent="0.25">
      <c r="B71" s="16" t="s">
        <v>99</v>
      </c>
      <c r="C71" s="16"/>
      <c r="D71" s="16"/>
      <c r="E71" s="16"/>
      <c r="F71" s="16"/>
      <c r="G71" s="16"/>
      <c r="H71" s="16"/>
      <c r="I71" s="16"/>
      <c r="J71" s="16"/>
    </row>
    <row r="73" ht="18" customHeight="1" spans="2:10" x14ac:dyDescent="0.25">
      <c r="B73" s="5" t="s">
        <v>100</v>
      </c>
      <c r="C73" s="6"/>
      <c r="D73" s="6"/>
      <c r="E73" s="6"/>
      <c r="F73" s="6"/>
      <c r="G73" s="6"/>
      <c r="H73" s="6"/>
      <c r="I73" s="6"/>
      <c r="J73" s="6"/>
    </row>
    <row r="74" hidden="1" spans="2:9" x14ac:dyDescent="0.25">
      <c r="B74" t="s">
        <v>71</v>
      </c>
      <c r="D74" t="s">
        <v>72</v>
      </c>
      <c r="F74" t="s">
        <v>101</v>
      </c>
      <c r="I74" t="s">
        <v>76</v>
      </c>
    </row>
    <row r="75" ht="30" customHeight="1" spans="2:10" x14ac:dyDescent="0.25">
      <c r="B75" s="12" t="s">
        <v>102</v>
      </c>
      <c r="D75" s="13" t="s">
        <v>79</v>
      </c>
      <c r="F75" s="12" t="s">
        <v>103</v>
      </c>
      <c r="G75" s="12"/>
      <c r="H75" s="12"/>
      <c r="I75" s="12" t="s">
        <v>84</v>
      </c>
      <c r="J75" s="13" t="s">
        <v>104</v>
      </c>
    </row>
    <row r="76" spans="2:10" x14ac:dyDescent="0.25">
      <c r="B76" s="8"/>
      <c r="D76" s="11"/>
      <c r="F76" s="14"/>
      <c r="G76" s="14"/>
      <c r="H76" s="14"/>
      <c r="I76" s="14"/>
      <c r="J76" s="17">
        <f>IF(F76="The children's trust",N(D76)-IF(SUMIFS('Inputs'!$D$76:$D$83,'Inputs'!$F$76:$F$83,"The children's trust")&gt;0,ROUND((INDEX('Inputs'!$H$125:$H$128,MATCH(SUMIFS('Inputs'!$D$76:$D$83,'Inputs'!$F$76:$F$83,"The children's trust"),'Inputs'!$G$125:$G$128,1))+INDEX('Inputs'!$I$125:$I$128,MATCH(SUMIFS('Inputs'!$D$76:$D$83,'Inputs'!$F$76:$F$83,"The children's trust"),'Inputs'!$G$125:$G$128,1))/100*((SUMIFS('Inputs'!$D$76:$D$83,'Inputs'!$F$76:$F$83,"The children's trust"))-INDEX('Inputs'!$G$125:$G$128,MATCH(SUMIFS('Inputs'!$D$76:$D$83,'Inputs'!$F$76:$F$83,"The children's trust"),'Inputs'!$G$125:$G$128,1))))*N(D76)/SUMIFS('Inputs'!$D$76:$D$83,'Inputs'!$F$76:$F$83,"The children's trust"),2),0),0)</f>
      </c>
    </row>
    <row r="77" spans="2:10" x14ac:dyDescent="0.25">
      <c r="B77" s="8"/>
      <c r="D77" s="11"/>
      <c r="F77" s="14"/>
      <c r="G77" s="14"/>
      <c r="H77" s="14"/>
      <c r="I77" s="14"/>
      <c r="J77" s="17">
        <f>IF(F77="The children's trust",N(D77)-IF(SUMIFS('Inputs'!$D$76:$D$83,'Inputs'!$F$76:$F$83,"The children's trust")&gt;0,ROUND((INDEX('Inputs'!$H$125:$H$128,MATCH(SUMIFS('Inputs'!$D$76:$D$83,'Inputs'!$F$76:$F$83,"The children's trust"),'Inputs'!$G$125:$G$128,1))+INDEX('Inputs'!$I$125:$I$128,MATCH(SUMIFS('Inputs'!$D$76:$D$83,'Inputs'!$F$76:$F$83,"The children's trust"),'Inputs'!$G$125:$G$128,1))/100*((SUMIFS('Inputs'!$D$76:$D$83,'Inputs'!$F$76:$F$83,"The children's trust"))-INDEX('Inputs'!$G$125:$G$128,MATCH(SUMIFS('Inputs'!$D$76:$D$83,'Inputs'!$F$76:$F$83,"The children's trust"),'Inputs'!$G$125:$G$128,1))))*N(D77)/SUMIFS('Inputs'!$D$76:$D$83,'Inputs'!$F$76:$F$83,"The children's trust"),2),0),0)</f>
      </c>
    </row>
    <row r="78" spans="2:10" x14ac:dyDescent="0.25">
      <c r="B78" s="8"/>
      <c r="D78" s="11"/>
      <c r="F78" s="14"/>
      <c r="G78" s="14"/>
      <c r="H78" s="14"/>
      <c r="I78" s="14"/>
      <c r="J78" s="17">
        <f>IF(F78="The children's trust",N(D78)-IF(SUMIFS('Inputs'!$D$76:$D$83,'Inputs'!$F$76:$F$83,"The children's trust")&gt;0,ROUND((INDEX('Inputs'!$H$125:$H$128,MATCH(SUMIFS('Inputs'!$D$76:$D$83,'Inputs'!$F$76:$F$83,"The children's trust"),'Inputs'!$G$125:$G$128,1))+INDEX('Inputs'!$I$125:$I$128,MATCH(SUMIFS('Inputs'!$D$76:$D$83,'Inputs'!$F$76:$F$83,"The children's trust"),'Inputs'!$G$125:$G$128,1))/100*((SUMIFS('Inputs'!$D$76:$D$83,'Inputs'!$F$76:$F$83,"The children's trust"))-INDEX('Inputs'!$G$125:$G$128,MATCH(SUMIFS('Inputs'!$D$76:$D$83,'Inputs'!$F$76:$F$83,"The children's trust"),'Inputs'!$G$125:$G$128,1))))*N(D78)/SUMIFS('Inputs'!$D$76:$D$83,'Inputs'!$F$76:$F$83,"The children's trust"),2),0),0)</f>
      </c>
    </row>
    <row r="79" spans="2:10" x14ac:dyDescent="0.25">
      <c r="B79" s="8"/>
      <c r="D79" s="11"/>
      <c r="F79" s="14"/>
      <c r="G79" s="14"/>
      <c r="H79" s="14"/>
      <c r="I79" s="14"/>
      <c r="J79" s="17">
        <f>IF(F79="The children's trust",N(D79)-IF(SUMIFS('Inputs'!$D$76:$D$83,'Inputs'!$F$76:$F$83,"The children's trust")&gt;0,ROUND((INDEX('Inputs'!$H$125:$H$128,MATCH(SUMIFS('Inputs'!$D$76:$D$83,'Inputs'!$F$76:$F$83,"The children's trust"),'Inputs'!$G$125:$G$128,1))+INDEX('Inputs'!$I$125:$I$128,MATCH(SUMIFS('Inputs'!$D$76:$D$83,'Inputs'!$F$76:$F$83,"The children's trust"),'Inputs'!$G$125:$G$128,1))/100*((SUMIFS('Inputs'!$D$76:$D$83,'Inputs'!$F$76:$F$83,"The children's trust"))-INDEX('Inputs'!$G$125:$G$128,MATCH(SUMIFS('Inputs'!$D$76:$D$83,'Inputs'!$F$76:$F$83,"The children's trust"),'Inputs'!$G$125:$G$128,1))))*N(D79)/SUMIFS('Inputs'!$D$76:$D$83,'Inputs'!$F$76:$F$83,"The children's trust"),2),0),0)</f>
      </c>
    </row>
    <row r="80" spans="2:10" x14ac:dyDescent="0.25">
      <c r="B80" s="8"/>
      <c r="D80" s="11"/>
      <c r="F80" s="14"/>
      <c r="G80" s="14"/>
      <c r="H80" s="14"/>
      <c r="I80" s="14"/>
      <c r="J80" s="17">
        <f>IF(F80="The children's trust",N(D80)-IF(SUMIFS('Inputs'!$D$76:$D$83,'Inputs'!$F$76:$F$83,"The children's trust")&gt;0,ROUND((INDEX('Inputs'!$H$125:$H$128,MATCH(SUMIFS('Inputs'!$D$76:$D$83,'Inputs'!$F$76:$F$83,"The children's trust"),'Inputs'!$G$125:$G$128,1))+INDEX('Inputs'!$I$125:$I$128,MATCH(SUMIFS('Inputs'!$D$76:$D$83,'Inputs'!$F$76:$F$83,"The children's trust"),'Inputs'!$G$125:$G$128,1))/100*((SUMIFS('Inputs'!$D$76:$D$83,'Inputs'!$F$76:$F$83,"The children's trust"))-INDEX('Inputs'!$G$125:$G$128,MATCH(SUMIFS('Inputs'!$D$76:$D$83,'Inputs'!$F$76:$F$83,"The children's trust"),'Inputs'!$G$125:$G$128,1))))*N(D80)/SUMIFS('Inputs'!$D$76:$D$83,'Inputs'!$F$76:$F$83,"The children's trust"),2),0),0)</f>
      </c>
    </row>
    <row r="81" spans="2:10" x14ac:dyDescent="0.25">
      <c r="B81" s="8"/>
      <c r="D81" s="11"/>
      <c r="F81" s="14"/>
      <c r="G81" s="14"/>
      <c r="H81" s="14"/>
      <c r="I81" s="14"/>
      <c r="J81" s="17">
        <f>IF(F81="The children's trust",N(D81)-IF(SUMIFS('Inputs'!$D$76:$D$83,'Inputs'!$F$76:$F$83,"The children's trust")&gt;0,ROUND((INDEX('Inputs'!$H$125:$H$128,MATCH(SUMIFS('Inputs'!$D$76:$D$83,'Inputs'!$F$76:$F$83,"The children's trust"),'Inputs'!$G$125:$G$128,1))+INDEX('Inputs'!$I$125:$I$128,MATCH(SUMIFS('Inputs'!$D$76:$D$83,'Inputs'!$F$76:$F$83,"The children's trust"),'Inputs'!$G$125:$G$128,1))/100*((SUMIFS('Inputs'!$D$76:$D$83,'Inputs'!$F$76:$F$83,"The children's trust"))-INDEX('Inputs'!$G$125:$G$128,MATCH(SUMIFS('Inputs'!$D$76:$D$83,'Inputs'!$F$76:$F$83,"The children's trust"),'Inputs'!$G$125:$G$128,1))))*N(D81)/SUMIFS('Inputs'!$D$76:$D$83,'Inputs'!$F$76:$F$83,"The children's trust"),2),0),0)</f>
      </c>
    </row>
    <row r="82" spans="2:10" x14ac:dyDescent="0.25">
      <c r="B82" s="8"/>
      <c r="D82" s="11"/>
      <c r="F82" s="14"/>
      <c r="G82" s="14"/>
      <c r="H82" s="14"/>
      <c r="I82" s="14"/>
      <c r="J82" s="17">
        <f>IF(F82="The children's trust",N(D82)-IF(SUMIFS('Inputs'!$D$76:$D$83,'Inputs'!$F$76:$F$83,"The children's trust")&gt;0,ROUND((INDEX('Inputs'!$H$125:$H$128,MATCH(SUMIFS('Inputs'!$D$76:$D$83,'Inputs'!$F$76:$F$83,"The children's trust"),'Inputs'!$G$125:$G$128,1))+INDEX('Inputs'!$I$125:$I$128,MATCH(SUMIFS('Inputs'!$D$76:$D$83,'Inputs'!$F$76:$F$83,"The children's trust"),'Inputs'!$G$125:$G$128,1))/100*((SUMIFS('Inputs'!$D$76:$D$83,'Inputs'!$F$76:$F$83,"The children's trust"))-INDEX('Inputs'!$G$125:$G$128,MATCH(SUMIFS('Inputs'!$D$76:$D$83,'Inputs'!$F$76:$F$83,"The children's trust"),'Inputs'!$G$125:$G$128,1))))*N(D82)/SUMIFS('Inputs'!$D$76:$D$83,'Inputs'!$F$76:$F$83,"The children's trust"),2),0),0)</f>
      </c>
    </row>
    <row r="83" spans="2:10" x14ac:dyDescent="0.25">
      <c r="B83" s="8"/>
      <c r="D83" s="11"/>
      <c r="F83" s="14"/>
      <c r="G83" s="14"/>
      <c r="H83" s="14"/>
      <c r="I83" s="14"/>
      <c r="J83" s="17">
        <f>IF(F83="The children's trust",N(D83)-IF(SUMIFS('Inputs'!$D$76:$D$83,'Inputs'!$F$76:$F$83,"The children's trust")&gt;0,ROUND((INDEX('Inputs'!$H$125:$H$128,MATCH(SUMIFS('Inputs'!$D$76:$D$83,'Inputs'!$F$76:$F$83,"The children's trust"),'Inputs'!$G$125:$G$128,1))+INDEX('Inputs'!$I$125:$I$128,MATCH(SUMIFS('Inputs'!$D$76:$D$83,'Inputs'!$F$76:$F$83,"The children's trust"),'Inputs'!$G$125:$G$128,1))/100*((SUMIFS('Inputs'!$D$76:$D$83,'Inputs'!$F$76:$F$83,"The children's trust"))-INDEX('Inputs'!$G$125:$G$128,MATCH(SUMIFS('Inputs'!$D$76:$D$83,'Inputs'!$F$76:$F$83,"The children's trust"),'Inputs'!$G$125:$G$128,1))))*N(D83)/SUMIFS('Inputs'!$D$76:$D$83,'Inputs'!$F$76:$F$83,"The children's trust"),2),0),0)</f>
      </c>
    </row>
    <row r="84" ht="26" customHeight="1" spans="2:10" x14ac:dyDescent="0.25">
      <c r="B84" s="16" t="s">
        <v>105</v>
      </c>
      <c r="C84" s="16"/>
      <c r="D84" s="16"/>
      <c r="E84" s="16"/>
      <c r="F84" s="16"/>
      <c r="G84" s="16"/>
      <c r="H84" s="16"/>
      <c r="I84" s="16"/>
      <c r="J84" s="16"/>
    </row>
    <row r="86" ht="18" customHeight="1" spans="2:10" x14ac:dyDescent="0.25">
      <c r="B86" s="5" t="s">
        <v>106</v>
      </c>
      <c r="C86" s="6"/>
      <c r="D86" s="6"/>
      <c r="E86" s="6"/>
      <c r="F86" s="6"/>
      <c r="G86" s="6"/>
      <c r="H86" s="6"/>
      <c r="I86" s="6"/>
      <c r="J86" s="6"/>
    </row>
    <row r="87" hidden="1" spans="2:9" x14ac:dyDescent="0.25">
      <c r="B87" t="s">
        <v>71</v>
      </c>
      <c r="C87" t="s">
        <v>5</v>
      </c>
      <c r="D87" t="s">
        <v>107</v>
      </c>
      <c r="E87" t="s">
        <v>108</v>
      </c>
      <c r="F87" t="s">
        <v>109</v>
      </c>
      <c r="G87" t="s">
        <v>110</v>
      </c>
      <c r="H87" t="s">
        <v>111</v>
      </c>
      <c r="I87" t="s">
        <v>112</v>
      </c>
    </row>
    <row r="88" ht="42" customHeight="1" spans="2:26" x14ac:dyDescent="0.25">
      <c r="B88" s="12" t="s">
        <v>113</v>
      </c>
      <c r="C88" s="12" t="s">
        <v>114</v>
      </c>
      <c r="D88" s="13" t="s">
        <v>115</v>
      </c>
      <c r="E88" s="13" t="s">
        <v>116</v>
      </c>
      <c r="F88" s="13" t="s">
        <v>117</v>
      </c>
      <c r="G88" s="13" t="s">
        <v>118</v>
      </c>
      <c r="H88" s="12" t="s">
        <v>119</v>
      </c>
      <c r="I88" s="13" t="s">
        <v>120</v>
      </c>
      <c r="Z88" t="s">
        <v>121</v>
      </c>
    </row>
    <row r="89" ht="15" customHeight="1" spans="2:26" x14ac:dyDescent="0.25">
      <c r="B89" s="8"/>
      <c r="C89" s="10"/>
      <c r="D89" s="18"/>
      <c r="E89" s="11"/>
      <c r="F89" s="18"/>
      <c r="G89" s="19"/>
      <c r="H89" s="10"/>
      <c r="I89" s="11"/>
      <c r="L89">
        <f>IF(AND(B89&lt;&gt;"",C89="Child"),1,0)</f>
      </c>
      <c r="M89">
        <f>IF(L89=1,SUM(L$89:L89),0)</f>
      </c>
      <c r="N89">
        <f>IF(AND(L89=1,M89=SUM(L$89:L$94)),1,0)</f>
      </c>
      <c r="O89">
        <f>IF(AND(B89&lt;&gt;"",C89="Spouse",COUNTIF(C$89:C89,"Spouse")=1),1,0)</f>
      </c>
      <c r="P89">
        <f>IF(B89="",0,IF(OR(C89="",N(E89)&lt;=0,N(F89)&lt;=0),1,0))</f>
      </c>
      <c r="Q89">
        <f>IF(AND(L89=1,H89="Yes"),1,0)</f>
      </c>
      <c r="R89">
        <f>IF(Q89=1,SUM(Q$89:Q89),0)</f>
      </c>
      <c r="S89">
        <f>IF(AND(Q89=1,R89=SUM(Q$89:Q$94)),1,0)</f>
      </c>
      <c r="Z89">
        <f>IF(B89="","",B89)</f>
      </c>
    </row>
    <row r="90" ht="15" customHeight="1" spans="2:26" x14ac:dyDescent="0.25">
      <c r="B90" s="8"/>
      <c r="C90" s="10"/>
      <c r="D90" s="18"/>
      <c r="E90" s="11"/>
      <c r="F90" s="18"/>
      <c r="G90" s="19"/>
      <c r="H90" s="10"/>
      <c r="I90" s="11"/>
      <c r="L90">
        <f>IF(AND(B90&lt;&gt;"",C90="Child"),1,0)</f>
      </c>
      <c r="M90">
        <f>IF(L90=1,SUM(L$89:L90),0)</f>
      </c>
      <c r="N90">
        <f>IF(AND(L90=1,M90=SUM(L$89:L$94)),1,0)</f>
      </c>
      <c r="O90">
        <f>IF(AND(B90&lt;&gt;"",C90="Spouse",COUNTIF(C$89:C90,"Spouse")=1),1,0)</f>
      </c>
      <c r="P90">
        <f>IF(B90="",0,IF(OR(C90="",N(E90)&lt;=0,N(F90)&lt;=0),1,0))</f>
      </c>
      <c r="Q90">
        <f>IF(AND(L90=1,H90="Yes"),1,0)</f>
      </c>
      <c r="R90">
        <f>IF(Q90=1,SUM(Q$89:Q90),0)</f>
      </c>
      <c r="S90">
        <f>IF(AND(Q90=1,R90=SUM(Q$89:Q$94)),1,0)</f>
      </c>
      <c r="Z90">
        <f>IF(B90="","",B90)</f>
      </c>
    </row>
    <row r="91" ht="15" customHeight="1" spans="2:26" x14ac:dyDescent="0.25">
      <c r="B91" s="8"/>
      <c r="C91" s="10"/>
      <c r="D91" s="18"/>
      <c r="E91" s="11"/>
      <c r="F91" s="18"/>
      <c r="G91" s="19"/>
      <c r="H91" s="10"/>
      <c r="I91" s="11"/>
      <c r="L91">
        <f>IF(AND(B91&lt;&gt;"",C91="Child"),1,0)</f>
      </c>
      <c r="M91">
        <f>IF(L91=1,SUM(L$89:L91),0)</f>
      </c>
      <c r="N91">
        <f>IF(AND(L91=1,M91=SUM(L$89:L$94)),1,0)</f>
      </c>
      <c r="O91">
        <f>IF(AND(B91&lt;&gt;"",C91="Spouse",COUNTIF(C$89:C91,"Spouse")=1),1,0)</f>
      </c>
      <c r="P91">
        <f>IF(B91="",0,IF(OR(C91="",N(E91)&lt;=0,N(F91)&lt;=0),1,0))</f>
      </c>
      <c r="Q91">
        <f>IF(AND(L91=1,H91="Yes"),1,0)</f>
      </c>
      <c r="R91">
        <f>IF(Q91=1,SUM(Q$89:Q91),0)</f>
      </c>
      <c r="S91">
        <f>IF(AND(Q91=1,R91=SUM(Q$89:Q$94)),1,0)</f>
      </c>
      <c r="Z91">
        <f>IF(B91="","",B91)</f>
      </c>
    </row>
    <row r="92" ht="15" customHeight="1" spans="2:26" x14ac:dyDescent="0.25">
      <c r="B92" s="8"/>
      <c r="C92" s="10"/>
      <c r="D92" s="18"/>
      <c r="E92" s="11"/>
      <c r="F92" s="18"/>
      <c r="G92" s="19"/>
      <c r="H92" s="10"/>
      <c r="I92" s="11"/>
      <c r="L92">
        <f>IF(AND(B92&lt;&gt;"",C92="Child"),1,0)</f>
      </c>
      <c r="M92">
        <f>IF(L92=1,SUM(L$89:L92),0)</f>
      </c>
      <c r="N92">
        <f>IF(AND(L92=1,M92=SUM(L$89:L$94)),1,0)</f>
      </c>
      <c r="O92">
        <f>IF(AND(B92&lt;&gt;"",C92="Spouse",COUNTIF(C$89:C92,"Spouse")=1),1,0)</f>
      </c>
      <c r="P92">
        <f>IF(B92="",0,IF(OR(C92="",N(E92)&lt;=0,N(F92)&lt;=0),1,0))</f>
      </c>
      <c r="Q92">
        <f>IF(AND(L92=1,H92="Yes"),1,0)</f>
      </c>
      <c r="R92">
        <f>IF(Q92=1,SUM(Q$89:Q92),0)</f>
      </c>
      <c r="S92">
        <f>IF(AND(Q92=1,R92=SUM(Q$89:Q$94)),1,0)</f>
      </c>
      <c r="Z92">
        <f>IF(B92="","",B92)</f>
      </c>
    </row>
    <row r="93" ht="15" customHeight="1" spans="2:26" x14ac:dyDescent="0.25">
      <c r="B93" s="8"/>
      <c r="C93" s="10"/>
      <c r="D93" s="18"/>
      <c r="E93" s="11"/>
      <c r="F93" s="18"/>
      <c r="G93" s="19"/>
      <c r="H93" s="10"/>
      <c r="I93" s="11"/>
      <c r="L93">
        <f>IF(AND(B93&lt;&gt;"",C93="Child"),1,0)</f>
      </c>
      <c r="M93">
        <f>IF(L93=1,SUM(L$89:L93),0)</f>
      </c>
      <c r="N93">
        <f>IF(AND(L93=1,M93=SUM(L$89:L$94)),1,0)</f>
      </c>
      <c r="O93">
        <f>IF(AND(B93&lt;&gt;"",C93="Spouse",COUNTIF(C$89:C93,"Spouse")=1),1,0)</f>
      </c>
      <c r="P93">
        <f>IF(B93="",0,IF(OR(C93="",N(E93)&lt;=0,N(F93)&lt;=0),1,0))</f>
      </c>
      <c r="Q93">
        <f>IF(AND(L93=1,H93="Yes"),1,0)</f>
      </c>
      <c r="R93">
        <f>IF(Q93=1,SUM(Q$89:Q93),0)</f>
      </c>
      <c r="S93">
        <f>IF(AND(Q93=1,R93=SUM(Q$89:Q$94)),1,0)</f>
      </c>
      <c r="Z93">
        <f>IF(B93="","",B93)</f>
      </c>
    </row>
    <row r="94" ht="15" customHeight="1" spans="2:26" x14ac:dyDescent="0.25">
      <c r="B94" s="8"/>
      <c r="C94" s="10"/>
      <c r="D94" s="18"/>
      <c r="E94" s="11"/>
      <c r="F94" s="18"/>
      <c r="G94" s="19"/>
      <c r="H94" s="10"/>
      <c r="I94" s="11"/>
      <c r="L94">
        <f>IF(AND(B94&lt;&gt;"",C94="Child"),1,0)</f>
      </c>
      <c r="M94">
        <f>IF(L94=1,SUM(L$89:L94),0)</f>
      </c>
      <c r="N94">
        <f>IF(AND(L94=1,M94=SUM(L$89:L$94)),1,0)</f>
      </c>
      <c r="O94">
        <f>IF(AND(B94&lt;&gt;"",C94="Spouse",COUNTIF(C$89:C94,"Spouse")=1),1,0)</f>
      </c>
      <c r="P94">
        <f>IF(B94="",0,IF(OR(C94="",N(E94)&lt;=0,N(F94)&lt;=0),1,0))</f>
      </c>
      <c r="Q94">
        <f>IF(AND(L94=1,H94="Yes"),1,0)</f>
      </c>
      <c r="R94">
        <f>IF(Q94=1,SUM(Q$89:Q94),0)</f>
      </c>
      <c r="S94">
        <f>IF(AND(Q94=1,R94=SUM(Q$89:Q$94)),1,0)</f>
      </c>
      <c r="Z94">
        <f>IF(B94="","",B94)</f>
      </c>
    </row>
    <row r="95" ht="27" customHeight="1" spans="2:5" x14ac:dyDescent="0.25">
      <c r="B95" s="7" t="s">
        <v>122</v>
      </c>
      <c r="C95" s="10"/>
      <c r="D95" s="10"/>
      <c r="E95" s="10"/>
    </row>
    <row r="96" ht="39" customHeight="1" spans="2:10" x14ac:dyDescent="0.25">
      <c r="B96" s="16" t="s">
        <v>123</v>
      </c>
      <c r="C96" s="16"/>
      <c r="D96" s="16"/>
      <c r="E96" s="16"/>
      <c r="F96" s="16"/>
      <c r="G96" s="16"/>
      <c r="H96" s="16"/>
      <c r="I96" s="16"/>
      <c r="J96" s="16"/>
    </row>
    <row r="98" ht="18" customHeight="1" spans="2:10" x14ac:dyDescent="0.25">
      <c r="B98" s="5" t="s">
        <v>124</v>
      </c>
      <c r="C98" s="6"/>
      <c r="D98" s="6"/>
      <c r="E98" s="6"/>
      <c r="F98" s="6"/>
      <c r="G98" s="6"/>
      <c r="H98" s="6"/>
      <c r="I98" s="6"/>
      <c r="J98" s="6"/>
    </row>
    <row r="99" spans="2:3" x14ac:dyDescent="0.25">
      <c r="B99" s="7" t="s">
        <v>125</v>
      </c>
      <c r="C99" s="8"/>
    </row>
    <row r="100" spans="2:3" x14ac:dyDescent="0.25">
      <c r="B100" s="7" t="s">
        <v>126</v>
      </c>
      <c r="C100" s="19"/>
    </row>
    <row r="101" spans="2:3" x14ac:dyDescent="0.25">
      <c r="B101" s="7" t="s">
        <v>127</v>
      </c>
      <c r="C101" s="11"/>
    </row>
    <row r="102" spans="2:3" x14ac:dyDescent="0.25">
      <c r="B102" s="7" t="s">
        <v>128</v>
      </c>
      <c r="C102" s="19"/>
    </row>
    <row r="103" spans="2:3" x14ac:dyDescent="0.25">
      <c r="B103" s="7" t="s">
        <v>129</v>
      </c>
      <c r="C103" s="11"/>
    </row>
    <row r="104" spans="2:3" x14ac:dyDescent="0.25">
      <c r="B104" s="7" t="s">
        <v>130</v>
      </c>
      <c r="C104" s="11"/>
    </row>
    <row r="105" ht="26" customHeight="1" spans="2:10" x14ac:dyDescent="0.25">
      <c r="B105" s="16" t="s">
        <v>131</v>
      </c>
      <c r="C105" s="16"/>
      <c r="D105" s="16"/>
      <c r="E105" s="16"/>
      <c r="F105" s="16"/>
      <c r="G105" s="16"/>
      <c r="H105" s="16"/>
      <c r="I105" s="16"/>
      <c r="J105" s="16"/>
    </row>
    <row r="107" ht="18" customHeight="1" spans="2:10" x14ac:dyDescent="0.25">
      <c r="B107" s="5" t="s">
        <v>132</v>
      </c>
      <c r="C107" s="6"/>
      <c r="D107" s="6"/>
      <c r="E107" s="6"/>
      <c r="F107" s="6"/>
      <c r="G107" s="6"/>
      <c r="H107" s="6"/>
      <c r="I107" s="6"/>
      <c r="J107" s="6"/>
    </row>
    <row r="108" spans="2:8" x14ac:dyDescent="0.25">
      <c r="B108" s="7" t="s">
        <v>133</v>
      </c>
      <c r="C108" s="19">
        <v>3.5</v>
      </c>
      <c r="E108" s="7" t="s">
        <v>134</v>
      </c>
      <c r="F108" s="7"/>
      <c r="G108" s="7"/>
      <c r="H108" s="19">
        <v>2</v>
      </c>
    </row>
    <row r="109" spans="2:8" x14ac:dyDescent="0.25">
      <c r="B109" s="7" t="s">
        <v>135</v>
      </c>
      <c r="C109" s="19">
        <v>15</v>
      </c>
      <c r="E109" s="7" t="s">
        <v>136</v>
      </c>
      <c r="F109" s="7"/>
      <c r="G109" s="7"/>
      <c r="H109" s="11">
        <v>99000</v>
      </c>
    </row>
    <row r="110" spans="2:8" x14ac:dyDescent="0.25">
      <c r="B110" s="7" t="s">
        <v>137</v>
      </c>
      <c r="C110" s="11">
        <v>7000</v>
      </c>
      <c r="E110" s="7" t="s">
        <v>138</v>
      </c>
      <c r="F110" s="7"/>
      <c r="G110" s="7"/>
      <c r="H110" s="19">
        <v>52.5</v>
      </c>
    </row>
    <row r="111" spans="2:8" x14ac:dyDescent="0.25">
      <c r="B111" s="7" t="s">
        <v>139</v>
      </c>
      <c r="C111" s="11">
        <v>50000</v>
      </c>
      <c r="E111" s="7" t="s">
        <v>140</v>
      </c>
      <c r="F111" s="7"/>
      <c r="G111" s="7"/>
      <c r="H111" s="19">
        <v>11.25</v>
      </c>
    </row>
    <row r="112" spans="2:8" x14ac:dyDescent="0.25">
      <c r="B112" s="7" t="s">
        <v>141</v>
      </c>
      <c r="C112" s="11">
        <v>8000</v>
      </c>
      <c r="E112" s="7" t="s">
        <v>142</v>
      </c>
      <c r="F112" s="7"/>
      <c r="G112" s="7"/>
      <c r="H112" s="19">
        <v>36.25</v>
      </c>
    </row>
    <row r="113" spans="2:8" x14ac:dyDescent="0.25">
      <c r="B113" s="7" t="s">
        <v>143</v>
      </c>
      <c r="C113" s="19">
        <v>1</v>
      </c>
      <c r="E113" s="7" t="s">
        <v>144</v>
      </c>
      <c r="F113" s="7"/>
      <c r="G113" s="7"/>
      <c r="H113" s="19">
        <v>20</v>
      </c>
    </row>
    <row r="114" spans="2:8" x14ac:dyDescent="0.25">
      <c r="B114" s="7" t="s">
        <v>145</v>
      </c>
      <c r="C114" s="19">
        <v>7.5</v>
      </c>
      <c r="E114" s="7" t="s">
        <v>146</v>
      </c>
      <c r="F114" s="7"/>
      <c r="G114" s="7"/>
      <c r="H114" s="19">
        <v>4</v>
      </c>
    </row>
    <row r="115" spans="2:8" x14ac:dyDescent="0.25">
      <c r="B115" s="7" t="s">
        <v>147</v>
      </c>
      <c r="C115" s="11">
        <v>3500000</v>
      </c>
      <c r="E115" s="7" t="s">
        <v>148</v>
      </c>
      <c r="F115" s="7"/>
      <c r="G115" s="7"/>
      <c r="H115" s="19">
        <v>2.5</v>
      </c>
    </row>
    <row r="116" spans="2:8" x14ac:dyDescent="0.25">
      <c r="B116" s="7" t="s">
        <v>149</v>
      </c>
      <c r="C116" s="19">
        <v>20</v>
      </c>
      <c r="E116" s="7" t="s">
        <v>150</v>
      </c>
      <c r="F116" s="7"/>
      <c r="G116" s="7"/>
      <c r="H116" s="19">
        <v>17.5</v>
      </c>
    </row>
    <row r="117" spans="2:8" x14ac:dyDescent="0.25">
      <c r="B117" s="7" t="s">
        <v>151</v>
      </c>
      <c r="C117" s="11">
        <v>30000000</v>
      </c>
      <c r="E117" s="7" t="s">
        <v>152</v>
      </c>
      <c r="F117" s="7"/>
      <c r="G117" s="7"/>
      <c r="H117" s="11">
        <v>17820</v>
      </c>
    </row>
    <row r="118" spans="2:8" x14ac:dyDescent="0.25">
      <c r="B118" s="7" t="s">
        <v>153</v>
      </c>
      <c r="C118" s="19">
        <v>25</v>
      </c>
      <c r="E118" s="7" t="s">
        <v>154</v>
      </c>
      <c r="F118" s="7"/>
      <c r="G118" s="7"/>
      <c r="H118" s="11">
        <v>9765</v>
      </c>
    </row>
    <row r="119" spans="2:8" x14ac:dyDescent="0.25">
      <c r="B119" s="7" t="s">
        <v>155</v>
      </c>
      <c r="C119" s="11">
        <v>440000</v>
      </c>
      <c r="E119" s="7" t="s">
        <v>156</v>
      </c>
      <c r="F119" s="7"/>
      <c r="G119" s="7"/>
      <c r="H119" s="11">
        <v>3249</v>
      </c>
    </row>
    <row r="120" spans="2:8" x14ac:dyDescent="0.25">
      <c r="B120" s="7" t="s">
        <v>157</v>
      </c>
      <c r="C120" s="19">
        <v>40</v>
      </c>
      <c r="E120" s="7" t="s">
        <v>158</v>
      </c>
      <c r="F120" s="7"/>
      <c r="G120" s="7"/>
      <c r="H120" s="11">
        <v>153250</v>
      </c>
    </row>
    <row r="121" spans="2:8" x14ac:dyDescent="0.25">
      <c r="B121" s="7" t="s">
        <v>159</v>
      </c>
      <c r="C121" s="11">
        <v>3000000</v>
      </c>
      <c r="E121" s="7" t="s">
        <v>160</v>
      </c>
      <c r="F121" s="7"/>
      <c r="G121" s="7"/>
      <c r="H121" s="11">
        <v>171300</v>
      </c>
    </row>
    <row r="122" spans="2:3" x14ac:dyDescent="0.25">
      <c r="B122" s="7" t="s">
        <v>161</v>
      </c>
      <c r="C122" s="19">
        <v>7</v>
      </c>
    </row>
    <row r="124" ht="30" customHeight="1" spans="2:7" x14ac:dyDescent="0.25">
      <c r="B124" s="20" t="s">
        <v>162</v>
      </c>
      <c r="C124" s="13" t="s">
        <v>163</v>
      </c>
      <c r="D124" s="13" t="s">
        <v>164</v>
      </c>
      <c r="E124" s="13" t="s">
        <v>165</v>
      </c>
      <c r="G124" s="20" t="s">
        <v>166</v>
      </c>
    </row>
    <row r="125" spans="3:9" x14ac:dyDescent="0.25">
      <c r="C125" s="11">
        <v>0</v>
      </c>
      <c r="D125" s="11">
        <v>0</v>
      </c>
      <c r="E125" s="19">
        <v>18</v>
      </c>
      <c r="G125" s="11">
        <v>0</v>
      </c>
      <c r="H125" s="11">
        <v>0</v>
      </c>
      <c r="I125" s="19">
        <v>0</v>
      </c>
    </row>
    <row r="126" spans="3:9" x14ac:dyDescent="0.25">
      <c r="C126" s="11">
        <v>245100</v>
      </c>
      <c r="D126" s="11">
        <v>44118</v>
      </c>
      <c r="E126" s="19">
        <v>26</v>
      </c>
      <c r="G126" s="11">
        <v>550000</v>
      </c>
      <c r="H126" s="11">
        <v>0</v>
      </c>
      <c r="I126" s="19">
        <v>18</v>
      </c>
    </row>
    <row r="127" spans="3:9" x14ac:dyDescent="0.25">
      <c r="C127" s="11">
        <v>383100</v>
      </c>
      <c r="D127" s="11">
        <v>79998</v>
      </c>
      <c r="E127" s="19">
        <v>31</v>
      </c>
      <c r="G127" s="11">
        <v>770000</v>
      </c>
      <c r="H127" s="11">
        <v>39600</v>
      </c>
      <c r="I127" s="19">
        <v>27</v>
      </c>
    </row>
    <row r="128" spans="3:9" x14ac:dyDescent="0.25">
      <c r="C128" s="11">
        <v>530200</v>
      </c>
      <c r="D128" s="11">
        <v>125599</v>
      </c>
      <c r="E128" s="19">
        <v>36</v>
      </c>
      <c r="G128" s="11">
        <v>1155000</v>
      </c>
      <c r="H128" s="11">
        <v>143550</v>
      </c>
      <c r="I128" s="19">
        <v>36</v>
      </c>
    </row>
    <row r="129" spans="3:5" x14ac:dyDescent="0.25">
      <c r="C129" s="11">
        <v>695800</v>
      </c>
      <c r="D129" s="11">
        <v>185215</v>
      </c>
      <c r="E129" s="19">
        <v>39</v>
      </c>
    </row>
    <row r="130" spans="3:5" x14ac:dyDescent="0.25">
      <c r="C130" s="11">
        <v>887000</v>
      </c>
      <c r="D130" s="11">
        <v>259783</v>
      </c>
      <c r="E130" s="19">
        <v>41</v>
      </c>
    </row>
    <row r="131" spans="3:5" x14ac:dyDescent="0.25">
      <c r="C131" s="11">
        <v>1878600</v>
      </c>
      <c r="D131" s="11">
        <v>666339</v>
      </c>
      <c r="E131" s="19">
        <v>45</v>
      </c>
    </row>
    <row r="132" ht="15" customHeight="1" spans="2:10" x14ac:dyDescent="0.25">
      <c r="B132" s="16" t="s">
        <v>167</v>
      </c>
      <c r="C132" s="16"/>
      <c r="D132" s="16"/>
      <c r="E132" s="16"/>
      <c r="F132" s="16"/>
      <c r="G132" s="16"/>
      <c r="H132" s="16"/>
      <c r="I132" s="16"/>
      <c r="J132" s="16"/>
    </row>
    <row r="134" ht="18" customHeight="1" spans="2:10" x14ac:dyDescent="0.25">
      <c r="B134" s="5" t="s">
        <v>168</v>
      </c>
      <c r="C134" s="6"/>
      <c r="D134" s="6"/>
      <c r="E134" s="6"/>
      <c r="F134" s="6"/>
      <c r="G134" s="6"/>
      <c r="H134" s="6"/>
      <c r="I134" s="6"/>
      <c r="J134" s="6"/>
    </row>
    <row r="135" ht="15" customHeight="1" spans="2:10" x14ac:dyDescent="0.25">
      <c r="B135" s="21">
        <f>IF(SUM(T22:T39)=0,"✓ Every asset taxed on death has a base cost.","✗ "&amp;SUM(T22:T39)&amp;IF(SUM(T22:T39)=1," asset has"," assets have")&amp;" no base cost. Capital gains tax is worked out on the full value (the worst case) until you add it.")</f>
      </c>
      <c r="C135" s="21"/>
      <c r="D135" s="21"/>
      <c r="E135" s="21"/>
      <c r="F135" s="21"/>
      <c r="G135" s="21"/>
      <c r="H135" s="21"/>
      <c r="I135" s="21"/>
      <c r="J135" s="21"/>
    </row>
    <row r="136" ht="15" customHeight="1" spans="2:10" x14ac:dyDescent="0.25">
      <c r="B136" s="21">
        <f>IF(SUM(W22:W39)=0,"✓ Every asset has a kind and says who it passes to.","✗ "&amp;SUM(W22:W39)&amp;IF(SUM(W22:W39)=1," asset is"," assets are")&amp;" missing its kind or who it passes to.")</f>
      </c>
      <c r="C136" s="21"/>
      <c r="D136" s="21"/>
      <c r="E136" s="21"/>
      <c r="F136" s="21"/>
      <c r="G136" s="21"/>
      <c r="H136" s="21"/>
      <c r="I136" s="21"/>
      <c r="J136" s="21"/>
    </row>
    <row r="137" ht="15" customHeight="1" spans="2:10" x14ac:dyDescent="0.25">
      <c r="B137" s="21">
        <f>IF(AND('Inputs'!$C$14="Spouse",LEFT('Inputs'!$C$13,7)&lt;&gt;"Married",'Inputs'!$C$13&lt;&gt;"Life partner",'Inputs'!$C$13&lt;&gt;"Civil Union"),"✗ The residue goes to a spouse, but the marital status is "&amp;'Inputs'!$C$13&amp;".","✓ Who inherits matches the marital status.")</f>
      </c>
      <c r="C137" s="21"/>
      <c r="D137" s="21"/>
      <c r="E137" s="21"/>
      <c r="F137" s="21"/>
      <c r="G137" s="21"/>
      <c r="H137" s="21"/>
      <c r="I137" s="21"/>
      <c r="J137" s="21"/>
    </row>
    <row r="138" ht="15" customHeight="1" spans="2:10" x14ac:dyDescent="0.25">
      <c r="B138" s="21">
        <f>IF(AND('Inputs'!$C$13="Married - ANC with accrual",'Inputs'!$C$14="Spouse"),"✓ Married with accrual and the residue goes to the spouse: the accrual is left out. The spouse's accrual claim and what the spouse inherits are both deducted for estate duty, so it changes neither the duty nor the cash needed (as long as the inheritance is at least the claim).",IF(OR('Inputs'!$C$13="Married in COP",'Inputs'!$C$13="Married - ANC with accrual",'Inputs'!$C$13="Married",'Inputs'!$C$13="Civil Union"),"✗ "&amp;IF(OR('Inputs'!$C$13="Married",'Inputs'!$C$13="Civil Union"),"The marriage regime is not captured.",IF('Inputs'!$C$13="Married in COP","Community of property is not in the Quick FNA yet.","Married with accrual, and not everything goes to the spouse: the accrual claim changes the estate duty."))&amp;" Use the full FNA for this client.","✓ The marital status is one the Quick FNA covers."))</f>
      </c>
      <c r="C138" s="21"/>
      <c r="D138" s="21"/>
      <c r="E138" s="21"/>
      <c r="F138" s="21"/>
      <c r="G138" s="21"/>
      <c r="H138" s="21"/>
      <c r="I138" s="21"/>
      <c r="J138" s="21"/>
    </row>
    <row r="139" ht="15" customHeight="1" spans="2:10" x14ac:dyDescent="0.25">
      <c r="B139" s="21">
        <f>IF((COUNTIF(S22:S39,"&gt;0")+COUNTIF(L59:L70,"&gt;0"))&gt;6,"● "&amp;(COUNTIF(S22:S39,"&gt;0")+COUNTIF(L59:L70,"&gt;0"))&amp;" named people pay estate duty: Workings lists the first 6; the total includes them all.","✓ Every named person who pays estate duty is listed on Workings.")</f>
      </c>
      <c r="C139" s="21"/>
      <c r="D139" s="21"/>
      <c r="E139" s="21"/>
      <c r="F139" s="21"/>
      <c r="G139" s="21"/>
      <c r="H139" s="21"/>
      <c r="I139" s="21"/>
      <c r="J139" s="21"/>
    </row>
    <row r="140" ht="15" customHeight="1" spans="2:10" x14ac:dyDescent="0.25">
      <c r="B140" s="21">
        <f>IF(SUM(P89:P94)=0,IF(COUNTIF(B89:B94,"?*")=0,"● No dependants in section 6, so there is no life cover need (the cost of dying still applies).","✓ Every dependant has a relationship, a need and the years."),"✗ "&amp;SUM(P89:P94)&amp;" dependant(s) in section 6 without a relationship, a need a month or the years.")</f>
      </c>
      <c r="C140" s="21"/>
      <c r="D140" s="21"/>
      <c r="E140" s="21"/>
      <c r="F140" s="21"/>
      <c r="G140" s="21"/>
      <c r="H140" s="21"/>
      <c r="I140" s="21"/>
      <c r="J140" s="21"/>
    </row>
    <row r="141" ht="15" customHeight="1" spans="2:10" x14ac:dyDescent="0.25">
      <c r="B141" s="21">
        <f>IF(((C8&lt;&gt;AB8)+(C9&lt;&gt;AB9)+(C10&lt;&gt;AB10)+(C11&lt;&gt;AB11)+(C12&lt;&gt;AB12)+(C13&lt;&gt;AB13)+(C14&lt;&gt;AB14)+(C16&lt;&gt;AB16)+(C17&lt;&gt;AB17)+(C95&lt;&gt;AB95)+SUMPRODUCT(--(B22:I39&lt;&gt;AA22:AH39))+SUMPRODUCT(--(B45:I54&lt;&gt;AA45:AH54))+SUMPRODUCT(--(B59:I70&lt;&gt;AA59:AH70))+SUMPRODUCT(--(B76:I83&lt;&gt;AA76:AH83))+SUMPRODUCT(--(B89:I94&lt;&gt;AA89:AH94)))=0,"✓ Everything in sections 1 to 6 matches the CRM.","● "&amp;((C8&lt;&gt;AB8)+(C9&lt;&gt;AB9)+(C10&lt;&gt;AB10)+(C11&lt;&gt;AB11)+(C12&lt;&gt;AB12)+(C13&lt;&gt;AB13)+(C14&lt;&gt;AB14)+(C16&lt;&gt;AB16)+(C17&lt;&gt;AB17)+(C95&lt;&gt;AB95)+SUMPRODUCT(--(B22:I39&lt;&gt;AA22:AH39))+SUMPRODUCT(--(B45:I54&lt;&gt;AA45:AH54))+SUMPRODUCT(--(B59:I70&lt;&gt;AA59:AH70))+SUMPRODUCT(--(B76:I83&lt;&gt;AA76:AH83))+SUMPRODUCT(--(B89:I94&lt;&gt;AA89:AH94)))&amp;IF(((C8&lt;&gt;AB8)+(C9&lt;&gt;AB9)+(C10&lt;&gt;AB10)+(C11&lt;&gt;AB11)+(C12&lt;&gt;AB12)+(C13&lt;&gt;AB13)+(C14&lt;&gt;AB14)+(C16&lt;&gt;AB16)+(C17&lt;&gt;AB17)+(C95&lt;&gt;AB95)+SUMPRODUCT(--(B22:I39&lt;&gt;AA22:AH39))+SUMPRODUCT(--(B45:I54&lt;&gt;AA45:AH54))+SUMPRODUCT(--(B59:I70&lt;&gt;AA59:AH70))+SUMPRODUCT(--(B76:I83&lt;&gt;AA76:AH83))+SUMPRODUCT(--(B89:I94&lt;&gt;AA89:AH94)))=1," cell differs"," cells differ")&amp;" from the CRM (orange): update the CRM if they are facts, not a what-if.")</f>
      </c>
      <c r="C141" s="21"/>
      <c r="D141" s="21"/>
      <c r="E141" s="21"/>
      <c r="F141" s="21"/>
      <c r="G141" s="21"/>
      <c r="H141" s="21"/>
      <c r="I141" s="21"/>
      <c r="J141" s="21"/>
    </row>
    <row r="142" hidden="1" spans="2:2" x14ac:dyDescent="0.25">
      <c r="B142" t="s">
        <v>169</v>
      </c>
    </row>
    <row r="143" ht="15" customHeight="1" spans="2:10" x14ac:dyDescent="0.25">
      <c r="B143" s="22"/>
      <c r="C143" s="22"/>
      <c r="D143" s="22"/>
      <c r="E143" s="22"/>
      <c r="F143" s="22"/>
      <c r="G143" s="22"/>
      <c r="H143" s="22"/>
      <c r="I143" s="22"/>
      <c r="J143" s="22"/>
    </row>
    <row r="144" ht="15" customHeight="1" spans="2:10" x14ac:dyDescent="0.25">
      <c r="B144" s="22"/>
      <c r="C144" s="22"/>
      <c r="D144" s="22"/>
      <c r="E144" s="22"/>
      <c r="F144" s="22"/>
      <c r="G144" s="22"/>
      <c r="H144" s="22"/>
      <c r="I144" s="22"/>
      <c r="J144" s="22"/>
    </row>
    <row r="145" ht="15" customHeight="1" spans="2:10" x14ac:dyDescent="0.25">
      <c r="B145" s="22"/>
      <c r="C145" s="22"/>
      <c r="D145" s="22"/>
      <c r="E145" s="22"/>
      <c r="F145" s="22"/>
      <c r="G145" s="22"/>
      <c r="H145" s="22"/>
      <c r="I145" s="22"/>
      <c r="J145" s="22"/>
    </row>
    <row r="146" ht="15" customHeight="1" spans="2:10" x14ac:dyDescent="0.25">
      <c r="B146" s="22"/>
      <c r="C146" s="22"/>
      <c r="D146" s="22"/>
      <c r="E146" s="22"/>
      <c r="F146" s="22"/>
      <c r="G146" s="22"/>
      <c r="H146" s="22"/>
      <c r="I146" s="22"/>
      <c r="J146" s="22"/>
    </row>
    <row r="147" ht="15" customHeight="1" spans="2:10" x14ac:dyDescent="0.25">
      <c r="B147" s="22"/>
      <c r="C147" s="22"/>
      <c r="D147" s="22"/>
      <c r="E147" s="22"/>
      <c r="F147" s="22"/>
      <c r="G147" s="22"/>
      <c r="H147" s="22"/>
      <c r="I147" s="22"/>
      <c r="J147" s="22"/>
    </row>
    <row r="148" ht="15" customHeight="1" spans="2:10" x14ac:dyDescent="0.25">
      <c r="B148" s="22"/>
      <c r="C148" s="22"/>
      <c r="D148" s="22"/>
      <c r="E148" s="22"/>
      <c r="F148" s="22"/>
      <c r="G148" s="22"/>
      <c r="H148" s="22"/>
      <c r="I148" s="22"/>
      <c r="J148" s="22"/>
    </row>
    <row r="149" ht="15" customHeight="1" spans="2:10" x14ac:dyDescent="0.25">
      <c r="B149" s="22"/>
      <c r="C149" s="22"/>
      <c r="D149" s="22"/>
      <c r="E149" s="22"/>
      <c r="F149" s="22"/>
      <c r="G149" s="22"/>
      <c r="H149" s="22"/>
      <c r="I149" s="22"/>
      <c r="J149" s="22"/>
    </row>
    <row r="150" ht="15" customHeight="1" spans="2:10" x14ac:dyDescent="0.25">
      <c r="B150" s="22"/>
      <c r="C150" s="22"/>
      <c r="D150" s="22"/>
      <c r="E150" s="22"/>
      <c r="F150" s="22"/>
      <c r="G150" s="22"/>
      <c r="H150" s="22"/>
      <c r="I150" s="22"/>
      <c r="J150" s="22"/>
    </row>
    <row r="151" ht="15" customHeight="1" spans="2:10" x14ac:dyDescent="0.25">
      <c r="B151" s="22"/>
      <c r="C151" s="22"/>
      <c r="D151" s="22"/>
      <c r="E151" s="22"/>
      <c r="F151" s="22"/>
      <c r="G151" s="22"/>
      <c r="H151" s="22"/>
      <c r="I151" s="22"/>
      <c r="J151" s="22"/>
    </row>
    <row r="152" ht="15" customHeight="1" spans="2:10" x14ac:dyDescent="0.25">
      <c r="B152" s="22"/>
      <c r="C152" s="22"/>
      <c r="D152" s="22"/>
      <c r="E152" s="22"/>
      <c r="F152" s="22"/>
      <c r="G152" s="22"/>
      <c r="H152" s="22"/>
      <c r="I152" s="22"/>
      <c r="J152" s="22"/>
    </row>
    <row r="153" ht="15" customHeight="1" spans="2:10" x14ac:dyDescent="0.25">
      <c r="B153" s="22"/>
      <c r="C153" s="22"/>
      <c r="D153" s="22"/>
      <c r="E153" s="22"/>
      <c r="F153" s="22"/>
      <c r="G153" s="22"/>
      <c r="H153" s="22"/>
      <c r="I153" s="22"/>
      <c r="J153" s="22"/>
    </row>
    <row r="154" ht="15" customHeight="1" spans="2:10" x14ac:dyDescent="0.25">
      <c r="B154" s="22"/>
      <c r="C154" s="22"/>
      <c r="D154" s="22"/>
      <c r="E154" s="22"/>
      <c r="F154" s="22"/>
      <c r="G154" s="22"/>
      <c r="H154" s="22"/>
      <c r="I154" s="22"/>
      <c r="J154" s="22"/>
    </row>
    <row r="155" ht="15" customHeight="1" spans="2:10" x14ac:dyDescent="0.25">
      <c r="B155" s="22"/>
      <c r="C155" s="22"/>
      <c r="D155" s="22"/>
      <c r="E155" s="22"/>
      <c r="F155" s="22"/>
      <c r="G155" s="22"/>
      <c r="H155" s="22"/>
      <c r="I155" s="22"/>
      <c r="J155" s="22"/>
    </row>
    <row r="156" ht="15" customHeight="1" spans="2:10" x14ac:dyDescent="0.25">
      <c r="B156" s="22"/>
      <c r="C156" s="22"/>
      <c r="D156" s="22"/>
      <c r="E156" s="22"/>
      <c r="F156" s="22"/>
      <c r="G156" s="22"/>
      <c r="H156" s="22"/>
      <c r="I156" s="22"/>
      <c r="J156" s="22"/>
    </row>
  </sheetData>
  <sheetProtection sheet="1" formatRows="0"/>
  <mergeCells count="76">
    <mergeCell ref="B1:J1"/>
    <mergeCell ref="B2:J2"/>
    <mergeCell ref="C8:E8"/>
    <mergeCell ref="C9:E9"/>
    <mergeCell ref="C10:E10"/>
    <mergeCell ref="C11:E11"/>
    <mergeCell ref="C12:E12"/>
    <mergeCell ref="C13:E13"/>
    <mergeCell ref="C14:E14"/>
    <mergeCell ref="C15:I15"/>
    <mergeCell ref="C16:E16"/>
    <mergeCell ref="C17:I17"/>
    <mergeCell ref="B40:J40"/>
    <mergeCell ref="F58:H58"/>
    <mergeCell ref="F59:H59"/>
    <mergeCell ref="F60:H60"/>
    <mergeCell ref="F61:H61"/>
    <mergeCell ref="F62:H62"/>
    <mergeCell ref="F63:H63"/>
    <mergeCell ref="F64:H64"/>
    <mergeCell ref="F65:H65"/>
    <mergeCell ref="F66:H66"/>
    <mergeCell ref="F67:H67"/>
    <mergeCell ref="F68:H68"/>
    <mergeCell ref="F69:H69"/>
    <mergeCell ref="F70:H70"/>
    <mergeCell ref="B71:J71"/>
    <mergeCell ref="F75:H75"/>
    <mergeCell ref="F76:H76"/>
    <mergeCell ref="F77:H77"/>
    <mergeCell ref="F78:H78"/>
    <mergeCell ref="F79:H79"/>
    <mergeCell ref="F80:H80"/>
    <mergeCell ref="F81:H81"/>
    <mergeCell ref="F82:H82"/>
    <mergeCell ref="F83:H83"/>
    <mergeCell ref="B84:J84"/>
    <mergeCell ref="C95:E95"/>
    <mergeCell ref="B96:J96"/>
    <mergeCell ref="B105:J105"/>
    <mergeCell ref="E108:G108"/>
    <mergeCell ref="E109:G109"/>
    <mergeCell ref="E110:G110"/>
    <mergeCell ref="E111:G111"/>
    <mergeCell ref="E112:G112"/>
    <mergeCell ref="E113:G113"/>
    <mergeCell ref="E114:G114"/>
    <mergeCell ref="E115:G115"/>
    <mergeCell ref="E116:G116"/>
    <mergeCell ref="E117:G117"/>
    <mergeCell ref="E118:G118"/>
    <mergeCell ref="E119:G119"/>
    <mergeCell ref="E120:G120"/>
    <mergeCell ref="E121:G121"/>
    <mergeCell ref="B132:J132"/>
    <mergeCell ref="B135:J135"/>
    <mergeCell ref="B136:J136"/>
    <mergeCell ref="B137:J137"/>
    <mergeCell ref="B138:J138"/>
    <mergeCell ref="B139:J139"/>
    <mergeCell ref="B140:J140"/>
    <mergeCell ref="B141:J141"/>
    <mergeCell ref="B143:J143"/>
    <mergeCell ref="B144:J144"/>
    <mergeCell ref="B145:J145"/>
    <mergeCell ref="B146:J146"/>
    <mergeCell ref="B147:J147"/>
    <mergeCell ref="B148:J148"/>
    <mergeCell ref="B149:J149"/>
    <mergeCell ref="B150:J150"/>
    <mergeCell ref="B151:J151"/>
    <mergeCell ref="B152:J152"/>
    <mergeCell ref="B153:J153"/>
    <mergeCell ref="B154:J154"/>
    <mergeCell ref="B155:J155"/>
    <mergeCell ref="B156:J156"/>
  </mergeCells>
  <conditionalFormatting sqref="B135:J156">
    <cfRule type="expression" dxfId="0" priority="1">
      <formula>LEFT($B135,1)="✗"</formula>
    </cfRule>
    <cfRule type="expression" dxfId="1" priority="2">
      <formula>LEFT($B135,1)="✓"</formula>
    </cfRule>
    <cfRule type="expression" dxfId="2" priority="3">
      <formula>LEFT($B135,1)="●"</formula>
    </cfRule>
  </conditionalFormatting>
  <conditionalFormatting sqref="C8">
    <cfRule type="expression" dxfId="3" priority="4">
      <formula>C8&lt;&gt;AB8</formula>
    </cfRule>
  </conditionalFormatting>
  <conditionalFormatting sqref="C9">
    <cfRule type="expression" dxfId="4" priority="5">
      <formula>C9&lt;&gt;AB9</formula>
    </cfRule>
  </conditionalFormatting>
  <conditionalFormatting sqref="C10">
    <cfRule type="expression" dxfId="5" priority="6">
      <formula>C10&lt;&gt;AB10</formula>
    </cfRule>
  </conditionalFormatting>
  <conditionalFormatting sqref="C11">
    <cfRule type="expression" dxfId="6" priority="7">
      <formula>C11&lt;&gt;AB11</formula>
    </cfRule>
  </conditionalFormatting>
  <conditionalFormatting sqref="C12">
    <cfRule type="expression" dxfId="7" priority="8">
      <formula>C12&lt;&gt;AB12</formula>
    </cfRule>
  </conditionalFormatting>
  <conditionalFormatting sqref="C13">
    <cfRule type="expression" dxfId="8" priority="9">
      <formula>C13&lt;&gt;AB13</formula>
    </cfRule>
  </conditionalFormatting>
  <conditionalFormatting sqref="C14">
    <cfRule type="expression" dxfId="9" priority="10">
      <formula>C14&lt;&gt;AB14</formula>
    </cfRule>
  </conditionalFormatting>
  <conditionalFormatting sqref="C16">
    <cfRule type="expression" dxfId="10" priority="11">
      <formula>C16&lt;&gt;AB16</formula>
    </cfRule>
  </conditionalFormatting>
  <conditionalFormatting sqref="C17">
    <cfRule type="expression" dxfId="11" priority="12">
      <formula>C17&lt;&gt;AB17</formula>
    </cfRule>
  </conditionalFormatting>
  <conditionalFormatting sqref="C95">
    <cfRule type="expression" dxfId="12" priority="13">
      <formula>C95&lt;&gt;AB95</formula>
    </cfRule>
  </conditionalFormatting>
  <conditionalFormatting sqref="B22:I39">
    <cfRule type="expression" dxfId="13" priority="14">
      <formula>B22&lt;&gt;AA22</formula>
    </cfRule>
  </conditionalFormatting>
  <conditionalFormatting sqref="B45:I54">
    <cfRule type="expression" dxfId="14" priority="15">
      <formula>B45&lt;&gt;AA45</formula>
    </cfRule>
  </conditionalFormatting>
  <conditionalFormatting sqref="B59:I70">
    <cfRule type="expression" dxfId="15" priority="16">
      <formula>B59&lt;&gt;AA59</formula>
    </cfRule>
  </conditionalFormatting>
  <conditionalFormatting sqref="B76:I83">
    <cfRule type="expression" dxfId="16" priority="17">
      <formula>B76&lt;&gt;AA76</formula>
    </cfRule>
  </conditionalFormatting>
  <conditionalFormatting sqref="B89:I94">
    <cfRule type="expression" dxfId="17" priority="18">
      <formula>B89&lt;&gt;AA89</formula>
    </cfRule>
  </conditionalFormatting>
  <dataValidations count="47">
    <dataValidation type="decimal" allowBlank="1" showErrorMessage="1" errorStyle="stop" errorTitle="Percentage" error="Please type the percentage as a plain number, e.g. 2.92 for 2.92%. Do not add the % sign." sqref="C100">
      <formula1>0</formula1>
      <formula2>100</formula2>
    </dataValidation>
    <dataValidation type="decimal" operator="greaterThanOrEqual" allowBlank="1" showErrorMessage="1" errorStyle="stop" errorTitle="Amount" error="Please type the amount in rand as a number, without R or spaces, e.g. 1250000." sqref="C101">
      <formula1>0</formula1>
    </dataValidation>
    <dataValidation type="decimal" allowBlank="1" showErrorMessage="1" errorStyle="stop" errorTitle="Percentage" error="Please type the percentage as a plain number, e.g. 2.92 for 2.92%. Do not add the % sign." sqref="C102">
      <formula1>0</formula1>
      <formula2>100</formula2>
    </dataValidation>
    <dataValidation type="decimal" operator="greaterThanOrEqual" allowBlank="1" showErrorMessage="1" errorStyle="stop" errorTitle="Amount" error="Please type the amount in rand as a number, without R or spaces, e.g. 1250000." sqref="C103:C104">
      <formula1>0</formula1>
    </dataValidation>
    <dataValidation type="decimal" allowBlank="1" showErrorMessage="1" errorStyle="stop" errorTitle="Percentage" error="Please type the percentage as a plain number, e.g. 2.92 for 2.92%. Do not add the % sign." sqref="C108:C109">
      <formula1>0</formula1>
      <formula2>100</formula2>
    </dataValidation>
    <dataValidation type="date" allowBlank="1" showErrorMessage="1" errorStyle="stop" errorTitle="Date" error="Please type a date like 2026-10-13." sqref="C11:C12">
      <formula1>32874</formula1>
      <formula2>73415</formula2>
    </dataValidation>
    <dataValidation type="decimal" operator="greaterThanOrEqual" allowBlank="1" showErrorMessage="1" errorStyle="stop" errorTitle="Amount" error="Please type the amount in rand as a number, without R or spaces, e.g. 1250000." sqref="C110:C112">
      <formula1>0</formula1>
    </dataValidation>
    <dataValidation type="decimal" allowBlank="1" showErrorMessage="1" errorStyle="stop" errorTitle="Percentage" error="Please type the percentage as a plain number, e.g. 2.92 for 2.92%. Do not add the % sign." sqref="C113:C114">
      <formula1>0</formula1>
      <formula2>100</formula2>
    </dataValidation>
    <dataValidation type="decimal" operator="greaterThanOrEqual" allowBlank="1" showErrorMessage="1" errorStyle="stop" errorTitle="Amount" error="Please type the amount in rand as a number, without R or spaces, e.g. 1250000." sqref="C115">
      <formula1>0</formula1>
    </dataValidation>
    <dataValidation type="decimal" allowBlank="1" showErrorMessage="1" errorStyle="stop" errorTitle="Percentage" error="Please type the percentage as a plain number, e.g. 2.92 for 2.92%. Do not add the % sign." sqref="C116">
      <formula1>0</formula1>
      <formula2>100</formula2>
    </dataValidation>
    <dataValidation type="decimal" operator="greaterThanOrEqual" allowBlank="1" showErrorMessage="1" errorStyle="stop" errorTitle="Amount" error="Please type the amount in rand as a number, without R or spaces, e.g. 1250000." sqref="C117">
      <formula1>0</formula1>
    </dataValidation>
    <dataValidation type="decimal" allowBlank="1" showErrorMessage="1" errorStyle="stop" errorTitle="Percentage" error="Please type the percentage as a plain number, e.g. 2.92 for 2.92%. Do not add the % sign." sqref="C118">
      <formula1>0</formula1>
      <formula2>100</formula2>
    </dataValidation>
    <dataValidation type="decimal" operator="greaterThanOrEqual" allowBlank="1" showErrorMessage="1" errorStyle="stop" errorTitle="Amount" error="Please type the amount in rand as a number, without R or spaces, e.g. 1250000." sqref="C119">
      <formula1>0</formula1>
    </dataValidation>
    <dataValidation type="decimal" allowBlank="1" showErrorMessage="1" errorStyle="stop" errorTitle="Percentage" error="Please type the percentage as a plain number, e.g. 2.92 for 2.92%. Do not add the % sign." sqref="C120">
      <formula1>0</formula1>
      <formula2>100</formula2>
    </dataValidation>
    <dataValidation type="decimal" operator="greaterThanOrEqual" allowBlank="1" showErrorMessage="1" errorStyle="stop" errorTitle="Amount" error="Please type the amount in rand as a number, without R or spaces, e.g. 1250000." sqref="C121">
      <formula1>0</formula1>
    </dataValidation>
    <dataValidation type="decimal" allowBlank="1" showErrorMessage="1" errorStyle="stop" errorTitle="Percentage" error="Please type the percentage as a plain number, e.g. 2.92 for 2.92%. Do not add the % sign." sqref="C122">
      <formula1>0</formula1>
      <formula2>100</formula2>
    </dataValidation>
    <dataValidation type="decimal" operator="greaterThanOrEqual" allowBlank="1" showErrorMessage="1" errorStyle="stop" errorTitle="Amount" error="Please type the amount in rand as a number, without R or spaces, e.g. 1250000." sqref="C125:D131">
      <formula1>0</formula1>
    </dataValidation>
    <dataValidation type="list" allowBlank="1" showErrorMessage="1" errorStyle="stop" errorTitle="Please choose from the list" error="Please choose one of the options in the list." sqref="C13">
      <formula1>'Lists'!$J$2:$J$12</formula1>
    </dataValidation>
    <dataValidation type="list" allowBlank="1" showErrorMessage="1" errorStyle="stop" errorTitle="Please choose from the list" error="Please choose one of the options in the list." sqref="C14">
      <formula1>'Lists'!$E$2:$E$3</formula1>
    </dataValidation>
    <dataValidation type="decimal" operator="greaterThanOrEqual" allowBlank="1" showErrorMessage="1" errorStyle="stop" errorTitle="Amount" error="Please type the amount in rand as a number, without R or spaces, e.g. 1250000." sqref="C16">
      <formula1>0</formula1>
    </dataValidation>
    <dataValidation type="list" allowBlank="1" showErrorMessage="1" errorStyle="stop" errorTitle="Please choose from the list" error="Please choose one of the options in the list." sqref="C22:C39">
      <formula1>'Lists'!$A$2:$A$9</formula1>
    </dataValidation>
    <dataValidation type="list" allowBlank="1" showErrorMessage="1" errorStyle="stop" errorTitle="Please choose from the list" error="Please choose one of the options in the list." sqref="C59:C70">
      <formula1>'Lists'!$C$2:$C$4</formula1>
    </dataValidation>
    <dataValidation type="list" allowBlank="1" showErrorMessage="1" errorStyle="stop" errorTitle="Please choose from the list" error="Please choose one of the options in the list." sqref="C89:C94">
      <formula1>'Lists'!$F$2:$F$4</formula1>
    </dataValidation>
    <dataValidation type="list" allowBlank="1" showErrorMessage="1" errorStyle="stop" errorTitle="Please choose from the list" error="Please choose one of the options in the list." sqref="C95">
      <formula1>'Lists'!$G$2:$G$4</formula1>
    </dataValidation>
    <dataValidation type="decimal" operator="greaterThanOrEqual" allowBlank="1" showErrorMessage="1" errorStyle="stop" errorTitle="Amount" error="Please type the amount in rand as a number, without R or spaces, e.g. 1250000." sqref="D22:E39">
      <formula1>0</formula1>
    </dataValidation>
    <dataValidation type="decimal" operator="greaterThanOrEqual" allowBlank="1" showErrorMessage="1" errorStyle="stop" errorTitle="Amount" error="Please type the amount in rand as a number, without R or spaces, e.g. 1250000." sqref="D45:D54">
      <formula1>0</formula1>
    </dataValidation>
    <dataValidation type="decimal" operator="greaterThanOrEqual" allowBlank="1" showErrorMessage="1" errorStyle="stop" errorTitle="Amount" error="Please type the amount in rand as a number, without R or spaces, e.g. 1250000." sqref="D59:D70">
      <formula1>0</formula1>
    </dataValidation>
    <dataValidation type="decimal" operator="greaterThanOrEqual" allowBlank="1" showErrorMessage="1" errorStyle="stop" errorTitle="Amount" error="Please type the amount in rand as a number, without R or spaces, e.g. 1250000." sqref="D76:D83">
      <formula1>0</formula1>
    </dataValidation>
    <dataValidation type="whole" allowBlank="1" showErrorMessage="1" errorStyle="stop" errorTitle="Years" error="Please type the number of years as a whole number, e.g. 10." sqref="D89:D94">
      <formula1>0</formula1>
      <formula2>60</formula2>
    </dataValidation>
    <dataValidation type="decimal" allowBlank="1" showErrorMessage="1" errorStyle="stop" errorTitle="Percentage" error="Please type the percentage as a plain number, e.g. 2.92 for 2.92%. Do not add the % sign." sqref="E125:E131">
      <formula1>0</formula1>
      <formula2>100</formula2>
    </dataValidation>
    <dataValidation type="list" allowBlank="1" showErrorMessage="1" errorStyle="stop" errorTitle="Please choose from the list" error="Please choose one of the options in the list." sqref="E59:E70">
      <formula1>'Lists'!$D$2:$D$3</formula1>
    </dataValidation>
    <dataValidation type="decimal" operator="greaterThanOrEqual" allowBlank="1" showErrorMessage="1" errorStyle="stop" errorTitle="Amount" error="Please type the amount in rand as a number, without R or spaces, e.g. 1250000." sqref="E89:E94">
      <formula1>0</formula1>
    </dataValidation>
    <dataValidation type="list" allowBlank="1" showErrorMessage="1" errorStyle="stop" errorTitle="Please choose from the list" error="Please choose one of the options in the list." sqref="F22:F39">
      <formula1>'Lists'!$D$2:$D$3</formula1>
    </dataValidation>
    <dataValidation type="list" allowBlank="1" showErrorMessage="1" errorStyle="stop" errorTitle="Please choose from the list" error="Choose one of the people in section 6, or the children's trust, or leave it blank." sqref="F59:F70">
      <formula1>QF_L_whom</formula1>
    </dataValidation>
    <dataValidation type="list" allowBlank="1" showErrorMessage="1" errorStyle="stop" errorTitle="Please choose from the list" error="Choose one of the people in section 6, or the children's trust, or leave it blank." sqref="F76:F83">
      <formula1>QF_L_whom</formula1>
    </dataValidation>
    <dataValidation type="whole" allowBlank="1" showErrorMessage="1" errorStyle="stop" errorTitle="Years" error="Please type the number of years as a whole number, e.g. 10." sqref="F89:F94">
      <formula1>0</formula1>
      <formula2>60</formula2>
    </dataValidation>
    <dataValidation type="decimal" operator="greaterThanOrEqual" allowBlank="1" showErrorMessage="1" errorStyle="stop" errorTitle="Amount" error="Please type the amount in rand as a number, without R or spaces, e.g. 1250000." sqref="G125:H128">
      <formula1>0</formula1>
    </dataValidation>
    <dataValidation type="list" allowBlank="1" showErrorMessage="1" errorStyle="stop" errorTitle="Please choose from the list" error="Please choose one of the options in the list." sqref="G22:G39">
      <formula1>'Lists'!$B$2:$B$4</formula1>
    </dataValidation>
    <dataValidation type="decimal" allowBlank="1" showErrorMessage="1" errorStyle="stop" errorTitle="Percentage" error="Please type the percentage as a plain number, e.g. 2.92 for 2.92%. Do not add the % sign." sqref="G89:G94">
      <formula1>0</formula1>
      <formula2>100</formula2>
    </dataValidation>
    <dataValidation type="decimal" allowBlank="1" showErrorMessage="1" errorStyle="stop" errorTitle="Percentage" error="Please type the percentage as a plain number, e.g. 2.92 for 2.92%. Do not add the % sign." sqref="H108">
      <formula1>0</formula1>
      <formula2>100</formula2>
    </dataValidation>
    <dataValidation type="decimal" operator="greaterThanOrEqual" allowBlank="1" showErrorMessage="1" errorStyle="stop" errorTitle="Amount" error="Please type the amount in rand as a number, without R or spaces, e.g. 1250000." sqref="H109">
      <formula1>0</formula1>
    </dataValidation>
    <dataValidation type="decimal" allowBlank="1" showErrorMessage="1" errorStyle="stop" errorTitle="Percentage" error="Please type the percentage as a plain number, e.g. 2.92 for 2.92%. Do not add the % sign." sqref="H110:H116">
      <formula1>0</formula1>
      <formula2>100</formula2>
    </dataValidation>
    <dataValidation type="decimal" operator="greaterThanOrEqual" allowBlank="1" showErrorMessage="1" errorStyle="stop" errorTitle="Amount" error="Please type the amount in rand as a number, without R or spaces, e.g. 1250000." sqref="H117:H121">
      <formula1>0</formula1>
    </dataValidation>
    <dataValidation type="list" allowBlank="1" showErrorMessage="1" errorStyle="stop" errorTitle="Please choose from the list" error="Please choose one of the options in the list." sqref="H22:H39">
      <formula1>'Lists'!$D$2:$D$3</formula1>
    </dataValidation>
    <dataValidation type="list" allowBlank="1" showErrorMessage="1" errorStyle="stop" errorTitle="Please choose from the list" error="Please choose one of the options in the list." sqref="H89:H94">
      <formula1>'Lists'!$D$2:$D$3</formula1>
    </dataValidation>
    <dataValidation type="decimal" allowBlank="1" showErrorMessage="1" errorStyle="stop" errorTitle="Percentage" error="Please type the percentage as a plain number, e.g. 2.92 for 2.92%. Do not add the % sign." sqref="I125:I128">
      <formula1>0</formula1>
      <formula2>100</formula2>
    </dataValidation>
    <dataValidation type="decimal" operator="greaterThanOrEqual" allowBlank="1" showErrorMessage="1" errorStyle="stop" errorTitle="Amount" error="Please type the amount in rand as a number, without R or spaces, e.g. 1250000." sqref="I89:I94">
      <formula1>0</formula1>
    </dataValidation>
  </dataValidations>
  <printOptions horizontalCentered="1"/>
  <pageMargins left="0.4" right="0.4" top="0.45" bottom="0.6" header="0.25" footer="0.3"/>
  <pageSetup paperSize="9" orientation="landscape" horizontalDpi="4294967295" verticalDpi="4294967295" scale="100" fitToWidth="1" fitToHeight="0"/>
  <headerFooter>
    <oddFooter>&amp;L&amp;8&amp;"Arial"Duwalcoe Financial Consultants CC  ·  FSP 9978  ·  Quick FNA inputs&amp;R&amp;8&amp;"Arial"&amp;A  ·  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36"/>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46" customWidth="1"/>
    <col min="3" max="3" width="21" customWidth="1"/>
    <col min="4" max="4" width="27" customWidth="1"/>
  </cols>
  <sheetData>
    <row r="1" ht="21.75" customHeight="1" spans="2:4" x14ac:dyDescent="0.25">
      <c r="B1" s="1" t="s">
        <v>55</v>
      </c>
      <c r="C1" s="1"/>
      <c r="D1" s="1"/>
    </row>
    <row r="2" ht="15" customHeight="1" spans="2:4" x14ac:dyDescent="0.25">
      <c r="B2" s="2" t="s">
        <v>56</v>
      </c>
      <c r="C2" s="2"/>
      <c r="D2" s="2"/>
    </row>
    <row r="3" spans="2:4" x14ac:dyDescent="0.25">
      <c r="B3" s="23">
        <f>IF(OR(COUNTIF('Inputs'!$B$143:$B$156,"✗ Full FNA*")&gt;0,LEFT('Inputs'!$B$138,1)="✗"),"NOT FOR THE CLIENT: this case needs the full FNA (see Checks on Inputs)","")</f>
      </c>
      <c r="C3" s="23"/>
      <c r="D3" s="23"/>
    </row>
    <row r="4" ht="20" customHeight="1" spans="2:2" x14ac:dyDescent="0.25">
      <c r="B4" s="3" t="s">
        <v>170</v>
      </c>
    </row>
    <row r="5" spans="2:2" x14ac:dyDescent="0.25">
      <c r="B5" s="4">
        <f>"Prepared for "&amp;'Inputs'!$C$8&amp;" by "&amp;'Inputs'!$C$10&amp;" · "&amp;IF(ISNUMBER('Inputs'!$C$11),FIXED(DAY('Inputs'!$C$11),0)&amp;" "&amp;CHOOSE(MONTH('Inputs'!$C$11),"January","February","March","April","May","June","July","August","September","October","November","December")&amp;" "&amp;FIXED(YEAR('Inputs'!$C$11),0,TRUE),"")</f>
      </c>
    </row>
    <row r="7" ht="58" customHeight="1" spans="2:4" x14ac:dyDescent="0.25">
      <c r="B7" s="24">
        <f>IF('Inputs'!$C$15&lt;&gt;"",TRIM('Inputs'!$C$15)&amp;" ","")&amp;"If you died today, winding up your estate would cost about R "&amp;FIXED(('Workings'!$C$56)/1000000,2)&amp;" million"&amp;IF('Workings'!$C$59&gt;0,", and your debts of R "&amp;FIXED(('Workings'!$C$59)/1000000,2)&amp;" million have to be paid too","")&amp;". Your executor would have R "&amp;FIXED(('Workings'!$C$63)/1000000,2)&amp;" million in cash, so "&amp;IF('Workings'!$C$64&gt;0,"would be short by about R "&amp;FIXED(('Workings'!$C$64)/1000000,2)&amp;" million.","would have enough, with about R "&amp;FIXED(ROUND('Workings'!$C$65,-3),0)&amp;" left over.")</f>
      </c>
      <c r="C7" s="24"/>
      <c r="D7" s="24"/>
    </row>
    <row r="8" ht="44" customHeight="1" spans="2:4" x14ac:dyDescent="0.25">
      <c r="B8" s="24">
        <f>IF(AND(ISNUMBER('Inputs'!$C$100),'Inputs'!$C$100&gt;0),"With a Capital Legacy will and the Legacy Protection Plan, the plan pays about R "&amp;FIXED(ROUND(-'Workings'!$D$57,-3),0)&amp;" of the executor's and conveyancing fees, "&amp;IF('Workings'!$D$64=0,IF('Workings'!$C$64&gt;0,"the shortfall disappears","your executor still has enough"),"the shortfall falls to about R "&amp;FIXED(ROUND('Workings'!$D$64,-3),0))&amp;", and your heirs receive about R "&amp;FIXED(('Workings'!$D$66-'Workings'!$C$66)/1000000,2)&amp;" million more.","")</f>
      </c>
      <c r="C8" s="24"/>
      <c r="D8" s="24"/>
    </row>
    <row r="10" spans="2:4" x14ac:dyDescent="0.25">
      <c r="B10" s="25">
        <f>IF('Workings'!$C$64&gt;0,"YOUR EXECUTOR'S CASH SHORTFALL TODAY","CASH LEFT OVER FOR YOUR EXECUTOR TODAY")</f>
      </c>
      <c r="C10" s="25"/>
      <c r="D10" s="25"/>
    </row>
    <row r="11" ht="28" customHeight="1" spans="2:4" x14ac:dyDescent="0.25">
      <c r="B11" s="26">
        <f>"R "&amp;FIXED(ROUND(IF('Workings'!$C$64&gt;0,'Workings'!$C$64,'Workings'!$C$65),-3),0)</f>
      </c>
      <c r="C11" s="26"/>
      <c r="D11" s="26"/>
    </row>
    <row r="12" spans="2:4" x14ac:dyDescent="0.25">
      <c r="B12" s="27">
        <f>IF('Workings'!$C$64&gt;0,"the cash that has to be found before your estate can be wound up","what is left once the costs are paid")</f>
      </c>
      <c r="C12" s="27"/>
      <c r="D12" s="27"/>
    </row>
    <row r="14" ht="42" customHeight="1" spans="2:4" x14ac:dyDescent="0.25">
      <c r="B14" s="12" t="s">
        <v>171</v>
      </c>
      <c r="C14" s="13" t="s">
        <v>172</v>
      </c>
      <c r="D14" s="13">
        <f>IF(AND(ISNUMBER('Inputs'!$C$100),'Inputs'!$C$100&gt;0),"With a Capital Legacy will and the Legacy Protection Plan","Capital Legacy column: enter the quote on Inputs")</f>
      </c>
    </row>
    <row r="15" spans="2:4" x14ac:dyDescent="0.25">
      <c r="B15" s="7" t="s">
        <v>173</v>
      </c>
      <c r="C15" s="15">
        <f>'Workings'!$C$55</f>
      </c>
      <c r="D15" s="15">
        <f>IF(AND(ISNUMBER('Inputs'!$C$100),'Inputs'!$C$100&gt;0),'Workings'!$D$55,"")</f>
      </c>
    </row>
    <row r="16" spans="2:4" x14ac:dyDescent="0.25">
      <c r="B16" s="7" t="s">
        <v>174</v>
      </c>
      <c r="C16" s="15">
        <f>'Workings'!$C$54</f>
      </c>
      <c r="D16" s="15">
        <f>IF(AND(ISNUMBER('Inputs'!$C$100),'Inputs'!$C$100&gt;0),'Workings'!$D$54,"")</f>
      </c>
    </row>
    <row r="17" ht="27" customHeight="1" spans="2:4" x14ac:dyDescent="0.25">
      <c r="B17" s="28">
        <f>"Executor's fees"&amp;CHAR(10)&amp;IF(ROUND('Inputs'!$C$108,0)='Inputs'!$C$108,FIXED('Inputs'!$C$108,0),IF(ROUND('Inputs'!$C$108,1)='Inputs'!$C$108,FIXED('Inputs'!$C$108,1),FIXED('Inputs'!$C$108,2)))&amp;"%"&amp;" plus VAT"&amp;IF(AND(ISNUMBER('Inputs'!$C$100),'Inputs'!$C$100&gt;0)," / Capital Legacy "&amp;IF(ROUND('Inputs'!$C$100,0)='Inputs'!$C$100,FIXED('Inputs'!$C$100,0),IF(ROUND('Inputs'!$C$100,1)='Inputs'!$C$100,FIXED('Inputs'!$C$100,1),FIXED('Inputs'!$C$100,2)))&amp;"%"&amp;" plus VAT","")</f>
      </c>
      <c r="C17" s="15">
        <f>'Workings'!$C$51</f>
      </c>
      <c r="D17" s="15">
        <f>IF(AND(ISNUMBER('Inputs'!$C$100),'Inputs'!$C$100&gt;0),'Workings'!$D$51,"")</f>
      </c>
    </row>
    <row r="18" ht="27" customHeight="1" spans="2:4" x14ac:dyDescent="0.25">
      <c r="B18" s="28">
        <f>"Property transfer and conveyancing"&amp;CHAR(10)&amp;IF(ROUND('Inputs'!$C$113,0)='Inputs'!$C$113,FIXED('Inputs'!$C$113,0),IF(ROUND('Inputs'!$C$113,1)='Inputs'!$C$113,FIXED('Inputs'!$C$113,1),FIXED('Inputs'!$C$113,2)))&amp;"%"&amp;" of value"&amp;IF(AND(ISNUMBER('Inputs'!$C$100),'Inputs'!$C$100&gt;0)," / Capital Legacy's estimate","")</f>
      </c>
      <c r="C18" s="15">
        <f>'Workings'!$C$52</f>
      </c>
      <c r="D18" s="15">
        <f>IF(AND(ISNUMBER('Inputs'!$C$100),'Inputs'!$C$100&gt;0),'Workings'!$D$52,"")</f>
      </c>
    </row>
    <row r="19" spans="2:4" x14ac:dyDescent="0.25">
      <c r="B19" s="7" t="s">
        <v>175</v>
      </c>
      <c r="C19" s="15">
        <f>'Workings'!$C$53</f>
      </c>
      <c r="D19" s="15">
        <f>IF(AND(ISNUMBER('Inputs'!$C$100),'Inputs'!$C$100&gt;0),'Workings'!$D$53,"")</f>
      </c>
    </row>
    <row r="20" spans="2:4" x14ac:dyDescent="0.25">
      <c r="B20" s="7" t="s">
        <v>176</v>
      </c>
      <c r="C20" s="15">
        <f>'Workings'!$C$50</f>
      </c>
      <c r="D20" s="15">
        <f>IF(AND(ISNUMBER('Inputs'!$C$100),'Inputs'!$C$100&gt;0),'Workings'!$D$50,"")</f>
      </c>
    </row>
    <row r="21" spans="2:4" x14ac:dyDescent="0.25">
      <c r="B21" s="29" t="s">
        <v>177</v>
      </c>
      <c r="C21" s="30">
        <f>'Workings'!$C$56</f>
      </c>
      <c r="D21" s="30">
        <f>IF(AND(ISNUMBER('Inputs'!$C$100),'Inputs'!$C$100&gt;0),'Workings'!$D$56,"")</f>
      </c>
    </row>
    <row r="22" spans="2:4" x14ac:dyDescent="0.25">
      <c r="B22" s="7" t="s">
        <v>178</v>
      </c>
      <c r="C22" s="15">
        <f>-'Workings'!$C$57</f>
      </c>
      <c r="D22" s="15">
        <f>IF(AND(ISNUMBER('Inputs'!$C$100),'Inputs'!$C$100&gt;0),-'Workings'!$D$57,"")</f>
      </c>
    </row>
    <row r="23" spans="2:4" x14ac:dyDescent="0.25">
      <c r="B23" s="29" t="s">
        <v>179</v>
      </c>
      <c r="C23" s="30">
        <f>'Workings'!$C$58</f>
      </c>
      <c r="D23" s="30">
        <f>IF(AND(ISNUMBER('Inputs'!$C$100),'Inputs'!$C$100&gt;0),'Workings'!$D$58,"")</f>
      </c>
    </row>
    <row r="24" spans="2:4" x14ac:dyDescent="0.25">
      <c r="B24" s="7" t="s">
        <v>180</v>
      </c>
      <c r="C24" s="15">
        <f>'Workings'!$C$59</f>
      </c>
      <c r="D24" s="15">
        <f>IF(AND(ISNUMBER('Inputs'!$C$100),'Inputs'!$C$100&gt;0),'Workings'!$D$59,"")</f>
      </c>
    </row>
    <row r="25" ht="27" customHeight="1" spans="2:4" x14ac:dyDescent="0.25">
      <c r="B25" s="28">
        <f>"Cash your executor has"&amp;CHAR(10)&amp;"bank accounts, deposits and investments cashed in"</f>
      </c>
      <c r="C25" s="15">
        <f>'Workings'!$C$63</f>
      </c>
      <c r="D25" s="15">
        <f>IF(AND(ISNUMBER('Inputs'!$C$100),'Inputs'!$C$100&gt;0),'Workings'!$D$63,"")</f>
      </c>
    </row>
    <row r="26" spans="2:4" x14ac:dyDescent="0.25">
      <c r="B26" s="20" t="s">
        <v>181</v>
      </c>
      <c r="C26" s="31">
        <f>IF('Workings'!$C$64&gt;0,"Short R "&amp;FIXED(ROUND('Workings'!$C$64,-3),0),"Covered: R "&amp;FIXED(ROUND('Workings'!$C$65,-3),0)&amp;" left over")</f>
      </c>
      <c r="D26" s="31">
        <f>IF(AND(ISNUMBER('Inputs'!$C$100),'Inputs'!$C$100&gt;0),IF('Workings'!$D$64&gt;0,"Short R "&amp;FIXED(ROUND('Workings'!$D$64,-3),0),"Covered: R "&amp;FIXED(ROUND('Workings'!$D$65,-3),0)&amp;" left over"),"")</f>
      </c>
    </row>
    <row r="27" ht="27" customHeight="1" spans="2:4" x14ac:dyDescent="0.25">
      <c r="B27" s="28">
        <f>IF(OR(SUM('Inputs'!$R$22:$R$39)&gt;0,'Inputs'!$C$14="Spouse"),"Left for your spouse and heirs","Left for your heirs")&amp;CHAR(10)&amp;"if they pay any shortfall in"</f>
      </c>
      <c r="C27" s="15">
        <f>'Workings'!$C$66</f>
      </c>
      <c r="D27" s="32">
        <f>IF(AND(ISNUMBER('Inputs'!$C$100),'Inputs'!$C$100&gt;0),'Workings'!$D$66,"")</f>
      </c>
    </row>
    <row r="28" spans="2:4" x14ac:dyDescent="0.25">
      <c r="B28" s="7" t="s">
        <v>182</v>
      </c>
      <c r="C28" s="33" t="s">
        <v>183</v>
      </c>
      <c r="D28" s="33">
        <f>IF(AND(ISNUMBER('Inputs'!$C$100),'Inputs'!$C$100&gt;0),IF(ISNUMBER('Inputs'!$C$104),"From R "&amp;FIXED('Inputs'!$C$104,2)&amp;" a month","Premium: enter it on Inputs"),"")</f>
      </c>
    </row>
    <row r="29" ht="27" customHeight="1" spans="2:4" x14ac:dyDescent="0.25">
      <c r="B29" s="16">
        <f>IF('Workings'!$C$45&lt;0,"The people you leave policies or bequests to directly pay R "&amp;FIXED(-'Workings'!$C$45,0)&amp;" of the estate duty themselves; your executor recovers it from them and it is not in the cost above. If it cannot be recovered, your estate pays it.","")</f>
      </c>
      <c r="C29" s="16"/>
      <c r="D29" s="16"/>
    </row>
    <row r="31" ht="18" customHeight="1" spans="2:4" x14ac:dyDescent="0.25">
      <c r="B31" s="5" t="s">
        <v>184</v>
      </c>
      <c r="C31" s="6"/>
      <c r="D31" s="6"/>
    </row>
    <row r="32" ht="27" customHeight="1" spans="2:4" x14ac:dyDescent="0.25">
      <c r="B32" s="34">
        <f>"1.  Sign a new will that says what you want"&amp;IF(AND(ISNUMBER('Inputs'!$C$100),'Inputs'!$C$100&gt;0),", with Capital Legacy as your executor","")&amp;". Until you do, your current will, or the law if you have none, decides who inherits."</f>
      </c>
      <c r="C32" s="34"/>
      <c r="D32" s="34"/>
    </row>
    <row r="33" ht="27" customHeight="1" spans="2:4" x14ac:dyDescent="0.25">
      <c r="B33" s="34">
        <f>"2.  "&amp;IF('Workings'!$C$64&gt;0,"Decide how your executor will find the cash: "&amp;IF(AND(ISNUMBER('Inputs'!$C$100),'Inputs'!$C$100&gt;0),"the Legacy Protection Plan, ","")&amp;"a property sold, or your heirs paying it in.","Keep enough cash for your executor: today there is enough, with about R "&amp;FIXED(ROUND('Workings'!$C$65,-3),0)&amp;" to spare.")</f>
      </c>
      <c r="C33" s="34"/>
      <c r="D33" s="34"/>
    </row>
    <row r="34" ht="27" customHeight="1" spans="2:4" x14ac:dyDescent="0.25">
      <c r="B34" s="34">
        <f>"3.  Remember that your savings are your executor's cash. Every R 1 spent from them "&amp;IF('Workings'!$C$64&gt;0,"adds about "&amp;ROUND(100*(1-'Inputs'!$C$108/100*(1+'Inputs'!$C$109/100))*IF('Workings'!$C$35&gt;0,1-'Inputs'!$C$116/100,1),0)&amp;" cents to the shortfall.","takes about "&amp;ROUND(100*(1-'Inputs'!$C$108/100*(1+'Inputs'!$C$109/100))*IF('Workings'!$C$35&gt;0,1-'Inputs'!$C$116/100,1),0)&amp;" cents off what your executor has spare.")</f>
      </c>
      <c r="C34" s="34"/>
      <c r="D34" s="34"/>
    </row>
    <row r="36" ht="52" customHeight="1" spans="2:4" x14ac:dyDescent="0.25">
      <c r="B36" s="35">
        <f>"Basis: indicative and worst case, based on your instructed wishes, not a signed will, and on the values you gave us"&amp;IF(ISNUMBER('Inputs'!$C$12)," on "&amp;FIXED(DAY('Inputs'!$C$12),0)&amp;" "&amp;CHOOSE(MONTH('Inputs'!$C$12),"January","February","March","April","May","June","July","August","September","October","November","December")&amp;" "&amp;FIXED(YEAR('Inputs'!$C$12),0,TRUE),"")&amp;". Our standard assumptions are on the Workings page."&amp;IF(AND(ISNUMBER('Inputs'!$C$100),'Inputs'!$C$100&gt;0)," Capital Legacy quote "&amp;'Inputs'!$C$99&amp;"; premiums rise each year and are not guaranteed.","")&amp;" Figures are for your death today. Not legal or tax advice; the executor's actual costs may differ."</f>
      </c>
      <c r="C36" s="35"/>
      <c r="D36" s="35"/>
    </row>
  </sheetData>
  <sheetProtection sheet="1" formatRows="0"/>
  <mergeCells count="13">
    <mergeCell ref="B1:D1"/>
    <mergeCell ref="B2:D2"/>
    <mergeCell ref="B3:D3"/>
    <mergeCell ref="B7:D7"/>
    <mergeCell ref="B8:D8"/>
    <mergeCell ref="B10:D10"/>
    <mergeCell ref="B11:D11"/>
    <mergeCell ref="B12:D12"/>
    <mergeCell ref="B29:D29"/>
    <mergeCell ref="B32:D32"/>
    <mergeCell ref="B33:D33"/>
    <mergeCell ref="B34:D34"/>
    <mergeCell ref="B36:D36"/>
  </mergeCells>
  <conditionalFormatting sqref="B10:D12">
    <cfRule type="expression" dxfId="18" priority="1">
      <formula>'Workings'!$C$64=0</formula>
    </cfRule>
  </conditionalFormatting>
  <conditionalFormatting sqref="C26:D26">
    <cfRule type="expression" dxfId="19" priority="2">
      <formula>LEFT(C26,5)="Short"</formula>
    </cfRule>
    <cfRule type="expression" dxfId="20" priority="3">
      <formula>LEFT(C26,7)="Covered"</formula>
    </cfRule>
  </conditionalFormatting>
  <printOptions horizontalCentered="1"/>
  <pageMargins left="0.4" right="0.4" top="0.45" bottom="0.6" header="0.25" footer="0.3"/>
  <pageSetup paperSize="9" orientation="portrait" horizontalDpi="4294967295" verticalDpi="4294967295" scale="100" fitToWidth="1" fitToHeight="0"/>
  <headerFooter>
    <oddFooter>&amp;L&amp;8&amp;"Arial"Duwalcoe Financial Consultants CC  ·  FSP 9978  ·  Cost of dying&amp;R&amp;8&amp;"Arial"&amp;A  ·  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35"/>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56" customWidth="1"/>
    <col min="3" max="4" width="21" customWidth="1"/>
  </cols>
  <sheetData>
    <row r="1" ht="21.75" customHeight="1" spans="2:4" x14ac:dyDescent="0.25">
      <c r="B1" s="1" t="s">
        <v>55</v>
      </c>
      <c r="C1" s="1"/>
      <c r="D1" s="1"/>
    </row>
    <row r="2" ht="15" customHeight="1" spans="2:4" x14ac:dyDescent="0.25">
      <c r="B2" s="2" t="s">
        <v>56</v>
      </c>
      <c r="C2" s="2"/>
      <c r="D2" s="2"/>
    </row>
    <row r="4" ht="20" customHeight="1" spans="2:2" x14ac:dyDescent="0.25">
      <c r="B4" s="3" t="s">
        <v>221</v>
      </c>
    </row>
    <row r="5" spans="2:2" x14ac:dyDescent="0.25">
      <c r="B5" s="4" t="s">
        <v>222</v>
      </c>
    </row>
    <row r="7" ht="30" customHeight="1" spans="2:4" x14ac:dyDescent="0.25">
      <c r="B7" s="12" t="s">
        <v>171</v>
      </c>
      <c r="C7" s="13">
        <f>"If "&amp;'Inputs'!$C$9&amp;" dies"</f>
      </c>
      <c r="D7" s="13">
        <f>IF(AND(ISNUMBER('Inputs'!$C$100),'Inputs'!$C$100&gt;0),"With the Legacy plan","")</f>
      </c>
    </row>
    <row r="8" spans="2:4" x14ac:dyDescent="0.25">
      <c r="B8" s="47" t="s">
        <v>223</v>
      </c>
      <c r="C8" s="47"/>
      <c r="D8" s="47"/>
    </row>
    <row r="9" spans="2:4" x14ac:dyDescent="0.25">
      <c r="B9" s="7" t="s">
        <v>224</v>
      </c>
      <c r="C9" s="15">
        <f>SUMIFS('Inputs'!$D$22:$D$39,'Inputs'!$C$22:$C$39,"Property")</f>
      </c>
      <c r="D9" s="15">
        <f>IF(AND(ISNUMBER('Inputs'!$C$100),'Inputs'!$C$100&gt;0),SUMIFS('Inputs'!$D$22:$D$39,'Inputs'!$C$22:$C$39,"Property"),"")</f>
      </c>
    </row>
    <row r="10" spans="2:4" x14ac:dyDescent="0.25">
      <c r="B10" s="7" t="s">
        <v>225</v>
      </c>
      <c r="C10" s="15">
        <f>SUMIFS('Inputs'!$D$22:$D$39,'Inputs'!$C$22:$C$39,"Vehicle or contents")</f>
      </c>
      <c r="D10" s="15">
        <f>IF(AND(ISNUMBER('Inputs'!$C$100),'Inputs'!$C$100&gt;0),SUMIFS('Inputs'!$D$22:$D$39,'Inputs'!$C$22:$C$39,"Vehicle or contents"),"")</f>
      </c>
    </row>
    <row r="11" spans="2:4" x14ac:dyDescent="0.25">
      <c r="B11" s="7" t="s">
        <v>226</v>
      </c>
      <c r="C11" s="15">
        <f>SUMIFS('Inputs'!$D$22:$D$39,'Inputs'!$C$22:$C$39,"Cash and deposits")</f>
      </c>
      <c r="D11" s="15">
        <f>IF(AND(ISNUMBER('Inputs'!$C$100),'Inputs'!$C$100&gt;0),SUMIFS('Inputs'!$D$22:$D$39,'Inputs'!$C$22:$C$39,"Cash and deposits"),"")</f>
      </c>
    </row>
    <row r="12" spans="2:4" x14ac:dyDescent="0.25">
      <c r="B12" s="7" t="s">
        <v>227</v>
      </c>
      <c r="C12" s="15">
        <f>SUMIFS('Inputs'!$D$22:$D$39,'Inputs'!$C$22:$C$39,"Shares and unit trusts")</f>
      </c>
      <c r="D12" s="15">
        <f>IF(AND(ISNUMBER('Inputs'!$C$100),'Inputs'!$C$100&gt;0),SUMIFS('Inputs'!$D$22:$D$39,'Inputs'!$C$22:$C$39,"Shares and unit trusts"),"")</f>
      </c>
    </row>
    <row r="13" spans="2:4" x14ac:dyDescent="0.25">
      <c r="B13" s="7" t="s">
        <v>228</v>
      </c>
      <c r="C13" s="15">
        <f>SUMIFS('Inputs'!$D$22:$D$39,'Inputs'!$C$22:$C$39,"Other investment")+SUMIFS('Inputs'!$D$22:$D$39,'Inputs'!$C$22:$C$39,"Tax-free investment")+SUMIFS('Inputs'!$D$22:$D$39,'Inputs'!$C$22:$C$39,"Loan account")+SUMIFS('Inputs'!$D$22:$D$39,'Inputs'!$C$22:$C$39,"Business interest")</f>
      </c>
      <c r="D13" s="15">
        <f>IF(AND(ISNUMBER('Inputs'!$C$100),'Inputs'!$C$100&gt;0),SUMIFS('Inputs'!$D$22:$D$39,'Inputs'!$C$22:$C$39,"Other investment")+SUMIFS('Inputs'!$D$22:$D$39,'Inputs'!$C$22:$C$39,"Tax-free investment")+SUMIFS('Inputs'!$D$22:$D$39,'Inputs'!$C$22:$C$39,"Loan account")+SUMIFS('Inputs'!$D$22:$D$39,'Inputs'!$C$22:$C$39,"Business interest"),"")</f>
      </c>
    </row>
    <row r="14" spans="2:4" x14ac:dyDescent="0.25">
      <c r="B14" s="7" t="s">
        <v>229</v>
      </c>
      <c r="C14" s="15">
        <f>'Workings'!$C$20</f>
      </c>
      <c r="D14" s="15">
        <f>IF(AND(ISNUMBER('Inputs'!$C$100),'Inputs'!$C$100&gt;0),'Workings'!$C$20,"")</f>
      </c>
    </row>
    <row r="15" spans="2:4" x14ac:dyDescent="0.25">
      <c r="B15" s="29" t="s">
        <v>230</v>
      </c>
      <c r="C15" s="30">
        <f>SUM(C9:C14)</f>
      </c>
      <c r="D15" s="30">
        <f>IF(AND(ISNUMBER('Inputs'!$C$100),'Inputs'!$C$100&gt;0),SUM(C9:C14),"")</f>
      </c>
    </row>
    <row r="16" spans="2:4" x14ac:dyDescent="0.25">
      <c r="B16" s="47" t="s">
        <v>231</v>
      </c>
      <c r="C16" s="47"/>
      <c r="D16" s="47"/>
    </row>
    <row r="17" spans="2:4" x14ac:dyDescent="0.25">
      <c r="B17" s="7" t="s">
        <v>232</v>
      </c>
      <c r="C17" s="15">
        <f>'Workings'!$C$22</f>
      </c>
      <c r="D17" s="15">
        <f>IF(AND(ISNUMBER('Inputs'!$C$100),'Inputs'!$C$100&gt;0),'Workings'!$C$22,"")</f>
      </c>
    </row>
    <row r="18" spans="2:4" x14ac:dyDescent="0.25">
      <c r="B18" s="7" t="s">
        <v>233</v>
      </c>
      <c r="C18" s="15">
        <f>SUMIFS('Inputs'!$D$59:$D$70,'Inputs'!$E$59:$E$70,"No")</f>
      </c>
      <c r="D18" s="15">
        <f>IF(AND(ISNUMBER('Inputs'!$C$100),'Inputs'!$C$100&gt;0),SUMIFS('Inputs'!$D$59:$D$70,'Inputs'!$E$59:$E$70,"No"),"")</f>
      </c>
    </row>
    <row r="19" spans="2:4" x14ac:dyDescent="0.25">
      <c r="B19" s="7" t="s">
        <v>234</v>
      </c>
      <c r="C19" s="15">
        <f>SUM('Inputs'!$D$76:$D$83)</f>
      </c>
      <c r="D19" s="15">
        <f>IF(AND(ISNUMBER('Inputs'!$C$100),'Inputs'!$C$100&gt;0),SUM('Inputs'!$D$76:$D$83),"")</f>
      </c>
    </row>
    <row r="20" spans="2:4" x14ac:dyDescent="0.25">
      <c r="B20" s="47" t="s">
        <v>235</v>
      </c>
      <c r="C20" s="47"/>
      <c r="D20" s="47"/>
    </row>
    <row r="21" spans="2:4" x14ac:dyDescent="0.25">
      <c r="B21" s="7" t="s">
        <v>236</v>
      </c>
      <c r="C21" s="15">
        <f>C15+SUM(C17:C19)</f>
      </c>
      <c r="D21" s="15">
        <f>IF(AND(ISNUMBER('Inputs'!$C$100),'Inputs'!$C$100&gt;0),C15+SUM(C17:C19),"")</f>
      </c>
    </row>
    <row r="22" spans="2:4" x14ac:dyDescent="0.25">
      <c r="B22" s="7" t="s">
        <v>237</v>
      </c>
      <c r="C22" s="15">
        <f>'Workings'!$C$23</f>
      </c>
      <c r="D22" s="15">
        <f>IF(AND(ISNUMBER('Inputs'!$C$100),'Inputs'!$C$100&gt;0),'Workings'!$C$23,"")</f>
      </c>
    </row>
    <row r="23" spans="2:4" x14ac:dyDescent="0.25">
      <c r="B23" s="7" t="s">
        <v>238</v>
      </c>
      <c r="C23" s="15">
        <f>'Workings'!$C$59</f>
      </c>
      <c r="D23" s="15">
        <f>IF(AND(ISNUMBER('Inputs'!$C$100),'Inputs'!$C$100&gt;0),'Workings'!$C$59,"")</f>
      </c>
    </row>
    <row r="24" spans="2:4" x14ac:dyDescent="0.25">
      <c r="B24" s="47" t="s">
        <v>239</v>
      </c>
      <c r="C24" s="47"/>
      <c r="D24" s="47"/>
    </row>
    <row r="25" spans="2:4" x14ac:dyDescent="0.25">
      <c r="B25" s="7" t="s">
        <v>240</v>
      </c>
      <c r="C25" s="15">
        <f>'Workings'!$C$51</f>
      </c>
      <c r="D25" s="15">
        <f>IF(AND(ISNUMBER('Inputs'!$C$100),'Inputs'!$C$100&gt;0),'Workings'!$D$51,"")</f>
      </c>
    </row>
    <row r="26" spans="2:4" x14ac:dyDescent="0.25">
      <c r="B26" s="7" t="s">
        <v>241</v>
      </c>
      <c r="C26" s="15">
        <f>'Workings'!$C$50</f>
      </c>
      <c r="D26" s="15">
        <f>IF(AND(ISNUMBER('Inputs'!$C$100),'Inputs'!$C$100&gt;0),'Workings'!$D$50,"")</f>
      </c>
    </row>
    <row r="27" spans="2:4" x14ac:dyDescent="0.25">
      <c r="B27" s="7" t="s">
        <v>242</v>
      </c>
      <c r="C27" s="15">
        <f>'Workings'!$C$52</f>
      </c>
      <c r="D27" s="15">
        <f>IF(AND(ISNUMBER('Inputs'!$C$100),'Inputs'!$C$100&gt;0),'Workings'!$D$52,"")</f>
      </c>
    </row>
    <row r="28" spans="2:4" x14ac:dyDescent="0.25">
      <c r="B28" s="7" t="s">
        <v>243</v>
      </c>
      <c r="C28" s="15">
        <f>'Workings'!$C$53</f>
      </c>
      <c r="D28" s="15">
        <f>IF(AND(ISNUMBER('Inputs'!$C$100),'Inputs'!$C$100&gt;0),'Workings'!$D$53,"")</f>
      </c>
    </row>
    <row r="29" spans="2:4" x14ac:dyDescent="0.25">
      <c r="B29" s="7" t="s">
        <v>174</v>
      </c>
      <c r="C29" s="15">
        <f>'Workings'!$C$54</f>
      </c>
      <c r="D29" s="15">
        <f>IF(AND(ISNUMBER('Inputs'!$C$100),'Inputs'!$C$100&gt;0),'Workings'!$D$54,"")</f>
      </c>
    </row>
    <row r="30" spans="2:4" x14ac:dyDescent="0.25">
      <c r="B30" s="7" t="s">
        <v>244</v>
      </c>
      <c r="C30" s="15">
        <f>'Workings'!$C$55</f>
      </c>
      <c r="D30" s="15">
        <f>IF(AND(ISNUMBER('Inputs'!$C$100),'Inputs'!$C$100&gt;0),'Workings'!$D$55,"")</f>
      </c>
    </row>
    <row r="31" spans="2:4" x14ac:dyDescent="0.25">
      <c r="B31" s="29" t="s">
        <v>245</v>
      </c>
      <c r="C31" s="30">
        <f>'Workings'!$C$56</f>
      </c>
      <c r="D31" s="30">
        <f>IF(AND(ISNUMBER('Inputs'!$C$100),'Inputs'!$C$100&gt;0),'Workings'!$D$56,"")</f>
      </c>
    </row>
    <row r="32" spans="2:4" x14ac:dyDescent="0.25">
      <c r="B32" s="7" t="s">
        <v>178</v>
      </c>
      <c r="C32" s="15">
        <f>-'Workings'!$C$57</f>
      </c>
      <c r="D32" s="15">
        <f>IF(AND(ISNUMBER('Inputs'!$C$100),'Inputs'!$C$100&gt;0),-'Workings'!$D$57,"")</f>
      </c>
    </row>
    <row r="33" spans="2:4" x14ac:dyDescent="0.25">
      <c r="B33" s="7" t="s">
        <v>246</v>
      </c>
      <c r="C33" s="15">
        <f>'Workings'!$C$59</f>
      </c>
      <c r="D33" s="15">
        <f>IF(AND(ISNUMBER('Inputs'!$C$100),'Inputs'!$C$100&gt;0),'Workings'!$D$59,"")</f>
      </c>
    </row>
    <row r="35" ht="15" customHeight="1" spans="2:4" x14ac:dyDescent="0.25">
      <c r="B35" s="35" t="s">
        <v>247</v>
      </c>
      <c r="C35" s="35"/>
      <c r="D35" s="35"/>
    </row>
  </sheetData>
  <sheetProtection sheet="1" formatRows="0"/>
  <mergeCells count="7">
    <mergeCell ref="B1:D1"/>
    <mergeCell ref="B2:D2"/>
    <mergeCell ref="B8:D8"/>
    <mergeCell ref="B16:D16"/>
    <mergeCell ref="B20:D20"/>
    <mergeCell ref="B24:D24"/>
    <mergeCell ref="B35:D35"/>
  </mergeCells>
  <printOptions horizontalCentered="1"/>
  <pageMargins left="0.4" right="0.4" top="0.45" bottom="0.6" header="0.25" footer="0.3"/>
  <pageSetup paperSize="9" orientation="portrait" horizontalDpi="4294967295" verticalDpi="4294967295" scale="100" fitToWidth="1" fitToHeight="0"/>
  <headerFooter>
    <oddFooter>&amp;L&amp;8&amp;"Arial"Duwalcoe Financial Consultants CC  ·  FSP 9978  ·  Figures for quoting&amp;R&amp;8&amp;"Arial"&amp;A  ·  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8"/>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66" customWidth="1"/>
    <col min="3" max="4" width="20" customWidth="1"/>
    <col min="5" max="5" width="2" customWidth="1"/>
  </cols>
  <sheetData>
    <row r="1" ht="21.75" customHeight="1" spans="2:4" x14ac:dyDescent="0.25">
      <c r="B1" s="1" t="s">
        <v>55</v>
      </c>
      <c r="C1" s="1"/>
      <c r="D1" s="1"/>
    </row>
    <row r="2" ht="15" customHeight="1" spans="2:4" x14ac:dyDescent="0.25">
      <c r="B2" s="2" t="s">
        <v>56</v>
      </c>
      <c r="C2" s="2"/>
      <c r="D2" s="2"/>
    </row>
    <row r="4" ht="20" customHeight="1" spans="2:2" x14ac:dyDescent="0.25">
      <c r="B4" s="3" t="s">
        <v>248</v>
      </c>
    </row>
    <row r="5" spans="2:2" x14ac:dyDescent="0.25">
      <c r="B5" s="4" t="s">
        <v>249</v>
      </c>
    </row>
    <row r="7" ht="20" customHeight="1" spans="2:4" x14ac:dyDescent="0.25">
      <c r="B7" s="12" t="s">
        <v>250</v>
      </c>
      <c r="C7" s="13" t="s">
        <v>172</v>
      </c>
      <c r="D7" s="13" t="s">
        <v>251</v>
      </c>
    </row>
    <row r="8" spans="2:4" x14ac:dyDescent="0.25">
      <c r="B8" s="7">
        <f>"Taxable income for the year"&amp;IF('Inputs'!$C$17&lt;&gt;"",": "&amp;'Inputs'!$C$17,"")</f>
      </c>
      <c r="C8" s="48">
        <f>N('Inputs'!$C$16)</f>
      </c>
      <c r="D8" s="48">
        <f>N('Inputs'!$C$16)</f>
      </c>
    </row>
    <row r="9" ht="27" customHeight="1" spans="2:4" x14ac:dyDescent="0.25">
      <c r="B9" s="7" t="s">
        <v>252</v>
      </c>
      <c r="C9" s="48">
        <f>SUM('Inputs'!$M$22:$M$39)</f>
      </c>
      <c r="D9" s="48">
        <f>SUM('Inputs'!$M$22:$M$39)</f>
      </c>
    </row>
    <row r="10" spans="2:4" x14ac:dyDescent="0.25">
      <c r="B10" s="7" t="s">
        <v>253</v>
      </c>
      <c r="C10" s="48">
        <f>-SUM('Inputs'!$N$22:$N$39)</f>
      </c>
      <c r="D10" s="48">
        <f>-SUM('Inputs'!$N$22:$N$39)</f>
      </c>
    </row>
    <row r="11" spans="2:4" x14ac:dyDescent="0.25">
      <c r="B11" s="7" t="s">
        <v>254</v>
      </c>
      <c r="C11" s="48">
        <f>-MIN('Inputs'!$C$119,MAX(0,C9+C10))</f>
      </c>
      <c r="D11" s="48">
        <f>-MIN('Inputs'!$C$119,MAX(0,D9+D10))</f>
      </c>
    </row>
    <row r="12" spans="2:4" x14ac:dyDescent="0.25">
      <c r="B12" s="29" t="s">
        <v>255</v>
      </c>
      <c r="C12" s="49">
        <f>MAX(0,C9+C10+C11)</f>
      </c>
      <c r="D12" s="49">
        <f>MAX(0,D9+D10+D11)</f>
      </c>
    </row>
    <row r="13" ht="27" customHeight="1" spans="2:4" x14ac:dyDescent="0.25">
      <c r="B13" s="7">
        <f>"Added to taxable income: "&amp;FIXED('Inputs'!$C$120,0)&amp;"% of the net gain (the inclusion rate, not a tax rate)"</f>
      </c>
      <c r="C13" s="48">
        <f>C12*'Inputs'!$C$120/100</f>
      </c>
      <c r="D13" s="48">
        <f>D12*'Inputs'!$C$120/100</f>
      </c>
    </row>
    <row r="14" spans="2:4" x14ac:dyDescent="0.25">
      <c r="B14" s="7" t="s">
        <v>256</v>
      </c>
      <c r="C14" s="48">
        <f>(INDEX('Inputs'!$D$125:$D$131,MATCH(C8+C13,'Inputs'!$C$125:$C$131,1))+INDEX('Inputs'!$E$125:$E$131,MATCH(C8+C13,'Inputs'!$C$125:$C$131,1))/100*((C8+C13)-INDEX('Inputs'!$C$125:$C$131,MATCH(C8+C13,'Inputs'!$C$125:$C$131,1))))</f>
      </c>
      <c r="D14" s="48">
        <f>(INDEX('Inputs'!$D$125:$D$131,MATCH(D8+D13,'Inputs'!$C$125:$C$131,1))+INDEX('Inputs'!$E$125:$E$131,MATCH(D8+D13,'Inputs'!$C$125:$C$131,1))/100*((D8+D13)-INDEX('Inputs'!$C$125:$C$131,MATCH(D8+D13,'Inputs'!$C$125:$C$131,1))))</f>
      </c>
    </row>
    <row r="15" spans="2:4" x14ac:dyDescent="0.25">
      <c r="B15" s="7" t="s">
        <v>257</v>
      </c>
      <c r="C15" s="48">
        <f>-(INDEX('Inputs'!$D$125:$D$131,MATCH(C8,'Inputs'!$C$125:$C$131,1))+INDEX('Inputs'!$E$125:$E$131,MATCH(C8,'Inputs'!$C$125:$C$131,1))/100*((C8)-INDEX('Inputs'!$C$125:$C$131,MATCH(C8,'Inputs'!$C$125:$C$131,1))))</f>
      </c>
      <c r="D15" s="48">
        <f>-(INDEX('Inputs'!$D$125:$D$131,MATCH(D8,'Inputs'!$C$125:$C$131,1))+INDEX('Inputs'!$E$125:$E$131,MATCH(D8,'Inputs'!$C$125:$C$131,1))/100*((D8)-INDEX('Inputs'!$C$125:$C$131,MATCH(D8,'Inputs'!$C$125:$C$131,1))))</f>
      </c>
    </row>
    <row r="16" spans="2:4" x14ac:dyDescent="0.25">
      <c r="B16" s="29" t="s">
        <v>258</v>
      </c>
      <c r="C16" s="49">
        <f>IF(C12&gt;0,ROUND(C14+C15,2),0)</f>
      </c>
      <c r="D16" s="49">
        <f>IF(D12&gt;0,ROUND(D14+D15,2),0)</f>
      </c>
    </row>
    <row r="18" ht="20" customHeight="1" spans="2:4" x14ac:dyDescent="0.25">
      <c r="B18" s="12" t="s">
        <v>259</v>
      </c>
      <c r="C18" s="13" t="s">
        <v>172</v>
      </c>
      <c r="D18" s="13" t="s">
        <v>251</v>
      </c>
    </row>
    <row r="19" spans="2:4" x14ac:dyDescent="0.25">
      <c r="B19" s="7" t="s">
        <v>260</v>
      </c>
      <c r="C19" s="48">
        <f>ROUND(SUM('Inputs'!$D$22:$D$39),2)</f>
      </c>
      <c r="D19" s="48">
        <f>ROUND(SUM('Inputs'!$D$22:$D$39),2)</f>
      </c>
    </row>
    <row r="20" spans="2:4" x14ac:dyDescent="0.25">
      <c r="B20" s="7" t="s">
        <v>261</v>
      </c>
      <c r="C20" s="48">
        <f>SUMIFS('Inputs'!$D$59:$D$70,'Inputs'!$C$59:$C$70,"Estate")</f>
      </c>
      <c r="D20" s="48">
        <f>SUMIFS('Inputs'!$D$59:$D$70,'Inputs'!$C$59:$C$70,"Estate")</f>
      </c>
    </row>
    <row r="21" spans="2:4" x14ac:dyDescent="0.25">
      <c r="B21" s="29" t="s">
        <v>262</v>
      </c>
      <c r="C21" s="49">
        <f>C19+C20</f>
      </c>
      <c r="D21" s="49">
        <f>D19+D20</f>
      </c>
    </row>
    <row r="22" spans="2:4" x14ac:dyDescent="0.25">
      <c r="B22" s="7" t="s">
        <v>263</v>
      </c>
      <c r="C22" s="48">
        <f>SUMIFS('Inputs'!$D$59:$D$70,'Inputs'!$C$59:$C$70,"&lt;&gt;Estate",'Inputs'!$E$59:$E$70,"&lt;&gt;No")</f>
      </c>
      <c r="D22" s="48">
        <f>SUMIFS('Inputs'!$D$59:$D$70,'Inputs'!$C$59:$C$70,"&lt;&gt;Estate",'Inputs'!$E$59:$E$70,"&lt;&gt;No")</f>
      </c>
    </row>
    <row r="23" spans="2:4" x14ac:dyDescent="0.25">
      <c r="B23" s="29" t="s">
        <v>264</v>
      </c>
      <c r="C23" s="49">
        <f>C21+C22</f>
      </c>
      <c r="D23" s="49">
        <f>D21+D22</f>
      </c>
    </row>
    <row r="24" spans="2:4" x14ac:dyDescent="0.25">
      <c r="B24" s="7" t="s">
        <v>265</v>
      </c>
      <c r="C24" s="48">
        <f>-SUM('Inputs'!$D$45:$D$54)</f>
      </c>
      <c r="D24" s="48">
        <f>-SUM('Inputs'!$D$45:$D$54)</f>
      </c>
    </row>
    <row r="25" spans="2:4" x14ac:dyDescent="0.25">
      <c r="B25" s="7" t="s">
        <v>266</v>
      </c>
      <c r="C25" s="48">
        <f>-'Inputs'!$C$111</f>
      </c>
      <c r="D25" s="48">
        <f>-'Inputs'!$C$111</f>
      </c>
    </row>
    <row r="26" spans="2:4" x14ac:dyDescent="0.25">
      <c r="B26" s="7" t="s">
        <v>267</v>
      </c>
      <c r="C26" s="48">
        <f>-'Inputs'!$C$110</f>
      </c>
      <c r="D26" s="48">
        <f>-'Inputs'!$C$110</f>
      </c>
    </row>
    <row r="27" spans="2:4" x14ac:dyDescent="0.25">
      <c r="B27" s="7" t="s">
        <v>268</v>
      </c>
      <c r="C27" s="48">
        <f>-'Inputs'!$C$112</f>
      </c>
      <c r="D27" s="48">
        <f>-'Inputs'!$C$112</f>
      </c>
    </row>
    <row r="28" spans="2:4" x14ac:dyDescent="0.25">
      <c r="B28" s="7">
        <f>"Less executor's fees: "&amp;IF(ROUND('Inputs'!$C$108,0)='Inputs'!$C$108,FIXED('Inputs'!$C$108,0),IF(ROUND('Inputs'!$C$108,1)='Inputs'!$C$108,FIXED('Inputs'!$C$108,1),FIXED('Inputs'!$C$108,2)))&amp;"%"&amp;" plus VAT"&amp;IF(AND(ISNUMBER('Inputs'!$C$100),'Inputs'!$C$100&gt;0)," / Capital Legacy "&amp;IF(ROUND('Inputs'!$C$100,0)='Inputs'!$C$100,FIXED('Inputs'!$C$100,0),IF(ROUND('Inputs'!$C$100,1)='Inputs'!$C$100,FIXED('Inputs'!$C$100,1),FIXED('Inputs'!$C$100,2)))&amp;"%"&amp;" plus VAT","")</f>
      </c>
      <c r="C28" s="48">
        <f>-ROUND('Inputs'!$C$108/100*(1+'Inputs'!$C$109/100)*C21,2)</f>
      </c>
      <c r="D28" s="48">
        <f>-ROUND(IF(AND(ISNUMBER('Inputs'!$C$100),'Inputs'!$C$100&gt;0),'Inputs'!$C$100,'Inputs'!$C$108)/100*(1+'Inputs'!$C$109/100)*D21,2)</f>
      </c>
    </row>
    <row r="29" spans="2:4" x14ac:dyDescent="0.25">
      <c r="B29" s="7" t="s">
        <v>269</v>
      </c>
      <c r="C29" s="48">
        <f>-SUM('Inputs'!$P$22:$P$39)</f>
      </c>
      <c r="D29" s="48">
        <f>-IF(AND(AND(ISNUMBER('Inputs'!$C$100),'Inputs'!$C$100&gt;0),ISNUMBER('Inputs'!$C$101)),'Inputs'!$C$101,SUM('Inputs'!$P$22:$P$39))</f>
      </c>
    </row>
    <row r="30" spans="2:4" x14ac:dyDescent="0.25">
      <c r="B30" s="7" t="s">
        <v>270</v>
      </c>
      <c r="C30" s="48">
        <f>-SUM('Inputs'!$Q$22:$Q$39)</f>
      </c>
      <c r="D30" s="48">
        <f>-SUM('Inputs'!$Q$22:$Q$39)</f>
      </c>
    </row>
    <row r="31" spans="2:4" x14ac:dyDescent="0.25">
      <c r="B31" s="7" t="s">
        <v>271</v>
      </c>
      <c r="C31" s="48">
        <f>-C16</f>
      </c>
      <c r="D31" s="48">
        <f>-D16</f>
      </c>
    </row>
    <row r="32" spans="2:4" x14ac:dyDescent="0.25">
      <c r="B32" s="7" t="s">
        <v>272</v>
      </c>
      <c r="C32" s="48">
        <f>-(SUM('Inputs'!$R$22:$R$39)+SUMIFS('Inputs'!$D$59:$D$70,'Inputs'!$C$59:$C$70,"Spouse",'Inputs'!$E$59:$E$70,"&lt;&gt;No")+IF('Inputs'!$C$14="Spouse",MAX(0,C21+C24-(-C25-C26-C27-C28-C29-C30-C31)-SUM('Inputs'!$R$22:$R$39)-SUM('Inputs'!$S$22:$S$39)),0))</f>
      </c>
      <c r="D32" s="48">
        <f>-(SUM('Inputs'!$R$22:$R$39)+SUMIFS('Inputs'!$D$59:$D$70,'Inputs'!$C$59:$C$70,"Spouse",'Inputs'!$E$59:$E$70,"&lt;&gt;No")+IF('Inputs'!$C$14="Spouse",MAX(0,D21+D24-(-D25-D26-D27-D28-D29-D30-D31)-SUM('Inputs'!$R$22:$R$39)-SUM('Inputs'!$S$22:$S$39)),0))</f>
      </c>
    </row>
    <row r="33" spans="2:4" x14ac:dyDescent="0.25">
      <c r="B33" s="29" t="s">
        <v>273</v>
      </c>
      <c r="C33" s="49">
        <f>ROUND(C23+C24+C25+C26+C27+C28+C29+C30+C31+C32,2)</f>
      </c>
      <c r="D33" s="49">
        <f>ROUND(D23+D24+D25+D26+D27+D28+D29+D30+D31+D32,2)</f>
      </c>
    </row>
    <row r="34" spans="2:4" x14ac:dyDescent="0.25">
      <c r="B34" s="7" t="s">
        <v>274</v>
      </c>
      <c r="C34" s="48">
        <f>-'Inputs'!$C$115</f>
      </c>
      <c r="D34" s="48">
        <f>-'Inputs'!$C$115</f>
      </c>
    </row>
    <row r="35" spans="2:4" x14ac:dyDescent="0.25">
      <c r="B35" s="7" t="s">
        <v>275</v>
      </c>
      <c r="C35" s="48">
        <f>MAX(0,C33+C34)</f>
      </c>
      <c r="D35" s="48">
        <f>MAX(0,D33+D34)</f>
      </c>
    </row>
    <row r="36" spans="2:4" x14ac:dyDescent="0.25">
      <c r="B36" s="29" t="s">
        <v>173</v>
      </c>
      <c r="C36" s="49">
        <f>ROUND(IF(C35&lt;='Inputs'!$C$117,C35*'Inputs'!$C$116/100,'Inputs'!$C$117*'Inputs'!$C$116/100+(C35-'Inputs'!$C$117)*'Inputs'!$C$118/100),2)</f>
      </c>
      <c r="D36" s="49">
        <f>ROUND(IF(D35&lt;='Inputs'!$C$117,D35*'Inputs'!$C$116/100,'Inputs'!$C$117*'Inputs'!$C$116/100+(D35-'Inputs'!$C$117)*'Inputs'!$C$118/100),2)</f>
      </c>
    </row>
    <row r="37" spans="2:4" x14ac:dyDescent="0.25">
      <c r="B37" s="7" t="s">
        <v>276</v>
      </c>
      <c r="C37" s="50">
        <f>IF(C33&gt;0,C36/C33,0)</f>
      </c>
      <c r="D37" s="50">
        <f>IF(D33&gt;0,D36/D33,0)</f>
      </c>
    </row>
    <row r="38" ht="27" customHeight="1" spans="2:2" x14ac:dyDescent="0.25">
      <c r="B38" s="7" t="s">
        <v>277</v>
      </c>
    </row>
    <row r="39" ht="15" customHeight="1" spans="2:4" x14ac:dyDescent="0.25">
      <c r="B39" s="7">
        <f>IFERROR("   Bequest: "&amp;INDEX('Inputs'!$B$22:$B$39,MATCH(1,'Inputs'!$X$22:$X$39,0))&amp;IF(INDEX('Inputs'!$I$22:$I$39,MATCH(1,'Inputs'!$X$22:$X$39,0))&lt;&gt;""," ("&amp;INDEX('Inputs'!$I$22:$I$39,MATCH(1,'Inputs'!$X$22:$X$39,0))&amp;")",""),IFERROR("   Policy: "&amp;INDEX('Inputs'!$B$59:$B$70,MATCH(1,'Inputs'!$O$59:$O$70,0))&amp;IF(INDEX('Inputs'!$I$59:$I$70,MATCH(1,'Inputs'!$O$59:$O$70,0))&lt;&gt;""," ("&amp;INDEX('Inputs'!$I$59:$I$70,MATCH(1,'Inputs'!$O$59:$O$70,0))&amp;")",""),""))</f>
      </c>
      <c r="C39" s="48">
        <f>IFERROR(INDEX('Inputs'!$U$22:$U$39,MATCH(1,'Inputs'!$X$22:$X$39,0)),IFERROR(INDEX('Inputs'!$M$59:$M$70,MATCH(1,'Inputs'!$O$59:$O$70,0)),""))</f>
      </c>
      <c r="D39" s="48">
        <f>IFERROR(INDEX('Inputs'!$V$22:$V$39,MATCH(1,'Inputs'!$X$22:$X$39,0)),IFERROR(INDEX('Inputs'!$N$59:$N$70,MATCH(1,'Inputs'!$O$59:$O$70,0)),""))</f>
      </c>
    </row>
    <row r="40" ht="15" customHeight="1" spans="2:4" x14ac:dyDescent="0.25">
      <c r="B40" s="7">
        <f>IFERROR("   Bequest: "&amp;INDEX('Inputs'!$B$22:$B$39,MATCH(2,'Inputs'!$X$22:$X$39,0))&amp;IF(INDEX('Inputs'!$I$22:$I$39,MATCH(2,'Inputs'!$X$22:$X$39,0))&lt;&gt;""," ("&amp;INDEX('Inputs'!$I$22:$I$39,MATCH(2,'Inputs'!$X$22:$X$39,0))&amp;")",""),IFERROR("   Policy: "&amp;INDEX('Inputs'!$B$59:$B$70,MATCH(2,'Inputs'!$O$59:$O$70,0))&amp;IF(INDEX('Inputs'!$I$59:$I$70,MATCH(2,'Inputs'!$O$59:$O$70,0))&lt;&gt;""," ("&amp;INDEX('Inputs'!$I$59:$I$70,MATCH(2,'Inputs'!$O$59:$O$70,0))&amp;")",""),""))</f>
      </c>
      <c r="C40" s="48">
        <f>IFERROR(INDEX('Inputs'!$U$22:$U$39,MATCH(2,'Inputs'!$X$22:$X$39,0)),IFERROR(INDEX('Inputs'!$M$59:$M$70,MATCH(2,'Inputs'!$O$59:$O$70,0)),""))</f>
      </c>
      <c r="D40" s="48">
        <f>IFERROR(INDEX('Inputs'!$V$22:$V$39,MATCH(2,'Inputs'!$X$22:$X$39,0)),IFERROR(INDEX('Inputs'!$N$59:$N$70,MATCH(2,'Inputs'!$O$59:$O$70,0)),""))</f>
      </c>
    </row>
    <row r="41" ht="15" customHeight="1" spans="2:4" x14ac:dyDescent="0.25">
      <c r="B41" s="7">
        <f>IFERROR("   Bequest: "&amp;INDEX('Inputs'!$B$22:$B$39,MATCH(3,'Inputs'!$X$22:$X$39,0))&amp;IF(INDEX('Inputs'!$I$22:$I$39,MATCH(3,'Inputs'!$X$22:$X$39,0))&lt;&gt;""," ("&amp;INDEX('Inputs'!$I$22:$I$39,MATCH(3,'Inputs'!$X$22:$X$39,0))&amp;")",""),IFERROR("   Policy: "&amp;INDEX('Inputs'!$B$59:$B$70,MATCH(3,'Inputs'!$O$59:$O$70,0))&amp;IF(INDEX('Inputs'!$I$59:$I$70,MATCH(3,'Inputs'!$O$59:$O$70,0))&lt;&gt;""," ("&amp;INDEX('Inputs'!$I$59:$I$70,MATCH(3,'Inputs'!$O$59:$O$70,0))&amp;")",""),""))</f>
      </c>
      <c r="C41" s="48">
        <f>IFERROR(INDEX('Inputs'!$U$22:$U$39,MATCH(3,'Inputs'!$X$22:$X$39,0)),IFERROR(INDEX('Inputs'!$M$59:$M$70,MATCH(3,'Inputs'!$O$59:$O$70,0)),""))</f>
      </c>
      <c r="D41" s="48">
        <f>IFERROR(INDEX('Inputs'!$V$22:$V$39,MATCH(3,'Inputs'!$X$22:$X$39,0)),IFERROR(INDEX('Inputs'!$N$59:$N$70,MATCH(3,'Inputs'!$O$59:$O$70,0)),""))</f>
      </c>
    </row>
    <row r="42" ht="15" customHeight="1" spans="2:4" x14ac:dyDescent="0.25">
      <c r="B42" s="7">
        <f>IFERROR("   Bequest: "&amp;INDEX('Inputs'!$B$22:$B$39,MATCH(4,'Inputs'!$X$22:$X$39,0))&amp;IF(INDEX('Inputs'!$I$22:$I$39,MATCH(4,'Inputs'!$X$22:$X$39,0))&lt;&gt;""," ("&amp;INDEX('Inputs'!$I$22:$I$39,MATCH(4,'Inputs'!$X$22:$X$39,0))&amp;")",""),IFERROR("   Policy: "&amp;INDEX('Inputs'!$B$59:$B$70,MATCH(4,'Inputs'!$O$59:$O$70,0))&amp;IF(INDEX('Inputs'!$I$59:$I$70,MATCH(4,'Inputs'!$O$59:$O$70,0))&lt;&gt;""," ("&amp;INDEX('Inputs'!$I$59:$I$70,MATCH(4,'Inputs'!$O$59:$O$70,0))&amp;")",""),""))</f>
      </c>
      <c r="C42" s="48">
        <f>IFERROR(INDEX('Inputs'!$U$22:$U$39,MATCH(4,'Inputs'!$X$22:$X$39,0)),IFERROR(INDEX('Inputs'!$M$59:$M$70,MATCH(4,'Inputs'!$O$59:$O$70,0)),""))</f>
      </c>
      <c r="D42" s="48">
        <f>IFERROR(INDEX('Inputs'!$V$22:$V$39,MATCH(4,'Inputs'!$X$22:$X$39,0)),IFERROR(INDEX('Inputs'!$N$59:$N$70,MATCH(4,'Inputs'!$O$59:$O$70,0)),""))</f>
      </c>
    </row>
    <row r="43" ht="15" customHeight="1" spans="2:4" x14ac:dyDescent="0.25">
      <c r="B43" s="7">
        <f>IFERROR("   Bequest: "&amp;INDEX('Inputs'!$B$22:$B$39,MATCH(5,'Inputs'!$X$22:$X$39,0))&amp;IF(INDEX('Inputs'!$I$22:$I$39,MATCH(5,'Inputs'!$X$22:$X$39,0))&lt;&gt;""," ("&amp;INDEX('Inputs'!$I$22:$I$39,MATCH(5,'Inputs'!$X$22:$X$39,0))&amp;")",""),IFERROR("   Policy: "&amp;INDEX('Inputs'!$B$59:$B$70,MATCH(5,'Inputs'!$O$59:$O$70,0))&amp;IF(INDEX('Inputs'!$I$59:$I$70,MATCH(5,'Inputs'!$O$59:$O$70,0))&lt;&gt;""," ("&amp;INDEX('Inputs'!$I$59:$I$70,MATCH(5,'Inputs'!$O$59:$O$70,0))&amp;")",""),""))</f>
      </c>
      <c r="C43" s="48">
        <f>IFERROR(INDEX('Inputs'!$U$22:$U$39,MATCH(5,'Inputs'!$X$22:$X$39,0)),IFERROR(INDEX('Inputs'!$M$59:$M$70,MATCH(5,'Inputs'!$O$59:$O$70,0)),""))</f>
      </c>
      <c r="D43" s="48">
        <f>IFERROR(INDEX('Inputs'!$V$22:$V$39,MATCH(5,'Inputs'!$X$22:$X$39,0)),IFERROR(INDEX('Inputs'!$N$59:$N$70,MATCH(5,'Inputs'!$O$59:$O$70,0)),""))</f>
      </c>
    </row>
    <row r="44" ht="15" customHeight="1" spans="2:4" x14ac:dyDescent="0.25">
      <c r="B44" s="7">
        <f>IFERROR("   Bequest: "&amp;INDEX('Inputs'!$B$22:$B$39,MATCH(6,'Inputs'!$X$22:$X$39,0))&amp;IF(INDEX('Inputs'!$I$22:$I$39,MATCH(6,'Inputs'!$X$22:$X$39,0))&lt;&gt;""," ("&amp;INDEX('Inputs'!$I$22:$I$39,MATCH(6,'Inputs'!$X$22:$X$39,0))&amp;")",""),IFERROR("   Policy: "&amp;INDEX('Inputs'!$B$59:$B$70,MATCH(6,'Inputs'!$O$59:$O$70,0))&amp;IF(INDEX('Inputs'!$I$59:$I$70,MATCH(6,'Inputs'!$O$59:$O$70,0))&lt;&gt;""," ("&amp;INDEX('Inputs'!$I$59:$I$70,MATCH(6,'Inputs'!$O$59:$O$70,0))&amp;")",""),""))</f>
      </c>
      <c r="C44" s="48">
        <f>IFERROR(INDEX('Inputs'!$U$22:$U$39,MATCH(6,'Inputs'!$X$22:$X$39,0)),IFERROR(INDEX('Inputs'!$M$59:$M$70,MATCH(6,'Inputs'!$O$59:$O$70,0)),""))</f>
      </c>
      <c r="D44" s="48">
        <f>IFERROR(INDEX('Inputs'!$V$22:$V$39,MATCH(6,'Inputs'!$X$22:$X$39,0)),IFERROR(INDEX('Inputs'!$N$59:$N$70,MATCH(6,'Inputs'!$O$59:$O$70,0)),""))</f>
      </c>
    </row>
    <row r="45" ht="27" customHeight="1" spans="2:4" x14ac:dyDescent="0.25">
      <c r="B45" s="7" t="s">
        <v>278</v>
      </c>
      <c r="C45" s="48">
        <f>-(SUM('Inputs'!$M$59:$M$70)+SUM('Inputs'!$U$22:$U$39))</f>
      </c>
      <c r="D45" s="48">
        <f>-(SUM('Inputs'!$N$59:$N$70)+SUM('Inputs'!$V$22:$V$39))</f>
      </c>
    </row>
    <row r="46" spans="2:4" x14ac:dyDescent="0.25">
      <c r="B46" s="29" t="s">
        <v>244</v>
      </c>
      <c r="C46" s="49">
        <f>C36+C45</f>
      </c>
      <c r="D46" s="49">
        <f>D36+D45</f>
      </c>
    </row>
    <row r="47" spans="2:2" x14ac:dyDescent="0.25">
      <c r="B47" s="7" t="s">
        <v>279</v>
      </c>
    </row>
    <row r="49" ht="20" customHeight="1" spans="2:4" x14ac:dyDescent="0.25">
      <c r="B49" s="12" t="s">
        <v>280</v>
      </c>
      <c r="C49" s="13" t="s">
        <v>172</v>
      </c>
      <c r="D49" s="13" t="s">
        <v>251</v>
      </c>
    </row>
    <row r="50" spans="2:4" x14ac:dyDescent="0.25">
      <c r="B50" s="7" t="s">
        <v>176</v>
      </c>
      <c r="C50" s="48">
        <f>-(C25+C26+C27)</f>
      </c>
      <c r="D50" s="48">
        <f>-(D25+D26+D27)</f>
      </c>
    </row>
    <row r="51" spans="2:4" x14ac:dyDescent="0.25">
      <c r="B51" s="7" t="s">
        <v>240</v>
      </c>
      <c r="C51" s="48">
        <f>-C28</f>
      </c>
      <c r="D51" s="48">
        <f>-D28</f>
      </c>
    </row>
    <row r="52" spans="2:4" x14ac:dyDescent="0.25">
      <c r="B52" s="7" t="s">
        <v>281</v>
      </c>
      <c r="C52" s="48">
        <f>-C29</f>
      </c>
      <c r="D52" s="48">
        <f>-D29</f>
      </c>
    </row>
    <row r="53" spans="2:4" x14ac:dyDescent="0.25">
      <c r="B53" s="7" t="s">
        <v>175</v>
      </c>
      <c r="C53" s="48">
        <f>-C30</f>
      </c>
      <c r="D53" s="48">
        <f>-D30</f>
      </c>
    </row>
    <row r="54" spans="2:4" x14ac:dyDescent="0.25">
      <c r="B54" s="7" t="s">
        <v>258</v>
      </c>
      <c r="C54" s="48">
        <f>C16</f>
      </c>
      <c r="D54" s="48">
        <f>D16</f>
      </c>
    </row>
    <row r="55" spans="2:4" x14ac:dyDescent="0.25">
      <c r="B55" s="7" t="s">
        <v>244</v>
      </c>
      <c r="C55" s="48">
        <f>C46</f>
      </c>
      <c r="D55" s="48">
        <f>D46</f>
      </c>
    </row>
    <row r="56" spans="2:4" x14ac:dyDescent="0.25">
      <c r="B56" s="29" t="s">
        <v>245</v>
      </c>
      <c r="C56" s="49">
        <f>ROUND(SUM(C50:C55),2)</f>
      </c>
      <c r="D56" s="49">
        <f>ROUND(SUM(D50:D55),2)</f>
      </c>
    </row>
    <row r="57" ht="27" customHeight="1" spans="2:4" x14ac:dyDescent="0.25">
      <c r="B57" s="7">
        <f>"Less paid by the Legacy plan: "&amp;IF(AND(ISNUMBER('Inputs'!$C$100),'Inputs'!$C$100&gt;0),FIXED(N('Inputs'!$C$102),0)&amp;"% of the executor's fee and conveyancing, up to R "&amp;FIXED(N('Inputs'!$C$103),2),"no quote entered")</f>
      </c>
      <c r="C57" s="48">
        <f>0</f>
      </c>
      <c r="D57" s="48">
        <f>IF(AND(ISNUMBER('Inputs'!$C$100),'Inputs'!$C$100&gt;0),-ROUND(MIN(N('Inputs'!$C$102)/100*(D51+D52),N('Inputs'!$C$103)),2),0)</f>
      </c>
    </row>
    <row r="58" spans="2:4" x14ac:dyDescent="0.25">
      <c r="B58" s="29" t="s">
        <v>282</v>
      </c>
      <c r="C58" s="49">
        <f>ROUND(C56+C57,2)</f>
      </c>
      <c r="D58" s="49">
        <f>ROUND(D56+D57,2)</f>
      </c>
    </row>
    <row r="59" spans="2:4" x14ac:dyDescent="0.25">
      <c r="B59" s="7" t="s">
        <v>180</v>
      </c>
      <c r="C59" s="48">
        <f>-C24</f>
      </c>
      <c r="D59" s="48">
        <f>-D24</f>
      </c>
    </row>
    <row r="60" spans="2:4" x14ac:dyDescent="0.25">
      <c r="B60" s="29" t="s">
        <v>187</v>
      </c>
      <c r="C60" s="49">
        <f>ROUND(C58+C59,2)</f>
      </c>
      <c r="D60" s="49">
        <f>ROUND(D58+D59,2)</f>
      </c>
    </row>
    <row r="61" spans="2:4" x14ac:dyDescent="0.25">
      <c r="B61" s="7" t="s">
        <v>283</v>
      </c>
      <c r="C61" s="48">
        <f>ROUND(SUM('Inputs'!$O$22:$O$39),2)</f>
      </c>
      <c r="D61" s="48">
        <f>ROUND(SUM('Inputs'!$O$22:$O$39),2)</f>
      </c>
    </row>
    <row r="62" spans="2:4" x14ac:dyDescent="0.25">
      <c r="B62" s="7" t="s">
        <v>261</v>
      </c>
      <c r="C62" s="48">
        <f>C20</f>
      </c>
      <c r="D62" s="48">
        <f>D20</f>
      </c>
    </row>
    <row r="63" spans="2:4" x14ac:dyDescent="0.25">
      <c r="B63" s="29" t="s">
        <v>188</v>
      </c>
      <c r="C63" s="49">
        <f>C61+C62</f>
      </c>
      <c r="D63" s="49">
        <f>D61+D62</f>
      </c>
    </row>
    <row r="64" spans="2:4" x14ac:dyDescent="0.25">
      <c r="B64" s="29" t="s">
        <v>284</v>
      </c>
      <c r="C64" s="49">
        <f>ROUND(MAX(0,C60-C63),2)</f>
      </c>
      <c r="D64" s="49">
        <f>ROUND(MAX(0,D60-D63),2)</f>
      </c>
    </row>
    <row r="65" spans="2:4" x14ac:dyDescent="0.25">
      <c r="B65" s="7" t="s">
        <v>285</v>
      </c>
      <c r="C65" s="48">
        <f>ROUND(MAX(0,C63-C60),2)</f>
      </c>
      <c r="D65" s="48">
        <f>ROUND(MAX(0,D63-D60),2)</f>
      </c>
    </row>
    <row r="66" ht="27" customHeight="1" spans="2:4" x14ac:dyDescent="0.25">
      <c r="B66" s="29" t="s">
        <v>286</v>
      </c>
      <c r="C66" s="49">
        <f>ROUND(C21-C60,2)</f>
      </c>
      <c r="D66" s="49">
        <f>ROUND(D21-D60,2)</f>
      </c>
    </row>
    <row r="68" ht="52" customHeight="1" spans="2:4" x14ac:dyDescent="0.25">
      <c r="B68" s="35">
        <f>"Our standard assumptions: executor "&amp;IF(ROUND('Inputs'!$C$108,0)='Inputs'!$C$108,FIXED('Inputs'!$C$108,0),IF(ROUND('Inputs'!$C$108,1)='Inputs'!$C$108,FIXED('Inputs'!$C$108,1),FIXED('Inputs'!$C$108,2)))&amp;"%"&amp;" plus VAT unless Capital Legacy acts; Master's fees R "&amp;FIXED('Inputs'!$C$110,0)&amp;"; funeral R "&amp;FIXED('Inputs'!$C$111,0)&amp;"; sundries R "&amp;FIXED('Inputs'!$C$112,0)&amp;"; property transfer costs "&amp;IF(ROUND('Inputs'!$C$113,0)='Inputs'!$C$113,FIXED('Inputs'!$C$113,0),IF(ROUND('Inputs'!$C$113,1)='Inputs'!$C$113,FIXED('Inputs'!$C$113,1),FIXED('Inputs'!$C$113,2)))&amp;"%"&amp;" of value; agent's commission "&amp;IF(ROUND('Inputs'!$C$114,0)='Inputs'!$C$114,FIXED('Inputs'!$C$114,0),IF(ROUND('Inputs'!$C$114,1)='Inputs'!$C$114,FIXED('Inputs'!$C$114,1),FIXED('Inputs'!$C$114,2)))&amp;"%"&amp;" plus VAT on a property sold; estate duty "&amp;IF(ROUND('Inputs'!$C$116,0)='Inputs'!$C$116,FIXED('Inputs'!$C$116,0),IF(ROUND('Inputs'!$C$116,1)='Inputs'!$C$116,FIXED('Inputs'!$C$116,1),FIXED('Inputs'!$C$116,2)))&amp;"%"&amp;" above R "&amp;FIXED('Inputs'!$C$115,0)&amp;"; 2027 tax tables. Capital gains tax on death (s.9HA): everything treated as sold at its value; assets left to a spouse roll over (no tax now). The Capital Legacy fees stay deductible for estate duty, although the plan pays them."</f>
      </c>
      <c r="C68" s="35"/>
      <c r="D68" s="35"/>
    </row>
  </sheetData>
  <sheetProtection sheet="1" formatRows="0"/>
  <mergeCells count="3">
    <mergeCell ref="B1:D1"/>
    <mergeCell ref="B2:D2"/>
    <mergeCell ref="B68:D68"/>
  </mergeCells>
  <printOptions horizontalCentered="1"/>
  <pageMargins left="0.4" right="0.4" top="0.45" bottom="0.6" header="0.25" footer="0.3"/>
  <pageSetup paperSize="9" orientation="portrait" horizontalDpi="4294967295" verticalDpi="4294967295" scale="100" fitToWidth="1" fitToHeight="0"/>
  <headerFooter>
    <oddFooter>&amp;L&amp;8&amp;"Arial"Duwalcoe Financial Consultants CC  ·  FSP 9978  ·  Quick FNA workings&amp;R&amp;8&amp;"Arial"&amp;A  ·  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378"/>
  <sheetFormatPr defaultRowHeight="15" outlineLevelRow="0" outlineLevelCol="0" x14ac:dyDescent="55"/>
  <cols>
    <col min="1" max="1" width="2" customWidth="1"/>
    <col min="2" max="2" width="34" customWidth="1"/>
    <col min="3" max="3" width="16" customWidth="1"/>
  </cols>
  <sheetData>
    <row r="1" spans="5:7" x14ac:dyDescent="0.25">
      <c r="E1" t="s">
        <v>420</v>
      </c>
      <c r="F1" t="s">
        <v>421</v>
      </c>
      <c r="G1" t="s">
        <v>422</v>
      </c>
    </row>
    <row r="2" spans="2:20" x14ac:dyDescent="0.25">
      <c r="B2" t="s">
        <v>113</v>
      </c>
      <c r="C2">
        <f>IF('Inputs'!$B$89="","",'Inputs'!$B$89)</f>
      </c>
      <c r="E2">
        <f>MAX($C$6,0)</f>
      </c>
      <c r="F2">
        <f>(E2-$C$6)-(MAX(0,(INDEX('Inputs'!$D$125:$D$131,MATCH(E2,'Inputs'!$C$125:$C$131,1))+INDEX('Inputs'!$E$125:$E$131,MATCH(E2,'Inputs'!$C$125:$C$131,1))/100*((E2)-INDEX('Inputs'!$C$125:$C$131,MATCH(E2,'Inputs'!$C$125:$C$131,1))))-$C$4)-$C$12)</f>
      </c>
      <c r="G2">
        <f>1-IF(E2&gt;=$C$5,INDEX('Inputs'!$E$125:$E$131,MATCH(E2,'Inputs'!$C$125:$C$131,1))/100,0)</f>
      </c>
      <c r="S2" t="s">
        <v>423</v>
      </c>
      <c r="T2" t="s">
        <v>424</v>
      </c>
    </row>
    <row r="3" spans="2:20" x14ac:dyDescent="0.25">
      <c r="B3" t="s">
        <v>115</v>
      </c>
      <c r="C3">
        <f>N('Inputs'!$D$89)</f>
      </c>
      <c r="E3">
        <f>MAX($C$6,$C$5)</f>
      </c>
      <c r="F3">
        <f>(E3-$C$6)-(MAX(0,(INDEX('Inputs'!$D$125:$D$131,MATCH(E3,'Inputs'!$C$125:$C$131,1))+INDEX('Inputs'!$E$125:$E$131,MATCH(E3,'Inputs'!$C$125:$C$131,1))/100*((E3)-INDEX('Inputs'!$C$125:$C$131,MATCH(E3,'Inputs'!$C$125:$C$131,1))))-$C$4)-$C$12)</f>
      </c>
      <c r="G3">
        <f>1-IF(E3&gt;=$C$5,INDEX('Inputs'!$E$125:$E$131,MATCH(E3,'Inputs'!$C$125:$C$131,1))/100,0)</f>
      </c>
      <c r="I3" t="s">
        <v>425</v>
      </c>
      <c r="J3" t="s">
        <v>426</v>
      </c>
      <c r="K3" t="s">
        <v>427</v>
      </c>
      <c r="L3" t="s">
        <v>428</v>
      </c>
      <c r="M3" t="s">
        <v>429</v>
      </c>
      <c r="N3" t="s">
        <v>430</v>
      </c>
      <c r="O3" t="s">
        <v>431</v>
      </c>
      <c r="P3" t="s">
        <v>432</v>
      </c>
      <c r="Q3" t="s">
        <v>433</v>
      </c>
      <c r="S3">
        <f>0</f>
      </c>
      <c r="T3">
        <f>ROUND(IF(('Inputs'!$C$122/100*(1-('Inputs'!$H$110/100*S3+'Inputs'!$H$111/100*'Inputs'!$H$113/100+'Inputs'!$H$112/100*'Inputs'!$C$120/100*S3))-IF($C$11=1,'Inputs'!$H$108/100,0))=0,SUM($O$4:$O$53),(1-(1+('Inputs'!$C$122/100*(1-('Inputs'!$H$110/100*S3+'Inputs'!$H$111/100*'Inputs'!$H$113/100+'Inputs'!$H$112/100*'Inputs'!$C$120/100*S3))-IF($C$11=1,'Inputs'!$H$108/100,0)))^-1)/(1-(1+('Inputs'!$C$122/100*(1-('Inputs'!$H$110/100*S3+'Inputs'!$H$111/100*'Inputs'!$H$113/100+'Inputs'!$H$112/100*'Inputs'!$C$120/100*S3))-IF($C$11=1,'Inputs'!$H$108/100,0)))^(-1/12))/12*SUMPRODUCT($O$4:$O$53,(1+('Inputs'!$C$122/100*(1-('Inputs'!$H$110/100*S3+'Inputs'!$H$111/100*'Inputs'!$H$113/100+'Inputs'!$H$112/100*'Inputs'!$C$120/100*S3))-IF($C$11=1,'Inputs'!$H$108/100,0)))^(-$I$4:$I$53))),2)</f>
      </c>
    </row>
    <row r="4" spans="2:20" x14ac:dyDescent="0.25">
      <c r="B4" t="s">
        <v>434</v>
      </c>
      <c r="C4">
        <f>IF($C$2="",0,'Inputs'!$H$117+IF($C$3&gt;=65,'Inputs'!$H$118,0)+IF($C$3&gt;=75,'Inputs'!$H$119,0))</f>
      </c>
      <c r="E4">
        <f>MAX($C$6,INDEX('Inputs'!$C$125:$C$131,2))</f>
      </c>
      <c r="F4">
        <f>(E4-$C$6)-(MAX(0,(INDEX('Inputs'!$D$125:$D$131,MATCH(E4,'Inputs'!$C$125:$C$131,1))+INDEX('Inputs'!$E$125:$E$131,MATCH(E4,'Inputs'!$C$125:$C$131,1))/100*((E4)-INDEX('Inputs'!$C$125:$C$131,MATCH(E4,'Inputs'!$C$125:$C$131,1))))-$C$4)-$C$12)</f>
      </c>
      <c r="G4">
        <f>1-IF(E4&gt;=$C$5,INDEX('Inputs'!$E$125:$E$131,MATCH(E4,'Inputs'!$C$125:$C$131,1))/100,0)</f>
      </c>
      <c r="I4">
        <v>0</v>
      </c>
      <c r="J4">
        <f>IF(I4&lt;$C$8,12*$C$9*(1+$C$10)^I4,0)</f>
      </c>
      <c r="K4">
        <f>IF(J4&lt;=0,0,INDEX($E$2:$E$9,MATCH(J4,$F$2:$F$9,1))+(J4-INDEX($F$2:$F$9,MATCH(J4,$F$2:$F$9,1)))/INDEX($G$2:$G$9,MATCH(J4,$F$2:$F$9,1))-$C$6)</f>
      </c>
      <c r="L4">
        <f>$C$7</f>
      </c>
      <c r="M4">
        <f>IF(L4&gt;0.005,MIN(MAX(K4,'Inputs'!$H$115/100*L4),'Inputs'!$H$116/100*L4),0)</f>
      </c>
      <c r="N4">
        <f>IF(M4&gt;0,M4-(MAX(0,(INDEX('Inputs'!$D$125:$D$131,MATCH($C$6+M4,'Inputs'!$C$125:$C$131,1))+INDEX('Inputs'!$E$125:$E$131,MATCH($C$6+M4,'Inputs'!$C$125:$C$131,1))/100*(($C$6+M4)-INDEX('Inputs'!$C$125:$C$131,MATCH($C$6+M4,'Inputs'!$C$125:$C$131,1))))-$C$4)-$C$12),0)</f>
      </c>
      <c r="O4">
        <f>IF(I4&lt;$C$8,MAX(0,J4-N4),0)</f>
      </c>
      <c r="P4">
        <f>IF($C$11&lt;&gt;1,0,IF($C$20=0,SUM($O$4:$O$53),(1-(1+$C$20)^-1)/(1-(1+$C$20)^(-1/12))/12*SUMPRODUCT($O$4:$O$53,(1+$C$20)^(-$I$4:$I$53))))</f>
      </c>
      <c r="Q4">
        <f>IF($C$11&lt;&gt;1,0,IFERROR((((1+($C$20+'Inputs'!$H$108/100))^(1/12)-1)-((1+$C$20)^(1/12)-1))*(P4*(((1+((1+$C$20)^(1/12)-1))^12-1)/((1+((1+$C$20)^(1/12)-1))-1))-O4/12/((1+((1+$C$20)^(1/12)-1))-1)*((1+((1+$C$20)^(1/12)-1))*(((1+((1+$C$20)^(1/12)-1))^12-1)/((1+((1+$C$20)^(1/12)-1))-1))-12)),0))</f>
      </c>
      <c r="S4">
        <f>IF($C$6+$C$13+T3*('Inputs'!$C$122/100*('Inputs'!$H$110/100+'Inputs'!$C$120/100*'Inputs'!$H$112/100))&lt;=$C$5,0,INDEX('Inputs'!$E$125:$E$131,MATCH($C$6+$C$13+T3*('Inputs'!$C$122/100*('Inputs'!$H$110/100+'Inputs'!$C$120/100*'Inputs'!$H$112/100)),'Inputs'!$C$125:$C$131,1)-IF(COUNTIF('Inputs'!$C$125:$C$131,$C$6+$C$13+T3*('Inputs'!$C$122/100*('Inputs'!$H$110/100+'Inputs'!$C$120/100*'Inputs'!$H$112/100)))&gt;0,1,0))/100)</f>
      </c>
      <c r="T4">
        <f>ROUND(IF(('Inputs'!$C$122/100*(1-('Inputs'!$H$110/100*S4+'Inputs'!$H$111/100*'Inputs'!$H$113/100+'Inputs'!$H$112/100*'Inputs'!$C$120/100*S4))-IF($C$11=1,'Inputs'!$H$108/100,0))=0,SUM($O$4:$O$53),(1-(1+('Inputs'!$C$122/100*(1-('Inputs'!$H$110/100*S4+'Inputs'!$H$111/100*'Inputs'!$H$113/100+'Inputs'!$H$112/100*'Inputs'!$C$120/100*S4))-IF($C$11=1,'Inputs'!$H$108/100,0)))^-1)/(1-(1+('Inputs'!$C$122/100*(1-('Inputs'!$H$110/100*S4+'Inputs'!$H$111/100*'Inputs'!$H$113/100+'Inputs'!$H$112/100*'Inputs'!$C$120/100*S4))-IF($C$11=1,'Inputs'!$H$108/100,0)))^(-1/12))/12*SUMPRODUCT($O$4:$O$53,(1+('Inputs'!$C$122/100*(1-('Inputs'!$H$110/100*S4+'Inputs'!$H$111/100*'Inputs'!$H$113/100+'Inputs'!$H$112/100*'Inputs'!$C$120/100*S4))-IF($C$11=1,'Inputs'!$H$108/100,0)))^(-$I$4:$I$53))),2)</f>
      </c>
    </row>
    <row r="5" spans="2:20" x14ac:dyDescent="0.25">
      <c r="B5" t="s">
        <v>435</v>
      </c>
      <c r="C5">
        <f>IF($C$3&gt;=75,'Inputs'!$H$121,IF($C$3&gt;=65,'Inputs'!$H$120,'Inputs'!$H$109))</f>
      </c>
      <c r="E5">
        <f>MAX($C$6,INDEX('Inputs'!$C$125:$C$131,3))</f>
      </c>
      <c r="F5">
        <f>(E5-$C$6)-(MAX(0,(INDEX('Inputs'!$D$125:$D$131,MATCH(E5,'Inputs'!$C$125:$C$131,1))+INDEX('Inputs'!$E$125:$E$131,MATCH(E5,'Inputs'!$C$125:$C$131,1))/100*((E5)-INDEX('Inputs'!$C$125:$C$131,MATCH(E5,'Inputs'!$C$125:$C$131,1))))-$C$4)-$C$12)</f>
      </c>
      <c r="G5">
        <f>1-IF(E5&gt;=$C$5,INDEX('Inputs'!$E$125:$E$131,MATCH(E5,'Inputs'!$C$125:$C$131,1))/100,0)</f>
      </c>
      <c r="I5">
        <v>1</v>
      </c>
      <c r="J5">
        <f>IF(I5&lt;$C$8,12*$C$9*(1+$C$10)^I5,0)</f>
      </c>
      <c r="K5">
        <f>IF(J5&lt;=0,0,INDEX($E$2:$E$9,MATCH(J5,$F$2:$F$9,1))+(J5-INDEX($F$2:$F$9,MATCH(J5,$F$2:$F$9,1)))/INDEX($G$2:$G$9,MATCH(J5,$F$2:$F$9,1))-$C$6)</f>
      </c>
      <c r="L5">
        <f>MAX(0,L4*(1+'Inputs'!$C$122/100)-M4/12*(1+'Inputs'!$C$122/100)^(1/12)*'Inputs'!$C$122/100/((1+'Inputs'!$C$122/100)^(1/12)-1))</f>
      </c>
      <c r="M5">
        <f>IF(L5&gt;0.005,MIN(MAX(K5,'Inputs'!$H$115/100*L5),'Inputs'!$H$116/100*L5),0)</f>
      </c>
      <c r="N5">
        <f>IF(M5&gt;0,M5-(MAX(0,(INDEX('Inputs'!$D$125:$D$131,MATCH($C$6+M5,'Inputs'!$C$125:$C$131,1))+INDEX('Inputs'!$E$125:$E$131,MATCH($C$6+M5,'Inputs'!$C$125:$C$131,1))/100*(($C$6+M5)-INDEX('Inputs'!$C$125:$C$131,MATCH($C$6+M5,'Inputs'!$C$125:$C$131,1))))-$C$4)-$C$12),0)</f>
      </c>
      <c r="O5">
        <f>IF(I5&lt;$C$8,MAX(0,J5-N5),0)</f>
      </c>
      <c r="P5">
        <f>IF($C$11&lt;&gt;1,0,P4*(1+((1+$C$20)^(1/12)-1))^12-O4/12*(1+((1+$C$20)^(1/12)-1))*(((1+((1+$C$20)^(1/12)-1))^12-1)/((1+((1+$C$20)^(1/12)-1))-1)))</f>
      </c>
      <c r="Q5">
        <f>IF($C$11&lt;&gt;1,0,IFERROR((((1+($C$20+'Inputs'!$H$108/100))^(1/12)-1)-((1+$C$20)^(1/12)-1))*(P5*(((1+((1+$C$20)^(1/12)-1))^12-1)/((1+((1+$C$20)^(1/12)-1))-1))-O5/12/((1+((1+$C$20)^(1/12)-1))-1)*((1+((1+$C$20)^(1/12)-1))*(((1+((1+$C$20)^(1/12)-1))^12-1)/((1+((1+$C$20)^(1/12)-1))-1))-12)),0))</f>
      </c>
      <c r="S5">
        <f>IF($C$6+$C$13+T4*('Inputs'!$C$122/100*('Inputs'!$H$110/100+'Inputs'!$C$120/100*'Inputs'!$H$112/100))&lt;=$C$5,0,INDEX('Inputs'!$E$125:$E$131,MATCH($C$6+$C$13+T4*('Inputs'!$C$122/100*('Inputs'!$H$110/100+'Inputs'!$C$120/100*'Inputs'!$H$112/100)),'Inputs'!$C$125:$C$131,1)-IF(COUNTIF('Inputs'!$C$125:$C$131,$C$6+$C$13+T4*('Inputs'!$C$122/100*('Inputs'!$H$110/100+'Inputs'!$C$120/100*'Inputs'!$H$112/100)))&gt;0,1,0))/100)</f>
      </c>
      <c r="T5">
        <f>ROUND(IF(('Inputs'!$C$122/100*(1-('Inputs'!$H$110/100*S5+'Inputs'!$H$111/100*'Inputs'!$H$113/100+'Inputs'!$H$112/100*'Inputs'!$C$120/100*S5))-IF($C$11=1,'Inputs'!$H$108/100,0))=0,SUM($O$4:$O$53),(1-(1+('Inputs'!$C$122/100*(1-('Inputs'!$H$110/100*S5+'Inputs'!$H$111/100*'Inputs'!$H$113/100+'Inputs'!$H$112/100*'Inputs'!$C$120/100*S5))-IF($C$11=1,'Inputs'!$H$108/100,0)))^-1)/(1-(1+('Inputs'!$C$122/100*(1-('Inputs'!$H$110/100*S5+'Inputs'!$H$111/100*'Inputs'!$H$113/100+'Inputs'!$H$112/100*'Inputs'!$C$120/100*S5))-IF($C$11=1,'Inputs'!$H$108/100,0)))^(-1/12))/12*SUMPRODUCT($O$4:$O$53,(1+('Inputs'!$C$122/100*(1-('Inputs'!$H$110/100*S5+'Inputs'!$H$111/100*'Inputs'!$H$113/100+'Inputs'!$H$112/100*'Inputs'!$C$120/100*S5))-IF($C$11=1,'Inputs'!$H$108/100,0)))^(-$I$4:$I$53))),2)</f>
      </c>
    </row>
    <row r="6" spans="2:20" x14ac:dyDescent="0.25">
      <c r="B6" t="s">
        <v>436</v>
      </c>
      <c r="C6">
        <f>N('Inputs'!$I$89)</f>
      </c>
      <c r="E6">
        <f>MAX($C$6,INDEX('Inputs'!$C$125:$C$131,4))</f>
      </c>
      <c r="F6">
        <f>(E6-$C$6)-(MAX(0,(INDEX('Inputs'!$D$125:$D$131,MATCH(E6,'Inputs'!$C$125:$C$131,1))+INDEX('Inputs'!$E$125:$E$131,MATCH(E6,'Inputs'!$C$125:$C$131,1))/100*((E6)-INDEX('Inputs'!$C$125:$C$131,MATCH(E6,'Inputs'!$C$125:$C$131,1))))-$C$4)-$C$12)</f>
      </c>
      <c r="G6">
        <f>1-IF(E6&gt;=$C$5,INDEX('Inputs'!$E$125:$E$131,MATCH(E6,'Inputs'!$C$125:$C$131,1))/100,0)</f>
      </c>
      <c r="I6">
        <v>2</v>
      </c>
      <c r="J6">
        <f>IF(I6&lt;$C$8,12*$C$9*(1+$C$10)^I6,0)</f>
      </c>
      <c r="K6">
        <f>IF(J6&lt;=0,0,INDEX($E$2:$E$9,MATCH(J6,$F$2:$F$9,1))+(J6-INDEX($F$2:$F$9,MATCH(J6,$F$2:$F$9,1)))/INDEX($G$2:$G$9,MATCH(J6,$F$2:$F$9,1))-$C$6)</f>
      </c>
      <c r="L6">
        <f>MAX(0,L5*(1+'Inputs'!$C$122/100)-M5/12*(1+'Inputs'!$C$122/100)^(1/12)*'Inputs'!$C$122/100/((1+'Inputs'!$C$122/100)^(1/12)-1))</f>
      </c>
      <c r="M6">
        <f>IF(L6&gt;0.005,MIN(MAX(K6,'Inputs'!$H$115/100*L6),'Inputs'!$H$116/100*L6),0)</f>
      </c>
      <c r="N6">
        <f>IF(M6&gt;0,M6-(MAX(0,(INDEX('Inputs'!$D$125:$D$131,MATCH($C$6+M6,'Inputs'!$C$125:$C$131,1))+INDEX('Inputs'!$E$125:$E$131,MATCH($C$6+M6,'Inputs'!$C$125:$C$131,1))/100*(($C$6+M6)-INDEX('Inputs'!$C$125:$C$131,MATCH($C$6+M6,'Inputs'!$C$125:$C$131,1))))-$C$4)-$C$12),0)</f>
      </c>
      <c r="O6">
        <f>IF(I6&lt;$C$8,MAX(0,J6-N6),0)</f>
      </c>
      <c r="P6">
        <f>IF($C$11&lt;&gt;1,0,P5*(1+((1+$C$20)^(1/12)-1))^12-O5/12*(1+((1+$C$20)^(1/12)-1))*(((1+((1+$C$20)^(1/12)-1))^12-1)/((1+((1+$C$20)^(1/12)-1))-1)))</f>
      </c>
      <c r="Q6">
        <f>IF($C$11&lt;&gt;1,0,IFERROR((((1+($C$20+'Inputs'!$H$108/100))^(1/12)-1)-((1+$C$20)^(1/12)-1))*(P6*(((1+((1+$C$20)^(1/12)-1))^12-1)/((1+((1+$C$20)^(1/12)-1))-1))-O6/12/((1+((1+$C$20)^(1/12)-1))-1)*((1+((1+$C$20)^(1/12)-1))*(((1+((1+$C$20)^(1/12)-1))^12-1)/((1+((1+$C$20)^(1/12)-1))-1))-12)),0))</f>
      </c>
      <c r="S6">
        <f>IF($C$6+$C$13+T5*('Inputs'!$C$122/100*('Inputs'!$H$110/100+'Inputs'!$C$120/100*'Inputs'!$H$112/100))&lt;=$C$5,0,INDEX('Inputs'!$E$125:$E$131,MATCH($C$6+$C$13+T5*('Inputs'!$C$122/100*('Inputs'!$H$110/100+'Inputs'!$C$120/100*'Inputs'!$H$112/100)),'Inputs'!$C$125:$C$131,1)-IF(COUNTIF('Inputs'!$C$125:$C$131,$C$6+$C$13+T5*('Inputs'!$C$122/100*('Inputs'!$H$110/100+'Inputs'!$C$120/100*'Inputs'!$H$112/100)))&gt;0,1,0))/100)</f>
      </c>
      <c r="T6">
        <f>ROUND(IF(('Inputs'!$C$122/100*(1-('Inputs'!$H$110/100*S6+'Inputs'!$H$111/100*'Inputs'!$H$113/100+'Inputs'!$H$112/100*'Inputs'!$C$120/100*S6))-IF($C$11=1,'Inputs'!$H$108/100,0))=0,SUM($O$4:$O$53),(1-(1+('Inputs'!$C$122/100*(1-('Inputs'!$H$110/100*S6+'Inputs'!$H$111/100*'Inputs'!$H$113/100+'Inputs'!$H$112/100*'Inputs'!$C$120/100*S6))-IF($C$11=1,'Inputs'!$H$108/100,0)))^-1)/(1-(1+('Inputs'!$C$122/100*(1-('Inputs'!$H$110/100*S6+'Inputs'!$H$111/100*'Inputs'!$H$113/100+'Inputs'!$H$112/100*'Inputs'!$C$120/100*S6))-IF($C$11=1,'Inputs'!$H$108/100,0)))^(-1/12))/12*SUMPRODUCT($O$4:$O$53,(1+('Inputs'!$C$122/100*(1-('Inputs'!$H$110/100*S6+'Inputs'!$H$111/100*'Inputs'!$H$113/100+'Inputs'!$H$112/100*'Inputs'!$C$120/100*S6))-IF($C$11=1,'Inputs'!$H$108/100,0)))^(-$I$4:$I$53))),2)</f>
      </c>
    </row>
    <row r="7" spans="2:20" x14ac:dyDescent="0.25">
      <c r="B7" t="s">
        <v>437</v>
      </c>
      <c r="C7">
        <f>IF($C$2="",0,SUMIFS('Inputs'!$D$76:$D$83,'Inputs'!$F$76:$F$83,$C$2))</f>
      </c>
      <c r="E7">
        <f>MAX($C$6,INDEX('Inputs'!$C$125:$C$131,5))</f>
      </c>
      <c r="F7">
        <f>(E7-$C$6)-(MAX(0,(INDEX('Inputs'!$D$125:$D$131,MATCH(E7,'Inputs'!$C$125:$C$131,1))+INDEX('Inputs'!$E$125:$E$131,MATCH(E7,'Inputs'!$C$125:$C$131,1))/100*((E7)-INDEX('Inputs'!$C$125:$C$131,MATCH(E7,'Inputs'!$C$125:$C$131,1))))-$C$4)-$C$12)</f>
      </c>
      <c r="G7">
        <f>1-IF(E7&gt;=$C$5,INDEX('Inputs'!$E$125:$E$131,MATCH(E7,'Inputs'!$C$125:$C$131,1))/100,0)</f>
      </c>
      <c r="I7">
        <v>3</v>
      </c>
      <c r="J7">
        <f>IF(I7&lt;$C$8,12*$C$9*(1+$C$10)^I7,0)</f>
      </c>
      <c r="K7">
        <f>IF(J7&lt;=0,0,INDEX($E$2:$E$9,MATCH(J7,$F$2:$F$9,1))+(J7-INDEX($F$2:$F$9,MATCH(J7,$F$2:$F$9,1)))/INDEX($G$2:$G$9,MATCH(J7,$F$2:$F$9,1))-$C$6)</f>
      </c>
      <c r="L7">
        <f>MAX(0,L6*(1+'Inputs'!$C$122/100)-M6/12*(1+'Inputs'!$C$122/100)^(1/12)*'Inputs'!$C$122/100/((1+'Inputs'!$C$122/100)^(1/12)-1))</f>
      </c>
      <c r="M7">
        <f>IF(L7&gt;0.005,MIN(MAX(K7,'Inputs'!$H$115/100*L7),'Inputs'!$H$116/100*L7),0)</f>
      </c>
      <c r="N7">
        <f>IF(M7&gt;0,M7-(MAX(0,(INDEX('Inputs'!$D$125:$D$131,MATCH($C$6+M7,'Inputs'!$C$125:$C$131,1))+INDEX('Inputs'!$E$125:$E$131,MATCH($C$6+M7,'Inputs'!$C$125:$C$131,1))/100*(($C$6+M7)-INDEX('Inputs'!$C$125:$C$131,MATCH($C$6+M7,'Inputs'!$C$125:$C$131,1))))-$C$4)-$C$12),0)</f>
      </c>
      <c r="O7">
        <f>IF(I7&lt;$C$8,MAX(0,J7-N7),0)</f>
      </c>
      <c r="P7">
        <f>IF($C$11&lt;&gt;1,0,P6*(1+((1+$C$20)^(1/12)-1))^12-O6/12*(1+((1+$C$20)^(1/12)-1))*(((1+((1+$C$20)^(1/12)-1))^12-1)/((1+((1+$C$20)^(1/12)-1))-1)))</f>
      </c>
      <c r="Q7">
        <f>IF($C$11&lt;&gt;1,0,IFERROR((((1+($C$20+'Inputs'!$H$108/100))^(1/12)-1)-((1+$C$20)^(1/12)-1))*(P7*(((1+((1+$C$20)^(1/12)-1))^12-1)/((1+((1+$C$20)^(1/12)-1))-1))-O7/12/((1+((1+$C$20)^(1/12)-1))-1)*((1+((1+$C$20)^(1/12)-1))*(((1+((1+$C$20)^(1/12)-1))^12-1)/((1+((1+$C$20)^(1/12)-1))-1))-12)),0))</f>
      </c>
      <c r="S7">
        <f>IF($C$6+$C$13+T6*('Inputs'!$C$122/100*('Inputs'!$H$110/100+'Inputs'!$C$120/100*'Inputs'!$H$112/100))&lt;=$C$5,0,INDEX('Inputs'!$E$125:$E$131,MATCH($C$6+$C$13+T6*('Inputs'!$C$122/100*('Inputs'!$H$110/100+'Inputs'!$C$120/100*'Inputs'!$H$112/100)),'Inputs'!$C$125:$C$131,1)-IF(COUNTIF('Inputs'!$C$125:$C$131,$C$6+$C$13+T6*('Inputs'!$C$122/100*('Inputs'!$H$110/100+'Inputs'!$C$120/100*'Inputs'!$H$112/100)))&gt;0,1,0))/100)</f>
      </c>
      <c r="T7">
        <f>ROUND(IF(('Inputs'!$C$122/100*(1-('Inputs'!$H$110/100*S7+'Inputs'!$H$111/100*'Inputs'!$H$113/100+'Inputs'!$H$112/100*'Inputs'!$C$120/100*S7))-IF($C$11=1,'Inputs'!$H$108/100,0))=0,SUM($O$4:$O$53),(1-(1+('Inputs'!$C$122/100*(1-('Inputs'!$H$110/100*S7+'Inputs'!$H$111/100*'Inputs'!$H$113/100+'Inputs'!$H$112/100*'Inputs'!$C$120/100*S7))-IF($C$11=1,'Inputs'!$H$108/100,0)))^-1)/(1-(1+('Inputs'!$C$122/100*(1-('Inputs'!$H$110/100*S7+'Inputs'!$H$111/100*'Inputs'!$H$113/100+'Inputs'!$H$112/100*'Inputs'!$C$120/100*S7))-IF($C$11=1,'Inputs'!$H$108/100,0)))^(-1/12))/12*SUMPRODUCT($O$4:$O$53,(1+('Inputs'!$C$122/100*(1-('Inputs'!$H$110/100*S7+'Inputs'!$H$111/100*'Inputs'!$H$113/100+'Inputs'!$H$112/100*'Inputs'!$C$120/100*S7))-IF($C$11=1,'Inputs'!$H$108/100,0)))^(-$I$4:$I$53))),2)</f>
      </c>
    </row>
    <row r="8" spans="2:20" x14ac:dyDescent="0.25">
      <c r="B8" t="s">
        <v>438</v>
      </c>
      <c r="C8">
        <f>IF($C$2="",0,N('Inputs'!$F$89))</f>
      </c>
      <c r="E8">
        <f>MAX($C$6,INDEX('Inputs'!$C$125:$C$131,6))</f>
      </c>
      <c r="F8">
        <f>(E8-$C$6)-(MAX(0,(INDEX('Inputs'!$D$125:$D$131,MATCH(E8,'Inputs'!$C$125:$C$131,1))+INDEX('Inputs'!$E$125:$E$131,MATCH(E8,'Inputs'!$C$125:$C$131,1))/100*((E8)-INDEX('Inputs'!$C$125:$C$131,MATCH(E8,'Inputs'!$C$125:$C$131,1))))-$C$4)-$C$12)</f>
      </c>
      <c r="G8">
        <f>1-IF(E8&gt;=$C$5,INDEX('Inputs'!$E$125:$E$131,MATCH(E8,'Inputs'!$C$125:$C$131,1))/100,0)</f>
      </c>
      <c r="I8">
        <v>4</v>
      </c>
      <c r="J8">
        <f>IF(I8&lt;$C$8,12*$C$9*(1+$C$10)^I8,0)</f>
      </c>
      <c r="K8">
        <f>IF(J8&lt;=0,0,INDEX($E$2:$E$9,MATCH(J8,$F$2:$F$9,1))+(J8-INDEX($F$2:$F$9,MATCH(J8,$F$2:$F$9,1)))/INDEX($G$2:$G$9,MATCH(J8,$F$2:$F$9,1))-$C$6)</f>
      </c>
      <c r="L8">
        <f>MAX(0,L7*(1+'Inputs'!$C$122/100)-M7/12*(1+'Inputs'!$C$122/100)^(1/12)*'Inputs'!$C$122/100/((1+'Inputs'!$C$122/100)^(1/12)-1))</f>
      </c>
      <c r="M8">
        <f>IF(L8&gt;0.005,MIN(MAX(K8,'Inputs'!$H$115/100*L8),'Inputs'!$H$116/100*L8),0)</f>
      </c>
      <c r="N8">
        <f>IF(M8&gt;0,M8-(MAX(0,(INDEX('Inputs'!$D$125:$D$131,MATCH($C$6+M8,'Inputs'!$C$125:$C$131,1))+INDEX('Inputs'!$E$125:$E$131,MATCH($C$6+M8,'Inputs'!$C$125:$C$131,1))/100*(($C$6+M8)-INDEX('Inputs'!$C$125:$C$131,MATCH($C$6+M8,'Inputs'!$C$125:$C$131,1))))-$C$4)-$C$12),0)</f>
      </c>
      <c r="O8">
        <f>IF(I8&lt;$C$8,MAX(0,J8-N8),0)</f>
      </c>
      <c r="P8">
        <f>IF($C$11&lt;&gt;1,0,P7*(1+((1+$C$20)^(1/12)-1))^12-O7/12*(1+((1+$C$20)^(1/12)-1))*(((1+((1+$C$20)^(1/12)-1))^12-1)/((1+((1+$C$20)^(1/12)-1))-1)))</f>
      </c>
      <c r="Q8">
        <f>IF($C$11&lt;&gt;1,0,IFERROR((((1+($C$20+'Inputs'!$H$108/100))^(1/12)-1)-((1+$C$20)^(1/12)-1))*(P8*(((1+((1+$C$20)^(1/12)-1))^12-1)/((1+((1+$C$20)^(1/12)-1))-1))-O8/12/((1+((1+$C$20)^(1/12)-1))-1)*((1+((1+$C$20)^(1/12)-1))*(((1+((1+$C$20)^(1/12)-1))^12-1)/((1+((1+$C$20)^(1/12)-1))-1))-12)),0))</f>
      </c>
      <c r="S8">
        <f>IF($C$6+$C$13+T7*('Inputs'!$C$122/100*('Inputs'!$H$110/100+'Inputs'!$C$120/100*'Inputs'!$H$112/100))&lt;=$C$5,0,INDEX('Inputs'!$E$125:$E$131,MATCH($C$6+$C$13+T7*('Inputs'!$C$122/100*('Inputs'!$H$110/100+'Inputs'!$C$120/100*'Inputs'!$H$112/100)),'Inputs'!$C$125:$C$131,1)-IF(COUNTIF('Inputs'!$C$125:$C$131,$C$6+$C$13+T7*('Inputs'!$C$122/100*('Inputs'!$H$110/100+'Inputs'!$C$120/100*'Inputs'!$H$112/100)))&gt;0,1,0))/100)</f>
      </c>
      <c r="T8">
        <f>ROUND(IF(('Inputs'!$C$122/100*(1-('Inputs'!$H$110/100*S8+'Inputs'!$H$111/100*'Inputs'!$H$113/100+'Inputs'!$H$112/100*'Inputs'!$C$120/100*S8))-IF($C$11=1,'Inputs'!$H$108/100,0))=0,SUM($O$4:$O$53),(1-(1+('Inputs'!$C$122/100*(1-('Inputs'!$H$110/100*S8+'Inputs'!$H$111/100*'Inputs'!$H$113/100+'Inputs'!$H$112/100*'Inputs'!$C$120/100*S8))-IF($C$11=1,'Inputs'!$H$108/100,0)))^-1)/(1-(1+('Inputs'!$C$122/100*(1-('Inputs'!$H$110/100*S8+'Inputs'!$H$111/100*'Inputs'!$H$113/100+'Inputs'!$H$112/100*'Inputs'!$C$120/100*S8))-IF($C$11=1,'Inputs'!$H$108/100,0)))^(-1/12))/12*SUMPRODUCT($O$4:$O$53,(1+('Inputs'!$C$122/100*(1-('Inputs'!$H$110/100*S8+'Inputs'!$H$111/100*'Inputs'!$H$113/100+'Inputs'!$H$112/100*'Inputs'!$C$120/100*S8))-IF($C$11=1,'Inputs'!$H$108/100,0)))^(-$I$4:$I$53))),2)</f>
      </c>
    </row>
    <row r="9" spans="2:17" x14ac:dyDescent="0.25">
      <c r="B9" t="s">
        <v>439</v>
      </c>
      <c r="C9">
        <f>N('Inputs'!$E$89)</f>
      </c>
      <c r="E9">
        <f>MAX($C$6,INDEX('Inputs'!$C$125:$C$131,7))</f>
      </c>
      <c r="F9">
        <f>(E9-$C$6)-(MAX(0,(INDEX('Inputs'!$D$125:$D$131,MATCH(E9,'Inputs'!$C$125:$C$131,1))+INDEX('Inputs'!$E$125:$E$131,MATCH(E9,'Inputs'!$C$125:$C$131,1))/100*((E9)-INDEX('Inputs'!$C$125:$C$131,MATCH(E9,'Inputs'!$C$125:$C$131,1))))-$C$4)-$C$12)</f>
      </c>
      <c r="G9">
        <f>1-IF(E9&gt;=$C$5,INDEX('Inputs'!$E$125:$E$131,MATCH(E9,'Inputs'!$C$125:$C$131,1))/100,0)</f>
      </c>
      <c r="I9">
        <v>5</v>
      </c>
      <c r="J9">
        <f>IF(I9&lt;$C$8,12*$C$9*(1+$C$10)^I9,0)</f>
      </c>
      <c r="K9">
        <f>IF(J9&lt;=0,0,INDEX($E$2:$E$9,MATCH(J9,$F$2:$F$9,1))+(J9-INDEX($F$2:$F$9,MATCH(J9,$F$2:$F$9,1)))/INDEX($G$2:$G$9,MATCH(J9,$F$2:$F$9,1))-$C$6)</f>
      </c>
      <c r="L9">
        <f>MAX(0,L8*(1+'Inputs'!$C$122/100)-M8/12*(1+'Inputs'!$C$122/100)^(1/12)*'Inputs'!$C$122/100/((1+'Inputs'!$C$122/100)^(1/12)-1))</f>
      </c>
      <c r="M9">
        <f>IF(L9&gt;0.005,MIN(MAX(K9,'Inputs'!$H$115/100*L9),'Inputs'!$H$116/100*L9),0)</f>
      </c>
      <c r="N9">
        <f>IF(M9&gt;0,M9-(MAX(0,(INDEX('Inputs'!$D$125:$D$131,MATCH($C$6+M9,'Inputs'!$C$125:$C$131,1))+INDEX('Inputs'!$E$125:$E$131,MATCH($C$6+M9,'Inputs'!$C$125:$C$131,1))/100*(($C$6+M9)-INDEX('Inputs'!$C$125:$C$131,MATCH($C$6+M9,'Inputs'!$C$125:$C$131,1))))-$C$4)-$C$12),0)</f>
      </c>
      <c r="O9">
        <f>IF(I9&lt;$C$8,MAX(0,J9-N9),0)</f>
      </c>
      <c r="P9">
        <f>IF($C$11&lt;&gt;1,0,P8*(1+((1+$C$20)^(1/12)-1))^12-O8/12*(1+((1+$C$20)^(1/12)-1))*(((1+((1+$C$20)^(1/12)-1))^12-1)/((1+((1+$C$20)^(1/12)-1))-1)))</f>
      </c>
      <c r="Q9">
        <f>IF($C$11&lt;&gt;1,0,IFERROR((((1+($C$20+'Inputs'!$H$108/100))^(1/12)-1)-((1+$C$20)^(1/12)-1))*(P9*(((1+((1+$C$20)^(1/12)-1))^12-1)/((1+((1+$C$20)^(1/12)-1))-1))-O9/12/((1+((1+$C$20)^(1/12)-1))-1)*((1+((1+$C$20)^(1/12)-1))*(((1+((1+$C$20)^(1/12)-1))^12-1)/((1+((1+$C$20)^(1/12)-1))-1))-12)),0))</f>
      </c>
    </row>
    <row r="10" spans="2:17" x14ac:dyDescent="0.25">
      <c r="B10" t="s">
        <v>440</v>
      </c>
      <c r="C10">
        <f>IF('Inputs'!$G$89="",'Inputs'!$H$114/100,'Inputs'!$G$89/100)</f>
      </c>
      <c r="I10">
        <v>6</v>
      </c>
      <c r="J10">
        <f>IF(I10&lt;$C$8,12*$C$9*(1+$C$10)^I10,0)</f>
      </c>
      <c r="K10">
        <f>IF(J10&lt;=0,0,INDEX($E$2:$E$9,MATCH(J10,$F$2:$F$9,1))+(J10-INDEX($F$2:$F$9,MATCH(J10,$F$2:$F$9,1)))/INDEX($G$2:$G$9,MATCH(J10,$F$2:$F$9,1))-$C$6)</f>
      </c>
      <c r="L10">
        <f>MAX(0,L9*(1+'Inputs'!$C$122/100)-M9/12*(1+'Inputs'!$C$122/100)^(1/12)*'Inputs'!$C$122/100/((1+'Inputs'!$C$122/100)^(1/12)-1))</f>
      </c>
      <c r="M10">
        <f>IF(L10&gt;0.005,MIN(MAX(K10,'Inputs'!$H$115/100*L10),'Inputs'!$H$116/100*L10),0)</f>
      </c>
      <c r="N10">
        <f>IF(M10&gt;0,M10-(MAX(0,(INDEX('Inputs'!$D$125:$D$131,MATCH($C$6+M10,'Inputs'!$C$125:$C$131,1))+INDEX('Inputs'!$E$125:$E$131,MATCH($C$6+M10,'Inputs'!$C$125:$C$131,1))/100*(($C$6+M10)-INDEX('Inputs'!$C$125:$C$131,MATCH($C$6+M10,'Inputs'!$C$125:$C$131,1))))-$C$4)-$C$12),0)</f>
      </c>
      <c r="O10">
        <f>IF(I10&lt;$C$8,MAX(0,J10-N10),0)</f>
      </c>
      <c r="P10">
        <f>IF($C$11&lt;&gt;1,0,P9*(1+((1+$C$20)^(1/12)-1))^12-O9/12*(1+((1+$C$20)^(1/12)-1))*(((1+((1+$C$20)^(1/12)-1))^12-1)/((1+((1+$C$20)^(1/12)-1))-1)))</f>
      </c>
      <c r="Q10">
        <f>IF($C$11&lt;&gt;1,0,IFERROR((((1+($C$20+'Inputs'!$H$108/100))^(1/12)-1)-((1+$C$20)^(1/12)-1))*(P10*(((1+((1+$C$20)^(1/12)-1))^12-1)/((1+((1+$C$20)^(1/12)-1))-1))-O10/12/((1+((1+$C$20)^(1/12)-1))-1)*((1+((1+$C$20)^(1/12)-1))*(((1+((1+$C$20)^(1/12)-1))^12-1)/((1+((1+$C$20)^(1/12)-1))-1))-12)),0))</f>
      </c>
    </row>
    <row r="11" spans="2:17" x14ac:dyDescent="0.25">
      <c r="B11" t="s">
        <v>441</v>
      </c>
      <c r="C11">
        <f>IF('Inputs'!$H$89="Yes",1,0)</f>
      </c>
      <c r="I11">
        <v>7</v>
      </c>
      <c r="J11">
        <f>IF(I11&lt;$C$8,12*$C$9*(1+$C$10)^I11,0)</f>
      </c>
      <c r="K11">
        <f>IF(J11&lt;=0,0,INDEX($E$2:$E$9,MATCH(J11,$F$2:$F$9,1))+(J11-INDEX($F$2:$F$9,MATCH(J11,$F$2:$F$9,1)))/INDEX($G$2:$G$9,MATCH(J11,$F$2:$F$9,1))-$C$6)</f>
      </c>
      <c r="L11">
        <f>MAX(0,L10*(1+'Inputs'!$C$122/100)-M10/12*(1+'Inputs'!$C$122/100)^(1/12)*'Inputs'!$C$122/100/((1+'Inputs'!$C$122/100)^(1/12)-1))</f>
      </c>
      <c r="M11">
        <f>IF(L11&gt;0.005,MIN(MAX(K11,'Inputs'!$H$115/100*L11),'Inputs'!$H$116/100*L11),0)</f>
      </c>
      <c r="N11">
        <f>IF(M11&gt;0,M11-(MAX(0,(INDEX('Inputs'!$D$125:$D$131,MATCH($C$6+M11,'Inputs'!$C$125:$C$131,1))+INDEX('Inputs'!$E$125:$E$131,MATCH($C$6+M11,'Inputs'!$C$125:$C$131,1))/100*(($C$6+M11)-INDEX('Inputs'!$C$125:$C$131,MATCH($C$6+M11,'Inputs'!$C$125:$C$131,1))))-$C$4)-$C$12),0)</f>
      </c>
      <c r="O11">
        <f>IF(I11&lt;$C$8,MAX(0,J11-N11),0)</f>
      </c>
      <c r="P11">
        <f>IF($C$11&lt;&gt;1,0,P10*(1+((1+$C$20)^(1/12)-1))^12-O10/12*(1+((1+$C$20)^(1/12)-1))*(((1+((1+$C$20)^(1/12)-1))^12-1)/((1+((1+$C$20)^(1/12)-1))-1)))</f>
      </c>
      <c r="Q11">
        <f>IF($C$11&lt;&gt;1,0,IFERROR((((1+($C$20+'Inputs'!$H$108/100))^(1/12)-1)-((1+$C$20)^(1/12)-1))*(P11*(((1+((1+$C$20)^(1/12)-1))^12-1)/((1+((1+$C$20)^(1/12)-1))-1))-O11/12/((1+((1+$C$20)^(1/12)-1))-1)*((1+((1+$C$20)^(1/12)-1))*(((1+((1+$C$20)^(1/12)-1))^12-1)/((1+((1+$C$20)^(1/12)-1))-1))-12)),0))</f>
      </c>
    </row>
    <row r="12" spans="2:17" x14ac:dyDescent="0.25">
      <c r="B12" t="s">
        <v>442</v>
      </c>
      <c r="C12">
        <f>MAX(0,(INDEX('Inputs'!$D$125:$D$131,MATCH($C$6,'Inputs'!$C$125:$C$131,1))+INDEX('Inputs'!$E$125:$E$131,MATCH($C$6,'Inputs'!$C$125:$C$131,1))/100*(($C$6)-INDEX('Inputs'!$C$125:$C$131,MATCH($C$6,'Inputs'!$C$125:$C$131,1))))-$C$4)</f>
      </c>
      <c r="I12">
        <v>8</v>
      </c>
      <c r="J12">
        <f>IF(I12&lt;$C$8,12*$C$9*(1+$C$10)^I12,0)</f>
      </c>
      <c r="K12">
        <f>IF(J12&lt;=0,0,INDEX($E$2:$E$9,MATCH(J12,$F$2:$F$9,1))+(J12-INDEX($F$2:$F$9,MATCH(J12,$F$2:$F$9,1)))/INDEX($G$2:$G$9,MATCH(J12,$F$2:$F$9,1))-$C$6)</f>
      </c>
      <c r="L12">
        <f>MAX(0,L11*(1+'Inputs'!$C$122/100)-M11/12*(1+'Inputs'!$C$122/100)^(1/12)*'Inputs'!$C$122/100/((1+'Inputs'!$C$122/100)^(1/12)-1))</f>
      </c>
      <c r="M12">
        <f>IF(L12&gt;0.005,MIN(MAX(K12,'Inputs'!$H$115/100*L12),'Inputs'!$H$116/100*L12),0)</f>
      </c>
      <c r="N12">
        <f>IF(M12&gt;0,M12-(MAX(0,(INDEX('Inputs'!$D$125:$D$131,MATCH($C$6+M12,'Inputs'!$C$125:$C$131,1))+INDEX('Inputs'!$E$125:$E$131,MATCH($C$6+M12,'Inputs'!$C$125:$C$131,1))/100*(($C$6+M12)-INDEX('Inputs'!$C$125:$C$131,MATCH($C$6+M12,'Inputs'!$C$125:$C$131,1))))-$C$4)-$C$12),0)</f>
      </c>
      <c r="O12">
        <f>IF(I12&lt;$C$8,MAX(0,J12-N12),0)</f>
      </c>
      <c r="P12">
        <f>IF($C$11&lt;&gt;1,0,P11*(1+((1+$C$20)^(1/12)-1))^12-O11/12*(1+((1+$C$20)^(1/12)-1))*(((1+((1+$C$20)^(1/12)-1))^12-1)/((1+((1+$C$20)^(1/12)-1))-1)))</f>
      </c>
      <c r="Q12">
        <f>IF($C$11&lt;&gt;1,0,IFERROR((((1+($C$20+'Inputs'!$H$108/100))^(1/12)-1)-((1+$C$20)^(1/12)-1))*(P12*(((1+((1+$C$20)^(1/12)-1))^12-1)/((1+((1+$C$20)^(1/12)-1))-1))-O12/12/((1+((1+$C$20)^(1/12)-1))-1)*((1+((1+$C$20)^(1/12)-1))*(((1+((1+$C$20)^(1/12)-1))^12-1)/((1+((1+$C$20)^(1/12)-1))-1))-12)),0))</f>
      </c>
    </row>
    <row r="13" spans="2:17" x14ac:dyDescent="0.25">
      <c r="B13" t="s">
        <v>443</v>
      </c>
      <c r="C13">
        <f>M4</f>
      </c>
      <c r="I13">
        <v>9</v>
      </c>
      <c r="J13">
        <f>IF(I13&lt;$C$8,12*$C$9*(1+$C$10)^I13,0)</f>
      </c>
      <c r="K13">
        <f>IF(J13&lt;=0,0,INDEX($E$2:$E$9,MATCH(J13,$F$2:$F$9,1))+(J13-INDEX($F$2:$F$9,MATCH(J13,$F$2:$F$9,1)))/INDEX($G$2:$G$9,MATCH(J13,$F$2:$F$9,1))-$C$6)</f>
      </c>
      <c r="L13">
        <f>MAX(0,L12*(1+'Inputs'!$C$122/100)-M12/12*(1+'Inputs'!$C$122/100)^(1/12)*'Inputs'!$C$122/100/((1+'Inputs'!$C$122/100)^(1/12)-1))</f>
      </c>
      <c r="M13">
        <f>IF(L13&gt;0.005,MIN(MAX(K13,'Inputs'!$H$115/100*L13),'Inputs'!$H$116/100*L13),0)</f>
      </c>
      <c r="N13">
        <f>IF(M13&gt;0,M13-(MAX(0,(INDEX('Inputs'!$D$125:$D$131,MATCH($C$6+M13,'Inputs'!$C$125:$C$131,1))+INDEX('Inputs'!$E$125:$E$131,MATCH($C$6+M13,'Inputs'!$C$125:$C$131,1))/100*(($C$6+M13)-INDEX('Inputs'!$C$125:$C$131,MATCH($C$6+M13,'Inputs'!$C$125:$C$131,1))))-$C$4)-$C$12),0)</f>
      </c>
      <c r="O13">
        <f>IF(I13&lt;$C$8,MAX(0,J13-N13),0)</f>
      </c>
      <c r="P13">
        <f>IF($C$11&lt;&gt;1,0,P12*(1+((1+$C$20)^(1/12)-1))^12-O12/12*(1+((1+$C$20)^(1/12)-1))*(((1+((1+$C$20)^(1/12)-1))^12-1)/((1+((1+$C$20)^(1/12)-1))-1)))</f>
      </c>
      <c r="Q13">
        <f>IF($C$11&lt;&gt;1,0,IFERROR((((1+($C$20+'Inputs'!$H$108/100))^(1/12)-1)-((1+$C$20)^(1/12)-1))*(P13*(((1+((1+$C$20)^(1/12)-1))^12-1)/((1+((1+$C$20)^(1/12)-1))-1))-O13/12/((1+((1+$C$20)^(1/12)-1))-1)*((1+((1+$C$20)^(1/12)-1))*(((1+((1+$C$20)^(1/12)-1))^12-1)/((1+((1+$C$20)^(1/12)-1))-1))-12)),0))</f>
      </c>
    </row>
    <row r="14" spans="2:17" x14ac:dyDescent="0.25">
      <c r="B14" t="s">
        <v>444</v>
      </c>
      <c r="C14">
        <f>T8</f>
      </c>
      <c r="I14">
        <v>10</v>
      </c>
      <c r="J14">
        <f>IF(I14&lt;$C$8,12*$C$9*(1+$C$10)^I14,0)</f>
      </c>
      <c r="K14">
        <f>IF(J14&lt;=0,0,INDEX($E$2:$E$9,MATCH(J14,$F$2:$F$9,1))+(J14-INDEX($F$2:$F$9,MATCH(J14,$F$2:$F$9,1)))/INDEX($G$2:$G$9,MATCH(J14,$F$2:$F$9,1))-$C$6)</f>
      </c>
      <c r="L14">
        <f>MAX(0,L13*(1+'Inputs'!$C$122/100)-M13/12*(1+'Inputs'!$C$122/100)^(1/12)*'Inputs'!$C$122/100/((1+'Inputs'!$C$122/100)^(1/12)-1))</f>
      </c>
      <c r="M14">
        <f>IF(L14&gt;0.005,MIN(MAX(K14,'Inputs'!$H$115/100*L14),'Inputs'!$H$116/100*L14),0)</f>
      </c>
      <c r="N14">
        <f>IF(M14&gt;0,M14-(MAX(0,(INDEX('Inputs'!$D$125:$D$131,MATCH($C$6+M14,'Inputs'!$C$125:$C$131,1))+INDEX('Inputs'!$E$125:$E$131,MATCH($C$6+M14,'Inputs'!$C$125:$C$131,1))/100*(($C$6+M14)-INDEX('Inputs'!$C$125:$C$131,MATCH($C$6+M14,'Inputs'!$C$125:$C$131,1))))-$C$4)-$C$12),0)</f>
      </c>
      <c r="O14">
        <f>IF(I14&lt;$C$8,MAX(0,J14-N14),0)</f>
      </c>
      <c r="P14">
        <f>IF($C$11&lt;&gt;1,0,P13*(1+((1+$C$20)^(1/12)-1))^12-O13/12*(1+((1+$C$20)^(1/12)-1))*(((1+((1+$C$20)^(1/12)-1))^12-1)/((1+((1+$C$20)^(1/12)-1))-1)))</f>
      </c>
      <c r="Q14">
        <f>IF($C$11&lt;&gt;1,0,IFERROR((((1+($C$20+'Inputs'!$H$108/100))^(1/12)-1)-((1+$C$20)^(1/12)-1))*(P14*(((1+((1+$C$20)^(1/12)-1))^12-1)/((1+((1+$C$20)^(1/12)-1))-1))-O14/12/((1+((1+$C$20)^(1/12)-1))-1)*((1+((1+$C$20)^(1/12)-1))*(((1+((1+$C$20)^(1/12)-1))^12-1)/((1+((1+$C$20)^(1/12)-1))-1))-12)),0))</f>
      </c>
    </row>
    <row r="15" spans="2:17" x14ac:dyDescent="0.25">
      <c r="B15" t="s">
        <v>445</v>
      </c>
      <c r="C15">
        <f>N4</f>
      </c>
      <c r="I15">
        <v>11</v>
      </c>
      <c r="J15">
        <f>IF(I15&lt;$C$8,12*$C$9*(1+$C$10)^I15,0)</f>
      </c>
      <c r="K15">
        <f>IF(J15&lt;=0,0,INDEX($E$2:$E$9,MATCH(J15,$F$2:$F$9,1))+(J15-INDEX($F$2:$F$9,MATCH(J15,$F$2:$F$9,1)))/INDEX($G$2:$G$9,MATCH(J15,$F$2:$F$9,1))-$C$6)</f>
      </c>
      <c r="L15">
        <f>MAX(0,L14*(1+'Inputs'!$C$122/100)-M14/12*(1+'Inputs'!$C$122/100)^(1/12)*'Inputs'!$C$122/100/((1+'Inputs'!$C$122/100)^(1/12)-1))</f>
      </c>
      <c r="M15">
        <f>IF(L15&gt;0.005,MIN(MAX(K15,'Inputs'!$H$115/100*L15),'Inputs'!$H$116/100*L15),0)</f>
      </c>
      <c r="N15">
        <f>IF(M15&gt;0,M15-(MAX(0,(INDEX('Inputs'!$D$125:$D$131,MATCH($C$6+M15,'Inputs'!$C$125:$C$131,1))+INDEX('Inputs'!$E$125:$E$131,MATCH($C$6+M15,'Inputs'!$C$125:$C$131,1))/100*(($C$6+M15)-INDEX('Inputs'!$C$125:$C$131,MATCH($C$6+M15,'Inputs'!$C$125:$C$131,1))))-$C$4)-$C$12),0)</f>
      </c>
      <c r="O15">
        <f>IF(I15&lt;$C$8,MAX(0,J15-N15),0)</f>
      </c>
      <c r="P15">
        <f>IF($C$11&lt;&gt;1,0,P14*(1+((1+$C$20)^(1/12)-1))^12-O14/12*(1+((1+$C$20)^(1/12)-1))*(((1+((1+$C$20)^(1/12)-1))^12-1)/((1+((1+$C$20)^(1/12)-1))-1)))</f>
      </c>
      <c r="Q15">
        <f>IF($C$11&lt;&gt;1,0,IFERROR((((1+($C$20+'Inputs'!$H$108/100))^(1/12)-1)-((1+$C$20)^(1/12)-1))*(P15*(((1+((1+$C$20)^(1/12)-1))^12-1)/((1+((1+$C$20)^(1/12)-1))-1))-O15/12/((1+((1+$C$20)^(1/12)-1))-1)*((1+((1+$C$20)^(1/12)-1))*(((1+((1+$C$20)^(1/12)-1))^12-1)/((1+((1+$C$20)^(1/12)-1))-1))-12)),0))</f>
      </c>
    </row>
    <row r="16" spans="2:17" x14ac:dyDescent="0.25">
      <c r="B16" t="s">
        <v>446</v>
      </c>
      <c r="C16">
        <f>O4</f>
      </c>
      <c r="I16">
        <v>12</v>
      </c>
      <c r="J16">
        <f>IF(I16&lt;$C$8,12*$C$9*(1+$C$10)^I16,0)</f>
      </c>
      <c r="K16">
        <f>IF(J16&lt;=0,0,INDEX($E$2:$E$9,MATCH(J16,$F$2:$F$9,1))+(J16-INDEX($F$2:$F$9,MATCH(J16,$F$2:$F$9,1)))/INDEX($G$2:$G$9,MATCH(J16,$F$2:$F$9,1))-$C$6)</f>
      </c>
      <c r="L16">
        <f>MAX(0,L15*(1+'Inputs'!$C$122/100)-M15/12*(1+'Inputs'!$C$122/100)^(1/12)*'Inputs'!$C$122/100/((1+'Inputs'!$C$122/100)^(1/12)-1))</f>
      </c>
      <c r="M16">
        <f>IF(L16&gt;0.005,MIN(MAX(K16,'Inputs'!$H$115/100*L16),'Inputs'!$H$116/100*L16),0)</f>
      </c>
      <c r="N16">
        <f>IF(M16&gt;0,M16-(MAX(0,(INDEX('Inputs'!$D$125:$D$131,MATCH($C$6+M16,'Inputs'!$C$125:$C$131,1))+INDEX('Inputs'!$E$125:$E$131,MATCH($C$6+M16,'Inputs'!$C$125:$C$131,1))/100*(($C$6+M16)-INDEX('Inputs'!$C$125:$C$131,MATCH($C$6+M16,'Inputs'!$C$125:$C$131,1))))-$C$4)-$C$12),0)</f>
      </c>
      <c r="O16">
        <f>IF(I16&lt;$C$8,MAX(0,J16-N16),0)</f>
      </c>
      <c r="P16">
        <f>IF($C$11&lt;&gt;1,0,P15*(1+((1+$C$20)^(1/12)-1))^12-O15/12*(1+((1+$C$20)^(1/12)-1))*(((1+((1+$C$20)^(1/12)-1))^12-1)/((1+((1+$C$20)^(1/12)-1))-1)))</f>
      </c>
      <c r="Q16">
        <f>IF($C$11&lt;&gt;1,0,IFERROR((((1+($C$20+'Inputs'!$H$108/100))^(1/12)-1)-((1+$C$20)^(1/12)-1))*(P16*(((1+((1+$C$20)^(1/12)-1))^12-1)/((1+((1+$C$20)^(1/12)-1))-1))-O16/12/((1+((1+$C$20)^(1/12)-1))-1)*((1+((1+$C$20)^(1/12)-1))*(((1+((1+$C$20)^(1/12)-1))^12-1)/((1+((1+$C$20)^(1/12)-1))-1))-12)),0))</f>
      </c>
    </row>
    <row r="17" spans="2:17" x14ac:dyDescent="0.25">
      <c r="B17" t="s">
        <v>447</v>
      </c>
      <c r="C17">
        <f>ROUND(Q4,2)</f>
      </c>
      <c r="I17">
        <v>13</v>
      </c>
      <c r="J17">
        <f>IF(I17&lt;$C$8,12*$C$9*(1+$C$10)^I17,0)</f>
      </c>
      <c r="K17">
        <f>IF(J17&lt;=0,0,INDEX($E$2:$E$9,MATCH(J17,$F$2:$F$9,1))+(J17-INDEX($F$2:$F$9,MATCH(J17,$F$2:$F$9,1)))/INDEX($G$2:$G$9,MATCH(J17,$F$2:$F$9,1))-$C$6)</f>
      </c>
      <c r="L17">
        <f>MAX(0,L16*(1+'Inputs'!$C$122/100)-M16/12*(1+'Inputs'!$C$122/100)^(1/12)*'Inputs'!$C$122/100/((1+'Inputs'!$C$122/100)^(1/12)-1))</f>
      </c>
      <c r="M17">
        <f>IF(L17&gt;0.005,MIN(MAX(K17,'Inputs'!$H$115/100*L17),'Inputs'!$H$116/100*L17),0)</f>
      </c>
      <c r="N17">
        <f>IF(M17&gt;0,M17-(MAX(0,(INDEX('Inputs'!$D$125:$D$131,MATCH($C$6+M17,'Inputs'!$C$125:$C$131,1))+INDEX('Inputs'!$E$125:$E$131,MATCH($C$6+M17,'Inputs'!$C$125:$C$131,1))/100*(($C$6+M17)-INDEX('Inputs'!$C$125:$C$131,MATCH($C$6+M17,'Inputs'!$C$125:$C$131,1))))-$C$4)-$C$12),0)</f>
      </c>
      <c r="O17">
        <f>IF(I17&lt;$C$8,MAX(0,J17-N17),0)</f>
      </c>
      <c r="P17">
        <f>IF($C$11&lt;&gt;1,0,P16*(1+((1+$C$20)^(1/12)-1))^12-O16/12*(1+((1+$C$20)^(1/12)-1))*(((1+((1+$C$20)^(1/12)-1))^12-1)/((1+((1+$C$20)^(1/12)-1))-1)))</f>
      </c>
      <c r="Q17">
        <f>IF($C$11&lt;&gt;1,0,IFERROR((((1+($C$20+'Inputs'!$H$108/100))^(1/12)-1)-((1+$C$20)^(1/12)-1))*(P17*(((1+((1+$C$20)^(1/12)-1))^12-1)/((1+((1+$C$20)^(1/12)-1))-1))-O17/12/((1+((1+$C$20)^(1/12)-1))-1)*((1+((1+$C$20)^(1/12)-1))*(((1+((1+$C$20)^(1/12)-1))^12-1)/((1+((1+$C$20)^(1/12)-1))-1))-12)),0))</f>
      </c>
    </row>
    <row r="18" spans="2:17" x14ac:dyDescent="0.25">
      <c r="B18" t="s">
        <v>448</v>
      </c>
      <c r="C18">
        <f>ROUND(SUM($Q$4:$Q$53),2)</f>
      </c>
      <c r="I18">
        <v>14</v>
      </c>
      <c r="J18">
        <f>IF(I18&lt;$C$8,12*$C$9*(1+$C$10)^I18,0)</f>
      </c>
      <c r="K18">
        <f>IF(J18&lt;=0,0,INDEX($E$2:$E$9,MATCH(J18,$F$2:$F$9,1))+(J18-INDEX($F$2:$F$9,MATCH(J18,$F$2:$F$9,1)))/INDEX($G$2:$G$9,MATCH(J18,$F$2:$F$9,1))-$C$6)</f>
      </c>
      <c r="L18">
        <f>MAX(0,L17*(1+'Inputs'!$C$122/100)-M17/12*(1+'Inputs'!$C$122/100)^(1/12)*'Inputs'!$C$122/100/((1+'Inputs'!$C$122/100)^(1/12)-1))</f>
      </c>
      <c r="M18">
        <f>IF(L18&gt;0.005,MIN(MAX(K18,'Inputs'!$H$115/100*L18),'Inputs'!$H$116/100*L18),0)</f>
      </c>
      <c r="N18">
        <f>IF(M18&gt;0,M18-(MAX(0,(INDEX('Inputs'!$D$125:$D$131,MATCH($C$6+M18,'Inputs'!$C$125:$C$131,1))+INDEX('Inputs'!$E$125:$E$131,MATCH($C$6+M18,'Inputs'!$C$125:$C$131,1))/100*(($C$6+M18)-INDEX('Inputs'!$C$125:$C$131,MATCH($C$6+M18,'Inputs'!$C$125:$C$131,1))))-$C$4)-$C$12),0)</f>
      </c>
      <c r="O18">
        <f>IF(I18&lt;$C$8,MAX(0,J18-N18),0)</f>
      </c>
      <c r="P18">
        <f>IF($C$11&lt;&gt;1,0,P17*(1+((1+$C$20)^(1/12)-1))^12-O17/12*(1+((1+$C$20)^(1/12)-1))*(((1+((1+$C$20)^(1/12)-1))^12-1)/((1+((1+$C$20)^(1/12)-1))-1)))</f>
      </c>
      <c r="Q18">
        <f>IF($C$11&lt;&gt;1,0,IFERROR((((1+($C$20+'Inputs'!$H$108/100))^(1/12)-1)-((1+$C$20)^(1/12)-1))*(P18*(((1+((1+$C$20)^(1/12)-1))^12-1)/((1+((1+$C$20)^(1/12)-1))-1))-O18/12/((1+((1+$C$20)^(1/12)-1))-1)*((1+((1+$C$20)^(1/12)-1))*(((1+((1+$C$20)^(1/12)-1))^12-1)/((1+((1+$C$20)^(1/12)-1))-1))-12)),0))</f>
      </c>
    </row>
    <row r="19" spans="2:17" x14ac:dyDescent="0.25">
      <c r="B19" t="s">
        <v>449</v>
      </c>
      <c r="C19">
        <f>IF($C$11&lt;&gt;1,0,ROUND(IF($C$20=0,SUM($O$4:$O$53),(1-(1+$C$20)^-1)/(1-(1+$C$20)^(-1/12))/12*SUMPRODUCT($O$4:$O$53,(1+$C$20)^(-$I$4:$I$53)))-IF(($C$20+'Inputs'!$H$108/100)=0,SUM($O$4:$O$53),(1-(1+($C$20+'Inputs'!$H$108/100))^-1)/(1-(1+($C$20+'Inputs'!$H$108/100))^(-1/12))/12*SUMPRODUCT($O$4:$O$53,(1+($C$20+'Inputs'!$H$108/100))^(-$I$4:$I$53))),2))</f>
      </c>
      <c r="I19">
        <v>15</v>
      </c>
      <c r="J19">
        <f>IF(I19&lt;$C$8,12*$C$9*(1+$C$10)^I19,0)</f>
      </c>
      <c r="K19">
        <f>IF(J19&lt;=0,0,INDEX($E$2:$E$9,MATCH(J19,$F$2:$F$9,1))+(J19-INDEX($F$2:$F$9,MATCH(J19,$F$2:$F$9,1)))/INDEX($G$2:$G$9,MATCH(J19,$F$2:$F$9,1))-$C$6)</f>
      </c>
      <c r="L19">
        <f>MAX(0,L18*(1+'Inputs'!$C$122/100)-M18/12*(1+'Inputs'!$C$122/100)^(1/12)*'Inputs'!$C$122/100/((1+'Inputs'!$C$122/100)^(1/12)-1))</f>
      </c>
      <c r="M19">
        <f>IF(L19&gt;0.005,MIN(MAX(K19,'Inputs'!$H$115/100*L19),'Inputs'!$H$116/100*L19),0)</f>
      </c>
      <c r="N19">
        <f>IF(M19&gt;0,M19-(MAX(0,(INDEX('Inputs'!$D$125:$D$131,MATCH($C$6+M19,'Inputs'!$C$125:$C$131,1))+INDEX('Inputs'!$E$125:$E$131,MATCH($C$6+M19,'Inputs'!$C$125:$C$131,1))/100*(($C$6+M19)-INDEX('Inputs'!$C$125:$C$131,MATCH($C$6+M19,'Inputs'!$C$125:$C$131,1))))-$C$4)-$C$12),0)</f>
      </c>
      <c r="O19">
        <f>IF(I19&lt;$C$8,MAX(0,J19-N19),0)</f>
      </c>
      <c r="P19">
        <f>IF($C$11&lt;&gt;1,0,P18*(1+((1+$C$20)^(1/12)-1))^12-O18/12*(1+((1+$C$20)^(1/12)-1))*(((1+((1+$C$20)^(1/12)-1))^12-1)/((1+((1+$C$20)^(1/12)-1))-1)))</f>
      </c>
      <c r="Q19">
        <f>IF($C$11&lt;&gt;1,0,IFERROR((((1+($C$20+'Inputs'!$H$108/100))^(1/12)-1)-((1+$C$20)^(1/12)-1))*(P19*(((1+((1+$C$20)^(1/12)-1))^12-1)/((1+((1+$C$20)^(1/12)-1))-1))-O19/12/((1+((1+$C$20)^(1/12)-1))-1)*((1+((1+$C$20)^(1/12)-1))*(((1+((1+$C$20)^(1/12)-1))^12-1)/((1+((1+$C$20)^(1/12)-1))-1))-12)),0))</f>
      </c>
    </row>
    <row r="20" spans="2:17" x14ac:dyDescent="0.25">
      <c r="B20" t="s">
        <v>450</v>
      </c>
      <c r="C20">
        <f>IF($C$11=1,'Needs calc'!$C$49,0)</f>
      </c>
      <c r="I20">
        <v>16</v>
      </c>
      <c r="J20">
        <f>IF(I20&lt;$C$8,12*$C$9*(1+$C$10)^I20,0)</f>
      </c>
      <c r="K20">
        <f>IF(J20&lt;=0,0,INDEX($E$2:$E$9,MATCH(J20,$F$2:$F$9,1))+(J20-INDEX($F$2:$F$9,MATCH(J20,$F$2:$F$9,1)))/INDEX($G$2:$G$9,MATCH(J20,$F$2:$F$9,1))-$C$6)</f>
      </c>
      <c r="L20">
        <f>MAX(0,L19*(1+'Inputs'!$C$122/100)-M19/12*(1+'Inputs'!$C$122/100)^(1/12)*'Inputs'!$C$122/100/((1+'Inputs'!$C$122/100)^(1/12)-1))</f>
      </c>
      <c r="M20">
        <f>IF(L20&gt;0.005,MIN(MAX(K20,'Inputs'!$H$115/100*L20),'Inputs'!$H$116/100*L20),0)</f>
      </c>
      <c r="N20">
        <f>IF(M20&gt;0,M20-(MAX(0,(INDEX('Inputs'!$D$125:$D$131,MATCH($C$6+M20,'Inputs'!$C$125:$C$131,1))+INDEX('Inputs'!$E$125:$E$131,MATCH($C$6+M20,'Inputs'!$C$125:$C$131,1))/100*(($C$6+M20)-INDEX('Inputs'!$C$125:$C$131,MATCH($C$6+M20,'Inputs'!$C$125:$C$131,1))))-$C$4)-$C$12),0)</f>
      </c>
      <c r="O20">
        <f>IF(I20&lt;$C$8,MAX(0,J20-N20),0)</f>
      </c>
      <c r="P20">
        <f>IF($C$11&lt;&gt;1,0,P19*(1+((1+$C$20)^(1/12)-1))^12-O19/12*(1+((1+$C$20)^(1/12)-1))*(((1+((1+$C$20)^(1/12)-1))^12-1)/((1+((1+$C$20)^(1/12)-1))-1)))</f>
      </c>
      <c r="Q20">
        <f>IF($C$11&lt;&gt;1,0,IFERROR((((1+($C$20+'Inputs'!$H$108/100))^(1/12)-1)-((1+$C$20)^(1/12)-1))*(P20*(((1+((1+$C$20)^(1/12)-1))^12-1)/((1+((1+$C$20)^(1/12)-1))-1))-O20/12/((1+((1+$C$20)^(1/12)-1))-1)*((1+((1+$C$20)^(1/12)-1))*(((1+((1+$C$20)^(1/12)-1))^12-1)/((1+((1+$C$20)^(1/12)-1))-1))-12)),0))</f>
      </c>
    </row>
    <row r="21" spans="9:17" x14ac:dyDescent="0.25">
      <c r="I21">
        <v>17</v>
      </c>
      <c r="J21">
        <f>IF(I21&lt;$C$8,12*$C$9*(1+$C$10)^I21,0)</f>
      </c>
      <c r="K21">
        <f>IF(J21&lt;=0,0,INDEX($E$2:$E$9,MATCH(J21,$F$2:$F$9,1))+(J21-INDEX($F$2:$F$9,MATCH(J21,$F$2:$F$9,1)))/INDEX($G$2:$G$9,MATCH(J21,$F$2:$F$9,1))-$C$6)</f>
      </c>
      <c r="L21">
        <f>MAX(0,L20*(1+'Inputs'!$C$122/100)-M20/12*(1+'Inputs'!$C$122/100)^(1/12)*'Inputs'!$C$122/100/((1+'Inputs'!$C$122/100)^(1/12)-1))</f>
      </c>
      <c r="M21">
        <f>IF(L21&gt;0.005,MIN(MAX(K21,'Inputs'!$H$115/100*L21),'Inputs'!$H$116/100*L21),0)</f>
      </c>
      <c r="N21">
        <f>IF(M21&gt;0,M21-(MAX(0,(INDEX('Inputs'!$D$125:$D$131,MATCH($C$6+M21,'Inputs'!$C$125:$C$131,1))+INDEX('Inputs'!$E$125:$E$131,MATCH($C$6+M21,'Inputs'!$C$125:$C$131,1))/100*(($C$6+M21)-INDEX('Inputs'!$C$125:$C$131,MATCH($C$6+M21,'Inputs'!$C$125:$C$131,1))))-$C$4)-$C$12),0)</f>
      </c>
      <c r="O21">
        <f>IF(I21&lt;$C$8,MAX(0,J21-N21),0)</f>
      </c>
      <c r="P21">
        <f>IF($C$11&lt;&gt;1,0,P20*(1+((1+$C$20)^(1/12)-1))^12-O20/12*(1+((1+$C$20)^(1/12)-1))*(((1+((1+$C$20)^(1/12)-1))^12-1)/((1+((1+$C$20)^(1/12)-1))-1)))</f>
      </c>
      <c r="Q21">
        <f>IF($C$11&lt;&gt;1,0,IFERROR((((1+($C$20+'Inputs'!$H$108/100))^(1/12)-1)-((1+$C$20)^(1/12)-1))*(P21*(((1+((1+$C$20)^(1/12)-1))^12-1)/((1+((1+$C$20)^(1/12)-1))-1))-O21/12/((1+((1+$C$20)^(1/12)-1))-1)*((1+((1+$C$20)^(1/12)-1))*(((1+((1+$C$20)^(1/12)-1))^12-1)/((1+((1+$C$20)^(1/12)-1))-1))-12)),0))</f>
      </c>
    </row>
    <row r="22" spans="9:17" x14ac:dyDescent="0.25">
      <c r="I22">
        <v>18</v>
      </c>
      <c r="J22">
        <f>IF(I22&lt;$C$8,12*$C$9*(1+$C$10)^I22,0)</f>
      </c>
      <c r="K22">
        <f>IF(J22&lt;=0,0,INDEX($E$2:$E$9,MATCH(J22,$F$2:$F$9,1))+(J22-INDEX($F$2:$F$9,MATCH(J22,$F$2:$F$9,1)))/INDEX($G$2:$G$9,MATCH(J22,$F$2:$F$9,1))-$C$6)</f>
      </c>
      <c r="L22">
        <f>MAX(0,L21*(1+'Inputs'!$C$122/100)-M21/12*(1+'Inputs'!$C$122/100)^(1/12)*'Inputs'!$C$122/100/((1+'Inputs'!$C$122/100)^(1/12)-1))</f>
      </c>
      <c r="M22">
        <f>IF(L22&gt;0.005,MIN(MAX(K22,'Inputs'!$H$115/100*L22),'Inputs'!$H$116/100*L22),0)</f>
      </c>
      <c r="N22">
        <f>IF(M22&gt;0,M22-(MAX(0,(INDEX('Inputs'!$D$125:$D$131,MATCH($C$6+M22,'Inputs'!$C$125:$C$131,1))+INDEX('Inputs'!$E$125:$E$131,MATCH($C$6+M22,'Inputs'!$C$125:$C$131,1))/100*(($C$6+M22)-INDEX('Inputs'!$C$125:$C$131,MATCH($C$6+M22,'Inputs'!$C$125:$C$131,1))))-$C$4)-$C$12),0)</f>
      </c>
      <c r="O22">
        <f>IF(I22&lt;$C$8,MAX(0,J22-N22),0)</f>
      </c>
      <c r="P22">
        <f>IF($C$11&lt;&gt;1,0,P21*(1+((1+$C$20)^(1/12)-1))^12-O21/12*(1+((1+$C$20)^(1/12)-1))*(((1+((1+$C$20)^(1/12)-1))^12-1)/((1+((1+$C$20)^(1/12)-1))-1)))</f>
      </c>
      <c r="Q22">
        <f>IF($C$11&lt;&gt;1,0,IFERROR((((1+($C$20+'Inputs'!$H$108/100))^(1/12)-1)-((1+$C$20)^(1/12)-1))*(P22*(((1+((1+$C$20)^(1/12)-1))^12-1)/((1+((1+$C$20)^(1/12)-1))-1))-O22/12/((1+((1+$C$20)^(1/12)-1))-1)*((1+((1+$C$20)^(1/12)-1))*(((1+((1+$C$20)^(1/12)-1))^12-1)/((1+((1+$C$20)^(1/12)-1))-1))-12)),0))</f>
      </c>
    </row>
    <row r="23" spans="9:17" x14ac:dyDescent="0.25">
      <c r="I23">
        <v>19</v>
      </c>
      <c r="J23">
        <f>IF(I23&lt;$C$8,12*$C$9*(1+$C$10)^I23,0)</f>
      </c>
      <c r="K23">
        <f>IF(J23&lt;=0,0,INDEX($E$2:$E$9,MATCH(J23,$F$2:$F$9,1))+(J23-INDEX($F$2:$F$9,MATCH(J23,$F$2:$F$9,1)))/INDEX($G$2:$G$9,MATCH(J23,$F$2:$F$9,1))-$C$6)</f>
      </c>
      <c r="L23">
        <f>MAX(0,L22*(1+'Inputs'!$C$122/100)-M22/12*(1+'Inputs'!$C$122/100)^(1/12)*'Inputs'!$C$122/100/((1+'Inputs'!$C$122/100)^(1/12)-1))</f>
      </c>
      <c r="M23">
        <f>IF(L23&gt;0.005,MIN(MAX(K23,'Inputs'!$H$115/100*L23),'Inputs'!$H$116/100*L23),0)</f>
      </c>
      <c r="N23">
        <f>IF(M23&gt;0,M23-(MAX(0,(INDEX('Inputs'!$D$125:$D$131,MATCH($C$6+M23,'Inputs'!$C$125:$C$131,1))+INDEX('Inputs'!$E$125:$E$131,MATCH($C$6+M23,'Inputs'!$C$125:$C$131,1))/100*(($C$6+M23)-INDEX('Inputs'!$C$125:$C$131,MATCH($C$6+M23,'Inputs'!$C$125:$C$131,1))))-$C$4)-$C$12),0)</f>
      </c>
      <c r="O23">
        <f>IF(I23&lt;$C$8,MAX(0,J23-N23),0)</f>
      </c>
      <c r="P23">
        <f>IF($C$11&lt;&gt;1,0,P22*(1+((1+$C$20)^(1/12)-1))^12-O22/12*(1+((1+$C$20)^(1/12)-1))*(((1+((1+$C$20)^(1/12)-1))^12-1)/((1+((1+$C$20)^(1/12)-1))-1)))</f>
      </c>
      <c r="Q23">
        <f>IF($C$11&lt;&gt;1,0,IFERROR((((1+($C$20+'Inputs'!$H$108/100))^(1/12)-1)-((1+$C$20)^(1/12)-1))*(P23*(((1+((1+$C$20)^(1/12)-1))^12-1)/((1+((1+$C$20)^(1/12)-1))-1))-O23/12/((1+((1+$C$20)^(1/12)-1))-1)*((1+((1+$C$20)^(1/12)-1))*(((1+((1+$C$20)^(1/12)-1))^12-1)/((1+((1+$C$20)^(1/12)-1))-1))-12)),0))</f>
      </c>
    </row>
    <row r="24" spans="9:17" x14ac:dyDescent="0.25">
      <c r="I24">
        <v>20</v>
      </c>
      <c r="J24">
        <f>IF(I24&lt;$C$8,12*$C$9*(1+$C$10)^I24,0)</f>
      </c>
      <c r="K24">
        <f>IF(J24&lt;=0,0,INDEX($E$2:$E$9,MATCH(J24,$F$2:$F$9,1))+(J24-INDEX($F$2:$F$9,MATCH(J24,$F$2:$F$9,1)))/INDEX($G$2:$G$9,MATCH(J24,$F$2:$F$9,1))-$C$6)</f>
      </c>
      <c r="L24">
        <f>MAX(0,L23*(1+'Inputs'!$C$122/100)-M23/12*(1+'Inputs'!$C$122/100)^(1/12)*'Inputs'!$C$122/100/((1+'Inputs'!$C$122/100)^(1/12)-1))</f>
      </c>
      <c r="M24">
        <f>IF(L24&gt;0.005,MIN(MAX(K24,'Inputs'!$H$115/100*L24),'Inputs'!$H$116/100*L24),0)</f>
      </c>
      <c r="N24">
        <f>IF(M24&gt;0,M24-(MAX(0,(INDEX('Inputs'!$D$125:$D$131,MATCH($C$6+M24,'Inputs'!$C$125:$C$131,1))+INDEX('Inputs'!$E$125:$E$131,MATCH($C$6+M24,'Inputs'!$C$125:$C$131,1))/100*(($C$6+M24)-INDEX('Inputs'!$C$125:$C$131,MATCH($C$6+M24,'Inputs'!$C$125:$C$131,1))))-$C$4)-$C$12),0)</f>
      </c>
      <c r="O24">
        <f>IF(I24&lt;$C$8,MAX(0,J24-N24),0)</f>
      </c>
      <c r="P24">
        <f>IF($C$11&lt;&gt;1,0,P23*(1+((1+$C$20)^(1/12)-1))^12-O23/12*(1+((1+$C$20)^(1/12)-1))*(((1+((1+$C$20)^(1/12)-1))^12-1)/((1+((1+$C$20)^(1/12)-1))-1)))</f>
      </c>
      <c r="Q24">
        <f>IF($C$11&lt;&gt;1,0,IFERROR((((1+($C$20+'Inputs'!$H$108/100))^(1/12)-1)-((1+$C$20)^(1/12)-1))*(P24*(((1+((1+$C$20)^(1/12)-1))^12-1)/((1+((1+$C$20)^(1/12)-1))-1))-O24/12/((1+((1+$C$20)^(1/12)-1))-1)*((1+((1+$C$20)^(1/12)-1))*(((1+((1+$C$20)^(1/12)-1))^12-1)/((1+((1+$C$20)^(1/12)-1))-1))-12)),0))</f>
      </c>
    </row>
    <row r="25" spans="9:17" x14ac:dyDescent="0.25">
      <c r="I25">
        <v>21</v>
      </c>
      <c r="J25">
        <f>IF(I25&lt;$C$8,12*$C$9*(1+$C$10)^I25,0)</f>
      </c>
      <c r="K25">
        <f>IF(J25&lt;=0,0,INDEX($E$2:$E$9,MATCH(J25,$F$2:$F$9,1))+(J25-INDEX($F$2:$F$9,MATCH(J25,$F$2:$F$9,1)))/INDEX($G$2:$G$9,MATCH(J25,$F$2:$F$9,1))-$C$6)</f>
      </c>
      <c r="L25">
        <f>MAX(0,L24*(1+'Inputs'!$C$122/100)-M24/12*(1+'Inputs'!$C$122/100)^(1/12)*'Inputs'!$C$122/100/((1+'Inputs'!$C$122/100)^(1/12)-1))</f>
      </c>
      <c r="M25">
        <f>IF(L25&gt;0.005,MIN(MAX(K25,'Inputs'!$H$115/100*L25),'Inputs'!$H$116/100*L25),0)</f>
      </c>
      <c r="N25">
        <f>IF(M25&gt;0,M25-(MAX(0,(INDEX('Inputs'!$D$125:$D$131,MATCH($C$6+M25,'Inputs'!$C$125:$C$131,1))+INDEX('Inputs'!$E$125:$E$131,MATCH($C$6+M25,'Inputs'!$C$125:$C$131,1))/100*(($C$6+M25)-INDEX('Inputs'!$C$125:$C$131,MATCH($C$6+M25,'Inputs'!$C$125:$C$131,1))))-$C$4)-$C$12),0)</f>
      </c>
      <c r="O25">
        <f>IF(I25&lt;$C$8,MAX(0,J25-N25),0)</f>
      </c>
      <c r="P25">
        <f>IF($C$11&lt;&gt;1,0,P24*(1+((1+$C$20)^(1/12)-1))^12-O24/12*(1+((1+$C$20)^(1/12)-1))*(((1+((1+$C$20)^(1/12)-1))^12-1)/((1+((1+$C$20)^(1/12)-1))-1)))</f>
      </c>
      <c r="Q25">
        <f>IF($C$11&lt;&gt;1,0,IFERROR((((1+($C$20+'Inputs'!$H$108/100))^(1/12)-1)-((1+$C$20)^(1/12)-1))*(P25*(((1+((1+$C$20)^(1/12)-1))^12-1)/((1+((1+$C$20)^(1/12)-1))-1))-O25/12/((1+((1+$C$20)^(1/12)-1))-1)*((1+((1+$C$20)^(1/12)-1))*(((1+((1+$C$20)^(1/12)-1))^12-1)/((1+((1+$C$20)^(1/12)-1))-1))-12)),0))</f>
      </c>
    </row>
    <row r="26" spans="9:17" x14ac:dyDescent="0.25">
      <c r="I26">
        <v>22</v>
      </c>
      <c r="J26">
        <f>IF(I26&lt;$C$8,12*$C$9*(1+$C$10)^I26,0)</f>
      </c>
      <c r="K26">
        <f>IF(J26&lt;=0,0,INDEX($E$2:$E$9,MATCH(J26,$F$2:$F$9,1))+(J26-INDEX($F$2:$F$9,MATCH(J26,$F$2:$F$9,1)))/INDEX($G$2:$G$9,MATCH(J26,$F$2:$F$9,1))-$C$6)</f>
      </c>
      <c r="L26">
        <f>MAX(0,L25*(1+'Inputs'!$C$122/100)-M25/12*(1+'Inputs'!$C$122/100)^(1/12)*'Inputs'!$C$122/100/((1+'Inputs'!$C$122/100)^(1/12)-1))</f>
      </c>
      <c r="M26">
        <f>IF(L26&gt;0.005,MIN(MAX(K26,'Inputs'!$H$115/100*L26),'Inputs'!$H$116/100*L26),0)</f>
      </c>
      <c r="N26">
        <f>IF(M26&gt;0,M26-(MAX(0,(INDEX('Inputs'!$D$125:$D$131,MATCH($C$6+M26,'Inputs'!$C$125:$C$131,1))+INDEX('Inputs'!$E$125:$E$131,MATCH($C$6+M26,'Inputs'!$C$125:$C$131,1))/100*(($C$6+M26)-INDEX('Inputs'!$C$125:$C$131,MATCH($C$6+M26,'Inputs'!$C$125:$C$131,1))))-$C$4)-$C$12),0)</f>
      </c>
      <c r="O26">
        <f>IF(I26&lt;$C$8,MAX(0,J26-N26),0)</f>
      </c>
      <c r="P26">
        <f>IF($C$11&lt;&gt;1,0,P25*(1+((1+$C$20)^(1/12)-1))^12-O25/12*(1+((1+$C$20)^(1/12)-1))*(((1+((1+$C$20)^(1/12)-1))^12-1)/((1+((1+$C$20)^(1/12)-1))-1)))</f>
      </c>
      <c r="Q26">
        <f>IF($C$11&lt;&gt;1,0,IFERROR((((1+($C$20+'Inputs'!$H$108/100))^(1/12)-1)-((1+$C$20)^(1/12)-1))*(P26*(((1+((1+$C$20)^(1/12)-1))^12-1)/((1+((1+$C$20)^(1/12)-1))-1))-O26/12/((1+((1+$C$20)^(1/12)-1))-1)*((1+((1+$C$20)^(1/12)-1))*(((1+((1+$C$20)^(1/12)-1))^12-1)/((1+((1+$C$20)^(1/12)-1))-1))-12)),0))</f>
      </c>
    </row>
    <row r="27" spans="9:17" x14ac:dyDescent="0.25">
      <c r="I27">
        <v>23</v>
      </c>
      <c r="J27">
        <f>IF(I27&lt;$C$8,12*$C$9*(1+$C$10)^I27,0)</f>
      </c>
      <c r="K27">
        <f>IF(J27&lt;=0,0,INDEX($E$2:$E$9,MATCH(J27,$F$2:$F$9,1))+(J27-INDEX($F$2:$F$9,MATCH(J27,$F$2:$F$9,1)))/INDEX($G$2:$G$9,MATCH(J27,$F$2:$F$9,1))-$C$6)</f>
      </c>
      <c r="L27">
        <f>MAX(0,L26*(1+'Inputs'!$C$122/100)-M26/12*(1+'Inputs'!$C$122/100)^(1/12)*'Inputs'!$C$122/100/((1+'Inputs'!$C$122/100)^(1/12)-1))</f>
      </c>
      <c r="M27">
        <f>IF(L27&gt;0.005,MIN(MAX(K27,'Inputs'!$H$115/100*L27),'Inputs'!$H$116/100*L27),0)</f>
      </c>
      <c r="N27">
        <f>IF(M27&gt;0,M27-(MAX(0,(INDEX('Inputs'!$D$125:$D$131,MATCH($C$6+M27,'Inputs'!$C$125:$C$131,1))+INDEX('Inputs'!$E$125:$E$131,MATCH($C$6+M27,'Inputs'!$C$125:$C$131,1))/100*(($C$6+M27)-INDEX('Inputs'!$C$125:$C$131,MATCH($C$6+M27,'Inputs'!$C$125:$C$131,1))))-$C$4)-$C$12),0)</f>
      </c>
      <c r="O27">
        <f>IF(I27&lt;$C$8,MAX(0,J27-N27),0)</f>
      </c>
      <c r="P27">
        <f>IF($C$11&lt;&gt;1,0,P26*(1+((1+$C$20)^(1/12)-1))^12-O26/12*(1+((1+$C$20)^(1/12)-1))*(((1+((1+$C$20)^(1/12)-1))^12-1)/((1+((1+$C$20)^(1/12)-1))-1)))</f>
      </c>
      <c r="Q27">
        <f>IF($C$11&lt;&gt;1,0,IFERROR((((1+($C$20+'Inputs'!$H$108/100))^(1/12)-1)-((1+$C$20)^(1/12)-1))*(P27*(((1+((1+$C$20)^(1/12)-1))^12-1)/((1+((1+$C$20)^(1/12)-1))-1))-O27/12/((1+((1+$C$20)^(1/12)-1))-1)*((1+((1+$C$20)^(1/12)-1))*(((1+((1+$C$20)^(1/12)-1))^12-1)/((1+((1+$C$20)^(1/12)-1))-1))-12)),0))</f>
      </c>
    </row>
    <row r="28" spans="9:17" x14ac:dyDescent="0.25">
      <c r="I28">
        <v>24</v>
      </c>
      <c r="J28">
        <f>IF(I28&lt;$C$8,12*$C$9*(1+$C$10)^I28,0)</f>
      </c>
      <c r="K28">
        <f>IF(J28&lt;=0,0,INDEX($E$2:$E$9,MATCH(J28,$F$2:$F$9,1))+(J28-INDEX($F$2:$F$9,MATCH(J28,$F$2:$F$9,1)))/INDEX($G$2:$G$9,MATCH(J28,$F$2:$F$9,1))-$C$6)</f>
      </c>
      <c r="L28">
        <f>MAX(0,L27*(1+'Inputs'!$C$122/100)-M27/12*(1+'Inputs'!$C$122/100)^(1/12)*'Inputs'!$C$122/100/((1+'Inputs'!$C$122/100)^(1/12)-1))</f>
      </c>
      <c r="M28">
        <f>IF(L28&gt;0.005,MIN(MAX(K28,'Inputs'!$H$115/100*L28),'Inputs'!$H$116/100*L28),0)</f>
      </c>
      <c r="N28">
        <f>IF(M28&gt;0,M28-(MAX(0,(INDEX('Inputs'!$D$125:$D$131,MATCH($C$6+M28,'Inputs'!$C$125:$C$131,1))+INDEX('Inputs'!$E$125:$E$131,MATCH($C$6+M28,'Inputs'!$C$125:$C$131,1))/100*(($C$6+M28)-INDEX('Inputs'!$C$125:$C$131,MATCH($C$6+M28,'Inputs'!$C$125:$C$131,1))))-$C$4)-$C$12),0)</f>
      </c>
      <c r="O28">
        <f>IF(I28&lt;$C$8,MAX(0,J28-N28),0)</f>
      </c>
      <c r="P28">
        <f>IF($C$11&lt;&gt;1,0,P27*(1+((1+$C$20)^(1/12)-1))^12-O27/12*(1+((1+$C$20)^(1/12)-1))*(((1+((1+$C$20)^(1/12)-1))^12-1)/((1+((1+$C$20)^(1/12)-1))-1)))</f>
      </c>
      <c r="Q28">
        <f>IF($C$11&lt;&gt;1,0,IFERROR((((1+($C$20+'Inputs'!$H$108/100))^(1/12)-1)-((1+$C$20)^(1/12)-1))*(P28*(((1+((1+$C$20)^(1/12)-1))^12-1)/((1+((1+$C$20)^(1/12)-1))-1))-O28/12/((1+((1+$C$20)^(1/12)-1))-1)*((1+((1+$C$20)^(1/12)-1))*(((1+((1+$C$20)^(1/12)-1))^12-1)/((1+((1+$C$20)^(1/12)-1))-1))-12)),0))</f>
      </c>
    </row>
    <row r="29" spans="9:17" x14ac:dyDescent="0.25">
      <c r="I29">
        <v>25</v>
      </c>
      <c r="J29">
        <f>IF(I29&lt;$C$8,12*$C$9*(1+$C$10)^I29,0)</f>
      </c>
      <c r="K29">
        <f>IF(J29&lt;=0,0,INDEX($E$2:$E$9,MATCH(J29,$F$2:$F$9,1))+(J29-INDEX($F$2:$F$9,MATCH(J29,$F$2:$F$9,1)))/INDEX($G$2:$G$9,MATCH(J29,$F$2:$F$9,1))-$C$6)</f>
      </c>
      <c r="L29">
        <f>MAX(0,L28*(1+'Inputs'!$C$122/100)-M28/12*(1+'Inputs'!$C$122/100)^(1/12)*'Inputs'!$C$122/100/((1+'Inputs'!$C$122/100)^(1/12)-1))</f>
      </c>
      <c r="M29">
        <f>IF(L29&gt;0.005,MIN(MAX(K29,'Inputs'!$H$115/100*L29),'Inputs'!$H$116/100*L29),0)</f>
      </c>
      <c r="N29">
        <f>IF(M29&gt;0,M29-(MAX(0,(INDEX('Inputs'!$D$125:$D$131,MATCH($C$6+M29,'Inputs'!$C$125:$C$131,1))+INDEX('Inputs'!$E$125:$E$131,MATCH($C$6+M29,'Inputs'!$C$125:$C$131,1))/100*(($C$6+M29)-INDEX('Inputs'!$C$125:$C$131,MATCH($C$6+M29,'Inputs'!$C$125:$C$131,1))))-$C$4)-$C$12),0)</f>
      </c>
      <c r="O29">
        <f>IF(I29&lt;$C$8,MAX(0,J29-N29),0)</f>
      </c>
      <c r="P29">
        <f>IF($C$11&lt;&gt;1,0,P28*(1+((1+$C$20)^(1/12)-1))^12-O28/12*(1+((1+$C$20)^(1/12)-1))*(((1+((1+$C$20)^(1/12)-1))^12-1)/((1+((1+$C$20)^(1/12)-1))-1)))</f>
      </c>
      <c r="Q29">
        <f>IF($C$11&lt;&gt;1,0,IFERROR((((1+($C$20+'Inputs'!$H$108/100))^(1/12)-1)-((1+$C$20)^(1/12)-1))*(P29*(((1+((1+$C$20)^(1/12)-1))^12-1)/((1+((1+$C$20)^(1/12)-1))-1))-O29/12/((1+((1+$C$20)^(1/12)-1))-1)*((1+((1+$C$20)^(1/12)-1))*(((1+((1+$C$20)^(1/12)-1))^12-1)/((1+((1+$C$20)^(1/12)-1))-1))-12)),0))</f>
      </c>
    </row>
    <row r="30" spans="9:17" x14ac:dyDescent="0.25">
      <c r="I30">
        <v>26</v>
      </c>
      <c r="J30">
        <f>IF(I30&lt;$C$8,12*$C$9*(1+$C$10)^I30,0)</f>
      </c>
      <c r="K30">
        <f>IF(J30&lt;=0,0,INDEX($E$2:$E$9,MATCH(J30,$F$2:$F$9,1))+(J30-INDEX($F$2:$F$9,MATCH(J30,$F$2:$F$9,1)))/INDEX($G$2:$G$9,MATCH(J30,$F$2:$F$9,1))-$C$6)</f>
      </c>
      <c r="L30">
        <f>MAX(0,L29*(1+'Inputs'!$C$122/100)-M29/12*(1+'Inputs'!$C$122/100)^(1/12)*'Inputs'!$C$122/100/((1+'Inputs'!$C$122/100)^(1/12)-1))</f>
      </c>
      <c r="M30">
        <f>IF(L30&gt;0.005,MIN(MAX(K30,'Inputs'!$H$115/100*L30),'Inputs'!$H$116/100*L30),0)</f>
      </c>
      <c r="N30">
        <f>IF(M30&gt;0,M30-(MAX(0,(INDEX('Inputs'!$D$125:$D$131,MATCH($C$6+M30,'Inputs'!$C$125:$C$131,1))+INDEX('Inputs'!$E$125:$E$131,MATCH($C$6+M30,'Inputs'!$C$125:$C$131,1))/100*(($C$6+M30)-INDEX('Inputs'!$C$125:$C$131,MATCH($C$6+M30,'Inputs'!$C$125:$C$131,1))))-$C$4)-$C$12),0)</f>
      </c>
      <c r="O30">
        <f>IF(I30&lt;$C$8,MAX(0,J30-N30),0)</f>
      </c>
      <c r="P30">
        <f>IF($C$11&lt;&gt;1,0,P29*(1+((1+$C$20)^(1/12)-1))^12-O29/12*(1+((1+$C$20)^(1/12)-1))*(((1+((1+$C$20)^(1/12)-1))^12-1)/((1+((1+$C$20)^(1/12)-1))-1)))</f>
      </c>
      <c r="Q30">
        <f>IF($C$11&lt;&gt;1,0,IFERROR((((1+($C$20+'Inputs'!$H$108/100))^(1/12)-1)-((1+$C$20)^(1/12)-1))*(P30*(((1+((1+$C$20)^(1/12)-1))^12-1)/((1+((1+$C$20)^(1/12)-1))-1))-O30/12/((1+((1+$C$20)^(1/12)-1))-1)*((1+((1+$C$20)^(1/12)-1))*(((1+((1+$C$20)^(1/12)-1))^12-1)/((1+((1+$C$20)^(1/12)-1))-1))-12)),0))</f>
      </c>
    </row>
    <row r="31" spans="9:17" x14ac:dyDescent="0.25">
      <c r="I31">
        <v>27</v>
      </c>
      <c r="J31">
        <f>IF(I31&lt;$C$8,12*$C$9*(1+$C$10)^I31,0)</f>
      </c>
      <c r="K31">
        <f>IF(J31&lt;=0,0,INDEX($E$2:$E$9,MATCH(J31,$F$2:$F$9,1))+(J31-INDEX($F$2:$F$9,MATCH(J31,$F$2:$F$9,1)))/INDEX($G$2:$G$9,MATCH(J31,$F$2:$F$9,1))-$C$6)</f>
      </c>
      <c r="L31">
        <f>MAX(0,L30*(1+'Inputs'!$C$122/100)-M30/12*(1+'Inputs'!$C$122/100)^(1/12)*'Inputs'!$C$122/100/((1+'Inputs'!$C$122/100)^(1/12)-1))</f>
      </c>
      <c r="M31">
        <f>IF(L31&gt;0.005,MIN(MAX(K31,'Inputs'!$H$115/100*L31),'Inputs'!$H$116/100*L31),0)</f>
      </c>
      <c r="N31">
        <f>IF(M31&gt;0,M31-(MAX(0,(INDEX('Inputs'!$D$125:$D$131,MATCH($C$6+M31,'Inputs'!$C$125:$C$131,1))+INDEX('Inputs'!$E$125:$E$131,MATCH($C$6+M31,'Inputs'!$C$125:$C$131,1))/100*(($C$6+M31)-INDEX('Inputs'!$C$125:$C$131,MATCH($C$6+M31,'Inputs'!$C$125:$C$131,1))))-$C$4)-$C$12),0)</f>
      </c>
      <c r="O31">
        <f>IF(I31&lt;$C$8,MAX(0,J31-N31),0)</f>
      </c>
      <c r="P31">
        <f>IF($C$11&lt;&gt;1,0,P30*(1+((1+$C$20)^(1/12)-1))^12-O30/12*(1+((1+$C$20)^(1/12)-1))*(((1+((1+$C$20)^(1/12)-1))^12-1)/((1+((1+$C$20)^(1/12)-1))-1)))</f>
      </c>
      <c r="Q31">
        <f>IF($C$11&lt;&gt;1,0,IFERROR((((1+($C$20+'Inputs'!$H$108/100))^(1/12)-1)-((1+$C$20)^(1/12)-1))*(P31*(((1+((1+$C$20)^(1/12)-1))^12-1)/((1+((1+$C$20)^(1/12)-1))-1))-O31/12/((1+((1+$C$20)^(1/12)-1))-1)*((1+((1+$C$20)^(1/12)-1))*(((1+((1+$C$20)^(1/12)-1))^12-1)/((1+((1+$C$20)^(1/12)-1))-1))-12)),0))</f>
      </c>
    </row>
    <row r="32" spans="9:17" x14ac:dyDescent="0.25">
      <c r="I32">
        <v>28</v>
      </c>
      <c r="J32">
        <f>IF(I32&lt;$C$8,12*$C$9*(1+$C$10)^I32,0)</f>
      </c>
      <c r="K32">
        <f>IF(J32&lt;=0,0,INDEX($E$2:$E$9,MATCH(J32,$F$2:$F$9,1))+(J32-INDEX($F$2:$F$9,MATCH(J32,$F$2:$F$9,1)))/INDEX($G$2:$G$9,MATCH(J32,$F$2:$F$9,1))-$C$6)</f>
      </c>
      <c r="L32">
        <f>MAX(0,L31*(1+'Inputs'!$C$122/100)-M31/12*(1+'Inputs'!$C$122/100)^(1/12)*'Inputs'!$C$122/100/((1+'Inputs'!$C$122/100)^(1/12)-1))</f>
      </c>
      <c r="M32">
        <f>IF(L32&gt;0.005,MIN(MAX(K32,'Inputs'!$H$115/100*L32),'Inputs'!$H$116/100*L32),0)</f>
      </c>
      <c r="N32">
        <f>IF(M32&gt;0,M32-(MAX(0,(INDEX('Inputs'!$D$125:$D$131,MATCH($C$6+M32,'Inputs'!$C$125:$C$131,1))+INDEX('Inputs'!$E$125:$E$131,MATCH($C$6+M32,'Inputs'!$C$125:$C$131,1))/100*(($C$6+M32)-INDEX('Inputs'!$C$125:$C$131,MATCH($C$6+M32,'Inputs'!$C$125:$C$131,1))))-$C$4)-$C$12),0)</f>
      </c>
      <c r="O32">
        <f>IF(I32&lt;$C$8,MAX(0,J32-N32),0)</f>
      </c>
      <c r="P32">
        <f>IF($C$11&lt;&gt;1,0,P31*(1+((1+$C$20)^(1/12)-1))^12-O31/12*(1+((1+$C$20)^(1/12)-1))*(((1+((1+$C$20)^(1/12)-1))^12-1)/((1+((1+$C$20)^(1/12)-1))-1)))</f>
      </c>
      <c r="Q32">
        <f>IF($C$11&lt;&gt;1,0,IFERROR((((1+($C$20+'Inputs'!$H$108/100))^(1/12)-1)-((1+$C$20)^(1/12)-1))*(P32*(((1+((1+$C$20)^(1/12)-1))^12-1)/((1+((1+$C$20)^(1/12)-1))-1))-O32/12/((1+((1+$C$20)^(1/12)-1))-1)*((1+((1+$C$20)^(1/12)-1))*(((1+((1+$C$20)^(1/12)-1))^12-1)/((1+((1+$C$20)^(1/12)-1))-1))-12)),0))</f>
      </c>
    </row>
    <row r="33" spans="9:17" x14ac:dyDescent="0.25">
      <c r="I33">
        <v>29</v>
      </c>
      <c r="J33">
        <f>IF(I33&lt;$C$8,12*$C$9*(1+$C$10)^I33,0)</f>
      </c>
      <c r="K33">
        <f>IF(J33&lt;=0,0,INDEX($E$2:$E$9,MATCH(J33,$F$2:$F$9,1))+(J33-INDEX($F$2:$F$9,MATCH(J33,$F$2:$F$9,1)))/INDEX($G$2:$G$9,MATCH(J33,$F$2:$F$9,1))-$C$6)</f>
      </c>
      <c r="L33">
        <f>MAX(0,L32*(1+'Inputs'!$C$122/100)-M32/12*(1+'Inputs'!$C$122/100)^(1/12)*'Inputs'!$C$122/100/((1+'Inputs'!$C$122/100)^(1/12)-1))</f>
      </c>
      <c r="M33">
        <f>IF(L33&gt;0.005,MIN(MAX(K33,'Inputs'!$H$115/100*L33),'Inputs'!$H$116/100*L33),0)</f>
      </c>
      <c r="N33">
        <f>IF(M33&gt;0,M33-(MAX(0,(INDEX('Inputs'!$D$125:$D$131,MATCH($C$6+M33,'Inputs'!$C$125:$C$131,1))+INDEX('Inputs'!$E$125:$E$131,MATCH($C$6+M33,'Inputs'!$C$125:$C$131,1))/100*(($C$6+M33)-INDEX('Inputs'!$C$125:$C$131,MATCH($C$6+M33,'Inputs'!$C$125:$C$131,1))))-$C$4)-$C$12),0)</f>
      </c>
      <c r="O33">
        <f>IF(I33&lt;$C$8,MAX(0,J33-N33),0)</f>
      </c>
      <c r="P33">
        <f>IF($C$11&lt;&gt;1,0,P32*(1+((1+$C$20)^(1/12)-1))^12-O32/12*(1+((1+$C$20)^(1/12)-1))*(((1+((1+$C$20)^(1/12)-1))^12-1)/((1+((1+$C$20)^(1/12)-1))-1)))</f>
      </c>
      <c r="Q33">
        <f>IF($C$11&lt;&gt;1,0,IFERROR((((1+($C$20+'Inputs'!$H$108/100))^(1/12)-1)-((1+$C$20)^(1/12)-1))*(P33*(((1+((1+$C$20)^(1/12)-1))^12-1)/((1+((1+$C$20)^(1/12)-1))-1))-O33/12/((1+((1+$C$20)^(1/12)-1))-1)*((1+((1+$C$20)^(1/12)-1))*(((1+((1+$C$20)^(1/12)-1))^12-1)/((1+((1+$C$20)^(1/12)-1))-1))-12)),0))</f>
      </c>
    </row>
    <row r="34" spans="9:17" x14ac:dyDescent="0.25">
      <c r="I34">
        <v>30</v>
      </c>
      <c r="J34">
        <f>IF(I34&lt;$C$8,12*$C$9*(1+$C$10)^I34,0)</f>
      </c>
      <c r="K34">
        <f>IF(J34&lt;=0,0,INDEX($E$2:$E$9,MATCH(J34,$F$2:$F$9,1))+(J34-INDEX($F$2:$F$9,MATCH(J34,$F$2:$F$9,1)))/INDEX($G$2:$G$9,MATCH(J34,$F$2:$F$9,1))-$C$6)</f>
      </c>
      <c r="L34">
        <f>MAX(0,L33*(1+'Inputs'!$C$122/100)-M33/12*(1+'Inputs'!$C$122/100)^(1/12)*'Inputs'!$C$122/100/((1+'Inputs'!$C$122/100)^(1/12)-1))</f>
      </c>
      <c r="M34">
        <f>IF(L34&gt;0.005,MIN(MAX(K34,'Inputs'!$H$115/100*L34),'Inputs'!$H$116/100*L34),0)</f>
      </c>
      <c r="N34">
        <f>IF(M34&gt;0,M34-(MAX(0,(INDEX('Inputs'!$D$125:$D$131,MATCH($C$6+M34,'Inputs'!$C$125:$C$131,1))+INDEX('Inputs'!$E$125:$E$131,MATCH($C$6+M34,'Inputs'!$C$125:$C$131,1))/100*(($C$6+M34)-INDEX('Inputs'!$C$125:$C$131,MATCH($C$6+M34,'Inputs'!$C$125:$C$131,1))))-$C$4)-$C$12),0)</f>
      </c>
      <c r="O34">
        <f>IF(I34&lt;$C$8,MAX(0,J34-N34),0)</f>
      </c>
      <c r="P34">
        <f>IF($C$11&lt;&gt;1,0,P33*(1+((1+$C$20)^(1/12)-1))^12-O33/12*(1+((1+$C$20)^(1/12)-1))*(((1+((1+$C$20)^(1/12)-1))^12-1)/((1+((1+$C$20)^(1/12)-1))-1)))</f>
      </c>
      <c r="Q34">
        <f>IF($C$11&lt;&gt;1,0,IFERROR((((1+($C$20+'Inputs'!$H$108/100))^(1/12)-1)-((1+$C$20)^(1/12)-1))*(P34*(((1+((1+$C$20)^(1/12)-1))^12-1)/((1+((1+$C$20)^(1/12)-1))-1))-O34/12/((1+((1+$C$20)^(1/12)-1))-1)*((1+((1+$C$20)^(1/12)-1))*(((1+((1+$C$20)^(1/12)-1))^12-1)/((1+((1+$C$20)^(1/12)-1))-1))-12)),0))</f>
      </c>
    </row>
    <row r="35" spans="9:17" x14ac:dyDescent="0.25">
      <c r="I35">
        <v>31</v>
      </c>
      <c r="J35">
        <f>IF(I35&lt;$C$8,12*$C$9*(1+$C$10)^I35,0)</f>
      </c>
      <c r="K35">
        <f>IF(J35&lt;=0,0,INDEX($E$2:$E$9,MATCH(J35,$F$2:$F$9,1))+(J35-INDEX($F$2:$F$9,MATCH(J35,$F$2:$F$9,1)))/INDEX($G$2:$G$9,MATCH(J35,$F$2:$F$9,1))-$C$6)</f>
      </c>
      <c r="L35">
        <f>MAX(0,L34*(1+'Inputs'!$C$122/100)-M34/12*(1+'Inputs'!$C$122/100)^(1/12)*'Inputs'!$C$122/100/((1+'Inputs'!$C$122/100)^(1/12)-1))</f>
      </c>
      <c r="M35">
        <f>IF(L35&gt;0.005,MIN(MAX(K35,'Inputs'!$H$115/100*L35),'Inputs'!$H$116/100*L35),0)</f>
      </c>
      <c r="N35">
        <f>IF(M35&gt;0,M35-(MAX(0,(INDEX('Inputs'!$D$125:$D$131,MATCH($C$6+M35,'Inputs'!$C$125:$C$131,1))+INDEX('Inputs'!$E$125:$E$131,MATCH($C$6+M35,'Inputs'!$C$125:$C$131,1))/100*(($C$6+M35)-INDEX('Inputs'!$C$125:$C$131,MATCH($C$6+M35,'Inputs'!$C$125:$C$131,1))))-$C$4)-$C$12),0)</f>
      </c>
      <c r="O35">
        <f>IF(I35&lt;$C$8,MAX(0,J35-N35),0)</f>
      </c>
      <c r="P35">
        <f>IF($C$11&lt;&gt;1,0,P34*(1+((1+$C$20)^(1/12)-1))^12-O34/12*(1+((1+$C$20)^(1/12)-1))*(((1+((1+$C$20)^(1/12)-1))^12-1)/((1+((1+$C$20)^(1/12)-1))-1)))</f>
      </c>
      <c r="Q35">
        <f>IF($C$11&lt;&gt;1,0,IFERROR((((1+($C$20+'Inputs'!$H$108/100))^(1/12)-1)-((1+$C$20)^(1/12)-1))*(P35*(((1+((1+$C$20)^(1/12)-1))^12-1)/((1+((1+$C$20)^(1/12)-1))-1))-O35/12/((1+((1+$C$20)^(1/12)-1))-1)*((1+((1+$C$20)^(1/12)-1))*(((1+((1+$C$20)^(1/12)-1))^12-1)/((1+((1+$C$20)^(1/12)-1))-1))-12)),0))</f>
      </c>
    </row>
    <row r="36" spans="9:17" x14ac:dyDescent="0.25">
      <c r="I36">
        <v>32</v>
      </c>
      <c r="J36">
        <f>IF(I36&lt;$C$8,12*$C$9*(1+$C$10)^I36,0)</f>
      </c>
      <c r="K36">
        <f>IF(J36&lt;=0,0,INDEX($E$2:$E$9,MATCH(J36,$F$2:$F$9,1))+(J36-INDEX($F$2:$F$9,MATCH(J36,$F$2:$F$9,1)))/INDEX($G$2:$G$9,MATCH(J36,$F$2:$F$9,1))-$C$6)</f>
      </c>
      <c r="L36">
        <f>MAX(0,L35*(1+'Inputs'!$C$122/100)-M35/12*(1+'Inputs'!$C$122/100)^(1/12)*'Inputs'!$C$122/100/((1+'Inputs'!$C$122/100)^(1/12)-1))</f>
      </c>
      <c r="M36">
        <f>IF(L36&gt;0.005,MIN(MAX(K36,'Inputs'!$H$115/100*L36),'Inputs'!$H$116/100*L36),0)</f>
      </c>
      <c r="N36">
        <f>IF(M36&gt;0,M36-(MAX(0,(INDEX('Inputs'!$D$125:$D$131,MATCH($C$6+M36,'Inputs'!$C$125:$C$131,1))+INDEX('Inputs'!$E$125:$E$131,MATCH($C$6+M36,'Inputs'!$C$125:$C$131,1))/100*(($C$6+M36)-INDEX('Inputs'!$C$125:$C$131,MATCH($C$6+M36,'Inputs'!$C$125:$C$131,1))))-$C$4)-$C$12),0)</f>
      </c>
      <c r="O36">
        <f>IF(I36&lt;$C$8,MAX(0,J36-N36),0)</f>
      </c>
      <c r="P36">
        <f>IF($C$11&lt;&gt;1,0,P35*(1+((1+$C$20)^(1/12)-1))^12-O35/12*(1+((1+$C$20)^(1/12)-1))*(((1+((1+$C$20)^(1/12)-1))^12-1)/((1+((1+$C$20)^(1/12)-1))-1)))</f>
      </c>
      <c r="Q36">
        <f>IF($C$11&lt;&gt;1,0,IFERROR((((1+($C$20+'Inputs'!$H$108/100))^(1/12)-1)-((1+$C$20)^(1/12)-1))*(P36*(((1+((1+$C$20)^(1/12)-1))^12-1)/((1+((1+$C$20)^(1/12)-1))-1))-O36/12/((1+((1+$C$20)^(1/12)-1))-1)*((1+((1+$C$20)^(1/12)-1))*(((1+((1+$C$20)^(1/12)-1))^12-1)/((1+((1+$C$20)^(1/12)-1))-1))-12)),0))</f>
      </c>
    </row>
    <row r="37" spans="9:17" x14ac:dyDescent="0.25">
      <c r="I37">
        <v>33</v>
      </c>
      <c r="J37">
        <f>IF(I37&lt;$C$8,12*$C$9*(1+$C$10)^I37,0)</f>
      </c>
      <c r="K37">
        <f>IF(J37&lt;=0,0,INDEX($E$2:$E$9,MATCH(J37,$F$2:$F$9,1))+(J37-INDEX($F$2:$F$9,MATCH(J37,$F$2:$F$9,1)))/INDEX($G$2:$G$9,MATCH(J37,$F$2:$F$9,1))-$C$6)</f>
      </c>
      <c r="L37">
        <f>MAX(0,L36*(1+'Inputs'!$C$122/100)-M36/12*(1+'Inputs'!$C$122/100)^(1/12)*'Inputs'!$C$122/100/((1+'Inputs'!$C$122/100)^(1/12)-1))</f>
      </c>
      <c r="M37">
        <f>IF(L37&gt;0.005,MIN(MAX(K37,'Inputs'!$H$115/100*L37),'Inputs'!$H$116/100*L37),0)</f>
      </c>
      <c r="N37">
        <f>IF(M37&gt;0,M37-(MAX(0,(INDEX('Inputs'!$D$125:$D$131,MATCH($C$6+M37,'Inputs'!$C$125:$C$131,1))+INDEX('Inputs'!$E$125:$E$131,MATCH($C$6+M37,'Inputs'!$C$125:$C$131,1))/100*(($C$6+M37)-INDEX('Inputs'!$C$125:$C$131,MATCH($C$6+M37,'Inputs'!$C$125:$C$131,1))))-$C$4)-$C$12),0)</f>
      </c>
      <c r="O37">
        <f>IF(I37&lt;$C$8,MAX(0,J37-N37),0)</f>
      </c>
      <c r="P37">
        <f>IF($C$11&lt;&gt;1,0,P36*(1+((1+$C$20)^(1/12)-1))^12-O36/12*(1+((1+$C$20)^(1/12)-1))*(((1+((1+$C$20)^(1/12)-1))^12-1)/((1+((1+$C$20)^(1/12)-1))-1)))</f>
      </c>
      <c r="Q37">
        <f>IF($C$11&lt;&gt;1,0,IFERROR((((1+($C$20+'Inputs'!$H$108/100))^(1/12)-1)-((1+$C$20)^(1/12)-1))*(P37*(((1+((1+$C$20)^(1/12)-1))^12-1)/((1+((1+$C$20)^(1/12)-1))-1))-O37/12/((1+((1+$C$20)^(1/12)-1))-1)*((1+((1+$C$20)^(1/12)-1))*(((1+((1+$C$20)^(1/12)-1))^12-1)/((1+((1+$C$20)^(1/12)-1))-1))-12)),0))</f>
      </c>
    </row>
    <row r="38" spans="9:17" x14ac:dyDescent="0.25">
      <c r="I38">
        <v>34</v>
      </c>
      <c r="J38">
        <f>IF(I38&lt;$C$8,12*$C$9*(1+$C$10)^I38,0)</f>
      </c>
      <c r="K38">
        <f>IF(J38&lt;=0,0,INDEX($E$2:$E$9,MATCH(J38,$F$2:$F$9,1))+(J38-INDEX($F$2:$F$9,MATCH(J38,$F$2:$F$9,1)))/INDEX($G$2:$G$9,MATCH(J38,$F$2:$F$9,1))-$C$6)</f>
      </c>
      <c r="L38">
        <f>MAX(0,L37*(1+'Inputs'!$C$122/100)-M37/12*(1+'Inputs'!$C$122/100)^(1/12)*'Inputs'!$C$122/100/((1+'Inputs'!$C$122/100)^(1/12)-1))</f>
      </c>
      <c r="M38">
        <f>IF(L38&gt;0.005,MIN(MAX(K38,'Inputs'!$H$115/100*L38),'Inputs'!$H$116/100*L38),0)</f>
      </c>
      <c r="N38">
        <f>IF(M38&gt;0,M38-(MAX(0,(INDEX('Inputs'!$D$125:$D$131,MATCH($C$6+M38,'Inputs'!$C$125:$C$131,1))+INDEX('Inputs'!$E$125:$E$131,MATCH($C$6+M38,'Inputs'!$C$125:$C$131,1))/100*(($C$6+M38)-INDEX('Inputs'!$C$125:$C$131,MATCH($C$6+M38,'Inputs'!$C$125:$C$131,1))))-$C$4)-$C$12),0)</f>
      </c>
      <c r="O38">
        <f>IF(I38&lt;$C$8,MAX(0,J38-N38),0)</f>
      </c>
      <c r="P38">
        <f>IF($C$11&lt;&gt;1,0,P37*(1+((1+$C$20)^(1/12)-1))^12-O37/12*(1+((1+$C$20)^(1/12)-1))*(((1+((1+$C$20)^(1/12)-1))^12-1)/((1+((1+$C$20)^(1/12)-1))-1)))</f>
      </c>
      <c r="Q38">
        <f>IF($C$11&lt;&gt;1,0,IFERROR((((1+($C$20+'Inputs'!$H$108/100))^(1/12)-1)-((1+$C$20)^(1/12)-1))*(P38*(((1+((1+$C$20)^(1/12)-1))^12-1)/((1+((1+$C$20)^(1/12)-1))-1))-O38/12/((1+((1+$C$20)^(1/12)-1))-1)*((1+((1+$C$20)^(1/12)-1))*(((1+((1+$C$20)^(1/12)-1))^12-1)/((1+((1+$C$20)^(1/12)-1))-1))-12)),0))</f>
      </c>
    </row>
    <row r="39" spans="9:17" x14ac:dyDescent="0.25">
      <c r="I39">
        <v>35</v>
      </c>
      <c r="J39">
        <f>IF(I39&lt;$C$8,12*$C$9*(1+$C$10)^I39,0)</f>
      </c>
      <c r="K39">
        <f>IF(J39&lt;=0,0,INDEX($E$2:$E$9,MATCH(J39,$F$2:$F$9,1))+(J39-INDEX($F$2:$F$9,MATCH(J39,$F$2:$F$9,1)))/INDEX($G$2:$G$9,MATCH(J39,$F$2:$F$9,1))-$C$6)</f>
      </c>
      <c r="L39">
        <f>MAX(0,L38*(1+'Inputs'!$C$122/100)-M38/12*(1+'Inputs'!$C$122/100)^(1/12)*'Inputs'!$C$122/100/((1+'Inputs'!$C$122/100)^(1/12)-1))</f>
      </c>
      <c r="M39">
        <f>IF(L39&gt;0.005,MIN(MAX(K39,'Inputs'!$H$115/100*L39),'Inputs'!$H$116/100*L39),0)</f>
      </c>
      <c r="N39">
        <f>IF(M39&gt;0,M39-(MAX(0,(INDEX('Inputs'!$D$125:$D$131,MATCH($C$6+M39,'Inputs'!$C$125:$C$131,1))+INDEX('Inputs'!$E$125:$E$131,MATCH($C$6+M39,'Inputs'!$C$125:$C$131,1))/100*(($C$6+M39)-INDEX('Inputs'!$C$125:$C$131,MATCH($C$6+M39,'Inputs'!$C$125:$C$131,1))))-$C$4)-$C$12),0)</f>
      </c>
      <c r="O39">
        <f>IF(I39&lt;$C$8,MAX(0,J39-N39),0)</f>
      </c>
      <c r="P39">
        <f>IF($C$11&lt;&gt;1,0,P38*(1+((1+$C$20)^(1/12)-1))^12-O38/12*(1+((1+$C$20)^(1/12)-1))*(((1+((1+$C$20)^(1/12)-1))^12-1)/((1+((1+$C$20)^(1/12)-1))-1)))</f>
      </c>
      <c r="Q39">
        <f>IF($C$11&lt;&gt;1,0,IFERROR((((1+($C$20+'Inputs'!$H$108/100))^(1/12)-1)-((1+$C$20)^(1/12)-1))*(P39*(((1+((1+$C$20)^(1/12)-1))^12-1)/((1+((1+$C$20)^(1/12)-1))-1))-O39/12/((1+((1+$C$20)^(1/12)-1))-1)*((1+((1+$C$20)^(1/12)-1))*(((1+((1+$C$20)^(1/12)-1))^12-1)/((1+((1+$C$20)^(1/12)-1))-1))-12)),0))</f>
      </c>
    </row>
    <row r="40" spans="9:17" x14ac:dyDescent="0.25">
      <c r="I40">
        <v>36</v>
      </c>
      <c r="J40">
        <f>IF(I40&lt;$C$8,12*$C$9*(1+$C$10)^I40,0)</f>
      </c>
      <c r="K40">
        <f>IF(J40&lt;=0,0,INDEX($E$2:$E$9,MATCH(J40,$F$2:$F$9,1))+(J40-INDEX($F$2:$F$9,MATCH(J40,$F$2:$F$9,1)))/INDEX($G$2:$G$9,MATCH(J40,$F$2:$F$9,1))-$C$6)</f>
      </c>
      <c r="L40">
        <f>MAX(0,L39*(1+'Inputs'!$C$122/100)-M39/12*(1+'Inputs'!$C$122/100)^(1/12)*'Inputs'!$C$122/100/((1+'Inputs'!$C$122/100)^(1/12)-1))</f>
      </c>
      <c r="M40">
        <f>IF(L40&gt;0.005,MIN(MAX(K40,'Inputs'!$H$115/100*L40),'Inputs'!$H$116/100*L40),0)</f>
      </c>
      <c r="N40">
        <f>IF(M40&gt;0,M40-(MAX(0,(INDEX('Inputs'!$D$125:$D$131,MATCH($C$6+M40,'Inputs'!$C$125:$C$131,1))+INDEX('Inputs'!$E$125:$E$131,MATCH($C$6+M40,'Inputs'!$C$125:$C$131,1))/100*(($C$6+M40)-INDEX('Inputs'!$C$125:$C$131,MATCH($C$6+M40,'Inputs'!$C$125:$C$131,1))))-$C$4)-$C$12),0)</f>
      </c>
      <c r="O40">
        <f>IF(I40&lt;$C$8,MAX(0,J40-N40),0)</f>
      </c>
      <c r="P40">
        <f>IF($C$11&lt;&gt;1,0,P39*(1+((1+$C$20)^(1/12)-1))^12-O39/12*(1+((1+$C$20)^(1/12)-1))*(((1+((1+$C$20)^(1/12)-1))^12-1)/((1+((1+$C$20)^(1/12)-1))-1)))</f>
      </c>
      <c r="Q40">
        <f>IF($C$11&lt;&gt;1,0,IFERROR((((1+($C$20+'Inputs'!$H$108/100))^(1/12)-1)-((1+$C$20)^(1/12)-1))*(P40*(((1+((1+$C$20)^(1/12)-1))^12-1)/((1+((1+$C$20)^(1/12)-1))-1))-O40/12/((1+((1+$C$20)^(1/12)-1))-1)*((1+((1+$C$20)^(1/12)-1))*(((1+((1+$C$20)^(1/12)-1))^12-1)/((1+((1+$C$20)^(1/12)-1))-1))-12)),0))</f>
      </c>
    </row>
    <row r="41" spans="9:17" x14ac:dyDescent="0.25">
      <c r="I41">
        <v>37</v>
      </c>
      <c r="J41">
        <f>IF(I41&lt;$C$8,12*$C$9*(1+$C$10)^I41,0)</f>
      </c>
      <c r="K41">
        <f>IF(J41&lt;=0,0,INDEX($E$2:$E$9,MATCH(J41,$F$2:$F$9,1))+(J41-INDEX($F$2:$F$9,MATCH(J41,$F$2:$F$9,1)))/INDEX($G$2:$G$9,MATCH(J41,$F$2:$F$9,1))-$C$6)</f>
      </c>
      <c r="L41">
        <f>MAX(0,L40*(1+'Inputs'!$C$122/100)-M40/12*(1+'Inputs'!$C$122/100)^(1/12)*'Inputs'!$C$122/100/((1+'Inputs'!$C$122/100)^(1/12)-1))</f>
      </c>
      <c r="M41">
        <f>IF(L41&gt;0.005,MIN(MAX(K41,'Inputs'!$H$115/100*L41),'Inputs'!$H$116/100*L41),0)</f>
      </c>
      <c r="N41">
        <f>IF(M41&gt;0,M41-(MAX(0,(INDEX('Inputs'!$D$125:$D$131,MATCH($C$6+M41,'Inputs'!$C$125:$C$131,1))+INDEX('Inputs'!$E$125:$E$131,MATCH($C$6+M41,'Inputs'!$C$125:$C$131,1))/100*(($C$6+M41)-INDEX('Inputs'!$C$125:$C$131,MATCH($C$6+M41,'Inputs'!$C$125:$C$131,1))))-$C$4)-$C$12),0)</f>
      </c>
      <c r="O41">
        <f>IF(I41&lt;$C$8,MAX(0,J41-N41),0)</f>
      </c>
      <c r="P41">
        <f>IF($C$11&lt;&gt;1,0,P40*(1+((1+$C$20)^(1/12)-1))^12-O40/12*(1+((1+$C$20)^(1/12)-1))*(((1+((1+$C$20)^(1/12)-1))^12-1)/((1+((1+$C$20)^(1/12)-1))-1)))</f>
      </c>
      <c r="Q41">
        <f>IF($C$11&lt;&gt;1,0,IFERROR((((1+($C$20+'Inputs'!$H$108/100))^(1/12)-1)-((1+$C$20)^(1/12)-1))*(P41*(((1+((1+$C$20)^(1/12)-1))^12-1)/((1+((1+$C$20)^(1/12)-1))-1))-O41/12/((1+((1+$C$20)^(1/12)-1))-1)*((1+((1+$C$20)^(1/12)-1))*(((1+((1+$C$20)^(1/12)-1))^12-1)/((1+((1+$C$20)^(1/12)-1))-1))-12)),0))</f>
      </c>
    </row>
    <row r="42" spans="9:17" x14ac:dyDescent="0.25">
      <c r="I42">
        <v>38</v>
      </c>
      <c r="J42">
        <f>IF(I42&lt;$C$8,12*$C$9*(1+$C$10)^I42,0)</f>
      </c>
      <c r="K42">
        <f>IF(J42&lt;=0,0,INDEX($E$2:$E$9,MATCH(J42,$F$2:$F$9,1))+(J42-INDEX($F$2:$F$9,MATCH(J42,$F$2:$F$9,1)))/INDEX($G$2:$G$9,MATCH(J42,$F$2:$F$9,1))-$C$6)</f>
      </c>
      <c r="L42">
        <f>MAX(0,L41*(1+'Inputs'!$C$122/100)-M41/12*(1+'Inputs'!$C$122/100)^(1/12)*'Inputs'!$C$122/100/((1+'Inputs'!$C$122/100)^(1/12)-1))</f>
      </c>
      <c r="M42">
        <f>IF(L42&gt;0.005,MIN(MAX(K42,'Inputs'!$H$115/100*L42),'Inputs'!$H$116/100*L42),0)</f>
      </c>
      <c r="N42">
        <f>IF(M42&gt;0,M42-(MAX(0,(INDEX('Inputs'!$D$125:$D$131,MATCH($C$6+M42,'Inputs'!$C$125:$C$131,1))+INDEX('Inputs'!$E$125:$E$131,MATCH($C$6+M42,'Inputs'!$C$125:$C$131,1))/100*(($C$6+M42)-INDEX('Inputs'!$C$125:$C$131,MATCH($C$6+M42,'Inputs'!$C$125:$C$131,1))))-$C$4)-$C$12),0)</f>
      </c>
      <c r="O42">
        <f>IF(I42&lt;$C$8,MAX(0,J42-N42),0)</f>
      </c>
      <c r="P42">
        <f>IF($C$11&lt;&gt;1,0,P41*(1+((1+$C$20)^(1/12)-1))^12-O41/12*(1+((1+$C$20)^(1/12)-1))*(((1+((1+$C$20)^(1/12)-1))^12-1)/((1+((1+$C$20)^(1/12)-1))-1)))</f>
      </c>
      <c r="Q42">
        <f>IF($C$11&lt;&gt;1,0,IFERROR((((1+($C$20+'Inputs'!$H$108/100))^(1/12)-1)-((1+$C$20)^(1/12)-1))*(P42*(((1+((1+$C$20)^(1/12)-1))^12-1)/((1+((1+$C$20)^(1/12)-1))-1))-O42/12/((1+((1+$C$20)^(1/12)-1))-1)*((1+((1+$C$20)^(1/12)-1))*(((1+((1+$C$20)^(1/12)-1))^12-1)/((1+((1+$C$20)^(1/12)-1))-1))-12)),0))</f>
      </c>
    </row>
    <row r="43" spans="9:17" x14ac:dyDescent="0.25">
      <c r="I43">
        <v>39</v>
      </c>
      <c r="J43">
        <f>IF(I43&lt;$C$8,12*$C$9*(1+$C$10)^I43,0)</f>
      </c>
      <c r="K43">
        <f>IF(J43&lt;=0,0,INDEX($E$2:$E$9,MATCH(J43,$F$2:$F$9,1))+(J43-INDEX($F$2:$F$9,MATCH(J43,$F$2:$F$9,1)))/INDEX($G$2:$G$9,MATCH(J43,$F$2:$F$9,1))-$C$6)</f>
      </c>
      <c r="L43">
        <f>MAX(0,L42*(1+'Inputs'!$C$122/100)-M42/12*(1+'Inputs'!$C$122/100)^(1/12)*'Inputs'!$C$122/100/((1+'Inputs'!$C$122/100)^(1/12)-1))</f>
      </c>
      <c r="M43">
        <f>IF(L43&gt;0.005,MIN(MAX(K43,'Inputs'!$H$115/100*L43),'Inputs'!$H$116/100*L43),0)</f>
      </c>
      <c r="N43">
        <f>IF(M43&gt;0,M43-(MAX(0,(INDEX('Inputs'!$D$125:$D$131,MATCH($C$6+M43,'Inputs'!$C$125:$C$131,1))+INDEX('Inputs'!$E$125:$E$131,MATCH($C$6+M43,'Inputs'!$C$125:$C$131,1))/100*(($C$6+M43)-INDEX('Inputs'!$C$125:$C$131,MATCH($C$6+M43,'Inputs'!$C$125:$C$131,1))))-$C$4)-$C$12),0)</f>
      </c>
      <c r="O43">
        <f>IF(I43&lt;$C$8,MAX(0,J43-N43),0)</f>
      </c>
      <c r="P43">
        <f>IF($C$11&lt;&gt;1,0,P42*(1+((1+$C$20)^(1/12)-1))^12-O42/12*(1+((1+$C$20)^(1/12)-1))*(((1+((1+$C$20)^(1/12)-1))^12-1)/((1+((1+$C$20)^(1/12)-1))-1)))</f>
      </c>
      <c r="Q43">
        <f>IF($C$11&lt;&gt;1,0,IFERROR((((1+($C$20+'Inputs'!$H$108/100))^(1/12)-1)-((1+$C$20)^(1/12)-1))*(P43*(((1+((1+$C$20)^(1/12)-1))^12-1)/((1+((1+$C$20)^(1/12)-1))-1))-O43/12/((1+((1+$C$20)^(1/12)-1))-1)*((1+((1+$C$20)^(1/12)-1))*(((1+((1+$C$20)^(1/12)-1))^12-1)/((1+((1+$C$20)^(1/12)-1))-1))-12)),0))</f>
      </c>
    </row>
    <row r="44" spans="9:17" x14ac:dyDescent="0.25">
      <c r="I44">
        <v>40</v>
      </c>
      <c r="J44">
        <f>IF(I44&lt;$C$8,12*$C$9*(1+$C$10)^I44,0)</f>
      </c>
      <c r="K44">
        <f>IF(J44&lt;=0,0,INDEX($E$2:$E$9,MATCH(J44,$F$2:$F$9,1))+(J44-INDEX($F$2:$F$9,MATCH(J44,$F$2:$F$9,1)))/INDEX($G$2:$G$9,MATCH(J44,$F$2:$F$9,1))-$C$6)</f>
      </c>
      <c r="L44">
        <f>MAX(0,L43*(1+'Inputs'!$C$122/100)-M43/12*(1+'Inputs'!$C$122/100)^(1/12)*'Inputs'!$C$122/100/((1+'Inputs'!$C$122/100)^(1/12)-1))</f>
      </c>
      <c r="M44">
        <f>IF(L44&gt;0.005,MIN(MAX(K44,'Inputs'!$H$115/100*L44),'Inputs'!$H$116/100*L44),0)</f>
      </c>
      <c r="N44">
        <f>IF(M44&gt;0,M44-(MAX(0,(INDEX('Inputs'!$D$125:$D$131,MATCH($C$6+M44,'Inputs'!$C$125:$C$131,1))+INDEX('Inputs'!$E$125:$E$131,MATCH($C$6+M44,'Inputs'!$C$125:$C$131,1))/100*(($C$6+M44)-INDEX('Inputs'!$C$125:$C$131,MATCH($C$6+M44,'Inputs'!$C$125:$C$131,1))))-$C$4)-$C$12),0)</f>
      </c>
      <c r="O44">
        <f>IF(I44&lt;$C$8,MAX(0,J44-N44),0)</f>
      </c>
      <c r="P44">
        <f>IF($C$11&lt;&gt;1,0,P43*(1+((1+$C$20)^(1/12)-1))^12-O43/12*(1+((1+$C$20)^(1/12)-1))*(((1+((1+$C$20)^(1/12)-1))^12-1)/((1+((1+$C$20)^(1/12)-1))-1)))</f>
      </c>
      <c r="Q44">
        <f>IF($C$11&lt;&gt;1,0,IFERROR((((1+($C$20+'Inputs'!$H$108/100))^(1/12)-1)-((1+$C$20)^(1/12)-1))*(P44*(((1+((1+$C$20)^(1/12)-1))^12-1)/((1+((1+$C$20)^(1/12)-1))-1))-O44/12/((1+((1+$C$20)^(1/12)-1))-1)*((1+((1+$C$20)^(1/12)-1))*(((1+((1+$C$20)^(1/12)-1))^12-1)/((1+((1+$C$20)^(1/12)-1))-1))-12)),0))</f>
      </c>
    </row>
    <row r="45" spans="9:17" x14ac:dyDescent="0.25">
      <c r="I45">
        <v>41</v>
      </c>
      <c r="J45">
        <f>IF(I45&lt;$C$8,12*$C$9*(1+$C$10)^I45,0)</f>
      </c>
      <c r="K45">
        <f>IF(J45&lt;=0,0,INDEX($E$2:$E$9,MATCH(J45,$F$2:$F$9,1))+(J45-INDEX($F$2:$F$9,MATCH(J45,$F$2:$F$9,1)))/INDEX($G$2:$G$9,MATCH(J45,$F$2:$F$9,1))-$C$6)</f>
      </c>
      <c r="L45">
        <f>MAX(0,L44*(1+'Inputs'!$C$122/100)-M44/12*(1+'Inputs'!$C$122/100)^(1/12)*'Inputs'!$C$122/100/((1+'Inputs'!$C$122/100)^(1/12)-1))</f>
      </c>
      <c r="M45">
        <f>IF(L45&gt;0.005,MIN(MAX(K45,'Inputs'!$H$115/100*L45),'Inputs'!$H$116/100*L45),0)</f>
      </c>
      <c r="N45">
        <f>IF(M45&gt;0,M45-(MAX(0,(INDEX('Inputs'!$D$125:$D$131,MATCH($C$6+M45,'Inputs'!$C$125:$C$131,1))+INDEX('Inputs'!$E$125:$E$131,MATCH($C$6+M45,'Inputs'!$C$125:$C$131,1))/100*(($C$6+M45)-INDEX('Inputs'!$C$125:$C$131,MATCH($C$6+M45,'Inputs'!$C$125:$C$131,1))))-$C$4)-$C$12),0)</f>
      </c>
      <c r="O45">
        <f>IF(I45&lt;$C$8,MAX(0,J45-N45),0)</f>
      </c>
      <c r="P45">
        <f>IF($C$11&lt;&gt;1,0,P44*(1+((1+$C$20)^(1/12)-1))^12-O44/12*(1+((1+$C$20)^(1/12)-1))*(((1+((1+$C$20)^(1/12)-1))^12-1)/((1+((1+$C$20)^(1/12)-1))-1)))</f>
      </c>
      <c r="Q45">
        <f>IF($C$11&lt;&gt;1,0,IFERROR((((1+($C$20+'Inputs'!$H$108/100))^(1/12)-1)-((1+$C$20)^(1/12)-1))*(P45*(((1+((1+$C$20)^(1/12)-1))^12-1)/((1+((1+$C$20)^(1/12)-1))-1))-O45/12/((1+((1+$C$20)^(1/12)-1))-1)*((1+((1+$C$20)^(1/12)-1))*(((1+((1+$C$20)^(1/12)-1))^12-1)/((1+((1+$C$20)^(1/12)-1))-1))-12)),0))</f>
      </c>
    </row>
    <row r="46" spans="9:17" x14ac:dyDescent="0.25">
      <c r="I46">
        <v>42</v>
      </c>
      <c r="J46">
        <f>IF(I46&lt;$C$8,12*$C$9*(1+$C$10)^I46,0)</f>
      </c>
      <c r="K46">
        <f>IF(J46&lt;=0,0,INDEX($E$2:$E$9,MATCH(J46,$F$2:$F$9,1))+(J46-INDEX($F$2:$F$9,MATCH(J46,$F$2:$F$9,1)))/INDEX($G$2:$G$9,MATCH(J46,$F$2:$F$9,1))-$C$6)</f>
      </c>
      <c r="L46">
        <f>MAX(0,L45*(1+'Inputs'!$C$122/100)-M45/12*(1+'Inputs'!$C$122/100)^(1/12)*'Inputs'!$C$122/100/((1+'Inputs'!$C$122/100)^(1/12)-1))</f>
      </c>
      <c r="M46">
        <f>IF(L46&gt;0.005,MIN(MAX(K46,'Inputs'!$H$115/100*L46),'Inputs'!$H$116/100*L46),0)</f>
      </c>
      <c r="N46">
        <f>IF(M46&gt;0,M46-(MAX(0,(INDEX('Inputs'!$D$125:$D$131,MATCH($C$6+M46,'Inputs'!$C$125:$C$131,1))+INDEX('Inputs'!$E$125:$E$131,MATCH($C$6+M46,'Inputs'!$C$125:$C$131,1))/100*(($C$6+M46)-INDEX('Inputs'!$C$125:$C$131,MATCH($C$6+M46,'Inputs'!$C$125:$C$131,1))))-$C$4)-$C$12),0)</f>
      </c>
      <c r="O46">
        <f>IF(I46&lt;$C$8,MAX(0,J46-N46),0)</f>
      </c>
      <c r="P46">
        <f>IF($C$11&lt;&gt;1,0,P45*(1+((1+$C$20)^(1/12)-1))^12-O45/12*(1+((1+$C$20)^(1/12)-1))*(((1+((1+$C$20)^(1/12)-1))^12-1)/((1+((1+$C$20)^(1/12)-1))-1)))</f>
      </c>
      <c r="Q46">
        <f>IF($C$11&lt;&gt;1,0,IFERROR((((1+($C$20+'Inputs'!$H$108/100))^(1/12)-1)-((1+$C$20)^(1/12)-1))*(P46*(((1+((1+$C$20)^(1/12)-1))^12-1)/((1+((1+$C$20)^(1/12)-1))-1))-O46/12/((1+((1+$C$20)^(1/12)-1))-1)*((1+((1+$C$20)^(1/12)-1))*(((1+((1+$C$20)^(1/12)-1))^12-1)/((1+((1+$C$20)^(1/12)-1))-1))-12)),0))</f>
      </c>
    </row>
    <row r="47" spans="9:17" x14ac:dyDescent="0.25">
      <c r="I47">
        <v>43</v>
      </c>
      <c r="J47">
        <f>IF(I47&lt;$C$8,12*$C$9*(1+$C$10)^I47,0)</f>
      </c>
      <c r="K47">
        <f>IF(J47&lt;=0,0,INDEX($E$2:$E$9,MATCH(J47,$F$2:$F$9,1))+(J47-INDEX($F$2:$F$9,MATCH(J47,$F$2:$F$9,1)))/INDEX($G$2:$G$9,MATCH(J47,$F$2:$F$9,1))-$C$6)</f>
      </c>
      <c r="L47">
        <f>MAX(0,L46*(1+'Inputs'!$C$122/100)-M46/12*(1+'Inputs'!$C$122/100)^(1/12)*'Inputs'!$C$122/100/((1+'Inputs'!$C$122/100)^(1/12)-1))</f>
      </c>
      <c r="M47">
        <f>IF(L47&gt;0.005,MIN(MAX(K47,'Inputs'!$H$115/100*L47),'Inputs'!$H$116/100*L47),0)</f>
      </c>
      <c r="N47">
        <f>IF(M47&gt;0,M47-(MAX(0,(INDEX('Inputs'!$D$125:$D$131,MATCH($C$6+M47,'Inputs'!$C$125:$C$131,1))+INDEX('Inputs'!$E$125:$E$131,MATCH($C$6+M47,'Inputs'!$C$125:$C$131,1))/100*(($C$6+M47)-INDEX('Inputs'!$C$125:$C$131,MATCH($C$6+M47,'Inputs'!$C$125:$C$131,1))))-$C$4)-$C$12),0)</f>
      </c>
      <c r="O47">
        <f>IF(I47&lt;$C$8,MAX(0,J47-N47),0)</f>
      </c>
      <c r="P47">
        <f>IF($C$11&lt;&gt;1,0,P46*(1+((1+$C$20)^(1/12)-1))^12-O46/12*(1+((1+$C$20)^(1/12)-1))*(((1+((1+$C$20)^(1/12)-1))^12-1)/((1+((1+$C$20)^(1/12)-1))-1)))</f>
      </c>
      <c r="Q47">
        <f>IF($C$11&lt;&gt;1,0,IFERROR((((1+($C$20+'Inputs'!$H$108/100))^(1/12)-1)-((1+$C$20)^(1/12)-1))*(P47*(((1+((1+$C$20)^(1/12)-1))^12-1)/((1+((1+$C$20)^(1/12)-1))-1))-O47/12/((1+((1+$C$20)^(1/12)-1))-1)*((1+((1+$C$20)^(1/12)-1))*(((1+((1+$C$20)^(1/12)-1))^12-1)/((1+((1+$C$20)^(1/12)-1))-1))-12)),0))</f>
      </c>
    </row>
    <row r="48" spans="9:17" x14ac:dyDescent="0.25">
      <c r="I48">
        <v>44</v>
      </c>
      <c r="J48">
        <f>IF(I48&lt;$C$8,12*$C$9*(1+$C$10)^I48,0)</f>
      </c>
      <c r="K48">
        <f>IF(J48&lt;=0,0,INDEX($E$2:$E$9,MATCH(J48,$F$2:$F$9,1))+(J48-INDEX($F$2:$F$9,MATCH(J48,$F$2:$F$9,1)))/INDEX($G$2:$G$9,MATCH(J48,$F$2:$F$9,1))-$C$6)</f>
      </c>
      <c r="L48">
        <f>MAX(0,L47*(1+'Inputs'!$C$122/100)-M47/12*(1+'Inputs'!$C$122/100)^(1/12)*'Inputs'!$C$122/100/((1+'Inputs'!$C$122/100)^(1/12)-1))</f>
      </c>
      <c r="M48">
        <f>IF(L48&gt;0.005,MIN(MAX(K48,'Inputs'!$H$115/100*L48),'Inputs'!$H$116/100*L48),0)</f>
      </c>
      <c r="N48">
        <f>IF(M48&gt;0,M48-(MAX(0,(INDEX('Inputs'!$D$125:$D$131,MATCH($C$6+M48,'Inputs'!$C$125:$C$131,1))+INDEX('Inputs'!$E$125:$E$131,MATCH($C$6+M48,'Inputs'!$C$125:$C$131,1))/100*(($C$6+M48)-INDEX('Inputs'!$C$125:$C$131,MATCH($C$6+M48,'Inputs'!$C$125:$C$131,1))))-$C$4)-$C$12),0)</f>
      </c>
      <c r="O48">
        <f>IF(I48&lt;$C$8,MAX(0,J48-N48),0)</f>
      </c>
      <c r="P48">
        <f>IF($C$11&lt;&gt;1,0,P47*(1+((1+$C$20)^(1/12)-1))^12-O47/12*(1+((1+$C$20)^(1/12)-1))*(((1+((1+$C$20)^(1/12)-1))^12-1)/((1+((1+$C$20)^(1/12)-1))-1)))</f>
      </c>
      <c r="Q48">
        <f>IF($C$11&lt;&gt;1,0,IFERROR((((1+($C$20+'Inputs'!$H$108/100))^(1/12)-1)-((1+$C$20)^(1/12)-1))*(P48*(((1+((1+$C$20)^(1/12)-1))^12-1)/((1+((1+$C$20)^(1/12)-1))-1))-O48/12/((1+((1+$C$20)^(1/12)-1))-1)*((1+((1+$C$20)^(1/12)-1))*(((1+((1+$C$20)^(1/12)-1))^12-1)/((1+((1+$C$20)^(1/12)-1))-1))-12)),0))</f>
      </c>
    </row>
    <row r="49" spans="9:17" x14ac:dyDescent="0.25">
      <c r="I49">
        <v>45</v>
      </c>
      <c r="J49">
        <f>IF(I49&lt;$C$8,12*$C$9*(1+$C$10)^I49,0)</f>
      </c>
      <c r="K49">
        <f>IF(J49&lt;=0,0,INDEX($E$2:$E$9,MATCH(J49,$F$2:$F$9,1))+(J49-INDEX($F$2:$F$9,MATCH(J49,$F$2:$F$9,1)))/INDEX($G$2:$G$9,MATCH(J49,$F$2:$F$9,1))-$C$6)</f>
      </c>
      <c r="L49">
        <f>MAX(0,L48*(1+'Inputs'!$C$122/100)-M48/12*(1+'Inputs'!$C$122/100)^(1/12)*'Inputs'!$C$122/100/((1+'Inputs'!$C$122/100)^(1/12)-1))</f>
      </c>
      <c r="M49">
        <f>IF(L49&gt;0.005,MIN(MAX(K49,'Inputs'!$H$115/100*L49),'Inputs'!$H$116/100*L49),0)</f>
      </c>
      <c r="N49">
        <f>IF(M49&gt;0,M49-(MAX(0,(INDEX('Inputs'!$D$125:$D$131,MATCH($C$6+M49,'Inputs'!$C$125:$C$131,1))+INDEX('Inputs'!$E$125:$E$131,MATCH($C$6+M49,'Inputs'!$C$125:$C$131,1))/100*(($C$6+M49)-INDEX('Inputs'!$C$125:$C$131,MATCH($C$6+M49,'Inputs'!$C$125:$C$131,1))))-$C$4)-$C$12),0)</f>
      </c>
      <c r="O49">
        <f>IF(I49&lt;$C$8,MAX(0,J49-N49),0)</f>
      </c>
      <c r="P49">
        <f>IF($C$11&lt;&gt;1,0,P48*(1+((1+$C$20)^(1/12)-1))^12-O48/12*(1+((1+$C$20)^(1/12)-1))*(((1+((1+$C$20)^(1/12)-1))^12-1)/((1+((1+$C$20)^(1/12)-1))-1)))</f>
      </c>
      <c r="Q49">
        <f>IF($C$11&lt;&gt;1,0,IFERROR((((1+($C$20+'Inputs'!$H$108/100))^(1/12)-1)-((1+$C$20)^(1/12)-1))*(P49*(((1+((1+$C$20)^(1/12)-1))^12-1)/((1+((1+$C$20)^(1/12)-1))-1))-O49/12/((1+((1+$C$20)^(1/12)-1))-1)*((1+((1+$C$20)^(1/12)-1))*(((1+((1+$C$20)^(1/12)-1))^12-1)/((1+((1+$C$20)^(1/12)-1))-1))-12)),0))</f>
      </c>
    </row>
    <row r="50" spans="9:17" x14ac:dyDescent="0.25">
      <c r="I50">
        <v>46</v>
      </c>
      <c r="J50">
        <f>IF(I50&lt;$C$8,12*$C$9*(1+$C$10)^I50,0)</f>
      </c>
      <c r="K50">
        <f>IF(J50&lt;=0,0,INDEX($E$2:$E$9,MATCH(J50,$F$2:$F$9,1))+(J50-INDEX($F$2:$F$9,MATCH(J50,$F$2:$F$9,1)))/INDEX($G$2:$G$9,MATCH(J50,$F$2:$F$9,1))-$C$6)</f>
      </c>
      <c r="L50">
        <f>MAX(0,L49*(1+'Inputs'!$C$122/100)-M49/12*(1+'Inputs'!$C$122/100)^(1/12)*'Inputs'!$C$122/100/((1+'Inputs'!$C$122/100)^(1/12)-1))</f>
      </c>
      <c r="M50">
        <f>IF(L50&gt;0.005,MIN(MAX(K50,'Inputs'!$H$115/100*L50),'Inputs'!$H$116/100*L50),0)</f>
      </c>
      <c r="N50">
        <f>IF(M50&gt;0,M50-(MAX(0,(INDEX('Inputs'!$D$125:$D$131,MATCH($C$6+M50,'Inputs'!$C$125:$C$131,1))+INDEX('Inputs'!$E$125:$E$131,MATCH($C$6+M50,'Inputs'!$C$125:$C$131,1))/100*(($C$6+M50)-INDEX('Inputs'!$C$125:$C$131,MATCH($C$6+M50,'Inputs'!$C$125:$C$131,1))))-$C$4)-$C$12),0)</f>
      </c>
      <c r="O50">
        <f>IF(I50&lt;$C$8,MAX(0,J50-N50),0)</f>
      </c>
      <c r="P50">
        <f>IF($C$11&lt;&gt;1,0,P49*(1+((1+$C$20)^(1/12)-1))^12-O49/12*(1+((1+$C$20)^(1/12)-1))*(((1+((1+$C$20)^(1/12)-1))^12-1)/((1+((1+$C$20)^(1/12)-1))-1)))</f>
      </c>
      <c r="Q50">
        <f>IF($C$11&lt;&gt;1,0,IFERROR((((1+($C$20+'Inputs'!$H$108/100))^(1/12)-1)-((1+$C$20)^(1/12)-1))*(P50*(((1+((1+$C$20)^(1/12)-1))^12-1)/((1+((1+$C$20)^(1/12)-1))-1))-O50/12/((1+((1+$C$20)^(1/12)-1))-1)*((1+((1+$C$20)^(1/12)-1))*(((1+((1+$C$20)^(1/12)-1))^12-1)/((1+((1+$C$20)^(1/12)-1))-1))-12)),0))</f>
      </c>
    </row>
    <row r="51" spans="9:17" x14ac:dyDescent="0.25">
      <c r="I51">
        <v>47</v>
      </c>
      <c r="J51">
        <f>IF(I51&lt;$C$8,12*$C$9*(1+$C$10)^I51,0)</f>
      </c>
      <c r="K51">
        <f>IF(J51&lt;=0,0,INDEX($E$2:$E$9,MATCH(J51,$F$2:$F$9,1))+(J51-INDEX($F$2:$F$9,MATCH(J51,$F$2:$F$9,1)))/INDEX($G$2:$G$9,MATCH(J51,$F$2:$F$9,1))-$C$6)</f>
      </c>
      <c r="L51">
        <f>MAX(0,L50*(1+'Inputs'!$C$122/100)-M50/12*(1+'Inputs'!$C$122/100)^(1/12)*'Inputs'!$C$122/100/((1+'Inputs'!$C$122/100)^(1/12)-1))</f>
      </c>
      <c r="M51">
        <f>IF(L51&gt;0.005,MIN(MAX(K51,'Inputs'!$H$115/100*L51),'Inputs'!$H$116/100*L51),0)</f>
      </c>
      <c r="N51">
        <f>IF(M51&gt;0,M51-(MAX(0,(INDEX('Inputs'!$D$125:$D$131,MATCH($C$6+M51,'Inputs'!$C$125:$C$131,1))+INDEX('Inputs'!$E$125:$E$131,MATCH($C$6+M51,'Inputs'!$C$125:$C$131,1))/100*(($C$6+M51)-INDEX('Inputs'!$C$125:$C$131,MATCH($C$6+M51,'Inputs'!$C$125:$C$131,1))))-$C$4)-$C$12),0)</f>
      </c>
      <c r="O51">
        <f>IF(I51&lt;$C$8,MAX(0,J51-N51),0)</f>
      </c>
      <c r="P51">
        <f>IF($C$11&lt;&gt;1,0,P50*(1+((1+$C$20)^(1/12)-1))^12-O50/12*(1+((1+$C$20)^(1/12)-1))*(((1+((1+$C$20)^(1/12)-1))^12-1)/((1+((1+$C$20)^(1/12)-1))-1)))</f>
      </c>
      <c r="Q51">
        <f>IF($C$11&lt;&gt;1,0,IFERROR((((1+($C$20+'Inputs'!$H$108/100))^(1/12)-1)-((1+$C$20)^(1/12)-1))*(P51*(((1+((1+$C$20)^(1/12)-1))^12-1)/((1+((1+$C$20)^(1/12)-1))-1))-O51/12/((1+((1+$C$20)^(1/12)-1))-1)*((1+((1+$C$20)^(1/12)-1))*(((1+((1+$C$20)^(1/12)-1))^12-1)/((1+((1+$C$20)^(1/12)-1))-1))-12)),0))</f>
      </c>
    </row>
    <row r="52" spans="9:17" x14ac:dyDescent="0.25">
      <c r="I52">
        <v>48</v>
      </c>
      <c r="J52">
        <f>IF(I52&lt;$C$8,12*$C$9*(1+$C$10)^I52,0)</f>
      </c>
      <c r="K52">
        <f>IF(J52&lt;=0,0,INDEX($E$2:$E$9,MATCH(J52,$F$2:$F$9,1))+(J52-INDEX($F$2:$F$9,MATCH(J52,$F$2:$F$9,1)))/INDEX($G$2:$G$9,MATCH(J52,$F$2:$F$9,1))-$C$6)</f>
      </c>
      <c r="L52">
        <f>MAX(0,L51*(1+'Inputs'!$C$122/100)-M51/12*(1+'Inputs'!$C$122/100)^(1/12)*'Inputs'!$C$122/100/((1+'Inputs'!$C$122/100)^(1/12)-1))</f>
      </c>
      <c r="M52">
        <f>IF(L52&gt;0.005,MIN(MAX(K52,'Inputs'!$H$115/100*L52),'Inputs'!$H$116/100*L52),0)</f>
      </c>
      <c r="N52">
        <f>IF(M52&gt;0,M52-(MAX(0,(INDEX('Inputs'!$D$125:$D$131,MATCH($C$6+M52,'Inputs'!$C$125:$C$131,1))+INDEX('Inputs'!$E$125:$E$131,MATCH($C$6+M52,'Inputs'!$C$125:$C$131,1))/100*(($C$6+M52)-INDEX('Inputs'!$C$125:$C$131,MATCH($C$6+M52,'Inputs'!$C$125:$C$131,1))))-$C$4)-$C$12),0)</f>
      </c>
      <c r="O52">
        <f>IF(I52&lt;$C$8,MAX(0,J52-N52),0)</f>
      </c>
      <c r="P52">
        <f>IF($C$11&lt;&gt;1,0,P51*(1+((1+$C$20)^(1/12)-1))^12-O51/12*(1+((1+$C$20)^(1/12)-1))*(((1+((1+$C$20)^(1/12)-1))^12-1)/((1+((1+$C$20)^(1/12)-1))-1)))</f>
      </c>
      <c r="Q52">
        <f>IF($C$11&lt;&gt;1,0,IFERROR((((1+($C$20+'Inputs'!$H$108/100))^(1/12)-1)-((1+$C$20)^(1/12)-1))*(P52*(((1+((1+$C$20)^(1/12)-1))^12-1)/((1+((1+$C$20)^(1/12)-1))-1))-O52/12/((1+((1+$C$20)^(1/12)-1))-1)*((1+((1+$C$20)^(1/12)-1))*(((1+((1+$C$20)^(1/12)-1))^12-1)/((1+((1+$C$20)^(1/12)-1))-1))-12)),0))</f>
      </c>
    </row>
    <row r="53" spans="9:17" x14ac:dyDescent="0.25">
      <c r="I53">
        <v>49</v>
      </c>
      <c r="J53">
        <f>IF(I53&lt;$C$8,12*$C$9*(1+$C$10)^I53,0)</f>
      </c>
      <c r="K53">
        <f>IF(J53&lt;=0,0,INDEX($E$2:$E$9,MATCH(J53,$F$2:$F$9,1))+(J53-INDEX($F$2:$F$9,MATCH(J53,$F$2:$F$9,1)))/INDEX($G$2:$G$9,MATCH(J53,$F$2:$F$9,1))-$C$6)</f>
      </c>
      <c r="L53">
        <f>MAX(0,L52*(1+'Inputs'!$C$122/100)-M52/12*(1+'Inputs'!$C$122/100)^(1/12)*'Inputs'!$C$122/100/((1+'Inputs'!$C$122/100)^(1/12)-1))</f>
      </c>
      <c r="M53">
        <f>IF(L53&gt;0.005,MIN(MAX(K53,'Inputs'!$H$115/100*L53),'Inputs'!$H$116/100*L53),0)</f>
      </c>
      <c r="N53">
        <f>IF(M53&gt;0,M53-(MAX(0,(INDEX('Inputs'!$D$125:$D$131,MATCH($C$6+M53,'Inputs'!$C$125:$C$131,1))+INDEX('Inputs'!$E$125:$E$131,MATCH($C$6+M53,'Inputs'!$C$125:$C$131,1))/100*(($C$6+M53)-INDEX('Inputs'!$C$125:$C$131,MATCH($C$6+M53,'Inputs'!$C$125:$C$131,1))))-$C$4)-$C$12),0)</f>
      </c>
      <c r="O53">
        <f>IF(I53&lt;$C$8,MAX(0,J53-N53),0)</f>
      </c>
      <c r="P53">
        <f>IF($C$11&lt;&gt;1,0,P52*(1+((1+$C$20)^(1/12)-1))^12-O52/12*(1+((1+$C$20)^(1/12)-1))*(((1+((1+$C$20)^(1/12)-1))^12-1)/((1+((1+$C$20)^(1/12)-1))-1)))</f>
      </c>
      <c r="Q53">
        <f>IF($C$11&lt;&gt;1,0,IFERROR((((1+($C$20+'Inputs'!$H$108/100))^(1/12)-1)-((1+$C$20)^(1/12)-1))*(P53*(((1+((1+$C$20)^(1/12)-1))^12-1)/((1+((1+$C$20)^(1/12)-1))-1))-O53/12/((1+((1+$C$20)^(1/12)-1))-1)*((1+((1+$C$20)^(1/12)-1))*(((1+((1+$C$20)^(1/12)-1))^12-1)/((1+((1+$C$20)^(1/12)-1))-1))-12)),0))</f>
      </c>
    </row>
    <row r="57" spans="5:7" x14ac:dyDescent="0.25"/>
    <row r="58" spans="2:20" x14ac:dyDescent="0.25">
      <c r="B58" t="s">
        <v>113</v>
      </c>
      <c r="C58">
        <f>IF('Inputs'!$B$90="","",'Inputs'!$B$90)</f>
      </c>
      <c r="E58">
        <f>MAX($C$62,0)</f>
      </c>
      <c r="F58">
        <f>(E58-$C$62)-(MAX(0,(INDEX('Inputs'!$D$125:$D$131,MATCH(E58,'Inputs'!$C$125:$C$131,1))+INDEX('Inputs'!$E$125:$E$131,MATCH(E58,'Inputs'!$C$125:$C$131,1))/100*((E58)-INDEX('Inputs'!$C$125:$C$131,MATCH(E58,'Inputs'!$C$125:$C$131,1))))-$C$60)-$C$68)</f>
      </c>
      <c r="G58">
        <f>1-IF(E58&gt;=$C$61,INDEX('Inputs'!$E$125:$E$131,MATCH(E58,'Inputs'!$C$125:$C$131,1))/100,0)</f>
      </c>
      <c r="S58" t="s">
        <v>423</v>
      </c>
      <c r="T58" t="s">
        <v>424</v>
      </c>
    </row>
    <row r="59" spans="2:20" x14ac:dyDescent="0.25">
      <c r="B59" t="s">
        <v>115</v>
      </c>
      <c r="C59">
        <f>N('Inputs'!$D$90)</f>
      </c>
      <c r="E59">
        <f>MAX($C$62,$C$61)</f>
      </c>
      <c r="F59">
        <f>(E59-$C$62)-(MAX(0,(INDEX('Inputs'!$D$125:$D$131,MATCH(E59,'Inputs'!$C$125:$C$131,1))+INDEX('Inputs'!$E$125:$E$131,MATCH(E59,'Inputs'!$C$125:$C$131,1))/100*((E59)-INDEX('Inputs'!$C$125:$C$131,MATCH(E59,'Inputs'!$C$125:$C$131,1))))-$C$60)-$C$68)</f>
      </c>
      <c r="G59">
        <f>1-IF(E59&gt;=$C$61,INDEX('Inputs'!$E$125:$E$131,MATCH(E59,'Inputs'!$C$125:$C$131,1))/100,0)</f>
      </c>
      <c r="I59" t="s">
        <v>425</v>
      </c>
      <c r="J59" t="s">
        <v>426</v>
      </c>
      <c r="K59" t="s">
        <v>427</v>
      </c>
      <c r="L59" t="s">
        <v>428</v>
      </c>
      <c r="M59" t="s">
        <v>429</v>
      </c>
      <c r="N59" t="s">
        <v>430</v>
      </c>
      <c r="O59" t="s">
        <v>431</v>
      </c>
      <c r="P59" t="s">
        <v>432</v>
      </c>
      <c r="Q59" t="s">
        <v>433</v>
      </c>
      <c r="S59">
        <f>0</f>
      </c>
      <c r="T59">
        <f>ROUND(IF(('Inputs'!$C$122/100*(1-('Inputs'!$H$110/100*S59+'Inputs'!$H$111/100*'Inputs'!$H$113/100+'Inputs'!$H$112/100*'Inputs'!$C$120/100*S59))-IF($C$67=1,'Inputs'!$H$108/100,0))=0,SUM($O$60:$O$109),(1-(1+('Inputs'!$C$122/100*(1-('Inputs'!$H$110/100*S59+'Inputs'!$H$111/100*'Inputs'!$H$113/100+'Inputs'!$H$112/100*'Inputs'!$C$120/100*S59))-IF($C$67=1,'Inputs'!$H$108/100,0)))^-1)/(1-(1+('Inputs'!$C$122/100*(1-('Inputs'!$H$110/100*S59+'Inputs'!$H$111/100*'Inputs'!$H$113/100+'Inputs'!$H$112/100*'Inputs'!$C$120/100*S59))-IF($C$67=1,'Inputs'!$H$108/100,0)))^(-1/12))/12*SUMPRODUCT($O$60:$O$109,(1+('Inputs'!$C$122/100*(1-('Inputs'!$H$110/100*S59+'Inputs'!$H$111/100*'Inputs'!$H$113/100+'Inputs'!$H$112/100*'Inputs'!$C$120/100*S59))-IF($C$67=1,'Inputs'!$H$108/100,0)))^(-$I$60:$I$109))),2)</f>
      </c>
    </row>
    <row r="60" spans="2:20" x14ac:dyDescent="0.25">
      <c r="B60" t="s">
        <v>434</v>
      </c>
      <c r="C60">
        <f>IF($C$58="",0,'Inputs'!$H$117+IF($C$59&gt;=65,'Inputs'!$H$118,0)+IF($C$59&gt;=75,'Inputs'!$H$119,0))</f>
      </c>
      <c r="E60">
        <f>MAX($C$62,INDEX('Inputs'!$C$125:$C$131,2))</f>
      </c>
      <c r="F60">
        <f>(E60-$C$62)-(MAX(0,(INDEX('Inputs'!$D$125:$D$131,MATCH(E60,'Inputs'!$C$125:$C$131,1))+INDEX('Inputs'!$E$125:$E$131,MATCH(E60,'Inputs'!$C$125:$C$131,1))/100*((E60)-INDEX('Inputs'!$C$125:$C$131,MATCH(E60,'Inputs'!$C$125:$C$131,1))))-$C$60)-$C$68)</f>
      </c>
      <c r="G60">
        <f>1-IF(E60&gt;=$C$61,INDEX('Inputs'!$E$125:$E$131,MATCH(E60,'Inputs'!$C$125:$C$131,1))/100,0)</f>
      </c>
      <c r="I60">
        <v>0</v>
      </c>
      <c r="J60">
        <f>IF(I60&lt;$C$64,12*$C$65*(1+$C$66)^I60,0)</f>
      </c>
      <c r="K60">
        <f>IF(J60&lt;=0,0,INDEX($E$58:$E$65,MATCH(J60,$F$58:$F$65,1))+(J60-INDEX($F$58:$F$65,MATCH(J60,$F$58:$F$65,1)))/INDEX($G$58:$G$65,MATCH(J60,$F$58:$F$65,1))-$C$62)</f>
      </c>
      <c r="L60">
        <f>$C$63</f>
      </c>
      <c r="M60">
        <f>IF(L60&gt;0.005,MIN(MAX(K60,'Inputs'!$H$115/100*L60),'Inputs'!$H$116/100*L60),0)</f>
      </c>
      <c r="N60">
        <f>IF(M60&gt;0,M60-(MAX(0,(INDEX('Inputs'!$D$125:$D$131,MATCH($C$62+M60,'Inputs'!$C$125:$C$131,1))+INDEX('Inputs'!$E$125:$E$131,MATCH($C$62+M60,'Inputs'!$C$125:$C$131,1))/100*(($C$62+M60)-INDEX('Inputs'!$C$125:$C$131,MATCH($C$62+M60,'Inputs'!$C$125:$C$131,1))))-$C$60)-$C$68),0)</f>
      </c>
      <c r="O60">
        <f>IF(I60&lt;$C$64,MAX(0,J60-N60),0)</f>
      </c>
      <c r="P60">
        <f>IF($C$67&lt;&gt;1,0,IF($C$76=0,SUM($O$60:$O$109),(1-(1+$C$76)^-1)/(1-(1+$C$76)^(-1/12))/12*SUMPRODUCT($O$60:$O$109,(1+$C$76)^(-$I$60:$I$109))))</f>
      </c>
      <c r="Q60">
        <f>IF($C$67&lt;&gt;1,0,IFERROR((((1+($C$76+'Inputs'!$H$108/100))^(1/12)-1)-((1+$C$76)^(1/12)-1))*(P60*(((1+((1+$C$76)^(1/12)-1))^12-1)/((1+((1+$C$76)^(1/12)-1))-1))-O60/12/((1+((1+$C$76)^(1/12)-1))-1)*((1+((1+$C$76)^(1/12)-1))*(((1+((1+$C$76)^(1/12)-1))^12-1)/((1+((1+$C$76)^(1/12)-1))-1))-12)),0))</f>
      </c>
      <c r="S60">
        <f>IF($C$62+$C$69+T59*('Inputs'!$C$122/100*('Inputs'!$H$110/100+'Inputs'!$C$120/100*'Inputs'!$H$112/100))&lt;=$C$61,0,INDEX('Inputs'!$E$125:$E$131,MATCH($C$62+$C$69+T59*('Inputs'!$C$122/100*('Inputs'!$H$110/100+'Inputs'!$C$120/100*'Inputs'!$H$112/100)),'Inputs'!$C$125:$C$131,1)-IF(COUNTIF('Inputs'!$C$125:$C$131,$C$62+$C$69+T59*('Inputs'!$C$122/100*('Inputs'!$H$110/100+'Inputs'!$C$120/100*'Inputs'!$H$112/100)))&gt;0,1,0))/100)</f>
      </c>
      <c r="T60">
        <f>ROUND(IF(('Inputs'!$C$122/100*(1-('Inputs'!$H$110/100*S60+'Inputs'!$H$111/100*'Inputs'!$H$113/100+'Inputs'!$H$112/100*'Inputs'!$C$120/100*S60))-IF($C$67=1,'Inputs'!$H$108/100,0))=0,SUM($O$60:$O$109),(1-(1+('Inputs'!$C$122/100*(1-('Inputs'!$H$110/100*S60+'Inputs'!$H$111/100*'Inputs'!$H$113/100+'Inputs'!$H$112/100*'Inputs'!$C$120/100*S60))-IF($C$67=1,'Inputs'!$H$108/100,0)))^-1)/(1-(1+('Inputs'!$C$122/100*(1-('Inputs'!$H$110/100*S60+'Inputs'!$H$111/100*'Inputs'!$H$113/100+'Inputs'!$H$112/100*'Inputs'!$C$120/100*S60))-IF($C$67=1,'Inputs'!$H$108/100,0)))^(-1/12))/12*SUMPRODUCT($O$60:$O$109,(1+('Inputs'!$C$122/100*(1-('Inputs'!$H$110/100*S60+'Inputs'!$H$111/100*'Inputs'!$H$113/100+'Inputs'!$H$112/100*'Inputs'!$C$120/100*S60))-IF($C$67=1,'Inputs'!$H$108/100,0)))^(-$I$60:$I$109))),2)</f>
      </c>
    </row>
    <row r="61" spans="2:20" x14ac:dyDescent="0.25">
      <c r="B61" t="s">
        <v>435</v>
      </c>
      <c r="C61">
        <f>IF($C$59&gt;=75,'Inputs'!$H$121,IF($C$59&gt;=65,'Inputs'!$H$120,'Inputs'!$H$109))</f>
      </c>
      <c r="E61">
        <f>MAX($C$62,INDEX('Inputs'!$C$125:$C$131,3))</f>
      </c>
      <c r="F61">
        <f>(E61-$C$62)-(MAX(0,(INDEX('Inputs'!$D$125:$D$131,MATCH(E61,'Inputs'!$C$125:$C$131,1))+INDEX('Inputs'!$E$125:$E$131,MATCH(E61,'Inputs'!$C$125:$C$131,1))/100*((E61)-INDEX('Inputs'!$C$125:$C$131,MATCH(E61,'Inputs'!$C$125:$C$131,1))))-$C$60)-$C$68)</f>
      </c>
      <c r="G61">
        <f>1-IF(E61&gt;=$C$61,INDEX('Inputs'!$E$125:$E$131,MATCH(E61,'Inputs'!$C$125:$C$131,1))/100,0)</f>
      </c>
      <c r="I61">
        <v>1</v>
      </c>
      <c r="J61">
        <f>IF(I61&lt;$C$64,12*$C$65*(1+$C$66)^I61,0)</f>
      </c>
      <c r="K61">
        <f>IF(J61&lt;=0,0,INDEX($E$58:$E$65,MATCH(J61,$F$58:$F$65,1))+(J61-INDEX($F$58:$F$65,MATCH(J61,$F$58:$F$65,1)))/INDEX($G$58:$G$65,MATCH(J61,$F$58:$F$65,1))-$C$62)</f>
      </c>
      <c r="L61">
        <f>MAX(0,L60*(1+'Inputs'!$C$122/100)-M60/12*(1+'Inputs'!$C$122/100)^(1/12)*'Inputs'!$C$122/100/((1+'Inputs'!$C$122/100)^(1/12)-1))</f>
      </c>
      <c r="M61">
        <f>IF(L61&gt;0.005,MIN(MAX(K61,'Inputs'!$H$115/100*L61),'Inputs'!$H$116/100*L61),0)</f>
      </c>
      <c r="N61">
        <f>IF(M61&gt;0,M61-(MAX(0,(INDEX('Inputs'!$D$125:$D$131,MATCH($C$62+M61,'Inputs'!$C$125:$C$131,1))+INDEX('Inputs'!$E$125:$E$131,MATCH($C$62+M61,'Inputs'!$C$125:$C$131,1))/100*(($C$62+M61)-INDEX('Inputs'!$C$125:$C$131,MATCH($C$62+M61,'Inputs'!$C$125:$C$131,1))))-$C$60)-$C$68),0)</f>
      </c>
      <c r="O61">
        <f>IF(I61&lt;$C$64,MAX(0,J61-N61),0)</f>
      </c>
      <c r="P61">
        <f>IF($C$67&lt;&gt;1,0,P60*(1+((1+$C$76)^(1/12)-1))^12-O60/12*(1+((1+$C$76)^(1/12)-1))*(((1+((1+$C$76)^(1/12)-1))^12-1)/((1+((1+$C$76)^(1/12)-1))-1)))</f>
      </c>
      <c r="Q61">
        <f>IF($C$67&lt;&gt;1,0,IFERROR((((1+($C$76+'Inputs'!$H$108/100))^(1/12)-1)-((1+$C$76)^(1/12)-1))*(P61*(((1+((1+$C$76)^(1/12)-1))^12-1)/((1+((1+$C$76)^(1/12)-1))-1))-O61/12/((1+((1+$C$76)^(1/12)-1))-1)*((1+((1+$C$76)^(1/12)-1))*(((1+((1+$C$76)^(1/12)-1))^12-1)/((1+((1+$C$76)^(1/12)-1))-1))-12)),0))</f>
      </c>
      <c r="S61">
        <f>IF($C$62+$C$69+T60*('Inputs'!$C$122/100*('Inputs'!$H$110/100+'Inputs'!$C$120/100*'Inputs'!$H$112/100))&lt;=$C$61,0,INDEX('Inputs'!$E$125:$E$131,MATCH($C$62+$C$69+T60*('Inputs'!$C$122/100*('Inputs'!$H$110/100+'Inputs'!$C$120/100*'Inputs'!$H$112/100)),'Inputs'!$C$125:$C$131,1)-IF(COUNTIF('Inputs'!$C$125:$C$131,$C$62+$C$69+T60*('Inputs'!$C$122/100*('Inputs'!$H$110/100+'Inputs'!$C$120/100*'Inputs'!$H$112/100)))&gt;0,1,0))/100)</f>
      </c>
      <c r="T61">
        <f>ROUND(IF(('Inputs'!$C$122/100*(1-('Inputs'!$H$110/100*S61+'Inputs'!$H$111/100*'Inputs'!$H$113/100+'Inputs'!$H$112/100*'Inputs'!$C$120/100*S61))-IF($C$67=1,'Inputs'!$H$108/100,0))=0,SUM($O$60:$O$109),(1-(1+('Inputs'!$C$122/100*(1-('Inputs'!$H$110/100*S61+'Inputs'!$H$111/100*'Inputs'!$H$113/100+'Inputs'!$H$112/100*'Inputs'!$C$120/100*S61))-IF($C$67=1,'Inputs'!$H$108/100,0)))^-1)/(1-(1+('Inputs'!$C$122/100*(1-('Inputs'!$H$110/100*S61+'Inputs'!$H$111/100*'Inputs'!$H$113/100+'Inputs'!$H$112/100*'Inputs'!$C$120/100*S61))-IF($C$67=1,'Inputs'!$H$108/100,0)))^(-1/12))/12*SUMPRODUCT($O$60:$O$109,(1+('Inputs'!$C$122/100*(1-('Inputs'!$H$110/100*S61+'Inputs'!$H$111/100*'Inputs'!$H$113/100+'Inputs'!$H$112/100*'Inputs'!$C$120/100*S61))-IF($C$67=1,'Inputs'!$H$108/100,0)))^(-$I$60:$I$109))),2)</f>
      </c>
    </row>
    <row r="62" spans="2:20" x14ac:dyDescent="0.25">
      <c r="B62" t="s">
        <v>436</v>
      </c>
      <c r="C62">
        <f>N('Inputs'!$I$90)</f>
      </c>
      <c r="E62">
        <f>MAX($C$62,INDEX('Inputs'!$C$125:$C$131,4))</f>
      </c>
      <c r="F62">
        <f>(E62-$C$62)-(MAX(0,(INDEX('Inputs'!$D$125:$D$131,MATCH(E62,'Inputs'!$C$125:$C$131,1))+INDEX('Inputs'!$E$125:$E$131,MATCH(E62,'Inputs'!$C$125:$C$131,1))/100*((E62)-INDEX('Inputs'!$C$125:$C$131,MATCH(E62,'Inputs'!$C$125:$C$131,1))))-$C$60)-$C$68)</f>
      </c>
      <c r="G62">
        <f>1-IF(E62&gt;=$C$61,INDEX('Inputs'!$E$125:$E$131,MATCH(E62,'Inputs'!$C$125:$C$131,1))/100,0)</f>
      </c>
      <c r="I62">
        <v>2</v>
      </c>
      <c r="J62">
        <f>IF(I62&lt;$C$64,12*$C$65*(1+$C$66)^I62,0)</f>
      </c>
      <c r="K62">
        <f>IF(J62&lt;=0,0,INDEX($E$58:$E$65,MATCH(J62,$F$58:$F$65,1))+(J62-INDEX($F$58:$F$65,MATCH(J62,$F$58:$F$65,1)))/INDEX($G$58:$G$65,MATCH(J62,$F$58:$F$65,1))-$C$62)</f>
      </c>
      <c r="L62">
        <f>MAX(0,L61*(1+'Inputs'!$C$122/100)-M61/12*(1+'Inputs'!$C$122/100)^(1/12)*'Inputs'!$C$122/100/((1+'Inputs'!$C$122/100)^(1/12)-1))</f>
      </c>
      <c r="M62">
        <f>IF(L62&gt;0.005,MIN(MAX(K62,'Inputs'!$H$115/100*L62),'Inputs'!$H$116/100*L62),0)</f>
      </c>
      <c r="N62">
        <f>IF(M62&gt;0,M62-(MAX(0,(INDEX('Inputs'!$D$125:$D$131,MATCH($C$62+M62,'Inputs'!$C$125:$C$131,1))+INDEX('Inputs'!$E$125:$E$131,MATCH($C$62+M62,'Inputs'!$C$125:$C$131,1))/100*(($C$62+M62)-INDEX('Inputs'!$C$125:$C$131,MATCH($C$62+M62,'Inputs'!$C$125:$C$131,1))))-$C$60)-$C$68),0)</f>
      </c>
      <c r="O62">
        <f>IF(I62&lt;$C$64,MAX(0,J62-N62),0)</f>
      </c>
      <c r="P62">
        <f>IF($C$67&lt;&gt;1,0,P61*(1+((1+$C$76)^(1/12)-1))^12-O61/12*(1+((1+$C$76)^(1/12)-1))*(((1+((1+$C$76)^(1/12)-1))^12-1)/((1+((1+$C$76)^(1/12)-1))-1)))</f>
      </c>
      <c r="Q62">
        <f>IF($C$67&lt;&gt;1,0,IFERROR((((1+($C$76+'Inputs'!$H$108/100))^(1/12)-1)-((1+$C$76)^(1/12)-1))*(P62*(((1+((1+$C$76)^(1/12)-1))^12-1)/((1+((1+$C$76)^(1/12)-1))-1))-O62/12/((1+((1+$C$76)^(1/12)-1))-1)*((1+((1+$C$76)^(1/12)-1))*(((1+((1+$C$76)^(1/12)-1))^12-1)/((1+((1+$C$76)^(1/12)-1))-1))-12)),0))</f>
      </c>
      <c r="S62">
        <f>IF($C$62+$C$69+T61*('Inputs'!$C$122/100*('Inputs'!$H$110/100+'Inputs'!$C$120/100*'Inputs'!$H$112/100))&lt;=$C$61,0,INDEX('Inputs'!$E$125:$E$131,MATCH($C$62+$C$69+T61*('Inputs'!$C$122/100*('Inputs'!$H$110/100+'Inputs'!$C$120/100*'Inputs'!$H$112/100)),'Inputs'!$C$125:$C$131,1)-IF(COUNTIF('Inputs'!$C$125:$C$131,$C$62+$C$69+T61*('Inputs'!$C$122/100*('Inputs'!$H$110/100+'Inputs'!$C$120/100*'Inputs'!$H$112/100)))&gt;0,1,0))/100)</f>
      </c>
      <c r="T62">
        <f>ROUND(IF(('Inputs'!$C$122/100*(1-('Inputs'!$H$110/100*S62+'Inputs'!$H$111/100*'Inputs'!$H$113/100+'Inputs'!$H$112/100*'Inputs'!$C$120/100*S62))-IF($C$67=1,'Inputs'!$H$108/100,0))=0,SUM($O$60:$O$109),(1-(1+('Inputs'!$C$122/100*(1-('Inputs'!$H$110/100*S62+'Inputs'!$H$111/100*'Inputs'!$H$113/100+'Inputs'!$H$112/100*'Inputs'!$C$120/100*S62))-IF($C$67=1,'Inputs'!$H$108/100,0)))^-1)/(1-(1+('Inputs'!$C$122/100*(1-('Inputs'!$H$110/100*S62+'Inputs'!$H$111/100*'Inputs'!$H$113/100+'Inputs'!$H$112/100*'Inputs'!$C$120/100*S62))-IF($C$67=1,'Inputs'!$H$108/100,0)))^(-1/12))/12*SUMPRODUCT($O$60:$O$109,(1+('Inputs'!$C$122/100*(1-('Inputs'!$H$110/100*S62+'Inputs'!$H$111/100*'Inputs'!$H$113/100+'Inputs'!$H$112/100*'Inputs'!$C$120/100*S62))-IF($C$67=1,'Inputs'!$H$108/100,0)))^(-$I$60:$I$109))),2)</f>
      </c>
    </row>
    <row r="63" spans="2:20" x14ac:dyDescent="0.25">
      <c r="B63" t="s">
        <v>437</v>
      </c>
      <c r="C63">
        <f>IF($C$58="",0,SUMIFS('Inputs'!$D$76:$D$83,'Inputs'!$F$76:$F$83,$C$58))</f>
      </c>
      <c r="E63">
        <f>MAX($C$62,INDEX('Inputs'!$C$125:$C$131,5))</f>
      </c>
      <c r="F63">
        <f>(E63-$C$62)-(MAX(0,(INDEX('Inputs'!$D$125:$D$131,MATCH(E63,'Inputs'!$C$125:$C$131,1))+INDEX('Inputs'!$E$125:$E$131,MATCH(E63,'Inputs'!$C$125:$C$131,1))/100*((E63)-INDEX('Inputs'!$C$125:$C$131,MATCH(E63,'Inputs'!$C$125:$C$131,1))))-$C$60)-$C$68)</f>
      </c>
      <c r="G63">
        <f>1-IF(E63&gt;=$C$61,INDEX('Inputs'!$E$125:$E$131,MATCH(E63,'Inputs'!$C$125:$C$131,1))/100,0)</f>
      </c>
      <c r="I63">
        <v>3</v>
      </c>
      <c r="J63">
        <f>IF(I63&lt;$C$64,12*$C$65*(1+$C$66)^I63,0)</f>
      </c>
      <c r="K63">
        <f>IF(J63&lt;=0,0,INDEX($E$58:$E$65,MATCH(J63,$F$58:$F$65,1))+(J63-INDEX($F$58:$F$65,MATCH(J63,$F$58:$F$65,1)))/INDEX($G$58:$G$65,MATCH(J63,$F$58:$F$65,1))-$C$62)</f>
      </c>
      <c r="L63">
        <f>MAX(0,L62*(1+'Inputs'!$C$122/100)-M62/12*(1+'Inputs'!$C$122/100)^(1/12)*'Inputs'!$C$122/100/((1+'Inputs'!$C$122/100)^(1/12)-1))</f>
      </c>
      <c r="M63">
        <f>IF(L63&gt;0.005,MIN(MAX(K63,'Inputs'!$H$115/100*L63),'Inputs'!$H$116/100*L63),0)</f>
      </c>
      <c r="N63">
        <f>IF(M63&gt;0,M63-(MAX(0,(INDEX('Inputs'!$D$125:$D$131,MATCH($C$62+M63,'Inputs'!$C$125:$C$131,1))+INDEX('Inputs'!$E$125:$E$131,MATCH($C$62+M63,'Inputs'!$C$125:$C$131,1))/100*(($C$62+M63)-INDEX('Inputs'!$C$125:$C$131,MATCH($C$62+M63,'Inputs'!$C$125:$C$131,1))))-$C$60)-$C$68),0)</f>
      </c>
      <c r="O63">
        <f>IF(I63&lt;$C$64,MAX(0,J63-N63),0)</f>
      </c>
      <c r="P63">
        <f>IF($C$67&lt;&gt;1,0,P62*(1+((1+$C$76)^(1/12)-1))^12-O62/12*(1+((1+$C$76)^(1/12)-1))*(((1+((1+$C$76)^(1/12)-1))^12-1)/((1+((1+$C$76)^(1/12)-1))-1)))</f>
      </c>
      <c r="Q63">
        <f>IF($C$67&lt;&gt;1,0,IFERROR((((1+($C$76+'Inputs'!$H$108/100))^(1/12)-1)-((1+$C$76)^(1/12)-1))*(P63*(((1+((1+$C$76)^(1/12)-1))^12-1)/((1+((1+$C$76)^(1/12)-1))-1))-O63/12/((1+((1+$C$76)^(1/12)-1))-1)*((1+((1+$C$76)^(1/12)-1))*(((1+((1+$C$76)^(1/12)-1))^12-1)/((1+((1+$C$76)^(1/12)-1))-1))-12)),0))</f>
      </c>
      <c r="S63">
        <f>IF($C$62+$C$69+T62*('Inputs'!$C$122/100*('Inputs'!$H$110/100+'Inputs'!$C$120/100*'Inputs'!$H$112/100))&lt;=$C$61,0,INDEX('Inputs'!$E$125:$E$131,MATCH($C$62+$C$69+T62*('Inputs'!$C$122/100*('Inputs'!$H$110/100+'Inputs'!$C$120/100*'Inputs'!$H$112/100)),'Inputs'!$C$125:$C$131,1)-IF(COUNTIF('Inputs'!$C$125:$C$131,$C$62+$C$69+T62*('Inputs'!$C$122/100*('Inputs'!$H$110/100+'Inputs'!$C$120/100*'Inputs'!$H$112/100)))&gt;0,1,0))/100)</f>
      </c>
      <c r="T63">
        <f>ROUND(IF(('Inputs'!$C$122/100*(1-('Inputs'!$H$110/100*S63+'Inputs'!$H$111/100*'Inputs'!$H$113/100+'Inputs'!$H$112/100*'Inputs'!$C$120/100*S63))-IF($C$67=1,'Inputs'!$H$108/100,0))=0,SUM($O$60:$O$109),(1-(1+('Inputs'!$C$122/100*(1-('Inputs'!$H$110/100*S63+'Inputs'!$H$111/100*'Inputs'!$H$113/100+'Inputs'!$H$112/100*'Inputs'!$C$120/100*S63))-IF($C$67=1,'Inputs'!$H$108/100,0)))^-1)/(1-(1+('Inputs'!$C$122/100*(1-('Inputs'!$H$110/100*S63+'Inputs'!$H$111/100*'Inputs'!$H$113/100+'Inputs'!$H$112/100*'Inputs'!$C$120/100*S63))-IF($C$67=1,'Inputs'!$H$108/100,0)))^(-1/12))/12*SUMPRODUCT($O$60:$O$109,(1+('Inputs'!$C$122/100*(1-('Inputs'!$H$110/100*S63+'Inputs'!$H$111/100*'Inputs'!$H$113/100+'Inputs'!$H$112/100*'Inputs'!$C$120/100*S63))-IF($C$67=1,'Inputs'!$H$108/100,0)))^(-$I$60:$I$109))),2)</f>
      </c>
    </row>
    <row r="64" spans="2:20" x14ac:dyDescent="0.25">
      <c r="B64" t="s">
        <v>438</v>
      </c>
      <c r="C64">
        <f>IF($C$58="",0,N('Inputs'!$F$90))</f>
      </c>
      <c r="E64">
        <f>MAX($C$62,INDEX('Inputs'!$C$125:$C$131,6))</f>
      </c>
      <c r="F64">
        <f>(E64-$C$62)-(MAX(0,(INDEX('Inputs'!$D$125:$D$131,MATCH(E64,'Inputs'!$C$125:$C$131,1))+INDEX('Inputs'!$E$125:$E$131,MATCH(E64,'Inputs'!$C$125:$C$131,1))/100*((E64)-INDEX('Inputs'!$C$125:$C$131,MATCH(E64,'Inputs'!$C$125:$C$131,1))))-$C$60)-$C$68)</f>
      </c>
      <c r="G64">
        <f>1-IF(E64&gt;=$C$61,INDEX('Inputs'!$E$125:$E$131,MATCH(E64,'Inputs'!$C$125:$C$131,1))/100,0)</f>
      </c>
      <c r="I64">
        <v>4</v>
      </c>
      <c r="J64">
        <f>IF(I64&lt;$C$64,12*$C$65*(1+$C$66)^I64,0)</f>
      </c>
      <c r="K64">
        <f>IF(J64&lt;=0,0,INDEX($E$58:$E$65,MATCH(J64,$F$58:$F$65,1))+(J64-INDEX($F$58:$F$65,MATCH(J64,$F$58:$F$65,1)))/INDEX($G$58:$G$65,MATCH(J64,$F$58:$F$65,1))-$C$62)</f>
      </c>
      <c r="L64">
        <f>MAX(0,L63*(1+'Inputs'!$C$122/100)-M63/12*(1+'Inputs'!$C$122/100)^(1/12)*'Inputs'!$C$122/100/((1+'Inputs'!$C$122/100)^(1/12)-1))</f>
      </c>
      <c r="M64">
        <f>IF(L64&gt;0.005,MIN(MAX(K64,'Inputs'!$H$115/100*L64),'Inputs'!$H$116/100*L64),0)</f>
      </c>
      <c r="N64">
        <f>IF(M64&gt;0,M64-(MAX(0,(INDEX('Inputs'!$D$125:$D$131,MATCH($C$62+M64,'Inputs'!$C$125:$C$131,1))+INDEX('Inputs'!$E$125:$E$131,MATCH($C$62+M64,'Inputs'!$C$125:$C$131,1))/100*(($C$62+M64)-INDEX('Inputs'!$C$125:$C$131,MATCH($C$62+M64,'Inputs'!$C$125:$C$131,1))))-$C$60)-$C$68),0)</f>
      </c>
      <c r="O64">
        <f>IF(I64&lt;$C$64,MAX(0,J64-N64),0)</f>
      </c>
      <c r="P64">
        <f>IF($C$67&lt;&gt;1,0,P63*(1+((1+$C$76)^(1/12)-1))^12-O63/12*(1+((1+$C$76)^(1/12)-1))*(((1+((1+$C$76)^(1/12)-1))^12-1)/((1+((1+$C$76)^(1/12)-1))-1)))</f>
      </c>
      <c r="Q64">
        <f>IF($C$67&lt;&gt;1,0,IFERROR((((1+($C$76+'Inputs'!$H$108/100))^(1/12)-1)-((1+$C$76)^(1/12)-1))*(P64*(((1+((1+$C$76)^(1/12)-1))^12-1)/((1+((1+$C$76)^(1/12)-1))-1))-O64/12/((1+((1+$C$76)^(1/12)-1))-1)*((1+((1+$C$76)^(1/12)-1))*(((1+((1+$C$76)^(1/12)-1))^12-1)/((1+((1+$C$76)^(1/12)-1))-1))-12)),0))</f>
      </c>
      <c r="S64">
        <f>IF($C$62+$C$69+T63*('Inputs'!$C$122/100*('Inputs'!$H$110/100+'Inputs'!$C$120/100*'Inputs'!$H$112/100))&lt;=$C$61,0,INDEX('Inputs'!$E$125:$E$131,MATCH($C$62+$C$69+T63*('Inputs'!$C$122/100*('Inputs'!$H$110/100+'Inputs'!$C$120/100*'Inputs'!$H$112/100)),'Inputs'!$C$125:$C$131,1)-IF(COUNTIF('Inputs'!$C$125:$C$131,$C$62+$C$69+T63*('Inputs'!$C$122/100*('Inputs'!$H$110/100+'Inputs'!$C$120/100*'Inputs'!$H$112/100)))&gt;0,1,0))/100)</f>
      </c>
      <c r="T64">
        <f>ROUND(IF(('Inputs'!$C$122/100*(1-('Inputs'!$H$110/100*S64+'Inputs'!$H$111/100*'Inputs'!$H$113/100+'Inputs'!$H$112/100*'Inputs'!$C$120/100*S64))-IF($C$67=1,'Inputs'!$H$108/100,0))=0,SUM($O$60:$O$109),(1-(1+('Inputs'!$C$122/100*(1-('Inputs'!$H$110/100*S64+'Inputs'!$H$111/100*'Inputs'!$H$113/100+'Inputs'!$H$112/100*'Inputs'!$C$120/100*S64))-IF($C$67=1,'Inputs'!$H$108/100,0)))^-1)/(1-(1+('Inputs'!$C$122/100*(1-('Inputs'!$H$110/100*S64+'Inputs'!$H$111/100*'Inputs'!$H$113/100+'Inputs'!$H$112/100*'Inputs'!$C$120/100*S64))-IF($C$67=1,'Inputs'!$H$108/100,0)))^(-1/12))/12*SUMPRODUCT($O$60:$O$109,(1+('Inputs'!$C$122/100*(1-('Inputs'!$H$110/100*S64+'Inputs'!$H$111/100*'Inputs'!$H$113/100+'Inputs'!$H$112/100*'Inputs'!$C$120/100*S64))-IF($C$67=1,'Inputs'!$H$108/100,0)))^(-$I$60:$I$109))),2)</f>
      </c>
    </row>
    <row r="65" spans="2:17" x14ac:dyDescent="0.25">
      <c r="B65" t="s">
        <v>439</v>
      </c>
      <c r="C65">
        <f>N('Inputs'!$E$90)</f>
      </c>
      <c r="E65">
        <f>MAX($C$62,INDEX('Inputs'!$C$125:$C$131,7))</f>
      </c>
      <c r="F65">
        <f>(E65-$C$62)-(MAX(0,(INDEX('Inputs'!$D$125:$D$131,MATCH(E65,'Inputs'!$C$125:$C$131,1))+INDEX('Inputs'!$E$125:$E$131,MATCH(E65,'Inputs'!$C$125:$C$131,1))/100*((E65)-INDEX('Inputs'!$C$125:$C$131,MATCH(E65,'Inputs'!$C$125:$C$131,1))))-$C$60)-$C$68)</f>
      </c>
      <c r="G65">
        <f>1-IF(E65&gt;=$C$61,INDEX('Inputs'!$E$125:$E$131,MATCH(E65,'Inputs'!$C$125:$C$131,1))/100,0)</f>
      </c>
      <c r="I65">
        <v>5</v>
      </c>
      <c r="J65">
        <f>IF(I65&lt;$C$64,12*$C$65*(1+$C$66)^I65,0)</f>
      </c>
      <c r="K65">
        <f>IF(J65&lt;=0,0,INDEX($E$58:$E$65,MATCH(J65,$F$58:$F$65,1))+(J65-INDEX($F$58:$F$65,MATCH(J65,$F$58:$F$65,1)))/INDEX($G$58:$G$65,MATCH(J65,$F$58:$F$65,1))-$C$62)</f>
      </c>
      <c r="L65">
        <f>MAX(0,L64*(1+'Inputs'!$C$122/100)-M64/12*(1+'Inputs'!$C$122/100)^(1/12)*'Inputs'!$C$122/100/((1+'Inputs'!$C$122/100)^(1/12)-1))</f>
      </c>
      <c r="M65">
        <f>IF(L65&gt;0.005,MIN(MAX(K65,'Inputs'!$H$115/100*L65),'Inputs'!$H$116/100*L65),0)</f>
      </c>
      <c r="N65">
        <f>IF(M65&gt;0,M65-(MAX(0,(INDEX('Inputs'!$D$125:$D$131,MATCH($C$62+M65,'Inputs'!$C$125:$C$131,1))+INDEX('Inputs'!$E$125:$E$131,MATCH($C$62+M65,'Inputs'!$C$125:$C$131,1))/100*(($C$62+M65)-INDEX('Inputs'!$C$125:$C$131,MATCH($C$62+M65,'Inputs'!$C$125:$C$131,1))))-$C$60)-$C$68),0)</f>
      </c>
      <c r="O65">
        <f>IF(I65&lt;$C$64,MAX(0,J65-N65),0)</f>
      </c>
      <c r="P65">
        <f>IF($C$67&lt;&gt;1,0,P64*(1+((1+$C$76)^(1/12)-1))^12-O64/12*(1+((1+$C$76)^(1/12)-1))*(((1+((1+$C$76)^(1/12)-1))^12-1)/((1+((1+$C$76)^(1/12)-1))-1)))</f>
      </c>
      <c r="Q65">
        <f>IF($C$67&lt;&gt;1,0,IFERROR((((1+($C$76+'Inputs'!$H$108/100))^(1/12)-1)-((1+$C$76)^(1/12)-1))*(P65*(((1+((1+$C$76)^(1/12)-1))^12-1)/((1+((1+$C$76)^(1/12)-1))-1))-O65/12/((1+((1+$C$76)^(1/12)-1))-1)*((1+((1+$C$76)^(1/12)-1))*(((1+((1+$C$76)^(1/12)-1))^12-1)/((1+((1+$C$76)^(1/12)-1))-1))-12)),0))</f>
      </c>
    </row>
    <row r="66" spans="2:17" x14ac:dyDescent="0.25">
      <c r="B66" t="s">
        <v>440</v>
      </c>
      <c r="C66">
        <f>IF('Inputs'!$G$90="",'Inputs'!$H$114/100,'Inputs'!$G$90/100)</f>
      </c>
      <c r="I66">
        <v>6</v>
      </c>
      <c r="J66">
        <f>IF(I66&lt;$C$64,12*$C$65*(1+$C$66)^I66,0)</f>
      </c>
      <c r="K66">
        <f>IF(J66&lt;=0,0,INDEX($E$58:$E$65,MATCH(J66,$F$58:$F$65,1))+(J66-INDEX($F$58:$F$65,MATCH(J66,$F$58:$F$65,1)))/INDEX($G$58:$G$65,MATCH(J66,$F$58:$F$65,1))-$C$62)</f>
      </c>
      <c r="L66">
        <f>MAX(0,L65*(1+'Inputs'!$C$122/100)-M65/12*(1+'Inputs'!$C$122/100)^(1/12)*'Inputs'!$C$122/100/((1+'Inputs'!$C$122/100)^(1/12)-1))</f>
      </c>
      <c r="M66">
        <f>IF(L66&gt;0.005,MIN(MAX(K66,'Inputs'!$H$115/100*L66),'Inputs'!$H$116/100*L66),0)</f>
      </c>
      <c r="N66">
        <f>IF(M66&gt;0,M66-(MAX(0,(INDEX('Inputs'!$D$125:$D$131,MATCH($C$62+M66,'Inputs'!$C$125:$C$131,1))+INDEX('Inputs'!$E$125:$E$131,MATCH($C$62+M66,'Inputs'!$C$125:$C$131,1))/100*(($C$62+M66)-INDEX('Inputs'!$C$125:$C$131,MATCH($C$62+M66,'Inputs'!$C$125:$C$131,1))))-$C$60)-$C$68),0)</f>
      </c>
      <c r="O66">
        <f>IF(I66&lt;$C$64,MAX(0,J66-N66),0)</f>
      </c>
      <c r="P66">
        <f>IF($C$67&lt;&gt;1,0,P65*(1+((1+$C$76)^(1/12)-1))^12-O65/12*(1+((1+$C$76)^(1/12)-1))*(((1+((1+$C$76)^(1/12)-1))^12-1)/((1+((1+$C$76)^(1/12)-1))-1)))</f>
      </c>
      <c r="Q66">
        <f>IF($C$67&lt;&gt;1,0,IFERROR((((1+($C$76+'Inputs'!$H$108/100))^(1/12)-1)-((1+$C$76)^(1/12)-1))*(P66*(((1+((1+$C$76)^(1/12)-1))^12-1)/((1+((1+$C$76)^(1/12)-1))-1))-O66/12/((1+((1+$C$76)^(1/12)-1))-1)*((1+((1+$C$76)^(1/12)-1))*(((1+((1+$C$76)^(1/12)-1))^12-1)/((1+((1+$C$76)^(1/12)-1))-1))-12)),0))</f>
      </c>
    </row>
    <row r="67" spans="2:17" x14ac:dyDescent="0.25">
      <c r="B67" t="s">
        <v>441</v>
      </c>
      <c r="C67">
        <f>IF('Inputs'!$H$90="Yes",1,0)</f>
      </c>
      <c r="I67">
        <v>7</v>
      </c>
      <c r="J67">
        <f>IF(I67&lt;$C$64,12*$C$65*(1+$C$66)^I67,0)</f>
      </c>
      <c r="K67">
        <f>IF(J67&lt;=0,0,INDEX($E$58:$E$65,MATCH(J67,$F$58:$F$65,1))+(J67-INDEX($F$58:$F$65,MATCH(J67,$F$58:$F$65,1)))/INDEX($G$58:$G$65,MATCH(J67,$F$58:$F$65,1))-$C$62)</f>
      </c>
      <c r="L67">
        <f>MAX(0,L66*(1+'Inputs'!$C$122/100)-M66/12*(1+'Inputs'!$C$122/100)^(1/12)*'Inputs'!$C$122/100/((1+'Inputs'!$C$122/100)^(1/12)-1))</f>
      </c>
      <c r="M67">
        <f>IF(L67&gt;0.005,MIN(MAX(K67,'Inputs'!$H$115/100*L67),'Inputs'!$H$116/100*L67),0)</f>
      </c>
      <c r="N67">
        <f>IF(M67&gt;0,M67-(MAX(0,(INDEX('Inputs'!$D$125:$D$131,MATCH($C$62+M67,'Inputs'!$C$125:$C$131,1))+INDEX('Inputs'!$E$125:$E$131,MATCH($C$62+M67,'Inputs'!$C$125:$C$131,1))/100*(($C$62+M67)-INDEX('Inputs'!$C$125:$C$131,MATCH($C$62+M67,'Inputs'!$C$125:$C$131,1))))-$C$60)-$C$68),0)</f>
      </c>
      <c r="O67">
        <f>IF(I67&lt;$C$64,MAX(0,J67-N67),0)</f>
      </c>
      <c r="P67">
        <f>IF($C$67&lt;&gt;1,0,P66*(1+((1+$C$76)^(1/12)-1))^12-O66/12*(1+((1+$C$76)^(1/12)-1))*(((1+((1+$C$76)^(1/12)-1))^12-1)/((1+((1+$C$76)^(1/12)-1))-1)))</f>
      </c>
      <c r="Q67">
        <f>IF($C$67&lt;&gt;1,0,IFERROR((((1+($C$76+'Inputs'!$H$108/100))^(1/12)-1)-((1+$C$76)^(1/12)-1))*(P67*(((1+((1+$C$76)^(1/12)-1))^12-1)/((1+((1+$C$76)^(1/12)-1))-1))-O67/12/((1+((1+$C$76)^(1/12)-1))-1)*((1+((1+$C$76)^(1/12)-1))*(((1+((1+$C$76)^(1/12)-1))^12-1)/((1+((1+$C$76)^(1/12)-1))-1))-12)),0))</f>
      </c>
    </row>
    <row r="68" spans="2:17" x14ac:dyDescent="0.25">
      <c r="B68" t="s">
        <v>442</v>
      </c>
      <c r="C68">
        <f>MAX(0,(INDEX('Inputs'!$D$125:$D$131,MATCH($C$62,'Inputs'!$C$125:$C$131,1))+INDEX('Inputs'!$E$125:$E$131,MATCH($C$62,'Inputs'!$C$125:$C$131,1))/100*(($C$62)-INDEX('Inputs'!$C$125:$C$131,MATCH($C$62,'Inputs'!$C$125:$C$131,1))))-$C$60)</f>
      </c>
      <c r="I68">
        <v>8</v>
      </c>
      <c r="J68">
        <f>IF(I68&lt;$C$64,12*$C$65*(1+$C$66)^I68,0)</f>
      </c>
      <c r="K68">
        <f>IF(J68&lt;=0,0,INDEX($E$58:$E$65,MATCH(J68,$F$58:$F$65,1))+(J68-INDEX($F$58:$F$65,MATCH(J68,$F$58:$F$65,1)))/INDEX($G$58:$G$65,MATCH(J68,$F$58:$F$65,1))-$C$62)</f>
      </c>
      <c r="L68">
        <f>MAX(0,L67*(1+'Inputs'!$C$122/100)-M67/12*(1+'Inputs'!$C$122/100)^(1/12)*'Inputs'!$C$122/100/((1+'Inputs'!$C$122/100)^(1/12)-1))</f>
      </c>
      <c r="M68">
        <f>IF(L68&gt;0.005,MIN(MAX(K68,'Inputs'!$H$115/100*L68),'Inputs'!$H$116/100*L68),0)</f>
      </c>
      <c r="N68">
        <f>IF(M68&gt;0,M68-(MAX(0,(INDEX('Inputs'!$D$125:$D$131,MATCH($C$62+M68,'Inputs'!$C$125:$C$131,1))+INDEX('Inputs'!$E$125:$E$131,MATCH($C$62+M68,'Inputs'!$C$125:$C$131,1))/100*(($C$62+M68)-INDEX('Inputs'!$C$125:$C$131,MATCH($C$62+M68,'Inputs'!$C$125:$C$131,1))))-$C$60)-$C$68),0)</f>
      </c>
      <c r="O68">
        <f>IF(I68&lt;$C$64,MAX(0,J68-N68),0)</f>
      </c>
      <c r="P68">
        <f>IF($C$67&lt;&gt;1,0,P67*(1+((1+$C$76)^(1/12)-1))^12-O67/12*(1+((1+$C$76)^(1/12)-1))*(((1+((1+$C$76)^(1/12)-1))^12-1)/((1+((1+$C$76)^(1/12)-1))-1)))</f>
      </c>
      <c r="Q68">
        <f>IF($C$67&lt;&gt;1,0,IFERROR((((1+($C$76+'Inputs'!$H$108/100))^(1/12)-1)-((1+$C$76)^(1/12)-1))*(P68*(((1+((1+$C$76)^(1/12)-1))^12-1)/((1+((1+$C$76)^(1/12)-1))-1))-O68/12/((1+((1+$C$76)^(1/12)-1))-1)*((1+((1+$C$76)^(1/12)-1))*(((1+((1+$C$76)^(1/12)-1))^12-1)/((1+((1+$C$76)^(1/12)-1))-1))-12)),0))</f>
      </c>
    </row>
    <row r="69" spans="2:17" x14ac:dyDescent="0.25">
      <c r="B69" t="s">
        <v>443</v>
      </c>
      <c r="C69">
        <f>M60</f>
      </c>
      <c r="I69">
        <v>9</v>
      </c>
      <c r="J69">
        <f>IF(I69&lt;$C$64,12*$C$65*(1+$C$66)^I69,0)</f>
      </c>
      <c r="K69">
        <f>IF(J69&lt;=0,0,INDEX($E$58:$E$65,MATCH(J69,$F$58:$F$65,1))+(J69-INDEX($F$58:$F$65,MATCH(J69,$F$58:$F$65,1)))/INDEX($G$58:$G$65,MATCH(J69,$F$58:$F$65,1))-$C$62)</f>
      </c>
      <c r="L69">
        <f>MAX(0,L68*(1+'Inputs'!$C$122/100)-M68/12*(1+'Inputs'!$C$122/100)^(1/12)*'Inputs'!$C$122/100/((1+'Inputs'!$C$122/100)^(1/12)-1))</f>
      </c>
      <c r="M69">
        <f>IF(L69&gt;0.005,MIN(MAX(K69,'Inputs'!$H$115/100*L69),'Inputs'!$H$116/100*L69),0)</f>
      </c>
      <c r="N69">
        <f>IF(M69&gt;0,M69-(MAX(0,(INDEX('Inputs'!$D$125:$D$131,MATCH($C$62+M69,'Inputs'!$C$125:$C$131,1))+INDEX('Inputs'!$E$125:$E$131,MATCH($C$62+M69,'Inputs'!$C$125:$C$131,1))/100*(($C$62+M69)-INDEX('Inputs'!$C$125:$C$131,MATCH($C$62+M69,'Inputs'!$C$125:$C$131,1))))-$C$60)-$C$68),0)</f>
      </c>
      <c r="O69">
        <f>IF(I69&lt;$C$64,MAX(0,J69-N69),0)</f>
      </c>
      <c r="P69">
        <f>IF($C$67&lt;&gt;1,0,P68*(1+((1+$C$76)^(1/12)-1))^12-O68/12*(1+((1+$C$76)^(1/12)-1))*(((1+((1+$C$76)^(1/12)-1))^12-1)/((1+((1+$C$76)^(1/12)-1))-1)))</f>
      </c>
      <c r="Q69">
        <f>IF($C$67&lt;&gt;1,0,IFERROR((((1+($C$76+'Inputs'!$H$108/100))^(1/12)-1)-((1+$C$76)^(1/12)-1))*(P69*(((1+((1+$C$76)^(1/12)-1))^12-1)/((1+((1+$C$76)^(1/12)-1))-1))-O69/12/((1+((1+$C$76)^(1/12)-1))-1)*((1+((1+$C$76)^(1/12)-1))*(((1+((1+$C$76)^(1/12)-1))^12-1)/((1+((1+$C$76)^(1/12)-1))-1))-12)),0))</f>
      </c>
    </row>
    <row r="70" spans="2:17" x14ac:dyDescent="0.25">
      <c r="B70" t="s">
        <v>444</v>
      </c>
      <c r="C70">
        <f>T64</f>
      </c>
      <c r="I70">
        <v>10</v>
      </c>
      <c r="J70">
        <f>IF(I70&lt;$C$64,12*$C$65*(1+$C$66)^I70,0)</f>
      </c>
      <c r="K70">
        <f>IF(J70&lt;=0,0,INDEX($E$58:$E$65,MATCH(J70,$F$58:$F$65,1))+(J70-INDEX($F$58:$F$65,MATCH(J70,$F$58:$F$65,1)))/INDEX($G$58:$G$65,MATCH(J70,$F$58:$F$65,1))-$C$62)</f>
      </c>
      <c r="L70">
        <f>MAX(0,L69*(1+'Inputs'!$C$122/100)-M69/12*(1+'Inputs'!$C$122/100)^(1/12)*'Inputs'!$C$122/100/((1+'Inputs'!$C$122/100)^(1/12)-1))</f>
      </c>
      <c r="M70">
        <f>IF(L70&gt;0.005,MIN(MAX(K70,'Inputs'!$H$115/100*L70),'Inputs'!$H$116/100*L70),0)</f>
      </c>
      <c r="N70">
        <f>IF(M70&gt;0,M70-(MAX(0,(INDEX('Inputs'!$D$125:$D$131,MATCH($C$62+M70,'Inputs'!$C$125:$C$131,1))+INDEX('Inputs'!$E$125:$E$131,MATCH($C$62+M70,'Inputs'!$C$125:$C$131,1))/100*(($C$62+M70)-INDEX('Inputs'!$C$125:$C$131,MATCH($C$62+M70,'Inputs'!$C$125:$C$131,1))))-$C$60)-$C$68),0)</f>
      </c>
      <c r="O70">
        <f>IF(I70&lt;$C$64,MAX(0,J70-N70),0)</f>
      </c>
      <c r="P70">
        <f>IF($C$67&lt;&gt;1,0,P69*(1+((1+$C$76)^(1/12)-1))^12-O69/12*(1+((1+$C$76)^(1/12)-1))*(((1+((1+$C$76)^(1/12)-1))^12-1)/((1+((1+$C$76)^(1/12)-1))-1)))</f>
      </c>
      <c r="Q70">
        <f>IF($C$67&lt;&gt;1,0,IFERROR((((1+($C$76+'Inputs'!$H$108/100))^(1/12)-1)-((1+$C$76)^(1/12)-1))*(P70*(((1+((1+$C$76)^(1/12)-1))^12-1)/((1+((1+$C$76)^(1/12)-1))-1))-O70/12/((1+((1+$C$76)^(1/12)-1))-1)*((1+((1+$C$76)^(1/12)-1))*(((1+((1+$C$76)^(1/12)-1))^12-1)/((1+((1+$C$76)^(1/12)-1))-1))-12)),0))</f>
      </c>
    </row>
    <row r="71" spans="2:17" x14ac:dyDescent="0.25">
      <c r="B71" t="s">
        <v>445</v>
      </c>
      <c r="C71">
        <f>N60</f>
      </c>
      <c r="I71">
        <v>11</v>
      </c>
      <c r="J71">
        <f>IF(I71&lt;$C$64,12*$C$65*(1+$C$66)^I71,0)</f>
      </c>
      <c r="K71">
        <f>IF(J71&lt;=0,0,INDEX($E$58:$E$65,MATCH(J71,$F$58:$F$65,1))+(J71-INDEX($F$58:$F$65,MATCH(J71,$F$58:$F$65,1)))/INDEX($G$58:$G$65,MATCH(J71,$F$58:$F$65,1))-$C$62)</f>
      </c>
      <c r="L71">
        <f>MAX(0,L70*(1+'Inputs'!$C$122/100)-M70/12*(1+'Inputs'!$C$122/100)^(1/12)*'Inputs'!$C$122/100/((1+'Inputs'!$C$122/100)^(1/12)-1))</f>
      </c>
      <c r="M71">
        <f>IF(L71&gt;0.005,MIN(MAX(K71,'Inputs'!$H$115/100*L71),'Inputs'!$H$116/100*L71),0)</f>
      </c>
      <c r="N71">
        <f>IF(M71&gt;0,M71-(MAX(0,(INDEX('Inputs'!$D$125:$D$131,MATCH($C$62+M71,'Inputs'!$C$125:$C$131,1))+INDEX('Inputs'!$E$125:$E$131,MATCH($C$62+M71,'Inputs'!$C$125:$C$131,1))/100*(($C$62+M71)-INDEX('Inputs'!$C$125:$C$131,MATCH($C$62+M71,'Inputs'!$C$125:$C$131,1))))-$C$60)-$C$68),0)</f>
      </c>
      <c r="O71">
        <f>IF(I71&lt;$C$64,MAX(0,J71-N71),0)</f>
      </c>
      <c r="P71">
        <f>IF($C$67&lt;&gt;1,0,P70*(1+((1+$C$76)^(1/12)-1))^12-O70/12*(1+((1+$C$76)^(1/12)-1))*(((1+((1+$C$76)^(1/12)-1))^12-1)/((1+((1+$C$76)^(1/12)-1))-1)))</f>
      </c>
      <c r="Q71">
        <f>IF($C$67&lt;&gt;1,0,IFERROR((((1+($C$76+'Inputs'!$H$108/100))^(1/12)-1)-((1+$C$76)^(1/12)-1))*(P71*(((1+((1+$C$76)^(1/12)-1))^12-1)/((1+((1+$C$76)^(1/12)-1))-1))-O71/12/((1+((1+$C$76)^(1/12)-1))-1)*((1+((1+$C$76)^(1/12)-1))*(((1+((1+$C$76)^(1/12)-1))^12-1)/((1+((1+$C$76)^(1/12)-1))-1))-12)),0))</f>
      </c>
    </row>
    <row r="72" spans="2:17" x14ac:dyDescent="0.25">
      <c r="B72" t="s">
        <v>446</v>
      </c>
      <c r="C72">
        <f>O60</f>
      </c>
      <c r="I72">
        <v>12</v>
      </c>
      <c r="J72">
        <f>IF(I72&lt;$C$64,12*$C$65*(1+$C$66)^I72,0)</f>
      </c>
      <c r="K72">
        <f>IF(J72&lt;=0,0,INDEX($E$58:$E$65,MATCH(J72,$F$58:$F$65,1))+(J72-INDEX($F$58:$F$65,MATCH(J72,$F$58:$F$65,1)))/INDEX($G$58:$G$65,MATCH(J72,$F$58:$F$65,1))-$C$62)</f>
      </c>
      <c r="L72">
        <f>MAX(0,L71*(1+'Inputs'!$C$122/100)-M71/12*(1+'Inputs'!$C$122/100)^(1/12)*'Inputs'!$C$122/100/((1+'Inputs'!$C$122/100)^(1/12)-1))</f>
      </c>
      <c r="M72">
        <f>IF(L72&gt;0.005,MIN(MAX(K72,'Inputs'!$H$115/100*L72),'Inputs'!$H$116/100*L72),0)</f>
      </c>
      <c r="N72">
        <f>IF(M72&gt;0,M72-(MAX(0,(INDEX('Inputs'!$D$125:$D$131,MATCH($C$62+M72,'Inputs'!$C$125:$C$131,1))+INDEX('Inputs'!$E$125:$E$131,MATCH($C$62+M72,'Inputs'!$C$125:$C$131,1))/100*(($C$62+M72)-INDEX('Inputs'!$C$125:$C$131,MATCH($C$62+M72,'Inputs'!$C$125:$C$131,1))))-$C$60)-$C$68),0)</f>
      </c>
      <c r="O72">
        <f>IF(I72&lt;$C$64,MAX(0,J72-N72),0)</f>
      </c>
      <c r="P72">
        <f>IF($C$67&lt;&gt;1,0,P71*(1+((1+$C$76)^(1/12)-1))^12-O71/12*(1+((1+$C$76)^(1/12)-1))*(((1+((1+$C$76)^(1/12)-1))^12-1)/((1+((1+$C$76)^(1/12)-1))-1)))</f>
      </c>
      <c r="Q72">
        <f>IF($C$67&lt;&gt;1,0,IFERROR((((1+($C$76+'Inputs'!$H$108/100))^(1/12)-1)-((1+$C$76)^(1/12)-1))*(P72*(((1+((1+$C$76)^(1/12)-1))^12-1)/((1+((1+$C$76)^(1/12)-1))-1))-O72/12/((1+((1+$C$76)^(1/12)-1))-1)*((1+((1+$C$76)^(1/12)-1))*(((1+((1+$C$76)^(1/12)-1))^12-1)/((1+((1+$C$76)^(1/12)-1))-1))-12)),0))</f>
      </c>
    </row>
    <row r="73" spans="2:17" x14ac:dyDescent="0.25">
      <c r="B73" t="s">
        <v>447</v>
      </c>
      <c r="C73">
        <f>ROUND(Q60,2)</f>
      </c>
      <c r="I73">
        <v>13</v>
      </c>
      <c r="J73">
        <f>IF(I73&lt;$C$64,12*$C$65*(1+$C$66)^I73,0)</f>
      </c>
      <c r="K73">
        <f>IF(J73&lt;=0,0,INDEX($E$58:$E$65,MATCH(J73,$F$58:$F$65,1))+(J73-INDEX($F$58:$F$65,MATCH(J73,$F$58:$F$65,1)))/INDEX($G$58:$G$65,MATCH(J73,$F$58:$F$65,1))-$C$62)</f>
      </c>
      <c r="L73">
        <f>MAX(0,L72*(1+'Inputs'!$C$122/100)-M72/12*(1+'Inputs'!$C$122/100)^(1/12)*'Inputs'!$C$122/100/((1+'Inputs'!$C$122/100)^(1/12)-1))</f>
      </c>
      <c r="M73">
        <f>IF(L73&gt;0.005,MIN(MAX(K73,'Inputs'!$H$115/100*L73),'Inputs'!$H$116/100*L73),0)</f>
      </c>
      <c r="N73">
        <f>IF(M73&gt;0,M73-(MAX(0,(INDEX('Inputs'!$D$125:$D$131,MATCH($C$62+M73,'Inputs'!$C$125:$C$131,1))+INDEX('Inputs'!$E$125:$E$131,MATCH($C$62+M73,'Inputs'!$C$125:$C$131,1))/100*(($C$62+M73)-INDEX('Inputs'!$C$125:$C$131,MATCH($C$62+M73,'Inputs'!$C$125:$C$131,1))))-$C$60)-$C$68),0)</f>
      </c>
      <c r="O73">
        <f>IF(I73&lt;$C$64,MAX(0,J73-N73),0)</f>
      </c>
      <c r="P73">
        <f>IF($C$67&lt;&gt;1,0,P72*(1+((1+$C$76)^(1/12)-1))^12-O72/12*(1+((1+$C$76)^(1/12)-1))*(((1+((1+$C$76)^(1/12)-1))^12-1)/((1+((1+$C$76)^(1/12)-1))-1)))</f>
      </c>
      <c r="Q73">
        <f>IF($C$67&lt;&gt;1,0,IFERROR((((1+($C$76+'Inputs'!$H$108/100))^(1/12)-1)-((1+$C$76)^(1/12)-1))*(P73*(((1+((1+$C$76)^(1/12)-1))^12-1)/((1+((1+$C$76)^(1/12)-1))-1))-O73/12/((1+((1+$C$76)^(1/12)-1))-1)*((1+((1+$C$76)^(1/12)-1))*(((1+((1+$C$76)^(1/12)-1))^12-1)/((1+((1+$C$76)^(1/12)-1))-1))-12)),0))</f>
      </c>
    </row>
    <row r="74" spans="2:17" x14ac:dyDescent="0.25">
      <c r="B74" t="s">
        <v>448</v>
      </c>
      <c r="C74">
        <f>ROUND(SUM($Q$60:$Q$109),2)</f>
      </c>
      <c r="I74">
        <v>14</v>
      </c>
      <c r="J74">
        <f>IF(I74&lt;$C$64,12*$C$65*(1+$C$66)^I74,0)</f>
      </c>
      <c r="K74">
        <f>IF(J74&lt;=0,0,INDEX($E$58:$E$65,MATCH(J74,$F$58:$F$65,1))+(J74-INDEX($F$58:$F$65,MATCH(J74,$F$58:$F$65,1)))/INDEX($G$58:$G$65,MATCH(J74,$F$58:$F$65,1))-$C$62)</f>
      </c>
      <c r="L74">
        <f>MAX(0,L73*(1+'Inputs'!$C$122/100)-M73/12*(1+'Inputs'!$C$122/100)^(1/12)*'Inputs'!$C$122/100/((1+'Inputs'!$C$122/100)^(1/12)-1))</f>
      </c>
      <c r="M74">
        <f>IF(L74&gt;0.005,MIN(MAX(K74,'Inputs'!$H$115/100*L74),'Inputs'!$H$116/100*L74),0)</f>
      </c>
      <c r="N74">
        <f>IF(M74&gt;0,M74-(MAX(0,(INDEX('Inputs'!$D$125:$D$131,MATCH($C$62+M74,'Inputs'!$C$125:$C$131,1))+INDEX('Inputs'!$E$125:$E$131,MATCH($C$62+M74,'Inputs'!$C$125:$C$131,1))/100*(($C$62+M74)-INDEX('Inputs'!$C$125:$C$131,MATCH($C$62+M74,'Inputs'!$C$125:$C$131,1))))-$C$60)-$C$68),0)</f>
      </c>
      <c r="O74">
        <f>IF(I74&lt;$C$64,MAX(0,J74-N74),0)</f>
      </c>
      <c r="P74">
        <f>IF($C$67&lt;&gt;1,0,P73*(1+((1+$C$76)^(1/12)-1))^12-O73/12*(1+((1+$C$76)^(1/12)-1))*(((1+((1+$C$76)^(1/12)-1))^12-1)/((1+((1+$C$76)^(1/12)-1))-1)))</f>
      </c>
      <c r="Q74">
        <f>IF($C$67&lt;&gt;1,0,IFERROR((((1+($C$76+'Inputs'!$H$108/100))^(1/12)-1)-((1+$C$76)^(1/12)-1))*(P74*(((1+((1+$C$76)^(1/12)-1))^12-1)/((1+((1+$C$76)^(1/12)-1))-1))-O74/12/((1+((1+$C$76)^(1/12)-1))-1)*((1+((1+$C$76)^(1/12)-1))*(((1+((1+$C$76)^(1/12)-1))^12-1)/((1+((1+$C$76)^(1/12)-1))-1))-12)),0))</f>
      </c>
    </row>
    <row r="75" spans="2:17" x14ac:dyDescent="0.25">
      <c r="B75" t="s">
        <v>449</v>
      </c>
      <c r="C75">
        <f>IF($C$67&lt;&gt;1,0,ROUND(IF($C$76=0,SUM($O$60:$O$109),(1-(1+$C$76)^-1)/(1-(1+$C$76)^(-1/12))/12*SUMPRODUCT($O$60:$O$109,(1+$C$76)^(-$I$60:$I$109)))-IF(($C$76+'Inputs'!$H$108/100)=0,SUM($O$60:$O$109),(1-(1+($C$76+'Inputs'!$H$108/100))^-1)/(1-(1+($C$76+'Inputs'!$H$108/100))^(-1/12))/12*SUMPRODUCT($O$60:$O$109,(1+($C$76+'Inputs'!$H$108/100))^(-$I$60:$I$109))),2))</f>
      </c>
      <c r="I75">
        <v>15</v>
      </c>
      <c r="J75">
        <f>IF(I75&lt;$C$64,12*$C$65*(1+$C$66)^I75,0)</f>
      </c>
      <c r="K75">
        <f>IF(J75&lt;=0,0,INDEX($E$58:$E$65,MATCH(J75,$F$58:$F$65,1))+(J75-INDEX($F$58:$F$65,MATCH(J75,$F$58:$F$65,1)))/INDEX($G$58:$G$65,MATCH(J75,$F$58:$F$65,1))-$C$62)</f>
      </c>
      <c r="L75">
        <f>MAX(0,L74*(1+'Inputs'!$C$122/100)-M74/12*(1+'Inputs'!$C$122/100)^(1/12)*'Inputs'!$C$122/100/((1+'Inputs'!$C$122/100)^(1/12)-1))</f>
      </c>
      <c r="M75">
        <f>IF(L75&gt;0.005,MIN(MAX(K75,'Inputs'!$H$115/100*L75),'Inputs'!$H$116/100*L75),0)</f>
      </c>
      <c r="N75">
        <f>IF(M75&gt;0,M75-(MAX(0,(INDEX('Inputs'!$D$125:$D$131,MATCH($C$62+M75,'Inputs'!$C$125:$C$131,1))+INDEX('Inputs'!$E$125:$E$131,MATCH($C$62+M75,'Inputs'!$C$125:$C$131,1))/100*(($C$62+M75)-INDEX('Inputs'!$C$125:$C$131,MATCH($C$62+M75,'Inputs'!$C$125:$C$131,1))))-$C$60)-$C$68),0)</f>
      </c>
      <c r="O75">
        <f>IF(I75&lt;$C$64,MAX(0,J75-N75),0)</f>
      </c>
      <c r="P75">
        <f>IF($C$67&lt;&gt;1,0,P74*(1+((1+$C$76)^(1/12)-1))^12-O74/12*(1+((1+$C$76)^(1/12)-1))*(((1+((1+$C$76)^(1/12)-1))^12-1)/((1+((1+$C$76)^(1/12)-1))-1)))</f>
      </c>
      <c r="Q75">
        <f>IF($C$67&lt;&gt;1,0,IFERROR((((1+($C$76+'Inputs'!$H$108/100))^(1/12)-1)-((1+$C$76)^(1/12)-1))*(P75*(((1+((1+$C$76)^(1/12)-1))^12-1)/((1+((1+$C$76)^(1/12)-1))-1))-O75/12/((1+((1+$C$76)^(1/12)-1))-1)*((1+((1+$C$76)^(1/12)-1))*(((1+((1+$C$76)^(1/12)-1))^12-1)/((1+((1+$C$76)^(1/12)-1))-1))-12)),0))</f>
      </c>
    </row>
    <row r="76" spans="2:17" x14ac:dyDescent="0.25">
      <c r="B76" t="s">
        <v>450</v>
      </c>
      <c r="C76">
        <f>IF($C$67=1,'Needs calc'!$C$56,0)</f>
      </c>
      <c r="I76">
        <v>16</v>
      </c>
      <c r="J76">
        <f>IF(I76&lt;$C$64,12*$C$65*(1+$C$66)^I76,0)</f>
      </c>
      <c r="K76">
        <f>IF(J76&lt;=0,0,INDEX($E$58:$E$65,MATCH(J76,$F$58:$F$65,1))+(J76-INDEX($F$58:$F$65,MATCH(J76,$F$58:$F$65,1)))/INDEX($G$58:$G$65,MATCH(J76,$F$58:$F$65,1))-$C$62)</f>
      </c>
      <c r="L76">
        <f>MAX(0,L75*(1+'Inputs'!$C$122/100)-M75/12*(1+'Inputs'!$C$122/100)^(1/12)*'Inputs'!$C$122/100/((1+'Inputs'!$C$122/100)^(1/12)-1))</f>
      </c>
      <c r="M76">
        <f>IF(L76&gt;0.005,MIN(MAX(K76,'Inputs'!$H$115/100*L76),'Inputs'!$H$116/100*L76),0)</f>
      </c>
      <c r="N76">
        <f>IF(M76&gt;0,M76-(MAX(0,(INDEX('Inputs'!$D$125:$D$131,MATCH($C$62+M76,'Inputs'!$C$125:$C$131,1))+INDEX('Inputs'!$E$125:$E$131,MATCH($C$62+M76,'Inputs'!$C$125:$C$131,1))/100*(($C$62+M76)-INDEX('Inputs'!$C$125:$C$131,MATCH($C$62+M76,'Inputs'!$C$125:$C$131,1))))-$C$60)-$C$68),0)</f>
      </c>
      <c r="O76">
        <f>IF(I76&lt;$C$64,MAX(0,J76-N76),0)</f>
      </c>
      <c r="P76">
        <f>IF($C$67&lt;&gt;1,0,P75*(1+((1+$C$76)^(1/12)-1))^12-O75/12*(1+((1+$C$76)^(1/12)-1))*(((1+((1+$C$76)^(1/12)-1))^12-1)/((1+((1+$C$76)^(1/12)-1))-1)))</f>
      </c>
      <c r="Q76">
        <f>IF($C$67&lt;&gt;1,0,IFERROR((((1+($C$76+'Inputs'!$H$108/100))^(1/12)-1)-((1+$C$76)^(1/12)-1))*(P76*(((1+((1+$C$76)^(1/12)-1))^12-1)/((1+((1+$C$76)^(1/12)-1))-1))-O76/12/((1+((1+$C$76)^(1/12)-1))-1)*((1+((1+$C$76)^(1/12)-1))*(((1+((1+$C$76)^(1/12)-1))^12-1)/((1+((1+$C$76)^(1/12)-1))-1))-12)),0))</f>
      </c>
    </row>
    <row r="77" spans="9:17" x14ac:dyDescent="0.25">
      <c r="I77">
        <v>17</v>
      </c>
      <c r="J77">
        <f>IF(I77&lt;$C$64,12*$C$65*(1+$C$66)^I77,0)</f>
      </c>
      <c r="K77">
        <f>IF(J77&lt;=0,0,INDEX($E$58:$E$65,MATCH(J77,$F$58:$F$65,1))+(J77-INDEX($F$58:$F$65,MATCH(J77,$F$58:$F$65,1)))/INDEX($G$58:$G$65,MATCH(J77,$F$58:$F$65,1))-$C$62)</f>
      </c>
      <c r="L77">
        <f>MAX(0,L76*(1+'Inputs'!$C$122/100)-M76/12*(1+'Inputs'!$C$122/100)^(1/12)*'Inputs'!$C$122/100/((1+'Inputs'!$C$122/100)^(1/12)-1))</f>
      </c>
      <c r="M77">
        <f>IF(L77&gt;0.005,MIN(MAX(K77,'Inputs'!$H$115/100*L77),'Inputs'!$H$116/100*L77),0)</f>
      </c>
      <c r="N77">
        <f>IF(M77&gt;0,M77-(MAX(0,(INDEX('Inputs'!$D$125:$D$131,MATCH($C$62+M77,'Inputs'!$C$125:$C$131,1))+INDEX('Inputs'!$E$125:$E$131,MATCH($C$62+M77,'Inputs'!$C$125:$C$131,1))/100*(($C$62+M77)-INDEX('Inputs'!$C$125:$C$131,MATCH($C$62+M77,'Inputs'!$C$125:$C$131,1))))-$C$60)-$C$68),0)</f>
      </c>
      <c r="O77">
        <f>IF(I77&lt;$C$64,MAX(0,J77-N77),0)</f>
      </c>
      <c r="P77">
        <f>IF($C$67&lt;&gt;1,0,P76*(1+((1+$C$76)^(1/12)-1))^12-O76/12*(1+((1+$C$76)^(1/12)-1))*(((1+((1+$C$76)^(1/12)-1))^12-1)/((1+((1+$C$76)^(1/12)-1))-1)))</f>
      </c>
      <c r="Q77">
        <f>IF($C$67&lt;&gt;1,0,IFERROR((((1+($C$76+'Inputs'!$H$108/100))^(1/12)-1)-((1+$C$76)^(1/12)-1))*(P77*(((1+((1+$C$76)^(1/12)-1))^12-1)/((1+((1+$C$76)^(1/12)-1))-1))-O77/12/((1+((1+$C$76)^(1/12)-1))-1)*((1+((1+$C$76)^(1/12)-1))*(((1+((1+$C$76)^(1/12)-1))^12-1)/((1+((1+$C$76)^(1/12)-1))-1))-12)),0))</f>
      </c>
    </row>
    <row r="78" spans="9:17" x14ac:dyDescent="0.25">
      <c r="I78">
        <v>18</v>
      </c>
      <c r="J78">
        <f>IF(I78&lt;$C$64,12*$C$65*(1+$C$66)^I78,0)</f>
      </c>
      <c r="K78">
        <f>IF(J78&lt;=0,0,INDEX($E$58:$E$65,MATCH(J78,$F$58:$F$65,1))+(J78-INDEX($F$58:$F$65,MATCH(J78,$F$58:$F$65,1)))/INDEX($G$58:$G$65,MATCH(J78,$F$58:$F$65,1))-$C$62)</f>
      </c>
      <c r="L78">
        <f>MAX(0,L77*(1+'Inputs'!$C$122/100)-M77/12*(1+'Inputs'!$C$122/100)^(1/12)*'Inputs'!$C$122/100/((1+'Inputs'!$C$122/100)^(1/12)-1))</f>
      </c>
      <c r="M78">
        <f>IF(L78&gt;0.005,MIN(MAX(K78,'Inputs'!$H$115/100*L78),'Inputs'!$H$116/100*L78),0)</f>
      </c>
      <c r="N78">
        <f>IF(M78&gt;0,M78-(MAX(0,(INDEX('Inputs'!$D$125:$D$131,MATCH($C$62+M78,'Inputs'!$C$125:$C$131,1))+INDEX('Inputs'!$E$125:$E$131,MATCH($C$62+M78,'Inputs'!$C$125:$C$131,1))/100*(($C$62+M78)-INDEX('Inputs'!$C$125:$C$131,MATCH($C$62+M78,'Inputs'!$C$125:$C$131,1))))-$C$60)-$C$68),0)</f>
      </c>
      <c r="O78">
        <f>IF(I78&lt;$C$64,MAX(0,J78-N78),0)</f>
      </c>
      <c r="P78">
        <f>IF($C$67&lt;&gt;1,0,P77*(1+((1+$C$76)^(1/12)-1))^12-O77/12*(1+((1+$C$76)^(1/12)-1))*(((1+((1+$C$76)^(1/12)-1))^12-1)/((1+((1+$C$76)^(1/12)-1))-1)))</f>
      </c>
      <c r="Q78">
        <f>IF($C$67&lt;&gt;1,0,IFERROR((((1+($C$76+'Inputs'!$H$108/100))^(1/12)-1)-((1+$C$76)^(1/12)-1))*(P78*(((1+((1+$C$76)^(1/12)-1))^12-1)/((1+((1+$C$76)^(1/12)-1))-1))-O78/12/((1+((1+$C$76)^(1/12)-1))-1)*((1+((1+$C$76)^(1/12)-1))*(((1+((1+$C$76)^(1/12)-1))^12-1)/((1+((1+$C$76)^(1/12)-1))-1))-12)),0))</f>
      </c>
    </row>
    <row r="79" spans="9:17" x14ac:dyDescent="0.25">
      <c r="I79">
        <v>19</v>
      </c>
      <c r="J79">
        <f>IF(I79&lt;$C$64,12*$C$65*(1+$C$66)^I79,0)</f>
      </c>
      <c r="K79">
        <f>IF(J79&lt;=0,0,INDEX($E$58:$E$65,MATCH(J79,$F$58:$F$65,1))+(J79-INDEX($F$58:$F$65,MATCH(J79,$F$58:$F$65,1)))/INDEX($G$58:$G$65,MATCH(J79,$F$58:$F$65,1))-$C$62)</f>
      </c>
      <c r="L79">
        <f>MAX(0,L78*(1+'Inputs'!$C$122/100)-M78/12*(1+'Inputs'!$C$122/100)^(1/12)*'Inputs'!$C$122/100/((1+'Inputs'!$C$122/100)^(1/12)-1))</f>
      </c>
      <c r="M79">
        <f>IF(L79&gt;0.005,MIN(MAX(K79,'Inputs'!$H$115/100*L79),'Inputs'!$H$116/100*L79),0)</f>
      </c>
      <c r="N79">
        <f>IF(M79&gt;0,M79-(MAX(0,(INDEX('Inputs'!$D$125:$D$131,MATCH($C$62+M79,'Inputs'!$C$125:$C$131,1))+INDEX('Inputs'!$E$125:$E$131,MATCH($C$62+M79,'Inputs'!$C$125:$C$131,1))/100*(($C$62+M79)-INDEX('Inputs'!$C$125:$C$131,MATCH($C$62+M79,'Inputs'!$C$125:$C$131,1))))-$C$60)-$C$68),0)</f>
      </c>
      <c r="O79">
        <f>IF(I79&lt;$C$64,MAX(0,J79-N79),0)</f>
      </c>
      <c r="P79">
        <f>IF($C$67&lt;&gt;1,0,P78*(1+((1+$C$76)^(1/12)-1))^12-O78/12*(1+((1+$C$76)^(1/12)-1))*(((1+((1+$C$76)^(1/12)-1))^12-1)/((1+((1+$C$76)^(1/12)-1))-1)))</f>
      </c>
      <c r="Q79">
        <f>IF($C$67&lt;&gt;1,0,IFERROR((((1+($C$76+'Inputs'!$H$108/100))^(1/12)-1)-((1+$C$76)^(1/12)-1))*(P79*(((1+((1+$C$76)^(1/12)-1))^12-1)/((1+((1+$C$76)^(1/12)-1))-1))-O79/12/((1+((1+$C$76)^(1/12)-1))-1)*((1+((1+$C$76)^(1/12)-1))*(((1+((1+$C$76)^(1/12)-1))^12-1)/((1+((1+$C$76)^(1/12)-1))-1))-12)),0))</f>
      </c>
    </row>
    <row r="80" spans="9:17" x14ac:dyDescent="0.25">
      <c r="I80">
        <v>20</v>
      </c>
      <c r="J80">
        <f>IF(I80&lt;$C$64,12*$C$65*(1+$C$66)^I80,0)</f>
      </c>
      <c r="K80">
        <f>IF(J80&lt;=0,0,INDEX($E$58:$E$65,MATCH(J80,$F$58:$F$65,1))+(J80-INDEX($F$58:$F$65,MATCH(J80,$F$58:$F$65,1)))/INDEX($G$58:$G$65,MATCH(J80,$F$58:$F$65,1))-$C$62)</f>
      </c>
      <c r="L80">
        <f>MAX(0,L79*(1+'Inputs'!$C$122/100)-M79/12*(1+'Inputs'!$C$122/100)^(1/12)*'Inputs'!$C$122/100/((1+'Inputs'!$C$122/100)^(1/12)-1))</f>
      </c>
      <c r="M80">
        <f>IF(L80&gt;0.005,MIN(MAX(K80,'Inputs'!$H$115/100*L80),'Inputs'!$H$116/100*L80),0)</f>
      </c>
      <c r="N80">
        <f>IF(M80&gt;0,M80-(MAX(0,(INDEX('Inputs'!$D$125:$D$131,MATCH($C$62+M80,'Inputs'!$C$125:$C$131,1))+INDEX('Inputs'!$E$125:$E$131,MATCH($C$62+M80,'Inputs'!$C$125:$C$131,1))/100*(($C$62+M80)-INDEX('Inputs'!$C$125:$C$131,MATCH($C$62+M80,'Inputs'!$C$125:$C$131,1))))-$C$60)-$C$68),0)</f>
      </c>
      <c r="O80">
        <f>IF(I80&lt;$C$64,MAX(0,J80-N80),0)</f>
      </c>
      <c r="P80">
        <f>IF($C$67&lt;&gt;1,0,P79*(1+((1+$C$76)^(1/12)-1))^12-O79/12*(1+((1+$C$76)^(1/12)-1))*(((1+((1+$C$76)^(1/12)-1))^12-1)/((1+((1+$C$76)^(1/12)-1))-1)))</f>
      </c>
      <c r="Q80">
        <f>IF($C$67&lt;&gt;1,0,IFERROR((((1+($C$76+'Inputs'!$H$108/100))^(1/12)-1)-((1+$C$76)^(1/12)-1))*(P80*(((1+((1+$C$76)^(1/12)-1))^12-1)/((1+((1+$C$76)^(1/12)-1))-1))-O80/12/((1+((1+$C$76)^(1/12)-1))-1)*((1+((1+$C$76)^(1/12)-1))*(((1+((1+$C$76)^(1/12)-1))^12-1)/((1+((1+$C$76)^(1/12)-1))-1))-12)),0))</f>
      </c>
    </row>
    <row r="81" spans="9:17" x14ac:dyDescent="0.25">
      <c r="I81">
        <v>21</v>
      </c>
      <c r="J81">
        <f>IF(I81&lt;$C$64,12*$C$65*(1+$C$66)^I81,0)</f>
      </c>
      <c r="K81">
        <f>IF(J81&lt;=0,0,INDEX($E$58:$E$65,MATCH(J81,$F$58:$F$65,1))+(J81-INDEX($F$58:$F$65,MATCH(J81,$F$58:$F$65,1)))/INDEX($G$58:$G$65,MATCH(J81,$F$58:$F$65,1))-$C$62)</f>
      </c>
      <c r="L81">
        <f>MAX(0,L80*(1+'Inputs'!$C$122/100)-M80/12*(1+'Inputs'!$C$122/100)^(1/12)*'Inputs'!$C$122/100/((1+'Inputs'!$C$122/100)^(1/12)-1))</f>
      </c>
      <c r="M81">
        <f>IF(L81&gt;0.005,MIN(MAX(K81,'Inputs'!$H$115/100*L81),'Inputs'!$H$116/100*L81),0)</f>
      </c>
      <c r="N81">
        <f>IF(M81&gt;0,M81-(MAX(0,(INDEX('Inputs'!$D$125:$D$131,MATCH($C$62+M81,'Inputs'!$C$125:$C$131,1))+INDEX('Inputs'!$E$125:$E$131,MATCH($C$62+M81,'Inputs'!$C$125:$C$131,1))/100*(($C$62+M81)-INDEX('Inputs'!$C$125:$C$131,MATCH($C$62+M81,'Inputs'!$C$125:$C$131,1))))-$C$60)-$C$68),0)</f>
      </c>
      <c r="O81">
        <f>IF(I81&lt;$C$64,MAX(0,J81-N81),0)</f>
      </c>
      <c r="P81">
        <f>IF($C$67&lt;&gt;1,0,P80*(1+((1+$C$76)^(1/12)-1))^12-O80/12*(1+((1+$C$76)^(1/12)-1))*(((1+((1+$C$76)^(1/12)-1))^12-1)/((1+((1+$C$76)^(1/12)-1))-1)))</f>
      </c>
      <c r="Q81">
        <f>IF($C$67&lt;&gt;1,0,IFERROR((((1+($C$76+'Inputs'!$H$108/100))^(1/12)-1)-((1+$C$76)^(1/12)-1))*(P81*(((1+((1+$C$76)^(1/12)-1))^12-1)/((1+((1+$C$76)^(1/12)-1))-1))-O81/12/((1+((1+$C$76)^(1/12)-1))-1)*((1+((1+$C$76)^(1/12)-1))*(((1+((1+$C$76)^(1/12)-1))^12-1)/((1+((1+$C$76)^(1/12)-1))-1))-12)),0))</f>
      </c>
    </row>
    <row r="82" spans="9:17" x14ac:dyDescent="0.25">
      <c r="I82">
        <v>22</v>
      </c>
      <c r="J82">
        <f>IF(I82&lt;$C$64,12*$C$65*(1+$C$66)^I82,0)</f>
      </c>
      <c r="K82">
        <f>IF(J82&lt;=0,0,INDEX($E$58:$E$65,MATCH(J82,$F$58:$F$65,1))+(J82-INDEX($F$58:$F$65,MATCH(J82,$F$58:$F$65,1)))/INDEX($G$58:$G$65,MATCH(J82,$F$58:$F$65,1))-$C$62)</f>
      </c>
      <c r="L82">
        <f>MAX(0,L81*(1+'Inputs'!$C$122/100)-M81/12*(1+'Inputs'!$C$122/100)^(1/12)*'Inputs'!$C$122/100/((1+'Inputs'!$C$122/100)^(1/12)-1))</f>
      </c>
      <c r="M82">
        <f>IF(L82&gt;0.005,MIN(MAX(K82,'Inputs'!$H$115/100*L82),'Inputs'!$H$116/100*L82),0)</f>
      </c>
      <c r="N82">
        <f>IF(M82&gt;0,M82-(MAX(0,(INDEX('Inputs'!$D$125:$D$131,MATCH($C$62+M82,'Inputs'!$C$125:$C$131,1))+INDEX('Inputs'!$E$125:$E$131,MATCH($C$62+M82,'Inputs'!$C$125:$C$131,1))/100*(($C$62+M82)-INDEX('Inputs'!$C$125:$C$131,MATCH($C$62+M82,'Inputs'!$C$125:$C$131,1))))-$C$60)-$C$68),0)</f>
      </c>
      <c r="O82">
        <f>IF(I82&lt;$C$64,MAX(0,J82-N82),0)</f>
      </c>
      <c r="P82">
        <f>IF($C$67&lt;&gt;1,0,P81*(1+((1+$C$76)^(1/12)-1))^12-O81/12*(1+((1+$C$76)^(1/12)-1))*(((1+((1+$C$76)^(1/12)-1))^12-1)/((1+((1+$C$76)^(1/12)-1))-1)))</f>
      </c>
      <c r="Q82">
        <f>IF($C$67&lt;&gt;1,0,IFERROR((((1+($C$76+'Inputs'!$H$108/100))^(1/12)-1)-((1+$C$76)^(1/12)-1))*(P82*(((1+((1+$C$76)^(1/12)-1))^12-1)/((1+((1+$C$76)^(1/12)-1))-1))-O82/12/((1+((1+$C$76)^(1/12)-1))-1)*((1+((1+$C$76)^(1/12)-1))*(((1+((1+$C$76)^(1/12)-1))^12-1)/((1+((1+$C$76)^(1/12)-1))-1))-12)),0))</f>
      </c>
    </row>
    <row r="83" spans="9:17" x14ac:dyDescent="0.25">
      <c r="I83">
        <v>23</v>
      </c>
      <c r="J83">
        <f>IF(I83&lt;$C$64,12*$C$65*(1+$C$66)^I83,0)</f>
      </c>
      <c r="K83">
        <f>IF(J83&lt;=0,0,INDEX($E$58:$E$65,MATCH(J83,$F$58:$F$65,1))+(J83-INDEX($F$58:$F$65,MATCH(J83,$F$58:$F$65,1)))/INDEX($G$58:$G$65,MATCH(J83,$F$58:$F$65,1))-$C$62)</f>
      </c>
      <c r="L83">
        <f>MAX(0,L82*(1+'Inputs'!$C$122/100)-M82/12*(1+'Inputs'!$C$122/100)^(1/12)*'Inputs'!$C$122/100/((1+'Inputs'!$C$122/100)^(1/12)-1))</f>
      </c>
      <c r="M83">
        <f>IF(L83&gt;0.005,MIN(MAX(K83,'Inputs'!$H$115/100*L83),'Inputs'!$H$116/100*L83),0)</f>
      </c>
      <c r="N83">
        <f>IF(M83&gt;0,M83-(MAX(0,(INDEX('Inputs'!$D$125:$D$131,MATCH($C$62+M83,'Inputs'!$C$125:$C$131,1))+INDEX('Inputs'!$E$125:$E$131,MATCH($C$62+M83,'Inputs'!$C$125:$C$131,1))/100*(($C$62+M83)-INDEX('Inputs'!$C$125:$C$131,MATCH($C$62+M83,'Inputs'!$C$125:$C$131,1))))-$C$60)-$C$68),0)</f>
      </c>
      <c r="O83">
        <f>IF(I83&lt;$C$64,MAX(0,J83-N83),0)</f>
      </c>
      <c r="P83">
        <f>IF($C$67&lt;&gt;1,0,P82*(1+((1+$C$76)^(1/12)-1))^12-O82/12*(1+((1+$C$76)^(1/12)-1))*(((1+((1+$C$76)^(1/12)-1))^12-1)/((1+((1+$C$76)^(1/12)-1))-1)))</f>
      </c>
      <c r="Q83">
        <f>IF($C$67&lt;&gt;1,0,IFERROR((((1+($C$76+'Inputs'!$H$108/100))^(1/12)-1)-((1+$C$76)^(1/12)-1))*(P83*(((1+((1+$C$76)^(1/12)-1))^12-1)/((1+((1+$C$76)^(1/12)-1))-1))-O83/12/((1+((1+$C$76)^(1/12)-1))-1)*((1+((1+$C$76)^(1/12)-1))*(((1+((1+$C$76)^(1/12)-1))^12-1)/((1+((1+$C$76)^(1/12)-1))-1))-12)),0))</f>
      </c>
    </row>
    <row r="84" spans="9:17" x14ac:dyDescent="0.25">
      <c r="I84">
        <v>24</v>
      </c>
      <c r="J84">
        <f>IF(I84&lt;$C$64,12*$C$65*(1+$C$66)^I84,0)</f>
      </c>
      <c r="K84">
        <f>IF(J84&lt;=0,0,INDEX($E$58:$E$65,MATCH(J84,$F$58:$F$65,1))+(J84-INDEX($F$58:$F$65,MATCH(J84,$F$58:$F$65,1)))/INDEX($G$58:$G$65,MATCH(J84,$F$58:$F$65,1))-$C$62)</f>
      </c>
      <c r="L84">
        <f>MAX(0,L83*(1+'Inputs'!$C$122/100)-M83/12*(1+'Inputs'!$C$122/100)^(1/12)*'Inputs'!$C$122/100/((1+'Inputs'!$C$122/100)^(1/12)-1))</f>
      </c>
      <c r="M84">
        <f>IF(L84&gt;0.005,MIN(MAX(K84,'Inputs'!$H$115/100*L84),'Inputs'!$H$116/100*L84),0)</f>
      </c>
      <c r="N84">
        <f>IF(M84&gt;0,M84-(MAX(0,(INDEX('Inputs'!$D$125:$D$131,MATCH($C$62+M84,'Inputs'!$C$125:$C$131,1))+INDEX('Inputs'!$E$125:$E$131,MATCH($C$62+M84,'Inputs'!$C$125:$C$131,1))/100*(($C$62+M84)-INDEX('Inputs'!$C$125:$C$131,MATCH($C$62+M84,'Inputs'!$C$125:$C$131,1))))-$C$60)-$C$68),0)</f>
      </c>
      <c r="O84">
        <f>IF(I84&lt;$C$64,MAX(0,J84-N84),0)</f>
      </c>
      <c r="P84">
        <f>IF($C$67&lt;&gt;1,0,P83*(1+((1+$C$76)^(1/12)-1))^12-O83/12*(1+((1+$C$76)^(1/12)-1))*(((1+((1+$C$76)^(1/12)-1))^12-1)/((1+((1+$C$76)^(1/12)-1))-1)))</f>
      </c>
      <c r="Q84">
        <f>IF($C$67&lt;&gt;1,0,IFERROR((((1+($C$76+'Inputs'!$H$108/100))^(1/12)-1)-((1+$C$76)^(1/12)-1))*(P84*(((1+((1+$C$76)^(1/12)-1))^12-1)/((1+((1+$C$76)^(1/12)-1))-1))-O84/12/((1+((1+$C$76)^(1/12)-1))-1)*((1+((1+$C$76)^(1/12)-1))*(((1+((1+$C$76)^(1/12)-1))^12-1)/((1+((1+$C$76)^(1/12)-1))-1))-12)),0))</f>
      </c>
    </row>
    <row r="85" spans="9:17" x14ac:dyDescent="0.25">
      <c r="I85">
        <v>25</v>
      </c>
      <c r="J85">
        <f>IF(I85&lt;$C$64,12*$C$65*(1+$C$66)^I85,0)</f>
      </c>
      <c r="K85">
        <f>IF(J85&lt;=0,0,INDEX($E$58:$E$65,MATCH(J85,$F$58:$F$65,1))+(J85-INDEX($F$58:$F$65,MATCH(J85,$F$58:$F$65,1)))/INDEX($G$58:$G$65,MATCH(J85,$F$58:$F$65,1))-$C$62)</f>
      </c>
      <c r="L85">
        <f>MAX(0,L84*(1+'Inputs'!$C$122/100)-M84/12*(1+'Inputs'!$C$122/100)^(1/12)*'Inputs'!$C$122/100/((1+'Inputs'!$C$122/100)^(1/12)-1))</f>
      </c>
      <c r="M85">
        <f>IF(L85&gt;0.005,MIN(MAX(K85,'Inputs'!$H$115/100*L85),'Inputs'!$H$116/100*L85),0)</f>
      </c>
      <c r="N85">
        <f>IF(M85&gt;0,M85-(MAX(0,(INDEX('Inputs'!$D$125:$D$131,MATCH($C$62+M85,'Inputs'!$C$125:$C$131,1))+INDEX('Inputs'!$E$125:$E$131,MATCH($C$62+M85,'Inputs'!$C$125:$C$131,1))/100*(($C$62+M85)-INDEX('Inputs'!$C$125:$C$131,MATCH($C$62+M85,'Inputs'!$C$125:$C$131,1))))-$C$60)-$C$68),0)</f>
      </c>
      <c r="O85">
        <f>IF(I85&lt;$C$64,MAX(0,J85-N85),0)</f>
      </c>
      <c r="P85">
        <f>IF($C$67&lt;&gt;1,0,P84*(1+((1+$C$76)^(1/12)-1))^12-O84/12*(1+((1+$C$76)^(1/12)-1))*(((1+((1+$C$76)^(1/12)-1))^12-1)/((1+((1+$C$76)^(1/12)-1))-1)))</f>
      </c>
      <c r="Q85">
        <f>IF($C$67&lt;&gt;1,0,IFERROR((((1+($C$76+'Inputs'!$H$108/100))^(1/12)-1)-((1+$C$76)^(1/12)-1))*(P85*(((1+((1+$C$76)^(1/12)-1))^12-1)/((1+((1+$C$76)^(1/12)-1))-1))-O85/12/((1+((1+$C$76)^(1/12)-1))-1)*((1+((1+$C$76)^(1/12)-1))*(((1+((1+$C$76)^(1/12)-1))^12-1)/((1+((1+$C$76)^(1/12)-1))-1))-12)),0))</f>
      </c>
    </row>
    <row r="86" spans="9:17" x14ac:dyDescent="0.25">
      <c r="I86">
        <v>26</v>
      </c>
      <c r="J86">
        <f>IF(I86&lt;$C$64,12*$C$65*(1+$C$66)^I86,0)</f>
      </c>
      <c r="K86">
        <f>IF(J86&lt;=0,0,INDEX($E$58:$E$65,MATCH(J86,$F$58:$F$65,1))+(J86-INDEX($F$58:$F$65,MATCH(J86,$F$58:$F$65,1)))/INDEX($G$58:$G$65,MATCH(J86,$F$58:$F$65,1))-$C$62)</f>
      </c>
      <c r="L86">
        <f>MAX(0,L85*(1+'Inputs'!$C$122/100)-M85/12*(1+'Inputs'!$C$122/100)^(1/12)*'Inputs'!$C$122/100/((1+'Inputs'!$C$122/100)^(1/12)-1))</f>
      </c>
      <c r="M86">
        <f>IF(L86&gt;0.005,MIN(MAX(K86,'Inputs'!$H$115/100*L86),'Inputs'!$H$116/100*L86),0)</f>
      </c>
      <c r="N86">
        <f>IF(M86&gt;0,M86-(MAX(0,(INDEX('Inputs'!$D$125:$D$131,MATCH($C$62+M86,'Inputs'!$C$125:$C$131,1))+INDEX('Inputs'!$E$125:$E$131,MATCH($C$62+M86,'Inputs'!$C$125:$C$131,1))/100*(($C$62+M86)-INDEX('Inputs'!$C$125:$C$131,MATCH($C$62+M86,'Inputs'!$C$125:$C$131,1))))-$C$60)-$C$68),0)</f>
      </c>
      <c r="O86">
        <f>IF(I86&lt;$C$64,MAX(0,J86-N86),0)</f>
      </c>
      <c r="P86">
        <f>IF($C$67&lt;&gt;1,0,P85*(1+((1+$C$76)^(1/12)-1))^12-O85/12*(1+((1+$C$76)^(1/12)-1))*(((1+((1+$C$76)^(1/12)-1))^12-1)/((1+((1+$C$76)^(1/12)-1))-1)))</f>
      </c>
      <c r="Q86">
        <f>IF($C$67&lt;&gt;1,0,IFERROR((((1+($C$76+'Inputs'!$H$108/100))^(1/12)-1)-((1+$C$76)^(1/12)-1))*(P86*(((1+((1+$C$76)^(1/12)-1))^12-1)/((1+((1+$C$76)^(1/12)-1))-1))-O86/12/((1+((1+$C$76)^(1/12)-1))-1)*((1+((1+$C$76)^(1/12)-1))*(((1+((1+$C$76)^(1/12)-1))^12-1)/((1+((1+$C$76)^(1/12)-1))-1))-12)),0))</f>
      </c>
    </row>
    <row r="87" spans="9:17" x14ac:dyDescent="0.25">
      <c r="I87">
        <v>27</v>
      </c>
      <c r="J87">
        <f>IF(I87&lt;$C$64,12*$C$65*(1+$C$66)^I87,0)</f>
      </c>
      <c r="K87">
        <f>IF(J87&lt;=0,0,INDEX($E$58:$E$65,MATCH(J87,$F$58:$F$65,1))+(J87-INDEX($F$58:$F$65,MATCH(J87,$F$58:$F$65,1)))/INDEX($G$58:$G$65,MATCH(J87,$F$58:$F$65,1))-$C$62)</f>
      </c>
      <c r="L87">
        <f>MAX(0,L86*(1+'Inputs'!$C$122/100)-M86/12*(1+'Inputs'!$C$122/100)^(1/12)*'Inputs'!$C$122/100/((1+'Inputs'!$C$122/100)^(1/12)-1))</f>
      </c>
      <c r="M87">
        <f>IF(L87&gt;0.005,MIN(MAX(K87,'Inputs'!$H$115/100*L87),'Inputs'!$H$116/100*L87),0)</f>
      </c>
      <c r="N87">
        <f>IF(M87&gt;0,M87-(MAX(0,(INDEX('Inputs'!$D$125:$D$131,MATCH($C$62+M87,'Inputs'!$C$125:$C$131,1))+INDEX('Inputs'!$E$125:$E$131,MATCH($C$62+M87,'Inputs'!$C$125:$C$131,1))/100*(($C$62+M87)-INDEX('Inputs'!$C$125:$C$131,MATCH($C$62+M87,'Inputs'!$C$125:$C$131,1))))-$C$60)-$C$68),0)</f>
      </c>
      <c r="O87">
        <f>IF(I87&lt;$C$64,MAX(0,J87-N87),0)</f>
      </c>
      <c r="P87">
        <f>IF($C$67&lt;&gt;1,0,P86*(1+((1+$C$76)^(1/12)-1))^12-O86/12*(1+((1+$C$76)^(1/12)-1))*(((1+((1+$C$76)^(1/12)-1))^12-1)/((1+((1+$C$76)^(1/12)-1))-1)))</f>
      </c>
      <c r="Q87">
        <f>IF($C$67&lt;&gt;1,0,IFERROR((((1+($C$76+'Inputs'!$H$108/100))^(1/12)-1)-((1+$C$76)^(1/12)-1))*(P87*(((1+((1+$C$76)^(1/12)-1))^12-1)/((1+((1+$C$76)^(1/12)-1))-1))-O87/12/((1+((1+$C$76)^(1/12)-1))-1)*((1+((1+$C$76)^(1/12)-1))*(((1+((1+$C$76)^(1/12)-1))^12-1)/((1+((1+$C$76)^(1/12)-1))-1))-12)),0))</f>
      </c>
    </row>
    <row r="88" spans="9:17" x14ac:dyDescent="0.25">
      <c r="I88">
        <v>28</v>
      </c>
      <c r="J88">
        <f>IF(I88&lt;$C$64,12*$C$65*(1+$C$66)^I88,0)</f>
      </c>
      <c r="K88">
        <f>IF(J88&lt;=0,0,INDEX($E$58:$E$65,MATCH(J88,$F$58:$F$65,1))+(J88-INDEX($F$58:$F$65,MATCH(J88,$F$58:$F$65,1)))/INDEX($G$58:$G$65,MATCH(J88,$F$58:$F$65,1))-$C$62)</f>
      </c>
      <c r="L88">
        <f>MAX(0,L87*(1+'Inputs'!$C$122/100)-M87/12*(1+'Inputs'!$C$122/100)^(1/12)*'Inputs'!$C$122/100/((1+'Inputs'!$C$122/100)^(1/12)-1))</f>
      </c>
      <c r="M88">
        <f>IF(L88&gt;0.005,MIN(MAX(K88,'Inputs'!$H$115/100*L88),'Inputs'!$H$116/100*L88),0)</f>
      </c>
      <c r="N88">
        <f>IF(M88&gt;0,M88-(MAX(0,(INDEX('Inputs'!$D$125:$D$131,MATCH($C$62+M88,'Inputs'!$C$125:$C$131,1))+INDEX('Inputs'!$E$125:$E$131,MATCH($C$62+M88,'Inputs'!$C$125:$C$131,1))/100*(($C$62+M88)-INDEX('Inputs'!$C$125:$C$131,MATCH($C$62+M88,'Inputs'!$C$125:$C$131,1))))-$C$60)-$C$68),0)</f>
      </c>
      <c r="O88">
        <f>IF(I88&lt;$C$64,MAX(0,J88-N88),0)</f>
      </c>
      <c r="P88">
        <f>IF($C$67&lt;&gt;1,0,P87*(1+((1+$C$76)^(1/12)-1))^12-O87/12*(1+((1+$C$76)^(1/12)-1))*(((1+((1+$C$76)^(1/12)-1))^12-1)/((1+((1+$C$76)^(1/12)-1))-1)))</f>
      </c>
      <c r="Q88">
        <f>IF($C$67&lt;&gt;1,0,IFERROR((((1+($C$76+'Inputs'!$H$108/100))^(1/12)-1)-((1+$C$76)^(1/12)-1))*(P88*(((1+((1+$C$76)^(1/12)-1))^12-1)/((1+((1+$C$76)^(1/12)-1))-1))-O88/12/((1+((1+$C$76)^(1/12)-1))-1)*((1+((1+$C$76)^(1/12)-1))*(((1+((1+$C$76)^(1/12)-1))^12-1)/((1+((1+$C$76)^(1/12)-1))-1))-12)),0))</f>
      </c>
    </row>
    <row r="89" spans="9:17" x14ac:dyDescent="0.25">
      <c r="I89">
        <v>29</v>
      </c>
      <c r="J89">
        <f>IF(I89&lt;$C$64,12*$C$65*(1+$C$66)^I89,0)</f>
      </c>
      <c r="K89">
        <f>IF(J89&lt;=0,0,INDEX($E$58:$E$65,MATCH(J89,$F$58:$F$65,1))+(J89-INDEX($F$58:$F$65,MATCH(J89,$F$58:$F$65,1)))/INDEX($G$58:$G$65,MATCH(J89,$F$58:$F$65,1))-$C$62)</f>
      </c>
      <c r="L89">
        <f>MAX(0,L88*(1+'Inputs'!$C$122/100)-M88/12*(1+'Inputs'!$C$122/100)^(1/12)*'Inputs'!$C$122/100/((1+'Inputs'!$C$122/100)^(1/12)-1))</f>
      </c>
      <c r="M89">
        <f>IF(L89&gt;0.005,MIN(MAX(K89,'Inputs'!$H$115/100*L89),'Inputs'!$H$116/100*L89),0)</f>
      </c>
      <c r="N89">
        <f>IF(M89&gt;0,M89-(MAX(0,(INDEX('Inputs'!$D$125:$D$131,MATCH($C$62+M89,'Inputs'!$C$125:$C$131,1))+INDEX('Inputs'!$E$125:$E$131,MATCH($C$62+M89,'Inputs'!$C$125:$C$131,1))/100*(($C$62+M89)-INDEX('Inputs'!$C$125:$C$131,MATCH($C$62+M89,'Inputs'!$C$125:$C$131,1))))-$C$60)-$C$68),0)</f>
      </c>
      <c r="O89">
        <f>IF(I89&lt;$C$64,MAX(0,J89-N89),0)</f>
      </c>
      <c r="P89">
        <f>IF($C$67&lt;&gt;1,0,P88*(1+((1+$C$76)^(1/12)-1))^12-O88/12*(1+((1+$C$76)^(1/12)-1))*(((1+((1+$C$76)^(1/12)-1))^12-1)/((1+((1+$C$76)^(1/12)-1))-1)))</f>
      </c>
      <c r="Q89">
        <f>IF($C$67&lt;&gt;1,0,IFERROR((((1+($C$76+'Inputs'!$H$108/100))^(1/12)-1)-((1+$C$76)^(1/12)-1))*(P89*(((1+((1+$C$76)^(1/12)-1))^12-1)/((1+((1+$C$76)^(1/12)-1))-1))-O89/12/((1+((1+$C$76)^(1/12)-1))-1)*((1+((1+$C$76)^(1/12)-1))*(((1+((1+$C$76)^(1/12)-1))^12-1)/((1+((1+$C$76)^(1/12)-1))-1))-12)),0))</f>
      </c>
    </row>
    <row r="90" spans="9:17" x14ac:dyDescent="0.25">
      <c r="I90">
        <v>30</v>
      </c>
      <c r="J90">
        <f>IF(I90&lt;$C$64,12*$C$65*(1+$C$66)^I90,0)</f>
      </c>
      <c r="K90">
        <f>IF(J90&lt;=0,0,INDEX($E$58:$E$65,MATCH(J90,$F$58:$F$65,1))+(J90-INDEX($F$58:$F$65,MATCH(J90,$F$58:$F$65,1)))/INDEX($G$58:$G$65,MATCH(J90,$F$58:$F$65,1))-$C$62)</f>
      </c>
      <c r="L90">
        <f>MAX(0,L89*(1+'Inputs'!$C$122/100)-M89/12*(1+'Inputs'!$C$122/100)^(1/12)*'Inputs'!$C$122/100/((1+'Inputs'!$C$122/100)^(1/12)-1))</f>
      </c>
      <c r="M90">
        <f>IF(L90&gt;0.005,MIN(MAX(K90,'Inputs'!$H$115/100*L90),'Inputs'!$H$116/100*L90),0)</f>
      </c>
      <c r="N90">
        <f>IF(M90&gt;0,M90-(MAX(0,(INDEX('Inputs'!$D$125:$D$131,MATCH($C$62+M90,'Inputs'!$C$125:$C$131,1))+INDEX('Inputs'!$E$125:$E$131,MATCH($C$62+M90,'Inputs'!$C$125:$C$131,1))/100*(($C$62+M90)-INDEX('Inputs'!$C$125:$C$131,MATCH($C$62+M90,'Inputs'!$C$125:$C$131,1))))-$C$60)-$C$68),0)</f>
      </c>
      <c r="O90">
        <f>IF(I90&lt;$C$64,MAX(0,J90-N90),0)</f>
      </c>
      <c r="P90">
        <f>IF($C$67&lt;&gt;1,0,P89*(1+((1+$C$76)^(1/12)-1))^12-O89/12*(1+((1+$C$76)^(1/12)-1))*(((1+((1+$C$76)^(1/12)-1))^12-1)/((1+((1+$C$76)^(1/12)-1))-1)))</f>
      </c>
      <c r="Q90">
        <f>IF($C$67&lt;&gt;1,0,IFERROR((((1+($C$76+'Inputs'!$H$108/100))^(1/12)-1)-((1+$C$76)^(1/12)-1))*(P90*(((1+((1+$C$76)^(1/12)-1))^12-1)/((1+((1+$C$76)^(1/12)-1))-1))-O90/12/((1+((1+$C$76)^(1/12)-1))-1)*((1+((1+$C$76)^(1/12)-1))*(((1+((1+$C$76)^(1/12)-1))^12-1)/((1+((1+$C$76)^(1/12)-1))-1))-12)),0))</f>
      </c>
    </row>
    <row r="91" spans="9:17" x14ac:dyDescent="0.25">
      <c r="I91">
        <v>31</v>
      </c>
      <c r="J91">
        <f>IF(I91&lt;$C$64,12*$C$65*(1+$C$66)^I91,0)</f>
      </c>
      <c r="K91">
        <f>IF(J91&lt;=0,0,INDEX($E$58:$E$65,MATCH(J91,$F$58:$F$65,1))+(J91-INDEX($F$58:$F$65,MATCH(J91,$F$58:$F$65,1)))/INDEX($G$58:$G$65,MATCH(J91,$F$58:$F$65,1))-$C$62)</f>
      </c>
      <c r="L91">
        <f>MAX(0,L90*(1+'Inputs'!$C$122/100)-M90/12*(1+'Inputs'!$C$122/100)^(1/12)*'Inputs'!$C$122/100/((1+'Inputs'!$C$122/100)^(1/12)-1))</f>
      </c>
      <c r="M91">
        <f>IF(L91&gt;0.005,MIN(MAX(K91,'Inputs'!$H$115/100*L91),'Inputs'!$H$116/100*L91),0)</f>
      </c>
      <c r="N91">
        <f>IF(M91&gt;0,M91-(MAX(0,(INDEX('Inputs'!$D$125:$D$131,MATCH($C$62+M91,'Inputs'!$C$125:$C$131,1))+INDEX('Inputs'!$E$125:$E$131,MATCH($C$62+M91,'Inputs'!$C$125:$C$131,1))/100*(($C$62+M91)-INDEX('Inputs'!$C$125:$C$131,MATCH($C$62+M91,'Inputs'!$C$125:$C$131,1))))-$C$60)-$C$68),0)</f>
      </c>
      <c r="O91">
        <f>IF(I91&lt;$C$64,MAX(0,J91-N91),0)</f>
      </c>
      <c r="P91">
        <f>IF($C$67&lt;&gt;1,0,P90*(1+((1+$C$76)^(1/12)-1))^12-O90/12*(1+((1+$C$76)^(1/12)-1))*(((1+((1+$C$76)^(1/12)-1))^12-1)/((1+((1+$C$76)^(1/12)-1))-1)))</f>
      </c>
      <c r="Q91">
        <f>IF($C$67&lt;&gt;1,0,IFERROR((((1+($C$76+'Inputs'!$H$108/100))^(1/12)-1)-((1+$C$76)^(1/12)-1))*(P91*(((1+((1+$C$76)^(1/12)-1))^12-1)/((1+((1+$C$76)^(1/12)-1))-1))-O91/12/((1+((1+$C$76)^(1/12)-1))-1)*((1+((1+$C$76)^(1/12)-1))*(((1+((1+$C$76)^(1/12)-1))^12-1)/((1+((1+$C$76)^(1/12)-1))-1))-12)),0))</f>
      </c>
    </row>
    <row r="92" spans="9:17" x14ac:dyDescent="0.25">
      <c r="I92">
        <v>32</v>
      </c>
      <c r="J92">
        <f>IF(I92&lt;$C$64,12*$C$65*(1+$C$66)^I92,0)</f>
      </c>
      <c r="K92">
        <f>IF(J92&lt;=0,0,INDEX($E$58:$E$65,MATCH(J92,$F$58:$F$65,1))+(J92-INDEX($F$58:$F$65,MATCH(J92,$F$58:$F$65,1)))/INDEX($G$58:$G$65,MATCH(J92,$F$58:$F$65,1))-$C$62)</f>
      </c>
      <c r="L92">
        <f>MAX(0,L91*(1+'Inputs'!$C$122/100)-M91/12*(1+'Inputs'!$C$122/100)^(1/12)*'Inputs'!$C$122/100/((1+'Inputs'!$C$122/100)^(1/12)-1))</f>
      </c>
      <c r="M92">
        <f>IF(L92&gt;0.005,MIN(MAX(K92,'Inputs'!$H$115/100*L92),'Inputs'!$H$116/100*L92),0)</f>
      </c>
      <c r="N92">
        <f>IF(M92&gt;0,M92-(MAX(0,(INDEX('Inputs'!$D$125:$D$131,MATCH($C$62+M92,'Inputs'!$C$125:$C$131,1))+INDEX('Inputs'!$E$125:$E$131,MATCH($C$62+M92,'Inputs'!$C$125:$C$131,1))/100*(($C$62+M92)-INDEX('Inputs'!$C$125:$C$131,MATCH($C$62+M92,'Inputs'!$C$125:$C$131,1))))-$C$60)-$C$68),0)</f>
      </c>
      <c r="O92">
        <f>IF(I92&lt;$C$64,MAX(0,J92-N92),0)</f>
      </c>
      <c r="P92">
        <f>IF($C$67&lt;&gt;1,0,P91*(1+((1+$C$76)^(1/12)-1))^12-O91/12*(1+((1+$C$76)^(1/12)-1))*(((1+((1+$C$76)^(1/12)-1))^12-1)/((1+((1+$C$76)^(1/12)-1))-1)))</f>
      </c>
      <c r="Q92">
        <f>IF($C$67&lt;&gt;1,0,IFERROR((((1+($C$76+'Inputs'!$H$108/100))^(1/12)-1)-((1+$C$76)^(1/12)-1))*(P92*(((1+((1+$C$76)^(1/12)-1))^12-1)/((1+((1+$C$76)^(1/12)-1))-1))-O92/12/((1+((1+$C$76)^(1/12)-1))-1)*((1+((1+$C$76)^(1/12)-1))*(((1+((1+$C$76)^(1/12)-1))^12-1)/((1+((1+$C$76)^(1/12)-1))-1))-12)),0))</f>
      </c>
    </row>
    <row r="93" spans="9:17" x14ac:dyDescent="0.25">
      <c r="I93">
        <v>33</v>
      </c>
      <c r="J93">
        <f>IF(I93&lt;$C$64,12*$C$65*(1+$C$66)^I93,0)</f>
      </c>
      <c r="K93">
        <f>IF(J93&lt;=0,0,INDEX($E$58:$E$65,MATCH(J93,$F$58:$F$65,1))+(J93-INDEX($F$58:$F$65,MATCH(J93,$F$58:$F$65,1)))/INDEX($G$58:$G$65,MATCH(J93,$F$58:$F$65,1))-$C$62)</f>
      </c>
      <c r="L93">
        <f>MAX(0,L92*(1+'Inputs'!$C$122/100)-M92/12*(1+'Inputs'!$C$122/100)^(1/12)*'Inputs'!$C$122/100/((1+'Inputs'!$C$122/100)^(1/12)-1))</f>
      </c>
      <c r="M93">
        <f>IF(L93&gt;0.005,MIN(MAX(K93,'Inputs'!$H$115/100*L93),'Inputs'!$H$116/100*L93),0)</f>
      </c>
      <c r="N93">
        <f>IF(M93&gt;0,M93-(MAX(0,(INDEX('Inputs'!$D$125:$D$131,MATCH($C$62+M93,'Inputs'!$C$125:$C$131,1))+INDEX('Inputs'!$E$125:$E$131,MATCH($C$62+M93,'Inputs'!$C$125:$C$131,1))/100*(($C$62+M93)-INDEX('Inputs'!$C$125:$C$131,MATCH($C$62+M93,'Inputs'!$C$125:$C$131,1))))-$C$60)-$C$68),0)</f>
      </c>
      <c r="O93">
        <f>IF(I93&lt;$C$64,MAX(0,J93-N93),0)</f>
      </c>
      <c r="P93">
        <f>IF($C$67&lt;&gt;1,0,P92*(1+((1+$C$76)^(1/12)-1))^12-O92/12*(1+((1+$C$76)^(1/12)-1))*(((1+((1+$C$76)^(1/12)-1))^12-1)/((1+((1+$C$76)^(1/12)-1))-1)))</f>
      </c>
      <c r="Q93">
        <f>IF($C$67&lt;&gt;1,0,IFERROR((((1+($C$76+'Inputs'!$H$108/100))^(1/12)-1)-((1+$C$76)^(1/12)-1))*(P93*(((1+((1+$C$76)^(1/12)-1))^12-1)/((1+((1+$C$76)^(1/12)-1))-1))-O93/12/((1+((1+$C$76)^(1/12)-1))-1)*((1+((1+$C$76)^(1/12)-1))*(((1+((1+$C$76)^(1/12)-1))^12-1)/((1+((1+$C$76)^(1/12)-1))-1))-12)),0))</f>
      </c>
    </row>
    <row r="94" spans="9:17" x14ac:dyDescent="0.25">
      <c r="I94">
        <v>34</v>
      </c>
      <c r="J94">
        <f>IF(I94&lt;$C$64,12*$C$65*(1+$C$66)^I94,0)</f>
      </c>
      <c r="K94">
        <f>IF(J94&lt;=0,0,INDEX($E$58:$E$65,MATCH(J94,$F$58:$F$65,1))+(J94-INDEX($F$58:$F$65,MATCH(J94,$F$58:$F$65,1)))/INDEX($G$58:$G$65,MATCH(J94,$F$58:$F$65,1))-$C$62)</f>
      </c>
      <c r="L94">
        <f>MAX(0,L93*(1+'Inputs'!$C$122/100)-M93/12*(1+'Inputs'!$C$122/100)^(1/12)*'Inputs'!$C$122/100/((1+'Inputs'!$C$122/100)^(1/12)-1))</f>
      </c>
      <c r="M94">
        <f>IF(L94&gt;0.005,MIN(MAX(K94,'Inputs'!$H$115/100*L94),'Inputs'!$H$116/100*L94),0)</f>
      </c>
      <c r="N94">
        <f>IF(M94&gt;0,M94-(MAX(0,(INDEX('Inputs'!$D$125:$D$131,MATCH($C$62+M94,'Inputs'!$C$125:$C$131,1))+INDEX('Inputs'!$E$125:$E$131,MATCH($C$62+M94,'Inputs'!$C$125:$C$131,1))/100*(($C$62+M94)-INDEX('Inputs'!$C$125:$C$131,MATCH($C$62+M94,'Inputs'!$C$125:$C$131,1))))-$C$60)-$C$68),0)</f>
      </c>
      <c r="O94">
        <f>IF(I94&lt;$C$64,MAX(0,J94-N94),0)</f>
      </c>
      <c r="P94">
        <f>IF($C$67&lt;&gt;1,0,P93*(1+((1+$C$76)^(1/12)-1))^12-O93/12*(1+((1+$C$76)^(1/12)-1))*(((1+((1+$C$76)^(1/12)-1))^12-1)/((1+((1+$C$76)^(1/12)-1))-1)))</f>
      </c>
      <c r="Q94">
        <f>IF($C$67&lt;&gt;1,0,IFERROR((((1+($C$76+'Inputs'!$H$108/100))^(1/12)-1)-((1+$C$76)^(1/12)-1))*(P94*(((1+((1+$C$76)^(1/12)-1))^12-1)/((1+((1+$C$76)^(1/12)-1))-1))-O94/12/((1+((1+$C$76)^(1/12)-1))-1)*((1+((1+$C$76)^(1/12)-1))*(((1+((1+$C$76)^(1/12)-1))^12-1)/((1+((1+$C$76)^(1/12)-1))-1))-12)),0))</f>
      </c>
    </row>
    <row r="95" spans="9:17" x14ac:dyDescent="0.25">
      <c r="I95">
        <v>35</v>
      </c>
      <c r="J95">
        <f>IF(I95&lt;$C$64,12*$C$65*(1+$C$66)^I95,0)</f>
      </c>
      <c r="K95">
        <f>IF(J95&lt;=0,0,INDEX($E$58:$E$65,MATCH(J95,$F$58:$F$65,1))+(J95-INDEX($F$58:$F$65,MATCH(J95,$F$58:$F$65,1)))/INDEX($G$58:$G$65,MATCH(J95,$F$58:$F$65,1))-$C$62)</f>
      </c>
      <c r="L95">
        <f>MAX(0,L94*(1+'Inputs'!$C$122/100)-M94/12*(1+'Inputs'!$C$122/100)^(1/12)*'Inputs'!$C$122/100/((1+'Inputs'!$C$122/100)^(1/12)-1))</f>
      </c>
      <c r="M95">
        <f>IF(L95&gt;0.005,MIN(MAX(K95,'Inputs'!$H$115/100*L95),'Inputs'!$H$116/100*L95),0)</f>
      </c>
      <c r="N95">
        <f>IF(M95&gt;0,M95-(MAX(0,(INDEX('Inputs'!$D$125:$D$131,MATCH($C$62+M95,'Inputs'!$C$125:$C$131,1))+INDEX('Inputs'!$E$125:$E$131,MATCH($C$62+M95,'Inputs'!$C$125:$C$131,1))/100*(($C$62+M95)-INDEX('Inputs'!$C$125:$C$131,MATCH($C$62+M95,'Inputs'!$C$125:$C$131,1))))-$C$60)-$C$68),0)</f>
      </c>
      <c r="O95">
        <f>IF(I95&lt;$C$64,MAX(0,J95-N95),0)</f>
      </c>
      <c r="P95">
        <f>IF($C$67&lt;&gt;1,0,P94*(1+((1+$C$76)^(1/12)-1))^12-O94/12*(1+((1+$C$76)^(1/12)-1))*(((1+((1+$C$76)^(1/12)-1))^12-1)/((1+((1+$C$76)^(1/12)-1))-1)))</f>
      </c>
      <c r="Q95">
        <f>IF($C$67&lt;&gt;1,0,IFERROR((((1+($C$76+'Inputs'!$H$108/100))^(1/12)-1)-((1+$C$76)^(1/12)-1))*(P95*(((1+((1+$C$76)^(1/12)-1))^12-1)/((1+((1+$C$76)^(1/12)-1))-1))-O95/12/((1+((1+$C$76)^(1/12)-1))-1)*((1+((1+$C$76)^(1/12)-1))*(((1+((1+$C$76)^(1/12)-1))^12-1)/((1+((1+$C$76)^(1/12)-1))-1))-12)),0))</f>
      </c>
    </row>
    <row r="96" spans="9:17" x14ac:dyDescent="0.25">
      <c r="I96">
        <v>36</v>
      </c>
      <c r="J96">
        <f>IF(I96&lt;$C$64,12*$C$65*(1+$C$66)^I96,0)</f>
      </c>
      <c r="K96">
        <f>IF(J96&lt;=0,0,INDEX($E$58:$E$65,MATCH(J96,$F$58:$F$65,1))+(J96-INDEX($F$58:$F$65,MATCH(J96,$F$58:$F$65,1)))/INDEX($G$58:$G$65,MATCH(J96,$F$58:$F$65,1))-$C$62)</f>
      </c>
      <c r="L96">
        <f>MAX(0,L95*(1+'Inputs'!$C$122/100)-M95/12*(1+'Inputs'!$C$122/100)^(1/12)*'Inputs'!$C$122/100/((1+'Inputs'!$C$122/100)^(1/12)-1))</f>
      </c>
      <c r="M96">
        <f>IF(L96&gt;0.005,MIN(MAX(K96,'Inputs'!$H$115/100*L96),'Inputs'!$H$116/100*L96),0)</f>
      </c>
      <c r="N96">
        <f>IF(M96&gt;0,M96-(MAX(0,(INDEX('Inputs'!$D$125:$D$131,MATCH($C$62+M96,'Inputs'!$C$125:$C$131,1))+INDEX('Inputs'!$E$125:$E$131,MATCH($C$62+M96,'Inputs'!$C$125:$C$131,1))/100*(($C$62+M96)-INDEX('Inputs'!$C$125:$C$131,MATCH($C$62+M96,'Inputs'!$C$125:$C$131,1))))-$C$60)-$C$68),0)</f>
      </c>
      <c r="O96">
        <f>IF(I96&lt;$C$64,MAX(0,J96-N96),0)</f>
      </c>
      <c r="P96">
        <f>IF($C$67&lt;&gt;1,0,P95*(1+((1+$C$76)^(1/12)-1))^12-O95/12*(1+((1+$C$76)^(1/12)-1))*(((1+((1+$C$76)^(1/12)-1))^12-1)/((1+((1+$C$76)^(1/12)-1))-1)))</f>
      </c>
      <c r="Q96">
        <f>IF($C$67&lt;&gt;1,0,IFERROR((((1+($C$76+'Inputs'!$H$108/100))^(1/12)-1)-((1+$C$76)^(1/12)-1))*(P96*(((1+((1+$C$76)^(1/12)-1))^12-1)/((1+((1+$C$76)^(1/12)-1))-1))-O96/12/((1+((1+$C$76)^(1/12)-1))-1)*((1+((1+$C$76)^(1/12)-1))*(((1+((1+$C$76)^(1/12)-1))^12-1)/((1+((1+$C$76)^(1/12)-1))-1))-12)),0))</f>
      </c>
    </row>
    <row r="97" spans="9:17" x14ac:dyDescent="0.25">
      <c r="I97">
        <v>37</v>
      </c>
      <c r="J97">
        <f>IF(I97&lt;$C$64,12*$C$65*(1+$C$66)^I97,0)</f>
      </c>
      <c r="K97">
        <f>IF(J97&lt;=0,0,INDEX($E$58:$E$65,MATCH(J97,$F$58:$F$65,1))+(J97-INDEX($F$58:$F$65,MATCH(J97,$F$58:$F$65,1)))/INDEX($G$58:$G$65,MATCH(J97,$F$58:$F$65,1))-$C$62)</f>
      </c>
      <c r="L97">
        <f>MAX(0,L96*(1+'Inputs'!$C$122/100)-M96/12*(1+'Inputs'!$C$122/100)^(1/12)*'Inputs'!$C$122/100/((1+'Inputs'!$C$122/100)^(1/12)-1))</f>
      </c>
      <c r="M97">
        <f>IF(L97&gt;0.005,MIN(MAX(K97,'Inputs'!$H$115/100*L97),'Inputs'!$H$116/100*L97),0)</f>
      </c>
      <c r="N97">
        <f>IF(M97&gt;0,M97-(MAX(0,(INDEX('Inputs'!$D$125:$D$131,MATCH($C$62+M97,'Inputs'!$C$125:$C$131,1))+INDEX('Inputs'!$E$125:$E$131,MATCH($C$62+M97,'Inputs'!$C$125:$C$131,1))/100*(($C$62+M97)-INDEX('Inputs'!$C$125:$C$131,MATCH($C$62+M97,'Inputs'!$C$125:$C$131,1))))-$C$60)-$C$68),0)</f>
      </c>
      <c r="O97">
        <f>IF(I97&lt;$C$64,MAX(0,J97-N97),0)</f>
      </c>
      <c r="P97">
        <f>IF($C$67&lt;&gt;1,0,P96*(1+((1+$C$76)^(1/12)-1))^12-O96/12*(1+((1+$C$76)^(1/12)-1))*(((1+((1+$C$76)^(1/12)-1))^12-1)/((1+((1+$C$76)^(1/12)-1))-1)))</f>
      </c>
      <c r="Q97">
        <f>IF($C$67&lt;&gt;1,0,IFERROR((((1+($C$76+'Inputs'!$H$108/100))^(1/12)-1)-((1+$C$76)^(1/12)-1))*(P97*(((1+((1+$C$76)^(1/12)-1))^12-1)/((1+((1+$C$76)^(1/12)-1))-1))-O97/12/((1+((1+$C$76)^(1/12)-1))-1)*((1+((1+$C$76)^(1/12)-1))*(((1+((1+$C$76)^(1/12)-1))^12-1)/((1+((1+$C$76)^(1/12)-1))-1))-12)),0))</f>
      </c>
    </row>
    <row r="98" spans="9:17" x14ac:dyDescent="0.25">
      <c r="I98">
        <v>38</v>
      </c>
      <c r="J98">
        <f>IF(I98&lt;$C$64,12*$C$65*(1+$C$66)^I98,0)</f>
      </c>
      <c r="K98">
        <f>IF(J98&lt;=0,0,INDEX($E$58:$E$65,MATCH(J98,$F$58:$F$65,1))+(J98-INDEX($F$58:$F$65,MATCH(J98,$F$58:$F$65,1)))/INDEX($G$58:$G$65,MATCH(J98,$F$58:$F$65,1))-$C$62)</f>
      </c>
      <c r="L98">
        <f>MAX(0,L97*(1+'Inputs'!$C$122/100)-M97/12*(1+'Inputs'!$C$122/100)^(1/12)*'Inputs'!$C$122/100/((1+'Inputs'!$C$122/100)^(1/12)-1))</f>
      </c>
      <c r="M98">
        <f>IF(L98&gt;0.005,MIN(MAX(K98,'Inputs'!$H$115/100*L98),'Inputs'!$H$116/100*L98),0)</f>
      </c>
      <c r="N98">
        <f>IF(M98&gt;0,M98-(MAX(0,(INDEX('Inputs'!$D$125:$D$131,MATCH($C$62+M98,'Inputs'!$C$125:$C$131,1))+INDEX('Inputs'!$E$125:$E$131,MATCH($C$62+M98,'Inputs'!$C$125:$C$131,1))/100*(($C$62+M98)-INDEX('Inputs'!$C$125:$C$131,MATCH($C$62+M98,'Inputs'!$C$125:$C$131,1))))-$C$60)-$C$68),0)</f>
      </c>
      <c r="O98">
        <f>IF(I98&lt;$C$64,MAX(0,J98-N98),0)</f>
      </c>
      <c r="P98">
        <f>IF($C$67&lt;&gt;1,0,P97*(1+((1+$C$76)^(1/12)-1))^12-O97/12*(1+((1+$C$76)^(1/12)-1))*(((1+((1+$C$76)^(1/12)-1))^12-1)/((1+((1+$C$76)^(1/12)-1))-1)))</f>
      </c>
      <c r="Q98">
        <f>IF($C$67&lt;&gt;1,0,IFERROR((((1+($C$76+'Inputs'!$H$108/100))^(1/12)-1)-((1+$C$76)^(1/12)-1))*(P98*(((1+((1+$C$76)^(1/12)-1))^12-1)/((1+((1+$C$76)^(1/12)-1))-1))-O98/12/((1+((1+$C$76)^(1/12)-1))-1)*((1+((1+$C$76)^(1/12)-1))*(((1+((1+$C$76)^(1/12)-1))^12-1)/((1+((1+$C$76)^(1/12)-1))-1))-12)),0))</f>
      </c>
    </row>
    <row r="99" spans="9:17" x14ac:dyDescent="0.25">
      <c r="I99">
        <v>39</v>
      </c>
      <c r="J99">
        <f>IF(I99&lt;$C$64,12*$C$65*(1+$C$66)^I99,0)</f>
      </c>
      <c r="K99">
        <f>IF(J99&lt;=0,0,INDEX($E$58:$E$65,MATCH(J99,$F$58:$F$65,1))+(J99-INDEX($F$58:$F$65,MATCH(J99,$F$58:$F$65,1)))/INDEX($G$58:$G$65,MATCH(J99,$F$58:$F$65,1))-$C$62)</f>
      </c>
      <c r="L99">
        <f>MAX(0,L98*(1+'Inputs'!$C$122/100)-M98/12*(1+'Inputs'!$C$122/100)^(1/12)*'Inputs'!$C$122/100/((1+'Inputs'!$C$122/100)^(1/12)-1))</f>
      </c>
      <c r="M99">
        <f>IF(L99&gt;0.005,MIN(MAX(K99,'Inputs'!$H$115/100*L99),'Inputs'!$H$116/100*L99),0)</f>
      </c>
      <c r="N99">
        <f>IF(M99&gt;0,M99-(MAX(0,(INDEX('Inputs'!$D$125:$D$131,MATCH($C$62+M99,'Inputs'!$C$125:$C$131,1))+INDEX('Inputs'!$E$125:$E$131,MATCH($C$62+M99,'Inputs'!$C$125:$C$131,1))/100*(($C$62+M99)-INDEX('Inputs'!$C$125:$C$131,MATCH($C$62+M99,'Inputs'!$C$125:$C$131,1))))-$C$60)-$C$68),0)</f>
      </c>
      <c r="O99">
        <f>IF(I99&lt;$C$64,MAX(0,J99-N99),0)</f>
      </c>
      <c r="P99">
        <f>IF($C$67&lt;&gt;1,0,P98*(1+((1+$C$76)^(1/12)-1))^12-O98/12*(1+((1+$C$76)^(1/12)-1))*(((1+((1+$C$76)^(1/12)-1))^12-1)/((1+((1+$C$76)^(1/12)-1))-1)))</f>
      </c>
      <c r="Q99">
        <f>IF($C$67&lt;&gt;1,0,IFERROR((((1+($C$76+'Inputs'!$H$108/100))^(1/12)-1)-((1+$C$76)^(1/12)-1))*(P99*(((1+((1+$C$76)^(1/12)-1))^12-1)/((1+((1+$C$76)^(1/12)-1))-1))-O99/12/((1+((1+$C$76)^(1/12)-1))-1)*((1+((1+$C$76)^(1/12)-1))*(((1+((1+$C$76)^(1/12)-1))^12-1)/((1+((1+$C$76)^(1/12)-1))-1))-12)),0))</f>
      </c>
    </row>
    <row r="100" spans="9:17" x14ac:dyDescent="0.25">
      <c r="I100">
        <v>40</v>
      </c>
      <c r="J100">
        <f>IF(I100&lt;$C$64,12*$C$65*(1+$C$66)^I100,0)</f>
      </c>
      <c r="K100">
        <f>IF(J100&lt;=0,0,INDEX($E$58:$E$65,MATCH(J100,$F$58:$F$65,1))+(J100-INDEX($F$58:$F$65,MATCH(J100,$F$58:$F$65,1)))/INDEX($G$58:$G$65,MATCH(J100,$F$58:$F$65,1))-$C$62)</f>
      </c>
      <c r="L100">
        <f>MAX(0,L99*(1+'Inputs'!$C$122/100)-M99/12*(1+'Inputs'!$C$122/100)^(1/12)*'Inputs'!$C$122/100/((1+'Inputs'!$C$122/100)^(1/12)-1))</f>
      </c>
      <c r="M100">
        <f>IF(L100&gt;0.005,MIN(MAX(K100,'Inputs'!$H$115/100*L100),'Inputs'!$H$116/100*L100),0)</f>
      </c>
      <c r="N100">
        <f>IF(M100&gt;0,M100-(MAX(0,(INDEX('Inputs'!$D$125:$D$131,MATCH($C$62+M100,'Inputs'!$C$125:$C$131,1))+INDEX('Inputs'!$E$125:$E$131,MATCH($C$62+M100,'Inputs'!$C$125:$C$131,1))/100*(($C$62+M100)-INDEX('Inputs'!$C$125:$C$131,MATCH($C$62+M100,'Inputs'!$C$125:$C$131,1))))-$C$60)-$C$68),0)</f>
      </c>
      <c r="O100">
        <f>IF(I100&lt;$C$64,MAX(0,J100-N100),0)</f>
      </c>
      <c r="P100">
        <f>IF($C$67&lt;&gt;1,0,P99*(1+((1+$C$76)^(1/12)-1))^12-O99/12*(1+((1+$C$76)^(1/12)-1))*(((1+((1+$C$76)^(1/12)-1))^12-1)/((1+((1+$C$76)^(1/12)-1))-1)))</f>
      </c>
      <c r="Q100">
        <f>IF($C$67&lt;&gt;1,0,IFERROR((((1+($C$76+'Inputs'!$H$108/100))^(1/12)-1)-((1+$C$76)^(1/12)-1))*(P100*(((1+((1+$C$76)^(1/12)-1))^12-1)/((1+((1+$C$76)^(1/12)-1))-1))-O100/12/((1+((1+$C$76)^(1/12)-1))-1)*((1+((1+$C$76)^(1/12)-1))*(((1+((1+$C$76)^(1/12)-1))^12-1)/((1+((1+$C$76)^(1/12)-1))-1))-12)),0))</f>
      </c>
    </row>
    <row r="101" spans="9:17" x14ac:dyDescent="0.25">
      <c r="I101">
        <v>41</v>
      </c>
      <c r="J101">
        <f>IF(I101&lt;$C$64,12*$C$65*(1+$C$66)^I101,0)</f>
      </c>
      <c r="K101">
        <f>IF(J101&lt;=0,0,INDEX($E$58:$E$65,MATCH(J101,$F$58:$F$65,1))+(J101-INDEX($F$58:$F$65,MATCH(J101,$F$58:$F$65,1)))/INDEX($G$58:$G$65,MATCH(J101,$F$58:$F$65,1))-$C$62)</f>
      </c>
      <c r="L101">
        <f>MAX(0,L100*(1+'Inputs'!$C$122/100)-M100/12*(1+'Inputs'!$C$122/100)^(1/12)*'Inputs'!$C$122/100/((1+'Inputs'!$C$122/100)^(1/12)-1))</f>
      </c>
      <c r="M101">
        <f>IF(L101&gt;0.005,MIN(MAX(K101,'Inputs'!$H$115/100*L101),'Inputs'!$H$116/100*L101),0)</f>
      </c>
      <c r="N101">
        <f>IF(M101&gt;0,M101-(MAX(0,(INDEX('Inputs'!$D$125:$D$131,MATCH($C$62+M101,'Inputs'!$C$125:$C$131,1))+INDEX('Inputs'!$E$125:$E$131,MATCH($C$62+M101,'Inputs'!$C$125:$C$131,1))/100*(($C$62+M101)-INDEX('Inputs'!$C$125:$C$131,MATCH($C$62+M101,'Inputs'!$C$125:$C$131,1))))-$C$60)-$C$68),0)</f>
      </c>
      <c r="O101">
        <f>IF(I101&lt;$C$64,MAX(0,J101-N101),0)</f>
      </c>
      <c r="P101">
        <f>IF($C$67&lt;&gt;1,0,P100*(1+((1+$C$76)^(1/12)-1))^12-O100/12*(1+((1+$C$76)^(1/12)-1))*(((1+((1+$C$76)^(1/12)-1))^12-1)/((1+((1+$C$76)^(1/12)-1))-1)))</f>
      </c>
      <c r="Q101">
        <f>IF($C$67&lt;&gt;1,0,IFERROR((((1+($C$76+'Inputs'!$H$108/100))^(1/12)-1)-((1+$C$76)^(1/12)-1))*(P101*(((1+((1+$C$76)^(1/12)-1))^12-1)/((1+((1+$C$76)^(1/12)-1))-1))-O101/12/((1+((1+$C$76)^(1/12)-1))-1)*((1+((1+$C$76)^(1/12)-1))*(((1+((1+$C$76)^(1/12)-1))^12-1)/((1+((1+$C$76)^(1/12)-1))-1))-12)),0))</f>
      </c>
    </row>
    <row r="102" spans="9:17" x14ac:dyDescent="0.25">
      <c r="I102">
        <v>42</v>
      </c>
      <c r="J102">
        <f>IF(I102&lt;$C$64,12*$C$65*(1+$C$66)^I102,0)</f>
      </c>
      <c r="K102">
        <f>IF(J102&lt;=0,0,INDEX($E$58:$E$65,MATCH(J102,$F$58:$F$65,1))+(J102-INDEX($F$58:$F$65,MATCH(J102,$F$58:$F$65,1)))/INDEX($G$58:$G$65,MATCH(J102,$F$58:$F$65,1))-$C$62)</f>
      </c>
      <c r="L102">
        <f>MAX(0,L101*(1+'Inputs'!$C$122/100)-M101/12*(1+'Inputs'!$C$122/100)^(1/12)*'Inputs'!$C$122/100/((1+'Inputs'!$C$122/100)^(1/12)-1))</f>
      </c>
      <c r="M102">
        <f>IF(L102&gt;0.005,MIN(MAX(K102,'Inputs'!$H$115/100*L102),'Inputs'!$H$116/100*L102),0)</f>
      </c>
      <c r="N102">
        <f>IF(M102&gt;0,M102-(MAX(0,(INDEX('Inputs'!$D$125:$D$131,MATCH($C$62+M102,'Inputs'!$C$125:$C$131,1))+INDEX('Inputs'!$E$125:$E$131,MATCH($C$62+M102,'Inputs'!$C$125:$C$131,1))/100*(($C$62+M102)-INDEX('Inputs'!$C$125:$C$131,MATCH($C$62+M102,'Inputs'!$C$125:$C$131,1))))-$C$60)-$C$68),0)</f>
      </c>
      <c r="O102">
        <f>IF(I102&lt;$C$64,MAX(0,J102-N102),0)</f>
      </c>
      <c r="P102">
        <f>IF($C$67&lt;&gt;1,0,P101*(1+((1+$C$76)^(1/12)-1))^12-O101/12*(1+((1+$C$76)^(1/12)-1))*(((1+((1+$C$76)^(1/12)-1))^12-1)/((1+((1+$C$76)^(1/12)-1))-1)))</f>
      </c>
      <c r="Q102">
        <f>IF($C$67&lt;&gt;1,0,IFERROR((((1+($C$76+'Inputs'!$H$108/100))^(1/12)-1)-((1+$C$76)^(1/12)-1))*(P102*(((1+((1+$C$76)^(1/12)-1))^12-1)/((1+((1+$C$76)^(1/12)-1))-1))-O102/12/((1+((1+$C$76)^(1/12)-1))-1)*((1+((1+$C$76)^(1/12)-1))*(((1+((1+$C$76)^(1/12)-1))^12-1)/((1+((1+$C$76)^(1/12)-1))-1))-12)),0))</f>
      </c>
    </row>
    <row r="103" spans="9:17" x14ac:dyDescent="0.25">
      <c r="I103">
        <v>43</v>
      </c>
      <c r="J103">
        <f>IF(I103&lt;$C$64,12*$C$65*(1+$C$66)^I103,0)</f>
      </c>
      <c r="K103">
        <f>IF(J103&lt;=0,0,INDEX($E$58:$E$65,MATCH(J103,$F$58:$F$65,1))+(J103-INDEX($F$58:$F$65,MATCH(J103,$F$58:$F$65,1)))/INDEX($G$58:$G$65,MATCH(J103,$F$58:$F$65,1))-$C$62)</f>
      </c>
      <c r="L103">
        <f>MAX(0,L102*(1+'Inputs'!$C$122/100)-M102/12*(1+'Inputs'!$C$122/100)^(1/12)*'Inputs'!$C$122/100/((1+'Inputs'!$C$122/100)^(1/12)-1))</f>
      </c>
      <c r="M103">
        <f>IF(L103&gt;0.005,MIN(MAX(K103,'Inputs'!$H$115/100*L103),'Inputs'!$H$116/100*L103),0)</f>
      </c>
      <c r="N103">
        <f>IF(M103&gt;0,M103-(MAX(0,(INDEX('Inputs'!$D$125:$D$131,MATCH($C$62+M103,'Inputs'!$C$125:$C$131,1))+INDEX('Inputs'!$E$125:$E$131,MATCH($C$62+M103,'Inputs'!$C$125:$C$131,1))/100*(($C$62+M103)-INDEX('Inputs'!$C$125:$C$131,MATCH($C$62+M103,'Inputs'!$C$125:$C$131,1))))-$C$60)-$C$68),0)</f>
      </c>
      <c r="O103">
        <f>IF(I103&lt;$C$64,MAX(0,J103-N103),0)</f>
      </c>
      <c r="P103">
        <f>IF($C$67&lt;&gt;1,0,P102*(1+((1+$C$76)^(1/12)-1))^12-O102/12*(1+((1+$C$76)^(1/12)-1))*(((1+((1+$C$76)^(1/12)-1))^12-1)/((1+((1+$C$76)^(1/12)-1))-1)))</f>
      </c>
      <c r="Q103">
        <f>IF($C$67&lt;&gt;1,0,IFERROR((((1+($C$76+'Inputs'!$H$108/100))^(1/12)-1)-((1+$C$76)^(1/12)-1))*(P103*(((1+((1+$C$76)^(1/12)-1))^12-1)/((1+((1+$C$76)^(1/12)-1))-1))-O103/12/((1+((1+$C$76)^(1/12)-1))-1)*((1+((1+$C$76)^(1/12)-1))*(((1+((1+$C$76)^(1/12)-1))^12-1)/((1+((1+$C$76)^(1/12)-1))-1))-12)),0))</f>
      </c>
    </row>
    <row r="104" spans="9:17" x14ac:dyDescent="0.25">
      <c r="I104">
        <v>44</v>
      </c>
      <c r="J104">
        <f>IF(I104&lt;$C$64,12*$C$65*(1+$C$66)^I104,0)</f>
      </c>
      <c r="K104">
        <f>IF(J104&lt;=0,0,INDEX($E$58:$E$65,MATCH(J104,$F$58:$F$65,1))+(J104-INDEX($F$58:$F$65,MATCH(J104,$F$58:$F$65,1)))/INDEX($G$58:$G$65,MATCH(J104,$F$58:$F$65,1))-$C$62)</f>
      </c>
      <c r="L104">
        <f>MAX(0,L103*(1+'Inputs'!$C$122/100)-M103/12*(1+'Inputs'!$C$122/100)^(1/12)*'Inputs'!$C$122/100/((1+'Inputs'!$C$122/100)^(1/12)-1))</f>
      </c>
      <c r="M104">
        <f>IF(L104&gt;0.005,MIN(MAX(K104,'Inputs'!$H$115/100*L104),'Inputs'!$H$116/100*L104),0)</f>
      </c>
      <c r="N104">
        <f>IF(M104&gt;0,M104-(MAX(0,(INDEX('Inputs'!$D$125:$D$131,MATCH($C$62+M104,'Inputs'!$C$125:$C$131,1))+INDEX('Inputs'!$E$125:$E$131,MATCH($C$62+M104,'Inputs'!$C$125:$C$131,1))/100*(($C$62+M104)-INDEX('Inputs'!$C$125:$C$131,MATCH($C$62+M104,'Inputs'!$C$125:$C$131,1))))-$C$60)-$C$68),0)</f>
      </c>
      <c r="O104">
        <f>IF(I104&lt;$C$64,MAX(0,J104-N104),0)</f>
      </c>
      <c r="P104">
        <f>IF($C$67&lt;&gt;1,0,P103*(1+((1+$C$76)^(1/12)-1))^12-O103/12*(1+((1+$C$76)^(1/12)-1))*(((1+((1+$C$76)^(1/12)-1))^12-1)/((1+((1+$C$76)^(1/12)-1))-1)))</f>
      </c>
      <c r="Q104">
        <f>IF($C$67&lt;&gt;1,0,IFERROR((((1+($C$76+'Inputs'!$H$108/100))^(1/12)-1)-((1+$C$76)^(1/12)-1))*(P104*(((1+((1+$C$76)^(1/12)-1))^12-1)/((1+((1+$C$76)^(1/12)-1))-1))-O104/12/((1+((1+$C$76)^(1/12)-1))-1)*((1+((1+$C$76)^(1/12)-1))*(((1+((1+$C$76)^(1/12)-1))^12-1)/((1+((1+$C$76)^(1/12)-1))-1))-12)),0))</f>
      </c>
    </row>
    <row r="105" spans="9:17" x14ac:dyDescent="0.25">
      <c r="I105">
        <v>45</v>
      </c>
      <c r="J105">
        <f>IF(I105&lt;$C$64,12*$C$65*(1+$C$66)^I105,0)</f>
      </c>
      <c r="K105">
        <f>IF(J105&lt;=0,0,INDEX($E$58:$E$65,MATCH(J105,$F$58:$F$65,1))+(J105-INDEX($F$58:$F$65,MATCH(J105,$F$58:$F$65,1)))/INDEX($G$58:$G$65,MATCH(J105,$F$58:$F$65,1))-$C$62)</f>
      </c>
      <c r="L105">
        <f>MAX(0,L104*(1+'Inputs'!$C$122/100)-M104/12*(1+'Inputs'!$C$122/100)^(1/12)*'Inputs'!$C$122/100/((1+'Inputs'!$C$122/100)^(1/12)-1))</f>
      </c>
      <c r="M105">
        <f>IF(L105&gt;0.005,MIN(MAX(K105,'Inputs'!$H$115/100*L105),'Inputs'!$H$116/100*L105),0)</f>
      </c>
      <c r="N105">
        <f>IF(M105&gt;0,M105-(MAX(0,(INDEX('Inputs'!$D$125:$D$131,MATCH($C$62+M105,'Inputs'!$C$125:$C$131,1))+INDEX('Inputs'!$E$125:$E$131,MATCH($C$62+M105,'Inputs'!$C$125:$C$131,1))/100*(($C$62+M105)-INDEX('Inputs'!$C$125:$C$131,MATCH($C$62+M105,'Inputs'!$C$125:$C$131,1))))-$C$60)-$C$68),0)</f>
      </c>
      <c r="O105">
        <f>IF(I105&lt;$C$64,MAX(0,J105-N105),0)</f>
      </c>
      <c r="P105">
        <f>IF($C$67&lt;&gt;1,0,P104*(1+((1+$C$76)^(1/12)-1))^12-O104/12*(1+((1+$C$76)^(1/12)-1))*(((1+((1+$C$76)^(1/12)-1))^12-1)/((1+((1+$C$76)^(1/12)-1))-1)))</f>
      </c>
      <c r="Q105">
        <f>IF($C$67&lt;&gt;1,0,IFERROR((((1+($C$76+'Inputs'!$H$108/100))^(1/12)-1)-((1+$C$76)^(1/12)-1))*(P105*(((1+((1+$C$76)^(1/12)-1))^12-1)/((1+((1+$C$76)^(1/12)-1))-1))-O105/12/((1+((1+$C$76)^(1/12)-1))-1)*((1+((1+$C$76)^(1/12)-1))*(((1+((1+$C$76)^(1/12)-1))^12-1)/((1+((1+$C$76)^(1/12)-1))-1))-12)),0))</f>
      </c>
    </row>
    <row r="106" spans="9:17" x14ac:dyDescent="0.25">
      <c r="I106">
        <v>46</v>
      </c>
      <c r="J106">
        <f>IF(I106&lt;$C$64,12*$C$65*(1+$C$66)^I106,0)</f>
      </c>
      <c r="K106">
        <f>IF(J106&lt;=0,0,INDEX($E$58:$E$65,MATCH(J106,$F$58:$F$65,1))+(J106-INDEX($F$58:$F$65,MATCH(J106,$F$58:$F$65,1)))/INDEX($G$58:$G$65,MATCH(J106,$F$58:$F$65,1))-$C$62)</f>
      </c>
      <c r="L106">
        <f>MAX(0,L105*(1+'Inputs'!$C$122/100)-M105/12*(1+'Inputs'!$C$122/100)^(1/12)*'Inputs'!$C$122/100/((1+'Inputs'!$C$122/100)^(1/12)-1))</f>
      </c>
      <c r="M106">
        <f>IF(L106&gt;0.005,MIN(MAX(K106,'Inputs'!$H$115/100*L106),'Inputs'!$H$116/100*L106),0)</f>
      </c>
      <c r="N106">
        <f>IF(M106&gt;0,M106-(MAX(0,(INDEX('Inputs'!$D$125:$D$131,MATCH($C$62+M106,'Inputs'!$C$125:$C$131,1))+INDEX('Inputs'!$E$125:$E$131,MATCH($C$62+M106,'Inputs'!$C$125:$C$131,1))/100*(($C$62+M106)-INDEX('Inputs'!$C$125:$C$131,MATCH($C$62+M106,'Inputs'!$C$125:$C$131,1))))-$C$60)-$C$68),0)</f>
      </c>
      <c r="O106">
        <f>IF(I106&lt;$C$64,MAX(0,J106-N106),0)</f>
      </c>
      <c r="P106">
        <f>IF($C$67&lt;&gt;1,0,P105*(1+((1+$C$76)^(1/12)-1))^12-O105/12*(1+((1+$C$76)^(1/12)-1))*(((1+((1+$C$76)^(1/12)-1))^12-1)/((1+((1+$C$76)^(1/12)-1))-1)))</f>
      </c>
      <c r="Q106">
        <f>IF($C$67&lt;&gt;1,0,IFERROR((((1+($C$76+'Inputs'!$H$108/100))^(1/12)-1)-((1+$C$76)^(1/12)-1))*(P106*(((1+((1+$C$76)^(1/12)-1))^12-1)/((1+((1+$C$76)^(1/12)-1))-1))-O106/12/((1+((1+$C$76)^(1/12)-1))-1)*((1+((1+$C$76)^(1/12)-1))*(((1+((1+$C$76)^(1/12)-1))^12-1)/((1+((1+$C$76)^(1/12)-1))-1))-12)),0))</f>
      </c>
    </row>
    <row r="107" spans="9:17" x14ac:dyDescent="0.25">
      <c r="I107">
        <v>47</v>
      </c>
      <c r="J107">
        <f>IF(I107&lt;$C$64,12*$C$65*(1+$C$66)^I107,0)</f>
      </c>
      <c r="K107">
        <f>IF(J107&lt;=0,0,INDEX($E$58:$E$65,MATCH(J107,$F$58:$F$65,1))+(J107-INDEX($F$58:$F$65,MATCH(J107,$F$58:$F$65,1)))/INDEX($G$58:$G$65,MATCH(J107,$F$58:$F$65,1))-$C$62)</f>
      </c>
      <c r="L107">
        <f>MAX(0,L106*(1+'Inputs'!$C$122/100)-M106/12*(1+'Inputs'!$C$122/100)^(1/12)*'Inputs'!$C$122/100/((1+'Inputs'!$C$122/100)^(1/12)-1))</f>
      </c>
      <c r="M107">
        <f>IF(L107&gt;0.005,MIN(MAX(K107,'Inputs'!$H$115/100*L107),'Inputs'!$H$116/100*L107),0)</f>
      </c>
      <c r="N107">
        <f>IF(M107&gt;0,M107-(MAX(0,(INDEX('Inputs'!$D$125:$D$131,MATCH($C$62+M107,'Inputs'!$C$125:$C$131,1))+INDEX('Inputs'!$E$125:$E$131,MATCH($C$62+M107,'Inputs'!$C$125:$C$131,1))/100*(($C$62+M107)-INDEX('Inputs'!$C$125:$C$131,MATCH($C$62+M107,'Inputs'!$C$125:$C$131,1))))-$C$60)-$C$68),0)</f>
      </c>
      <c r="O107">
        <f>IF(I107&lt;$C$64,MAX(0,J107-N107),0)</f>
      </c>
      <c r="P107">
        <f>IF($C$67&lt;&gt;1,0,P106*(1+((1+$C$76)^(1/12)-1))^12-O106/12*(1+((1+$C$76)^(1/12)-1))*(((1+((1+$C$76)^(1/12)-1))^12-1)/((1+((1+$C$76)^(1/12)-1))-1)))</f>
      </c>
      <c r="Q107">
        <f>IF($C$67&lt;&gt;1,0,IFERROR((((1+($C$76+'Inputs'!$H$108/100))^(1/12)-1)-((1+$C$76)^(1/12)-1))*(P107*(((1+((1+$C$76)^(1/12)-1))^12-1)/((1+((1+$C$76)^(1/12)-1))-1))-O107/12/((1+((1+$C$76)^(1/12)-1))-1)*((1+((1+$C$76)^(1/12)-1))*(((1+((1+$C$76)^(1/12)-1))^12-1)/((1+((1+$C$76)^(1/12)-1))-1))-12)),0))</f>
      </c>
    </row>
    <row r="108" spans="9:17" x14ac:dyDescent="0.25">
      <c r="I108">
        <v>48</v>
      </c>
      <c r="J108">
        <f>IF(I108&lt;$C$64,12*$C$65*(1+$C$66)^I108,0)</f>
      </c>
      <c r="K108">
        <f>IF(J108&lt;=0,0,INDEX($E$58:$E$65,MATCH(J108,$F$58:$F$65,1))+(J108-INDEX($F$58:$F$65,MATCH(J108,$F$58:$F$65,1)))/INDEX($G$58:$G$65,MATCH(J108,$F$58:$F$65,1))-$C$62)</f>
      </c>
      <c r="L108">
        <f>MAX(0,L107*(1+'Inputs'!$C$122/100)-M107/12*(1+'Inputs'!$C$122/100)^(1/12)*'Inputs'!$C$122/100/((1+'Inputs'!$C$122/100)^(1/12)-1))</f>
      </c>
      <c r="M108">
        <f>IF(L108&gt;0.005,MIN(MAX(K108,'Inputs'!$H$115/100*L108),'Inputs'!$H$116/100*L108),0)</f>
      </c>
      <c r="N108">
        <f>IF(M108&gt;0,M108-(MAX(0,(INDEX('Inputs'!$D$125:$D$131,MATCH($C$62+M108,'Inputs'!$C$125:$C$131,1))+INDEX('Inputs'!$E$125:$E$131,MATCH($C$62+M108,'Inputs'!$C$125:$C$131,1))/100*(($C$62+M108)-INDEX('Inputs'!$C$125:$C$131,MATCH($C$62+M108,'Inputs'!$C$125:$C$131,1))))-$C$60)-$C$68),0)</f>
      </c>
      <c r="O108">
        <f>IF(I108&lt;$C$64,MAX(0,J108-N108),0)</f>
      </c>
      <c r="P108">
        <f>IF($C$67&lt;&gt;1,0,P107*(1+((1+$C$76)^(1/12)-1))^12-O107/12*(1+((1+$C$76)^(1/12)-1))*(((1+((1+$C$76)^(1/12)-1))^12-1)/((1+((1+$C$76)^(1/12)-1))-1)))</f>
      </c>
      <c r="Q108">
        <f>IF($C$67&lt;&gt;1,0,IFERROR((((1+($C$76+'Inputs'!$H$108/100))^(1/12)-1)-((1+$C$76)^(1/12)-1))*(P108*(((1+((1+$C$76)^(1/12)-1))^12-1)/((1+((1+$C$76)^(1/12)-1))-1))-O108/12/((1+((1+$C$76)^(1/12)-1))-1)*((1+((1+$C$76)^(1/12)-1))*(((1+((1+$C$76)^(1/12)-1))^12-1)/((1+((1+$C$76)^(1/12)-1))-1))-12)),0))</f>
      </c>
    </row>
    <row r="109" spans="9:17" x14ac:dyDescent="0.25">
      <c r="I109">
        <v>49</v>
      </c>
      <c r="J109">
        <f>IF(I109&lt;$C$64,12*$C$65*(1+$C$66)^I109,0)</f>
      </c>
      <c r="K109">
        <f>IF(J109&lt;=0,0,INDEX($E$58:$E$65,MATCH(J109,$F$58:$F$65,1))+(J109-INDEX($F$58:$F$65,MATCH(J109,$F$58:$F$65,1)))/INDEX($G$58:$G$65,MATCH(J109,$F$58:$F$65,1))-$C$62)</f>
      </c>
      <c r="L109">
        <f>MAX(0,L108*(1+'Inputs'!$C$122/100)-M108/12*(1+'Inputs'!$C$122/100)^(1/12)*'Inputs'!$C$122/100/((1+'Inputs'!$C$122/100)^(1/12)-1))</f>
      </c>
      <c r="M109">
        <f>IF(L109&gt;0.005,MIN(MAX(K109,'Inputs'!$H$115/100*L109),'Inputs'!$H$116/100*L109),0)</f>
      </c>
      <c r="N109">
        <f>IF(M109&gt;0,M109-(MAX(0,(INDEX('Inputs'!$D$125:$D$131,MATCH($C$62+M109,'Inputs'!$C$125:$C$131,1))+INDEX('Inputs'!$E$125:$E$131,MATCH($C$62+M109,'Inputs'!$C$125:$C$131,1))/100*(($C$62+M109)-INDEX('Inputs'!$C$125:$C$131,MATCH($C$62+M109,'Inputs'!$C$125:$C$131,1))))-$C$60)-$C$68),0)</f>
      </c>
      <c r="O109">
        <f>IF(I109&lt;$C$64,MAX(0,J109-N109),0)</f>
      </c>
      <c r="P109">
        <f>IF($C$67&lt;&gt;1,0,P108*(1+((1+$C$76)^(1/12)-1))^12-O108/12*(1+((1+$C$76)^(1/12)-1))*(((1+((1+$C$76)^(1/12)-1))^12-1)/((1+((1+$C$76)^(1/12)-1))-1)))</f>
      </c>
      <c r="Q109">
        <f>IF($C$67&lt;&gt;1,0,IFERROR((((1+($C$76+'Inputs'!$H$108/100))^(1/12)-1)-((1+$C$76)^(1/12)-1))*(P109*(((1+((1+$C$76)^(1/12)-1))^12-1)/((1+((1+$C$76)^(1/12)-1))-1))-O109/12/((1+((1+$C$76)^(1/12)-1))-1)*((1+((1+$C$76)^(1/12)-1))*(((1+((1+$C$76)^(1/12)-1))^12-1)/((1+((1+$C$76)^(1/12)-1))-1))-12)),0))</f>
      </c>
    </row>
    <row r="113" spans="5:7" x14ac:dyDescent="0.25"/>
    <row r="114" spans="2:20" x14ac:dyDescent="0.25">
      <c r="B114" t="s">
        <v>113</v>
      </c>
      <c r="C114">
        <f>IF('Inputs'!$B$91="","",'Inputs'!$B$91)</f>
      </c>
      <c r="E114">
        <f>MAX($C$118,0)</f>
      </c>
      <c r="F114">
        <f>(E114-$C$118)-(MAX(0,(INDEX('Inputs'!$D$125:$D$131,MATCH(E114,'Inputs'!$C$125:$C$131,1))+INDEX('Inputs'!$E$125:$E$131,MATCH(E114,'Inputs'!$C$125:$C$131,1))/100*((E114)-INDEX('Inputs'!$C$125:$C$131,MATCH(E114,'Inputs'!$C$125:$C$131,1))))-$C$116)-$C$124)</f>
      </c>
      <c r="G114">
        <f>1-IF(E114&gt;=$C$117,INDEX('Inputs'!$E$125:$E$131,MATCH(E114,'Inputs'!$C$125:$C$131,1))/100,0)</f>
      </c>
      <c r="S114" t="s">
        <v>423</v>
      </c>
      <c r="T114" t="s">
        <v>424</v>
      </c>
    </row>
    <row r="115" spans="2:20" x14ac:dyDescent="0.25">
      <c r="B115" t="s">
        <v>115</v>
      </c>
      <c r="C115">
        <f>N('Inputs'!$D$91)</f>
      </c>
      <c r="E115">
        <f>MAX($C$118,$C$117)</f>
      </c>
      <c r="F115">
        <f>(E115-$C$118)-(MAX(0,(INDEX('Inputs'!$D$125:$D$131,MATCH(E115,'Inputs'!$C$125:$C$131,1))+INDEX('Inputs'!$E$125:$E$131,MATCH(E115,'Inputs'!$C$125:$C$131,1))/100*((E115)-INDEX('Inputs'!$C$125:$C$131,MATCH(E115,'Inputs'!$C$125:$C$131,1))))-$C$116)-$C$124)</f>
      </c>
      <c r="G115">
        <f>1-IF(E115&gt;=$C$117,INDEX('Inputs'!$E$125:$E$131,MATCH(E115,'Inputs'!$C$125:$C$131,1))/100,0)</f>
      </c>
      <c r="I115" t="s">
        <v>425</v>
      </c>
      <c r="J115" t="s">
        <v>426</v>
      </c>
      <c r="K115" t="s">
        <v>427</v>
      </c>
      <c r="L115" t="s">
        <v>428</v>
      </c>
      <c r="M115" t="s">
        <v>429</v>
      </c>
      <c r="N115" t="s">
        <v>430</v>
      </c>
      <c r="O115" t="s">
        <v>431</v>
      </c>
      <c r="P115" t="s">
        <v>432</v>
      </c>
      <c r="Q115" t="s">
        <v>433</v>
      </c>
      <c r="S115">
        <f>0</f>
      </c>
      <c r="T115">
        <f>ROUND(IF(('Inputs'!$C$122/100*(1-('Inputs'!$H$110/100*S115+'Inputs'!$H$111/100*'Inputs'!$H$113/100+'Inputs'!$H$112/100*'Inputs'!$C$120/100*S115))-IF($C$123=1,'Inputs'!$H$108/100,0))=0,SUM($O$116:$O$165),(1-(1+('Inputs'!$C$122/100*(1-('Inputs'!$H$110/100*S115+'Inputs'!$H$111/100*'Inputs'!$H$113/100+'Inputs'!$H$112/100*'Inputs'!$C$120/100*S115))-IF($C$123=1,'Inputs'!$H$108/100,0)))^-1)/(1-(1+('Inputs'!$C$122/100*(1-('Inputs'!$H$110/100*S115+'Inputs'!$H$111/100*'Inputs'!$H$113/100+'Inputs'!$H$112/100*'Inputs'!$C$120/100*S115))-IF($C$123=1,'Inputs'!$H$108/100,0)))^(-1/12))/12*SUMPRODUCT($O$116:$O$165,(1+('Inputs'!$C$122/100*(1-('Inputs'!$H$110/100*S115+'Inputs'!$H$111/100*'Inputs'!$H$113/100+'Inputs'!$H$112/100*'Inputs'!$C$120/100*S115))-IF($C$123=1,'Inputs'!$H$108/100,0)))^(-$I$116:$I$165))),2)</f>
      </c>
    </row>
    <row r="116" spans="2:20" x14ac:dyDescent="0.25">
      <c r="B116" t="s">
        <v>434</v>
      </c>
      <c r="C116">
        <f>IF($C$114="",0,'Inputs'!$H$117+IF($C$115&gt;=65,'Inputs'!$H$118,0)+IF($C$115&gt;=75,'Inputs'!$H$119,0))</f>
      </c>
      <c r="E116">
        <f>MAX($C$118,INDEX('Inputs'!$C$125:$C$131,2))</f>
      </c>
      <c r="F116">
        <f>(E116-$C$118)-(MAX(0,(INDEX('Inputs'!$D$125:$D$131,MATCH(E116,'Inputs'!$C$125:$C$131,1))+INDEX('Inputs'!$E$125:$E$131,MATCH(E116,'Inputs'!$C$125:$C$131,1))/100*((E116)-INDEX('Inputs'!$C$125:$C$131,MATCH(E116,'Inputs'!$C$125:$C$131,1))))-$C$116)-$C$124)</f>
      </c>
      <c r="G116">
        <f>1-IF(E116&gt;=$C$117,INDEX('Inputs'!$E$125:$E$131,MATCH(E116,'Inputs'!$C$125:$C$131,1))/100,0)</f>
      </c>
      <c r="I116">
        <v>0</v>
      </c>
      <c r="J116">
        <f>IF(I116&lt;$C$120,12*$C$121*(1+$C$122)^I116,0)</f>
      </c>
      <c r="K116">
        <f>IF(J116&lt;=0,0,INDEX($E$114:$E$121,MATCH(J116,$F$114:$F$121,1))+(J116-INDEX($F$114:$F$121,MATCH(J116,$F$114:$F$121,1)))/INDEX($G$114:$G$121,MATCH(J116,$F$114:$F$121,1))-$C$118)</f>
      </c>
      <c r="L116">
        <f>$C$119</f>
      </c>
      <c r="M116">
        <f>IF(L116&gt;0.005,MIN(MAX(K116,'Inputs'!$H$115/100*L116),'Inputs'!$H$116/100*L116),0)</f>
      </c>
      <c r="N116">
        <f>IF(M116&gt;0,M116-(MAX(0,(INDEX('Inputs'!$D$125:$D$131,MATCH($C$118+M116,'Inputs'!$C$125:$C$131,1))+INDEX('Inputs'!$E$125:$E$131,MATCH($C$118+M116,'Inputs'!$C$125:$C$131,1))/100*(($C$118+M116)-INDEX('Inputs'!$C$125:$C$131,MATCH($C$118+M116,'Inputs'!$C$125:$C$131,1))))-$C$116)-$C$124),0)</f>
      </c>
      <c r="O116">
        <f>IF(I116&lt;$C$120,MAX(0,J116-N116),0)</f>
      </c>
      <c r="P116">
        <f>IF($C$123&lt;&gt;1,0,IF($C$132=0,SUM($O$116:$O$165),(1-(1+$C$132)^-1)/(1-(1+$C$132)^(-1/12))/12*SUMPRODUCT($O$116:$O$165,(1+$C$132)^(-$I$116:$I$165))))</f>
      </c>
      <c r="Q116">
        <f>IF($C$123&lt;&gt;1,0,IFERROR((((1+($C$132+'Inputs'!$H$108/100))^(1/12)-1)-((1+$C$132)^(1/12)-1))*(P116*(((1+((1+$C$132)^(1/12)-1))^12-1)/((1+((1+$C$132)^(1/12)-1))-1))-O116/12/((1+((1+$C$132)^(1/12)-1))-1)*((1+((1+$C$132)^(1/12)-1))*(((1+((1+$C$132)^(1/12)-1))^12-1)/((1+((1+$C$132)^(1/12)-1))-1))-12)),0))</f>
      </c>
      <c r="S116">
        <f>IF($C$118+$C$125+T115*('Inputs'!$C$122/100*('Inputs'!$H$110/100+'Inputs'!$C$120/100*'Inputs'!$H$112/100))&lt;=$C$117,0,INDEX('Inputs'!$E$125:$E$131,MATCH($C$118+$C$125+T115*('Inputs'!$C$122/100*('Inputs'!$H$110/100+'Inputs'!$C$120/100*'Inputs'!$H$112/100)),'Inputs'!$C$125:$C$131,1)-IF(COUNTIF('Inputs'!$C$125:$C$131,$C$118+$C$125+T115*('Inputs'!$C$122/100*('Inputs'!$H$110/100+'Inputs'!$C$120/100*'Inputs'!$H$112/100)))&gt;0,1,0))/100)</f>
      </c>
      <c r="T116">
        <f>ROUND(IF(('Inputs'!$C$122/100*(1-('Inputs'!$H$110/100*S116+'Inputs'!$H$111/100*'Inputs'!$H$113/100+'Inputs'!$H$112/100*'Inputs'!$C$120/100*S116))-IF($C$123=1,'Inputs'!$H$108/100,0))=0,SUM($O$116:$O$165),(1-(1+('Inputs'!$C$122/100*(1-('Inputs'!$H$110/100*S116+'Inputs'!$H$111/100*'Inputs'!$H$113/100+'Inputs'!$H$112/100*'Inputs'!$C$120/100*S116))-IF($C$123=1,'Inputs'!$H$108/100,0)))^-1)/(1-(1+('Inputs'!$C$122/100*(1-('Inputs'!$H$110/100*S116+'Inputs'!$H$111/100*'Inputs'!$H$113/100+'Inputs'!$H$112/100*'Inputs'!$C$120/100*S116))-IF($C$123=1,'Inputs'!$H$108/100,0)))^(-1/12))/12*SUMPRODUCT($O$116:$O$165,(1+('Inputs'!$C$122/100*(1-('Inputs'!$H$110/100*S116+'Inputs'!$H$111/100*'Inputs'!$H$113/100+'Inputs'!$H$112/100*'Inputs'!$C$120/100*S116))-IF($C$123=1,'Inputs'!$H$108/100,0)))^(-$I$116:$I$165))),2)</f>
      </c>
    </row>
    <row r="117" spans="2:20" x14ac:dyDescent="0.25">
      <c r="B117" t="s">
        <v>435</v>
      </c>
      <c r="C117">
        <f>IF($C$115&gt;=75,'Inputs'!$H$121,IF($C$115&gt;=65,'Inputs'!$H$120,'Inputs'!$H$109))</f>
      </c>
      <c r="E117">
        <f>MAX($C$118,INDEX('Inputs'!$C$125:$C$131,3))</f>
      </c>
      <c r="F117">
        <f>(E117-$C$118)-(MAX(0,(INDEX('Inputs'!$D$125:$D$131,MATCH(E117,'Inputs'!$C$125:$C$131,1))+INDEX('Inputs'!$E$125:$E$131,MATCH(E117,'Inputs'!$C$125:$C$131,1))/100*((E117)-INDEX('Inputs'!$C$125:$C$131,MATCH(E117,'Inputs'!$C$125:$C$131,1))))-$C$116)-$C$124)</f>
      </c>
      <c r="G117">
        <f>1-IF(E117&gt;=$C$117,INDEX('Inputs'!$E$125:$E$131,MATCH(E117,'Inputs'!$C$125:$C$131,1))/100,0)</f>
      </c>
      <c r="I117">
        <v>1</v>
      </c>
      <c r="J117">
        <f>IF(I117&lt;$C$120,12*$C$121*(1+$C$122)^I117,0)</f>
      </c>
      <c r="K117">
        <f>IF(J117&lt;=0,0,INDEX($E$114:$E$121,MATCH(J117,$F$114:$F$121,1))+(J117-INDEX($F$114:$F$121,MATCH(J117,$F$114:$F$121,1)))/INDEX($G$114:$G$121,MATCH(J117,$F$114:$F$121,1))-$C$118)</f>
      </c>
      <c r="L117">
        <f>MAX(0,L116*(1+'Inputs'!$C$122/100)-M116/12*(1+'Inputs'!$C$122/100)^(1/12)*'Inputs'!$C$122/100/((1+'Inputs'!$C$122/100)^(1/12)-1))</f>
      </c>
      <c r="M117">
        <f>IF(L117&gt;0.005,MIN(MAX(K117,'Inputs'!$H$115/100*L117),'Inputs'!$H$116/100*L117),0)</f>
      </c>
      <c r="N117">
        <f>IF(M117&gt;0,M117-(MAX(0,(INDEX('Inputs'!$D$125:$D$131,MATCH($C$118+M117,'Inputs'!$C$125:$C$131,1))+INDEX('Inputs'!$E$125:$E$131,MATCH($C$118+M117,'Inputs'!$C$125:$C$131,1))/100*(($C$118+M117)-INDEX('Inputs'!$C$125:$C$131,MATCH($C$118+M117,'Inputs'!$C$125:$C$131,1))))-$C$116)-$C$124),0)</f>
      </c>
      <c r="O117">
        <f>IF(I117&lt;$C$120,MAX(0,J117-N117),0)</f>
      </c>
      <c r="P117">
        <f>IF($C$123&lt;&gt;1,0,P116*(1+((1+$C$132)^(1/12)-1))^12-O116/12*(1+((1+$C$132)^(1/12)-1))*(((1+((1+$C$132)^(1/12)-1))^12-1)/((1+((1+$C$132)^(1/12)-1))-1)))</f>
      </c>
      <c r="Q117">
        <f>IF($C$123&lt;&gt;1,0,IFERROR((((1+($C$132+'Inputs'!$H$108/100))^(1/12)-1)-((1+$C$132)^(1/12)-1))*(P117*(((1+((1+$C$132)^(1/12)-1))^12-1)/((1+((1+$C$132)^(1/12)-1))-1))-O117/12/((1+((1+$C$132)^(1/12)-1))-1)*((1+((1+$C$132)^(1/12)-1))*(((1+((1+$C$132)^(1/12)-1))^12-1)/((1+((1+$C$132)^(1/12)-1))-1))-12)),0))</f>
      </c>
      <c r="S117">
        <f>IF($C$118+$C$125+T116*('Inputs'!$C$122/100*('Inputs'!$H$110/100+'Inputs'!$C$120/100*'Inputs'!$H$112/100))&lt;=$C$117,0,INDEX('Inputs'!$E$125:$E$131,MATCH($C$118+$C$125+T116*('Inputs'!$C$122/100*('Inputs'!$H$110/100+'Inputs'!$C$120/100*'Inputs'!$H$112/100)),'Inputs'!$C$125:$C$131,1)-IF(COUNTIF('Inputs'!$C$125:$C$131,$C$118+$C$125+T116*('Inputs'!$C$122/100*('Inputs'!$H$110/100+'Inputs'!$C$120/100*'Inputs'!$H$112/100)))&gt;0,1,0))/100)</f>
      </c>
      <c r="T117">
        <f>ROUND(IF(('Inputs'!$C$122/100*(1-('Inputs'!$H$110/100*S117+'Inputs'!$H$111/100*'Inputs'!$H$113/100+'Inputs'!$H$112/100*'Inputs'!$C$120/100*S117))-IF($C$123=1,'Inputs'!$H$108/100,0))=0,SUM($O$116:$O$165),(1-(1+('Inputs'!$C$122/100*(1-('Inputs'!$H$110/100*S117+'Inputs'!$H$111/100*'Inputs'!$H$113/100+'Inputs'!$H$112/100*'Inputs'!$C$120/100*S117))-IF($C$123=1,'Inputs'!$H$108/100,0)))^-1)/(1-(1+('Inputs'!$C$122/100*(1-('Inputs'!$H$110/100*S117+'Inputs'!$H$111/100*'Inputs'!$H$113/100+'Inputs'!$H$112/100*'Inputs'!$C$120/100*S117))-IF($C$123=1,'Inputs'!$H$108/100,0)))^(-1/12))/12*SUMPRODUCT($O$116:$O$165,(1+('Inputs'!$C$122/100*(1-('Inputs'!$H$110/100*S117+'Inputs'!$H$111/100*'Inputs'!$H$113/100+'Inputs'!$H$112/100*'Inputs'!$C$120/100*S117))-IF($C$123=1,'Inputs'!$H$108/100,0)))^(-$I$116:$I$165))),2)</f>
      </c>
    </row>
    <row r="118" spans="2:20" x14ac:dyDescent="0.25">
      <c r="B118" t="s">
        <v>436</v>
      </c>
      <c r="C118">
        <f>N('Inputs'!$I$91)</f>
      </c>
      <c r="E118">
        <f>MAX($C$118,INDEX('Inputs'!$C$125:$C$131,4))</f>
      </c>
      <c r="F118">
        <f>(E118-$C$118)-(MAX(0,(INDEX('Inputs'!$D$125:$D$131,MATCH(E118,'Inputs'!$C$125:$C$131,1))+INDEX('Inputs'!$E$125:$E$131,MATCH(E118,'Inputs'!$C$125:$C$131,1))/100*((E118)-INDEX('Inputs'!$C$125:$C$131,MATCH(E118,'Inputs'!$C$125:$C$131,1))))-$C$116)-$C$124)</f>
      </c>
      <c r="G118">
        <f>1-IF(E118&gt;=$C$117,INDEX('Inputs'!$E$125:$E$131,MATCH(E118,'Inputs'!$C$125:$C$131,1))/100,0)</f>
      </c>
      <c r="I118">
        <v>2</v>
      </c>
      <c r="J118">
        <f>IF(I118&lt;$C$120,12*$C$121*(1+$C$122)^I118,0)</f>
      </c>
      <c r="K118">
        <f>IF(J118&lt;=0,0,INDEX($E$114:$E$121,MATCH(J118,$F$114:$F$121,1))+(J118-INDEX($F$114:$F$121,MATCH(J118,$F$114:$F$121,1)))/INDEX($G$114:$G$121,MATCH(J118,$F$114:$F$121,1))-$C$118)</f>
      </c>
      <c r="L118">
        <f>MAX(0,L117*(1+'Inputs'!$C$122/100)-M117/12*(1+'Inputs'!$C$122/100)^(1/12)*'Inputs'!$C$122/100/((1+'Inputs'!$C$122/100)^(1/12)-1))</f>
      </c>
      <c r="M118">
        <f>IF(L118&gt;0.005,MIN(MAX(K118,'Inputs'!$H$115/100*L118),'Inputs'!$H$116/100*L118),0)</f>
      </c>
      <c r="N118">
        <f>IF(M118&gt;0,M118-(MAX(0,(INDEX('Inputs'!$D$125:$D$131,MATCH($C$118+M118,'Inputs'!$C$125:$C$131,1))+INDEX('Inputs'!$E$125:$E$131,MATCH($C$118+M118,'Inputs'!$C$125:$C$131,1))/100*(($C$118+M118)-INDEX('Inputs'!$C$125:$C$131,MATCH($C$118+M118,'Inputs'!$C$125:$C$131,1))))-$C$116)-$C$124),0)</f>
      </c>
      <c r="O118">
        <f>IF(I118&lt;$C$120,MAX(0,J118-N118),0)</f>
      </c>
      <c r="P118">
        <f>IF($C$123&lt;&gt;1,0,P117*(1+((1+$C$132)^(1/12)-1))^12-O117/12*(1+((1+$C$132)^(1/12)-1))*(((1+((1+$C$132)^(1/12)-1))^12-1)/((1+((1+$C$132)^(1/12)-1))-1)))</f>
      </c>
      <c r="Q118">
        <f>IF($C$123&lt;&gt;1,0,IFERROR((((1+($C$132+'Inputs'!$H$108/100))^(1/12)-1)-((1+$C$132)^(1/12)-1))*(P118*(((1+((1+$C$132)^(1/12)-1))^12-1)/((1+((1+$C$132)^(1/12)-1))-1))-O118/12/((1+((1+$C$132)^(1/12)-1))-1)*((1+((1+$C$132)^(1/12)-1))*(((1+((1+$C$132)^(1/12)-1))^12-1)/((1+((1+$C$132)^(1/12)-1))-1))-12)),0))</f>
      </c>
      <c r="S118">
        <f>IF($C$118+$C$125+T117*('Inputs'!$C$122/100*('Inputs'!$H$110/100+'Inputs'!$C$120/100*'Inputs'!$H$112/100))&lt;=$C$117,0,INDEX('Inputs'!$E$125:$E$131,MATCH($C$118+$C$125+T117*('Inputs'!$C$122/100*('Inputs'!$H$110/100+'Inputs'!$C$120/100*'Inputs'!$H$112/100)),'Inputs'!$C$125:$C$131,1)-IF(COUNTIF('Inputs'!$C$125:$C$131,$C$118+$C$125+T117*('Inputs'!$C$122/100*('Inputs'!$H$110/100+'Inputs'!$C$120/100*'Inputs'!$H$112/100)))&gt;0,1,0))/100)</f>
      </c>
      <c r="T118">
        <f>ROUND(IF(('Inputs'!$C$122/100*(1-('Inputs'!$H$110/100*S118+'Inputs'!$H$111/100*'Inputs'!$H$113/100+'Inputs'!$H$112/100*'Inputs'!$C$120/100*S118))-IF($C$123=1,'Inputs'!$H$108/100,0))=0,SUM($O$116:$O$165),(1-(1+('Inputs'!$C$122/100*(1-('Inputs'!$H$110/100*S118+'Inputs'!$H$111/100*'Inputs'!$H$113/100+'Inputs'!$H$112/100*'Inputs'!$C$120/100*S118))-IF($C$123=1,'Inputs'!$H$108/100,0)))^-1)/(1-(1+('Inputs'!$C$122/100*(1-('Inputs'!$H$110/100*S118+'Inputs'!$H$111/100*'Inputs'!$H$113/100+'Inputs'!$H$112/100*'Inputs'!$C$120/100*S118))-IF($C$123=1,'Inputs'!$H$108/100,0)))^(-1/12))/12*SUMPRODUCT($O$116:$O$165,(1+('Inputs'!$C$122/100*(1-('Inputs'!$H$110/100*S118+'Inputs'!$H$111/100*'Inputs'!$H$113/100+'Inputs'!$H$112/100*'Inputs'!$C$120/100*S118))-IF($C$123=1,'Inputs'!$H$108/100,0)))^(-$I$116:$I$165))),2)</f>
      </c>
    </row>
    <row r="119" spans="2:20" x14ac:dyDescent="0.25">
      <c r="B119" t="s">
        <v>437</v>
      </c>
      <c r="C119">
        <f>IF($C$114="",0,SUMIFS('Inputs'!$D$76:$D$83,'Inputs'!$F$76:$F$83,$C$114))</f>
      </c>
      <c r="E119">
        <f>MAX($C$118,INDEX('Inputs'!$C$125:$C$131,5))</f>
      </c>
      <c r="F119">
        <f>(E119-$C$118)-(MAX(0,(INDEX('Inputs'!$D$125:$D$131,MATCH(E119,'Inputs'!$C$125:$C$131,1))+INDEX('Inputs'!$E$125:$E$131,MATCH(E119,'Inputs'!$C$125:$C$131,1))/100*((E119)-INDEX('Inputs'!$C$125:$C$131,MATCH(E119,'Inputs'!$C$125:$C$131,1))))-$C$116)-$C$124)</f>
      </c>
      <c r="G119">
        <f>1-IF(E119&gt;=$C$117,INDEX('Inputs'!$E$125:$E$131,MATCH(E119,'Inputs'!$C$125:$C$131,1))/100,0)</f>
      </c>
      <c r="I119">
        <v>3</v>
      </c>
      <c r="J119">
        <f>IF(I119&lt;$C$120,12*$C$121*(1+$C$122)^I119,0)</f>
      </c>
      <c r="K119">
        <f>IF(J119&lt;=0,0,INDEX($E$114:$E$121,MATCH(J119,$F$114:$F$121,1))+(J119-INDEX($F$114:$F$121,MATCH(J119,$F$114:$F$121,1)))/INDEX($G$114:$G$121,MATCH(J119,$F$114:$F$121,1))-$C$118)</f>
      </c>
      <c r="L119">
        <f>MAX(0,L118*(1+'Inputs'!$C$122/100)-M118/12*(1+'Inputs'!$C$122/100)^(1/12)*'Inputs'!$C$122/100/((1+'Inputs'!$C$122/100)^(1/12)-1))</f>
      </c>
      <c r="M119">
        <f>IF(L119&gt;0.005,MIN(MAX(K119,'Inputs'!$H$115/100*L119),'Inputs'!$H$116/100*L119),0)</f>
      </c>
      <c r="N119">
        <f>IF(M119&gt;0,M119-(MAX(0,(INDEX('Inputs'!$D$125:$D$131,MATCH($C$118+M119,'Inputs'!$C$125:$C$131,1))+INDEX('Inputs'!$E$125:$E$131,MATCH($C$118+M119,'Inputs'!$C$125:$C$131,1))/100*(($C$118+M119)-INDEX('Inputs'!$C$125:$C$131,MATCH($C$118+M119,'Inputs'!$C$125:$C$131,1))))-$C$116)-$C$124),0)</f>
      </c>
      <c r="O119">
        <f>IF(I119&lt;$C$120,MAX(0,J119-N119),0)</f>
      </c>
      <c r="P119">
        <f>IF($C$123&lt;&gt;1,0,P118*(1+((1+$C$132)^(1/12)-1))^12-O118/12*(1+((1+$C$132)^(1/12)-1))*(((1+((1+$C$132)^(1/12)-1))^12-1)/((1+((1+$C$132)^(1/12)-1))-1)))</f>
      </c>
      <c r="Q119">
        <f>IF($C$123&lt;&gt;1,0,IFERROR((((1+($C$132+'Inputs'!$H$108/100))^(1/12)-1)-((1+$C$132)^(1/12)-1))*(P119*(((1+((1+$C$132)^(1/12)-1))^12-1)/((1+((1+$C$132)^(1/12)-1))-1))-O119/12/((1+((1+$C$132)^(1/12)-1))-1)*((1+((1+$C$132)^(1/12)-1))*(((1+((1+$C$132)^(1/12)-1))^12-1)/((1+((1+$C$132)^(1/12)-1))-1))-12)),0))</f>
      </c>
      <c r="S119">
        <f>IF($C$118+$C$125+T118*('Inputs'!$C$122/100*('Inputs'!$H$110/100+'Inputs'!$C$120/100*'Inputs'!$H$112/100))&lt;=$C$117,0,INDEX('Inputs'!$E$125:$E$131,MATCH($C$118+$C$125+T118*('Inputs'!$C$122/100*('Inputs'!$H$110/100+'Inputs'!$C$120/100*'Inputs'!$H$112/100)),'Inputs'!$C$125:$C$131,1)-IF(COUNTIF('Inputs'!$C$125:$C$131,$C$118+$C$125+T118*('Inputs'!$C$122/100*('Inputs'!$H$110/100+'Inputs'!$C$120/100*'Inputs'!$H$112/100)))&gt;0,1,0))/100)</f>
      </c>
      <c r="T119">
        <f>ROUND(IF(('Inputs'!$C$122/100*(1-('Inputs'!$H$110/100*S119+'Inputs'!$H$111/100*'Inputs'!$H$113/100+'Inputs'!$H$112/100*'Inputs'!$C$120/100*S119))-IF($C$123=1,'Inputs'!$H$108/100,0))=0,SUM($O$116:$O$165),(1-(1+('Inputs'!$C$122/100*(1-('Inputs'!$H$110/100*S119+'Inputs'!$H$111/100*'Inputs'!$H$113/100+'Inputs'!$H$112/100*'Inputs'!$C$120/100*S119))-IF($C$123=1,'Inputs'!$H$108/100,0)))^-1)/(1-(1+('Inputs'!$C$122/100*(1-('Inputs'!$H$110/100*S119+'Inputs'!$H$111/100*'Inputs'!$H$113/100+'Inputs'!$H$112/100*'Inputs'!$C$120/100*S119))-IF($C$123=1,'Inputs'!$H$108/100,0)))^(-1/12))/12*SUMPRODUCT($O$116:$O$165,(1+('Inputs'!$C$122/100*(1-('Inputs'!$H$110/100*S119+'Inputs'!$H$111/100*'Inputs'!$H$113/100+'Inputs'!$H$112/100*'Inputs'!$C$120/100*S119))-IF($C$123=1,'Inputs'!$H$108/100,0)))^(-$I$116:$I$165))),2)</f>
      </c>
    </row>
    <row r="120" spans="2:20" x14ac:dyDescent="0.25">
      <c r="B120" t="s">
        <v>438</v>
      </c>
      <c r="C120">
        <f>IF($C$114="",0,N('Inputs'!$F$91))</f>
      </c>
      <c r="E120">
        <f>MAX($C$118,INDEX('Inputs'!$C$125:$C$131,6))</f>
      </c>
      <c r="F120">
        <f>(E120-$C$118)-(MAX(0,(INDEX('Inputs'!$D$125:$D$131,MATCH(E120,'Inputs'!$C$125:$C$131,1))+INDEX('Inputs'!$E$125:$E$131,MATCH(E120,'Inputs'!$C$125:$C$131,1))/100*((E120)-INDEX('Inputs'!$C$125:$C$131,MATCH(E120,'Inputs'!$C$125:$C$131,1))))-$C$116)-$C$124)</f>
      </c>
      <c r="G120">
        <f>1-IF(E120&gt;=$C$117,INDEX('Inputs'!$E$125:$E$131,MATCH(E120,'Inputs'!$C$125:$C$131,1))/100,0)</f>
      </c>
      <c r="I120">
        <v>4</v>
      </c>
      <c r="J120">
        <f>IF(I120&lt;$C$120,12*$C$121*(1+$C$122)^I120,0)</f>
      </c>
      <c r="K120">
        <f>IF(J120&lt;=0,0,INDEX($E$114:$E$121,MATCH(J120,$F$114:$F$121,1))+(J120-INDEX($F$114:$F$121,MATCH(J120,$F$114:$F$121,1)))/INDEX($G$114:$G$121,MATCH(J120,$F$114:$F$121,1))-$C$118)</f>
      </c>
      <c r="L120">
        <f>MAX(0,L119*(1+'Inputs'!$C$122/100)-M119/12*(1+'Inputs'!$C$122/100)^(1/12)*'Inputs'!$C$122/100/((1+'Inputs'!$C$122/100)^(1/12)-1))</f>
      </c>
      <c r="M120">
        <f>IF(L120&gt;0.005,MIN(MAX(K120,'Inputs'!$H$115/100*L120),'Inputs'!$H$116/100*L120),0)</f>
      </c>
      <c r="N120">
        <f>IF(M120&gt;0,M120-(MAX(0,(INDEX('Inputs'!$D$125:$D$131,MATCH($C$118+M120,'Inputs'!$C$125:$C$131,1))+INDEX('Inputs'!$E$125:$E$131,MATCH($C$118+M120,'Inputs'!$C$125:$C$131,1))/100*(($C$118+M120)-INDEX('Inputs'!$C$125:$C$131,MATCH($C$118+M120,'Inputs'!$C$125:$C$131,1))))-$C$116)-$C$124),0)</f>
      </c>
      <c r="O120">
        <f>IF(I120&lt;$C$120,MAX(0,J120-N120),0)</f>
      </c>
      <c r="P120">
        <f>IF($C$123&lt;&gt;1,0,P119*(1+((1+$C$132)^(1/12)-1))^12-O119/12*(1+((1+$C$132)^(1/12)-1))*(((1+((1+$C$132)^(1/12)-1))^12-1)/((1+((1+$C$132)^(1/12)-1))-1)))</f>
      </c>
      <c r="Q120">
        <f>IF($C$123&lt;&gt;1,0,IFERROR((((1+($C$132+'Inputs'!$H$108/100))^(1/12)-1)-((1+$C$132)^(1/12)-1))*(P120*(((1+((1+$C$132)^(1/12)-1))^12-1)/((1+((1+$C$132)^(1/12)-1))-1))-O120/12/((1+((1+$C$132)^(1/12)-1))-1)*((1+((1+$C$132)^(1/12)-1))*(((1+((1+$C$132)^(1/12)-1))^12-1)/((1+((1+$C$132)^(1/12)-1))-1))-12)),0))</f>
      </c>
      <c r="S120">
        <f>IF($C$118+$C$125+T119*('Inputs'!$C$122/100*('Inputs'!$H$110/100+'Inputs'!$C$120/100*'Inputs'!$H$112/100))&lt;=$C$117,0,INDEX('Inputs'!$E$125:$E$131,MATCH($C$118+$C$125+T119*('Inputs'!$C$122/100*('Inputs'!$H$110/100+'Inputs'!$C$120/100*'Inputs'!$H$112/100)),'Inputs'!$C$125:$C$131,1)-IF(COUNTIF('Inputs'!$C$125:$C$131,$C$118+$C$125+T119*('Inputs'!$C$122/100*('Inputs'!$H$110/100+'Inputs'!$C$120/100*'Inputs'!$H$112/100)))&gt;0,1,0))/100)</f>
      </c>
      <c r="T120">
        <f>ROUND(IF(('Inputs'!$C$122/100*(1-('Inputs'!$H$110/100*S120+'Inputs'!$H$111/100*'Inputs'!$H$113/100+'Inputs'!$H$112/100*'Inputs'!$C$120/100*S120))-IF($C$123=1,'Inputs'!$H$108/100,0))=0,SUM($O$116:$O$165),(1-(1+('Inputs'!$C$122/100*(1-('Inputs'!$H$110/100*S120+'Inputs'!$H$111/100*'Inputs'!$H$113/100+'Inputs'!$H$112/100*'Inputs'!$C$120/100*S120))-IF($C$123=1,'Inputs'!$H$108/100,0)))^-1)/(1-(1+('Inputs'!$C$122/100*(1-('Inputs'!$H$110/100*S120+'Inputs'!$H$111/100*'Inputs'!$H$113/100+'Inputs'!$H$112/100*'Inputs'!$C$120/100*S120))-IF($C$123=1,'Inputs'!$H$108/100,0)))^(-1/12))/12*SUMPRODUCT($O$116:$O$165,(1+('Inputs'!$C$122/100*(1-('Inputs'!$H$110/100*S120+'Inputs'!$H$111/100*'Inputs'!$H$113/100+'Inputs'!$H$112/100*'Inputs'!$C$120/100*S120))-IF($C$123=1,'Inputs'!$H$108/100,0)))^(-$I$116:$I$165))),2)</f>
      </c>
    </row>
    <row r="121" spans="2:17" x14ac:dyDescent="0.25">
      <c r="B121" t="s">
        <v>439</v>
      </c>
      <c r="C121">
        <f>N('Inputs'!$E$91)</f>
      </c>
      <c r="E121">
        <f>MAX($C$118,INDEX('Inputs'!$C$125:$C$131,7))</f>
      </c>
      <c r="F121">
        <f>(E121-$C$118)-(MAX(0,(INDEX('Inputs'!$D$125:$D$131,MATCH(E121,'Inputs'!$C$125:$C$131,1))+INDEX('Inputs'!$E$125:$E$131,MATCH(E121,'Inputs'!$C$125:$C$131,1))/100*((E121)-INDEX('Inputs'!$C$125:$C$131,MATCH(E121,'Inputs'!$C$125:$C$131,1))))-$C$116)-$C$124)</f>
      </c>
      <c r="G121">
        <f>1-IF(E121&gt;=$C$117,INDEX('Inputs'!$E$125:$E$131,MATCH(E121,'Inputs'!$C$125:$C$131,1))/100,0)</f>
      </c>
      <c r="I121">
        <v>5</v>
      </c>
      <c r="J121">
        <f>IF(I121&lt;$C$120,12*$C$121*(1+$C$122)^I121,0)</f>
      </c>
      <c r="K121">
        <f>IF(J121&lt;=0,0,INDEX($E$114:$E$121,MATCH(J121,$F$114:$F$121,1))+(J121-INDEX($F$114:$F$121,MATCH(J121,$F$114:$F$121,1)))/INDEX($G$114:$G$121,MATCH(J121,$F$114:$F$121,1))-$C$118)</f>
      </c>
      <c r="L121">
        <f>MAX(0,L120*(1+'Inputs'!$C$122/100)-M120/12*(1+'Inputs'!$C$122/100)^(1/12)*'Inputs'!$C$122/100/((1+'Inputs'!$C$122/100)^(1/12)-1))</f>
      </c>
      <c r="M121">
        <f>IF(L121&gt;0.005,MIN(MAX(K121,'Inputs'!$H$115/100*L121),'Inputs'!$H$116/100*L121),0)</f>
      </c>
      <c r="N121">
        <f>IF(M121&gt;0,M121-(MAX(0,(INDEX('Inputs'!$D$125:$D$131,MATCH($C$118+M121,'Inputs'!$C$125:$C$131,1))+INDEX('Inputs'!$E$125:$E$131,MATCH($C$118+M121,'Inputs'!$C$125:$C$131,1))/100*(($C$118+M121)-INDEX('Inputs'!$C$125:$C$131,MATCH($C$118+M121,'Inputs'!$C$125:$C$131,1))))-$C$116)-$C$124),0)</f>
      </c>
      <c r="O121">
        <f>IF(I121&lt;$C$120,MAX(0,J121-N121),0)</f>
      </c>
      <c r="P121">
        <f>IF($C$123&lt;&gt;1,0,P120*(1+((1+$C$132)^(1/12)-1))^12-O120/12*(1+((1+$C$132)^(1/12)-1))*(((1+((1+$C$132)^(1/12)-1))^12-1)/((1+((1+$C$132)^(1/12)-1))-1)))</f>
      </c>
      <c r="Q121">
        <f>IF($C$123&lt;&gt;1,0,IFERROR((((1+($C$132+'Inputs'!$H$108/100))^(1/12)-1)-((1+$C$132)^(1/12)-1))*(P121*(((1+((1+$C$132)^(1/12)-1))^12-1)/((1+((1+$C$132)^(1/12)-1))-1))-O121/12/((1+((1+$C$132)^(1/12)-1))-1)*((1+((1+$C$132)^(1/12)-1))*(((1+((1+$C$132)^(1/12)-1))^12-1)/((1+((1+$C$132)^(1/12)-1))-1))-12)),0))</f>
      </c>
    </row>
    <row r="122" spans="2:17" x14ac:dyDescent="0.25">
      <c r="B122" t="s">
        <v>440</v>
      </c>
      <c r="C122">
        <f>IF('Inputs'!$G$91="",'Inputs'!$H$114/100,'Inputs'!$G$91/100)</f>
      </c>
      <c r="I122">
        <v>6</v>
      </c>
      <c r="J122">
        <f>IF(I122&lt;$C$120,12*$C$121*(1+$C$122)^I122,0)</f>
      </c>
      <c r="K122">
        <f>IF(J122&lt;=0,0,INDEX($E$114:$E$121,MATCH(J122,$F$114:$F$121,1))+(J122-INDEX($F$114:$F$121,MATCH(J122,$F$114:$F$121,1)))/INDEX($G$114:$G$121,MATCH(J122,$F$114:$F$121,1))-$C$118)</f>
      </c>
      <c r="L122">
        <f>MAX(0,L121*(1+'Inputs'!$C$122/100)-M121/12*(1+'Inputs'!$C$122/100)^(1/12)*'Inputs'!$C$122/100/((1+'Inputs'!$C$122/100)^(1/12)-1))</f>
      </c>
      <c r="M122">
        <f>IF(L122&gt;0.005,MIN(MAX(K122,'Inputs'!$H$115/100*L122),'Inputs'!$H$116/100*L122),0)</f>
      </c>
      <c r="N122">
        <f>IF(M122&gt;0,M122-(MAX(0,(INDEX('Inputs'!$D$125:$D$131,MATCH($C$118+M122,'Inputs'!$C$125:$C$131,1))+INDEX('Inputs'!$E$125:$E$131,MATCH($C$118+M122,'Inputs'!$C$125:$C$131,1))/100*(($C$118+M122)-INDEX('Inputs'!$C$125:$C$131,MATCH($C$118+M122,'Inputs'!$C$125:$C$131,1))))-$C$116)-$C$124),0)</f>
      </c>
      <c r="O122">
        <f>IF(I122&lt;$C$120,MAX(0,J122-N122),0)</f>
      </c>
      <c r="P122">
        <f>IF($C$123&lt;&gt;1,0,P121*(1+((1+$C$132)^(1/12)-1))^12-O121/12*(1+((1+$C$132)^(1/12)-1))*(((1+((1+$C$132)^(1/12)-1))^12-1)/((1+((1+$C$132)^(1/12)-1))-1)))</f>
      </c>
      <c r="Q122">
        <f>IF($C$123&lt;&gt;1,0,IFERROR((((1+($C$132+'Inputs'!$H$108/100))^(1/12)-1)-((1+$C$132)^(1/12)-1))*(P122*(((1+((1+$C$132)^(1/12)-1))^12-1)/((1+((1+$C$132)^(1/12)-1))-1))-O122/12/((1+((1+$C$132)^(1/12)-1))-1)*((1+((1+$C$132)^(1/12)-1))*(((1+((1+$C$132)^(1/12)-1))^12-1)/((1+((1+$C$132)^(1/12)-1))-1))-12)),0))</f>
      </c>
    </row>
    <row r="123" spans="2:17" x14ac:dyDescent="0.25">
      <c r="B123" t="s">
        <v>441</v>
      </c>
      <c r="C123">
        <f>IF('Inputs'!$H$91="Yes",1,0)</f>
      </c>
      <c r="I123">
        <v>7</v>
      </c>
      <c r="J123">
        <f>IF(I123&lt;$C$120,12*$C$121*(1+$C$122)^I123,0)</f>
      </c>
      <c r="K123">
        <f>IF(J123&lt;=0,0,INDEX($E$114:$E$121,MATCH(J123,$F$114:$F$121,1))+(J123-INDEX($F$114:$F$121,MATCH(J123,$F$114:$F$121,1)))/INDEX($G$114:$G$121,MATCH(J123,$F$114:$F$121,1))-$C$118)</f>
      </c>
      <c r="L123">
        <f>MAX(0,L122*(1+'Inputs'!$C$122/100)-M122/12*(1+'Inputs'!$C$122/100)^(1/12)*'Inputs'!$C$122/100/((1+'Inputs'!$C$122/100)^(1/12)-1))</f>
      </c>
      <c r="M123">
        <f>IF(L123&gt;0.005,MIN(MAX(K123,'Inputs'!$H$115/100*L123),'Inputs'!$H$116/100*L123),0)</f>
      </c>
      <c r="N123">
        <f>IF(M123&gt;0,M123-(MAX(0,(INDEX('Inputs'!$D$125:$D$131,MATCH($C$118+M123,'Inputs'!$C$125:$C$131,1))+INDEX('Inputs'!$E$125:$E$131,MATCH($C$118+M123,'Inputs'!$C$125:$C$131,1))/100*(($C$118+M123)-INDEX('Inputs'!$C$125:$C$131,MATCH($C$118+M123,'Inputs'!$C$125:$C$131,1))))-$C$116)-$C$124),0)</f>
      </c>
      <c r="O123">
        <f>IF(I123&lt;$C$120,MAX(0,J123-N123),0)</f>
      </c>
      <c r="P123">
        <f>IF($C$123&lt;&gt;1,0,P122*(1+((1+$C$132)^(1/12)-1))^12-O122/12*(1+((1+$C$132)^(1/12)-1))*(((1+((1+$C$132)^(1/12)-1))^12-1)/((1+((1+$C$132)^(1/12)-1))-1)))</f>
      </c>
      <c r="Q123">
        <f>IF($C$123&lt;&gt;1,0,IFERROR((((1+($C$132+'Inputs'!$H$108/100))^(1/12)-1)-((1+$C$132)^(1/12)-1))*(P123*(((1+((1+$C$132)^(1/12)-1))^12-1)/((1+((1+$C$132)^(1/12)-1))-1))-O123/12/((1+((1+$C$132)^(1/12)-1))-1)*((1+((1+$C$132)^(1/12)-1))*(((1+((1+$C$132)^(1/12)-1))^12-1)/((1+((1+$C$132)^(1/12)-1))-1))-12)),0))</f>
      </c>
    </row>
    <row r="124" spans="2:17" x14ac:dyDescent="0.25">
      <c r="B124" t="s">
        <v>442</v>
      </c>
      <c r="C124">
        <f>MAX(0,(INDEX('Inputs'!$D$125:$D$131,MATCH($C$118,'Inputs'!$C$125:$C$131,1))+INDEX('Inputs'!$E$125:$E$131,MATCH($C$118,'Inputs'!$C$125:$C$131,1))/100*(($C$118)-INDEX('Inputs'!$C$125:$C$131,MATCH($C$118,'Inputs'!$C$125:$C$131,1))))-$C$116)</f>
      </c>
      <c r="I124">
        <v>8</v>
      </c>
      <c r="J124">
        <f>IF(I124&lt;$C$120,12*$C$121*(1+$C$122)^I124,0)</f>
      </c>
      <c r="K124">
        <f>IF(J124&lt;=0,0,INDEX($E$114:$E$121,MATCH(J124,$F$114:$F$121,1))+(J124-INDEX($F$114:$F$121,MATCH(J124,$F$114:$F$121,1)))/INDEX($G$114:$G$121,MATCH(J124,$F$114:$F$121,1))-$C$118)</f>
      </c>
      <c r="L124">
        <f>MAX(0,L123*(1+'Inputs'!$C$122/100)-M123/12*(1+'Inputs'!$C$122/100)^(1/12)*'Inputs'!$C$122/100/((1+'Inputs'!$C$122/100)^(1/12)-1))</f>
      </c>
      <c r="M124">
        <f>IF(L124&gt;0.005,MIN(MAX(K124,'Inputs'!$H$115/100*L124),'Inputs'!$H$116/100*L124),0)</f>
      </c>
      <c r="N124">
        <f>IF(M124&gt;0,M124-(MAX(0,(INDEX('Inputs'!$D$125:$D$131,MATCH($C$118+M124,'Inputs'!$C$125:$C$131,1))+INDEX('Inputs'!$E$125:$E$131,MATCH($C$118+M124,'Inputs'!$C$125:$C$131,1))/100*(($C$118+M124)-INDEX('Inputs'!$C$125:$C$131,MATCH($C$118+M124,'Inputs'!$C$125:$C$131,1))))-$C$116)-$C$124),0)</f>
      </c>
      <c r="O124">
        <f>IF(I124&lt;$C$120,MAX(0,J124-N124),0)</f>
      </c>
      <c r="P124">
        <f>IF($C$123&lt;&gt;1,0,P123*(1+((1+$C$132)^(1/12)-1))^12-O123/12*(1+((1+$C$132)^(1/12)-1))*(((1+((1+$C$132)^(1/12)-1))^12-1)/((1+((1+$C$132)^(1/12)-1))-1)))</f>
      </c>
      <c r="Q124">
        <f>IF($C$123&lt;&gt;1,0,IFERROR((((1+($C$132+'Inputs'!$H$108/100))^(1/12)-1)-((1+$C$132)^(1/12)-1))*(P124*(((1+((1+$C$132)^(1/12)-1))^12-1)/((1+((1+$C$132)^(1/12)-1))-1))-O124/12/((1+((1+$C$132)^(1/12)-1))-1)*((1+((1+$C$132)^(1/12)-1))*(((1+((1+$C$132)^(1/12)-1))^12-1)/((1+((1+$C$132)^(1/12)-1))-1))-12)),0))</f>
      </c>
    </row>
    <row r="125" spans="2:17" x14ac:dyDescent="0.25">
      <c r="B125" t="s">
        <v>443</v>
      </c>
      <c r="C125">
        <f>M116</f>
      </c>
      <c r="I125">
        <v>9</v>
      </c>
      <c r="J125">
        <f>IF(I125&lt;$C$120,12*$C$121*(1+$C$122)^I125,0)</f>
      </c>
      <c r="K125">
        <f>IF(J125&lt;=0,0,INDEX($E$114:$E$121,MATCH(J125,$F$114:$F$121,1))+(J125-INDEX($F$114:$F$121,MATCH(J125,$F$114:$F$121,1)))/INDEX($G$114:$G$121,MATCH(J125,$F$114:$F$121,1))-$C$118)</f>
      </c>
      <c r="L125">
        <f>MAX(0,L124*(1+'Inputs'!$C$122/100)-M124/12*(1+'Inputs'!$C$122/100)^(1/12)*'Inputs'!$C$122/100/((1+'Inputs'!$C$122/100)^(1/12)-1))</f>
      </c>
      <c r="M125">
        <f>IF(L125&gt;0.005,MIN(MAX(K125,'Inputs'!$H$115/100*L125),'Inputs'!$H$116/100*L125),0)</f>
      </c>
      <c r="N125">
        <f>IF(M125&gt;0,M125-(MAX(0,(INDEX('Inputs'!$D$125:$D$131,MATCH($C$118+M125,'Inputs'!$C$125:$C$131,1))+INDEX('Inputs'!$E$125:$E$131,MATCH($C$118+M125,'Inputs'!$C$125:$C$131,1))/100*(($C$118+M125)-INDEX('Inputs'!$C$125:$C$131,MATCH($C$118+M125,'Inputs'!$C$125:$C$131,1))))-$C$116)-$C$124),0)</f>
      </c>
      <c r="O125">
        <f>IF(I125&lt;$C$120,MAX(0,J125-N125),0)</f>
      </c>
      <c r="P125">
        <f>IF($C$123&lt;&gt;1,0,P124*(1+((1+$C$132)^(1/12)-1))^12-O124/12*(1+((1+$C$132)^(1/12)-1))*(((1+((1+$C$132)^(1/12)-1))^12-1)/((1+((1+$C$132)^(1/12)-1))-1)))</f>
      </c>
      <c r="Q125">
        <f>IF($C$123&lt;&gt;1,0,IFERROR((((1+($C$132+'Inputs'!$H$108/100))^(1/12)-1)-((1+$C$132)^(1/12)-1))*(P125*(((1+((1+$C$132)^(1/12)-1))^12-1)/((1+((1+$C$132)^(1/12)-1))-1))-O125/12/((1+((1+$C$132)^(1/12)-1))-1)*((1+((1+$C$132)^(1/12)-1))*(((1+((1+$C$132)^(1/12)-1))^12-1)/((1+((1+$C$132)^(1/12)-1))-1))-12)),0))</f>
      </c>
    </row>
    <row r="126" spans="2:17" x14ac:dyDescent="0.25">
      <c r="B126" t="s">
        <v>444</v>
      </c>
      <c r="C126">
        <f>T120</f>
      </c>
      <c r="I126">
        <v>10</v>
      </c>
      <c r="J126">
        <f>IF(I126&lt;$C$120,12*$C$121*(1+$C$122)^I126,0)</f>
      </c>
      <c r="K126">
        <f>IF(J126&lt;=0,0,INDEX($E$114:$E$121,MATCH(J126,$F$114:$F$121,1))+(J126-INDEX($F$114:$F$121,MATCH(J126,$F$114:$F$121,1)))/INDEX($G$114:$G$121,MATCH(J126,$F$114:$F$121,1))-$C$118)</f>
      </c>
      <c r="L126">
        <f>MAX(0,L125*(1+'Inputs'!$C$122/100)-M125/12*(1+'Inputs'!$C$122/100)^(1/12)*'Inputs'!$C$122/100/((1+'Inputs'!$C$122/100)^(1/12)-1))</f>
      </c>
      <c r="M126">
        <f>IF(L126&gt;0.005,MIN(MAX(K126,'Inputs'!$H$115/100*L126),'Inputs'!$H$116/100*L126),0)</f>
      </c>
      <c r="N126">
        <f>IF(M126&gt;0,M126-(MAX(0,(INDEX('Inputs'!$D$125:$D$131,MATCH($C$118+M126,'Inputs'!$C$125:$C$131,1))+INDEX('Inputs'!$E$125:$E$131,MATCH($C$118+M126,'Inputs'!$C$125:$C$131,1))/100*(($C$118+M126)-INDEX('Inputs'!$C$125:$C$131,MATCH($C$118+M126,'Inputs'!$C$125:$C$131,1))))-$C$116)-$C$124),0)</f>
      </c>
      <c r="O126">
        <f>IF(I126&lt;$C$120,MAX(0,J126-N126),0)</f>
      </c>
      <c r="P126">
        <f>IF($C$123&lt;&gt;1,0,P125*(1+((1+$C$132)^(1/12)-1))^12-O125/12*(1+((1+$C$132)^(1/12)-1))*(((1+((1+$C$132)^(1/12)-1))^12-1)/((1+((1+$C$132)^(1/12)-1))-1)))</f>
      </c>
      <c r="Q126">
        <f>IF($C$123&lt;&gt;1,0,IFERROR((((1+($C$132+'Inputs'!$H$108/100))^(1/12)-1)-((1+$C$132)^(1/12)-1))*(P126*(((1+((1+$C$132)^(1/12)-1))^12-1)/((1+((1+$C$132)^(1/12)-1))-1))-O126/12/((1+((1+$C$132)^(1/12)-1))-1)*((1+((1+$C$132)^(1/12)-1))*(((1+((1+$C$132)^(1/12)-1))^12-1)/((1+((1+$C$132)^(1/12)-1))-1))-12)),0))</f>
      </c>
    </row>
    <row r="127" spans="2:17" x14ac:dyDescent="0.25">
      <c r="B127" t="s">
        <v>445</v>
      </c>
      <c r="C127">
        <f>N116</f>
      </c>
      <c r="I127">
        <v>11</v>
      </c>
      <c r="J127">
        <f>IF(I127&lt;$C$120,12*$C$121*(1+$C$122)^I127,0)</f>
      </c>
      <c r="K127">
        <f>IF(J127&lt;=0,0,INDEX($E$114:$E$121,MATCH(J127,$F$114:$F$121,1))+(J127-INDEX($F$114:$F$121,MATCH(J127,$F$114:$F$121,1)))/INDEX($G$114:$G$121,MATCH(J127,$F$114:$F$121,1))-$C$118)</f>
      </c>
      <c r="L127">
        <f>MAX(0,L126*(1+'Inputs'!$C$122/100)-M126/12*(1+'Inputs'!$C$122/100)^(1/12)*'Inputs'!$C$122/100/((1+'Inputs'!$C$122/100)^(1/12)-1))</f>
      </c>
      <c r="M127">
        <f>IF(L127&gt;0.005,MIN(MAX(K127,'Inputs'!$H$115/100*L127),'Inputs'!$H$116/100*L127),0)</f>
      </c>
      <c r="N127">
        <f>IF(M127&gt;0,M127-(MAX(0,(INDEX('Inputs'!$D$125:$D$131,MATCH($C$118+M127,'Inputs'!$C$125:$C$131,1))+INDEX('Inputs'!$E$125:$E$131,MATCH($C$118+M127,'Inputs'!$C$125:$C$131,1))/100*(($C$118+M127)-INDEX('Inputs'!$C$125:$C$131,MATCH($C$118+M127,'Inputs'!$C$125:$C$131,1))))-$C$116)-$C$124),0)</f>
      </c>
      <c r="O127">
        <f>IF(I127&lt;$C$120,MAX(0,J127-N127),0)</f>
      </c>
      <c r="P127">
        <f>IF($C$123&lt;&gt;1,0,P126*(1+((1+$C$132)^(1/12)-1))^12-O126/12*(1+((1+$C$132)^(1/12)-1))*(((1+((1+$C$132)^(1/12)-1))^12-1)/((1+((1+$C$132)^(1/12)-1))-1)))</f>
      </c>
      <c r="Q127">
        <f>IF($C$123&lt;&gt;1,0,IFERROR((((1+($C$132+'Inputs'!$H$108/100))^(1/12)-1)-((1+$C$132)^(1/12)-1))*(P127*(((1+((1+$C$132)^(1/12)-1))^12-1)/((1+((1+$C$132)^(1/12)-1))-1))-O127/12/((1+((1+$C$132)^(1/12)-1))-1)*((1+((1+$C$132)^(1/12)-1))*(((1+((1+$C$132)^(1/12)-1))^12-1)/((1+((1+$C$132)^(1/12)-1))-1))-12)),0))</f>
      </c>
    </row>
    <row r="128" spans="2:17" x14ac:dyDescent="0.25">
      <c r="B128" t="s">
        <v>446</v>
      </c>
      <c r="C128">
        <f>O116</f>
      </c>
      <c r="I128">
        <v>12</v>
      </c>
      <c r="J128">
        <f>IF(I128&lt;$C$120,12*$C$121*(1+$C$122)^I128,0)</f>
      </c>
      <c r="K128">
        <f>IF(J128&lt;=0,0,INDEX($E$114:$E$121,MATCH(J128,$F$114:$F$121,1))+(J128-INDEX($F$114:$F$121,MATCH(J128,$F$114:$F$121,1)))/INDEX($G$114:$G$121,MATCH(J128,$F$114:$F$121,1))-$C$118)</f>
      </c>
      <c r="L128">
        <f>MAX(0,L127*(1+'Inputs'!$C$122/100)-M127/12*(1+'Inputs'!$C$122/100)^(1/12)*'Inputs'!$C$122/100/((1+'Inputs'!$C$122/100)^(1/12)-1))</f>
      </c>
      <c r="M128">
        <f>IF(L128&gt;0.005,MIN(MAX(K128,'Inputs'!$H$115/100*L128),'Inputs'!$H$116/100*L128),0)</f>
      </c>
      <c r="N128">
        <f>IF(M128&gt;0,M128-(MAX(0,(INDEX('Inputs'!$D$125:$D$131,MATCH($C$118+M128,'Inputs'!$C$125:$C$131,1))+INDEX('Inputs'!$E$125:$E$131,MATCH($C$118+M128,'Inputs'!$C$125:$C$131,1))/100*(($C$118+M128)-INDEX('Inputs'!$C$125:$C$131,MATCH($C$118+M128,'Inputs'!$C$125:$C$131,1))))-$C$116)-$C$124),0)</f>
      </c>
      <c r="O128">
        <f>IF(I128&lt;$C$120,MAX(0,J128-N128),0)</f>
      </c>
      <c r="P128">
        <f>IF($C$123&lt;&gt;1,0,P127*(1+((1+$C$132)^(1/12)-1))^12-O127/12*(1+((1+$C$132)^(1/12)-1))*(((1+((1+$C$132)^(1/12)-1))^12-1)/((1+((1+$C$132)^(1/12)-1))-1)))</f>
      </c>
      <c r="Q128">
        <f>IF($C$123&lt;&gt;1,0,IFERROR((((1+($C$132+'Inputs'!$H$108/100))^(1/12)-1)-((1+$C$132)^(1/12)-1))*(P128*(((1+((1+$C$132)^(1/12)-1))^12-1)/((1+((1+$C$132)^(1/12)-1))-1))-O128/12/((1+((1+$C$132)^(1/12)-1))-1)*((1+((1+$C$132)^(1/12)-1))*(((1+((1+$C$132)^(1/12)-1))^12-1)/((1+((1+$C$132)^(1/12)-1))-1))-12)),0))</f>
      </c>
    </row>
    <row r="129" spans="2:17" x14ac:dyDescent="0.25">
      <c r="B129" t="s">
        <v>447</v>
      </c>
      <c r="C129">
        <f>ROUND(Q116,2)</f>
      </c>
      <c r="I129">
        <v>13</v>
      </c>
      <c r="J129">
        <f>IF(I129&lt;$C$120,12*$C$121*(1+$C$122)^I129,0)</f>
      </c>
      <c r="K129">
        <f>IF(J129&lt;=0,0,INDEX($E$114:$E$121,MATCH(J129,$F$114:$F$121,1))+(J129-INDEX($F$114:$F$121,MATCH(J129,$F$114:$F$121,1)))/INDEX($G$114:$G$121,MATCH(J129,$F$114:$F$121,1))-$C$118)</f>
      </c>
      <c r="L129">
        <f>MAX(0,L128*(1+'Inputs'!$C$122/100)-M128/12*(1+'Inputs'!$C$122/100)^(1/12)*'Inputs'!$C$122/100/((1+'Inputs'!$C$122/100)^(1/12)-1))</f>
      </c>
      <c r="M129">
        <f>IF(L129&gt;0.005,MIN(MAX(K129,'Inputs'!$H$115/100*L129),'Inputs'!$H$116/100*L129),0)</f>
      </c>
      <c r="N129">
        <f>IF(M129&gt;0,M129-(MAX(0,(INDEX('Inputs'!$D$125:$D$131,MATCH($C$118+M129,'Inputs'!$C$125:$C$131,1))+INDEX('Inputs'!$E$125:$E$131,MATCH($C$118+M129,'Inputs'!$C$125:$C$131,1))/100*(($C$118+M129)-INDEX('Inputs'!$C$125:$C$131,MATCH($C$118+M129,'Inputs'!$C$125:$C$131,1))))-$C$116)-$C$124),0)</f>
      </c>
      <c r="O129">
        <f>IF(I129&lt;$C$120,MAX(0,J129-N129),0)</f>
      </c>
      <c r="P129">
        <f>IF($C$123&lt;&gt;1,0,P128*(1+((1+$C$132)^(1/12)-1))^12-O128/12*(1+((1+$C$132)^(1/12)-1))*(((1+((1+$C$132)^(1/12)-1))^12-1)/((1+((1+$C$132)^(1/12)-1))-1)))</f>
      </c>
      <c r="Q129">
        <f>IF($C$123&lt;&gt;1,0,IFERROR((((1+($C$132+'Inputs'!$H$108/100))^(1/12)-1)-((1+$C$132)^(1/12)-1))*(P129*(((1+((1+$C$132)^(1/12)-1))^12-1)/((1+((1+$C$132)^(1/12)-1))-1))-O129/12/((1+((1+$C$132)^(1/12)-1))-1)*((1+((1+$C$132)^(1/12)-1))*(((1+((1+$C$132)^(1/12)-1))^12-1)/((1+((1+$C$132)^(1/12)-1))-1))-12)),0))</f>
      </c>
    </row>
    <row r="130" spans="2:17" x14ac:dyDescent="0.25">
      <c r="B130" t="s">
        <v>448</v>
      </c>
      <c r="C130">
        <f>ROUND(SUM($Q$116:$Q$165),2)</f>
      </c>
      <c r="I130">
        <v>14</v>
      </c>
      <c r="J130">
        <f>IF(I130&lt;$C$120,12*$C$121*(1+$C$122)^I130,0)</f>
      </c>
      <c r="K130">
        <f>IF(J130&lt;=0,0,INDEX($E$114:$E$121,MATCH(J130,$F$114:$F$121,1))+(J130-INDEX($F$114:$F$121,MATCH(J130,$F$114:$F$121,1)))/INDEX($G$114:$G$121,MATCH(J130,$F$114:$F$121,1))-$C$118)</f>
      </c>
      <c r="L130">
        <f>MAX(0,L129*(1+'Inputs'!$C$122/100)-M129/12*(1+'Inputs'!$C$122/100)^(1/12)*'Inputs'!$C$122/100/((1+'Inputs'!$C$122/100)^(1/12)-1))</f>
      </c>
      <c r="M130">
        <f>IF(L130&gt;0.005,MIN(MAX(K130,'Inputs'!$H$115/100*L130),'Inputs'!$H$116/100*L130),0)</f>
      </c>
      <c r="N130">
        <f>IF(M130&gt;0,M130-(MAX(0,(INDEX('Inputs'!$D$125:$D$131,MATCH($C$118+M130,'Inputs'!$C$125:$C$131,1))+INDEX('Inputs'!$E$125:$E$131,MATCH($C$118+M130,'Inputs'!$C$125:$C$131,1))/100*(($C$118+M130)-INDEX('Inputs'!$C$125:$C$131,MATCH($C$118+M130,'Inputs'!$C$125:$C$131,1))))-$C$116)-$C$124),0)</f>
      </c>
      <c r="O130">
        <f>IF(I130&lt;$C$120,MAX(0,J130-N130),0)</f>
      </c>
      <c r="P130">
        <f>IF($C$123&lt;&gt;1,0,P129*(1+((1+$C$132)^(1/12)-1))^12-O129/12*(1+((1+$C$132)^(1/12)-1))*(((1+((1+$C$132)^(1/12)-1))^12-1)/((1+((1+$C$132)^(1/12)-1))-1)))</f>
      </c>
      <c r="Q130">
        <f>IF($C$123&lt;&gt;1,0,IFERROR((((1+($C$132+'Inputs'!$H$108/100))^(1/12)-1)-((1+$C$132)^(1/12)-1))*(P130*(((1+((1+$C$132)^(1/12)-1))^12-1)/((1+((1+$C$132)^(1/12)-1))-1))-O130/12/((1+((1+$C$132)^(1/12)-1))-1)*((1+((1+$C$132)^(1/12)-1))*(((1+((1+$C$132)^(1/12)-1))^12-1)/((1+((1+$C$132)^(1/12)-1))-1))-12)),0))</f>
      </c>
    </row>
    <row r="131" spans="2:17" x14ac:dyDescent="0.25">
      <c r="B131" t="s">
        <v>449</v>
      </c>
      <c r="C131">
        <f>IF($C$123&lt;&gt;1,0,ROUND(IF($C$132=0,SUM($O$116:$O$165),(1-(1+$C$132)^-1)/(1-(1+$C$132)^(-1/12))/12*SUMPRODUCT($O$116:$O$165,(1+$C$132)^(-$I$116:$I$165)))-IF(($C$132+'Inputs'!$H$108/100)=0,SUM($O$116:$O$165),(1-(1+($C$132+'Inputs'!$H$108/100))^-1)/(1-(1+($C$132+'Inputs'!$H$108/100))^(-1/12))/12*SUMPRODUCT($O$116:$O$165,(1+($C$132+'Inputs'!$H$108/100))^(-$I$116:$I$165))),2))</f>
      </c>
      <c r="I131">
        <v>15</v>
      </c>
      <c r="J131">
        <f>IF(I131&lt;$C$120,12*$C$121*(1+$C$122)^I131,0)</f>
      </c>
      <c r="K131">
        <f>IF(J131&lt;=0,0,INDEX($E$114:$E$121,MATCH(J131,$F$114:$F$121,1))+(J131-INDEX($F$114:$F$121,MATCH(J131,$F$114:$F$121,1)))/INDEX($G$114:$G$121,MATCH(J131,$F$114:$F$121,1))-$C$118)</f>
      </c>
      <c r="L131">
        <f>MAX(0,L130*(1+'Inputs'!$C$122/100)-M130/12*(1+'Inputs'!$C$122/100)^(1/12)*'Inputs'!$C$122/100/((1+'Inputs'!$C$122/100)^(1/12)-1))</f>
      </c>
      <c r="M131">
        <f>IF(L131&gt;0.005,MIN(MAX(K131,'Inputs'!$H$115/100*L131),'Inputs'!$H$116/100*L131),0)</f>
      </c>
      <c r="N131">
        <f>IF(M131&gt;0,M131-(MAX(0,(INDEX('Inputs'!$D$125:$D$131,MATCH($C$118+M131,'Inputs'!$C$125:$C$131,1))+INDEX('Inputs'!$E$125:$E$131,MATCH($C$118+M131,'Inputs'!$C$125:$C$131,1))/100*(($C$118+M131)-INDEX('Inputs'!$C$125:$C$131,MATCH($C$118+M131,'Inputs'!$C$125:$C$131,1))))-$C$116)-$C$124),0)</f>
      </c>
      <c r="O131">
        <f>IF(I131&lt;$C$120,MAX(0,J131-N131),0)</f>
      </c>
      <c r="P131">
        <f>IF($C$123&lt;&gt;1,0,P130*(1+((1+$C$132)^(1/12)-1))^12-O130/12*(1+((1+$C$132)^(1/12)-1))*(((1+((1+$C$132)^(1/12)-1))^12-1)/((1+((1+$C$132)^(1/12)-1))-1)))</f>
      </c>
      <c r="Q131">
        <f>IF($C$123&lt;&gt;1,0,IFERROR((((1+($C$132+'Inputs'!$H$108/100))^(1/12)-1)-((1+$C$132)^(1/12)-1))*(P131*(((1+((1+$C$132)^(1/12)-1))^12-1)/((1+((1+$C$132)^(1/12)-1))-1))-O131/12/((1+((1+$C$132)^(1/12)-1))-1)*((1+((1+$C$132)^(1/12)-1))*(((1+((1+$C$132)^(1/12)-1))^12-1)/((1+((1+$C$132)^(1/12)-1))-1))-12)),0))</f>
      </c>
    </row>
    <row r="132" spans="2:17" x14ac:dyDescent="0.25">
      <c r="B132" t="s">
        <v>450</v>
      </c>
      <c r="C132">
        <f>IF($C$123=1,'Needs calc'!$C$63,0)</f>
      </c>
      <c r="I132">
        <v>16</v>
      </c>
      <c r="J132">
        <f>IF(I132&lt;$C$120,12*$C$121*(1+$C$122)^I132,0)</f>
      </c>
      <c r="K132">
        <f>IF(J132&lt;=0,0,INDEX($E$114:$E$121,MATCH(J132,$F$114:$F$121,1))+(J132-INDEX($F$114:$F$121,MATCH(J132,$F$114:$F$121,1)))/INDEX($G$114:$G$121,MATCH(J132,$F$114:$F$121,1))-$C$118)</f>
      </c>
      <c r="L132">
        <f>MAX(0,L131*(1+'Inputs'!$C$122/100)-M131/12*(1+'Inputs'!$C$122/100)^(1/12)*'Inputs'!$C$122/100/((1+'Inputs'!$C$122/100)^(1/12)-1))</f>
      </c>
      <c r="M132">
        <f>IF(L132&gt;0.005,MIN(MAX(K132,'Inputs'!$H$115/100*L132),'Inputs'!$H$116/100*L132),0)</f>
      </c>
      <c r="N132">
        <f>IF(M132&gt;0,M132-(MAX(0,(INDEX('Inputs'!$D$125:$D$131,MATCH($C$118+M132,'Inputs'!$C$125:$C$131,1))+INDEX('Inputs'!$E$125:$E$131,MATCH($C$118+M132,'Inputs'!$C$125:$C$131,1))/100*(($C$118+M132)-INDEX('Inputs'!$C$125:$C$131,MATCH($C$118+M132,'Inputs'!$C$125:$C$131,1))))-$C$116)-$C$124),0)</f>
      </c>
      <c r="O132">
        <f>IF(I132&lt;$C$120,MAX(0,J132-N132),0)</f>
      </c>
      <c r="P132">
        <f>IF($C$123&lt;&gt;1,0,P131*(1+((1+$C$132)^(1/12)-1))^12-O131/12*(1+((1+$C$132)^(1/12)-1))*(((1+((1+$C$132)^(1/12)-1))^12-1)/((1+((1+$C$132)^(1/12)-1))-1)))</f>
      </c>
      <c r="Q132">
        <f>IF($C$123&lt;&gt;1,0,IFERROR((((1+($C$132+'Inputs'!$H$108/100))^(1/12)-1)-((1+$C$132)^(1/12)-1))*(P132*(((1+((1+$C$132)^(1/12)-1))^12-1)/((1+((1+$C$132)^(1/12)-1))-1))-O132/12/((1+((1+$C$132)^(1/12)-1))-1)*((1+((1+$C$132)^(1/12)-1))*(((1+((1+$C$132)^(1/12)-1))^12-1)/((1+((1+$C$132)^(1/12)-1))-1))-12)),0))</f>
      </c>
    </row>
    <row r="133" spans="9:17" x14ac:dyDescent="0.25">
      <c r="I133">
        <v>17</v>
      </c>
      <c r="J133">
        <f>IF(I133&lt;$C$120,12*$C$121*(1+$C$122)^I133,0)</f>
      </c>
      <c r="K133">
        <f>IF(J133&lt;=0,0,INDEX($E$114:$E$121,MATCH(J133,$F$114:$F$121,1))+(J133-INDEX($F$114:$F$121,MATCH(J133,$F$114:$F$121,1)))/INDEX($G$114:$G$121,MATCH(J133,$F$114:$F$121,1))-$C$118)</f>
      </c>
      <c r="L133">
        <f>MAX(0,L132*(1+'Inputs'!$C$122/100)-M132/12*(1+'Inputs'!$C$122/100)^(1/12)*'Inputs'!$C$122/100/((1+'Inputs'!$C$122/100)^(1/12)-1))</f>
      </c>
      <c r="M133">
        <f>IF(L133&gt;0.005,MIN(MAX(K133,'Inputs'!$H$115/100*L133),'Inputs'!$H$116/100*L133),0)</f>
      </c>
      <c r="N133">
        <f>IF(M133&gt;0,M133-(MAX(0,(INDEX('Inputs'!$D$125:$D$131,MATCH($C$118+M133,'Inputs'!$C$125:$C$131,1))+INDEX('Inputs'!$E$125:$E$131,MATCH($C$118+M133,'Inputs'!$C$125:$C$131,1))/100*(($C$118+M133)-INDEX('Inputs'!$C$125:$C$131,MATCH($C$118+M133,'Inputs'!$C$125:$C$131,1))))-$C$116)-$C$124),0)</f>
      </c>
      <c r="O133">
        <f>IF(I133&lt;$C$120,MAX(0,J133-N133),0)</f>
      </c>
      <c r="P133">
        <f>IF($C$123&lt;&gt;1,0,P132*(1+((1+$C$132)^(1/12)-1))^12-O132/12*(1+((1+$C$132)^(1/12)-1))*(((1+((1+$C$132)^(1/12)-1))^12-1)/((1+((1+$C$132)^(1/12)-1))-1)))</f>
      </c>
      <c r="Q133">
        <f>IF($C$123&lt;&gt;1,0,IFERROR((((1+($C$132+'Inputs'!$H$108/100))^(1/12)-1)-((1+$C$132)^(1/12)-1))*(P133*(((1+((1+$C$132)^(1/12)-1))^12-1)/((1+((1+$C$132)^(1/12)-1))-1))-O133/12/((1+((1+$C$132)^(1/12)-1))-1)*((1+((1+$C$132)^(1/12)-1))*(((1+((1+$C$132)^(1/12)-1))^12-1)/((1+((1+$C$132)^(1/12)-1))-1))-12)),0))</f>
      </c>
    </row>
    <row r="134" spans="9:17" x14ac:dyDescent="0.25">
      <c r="I134">
        <v>18</v>
      </c>
      <c r="J134">
        <f>IF(I134&lt;$C$120,12*$C$121*(1+$C$122)^I134,0)</f>
      </c>
      <c r="K134">
        <f>IF(J134&lt;=0,0,INDEX($E$114:$E$121,MATCH(J134,$F$114:$F$121,1))+(J134-INDEX($F$114:$F$121,MATCH(J134,$F$114:$F$121,1)))/INDEX($G$114:$G$121,MATCH(J134,$F$114:$F$121,1))-$C$118)</f>
      </c>
      <c r="L134">
        <f>MAX(0,L133*(1+'Inputs'!$C$122/100)-M133/12*(1+'Inputs'!$C$122/100)^(1/12)*'Inputs'!$C$122/100/((1+'Inputs'!$C$122/100)^(1/12)-1))</f>
      </c>
      <c r="M134">
        <f>IF(L134&gt;0.005,MIN(MAX(K134,'Inputs'!$H$115/100*L134),'Inputs'!$H$116/100*L134),0)</f>
      </c>
      <c r="N134">
        <f>IF(M134&gt;0,M134-(MAX(0,(INDEX('Inputs'!$D$125:$D$131,MATCH($C$118+M134,'Inputs'!$C$125:$C$131,1))+INDEX('Inputs'!$E$125:$E$131,MATCH($C$118+M134,'Inputs'!$C$125:$C$131,1))/100*(($C$118+M134)-INDEX('Inputs'!$C$125:$C$131,MATCH($C$118+M134,'Inputs'!$C$125:$C$131,1))))-$C$116)-$C$124),0)</f>
      </c>
      <c r="O134">
        <f>IF(I134&lt;$C$120,MAX(0,J134-N134),0)</f>
      </c>
      <c r="P134">
        <f>IF($C$123&lt;&gt;1,0,P133*(1+((1+$C$132)^(1/12)-1))^12-O133/12*(1+((1+$C$132)^(1/12)-1))*(((1+((1+$C$132)^(1/12)-1))^12-1)/((1+((1+$C$132)^(1/12)-1))-1)))</f>
      </c>
      <c r="Q134">
        <f>IF($C$123&lt;&gt;1,0,IFERROR((((1+($C$132+'Inputs'!$H$108/100))^(1/12)-1)-((1+$C$132)^(1/12)-1))*(P134*(((1+((1+$C$132)^(1/12)-1))^12-1)/((1+((1+$C$132)^(1/12)-1))-1))-O134/12/((1+((1+$C$132)^(1/12)-1))-1)*((1+((1+$C$132)^(1/12)-1))*(((1+((1+$C$132)^(1/12)-1))^12-1)/((1+((1+$C$132)^(1/12)-1))-1))-12)),0))</f>
      </c>
    </row>
    <row r="135" spans="9:17" x14ac:dyDescent="0.25">
      <c r="I135">
        <v>19</v>
      </c>
      <c r="J135">
        <f>IF(I135&lt;$C$120,12*$C$121*(1+$C$122)^I135,0)</f>
      </c>
      <c r="K135">
        <f>IF(J135&lt;=0,0,INDEX($E$114:$E$121,MATCH(J135,$F$114:$F$121,1))+(J135-INDEX($F$114:$F$121,MATCH(J135,$F$114:$F$121,1)))/INDEX($G$114:$G$121,MATCH(J135,$F$114:$F$121,1))-$C$118)</f>
      </c>
      <c r="L135">
        <f>MAX(0,L134*(1+'Inputs'!$C$122/100)-M134/12*(1+'Inputs'!$C$122/100)^(1/12)*'Inputs'!$C$122/100/((1+'Inputs'!$C$122/100)^(1/12)-1))</f>
      </c>
      <c r="M135">
        <f>IF(L135&gt;0.005,MIN(MAX(K135,'Inputs'!$H$115/100*L135),'Inputs'!$H$116/100*L135),0)</f>
      </c>
      <c r="N135">
        <f>IF(M135&gt;0,M135-(MAX(0,(INDEX('Inputs'!$D$125:$D$131,MATCH($C$118+M135,'Inputs'!$C$125:$C$131,1))+INDEX('Inputs'!$E$125:$E$131,MATCH($C$118+M135,'Inputs'!$C$125:$C$131,1))/100*(($C$118+M135)-INDEX('Inputs'!$C$125:$C$131,MATCH($C$118+M135,'Inputs'!$C$125:$C$131,1))))-$C$116)-$C$124),0)</f>
      </c>
      <c r="O135">
        <f>IF(I135&lt;$C$120,MAX(0,J135-N135),0)</f>
      </c>
      <c r="P135">
        <f>IF($C$123&lt;&gt;1,0,P134*(1+((1+$C$132)^(1/12)-1))^12-O134/12*(1+((1+$C$132)^(1/12)-1))*(((1+((1+$C$132)^(1/12)-1))^12-1)/((1+((1+$C$132)^(1/12)-1))-1)))</f>
      </c>
      <c r="Q135">
        <f>IF($C$123&lt;&gt;1,0,IFERROR((((1+($C$132+'Inputs'!$H$108/100))^(1/12)-1)-((1+$C$132)^(1/12)-1))*(P135*(((1+((1+$C$132)^(1/12)-1))^12-1)/((1+((1+$C$132)^(1/12)-1))-1))-O135/12/((1+((1+$C$132)^(1/12)-1))-1)*((1+((1+$C$132)^(1/12)-1))*(((1+((1+$C$132)^(1/12)-1))^12-1)/((1+((1+$C$132)^(1/12)-1))-1))-12)),0))</f>
      </c>
    </row>
    <row r="136" spans="9:17" x14ac:dyDescent="0.25">
      <c r="I136">
        <v>20</v>
      </c>
      <c r="J136">
        <f>IF(I136&lt;$C$120,12*$C$121*(1+$C$122)^I136,0)</f>
      </c>
      <c r="K136">
        <f>IF(J136&lt;=0,0,INDEX($E$114:$E$121,MATCH(J136,$F$114:$F$121,1))+(J136-INDEX($F$114:$F$121,MATCH(J136,$F$114:$F$121,1)))/INDEX($G$114:$G$121,MATCH(J136,$F$114:$F$121,1))-$C$118)</f>
      </c>
      <c r="L136">
        <f>MAX(0,L135*(1+'Inputs'!$C$122/100)-M135/12*(1+'Inputs'!$C$122/100)^(1/12)*'Inputs'!$C$122/100/((1+'Inputs'!$C$122/100)^(1/12)-1))</f>
      </c>
      <c r="M136">
        <f>IF(L136&gt;0.005,MIN(MAX(K136,'Inputs'!$H$115/100*L136),'Inputs'!$H$116/100*L136),0)</f>
      </c>
      <c r="N136">
        <f>IF(M136&gt;0,M136-(MAX(0,(INDEX('Inputs'!$D$125:$D$131,MATCH($C$118+M136,'Inputs'!$C$125:$C$131,1))+INDEX('Inputs'!$E$125:$E$131,MATCH($C$118+M136,'Inputs'!$C$125:$C$131,1))/100*(($C$118+M136)-INDEX('Inputs'!$C$125:$C$131,MATCH($C$118+M136,'Inputs'!$C$125:$C$131,1))))-$C$116)-$C$124),0)</f>
      </c>
      <c r="O136">
        <f>IF(I136&lt;$C$120,MAX(0,J136-N136),0)</f>
      </c>
      <c r="P136">
        <f>IF($C$123&lt;&gt;1,0,P135*(1+((1+$C$132)^(1/12)-1))^12-O135/12*(1+((1+$C$132)^(1/12)-1))*(((1+((1+$C$132)^(1/12)-1))^12-1)/((1+((1+$C$132)^(1/12)-1))-1)))</f>
      </c>
      <c r="Q136">
        <f>IF($C$123&lt;&gt;1,0,IFERROR((((1+($C$132+'Inputs'!$H$108/100))^(1/12)-1)-((1+$C$132)^(1/12)-1))*(P136*(((1+((1+$C$132)^(1/12)-1))^12-1)/((1+((1+$C$132)^(1/12)-1))-1))-O136/12/((1+((1+$C$132)^(1/12)-1))-1)*((1+((1+$C$132)^(1/12)-1))*(((1+((1+$C$132)^(1/12)-1))^12-1)/((1+((1+$C$132)^(1/12)-1))-1))-12)),0))</f>
      </c>
    </row>
    <row r="137" spans="9:17" x14ac:dyDescent="0.25">
      <c r="I137">
        <v>21</v>
      </c>
      <c r="J137">
        <f>IF(I137&lt;$C$120,12*$C$121*(1+$C$122)^I137,0)</f>
      </c>
      <c r="K137">
        <f>IF(J137&lt;=0,0,INDEX($E$114:$E$121,MATCH(J137,$F$114:$F$121,1))+(J137-INDEX($F$114:$F$121,MATCH(J137,$F$114:$F$121,1)))/INDEX($G$114:$G$121,MATCH(J137,$F$114:$F$121,1))-$C$118)</f>
      </c>
      <c r="L137">
        <f>MAX(0,L136*(1+'Inputs'!$C$122/100)-M136/12*(1+'Inputs'!$C$122/100)^(1/12)*'Inputs'!$C$122/100/((1+'Inputs'!$C$122/100)^(1/12)-1))</f>
      </c>
      <c r="M137">
        <f>IF(L137&gt;0.005,MIN(MAX(K137,'Inputs'!$H$115/100*L137),'Inputs'!$H$116/100*L137),0)</f>
      </c>
      <c r="N137">
        <f>IF(M137&gt;0,M137-(MAX(0,(INDEX('Inputs'!$D$125:$D$131,MATCH($C$118+M137,'Inputs'!$C$125:$C$131,1))+INDEX('Inputs'!$E$125:$E$131,MATCH($C$118+M137,'Inputs'!$C$125:$C$131,1))/100*(($C$118+M137)-INDEX('Inputs'!$C$125:$C$131,MATCH($C$118+M137,'Inputs'!$C$125:$C$131,1))))-$C$116)-$C$124),0)</f>
      </c>
      <c r="O137">
        <f>IF(I137&lt;$C$120,MAX(0,J137-N137),0)</f>
      </c>
      <c r="P137">
        <f>IF($C$123&lt;&gt;1,0,P136*(1+((1+$C$132)^(1/12)-1))^12-O136/12*(1+((1+$C$132)^(1/12)-1))*(((1+((1+$C$132)^(1/12)-1))^12-1)/((1+((1+$C$132)^(1/12)-1))-1)))</f>
      </c>
      <c r="Q137">
        <f>IF($C$123&lt;&gt;1,0,IFERROR((((1+($C$132+'Inputs'!$H$108/100))^(1/12)-1)-((1+$C$132)^(1/12)-1))*(P137*(((1+((1+$C$132)^(1/12)-1))^12-1)/((1+((1+$C$132)^(1/12)-1))-1))-O137/12/((1+((1+$C$132)^(1/12)-1))-1)*((1+((1+$C$132)^(1/12)-1))*(((1+((1+$C$132)^(1/12)-1))^12-1)/((1+((1+$C$132)^(1/12)-1))-1))-12)),0))</f>
      </c>
    </row>
    <row r="138" spans="9:17" x14ac:dyDescent="0.25">
      <c r="I138">
        <v>22</v>
      </c>
      <c r="J138">
        <f>IF(I138&lt;$C$120,12*$C$121*(1+$C$122)^I138,0)</f>
      </c>
      <c r="K138">
        <f>IF(J138&lt;=0,0,INDEX($E$114:$E$121,MATCH(J138,$F$114:$F$121,1))+(J138-INDEX($F$114:$F$121,MATCH(J138,$F$114:$F$121,1)))/INDEX($G$114:$G$121,MATCH(J138,$F$114:$F$121,1))-$C$118)</f>
      </c>
      <c r="L138">
        <f>MAX(0,L137*(1+'Inputs'!$C$122/100)-M137/12*(1+'Inputs'!$C$122/100)^(1/12)*'Inputs'!$C$122/100/((1+'Inputs'!$C$122/100)^(1/12)-1))</f>
      </c>
      <c r="M138">
        <f>IF(L138&gt;0.005,MIN(MAX(K138,'Inputs'!$H$115/100*L138),'Inputs'!$H$116/100*L138),0)</f>
      </c>
      <c r="N138">
        <f>IF(M138&gt;0,M138-(MAX(0,(INDEX('Inputs'!$D$125:$D$131,MATCH($C$118+M138,'Inputs'!$C$125:$C$131,1))+INDEX('Inputs'!$E$125:$E$131,MATCH($C$118+M138,'Inputs'!$C$125:$C$131,1))/100*(($C$118+M138)-INDEX('Inputs'!$C$125:$C$131,MATCH($C$118+M138,'Inputs'!$C$125:$C$131,1))))-$C$116)-$C$124),0)</f>
      </c>
      <c r="O138">
        <f>IF(I138&lt;$C$120,MAX(0,J138-N138),0)</f>
      </c>
      <c r="P138">
        <f>IF($C$123&lt;&gt;1,0,P137*(1+((1+$C$132)^(1/12)-1))^12-O137/12*(1+((1+$C$132)^(1/12)-1))*(((1+((1+$C$132)^(1/12)-1))^12-1)/((1+((1+$C$132)^(1/12)-1))-1)))</f>
      </c>
      <c r="Q138">
        <f>IF($C$123&lt;&gt;1,0,IFERROR((((1+($C$132+'Inputs'!$H$108/100))^(1/12)-1)-((1+$C$132)^(1/12)-1))*(P138*(((1+((1+$C$132)^(1/12)-1))^12-1)/((1+((1+$C$132)^(1/12)-1))-1))-O138/12/((1+((1+$C$132)^(1/12)-1))-1)*((1+((1+$C$132)^(1/12)-1))*(((1+((1+$C$132)^(1/12)-1))^12-1)/((1+((1+$C$132)^(1/12)-1))-1))-12)),0))</f>
      </c>
    </row>
    <row r="139" spans="9:17" x14ac:dyDescent="0.25">
      <c r="I139">
        <v>23</v>
      </c>
      <c r="J139">
        <f>IF(I139&lt;$C$120,12*$C$121*(1+$C$122)^I139,0)</f>
      </c>
      <c r="K139">
        <f>IF(J139&lt;=0,0,INDEX($E$114:$E$121,MATCH(J139,$F$114:$F$121,1))+(J139-INDEX($F$114:$F$121,MATCH(J139,$F$114:$F$121,1)))/INDEX($G$114:$G$121,MATCH(J139,$F$114:$F$121,1))-$C$118)</f>
      </c>
      <c r="L139">
        <f>MAX(0,L138*(1+'Inputs'!$C$122/100)-M138/12*(1+'Inputs'!$C$122/100)^(1/12)*'Inputs'!$C$122/100/((1+'Inputs'!$C$122/100)^(1/12)-1))</f>
      </c>
      <c r="M139">
        <f>IF(L139&gt;0.005,MIN(MAX(K139,'Inputs'!$H$115/100*L139),'Inputs'!$H$116/100*L139),0)</f>
      </c>
      <c r="N139">
        <f>IF(M139&gt;0,M139-(MAX(0,(INDEX('Inputs'!$D$125:$D$131,MATCH($C$118+M139,'Inputs'!$C$125:$C$131,1))+INDEX('Inputs'!$E$125:$E$131,MATCH($C$118+M139,'Inputs'!$C$125:$C$131,1))/100*(($C$118+M139)-INDEX('Inputs'!$C$125:$C$131,MATCH($C$118+M139,'Inputs'!$C$125:$C$131,1))))-$C$116)-$C$124),0)</f>
      </c>
      <c r="O139">
        <f>IF(I139&lt;$C$120,MAX(0,J139-N139),0)</f>
      </c>
      <c r="P139">
        <f>IF($C$123&lt;&gt;1,0,P138*(1+((1+$C$132)^(1/12)-1))^12-O138/12*(1+((1+$C$132)^(1/12)-1))*(((1+((1+$C$132)^(1/12)-1))^12-1)/((1+((1+$C$132)^(1/12)-1))-1)))</f>
      </c>
      <c r="Q139">
        <f>IF($C$123&lt;&gt;1,0,IFERROR((((1+($C$132+'Inputs'!$H$108/100))^(1/12)-1)-((1+$C$132)^(1/12)-1))*(P139*(((1+((1+$C$132)^(1/12)-1))^12-1)/((1+((1+$C$132)^(1/12)-1))-1))-O139/12/((1+((1+$C$132)^(1/12)-1))-1)*((1+((1+$C$132)^(1/12)-1))*(((1+((1+$C$132)^(1/12)-1))^12-1)/((1+((1+$C$132)^(1/12)-1))-1))-12)),0))</f>
      </c>
    </row>
    <row r="140" spans="9:17" x14ac:dyDescent="0.25">
      <c r="I140">
        <v>24</v>
      </c>
      <c r="J140">
        <f>IF(I140&lt;$C$120,12*$C$121*(1+$C$122)^I140,0)</f>
      </c>
      <c r="K140">
        <f>IF(J140&lt;=0,0,INDEX($E$114:$E$121,MATCH(J140,$F$114:$F$121,1))+(J140-INDEX($F$114:$F$121,MATCH(J140,$F$114:$F$121,1)))/INDEX($G$114:$G$121,MATCH(J140,$F$114:$F$121,1))-$C$118)</f>
      </c>
      <c r="L140">
        <f>MAX(0,L139*(1+'Inputs'!$C$122/100)-M139/12*(1+'Inputs'!$C$122/100)^(1/12)*'Inputs'!$C$122/100/((1+'Inputs'!$C$122/100)^(1/12)-1))</f>
      </c>
      <c r="M140">
        <f>IF(L140&gt;0.005,MIN(MAX(K140,'Inputs'!$H$115/100*L140),'Inputs'!$H$116/100*L140),0)</f>
      </c>
      <c r="N140">
        <f>IF(M140&gt;0,M140-(MAX(0,(INDEX('Inputs'!$D$125:$D$131,MATCH($C$118+M140,'Inputs'!$C$125:$C$131,1))+INDEX('Inputs'!$E$125:$E$131,MATCH($C$118+M140,'Inputs'!$C$125:$C$131,1))/100*(($C$118+M140)-INDEX('Inputs'!$C$125:$C$131,MATCH($C$118+M140,'Inputs'!$C$125:$C$131,1))))-$C$116)-$C$124),0)</f>
      </c>
      <c r="O140">
        <f>IF(I140&lt;$C$120,MAX(0,J140-N140),0)</f>
      </c>
      <c r="P140">
        <f>IF($C$123&lt;&gt;1,0,P139*(1+((1+$C$132)^(1/12)-1))^12-O139/12*(1+((1+$C$132)^(1/12)-1))*(((1+((1+$C$132)^(1/12)-1))^12-1)/((1+((1+$C$132)^(1/12)-1))-1)))</f>
      </c>
      <c r="Q140">
        <f>IF($C$123&lt;&gt;1,0,IFERROR((((1+($C$132+'Inputs'!$H$108/100))^(1/12)-1)-((1+$C$132)^(1/12)-1))*(P140*(((1+((1+$C$132)^(1/12)-1))^12-1)/((1+((1+$C$132)^(1/12)-1))-1))-O140/12/((1+((1+$C$132)^(1/12)-1))-1)*((1+((1+$C$132)^(1/12)-1))*(((1+((1+$C$132)^(1/12)-1))^12-1)/((1+((1+$C$132)^(1/12)-1))-1))-12)),0))</f>
      </c>
    </row>
    <row r="141" spans="9:17" x14ac:dyDescent="0.25">
      <c r="I141">
        <v>25</v>
      </c>
      <c r="J141">
        <f>IF(I141&lt;$C$120,12*$C$121*(1+$C$122)^I141,0)</f>
      </c>
      <c r="K141">
        <f>IF(J141&lt;=0,0,INDEX($E$114:$E$121,MATCH(J141,$F$114:$F$121,1))+(J141-INDEX($F$114:$F$121,MATCH(J141,$F$114:$F$121,1)))/INDEX($G$114:$G$121,MATCH(J141,$F$114:$F$121,1))-$C$118)</f>
      </c>
      <c r="L141">
        <f>MAX(0,L140*(1+'Inputs'!$C$122/100)-M140/12*(1+'Inputs'!$C$122/100)^(1/12)*'Inputs'!$C$122/100/((1+'Inputs'!$C$122/100)^(1/12)-1))</f>
      </c>
      <c r="M141">
        <f>IF(L141&gt;0.005,MIN(MAX(K141,'Inputs'!$H$115/100*L141),'Inputs'!$H$116/100*L141),0)</f>
      </c>
      <c r="N141">
        <f>IF(M141&gt;0,M141-(MAX(0,(INDEX('Inputs'!$D$125:$D$131,MATCH($C$118+M141,'Inputs'!$C$125:$C$131,1))+INDEX('Inputs'!$E$125:$E$131,MATCH($C$118+M141,'Inputs'!$C$125:$C$131,1))/100*(($C$118+M141)-INDEX('Inputs'!$C$125:$C$131,MATCH($C$118+M141,'Inputs'!$C$125:$C$131,1))))-$C$116)-$C$124),0)</f>
      </c>
      <c r="O141">
        <f>IF(I141&lt;$C$120,MAX(0,J141-N141),0)</f>
      </c>
      <c r="P141">
        <f>IF($C$123&lt;&gt;1,0,P140*(1+((1+$C$132)^(1/12)-1))^12-O140/12*(1+((1+$C$132)^(1/12)-1))*(((1+((1+$C$132)^(1/12)-1))^12-1)/((1+((1+$C$132)^(1/12)-1))-1)))</f>
      </c>
      <c r="Q141">
        <f>IF($C$123&lt;&gt;1,0,IFERROR((((1+($C$132+'Inputs'!$H$108/100))^(1/12)-1)-((1+$C$132)^(1/12)-1))*(P141*(((1+((1+$C$132)^(1/12)-1))^12-1)/((1+((1+$C$132)^(1/12)-1))-1))-O141/12/((1+((1+$C$132)^(1/12)-1))-1)*((1+((1+$C$132)^(1/12)-1))*(((1+((1+$C$132)^(1/12)-1))^12-1)/((1+((1+$C$132)^(1/12)-1))-1))-12)),0))</f>
      </c>
    </row>
    <row r="142" spans="9:17" x14ac:dyDescent="0.25">
      <c r="I142">
        <v>26</v>
      </c>
      <c r="J142">
        <f>IF(I142&lt;$C$120,12*$C$121*(1+$C$122)^I142,0)</f>
      </c>
      <c r="K142">
        <f>IF(J142&lt;=0,0,INDEX($E$114:$E$121,MATCH(J142,$F$114:$F$121,1))+(J142-INDEX($F$114:$F$121,MATCH(J142,$F$114:$F$121,1)))/INDEX($G$114:$G$121,MATCH(J142,$F$114:$F$121,1))-$C$118)</f>
      </c>
      <c r="L142">
        <f>MAX(0,L141*(1+'Inputs'!$C$122/100)-M141/12*(1+'Inputs'!$C$122/100)^(1/12)*'Inputs'!$C$122/100/((1+'Inputs'!$C$122/100)^(1/12)-1))</f>
      </c>
      <c r="M142">
        <f>IF(L142&gt;0.005,MIN(MAX(K142,'Inputs'!$H$115/100*L142),'Inputs'!$H$116/100*L142),0)</f>
      </c>
      <c r="N142">
        <f>IF(M142&gt;0,M142-(MAX(0,(INDEX('Inputs'!$D$125:$D$131,MATCH($C$118+M142,'Inputs'!$C$125:$C$131,1))+INDEX('Inputs'!$E$125:$E$131,MATCH($C$118+M142,'Inputs'!$C$125:$C$131,1))/100*(($C$118+M142)-INDEX('Inputs'!$C$125:$C$131,MATCH($C$118+M142,'Inputs'!$C$125:$C$131,1))))-$C$116)-$C$124),0)</f>
      </c>
      <c r="O142">
        <f>IF(I142&lt;$C$120,MAX(0,J142-N142),0)</f>
      </c>
      <c r="P142">
        <f>IF($C$123&lt;&gt;1,0,P141*(1+((1+$C$132)^(1/12)-1))^12-O141/12*(1+((1+$C$132)^(1/12)-1))*(((1+((1+$C$132)^(1/12)-1))^12-1)/((1+((1+$C$132)^(1/12)-1))-1)))</f>
      </c>
      <c r="Q142">
        <f>IF($C$123&lt;&gt;1,0,IFERROR((((1+($C$132+'Inputs'!$H$108/100))^(1/12)-1)-((1+$C$132)^(1/12)-1))*(P142*(((1+((1+$C$132)^(1/12)-1))^12-1)/((1+((1+$C$132)^(1/12)-1))-1))-O142/12/((1+((1+$C$132)^(1/12)-1))-1)*((1+((1+$C$132)^(1/12)-1))*(((1+((1+$C$132)^(1/12)-1))^12-1)/((1+((1+$C$132)^(1/12)-1))-1))-12)),0))</f>
      </c>
    </row>
    <row r="143" spans="9:17" x14ac:dyDescent="0.25">
      <c r="I143">
        <v>27</v>
      </c>
      <c r="J143">
        <f>IF(I143&lt;$C$120,12*$C$121*(1+$C$122)^I143,0)</f>
      </c>
      <c r="K143">
        <f>IF(J143&lt;=0,0,INDEX($E$114:$E$121,MATCH(J143,$F$114:$F$121,1))+(J143-INDEX($F$114:$F$121,MATCH(J143,$F$114:$F$121,1)))/INDEX($G$114:$G$121,MATCH(J143,$F$114:$F$121,1))-$C$118)</f>
      </c>
      <c r="L143">
        <f>MAX(0,L142*(1+'Inputs'!$C$122/100)-M142/12*(1+'Inputs'!$C$122/100)^(1/12)*'Inputs'!$C$122/100/((1+'Inputs'!$C$122/100)^(1/12)-1))</f>
      </c>
      <c r="M143">
        <f>IF(L143&gt;0.005,MIN(MAX(K143,'Inputs'!$H$115/100*L143),'Inputs'!$H$116/100*L143),0)</f>
      </c>
      <c r="N143">
        <f>IF(M143&gt;0,M143-(MAX(0,(INDEX('Inputs'!$D$125:$D$131,MATCH($C$118+M143,'Inputs'!$C$125:$C$131,1))+INDEX('Inputs'!$E$125:$E$131,MATCH($C$118+M143,'Inputs'!$C$125:$C$131,1))/100*(($C$118+M143)-INDEX('Inputs'!$C$125:$C$131,MATCH($C$118+M143,'Inputs'!$C$125:$C$131,1))))-$C$116)-$C$124),0)</f>
      </c>
      <c r="O143">
        <f>IF(I143&lt;$C$120,MAX(0,J143-N143),0)</f>
      </c>
      <c r="P143">
        <f>IF($C$123&lt;&gt;1,0,P142*(1+((1+$C$132)^(1/12)-1))^12-O142/12*(1+((1+$C$132)^(1/12)-1))*(((1+((1+$C$132)^(1/12)-1))^12-1)/((1+((1+$C$132)^(1/12)-1))-1)))</f>
      </c>
      <c r="Q143">
        <f>IF($C$123&lt;&gt;1,0,IFERROR((((1+($C$132+'Inputs'!$H$108/100))^(1/12)-1)-((1+$C$132)^(1/12)-1))*(P143*(((1+((1+$C$132)^(1/12)-1))^12-1)/((1+((1+$C$132)^(1/12)-1))-1))-O143/12/((1+((1+$C$132)^(1/12)-1))-1)*((1+((1+$C$132)^(1/12)-1))*(((1+((1+$C$132)^(1/12)-1))^12-1)/((1+((1+$C$132)^(1/12)-1))-1))-12)),0))</f>
      </c>
    </row>
    <row r="144" spans="9:17" x14ac:dyDescent="0.25">
      <c r="I144">
        <v>28</v>
      </c>
      <c r="J144">
        <f>IF(I144&lt;$C$120,12*$C$121*(1+$C$122)^I144,0)</f>
      </c>
      <c r="K144">
        <f>IF(J144&lt;=0,0,INDEX($E$114:$E$121,MATCH(J144,$F$114:$F$121,1))+(J144-INDEX($F$114:$F$121,MATCH(J144,$F$114:$F$121,1)))/INDEX($G$114:$G$121,MATCH(J144,$F$114:$F$121,1))-$C$118)</f>
      </c>
      <c r="L144">
        <f>MAX(0,L143*(1+'Inputs'!$C$122/100)-M143/12*(1+'Inputs'!$C$122/100)^(1/12)*'Inputs'!$C$122/100/((1+'Inputs'!$C$122/100)^(1/12)-1))</f>
      </c>
      <c r="M144">
        <f>IF(L144&gt;0.005,MIN(MAX(K144,'Inputs'!$H$115/100*L144),'Inputs'!$H$116/100*L144),0)</f>
      </c>
      <c r="N144">
        <f>IF(M144&gt;0,M144-(MAX(0,(INDEX('Inputs'!$D$125:$D$131,MATCH($C$118+M144,'Inputs'!$C$125:$C$131,1))+INDEX('Inputs'!$E$125:$E$131,MATCH($C$118+M144,'Inputs'!$C$125:$C$131,1))/100*(($C$118+M144)-INDEX('Inputs'!$C$125:$C$131,MATCH($C$118+M144,'Inputs'!$C$125:$C$131,1))))-$C$116)-$C$124),0)</f>
      </c>
      <c r="O144">
        <f>IF(I144&lt;$C$120,MAX(0,J144-N144),0)</f>
      </c>
      <c r="P144">
        <f>IF($C$123&lt;&gt;1,0,P143*(1+((1+$C$132)^(1/12)-1))^12-O143/12*(1+((1+$C$132)^(1/12)-1))*(((1+((1+$C$132)^(1/12)-1))^12-1)/((1+((1+$C$132)^(1/12)-1))-1)))</f>
      </c>
      <c r="Q144">
        <f>IF($C$123&lt;&gt;1,0,IFERROR((((1+($C$132+'Inputs'!$H$108/100))^(1/12)-1)-((1+$C$132)^(1/12)-1))*(P144*(((1+((1+$C$132)^(1/12)-1))^12-1)/((1+((1+$C$132)^(1/12)-1))-1))-O144/12/((1+((1+$C$132)^(1/12)-1))-1)*((1+((1+$C$132)^(1/12)-1))*(((1+((1+$C$132)^(1/12)-1))^12-1)/((1+((1+$C$132)^(1/12)-1))-1))-12)),0))</f>
      </c>
    </row>
    <row r="145" spans="9:17" x14ac:dyDescent="0.25">
      <c r="I145">
        <v>29</v>
      </c>
      <c r="J145">
        <f>IF(I145&lt;$C$120,12*$C$121*(1+$C$122)^I145,0)</f>
      </c>
      <c r="K145">
        <f>IF(J145&lt;=0,0,INDEX($E$114:$E$121,MATCH(J145,$F$114:$F$121,1))+(J145-INDEX($F$114:$F$121,MATCH(J145,$F$114:$F$121,1)))/INDEX($G$114:$G$121,MATCH(J145,$F$114:$F$121,1))-$C$118)</f>
      </c>
      <c r="L145">
        <f>MAX(0,L144*(1+'Inputs'!$C$122/100)-M144/12*(1+'Inputs'!$C$122/100)^(1/12)*'Inputs'!$C$122/100/((1+'Inputs'!$C$122/100)^(1/12)-1))</f>
      </c>
      <c r="M145">
        <f>IF(L145&gt;0.005,MIN(MAX(K145,'Inputs'!$H$115/100*L145),'Inputs'!$H$116/100*L145),0)</f>
      </c>
      <c r="N145">
        <f>IF(M145&gt;0,M145-(MAX(0,(INDEX('Inputs'!$D$125:$D$131,MATCH($C$118+M145,'Inputs'!$C$125:$C$131,1))+INDEX('Inputs'!$E$125:$E$131,MATCH($C$118+M145,'Inputs'!$C$125:$C$131,1))/100*(($C$118+M145)-INDEX('Inputs'!$C$125:$C$131,MATCH($C$118+M145,'Inputs'!$C$125:$C$131,1))))-$C$116)-$C$124),0)</f>
      </c>
      <c r="O145">
        <f>IF(I145&lt;$C$120,MAX(0,J145-N145),0)</f>
      </c>
      <c r="P145">
        <f>IF($C$123&lt;&gt;1,0,P144*(1+((1+$C$132)^(1/12)-1))^12-O144/12*(1+((1+$C$132)^(1/12)-1))*(((1+((1+$C$132)^(1/12)-1))^12-1)/((1+((1+$C$132)^(1/12)-1))-1)))</f>
      </c>
      <c r="Q145">
        <f>IF($C$123&lt;&gt;1,0,IFERROR((((1+($C$132+'Inputs'!$H$108/100))^(1/12)-1)-((1+$C$132)^(1/12)-1))*(P145*(((1+((1+$C$132)^(1/12)-1))^12-1)/((1+((1+$C$132)^(1/12)-1))-1))-O145/12/((1+((1+$C$132)^(1/12)-1))-1)*((1+((1+$C$132)^(1/12)-1))*(((1+((1+$C$132)^(1/12)-1))^12-1)/((1+((1+$C$132)^(1/12)-1))-1))-12)),0))</f>
      </c>
    </row>
    <row r="146" spans="9:17" x14ac:dyDescent="0.25">
      <c r="I146">
        <v>30</v>
      </c>
      <c r="J146">
        <f>IF(I146&lt;$C$120,12*$C$121*(1+$C$122)^I146,0)</f>
      </c>
      <c r="K146">
        <f>IF(J146&lt;=0,0,INDEX($E$114:$E$121,MATCH(J146,$F$114:$F$121,1))+(J146-INDEX($F$114:$F$121,MATCH(J146,$F$114:$F$121,1)))/INDEX($G$114:$G$121,MATCH(J146,$F$114:$F$121,1))-$C$118)</f>
      </c>
      <c r="L146">
        <f>MAX(0,L145*(1+'Inputs'!$C$122/100)-M145/12*(1+'Inputs'!$C$122/100)^(1/12)*'Inputs'!$C$122/100/((1+'Inputs'!$C$122/100)^(1/12)-1))</f>
      </c>
      <c r="M146">
        <f>IF(L146&gt;0.005,MIN(MAX(K146,'Inputs'!$H$115/100*L146),'Inputs'!$H$116/100*L146),0)</f>
      </c>
      <c r="N146">
        <f>IF(M146&gt;0,M146-(MAX(0,(INDEX('Inputs'!$D$125:$D$131,MATCH($C$118+M146,'Inputs'!$C$125:$C$131,1))+INDEX('Inputs'!$E$125:$E$131,MATCH($C$118+M146,'Inputs'!$C$125:$C$131,1))/100*(($C$118+M146)-INDEX('Inputs'!$C$125:$C$131,MATCH($C$118+M146,'Inputs'!$C$125:$C$131,1))))-$C$116)-$C$124),0)</f>
      </c>
      <c r="O146">
        <f>IF(I146&lt;$C$120,MAX(0,J146-N146),0)</f>
      </c>
      <c r="P146">
        <f>IF($C$123&lt;&gt;1,0,P145*(1+((1+$C$132)^(1/12)-1))^12-O145/12*(1+((1+$C$132)^(1/12)-1))*(((1+((1+$C$132)^(1/12)-1))^12-1)/((1+((1+$C$132)^(1/12)-1))-1)))</f>
      </c>
      <c r="Q146">
        <f>IF($C$123&lt;&gt;1,0,IFERROR((((1+($C$132+'Inputs'!$H$108/100))^(1/12)-1)-((1+$C$132)^(1/12)-1))*(P146*(((1+((1+$C$132)^(1/12)-1))^12-1)/((1+((1+$C$132)^(1/12)-1))-1))-O146/12/((1+((1+$C$132)^(1/12)-1))-1)*((1+((1+$C$132)^(1/12)-1))*(((1+((1+$C$132)^(1/12)-1))^12-1)/((1+((1+$C$132)^(1/12)-1))-1))-12)),0))</f>
      </c>
    </row>
    <row r="147" spans="9:17" x14ac:dyDescent="0.25">
      <c r="I147">
        <v>31</v>
      </c>
      <c r="J147">
        <f>IF(I147&lt;$C$120,12*$C$121*(1+$C$122)^I147,0)</f>
      </c>
      <c r="K147">
        <f>IF(J147&lt;=0,0,INDEX($E$114:$E$121,MATCH(J147,$F$114:$F$121,1))+(J147-INDEX($F$114:$F$121,MATCH(J147,$F$114:$F$121,1)))/INDEX($G$114:$G$121,MATCH(J147,$F$114:$F$121,1))-$C$118)</f>
      </c>
      <c r="L147">
        <f>MAX(0,L146*(1+'Inputs'!$C$122/100)-M146/12*(1+'Inputs'!$C$122/100)^(1/12)*'Inputs'!$C$122/100/((1+'Inputs'!$C$122/100)^(1/12)-1))</f>
      </c>
      <c r="M147">
        <f>IF(L147&gt;0.005,MIN(MAX(K147,'Inputs'!$H$115/100*L147),'Inputs'!$H$116/100*L147),0)</f>
      </c>
      <c r="N147">
        <f>IF(M147&gt;0,M147-(MAX(0,(INDEX('Inputs'!$D$125:$D$131,MATCH($C$118+M147,'Inputs'!$C$125:$C$131,1))+INDEX('Inputs'!$E$125:$E$131,MATCH($C$118+M147,'Inputs'!$C$125:$C$131,1))/100*(($C$118+M147)-INDEX('Inputs'!$C$125:$C$131,MATCH($C$118+M147,'Inputs'!$C$125:$C$131,1))))-$C$116)-$C$124),0)</f>
      </c>
      <c r="O147">
        <f>IF(I147&lt;$C$120,MAX(0,J147-N147),0)</f>
      </c>
      <c r="P147">
        <f>IF($C$123&lt;&gt;1,0,P146*(1+((1+$C$132)^(1/12)-1))^12-O146/12*(1+((1+$C$132)^(1/12)-1))*(((1+((1+$C$132)^(1/12)-1))^12-1)/((1+((1+$C$132)^(1/12)-1))-1)))</f>
      </c>
      <c r="Q147">
        <f>IF($C$123&lt;&gt;1,0,IFERROR((((1+($C$132+'Inputs'!$H$108/100))^(1/12)-1)-((1+$C$132)^(1/12)-1))*(P147*(((1+((1+$C$132)^(1/12)-1))^12-1)/((1+((1+$C$132)^(1/12)-1))-1))-O147/12/((1+((1+$C$132)^(1/12)-1))-1)*((1+((1+$C$132)^(1/12)-1))*(((1+((1+$C$132)^(1/12)-1))^12-1)/((1+((1+$C$132)^(1/12)-1))-1))-12)),0))</f>
      </c>
    </row>
    <row r="148" spans="9:17" x14ac:dyDescent="0.25">
      <c r="I148">
        <v>32</v>
      </c>
      <c r="J148">
        <f>IF(I148&lt;$C$120,12*$C$121*(1+$C$122)^I148,0)</f>
      </c>
      <c r="K148">
        <f>IF(J148&lt;=0,0,INDEX($E$114:$E$121,MATCH(J148,$F$114:$F$121,1))+(J148-INDEX($F$114:$F$121,MATCH(J148,$F$114:$F$121,1)))/INDEX($G$114:$G$121,MATCH(J148,$F$114:$F$121,1))-$C$118)</f>
      </c>
      <c r="L148">
        <f>MAX(0,L147*(1+'Inputs'!$C$122/100)-M147/12*(1+'Inputs'!$C$122/100)^(1/12)*'Inputs'!$C$122/100/((1+'Inputs'!$C$122/100)^(1/12)-1))</f>
      </c>
      <c r="M148">
        <f>IF(L148&gt;0.005,MIN(MAX(K148,'Inputs'!$H$115/100*L148),'Inputs'!$H$116/100*L148),0)</f>
      </c>
      <c r="N148">
        <f>IF(M148&gt;0,M148-(MAX(0,(INDEX('Inputs'!$D$125:$D$131,MATCH($C$118+M148,'Inputs'!$C$125:$C$131,1))+INDEX('Inputs'!$E$125:$E$131,MATCH($C$118+M148,'Inputs'!$C$125:$C$131,1))/100*(($C$118+M148)-INDEX('Inputs'!$C$125:$C$131,MATCH($C$118+M148,'Inputs'!$C$125:$C$131,1))))-$C$116)-$C$124),0)</f>
      </c>
      <c r="O148">
        <f>IF(I148&lt;$C$120,MAX(0,J148-N148),0)</f>
      </c>
      <c r="P148">
        <f>IF($C$123&lt;&gt;1,0,P147*(1+((1+$C$132)^(1/12)-1))^12-O147/12*(1+((1+$C$132)^(1/12)-1))*(((1+((1+$C$132)^(1/12)-1))^12-1)/((1+((1+$C$132)^(1/12)-1))-1)))</f>
      </c>
      <c r="Q148">
        <f>IF($C$123&lt;&gt;1,0,IFERROR((((1+($C$132+'Inputs'!$H$108/100))^(1/12)-1)-((1+$C$132)^(1/12)-1))*(P148*(((1+((1+$C$132)^(1/12)-1))^12-1)/((1+((1+$C$132)^(1/12)-1))-1))-O148/12/((1+((1+$C$132)^(1/12)-1))-1)*((1+((1+$C$132)^(1/12)-1))*(((1+((1+$C$132)^(1/12)-1))^12-1)/((1+((1+$C$132)^(1/12)-1))-1))-12)),0))</f>
      </c>
    </row>
    <row r="149" spans="9:17" x14ac:dyDescent="0.25">
      <c r="I149">
        <v>33</v>
      </c>
      <c r="J149">
        <f>IF(I149&lt;$C$120,12*$C$121*(1+$C$122)^I149,0)</f>
      </c>
      <c r="K149">
        <f>IF(J149&lt;=0,0,INDEX($E$114:$E$121,MATCH(J149,$F$114:$F$121,1))+(J149-INDEX($F$114:$F$121,MATCH(J149,$F$114:$F$121,1)))/INDEX($G$114:$G$121,MATCH(J149,$F$114:$F$121,1))-$C$118)</f>
      </c>
      <c r="L149">
        <f>MAX(0,L148*(1+'Inputs'!$C$122/100)-M148/12*(1+'Inputs'!$C$122/100)^(1/12)*'Inputs'!$C$122/100/((1+'Inputs'!$C$122/100)^(1/12)-1))</f>
      </c>
      <c r="M149">
        <f>IF(L149&gt;0.005,MIN(MAX(K149,'Inputs'!$H$115/100*L149),'Inputs'!$H$116/100*L149),0)</f>
      </c>
      <c r="N149">
        <f>IF(M149&gt;0,M149-(MAX(0,(INDEX('Inputs'!$D$125:$D$131,MATCH($C$118+M149,'Inputs'!$C$125:$C$131,1))+INDEX('Inputs'!$E$125:$E$131,MATCH($C$118+M149,'Inputs'!$C$125:$C$131,1))/100*(($C$118+M149)-INDEX('Inputs'!$C$125:$C$131,MATCH($C$118+M149,'Inputs'!$C$125:$C$131,1))))-$C$116)-$C$124),0)</f>
      </c>
      <c r="O149">
        <f>IF(I149&lt;$C$120,MAX(0,J149-N149),0)</f>
      </c>
      <c r="P149">
        <f>IF($C$123&lt;&gt;1,0,P148*(1+((1+$C$132)^(1/12)-1))^12-O148/12*(1+((1+$C$132)^(1/12)-1))*(((1+((1+$C$132)^(1/12)-1))^12-1)/((1+((1+$C$132)^(1/12)-1))-1)))</f>
      </c>
      <c r="Q149">
        <f>IF($C$123&lt;&gt;1,0,IFERROR((((1+($C$132+'Inputs'!$H$108/100))^(1/12)-1)-((1+$C$132)^(1/12)-1))*(P149*(((1+((1+$C$132)^(1/12)-1))^12-1)/((1+((1+$C$132)^(1/12)-1))-1))-O149/12/((1+((1+$C$132)^(1/12)-1))-1)*((1+((1+$C$132)^(1/12)-1))*(((1+((1+$C$132)^(1/12)-1))^12-1)/((1+((1+$C$132)^(1/12)-1))-1))-12)),0))</f>
      </c>
    </row>
    <row r="150" spans="9:17" x14ac:dyDescent="0.25">
      <c r="I150">
        <v>34</v>
      </c>
      <c r="J150">
        <f>IF(I150&lt;$C$120,12*$C$121*(1+$C$122)^I150,0)</f>
      </c>
      <c r="K150">
        <f>IF(J150&lt;=0,0,INDEX($E$114:$E$121,MATCH(J150,$F$114:$F$121,1))+(J150-INDEX($F$114:$F$121,MATCH(J150,$F$114:$F$121,1)))/INDEX($G$114:$G$121,MATCH(J150,$F$114:$F$121,1))-$C$118)</f>
      </c>
      <c r="L150">
        <f>MAX(0,L149*(1+'Inputs'!$C$122/100)-M149/12*(1+'Inputs'!$C$122/100)^(1/12)*'Inputs'!$C$122/100/((1+'Inputs'!$C$122/100)^(1/12)-1))</f>
      </c>
      <c r="M150">
        <f>IF(L150&gt;0.005,MIN(MAX(K150,'Inputs'!$H$115/100*L150),'Inputs'!$H$116/100*L150),0)</f>
      </c>
      <c r="N150">
        <f>IF(M150&gt;0,M150-(MAX(0,(INDEX('Inputs'!$D$125:$D$131,MATCH($C$118+M150,'Inputs'!$C$125:$C$131,1))+INDEX('Inputs'!$E$125:$E$131,MATCH($C$118+M150,'Inputs'!$C$125:$C$131,1))/100*(($C$118+M150)-INDEX('Inputs'!$C$125:$C$131,MATCH($C$118+M150,'Inputs'!$C$125:$C$131,1))))-$C$116)-$C$124),0)</f>
      </c>
      <c r="O150">
        <f>IF(I150&lt;$C$120,MAX(0,J150-N150),0)</f>
      </c>
      <c r="P150">
        <f>IF($C$123&lt;&gt;1,0,P149*(1+((1+$C$132)^(1/12)-1))^12-O149/12*(1+((1+$C$132)^(1/12)-1))*(((1+((1+$C$132)^(1/12)-1))^12-1)/((1+((1+$C$132)^(1/12)-1))-1)))</f>
      </c>
      <c r="Q150">
        <f>IF($C$123&lt;&gt;1,0,IFERROR((((1+($C$132+'Inputs'!$H$108/100))^(1/12)-1)-((1+$C$132)^(1/12)-1))*(P150*(((1+((1+$C$132)^(1/12)-1))^12-1)/((1+((1+$C$132)^(1/12)-1))-1))-O150/12/((1+((1+$C$132)^(1/12)-1))-1)*((1+((1+$C$132)^(1/12)-1))*(((1+((1+$C$132)^(1/12)-1))^12-1)/((1+((1+$C$132)^(1/12)-1))-1))-12)),0))</f>
      </c>
    </row>
    <row r="151" spans="9:17" x14ac:dyDescent="0.25">
      <c r="I151">
        <v>35</v>
      </c>
      <c r="J151">
        <f>IF(I151&lt;$C$120,12*$C$121*(1+$C$122)^I151,0)</f>
      </c>
      <c r="K151">
        <f>IF(J151&lt;=0,0,INDEX($E$114:$E$121,MATCH(J151,$F$114:$F$121,1))+(J151-INDEX($F$114:$F$121,MATCH(J151,$F$114:$F$121,1)))/INDEX($G$114:$G$121,MATCH(J151,$F$114:$F$121,1))-$C$118)</f>
      </c>
      <c r="L151">
        <f>MAX(0,L150*(1+'Inputs'!$C$122/100)-M150/12*(1+'Inputs'!$C$122/100)^(1/12)*'Inputs'!$C$122/100/((1+'Inputs'!$C$122/100)^(1/12)-1))</f>
      </c>
      <c r="M151">
        <f>IF(L151&gt;0.005,MIN(MAX(K151,'Inputs'!$H$115/100*L151),'Inputs'!$H$116/100*L151),0)</f>
      </c>
      <c r="N151">
        <f>IF(M151&gt;0,M151-(MAX(0,(INDEX('Inputs'!$D$125:$D$131,MATCH($C$118+M151,'Inputs'!$C$125:$C$131,1))+INDEX('Inputs'!$E$125:$E$131,MATCH($C$118+M151,'Inputs'!$C$125:$C$131,1))/100*(($C$118+M151)-INDEX('Inputs'!$C$125:$C$131,MATCH($C$118+M151,'Inputs'!$C$125:$C$131,1))))-$C$116)-$C$124),0)</f>
      </c>
      <c r="O151">
        <f>IF(I151&lt;$C$120,MAX(0,J151-N151),0)</f>
      </c>
      <c r="P151">
        <f>IF($C$123&lt;&gt;1,0,P150*(1+((1+$C$132)^(1/12)-1))^12-O150/12*(1+((1+$C$132)^(1/12)-1))*(((1+((1+$C$132)^(1/12)-1))^12-1)/((1+((1+$C$132)^(1/12)-1))-1)))</f>
      </c>
      <c r="Q151">
        <f>IF($C$123&lt;&gt;1,0,IFERROR((((1+($C$132+'Inputs'!$H$108/100))^(1/12)-1)-((1+$C$132)^(1/12)-1))*(P151*(((1+((1+$C$132)^(1/12)-1))^12-1)/((1+((1+$C$132)^(1/12)-1))-1))-O151/12/((1+((1+$C$132)^(1/12)-1))-1)*((1+((1+$C$132)^(1/12)-1))*(((1+((1+$C$132)^(1/12)-1))^12-1)/((1+((1+$C$132)^(1/12)-1))-1))-12)),0))</f>
      </c>
    </row>
    <row r="152" spans="9:17" x14ac:dyDescent="0.25">
      <c r="I152">
        <v>36</v>
      </c>
      <c r="J152">
        <f>IF(I152&lt;$C$120,12*$C$121*(1+$C$122)^I152,0)</f>
      </c>
      <c r="K152">
        <f>IF(J152&lt;=0,0,INDEX($E$114:$E$121,MATCH(J152,$F$114:$F$121,1))+(J152-INDEX($F$114:$F$121,MATCH(J152,$F$114:$F$121,1)))/INDEX($G$114:$G$121,MATCH(J152,$F$114:$F$121,1))-$C$118)</f>
      </c>
      <c r="L152">
        <f>MAX(0,L151*(1+'Inputs'!$C$122/100)-M151/12*(1+'Inputs'!$C$122/100)^(1/12)*'Inputs'!$C$122/100/((1+'Inputs'!$C$122/100)^(1/12)-1))</f>
      </c>
      <c r="M152">
        <f>IF(L152&gt;0.005,MIN(MAX(K152,'Inputs'!$H$115/100*L152),'Inputs'!$H$116/100*L152),0)</f>
      </c>
      <c r="N152">
        <f>IF(M152&gt;0,M152-(MAX(0,(INDEX('Inputs'!$D$125:$D$131,MATCH($C$118+M152,'Inputs'!$C$125:$C$131,1))+INDEX('Inputs'!$E$125:$E$131,MATCH($C$118+M152,'Inputs'!$C$125:$C$131,1))/100*(($C$118+M152)-INDEX('Inputs'!$C$125:$C$131,MATCH($C$118+M152,'Inputs'!$C$125:$C$131,1))))-$C$116)-$C$124),0)</f>
      </c>
      <c r="O152">
        <f>IF(I152&lt;$C$120,MAX(0,J152-N152),0)</f>
      </c>
      <c r="P152">
        <f>IF($C$123&lt;&gt;1,0,P151*(1+((1+$C$132)^(1/12)-1))^12-O151/12*(1+((1+$C$132)^(1/12)-1))*(((1+((1+$C$132)^(1/12)-1))^12-1)/((1+((1+$C$132)^(1/12)-1))-1)))</f>
      </c>
      <c r="Q152">
        <f>IF($C$123&lt;&gt;1,0,IFERROR((((1+($C$132+'Inputs'!$H$108/100))^(1/12)-1)-((1+$C$132)^(1/12)-1))*(P152*(((1+((1+$C$132)^(1/12)-1))^12-1)/((1+((1+$C$132)^(1/12)-1))-1))-O152/12/((1+((1+$C$132)^(1/12)-1))-1)*((1+((1+$C$132)^(1/12)-1))*(((1+((1+$C$132)^(1/12)-1))^12-1)/((1+((1+$C$132)^(1/12)-1))-1))-12)),0))</f>
      </c>
    </row>
    <row r="153" spans="9:17" x14ac:dyDescent="0.25">
      <c r="I153">
        <v>37</v>
      </c>
      <c r="J153">
        <f>IF(I153&lt;$C$120,12*$C$121*(1+$C$122)^I153,0)</f>
      </c>
      <c r="K153">
        <f>IF(J153&lt;=0,0,INDEX($E$114:$E$121,MATCH(J153,$F$114:$F$121,1))+(J153-INDEX($F$114:$F$121,MATCH(J153,$F$114:$F$121,1)))/INDEX($G$114:$G$121,MATCH(J153,$F$114:$F$121,1))-$C$118)</f>
      </c>
      <c r="L153">
        <f>MAX(0,L152*(1+'Inputs'!$C$122/100)-M152/12*(1+'Inputs'!$C$122/100)^(1/12)*'Inputs'!$C$122/100/((1+'Inputs'!$C$122/100)^(1/12)-1))</f>
      </c>
      <c r="M153">
        <f>IF(L153&gt;0.005,MIN(MAX(K153,'Inputs'!$H$115/100*L153),'Inputs'!$H$116/100*L153),0)</f>
      </c>
      <c r="N153">
        <f>IF(M153&gt;0,M153-(MAX(0,(INDEX('Inputs'!$D$125:$D$131,MATCH($C$118+M153,'Inputs'!$C$125:$C$131,1))+INDEX('Inputs'!$E$125:$E$131,MATCH($C$118+M153,'Inputs'!$C$125:$C$131,1))/100*(($C$118+M153)-INDEX('Inputs'!$C$125:$C$131,MATCH($C$118+M153,'Inputs'!$C$125:$C$131,1))))-$C$116)-$C$124),0)</f>
      </c>
      <c r="O153">
        <f>IF(I153&lt;$C$120,MAX(0,J153-N153),0)</f>
      </c>
      <c r="P153">
        <f>IF($C$123&lt;&gt;1,0,P152*(1+((1+$C$132)^(1/12)-1))^12-O152/12*(1+((1+$C$132)^(1/12)-1))*(((1+((1+$C$132)^(1/12)-1))^12-1)/((1+((1+$C$132)^(1/12)-1))-1)))</f>
      </c>
      <c r="Q153">
        <f>IF($C$123&lt;&gt;1,0,IFERROR((((1+($C$132+'Inputs'!$H$108/100))^(1/12)-1)-((1+$C$132)^(1/12)-1))*(P153*(((1+((1+$C$132)^(1/12)-1))^12-1)/((1+((1+$C$132)^(1/12)-1))-1))-O153/12/((1+((1+$C$132)^(1/12)-1))-1)*((1+((1+$C$132)^(1/12)-1))*(((1+((1+$C$132)^(1/12)-1))^12-1)/((1+((1+$C$132)^(1/12)-1))-1))-12)),0))</f>
      </c>
    </row>
    <row r="154" spans="9:17" x14ac:dyDescent="0.25">
      <c r="I154">
        <v>38</v>
      </c>
      <c r="J154">
        <f>IF(I154&lt;$C$120,12*$C$121*(1+$C$122)^I154,0)</f>
      </c>
      <c r="K154">
        <f>IF(J154&lt;=0,0,INDEX($E$114:$E$121,MATCH(J154,$F$114:$F$121,1))+(J154-INDEX($F$114:$F$121,MATCH(J154,$F$114:$F$121,1)))/INDEX($G$114:$G$121,MATCH(J154,$F$114:$F$121,1))-$C$118)</f>
      </c>
      <c r="L154">
        <f>MAX(0,L153*(1+'Inputs'!$C$122/100)-M153/12*(1+'Inputs'!$C$122/100)^(1/12)*'Inputs'!$C$122/100/((1+'Inputs'!$C$122/100)^(1/12)-1))</f>
      </c>
      <c r="M154">
        <f>IF(L154&gt;0.005,MIN(MAX(K154,'Inputs'!$H$115/100*L154),'Inputs'!$H$116/100*L154),0)</f>
      </c>
      <c r="N154">
        <f>IF(M154&gt;0,M154-(MAX(0,(INDEX('Inputs'!$D$125:$D$131,MATCH($C$118+M154,'Inputs'!$C$125:$C$131,1))+INDEX('Inputs'!$E$125:$E$131,MATCH($C$118+M154,'Inputs'!$C$125:$C$131,1))/100*(($C$118+M154)-INDEX('Inputs'!$C$125:$C$131,MATCH($C$118+M154,'Inputs'!$C$125:$C$131,1))))-$C$116)-$C$124),0)</f>
      </c>
      <c r="O154">
        <f>IF(I154&lt;$C$120,MAX(0,J154-N154),0)</f>
      </c>
      <c r="P154">
        <f>IF($C$123&lt;&gt;1,0,P153*(1+((1+$C$132)^(1/12)-1))^12-O153/12*(1+((1+$C$132)^(1/12)-1))*(((1+((1+$C$132)^(1/12)-1))^12-1)/((1+((1+$C$132)^(1/12)-1))-1)))</f>
      </c>
      <c r="Q154">
        <f>IF($C$123&lt;&gt;1,0,IFERROR((((1+($C$132+'Inputs'!$H$108/100))^(1/12)-1)-((1+$C$132)^(1/12)-1))*(P154*(((1+((1+$C$132)^(1/12)-1))^12-1)/((1+((1+$C$132)^(1/12)-1))-1))-O154/12/((1+((1+$C$132)^(1/12)-1))-1)*((1+((1+$C$132)^(1/12)-1))*(((1+((1+$C$132)^(1/12)-1))^12-1)/((1+((1+$C$132)^(1/12)-1))-1))-12)),0))</f>
      </c>
    </row>
    <row r="155" spans="9:17" x14ac:dyDescent="0.25">
      <c r="I155">
        <v>39</v>
      </c>
      <c r="J155">
        <f>IF(I155&lt;$C$120,12*$C$121*(1+$C$122)^I155,0)</f>
      </c>
      <c r="K155">
        <f>IF(J155&lt;=0,0,INDEX($E$114:$E$121,MATCH(J155,$F$114:$F$121,1))+(J155-INDEX($F$114:$F$121,MATCH(J155,$F$114:$F$121,1)))/INDEX($G$114:$G$121,MATCH(J155,$F$114:$F$121,1))-$C$118)</f>
      </c>
      <c r="L155">
        <f>MAX(0,L154*(1+'Inputs'!$C$122/100)-M154/12*(1+'Inputs'!$C$122/100)^(1/12)*'Inputs'!$C$122/100/((1+'Inputs'!$C$122/100)^(1/12)-1))</f>
      </c>
      <c r="M155">
        <f>IF(L155&gt;0.005,MIN(MAX(K155,'Inputs'!$H$115/100*L155),'Inputs'!$H$116/100*L155),0)</f>
      </c>
      <c r="N155">
        <f>IF(M155&gt;0,M155-(MAX(0,(INDEX('Inputs'!$D$125:$D$131,MATCH($C$118+M155,'Inputs'!$C$125:$C$131,1))+INDEX('Inputs'!$E$125:$E$131,MATCH($C$118+M155,'Inputs'!$C$125:$C$131,1))/100*(($C$118+M155)-INDEX('Inputs'!$C$125:$C$131,MATCH($C$118+M155,'Inputs'!$C$125:$C$131,1))))-$C$116)-$C$124),0)</f>
      </c>
      <c r="O155">
        <f>IF(I155&lt;$C$120,MAX(0,J155-N155),0)</f>
      </c>
      <c r="P155">
        <f>IF($C$123&lt;&gt;1,0,P154*(1+((1+$C$132)^(1/12)-1))^12-O154/12*(1+((1+$C$132)^(1/12)-1))*(((1+((1+$C$132)^(1/12)-1))^12-1)/((1+((1+$C$132)^(1/12)-1))-1)))</f>
      </c>
      <c r="Q155">
        <f>IF($C$123&lt;&gt;1,0,IFERROR((((1+($C$132+'Inputs'!$H$108/100))^(1/12)-1)-((1+$C$132)^(1/12)-1))*(P155*(((1+((1+$C$132)^(1/12)-1))^12-1)/((1+((1+$C$132)^(1/12)-1))-1))-O155/12/((1+((1+$C$132)^(1/12)-1))-1)*((1+((1+$C$132)^(1/12)-1))*(((1+((1+$C$132)^(1/12)-1))^12-1)/((1+((1+$C$132)^(1/12)-1))-1))-12)),0))</f>
      </c>
    </row>
    <row r="156" spans="9:17" x14ac:dyDescent="0.25">
      <c r="I156">
        <v>40</v>
      </c>
      <c r="J156">
        <f>IF(I156&lt;$C$120,12*$C$121*(1+$C$122)^I156,0)</f>
      </c>
      <c r="K156">
        <f>IF(J156&lt;=0,0,INDEX($E$114:$E$121,MATCH(J156,$F$114:$F$121,1))+(J156-INDEX($F$114:$F$121,MATCH(J156,$F$114:$F$121,1)))/INDEX($G$114:$G$121,MATCH(J156,$F$114:$F$121,1))-$C$118)</f>
      </c>
      <c r="L156">
        <f>MAX(0,L155*(1+'Inputs'!$C$122/100)-M155/12*(1+'Inputs'!$C$122/100)^(1/12)*'Inputs'!$C$122/100/((1+'Inputs'!$C$122/100)^(1/12)-1))</f>
      </c>
      <c r="M156">
        <f>IF(L156&gt;0.005,MIN(MAX(K156,'Inputs'!$H$115/100*L156),'Inputs'!$H$116/100*L156),0)</f>
      </c>
      <c r="N156">
        <f>IF(M156&gt;0,M156-(MAX(0,(INDEX('Inputs'!$D$125:$D$131,MATCH($C$118+M156,'Inputs'!$C$125:$C$131,1))+INDEX('Inputs'!$E$125:$E$131,MATCH($C$118+M156,'Inputs'!$C$125:$C$131,1))/100*(($C$118+M156)-INDEX('Inputs'!$C$125:$C$131,MATCH($C$118+M156,'Inputs'!$C$125:$C$131,1))))-$C$116)-$C$124),0)</f>
      </c>
      <c r="O156">
        <f>IF(I156&lt;$C$120,MAX(0,J156-N156),0)</f>
      </c>
      <c r="P156">
        <f>IF($C$123&lt;&gt;1,0,P155*(1+((1+$C$132)^(1/12)-1))^12-O155/12*(1+((1+$C$132)^(1/12)-1))*(((1+((1+$C$132)^(1/12)-1))^12-1)/((1+((1+$C$132)^(1/12)-1))-1)))</f>
      </c>
      <c r="Q156">
        <f>IF($C$123&lt;&gt;1,0,IFERROR((((1+($C$132+'Inputs'!$H$108/100))^(1/12)-1)-((1+$C$132)^(1/12)-1))*(P156*(((1+((1+$C$132)^(1/12)-1))^12-1)/((1+((1+$C$132)^(1/12)-1))-1))-O156/12/((1+((1+$C$132)^(1/12)-1))-1)*((1+((1+$C$132)^(1/12)-1))*(((1+((1+$C$132)^(1/12)-1))^12-1)/((1+((1+$C$132)^(1/12)-1))-1))-12)),0))</f>
      </c>
    </row>
    <row r="157" spans="9:17" x14ac:dyDescent="0.25">
      <c r="I157">
        <v>41</v>
      </c>
      <c r="J157">
        <f>IF(I157&lt;$C$120,12*$C$121*(1+$C$122)^I157,0)</f>
      </c>
      <c r="K157">
        <f>IF(J157&lt;=0,0,INDEX($E$114:$E$121,MATCH(J157,$F$114:$F$121,1))+(J157-INDEX($F$114:$F$121,MATCH(J157,$F$114:$F$121,1)))/INDEX($G$114:$G$121,MATCH(J157,$F$114:$F$121,1))-$C$118)</f>
      </c>
      <c r="L157">
        <f>MAX(0,L156*(1+'Inputs'!$C$122/100)-M156/12*(1+'Inputs'!$C$122/100)^(1/12)*'Inputs'!$C$122/100/((1+'Inputs'!$C$122/100)^(1/12)-1))</f>
      </c>
      <c r="M157">
        <f>IF(L157&gt;0.005,MIN(MAX(K157,'Inputs'!$H$115/100*L157),'Inputs'!$H$116/100*L157),0)</f>
      </c>
      <c r="N157">
        <f>IF(M157&gt;0,M157-(MAX(0,(INDEX('Inputs'!$D$125:$D$131,MATCH($C$118+M157,'Inputs'!$C$125:$C$131,1))+INDEX('Inputs'!$E$125:$E$131,MATCH($C$118+M157,'Inputs'!$C$125:$C$131,1))/100*(($C$118+M157)-INDEX('Inputs'!$C$125:$C$131,MATCH($C$118+M157,'Inputs'!$C$125:$C$131,1))))-$C$116)-$C$124),0)</f>
      </c>
      <c r="O157">
        <f>IF(I157&lt;$C$120,MAX(0,J157-N157),0)</f>
      </c>
      <c r="P157">
        <f>IF($C$123&lt;&gt;1,0,P156*(1+((1+$C$132)^(1/12)-1))^12-O156/12*(1+((1+$C$132)^(1/12)-1))*(((1+((1+$C$132)^(1/12)-1))^12-1)/((1+((1+$C$132)^(1/12)-1))-1)))</f>
      </c>
      <c r="Q157">
        <f>IF($C$123&lt;&gt;1,0,IFERROR((((1+($C$132+'Inputs'!$H$108/100))^(1/12)-1)-((1+$C$132)^(1/12)-1))*(P157*(((1+((1+$C$132)^(1/12)-1))^12-1)/((1+((1+$C$132)^(1/12)-1))-1))-O157/12/((1+((1+$C$132)^(1/12)-1))-1)*((1+((1+$C$132)^(1/12)-1))*(((1+((1+$C$132)^(1/12)-1))^12-1)/((1+((1+$C$132)^(1/12)-1))-1))-12)),0))</f>
      </c>
    </row>
    <row r="158" spans="9:17" x14ac:dyDescent="0.25">
      <c r="I158">
        <v>42</v>
      </c>
      <c r="J158">
        <f>IF(I158&lt;$C$120,12*$C$121*(1+$C$122)^I158,0)</f>
      </c>
      <c r="K158">
        <f>IF(J158&lt;=0,0,INDEX($E$114:$E$121,MATCH(J158,$F$114:$F$121,1))+(J158-INDEX($F$114:$F$121,MATCH(J158,$F$114:$F$121,1)))/INDEX($G$114:$G$121,MATCH(J158,$F$114:$F$121,1))-$C$118)</f>
      </c>
      <c r="L158">
        <f>MAX(0,L157*(1+'Inputs'!$C$122/100)-M157/12*(1+'Inputs'!$C$122/100)^(1/12)*'Inputs'!$C$122/100/((1+'Inputs'!$C$122/100)^(1/12)-1))</f>
      </c>
      <c r="M158">
        <f>IF(L158&gt;0.005,MIN(MAX(K158,'Inputs'!$H$115/100*L158),'Inputs'!$H$116/100*L158),0)</f>
      </c>
      <c r="N158">
        <f>IF(M158&gt;0,M158-(MAX(0,(INDEX('Inputs'!$D$125:$D$131,MATCH($C$118+M158,'Inputs'!$C$125:$C$131,1))+INDEX('Inputs'!$E$125:$E$131,MATCH($C$118+M158,'Inputs'!$C$125:$C$131,1))/100*(($C$118+M158)-INDEX('Inputs'!$C$125:$C$131,MATCH($C$118+M158,'Inputs'!$C$125:$C$131,1))))-$C$116)-$C$124),0)</f>
      </c>
      <c r="O158">
        <f>IF(I158&lt;$C$120,MAX(0,J158-N158),0)</f>
      </c>
      <c r="P158">
        <f>IF($C$123&lt;&gt;1,0,P157*(1+((1+$C$132)^(1/12)-1))^12-O157/12*(1+((1+$C$132)^(1/12)-1))*(((1+((1+$C$132)^(1/12)-1))^12-1)/((1+((1+$C$132)^(1/12)-1))-1)))</f>
      </c>
      <c r="Q158">
        <f>IF($C$123&lt;&gt;1,0,IFERROR((((1+($C$132+'Inputs'!$H$108/100))^(1/12)-1)-((1+$C$132)^(1/12)-1))*(P158*(((1+((1+$C$132)^(1/12)-1))^12-1)/((1+((1+$C$132)^(1/12)-1))-1))-O158/12/((1+((1+$C$132)^(1/12)-1))-1)*((1+((1+$C$132)^(1/12)-1))*(((1+((1+$C$132)^(1/12)-1))^12-1)/((1+((1+$C$132)^(1/12)-1))-1))-12)),0))</f>
      </c>
    </row>
    <row r="159" spans="9:17" x14ac:dyDescent="0.25">
      <c r="I159">
        <v>43</v>
      </c>
      <c r="J159">
        <f>IF(I159&lt;$C$120,12*$C$121*(1+$C$122)^I159,0)</f>
      </c>
      <c r="K159">
        <f>IF(J159&lt;=0,0,INDEX($E$114:$E$121,MATCH(J159,$F$114:$F$121,1))+(J159-INDEX($F$114:$F$121,MATCH(J159,$F$114:$F$121,1)))/INDEX($G$114:$G$121,MATCH(J159,$F$114:$F$121,1))-$C$118)</f>
      </c>
      <c r="L159">
        <f>MAX(0,L158*(1+'Inputs'!$C$122/100)-M158/12*(1+'Inputs'!$C$122/100)^(1/12)*'Inputs'!$C$122/100/((1+'Inputs'!$C$122/100)^(1/12)-1))</f>
      </c>
      <c r="M159">
        <f>IF(L159&gt;0.005,MIN(MAX(K159,'Inputs'!$H$115/100*L159),'Inputs'!$H$116/100*L159),0)</f>
      </c>
      <c r="N159">
        <f>IF(M159&gt;0,M159-(MAX(0,(INDEX('Inputs'!$D$125:$D$131,MATCH($C$118+M159,'Inputs'!$C$125:$C$131,1))+INDEX('Inputs'!$E$125:$E$131,MATCH($C$118+M159,'Inputs'!$C$125:$C$131,1))/100*(($C$118+M159)-INDEX('Inputs'!$C$125:$C$131,MATCH($C$118+M159,'Inputs'!$C$125:$C$131,1))))-$C$116)-$C$124),0)</f>
      </c>
      <c r="O159">
        <f>IF(I159&lt;$C$120,MAX(0,J159-N159),0)</f>
      </c>
      <c r="P159">
        <f>IF($C$123&lt;&gt;1,0,P158*(1+((1+$C$132)^(1/12)-1))^12-O158/12*(1+((1+$C$132)^(1/12)-1))*(((1+((1+$C$132)^(1/12)-1))^12-1)/((1+((1+$C$132)^(1/12)-1))-1)))</f>
      </c>
      <c r="Q159">
        <f>IF($C$123&lt;&gt;1,0,IFERROR((((1+($C$132+'Inputs'!$H$108/100))^(1/12)-1)-((1+$C$132)^(1/12)-1))*(P159*(((1+((1+$C$132)^(1/12)-1))^12-1)/((1+((1+$C$132)^(1/12)-1))-1))-O159/12/((1+((1+$C$132)^(1/12)-1))-1)*((1+((1+$C$132)^(1/12)-1))*(((1+((1+$C$132)^(1/12)-1))^12-1)/((1+((1+$C$132)^(1/12)-1))-1))-12)),0))</f>
      </c>
    </row>
    <row r="160" spans="9:17" x14ac:dyDescent="0.25">
      <c r="I160">
        <v>44</v>
      </c>
      <c r="J160">
        <f>IF(I160&lt;$C$120,12*$C$121*(1+$C$122)^I160,0)</f>
      </c>
      <c r="K160">
        <f>IF(J160&lt;=0,0,INDEX($E$114:$E$121,MATCH(J160,$F$114:$F$121,1))+(J160-INDEX($F$114:$F$121,MATCH(J160,$F$114:$F$121,1)))/INDEX($G$114:$G$121,MATCH(J160,$F$114:$F$121,1))-$C$118)</f>
      </c>
      <c r="L160">
        <f>MAX(0,L159*(1+'Inputs'!$C$122/100)-M159/12*(1+'Inputs'!$C$122/100)^(1/12)*'Inputs'!$C$122/100/((1+'Inputs'!$C$122/100)^(1/12)-1))</f>
      </c>
      <c r="M160">
        <f>IF(L160&gt;0.005,MIN(MAX(K160,'Inputs'!$H$115/100*L160),'Inputs'!$H$116/100*L160),0)</f>
      </c>
      <c r="N160">
        <f>IF(M160&gt;0,M160-(MAX(0,(INDEX('Inputs'!$D$125:$D$131,MATCH($C$118+M160,'Inputs'!$C$125:$C$131,1))+INDEX('Inputs'!$E$125:$E$131,MATCH($C$118+M160,'Inputs'!$C$125:$C$131,1))/100*(($C$118+M160)-INDEX('Inputs'!$C$125:$C$131,MATCH($C$118+M160,'Inputs'!$C$125:$C$131,1))))-$C$116)-$C$124),0)</f>
      </c>
      <c r="O160">
        <f>IF(I160&lt;$C$120,MAX(0,J160-N160),0)</f>
      </c>
      <c r="P160">
        <f>IF($C$123&lt;&gt;1,0,P159*(1+((1+$C$132)^(1/12)-1))^12-O159/12*(1+((1+$C$132)^(1/12)-1))*(((1+((1+$C$132)^(1/12)-1))^12-1)/((1+((1+$C$132)^(1/12)-1))-1)))</f>
      </c>
      <c r="Q160">
        <f>IF($C$123&lt;&gt;1,0,IFERROR((((1+($C$132+'Inputs'!$H$108/100))^(1/12)-1)-((1+$C$132)^(1/12)-1))*(P160*(((1+((1+$C$132)^(1/12)-1))^12-1)/((1+((1+$C$132)^(1/12)-1))-1))-O160/12/((1+((1+$C$132)^(1/12)-1))-1)*((1+((1+$C$132)^(1/12)-1))*(((1+((1+$C$132)^(1/12)-1))^12-1)/((1+((1+$C$132)^(1/12)-1))-1))-12)),0))</f>
      </c>
    </row>
    <row r="161" spans="9:17" x14ac:dyDescent="0.25">
      <c r="I161">
        <v>45</v>
      </c>
      <c r="J161">
        <f>IF(I161&lt;$C$120,12*$C$121*(1+$C$122)^I161,0)</f>
      </c>
      <c r="K161">
        <f>IF(J161&lt;=0,0,INDEX($E$114:$E$121,MATCH(J161,$F$114:$F$121,1))+(J161-INDEX($F$114:$F$121,MATCH(J161,$F$114:$F$121,1)))/INDEX($G$114:$G$121,MATCH(J161,$F$114:$F$121,1))-$C$118)</f>
      </c>
      <c r="L161">
        <f>MAX(0,L160*(1+'Inputs'!$C$122/100)-M160/12*(1+'Inputs'!$C$122/100)^(1/12)*'Inputs'!$C$122/100/((1+'Inputs'!$C$122/100)^(1/12)-1))</f>
      </c>
      <c r="M161">
        <f>IF(L161&gt;0.005,MIN(MAX(K161,'Inputs'!$H$115/100*L161),'Inputs'!$H$116/100*L161),0)</f>
      </c>
      <c r="N161">
        <f>IF(M161&gt;0,M161-(MAX(0,(INDEX('Inputs'!$D$125:$D$131,MATCH($C$118+M161,'Inputs'!$C$125:$C$131,1))+INDEX('Inputs'!$E$125:$E$131,MATCH($C$118+M161,'Inputs'!$C$125:$C$131,1))/100*(($C$118+M161)-INDEX('Inputs'!$C$125:$C$131,MATCH($C$118+M161,'Inputs'!$C$125:$C$131,1))))-$C$116)-$C$124),0)</f>
      </c>
      <c r="O161">
        <f>IF(I161&lt;$C$120,MAX(0,J161-N161),0)</f>
      </c>
      <c r="P161">
        <f>IF($C$123&lt;&gt;1,0,P160*(1+((1+$C$132)^(1/12)-1))^12-O160/12*(1+((1+$C$132)^(1/12)-1))*(((1+((1+$C$132)^(1/12)-1))^12-1)/((1+((1+$C$132)^(1/12)-1))-1)))</f>
      </c>
      <c r="Q161">
        <f>IF($C$123&lt;&gt;1,0,IFERROR((((1+($C$132+'Inputs'!$H$108/100))^(1/12)-1)-((1+$C$132)^(1/12)-1))*(P161*(((1+((1+$C$132)^(1/12)-1))^12-1)/((1+((1+$C$132)^(1/12)-1))-1))-O161/12/((1+((1+$C$132)^(1/12)-1))-1)*((1+((1+$C$132)^(1/12)-1))*(((1+((1+$C$132)^(1/12)-1))^12-1)/((1+((1+$C$132)^(1/12)-1))-1))-12)),0))</f>
      </c>
    </row>
    <row r="162" spans="9:17" x14ac:dyDescent="0.25">
      <c r="I162">
        <v>46</v>
      </c>
      <c r="J162">
        <f>IF(I162&lt;$C$120,12*$C$121*(1+$C$122)^I162,0)</f>
      </c>
      <c r="K162">
        <f>IF(J162&lt;=0,0,INDEX($E$114:$E$121,MATCH(J162,$F$114:$F$121,1))+(J162-INDEX($F$114:$F$121,MATCH(J162,$F$114:$F$121,1)))/INDEX($G$114:$G$121,MATCH(J162,$F$114:$F$121,1))-$C$118)</f>
      </c>
      <c r="L162">
        <f>MAX(0,L161*(1+'Inputs'!$C$122/100)-M161/12*(1+'Inputs'!$C$122/100)^(1/12)*'Inputs'!$C$122/100/((1+'Inputs'!$C$122/100)^(1/12)-1))</f>
      </c>
      <c r="M162">
        <f>IF(L162&gt;0.005,MIN(MAX(K162,'Inputs'!$H$115/100*L162),'Inputs'!$H$116/100*L162),0)</f>
      </c>
      <c r="N162">
        <f>IF(M162&gt;0,M162-(MAX(0,(INDEX('Inputs'!$D$125:$D$131,MATCH($C$118+M162,'Inputs'!$C$125:$C$131,1))+INDEX('Inputs'!$E$125:$E$131,MATCH($C$118+M162,'Inputs'!$C$125:$C$131,1))/100*(($C$118+M162)-INDEX('Inputs'!$C$125:$C$131,MATCH($C$118+M162,'Inputs'!$C$125:$C$131,1))))-$C$116)-$C$124),0)</f>
      </c>
      <c r="O162">
        <f>IF(I162&lt;$C$120,MAX(0,J162-N162),0)</f>
      </c>
      <c r="P162">
        <f>IF($C$123&lt;&gt;1,0,P161*(1+((1+$C$132)^(1/12)-1))^12-O161/12*(1+((1+$C$132)^(1/12)-1))*(((1+((1+$C$132)^(1/12)-1))^12-1)/((1+((1+$C$132)^(1/12)-1))-1)))</f>
      </c>
      <c r="Q162">
        <f>IF($C$123&lt;&gt;1,0,IFERROR((((1+($C$132+'Inputs'!$H$108/100))^(1/12)-1)-((1+$C$132)^(1/12)-1))*(P162*(((1+((1+$C$132)^(1/12)-1))^12-1)/((1+((1+$C$132)^(1/12)-1))-1))-O162/12/((1+((1+$C$132)^(1/12)-1))-1)*((1+((1+$C$132)^(1/12)-1))*(((1+((1+$C$132)^(1/12)-1))^12-1)/((1+((1+$C$132)^(1/12)-1))-1))-12)),0))</f>
      </c>
    </row>
    <row r="163" spans="9:17" x14ac:dyDescent="0.25">
      <c r="I163">
        <v>47</v>
      </c>
      <c r="J163">
        <f>IF(I163&lt;$C$120,12*$C$121*(1+$C$122)^I163,0)</f>
      </c>
      <c r="K163">
        <f>IF(J163&lt;=0,0,INDEX($E$114:$E$121,MATCH(J163,$F$114:$F$121,1))+(J163-INDEX($F$114:$F$121,MATCH(J163,$F$114:$F$121,1)))/INDEX($G$114:$G$121,MATCH(J163,$F$114:$F$121,1))-$C$118)</f>
      </c>
      <c r="L163">
        <f>MAX(0,L162*(1+'Inputs'!$C$122/100)-M162/12*(1+'Inputs'!$C$122/100)^(1/12)*'Inputs'!$C$122/100/((1+'Inputs'!$C$122/100)^(1/12)-1))</f>
      </c>
      <c r="M163">
        <f>IF(L163&gt;0.005,MIN(MAX(K163,'Inputs'!$H$115/100*L163),'Inputs'!$H$116/100*L163),0)</f>
      </c>
      <c r="N163">
        <f>IF(M163&gt;0,M163-(MAX(0,(INDEX('Inputs'!$D$125:$D$131,MATCH($C$118+M163,'Inputs'!$C$125:$C$131,1))+INDEX('Inputs'!$E$125:$E$131,MATCH($C$118+M163,'Inputs'!$C$125:$C$131,1))/100*(($C$118+M163)-INDEX('Inputs'!$C$125:$C$131,MATCH($C$118+M163,'Inputs'!$C$125:$C$131,1))))-$C$116)-$C$124),0)</f>
      </c>
      <c r="O163">
        <f>IF(I163&lt;$C$120,MAX(0,J163-N163),0)</f>
      </c>
      <c r="P163">
        <f>IF($C$123&lt;&gt;1,0,P162*(1+((1+$C$132)^(1/12)-1))^12-O162/12*(1+((1+$C$132)^(1/12)-1))*(((1+((1+$C$132)^(1/12)-1))^12-1)/((1+((1+$C$132)^(1/12)-1))-1)))</f>
      </c>
      <c r="Q163">
        <f>IF($C$123&lt;&gt;1,0,IFERROR((((1+($C$132+'Inputs'!$H$108/100))^(1/12)-1)-((1+$C$132)^(1/12)-1))*(P163*(((1+((1+$C$132)^(1/12)-1))^12-1)/((1+((1+$C$132)^(1/12)-1))-1))-O163/12/((1+((1+$C$132)^(1/12)-1))-1)*((1+((1+$C$132)^(1/12)-1))*(((1+((1+$C$132)^(1/12)-1))^12-1)/((1+((1+$C$132)^(1/12)-1))-1))-12)),0))</f>
      </c>
    </row>
    <row r="164" spans="9:17" x14ac:dyDescent="0.25">
      <c r="I164">
        <v>48</v>
      </c>
      <c r="J164">
        <f>IF(I164&lt;$C$120,12*$C$121*(1+$C$122)^I164,0)</f>
      </c>
      <c r="K164">
        <f>IF(J164&lt;=0,0,INDEX($E$114:$E$121,MATCH(J164,$F$114:$F$121,1))+(J164-INDEX($F$114:$F$121,MATCH(J164,$F$114:$F$121,1)))/INDEX($G$114:$G$121,MATCH(J164,$F$114:$F$121,1))-$C$118)</f>
      </c>
      <c r="L164">
        <f>MAX(0,L163*(1+'Inputs'!$C$122/100)-M163/12*(1+'Inputs'!$C$122/100)^(1/12)*'Inputs'!$C$122/100/((1+'Inputs'!$C$122/100)^(1/12)-1))</f>
      </c>
      <c r="M164">
        <f>IF(L164&gt;0.005,MIN(MAX(K164,'Inputs'!$H$115/100*L164),'Inputs'!$H$116/100*L164),0)</f>
      </c>
      <c r="N164">
        <f>IF(M164&gt;0,M164-(MAX(0,(INDEX('Inputs'!$D$125:$D$131,MATCH($C$118+M164,'Inputs'!$C$125:$C$131,1))+INDEX('Inputs'!$E$125:$E$131,MATCH($C$118+M164,'Inputs'!$C$125:$C$131,1))/100*(($C$118+M164)-INDEX('Inputs'!$C$125:$C$131,MATCH($C$118+M164,'Inputs'!$C$125:$C$131,1))))-$C$116)-$C$124),0)</f>
      </c>
      <c r="O164">
        <f>IF(I164&lt;$C$120,MAX(0,J164-N164),0)</f>
      </c>
      <c r="P164">
        <f>IF($C$123&lt;&gt;1,0,P163*(1+((1+$C$132)^(1/12)-1))^12-O163/12*(1+((1+$C$132)^(1/12)-1))*(((1+((1+$C$132)^(1/12)-1))^12-1)/((1+((1+$C$132)^(1/12)-1))-1)))</f>
      </c>
      <c r="Q164">
        <f>IF($C$123&lt;&gt;1,0,IFERROR((((1+($C$132+'Inputs'!$H$108/100))^(1/12)-1)-((1+$C$132)^(1/12)-1))*(P164*(((1+((1+$C$132)^(1/12)-1))^12-1)/((1+((1+$C$132)^(1/12)-1))-1))-O164/12/((1+((1+$C$132)^(1/12)-1))-1)*((1+((1+$C$132)^(1/12)-1))*(((1+((1+$C$132)^(1/12)-1))^12-1)/((1+((1+$C$132)^(1/12)-1))-1))-12)),0))</f>
      </c>
    </row>
    <row r="165" spans="9:17" x14ac:dyDescent="0.25">
      <c r="I165">
        <v>49</v>
      </c>
      <c r="J165">
        <f>IF(I165&lt;$C$120,12*$C$121*(1+$C$122)^I165,0)</f>
      </c>
      <c r="K165">
        <f>IF(J165&lt;=0,0,INDEX($E$114:$E$121,MATCH(J165,$F$114:$F$121,1))+(J165-INDEX($F$114:$F$121,MATCH(J165,$F$114:$F$121,1)))/INDEX($G$114:$G$121,MATCH(J165,$F$114:$F$121,1))-$C$118)</f>
      </c>
      <c r="L165">
        <f>MAX(0,L164*(1+'Inputs'!$C$122/100)-M164/12*(1+'Inputs'!$C$122/100)^(1/12)*'Inputs'!$C$122/100/((1+'Inputs'!$C$122/100)^(1/12)-1))</f>
      </c>
      <c r="M165">
        <f>IF(L165&gt;0.005,MIN(MAX(K165,'Inputs'!$H$115/100*L165),'Inputs'!$H$116/100*L165),0)</f>
      </c>
      <c r="N165">
        <f>IF(M165&gt;0,M165-(MAX(0,(INDEX('Inputs'!$D$125:$D$131,MATCH($C$118+M165,'Inputs'!$C$125:$C$131,1))+INDEX('Inputs'!$E$125:$E$131,MATCH($C$118+M165,'Inputs'!$C$125:$C$131,1))/100*(($C$118+M165)-INDEX('Inputs'!$C$125:$C$131,MATCH($C$118+M165,'Inputs'!$C$125:$C$131,1))))-$C$116)-$C$124),0)</f>
      </c>
      <c r="O165">
        <f>IF(I165&lt;$C$120,MAX(0,J165-N165),0)</f>
      </c>
      <c r="P165">
        <f>IF($C$123&lt;&gt;1,0,P164*(1+((1+$C$132)^(1/12)-1))^12-O164/12*(1+((1+$C$132)^(1/12)-1))*(((1+((1+$C$132)^(1/12)-1))^12-1)/((1+((1+$C$132)^(1/12)-1))-1)))</f>
      </c>
      <c r="Q165">
        <f>IF($C$123&lt;&gt;1,0,IFERROR((((1+($C$132+'Inputs'!$H$108/100))^(1/12)-1)-((1+$C$132)^(1/12)-1))*(P165*(((1+((1+$C$132)^(1/12)-1))^12-1)/((1+((1+$C$132)^(1/12)-1))-1))-O165/12/((1+((1+$C$132)^(1/12)-1))-1)*((1+((1+$C$132)^(1/12)-1))*(((1+((1+$C$132)^(1/12)-1))^12-1)/((1+((1+$C$132)^(1/12)-1))-1))-12)),0))</f>
      </c>
    </row>
    <row r="169" spans="5:7" x14ac:dyDescent="0.25"/>
    <row r="170" spans="2:20" x14ac:dyDescent="0.25">
      <c r="B170" t="s">
        <v>113</v>
      </c>
      <c r="C170">
        <f>IF('Inputs'!$B$92="","",'Inputs'!$B$92)</f>
      </c>
      <c r="E170">
        <f>MAX($C$174,0)</f>
      </c>
      <c r="F170">
        <f>(E170-$C$174)-(MAX(0,(INDEX('Inputs'!$D$125:$D$131,MATCH(E170,'Inputs'!$C$125:$C$131,1))+INDEX('Inputs'!$E$125:$E$131,MATCH(E170,'Inputs'!$C$125:$C$131,1))/100*((E170)-INDEX('Inputs'!$C$125:$C$131,MATCH(E170,'Inputs'!$C$125:$C$131,1))))-$C$172)-$C$180)</f>
      </c>
      <c r="G170">
        <f>1-IF(E170&gt;=$C$173,INDEX('Inputs'!$E$125:$E$131,MATCH(E170,'Inputs'!$C$125:$C$131,1))/100,0)</f>
      </c>
      <c r="S170" t="s">
        <v>423</v>
      </c>
      <c r="T170" t="s">
        <v>424</v>
      </c>
    </row>
    <row r="171" spans="2:20" x14ac:dyDescent="0.25">
      <c r="B171" t="s">
        <v>115</v>
      </c>
      <c r="C171">
        <f>N('Inputs'!$D$92)</f>
      </c>
      <c r="E171">
        <f>MAX($C$174,$C$173)</f>
      </c>
      <c r="F171">
        <f>(E171-$C$174)-(MAX(0,(INDEX('Inputs'!$D$125:$D$131,MATCH(E171,'Inputs'!$C$125:$C$131,1))+INDEX('Inputs'!$E$125:$E$131,MATCH(E171,'Inputs'!$C$125:$C$131,1))/100*((E171)-INDEX('Inputs'!$C$125:$C$131,MATCH(E171,'Inputs'!$C$125:$C$131,1))))-$C$172)-$C$180)</f>
      </c>
      <c r="G171">
        <f>1-IF(E171&gt;=$C$173,INDEX('Inputs'!$E$125:$E$131,MATCH(E171,'Inputs'!$C$125:$C$131,1))/100,0)</f>
      </c>
      <c r="I171" t="s">
        <v>425</v>
      </c>
      <c r="J171" t="s">
        <v>426</v>
      </c>
      <c r="K171" t="s">
        <v>427</v>
      </c>
      <c r="L171" t="s">
        <v>428</v>
      </c>
      <c r="M171" t="s">
        <v>429</v>
      </c>
      <c r="N171" t="s">
        <v>430</v>
      </c>
      <c r="O171" t="s">
        <v>431</v>
      </c>
      <c r="P171" t="s">
        <v>432</v>
      </c>
      <c r="Q171" t="s">
        <v>433</v>
      </c>
      <c r="S171">
        <f>0</f>
      </c>
      <c r="T171">
        <f>ROUND(IF(('Inputs'!$C$122/100*(1-('Inputs'!$H$110/100*S171+'Inputs'!$H$111/100*'Inputs'!$H$113/100+'Inputs'!$H$112/100*'Inputs'!$C$120/100*S171))-IF($C$179=1,'Inputs'!$H$108/100,0))=0,SUM($O$172:$O$221),(1-(1+('Inputs'!$C$122/100*(1-('Inputs'!$H$110/100*S171+'Inputs'!$H$111/100*'Inputs'!$H$113/100+'Inputs'!$H$112/100*'Inputs'!$C$120/100*S171))-IF($C$179=1,'Inputs'!$H$108/100,0)))^-1)/(1-(1+('Inputs'!$C$122/100*(1-('Inputs'!$H$110/100*S171+'Inputs'!$H$111/100*'Inputs'!$H$113/100+'Inputs'!$H$112/100*'Inputs'!$C$120/100*S171))-IF($C$179=1,'Inputs'!$H$108/100,0)))^(-1/12))/12*SUMPRODUCT($O$172:$O$221,(1+('Inputs'!$C$122/100*(1-('Inputs'!$H$110/100*S171+'Inputs'!$H$111/100*'Inputs'!$H$113/100+'Inputs'!$H$112/100*'Inputs'!$C$120/100*S171))-IF($C$179=1,'Inputs'!$H$108/100,0)))^(-$I$172:$I$221))),2)</f>
      </c>
    </row>
    <row r="172" spans="2:20" x14ac:dyDescent="0.25">
      <c r="B172" t="s">
        <v>434</v>
      </c>
      <c r="C172">
        <f>IF($C$170="",0,'Inputs'!$H$117+IF($C$171&gt;=65,'Inputs'!$H$118,0)+IF($C$171&gt;=75,'Inputs'!$H$119,0))</f>
      </c>
      <c r="E172">
        <f>MAX($C$174,INDEX('Inputs'!$C$125:$C$131,2))</f>
      </c>
      <c r="F172">
        <f>(E172-$C$174)-(MAX(0,(INDEX('Inputs'!$D$125:$D$131,MATCH(E172,'Inputs'!$C$125:$C$131,1))+INDEX('Inputs'!$E$125:$E$131,MATCH(E172,'Inputs'!$C$125:$C$131,1))/100*((E172)-INDEX('Inputs'!$C$125:$C$131,MATCH(E172,'Inputs'!$C$125:$C$131,1))))-$C$172)-$C$180)</f>
      </c>
      <c r="G172">
        <f>1-IF(E172&gt;=$C$173,INDEX('Inputs'!$E$125:$E$131,MATCH(E172,'Inputs'!$C$125:$C$131,1))/100,0)</f>
      </c>
      <c r="I172">
        <v>0</v>
      </c>
      <c r="J172">
        <f>IF(I172&lt;$C$176,12*$C$177*(1+$C$178)^I172,0)</f>
      </c>
      <c r="K172">
        <f>IF(J172&lt;=0,0,INDEX($E$170:$E$177,MATCH(J172,$F$170:$F$177,1))+(J172-INDEX($F$170:$F$177,MATCH(J172,$F$170:$F$177,1)))/INDEX($G$170:$G$177,MATCH(J172,$F$170:$F$177,1))-$C$174)</f>
      </c>
      <c r="L172">
        <f>$C$175</f>
      </c>
      <c r="M172">
        <f>IF(L172&gt;0.005,MIN(MAX(K172,'Inputs'!$H$115/100*L172),'Inputs'!$H$116/100*L172),0)</f>
      </c>
      <c r="N172">
        <f>IF(M172&gt;0,M172-(MAX(0,(INDEX('Inputs'!$D$125:$D$131,MATCH($C$174+M172,'Inputs'!$C$125:$C$131,1))+INDEX('Inputs'!$E$125:$E$131,MATCH($C$174+M172,'Inputs'!$C$125:$C$131,1))/100*(($C$174+M172)-INDEX('Inputs'!$C$125:$C$131,MATCH($C$174+M172,'Inputs'!$C$125:$C$131,1))))-$C$172)-$C$180),0)</f>
      </c>
      <c r="O172">
        <f>IF(I172&lt;$C$176,MAX(0,J172-N172),0)</f>
      </c>
      <c r="P172">
        <f>IF($C$179&lt;&gt;1,0,IF($C$188=0,SUM($O$172:$O$221),(1-(1+$C$188)^-1)/(1-(1+$C$188)^(-1/12))/12*SUMPRODUCT($O$172:$O$221,(1+$C$188)^(-$I$172:$I$221))))</f>
      </c>
      <c r="Q172">
        <f>IF($C$179&lt;&gt;1,0,IFERROR((((1+($C$188+'Inputs'!$H$108/100))^(1/12)-1)-((1+$C$188)^(1/12)-1))*(P172*(((1+((1+$C$188)^(1/12)-1))^12-1)/((1+((1+$C$188)^(1/12)-1))-1))-O172/12/((1+((1+$C$188)^(1/12)-1))-1)*((1+((1+$C$188)^(1/12)-1))*(((1+((1+$C$188)^(1/12)-1))^12-1)/((1+((1+$C$188)^(1/12)-1))-1))-12)),0))</f>
      </c>
      <c r="S172">
        <f>IF($C$174+$C$181+T171*('Inputs'!$C$122/100*('Inputs'!$H$110/100+'Inputs'!$C$120/100*'Inputs'!$H$112/100))&lt;=$C$173,0,INDEX('Inputs'!$E$125:$E$131,MATCH($C$174+$C$181+T171*('Inputs'!$C$122/100*('Inputs'!$H$110/100+'Inputs'!$C$120/100*'Inputs'!$H$112/100)),'Inputs'!$C$125:$C$131,1)-IF(COUNTIF('Inputs'!$C$125:$C$131,$C$174+$C$181+T171*('Inputs'!$C$122/100*('Inputs'!$H$110/100+'Inputs'!$C$120/100*'Inputs'!$H$112/100)))&gt;0,1,0))/100)</f>
      </c>
      <c r="T172">
        <f>ROUND(IF(('Inputs'!$C$122/100*(1-('Inputs'!$H$110/100*S172+'Inputs'!$H$111/100*'Inputs'!$H$113/100+'Inputs'!$H$112/100*'Inputs'!$C$120/100*S172))-IF($C$179=1,'Inputs'!$H$108/100,0))=0,SUM($O$172:$O$221),(1-(1+('Inputs'!$C$122/100*(1-('Inputs'!$H$110/100*S172+'Inputs'!$H$111/100*'Inputs'!$H$113/100+'Inputs'!$H$112/100*'Inputs'!$C$120/100*S172))-IF($C$179=1,'Inputs'!$H$108/100,0)))^-1)/(1-(1+('Inputs'!$C$122/100*(1-('Inputs'!$H$110/100*S172+'Inputs'!$H$111/100*'Inputs'!$H$113/100+'Inputs'!$H$112/100*'Inputs'!$C$120/100*S172))-IF($C$179=1,'Inputs'!$H$108/100,0)))^(-1/12))/12*SUMPRODUCT($O$172:$O$221,(1+('Inputs'!$C$122/100*(1-('Inputs'!$H$110/100*S172+'Inputs'!$H$111/100*'Inputs'!$H$113/100+'Inputs'!$H$112/100*'Inputs'!$C$120/100*S172))-IF($C$179=1,'Inputs'!$H$108/100,0)))^(-$I$172:$I$221))),2)</f>
      </c>
    </row>
    <row r="173" spans="2:20" x14ac:dyDescent="0.25">
      <c r="B173" t="s">
        <v>435</v>
      </c>
      <c r="C173">
        <f>IF($C$171&gt;=75,'Inputs'!$H$121,IF($C$171&gt;=65,'Inputs'!$H$120,'Inputs'!$H$109))</f>
      </c>
      <c r="E173">
        <f>MAX($C$174,INDEX('Inputs'!$C$125:$C$131,3))</f>
      </c>
      <c r="F173">
        <f>(E173-$C$174)-(MAX(0,(INDEX('Inputs'!$D$125:$D$131,MATCH(E173,'Inputs'!$C$125:$C$131,1))+INDEX('Inputs'!$E$125:$E$131,MATCH(E173,'Inputs'!$C$125:$C$131,1))/100*((E173)-INDEX('Inputs'!$C$125:$C$131,MATCH(E173,'Inputs'!$C$125:$C$131,1))))-$C$172)-$C$180)</f>
      </c>
      <c r="G173">
        <f>1-IF(E173&gt;=$C$173,INDEX('Inputs'!$E$125:$E$131,MATCH(E173,'Inputs'!$C$125:$C$131,1))/100,0)</f>
      </c>
      <c r="I173">
        <v>1</v>
      </c>
      <c r="J173">
        <f>IF(I173&lt;$C$176,12*$C$177*(1+$C$178)^I173,0)</f>
      </c>
      <c r="K173">
        <f>IF(J173&lt;=0,0,INDEX($E$170:$E$177,MATCH(J173,$F$170:$F$177,1))+(J173-INDEX($F$170:$F$177,MATCH(J173,$F$170:$F$177,1)))/INDEX($G$170:$G$177,MATCH(J173,$F$170:$F$177,1))-$C$174)</f>
      </c>
      <c r="L173">
        <f>MAX(0,L172*(1+'Inputs'!$C$122/100)-M172/12*(1+'Inputs'!$C$122/100)^(1/12)*'Inputs'!$C$122/100/((1+'Inputs'!$C$122/100)^(1/12)-1))</f>
      </c>
      <c r="M173">
        <f>IF(L173&gt;0.005,MIN(MAX(K173,'Inputs'!$H$115/100*L173),'Inputs'!$H$116/100*L173),0)</f>
      </c>
      <c r="N173">
        <f>IF(M173&gt;0,M173-(MAX(0,(INDEX('Inputs'!$D$125:$D$131,MATCH($C$174+M173,'Inputs'!$C$125:$C$131,1))+INDEX('Inputs'!$E$125:$E$131,MATCH($C$174+M173,'Inputs'!$C$125:$C$131,1))/100*(($C$174+M173)-INDEX('Inputs'!$C$125:$C$131,MATCH($C$174+M173,'Inputs'!$C$125:$C$131,1))))-$C$172)-$C$180),0)</f>
      </c>
      <c r="O173">
        <f>IF(I173&lt;$C$176,MAX(0,J173-N173),0)</f>
      </c>
      <c r="P173">
        <f>IF($C$179&lt;&gt;1,0,P172*(1+((1+$C$188)^(1/12)-1))^12-O172/12*(1+((1+$C$188)^(1/12)-1))*(((1+((1+$C$188)^(1/12)-1))^12-1)/((1+((1+$C$188)^(1/12)-1))-1)))</f>
      </c>
      <c r="Q173">
        <f>IF($C$179&lt;&gt;1,0,IFERROR((((1+($C$188+'Inputs'!$H$108/100))^(1/12)-1)-((1+$C$188)^(1/12)-1))*(P173*(((1+((1+$C$188)^(1/12)-1))^12-1)/((1+((1+$C$188)^(1/12)-1))-1))-O173/12/((1+((1+$C$188)^(1/12)-1))-1)*((1+((1+$C$188)^(1/12)-1))*(((1+((1+$C$188)^(1/12)-1))^12-1)/((1+((1+$C$188)^(1/12)-1))-1))-12)),0))</f>
      </c>
      <c r="S173">
        <f>IF($C$174+$C$181+T172*('Inputs'!$C$122/100*('Inputs'!$H$110/100+'Inputs'!$C$120/100*'Inputs'!$H$112/100))&lt;=$C$173,0,INDEX('Inputs'!$E$125:$E$131,MATCH($C$174+$C$181+T172*('Inputs'!$C$122/100*('Inputs'!$H$110/100+'Inputs'!$C$120/100*'Inputs'!$H$112/100)),'Inputs'!$C$125:$C$131,1)-IF(COUNTIF('Inputs'!$C$125:$C$131,$C$174+$C$181+T172*('Inputs'!$C$122/100*('Inputs'!$H$110/100+'Inputs'!$C$120/100*'Inputs'!$H$112/100)))&gt;0,1,0))/100)</f>
      </c>
      <c r="T173">
        <f>ROUND(IF(('Inputs'!$C$122/100*(1-('Inputs'!$H$110/100*S173+'Inputs'!$H$111/100*'Inputs'!$H$113/100+'Inputs'!$H$112/100*'Inputs'!$C$120/100*S173))-IF($C$179=1,'Inputs'!$H$108/100,0))=0,SUM($O$172:$O$221),(1-(1+('Inputs'!$C$122/100*(1-('Inputs'!$H$110/100*S173+'Inputs'!$H$111/100*'Inputs'!$H$113/100+'Inputs'!$H$112/100*'Inputs'!$C$120/100*S173))-IF($C$179=1,'Inputs'!$H$108/100,0)))^-1)/(1-(1+('Inputs'!$C$122/100*(1-('Inputs'!$H$110/100*S173+'Inputs'!$H$111/100*'Inputs'!$H$113/100+'Inputs'!$H$112/100*'Inputs'!$C$120/100*S173))-IF($C$179=1,'Inputs'!$H$108/100,0)))^(-1/12))/12*SUMPRODUCT($O$172:$O$221,(1+('Inputs'!$C$122/100*(1-('Inputs'!$H$110/100*S173+'Inputs'!$H$111/100*'Inputs'!$H$113/100+'Inputs'!$H$112/100*'Inputs'!$C$120/100*S173))-IF($C$179=1,'Inputs'!$H$108/100,0)))^(-$I$172:$I$221))),2)</f>
      </c>
    </row>
    <row r="174" spans="2:20" x14ac:dyDescent="0.25">
      <c r="B174" t="s">
        <v>436</v>
      </c>
      <c r="C174">
        <f>N('Inputs'!$I$92)</f>
      </c>
      <c r="E174">
        <f>MAX($C$174,INDEX('Inputs'!$C$125:$C$131,4))</f>
      </c>
      <c r="F174">
        <f>(E174-$C$174)-(MAX(0,(INDEX('Inputs'!$D$125:$D$131,MATCH(E174,'Inputs'!$C$125:$C$131,1))+INDEX('Inputs'!$E$125:$E$131,MATCH(E174,'Inputs'!$C$125:$C$131,1))/100*((E174)-INDEX('Inputs'!$C$125:$C$131,MATCH(E174,'Inputs'!$C$125:$C$131,1))))-$C$172)-$C$180)</f>
      </c>
      <c r="G174">
        <f>1-IF(E174&gt;=$C$173,INDEX('Inputs'!$E$125:$E$131,MATCH(E174,'Inputs'!$C$125:$C$131,1))/100,0)</f>
      </c>
      <c r="I174">
        <v>2</v>
      </c>
      <c r="J174">
        <f>IF(I174&lt;$C$176,12*$C$177*(1+$C$178)^I174,0)</f>
      </c>
      <c r="K174">
        <f>IF(J174&lt;=0,0,INDEX($E$170:$E$177,MATCH(J174,$F$170:$F$177,1))+(J174-INDEX($F$170:$F$177,MATCH(J174,$F$170:$F$177,1)))/INDEX($G$170:$G$177,MATCH(J174,$F$170:$F$177,1))-$C$174)</f>
      </c>
      <c r="L174">
        <f>MAX(0,L173*(1+'Inputs'!$C$122/100)-M173/12*(1+'Inputs'!$C$122/100)^(1/12)*'Inputs'!$C$122/100/((1+'Inputs'!$C$122/100)^(1/12)-1))</f>
      </c>
      <c r="M174">
        <f>IF(L174&gt;0.005,MIN(MAX(K174,'Inputs'!$H$115/100*L174),'Inputs'!$H$116/100*L174),0)</f>
      </c>
      <c r="N174">
        <f>IF(M174&gt;0,M174-(MAX(0,(INDEX('Inputs'!$D$125:$D$131,MATCH($C$174+M174,'Inputs'!$C$125:$C$131,1))+INDEX('Inputs'!$E$125:$E$131,MATCH($C$174+M174,'Inputs'!$C$125:$C$131,1))/100*(($C$174+M174)-INDEX('Inputs'!$C$125:$C$131,MATCH($C$174+M174,'Inputs'!$C$125:$C$131,1))))-$C$172)-$C$180),0)</f>
      </c>
      <c r="O174">
        <f>IF(I174&lt;$C$176,MAX(0,J174-N174),0)</f>
      </c>
      <c r="P174">
        <f>IF($C$179&lt;&gt;1,0,P173*(1+((1+$C$188)^(1/12)-1))^12-O173/12*(1+((1+$C$188)^(1/12)-1))*(((1+((1+$C$188)^(1/12)-1))^12-1)/((1+((1+$C$188)^(1/12)-1))-1)))</f>
      </c>
      <c r="Q174">
        <f>IF($C$179&lt;&gt;1,0,IFERROR((((1+($C$188+'Inputs'!$H$108/100))^(1/12)-1)-((1+$C$188)^(1/12)-1))*(P174*(((1+((1+$C$188)^(1/12)-1))^12-1)/((1+((1+$C$188)^(1/12)-1))-1))-O174/12/((1+((1+$C$188)^(1/12)-1))-1)*((1+((1+$C$188)^(1/12)-1))*(((1+((1+$C$188)^(1/12)-1))^12-1)/((1+((1+$C$188)^(1/12)-1))-1))-12)),0))</f>
      </c>
      <c r="S174">
        <f>IF($C$174+$C$181+T173*('Inputs'!$C$122/100*('Inputs'!$H$110/100+'Inputs'!$C$120/100*'Inputs'!$H$112/100))&lt;=$C$173,0,INDEX('Inputs'!$E$125:$E$131,MATCH($C$174+$C$181+T173*('Inputs'!$C$122/100*('Inputs'!$H$110/100+'Inputs'!$C$120/100*'Inputs'!$H$112/100)),'Inputs'!$C$125:$C$131,1)-IF(COUNTIF('Inputs'!$C$125:$C$131,$C$174+$C$181+T173*('Inputs'!$C$122/100*('Inputs'!$H$110/100+'Inputs'!$C$120/100*'Inputs'!$H$112/100)))&gt;0,1,0))/100)</f>
      </c>
      <c r="T174">
        <f>ROUND(IF(('Inputs'!$C$122/100*(1-('Inputs'!$H$110/100*S174+'Inputs'!$H$111/100*'Inputs'!$H$113/100+'Inputs'!$H$112/100*'Inputs'!$C$120/100*S174))-IF($C$179=1,'Inputs'!$H$108/100,0))=0,SUM($O$172:$O$221),(1-(1+('Inputs'!$C$122/100*(1-('Inputs'!$H$110/100*S174+'Inputs'!$H$111/100*'Inputs'!$H$113/100+'Inputs'!$H$112/100*'Inputs'!$C$120/100*S174))-IF($C$179=1,'Inputs'!$H$108/100,0)))^-1)/(1-(1+('Inputs'!$C$122/100*(1-('Inputs'!$H$110/100*S174+'Inputs'!$H$111/100*'Inputs'!$H$113/100+'Inputs'!$H$112/100*'Inputs'!$C$120/100*S174))-IF($C$179=1,'Inputs'!$H$108/100,0)))^(-1/12))/12*SUMPRODUCT($O$172:$O$221,(1+('Inputs'!$C$122/100*(1-('Inputs'!$H$110/100*S174+'Inputs'!$H$111/100*'Inputs'!$H$113/100+'Inputs'!$H$112/100*'Inputs'!$C$120/100*S174))-IF($C$179=1,'Inputs'!$H$108/100,0)))^(-$I$172:$I$221))),2)</f>
      </c>
    </row>
    <row r="175" spans="2:20" x14ac:dyDescent="0.25">
      <c r="B175" t="s">
        <v>437</v>
      </c>
      <c r="C175">
        <f>IF($C$170="",0,SUMIFS('Inputs'!$D$76:$D$83,'Inputs'!$F$76:$F$83,$C$170))</f>
      </c>
      <c r="E175">
        <f>MAX($C$174,INDEX('Inputs'!$C$125:$C$131,5))</f>
      </c>
      <c r="F175">
        <f>(E175-$C$174)-(MAX(0,(INDEX('Inputs'!$D$125:$D$131,MATCH(E175,'Inputs'!$C$125:$C$131,1))+INDEX('Inputs'!$E$125:$E$131,MATCH(E175,'Inputs'!$C$125:$C$131,1))/100*((E175)-INDEX('Inputs'!$C$125:$C$131,MATCH(E175,'Inputs'!$C$125:$C$131,1))))-$C$172)-$C$180)</f>
      </c>
      <c r="G175">
        <f>1-IF(E175&gt;=$C$173,INDEX('Inputs'!$E$125:$E$131,MATCH(E175,'Inputs'!$C$125:$C$131,1))/100,0)</f>
      </c>
      <c r="I175">
        <v>3</v>
      </c>
      <c r="J175">
        <f>IF(I175&lt;$C$176,12*$C$177*(1+$C$178)^I175,0)</f>
      </c>
      <c r="K175">
        <f>IF(J175&lt;=0,0,INDEX($E$170:$E$177,MATCH(J175,$F$170:$F$177,1))+(J175-INDEX($F$170:$F$177,MATCH(J175,$F$170:$F$177,1)))/INDEX($G$170:$G$177,MATCH(J175,$F$170:$F$177,1))-$C$174)</f>
      </c>
      <c r="L175">
        <f>MAX(0,L174*(1+'Inputs'!$C$122/100)-M174/12*(1+'Inputs'!$C$122/100)^(1/12)*'Inputs'!$C$122/100/((1+'Inputs'!$C$122/100)^(1/12)-1))</f>
      </c>
      <c r="M175">
        <f>IF(L175&gt;0.005,MIN(MAX(K175,'Inputs'!$H$115/100*L175),'Inputs'!$H$116/100*L175),0)</f>
      </c>
      <c r="N175">
        <f>IF(M175&gt;0,M175-(MAX(0,(INDEX('Inputs'!$D$125:$D$131,MATCH($C$174+M175,'Inputs'!$C$125:$C$131,1))+INDEX('Inputs'!$E$125:$E$131,MATCH($C$174+M175,'Inputs'!$C$125:$C$131,1))/100*(($C$174+M175)-INDEX('Inputs'!$C$125:$C$131,MATCH($C$174+M175,'Inputs'!$C$125:$C$131,1))))-$C$172)-$C$180),0)</f>
      </c>
      <c r="O175">
        <f>IF(I175&lt;$C$176,MAX(0,J175-N175),0)</f>
      </c>
      <c r="P175">
        <f>IF($C$179&lt;&gt;1,0,P174*(1+((1+$C$188)^(1/12)-1))^12-O174/12*(1+((1+$C$188)^(1/12)-1))*(((1+((1+$C$188)^(1/12)-1))^12-1)/((1+((1+$C$188)^(1/12)-1))-1)))</f>
      </c>
      <c r="Q175">
        <f>IF($C$179&lt;&gt;1,0,IFERROR((((1+($C$188+'Inputs'!$H$108/100))^(1/12)-1)-((1+$C$188)^(1/12)-1))*(P175*(((1+((1+$C$188)^(1/12)-1))^12-1)/((1+((1+$C$188)^(1/12)-1))-1))-O175/12/((1+((1+$C$188)^(1/12)-1))-1)*((1+((1+$C$188)^(1/12)-1))*(((1+((1+$C$188)^(1/12)-1))^12-1)/((1+((1+$C$188)^(1/12)-1))-1))-12)),0))</f>
      </c>
      <c r="S175">
        <f>IF($C$174+$C$181+T174*('Inputs'!$C$122/100*('Inputs'!$H$110/100+'Inputs'!$C$120/100*'Inputs'!$H$112/100))&lt;=$C$173,0,INDEX('Inputs'!$E$125:$E$131,MATCH($C$174+$C$181+T174*('Inputs'!$C$122/100*('Inputs'!$H$110/100+'Inputs'!$C$120/100*'Inputs'!$H$112/100)),'Inputs'!$C$125:$C$131,1)-IF(COUNTIF('Inputs'!$C$125:$C$131,$C$174+$C$181+T174*('Inputs'!$C$122/100*('Inputs'!$H$110/100+'Inputs'!$C$120/100*'Inputs'!$H$112/100)))&gt;0,1,0))/100)</f>
      </c>
      <c r="T175">
        <f>ROUND(IF(('Inputs'!$C$122/100*(1-('Inputs'!$H$110/100*S175+'Inputs'!$H$111/100*'Inputs'!$H$113/100+'Inputs'!$H$112/100*'Inputs'!$C$120/100*S175))-IF($C$179=1,'Inputs'!$H$108/100,0))=0,SUM($O$172:$O$221),(1-(1+('Inputs'!$C$122/100*(1-('Inputs'!$H$110/100*S175+'Inputs'!$H$111/100*'Inputs'!$H$113/100+'Inputs'!$H$112/100*'Inputs'!$C$120/100*S175))-IF($C$179=1,'Inputs'!$H$108/100,0)))^-1)/(1-(1+('Inputs'!$C$122/100*(1-('Inputs'!$H$110/100*S175+'Inputs'!$H$111/100*'Inputs'!$H$113/100+'Inputs'!$H$112/100*'Inputs'!$C$120/100*S175))-IF($C$179=1,'Inputs'!$H$108/100,0)))^(-1/12))/12*SUMPRODUCT($O$172:$O$221,(1+('Inputs'!$C$122/100*(1-('Inputs'!$H$110/100*S175+'Inputs'!$H$111/100*'Inputs'!$H$113/100+'Inputs'!$H$112/100*'Inputs'!$C$120/100*S175))-IF($C$179=1,'Inputs'!$H$108/100,0)))^(-$I$172:$I$221))),2)</f>
      </c>
    </row>
    <row r="176" spans="2:20" x14ac:dyDescent="0.25">
      <c r="B176" t="s">
        <v>438</v>
      </c>
      <c r="C176">
        <f>IF($C$170="",0,N('Inputs'!$F$92))</f>
      </c>
      <c r="E176">
        <f>MAX($C$174,INDEX('Inputs'!$C$125:$C$131,6))</f>
      </c>
      <c r="F176">
        <f>(E176-$C$174)-(MAX(0,(INDEX('Inputs'!$D$125:$D$131,MATCH(E176,'Inputs'!$C$125:$C$131,1))+INDEX('Inputs'!$E$125:$E$131,MATCH(E176,'Inputs'!$C$125:$C$131,1))/100*((E176)-INDEX('Inputs'!$C$125:$C$131,MATCH(E176,'Inputs'!$C$125:$C$131,1))))-$C$172)-$C$180)</f>
      </c>
      <c r="G176">
        <f>1-IF(E176&gt;=$C$173,INDEX('Inputs'!$E$125:$E$131,MATCH(E176,'Inputs'!$C$125:$C$131,1))/100,0)</f>
      </c>
      <c r="I176">
        <v>4</v>
      </c>
      <c r="J176">
        <f>IF(I176&lt;$C$176,12*$C$177*(1+$C$178)^I176,0)</f>
      </c>
      <c r="K176">
        <f>IF(J176&lt;=0,0,INDEX($E$170:$E$177,MATCH(J176,$F$170:$F$177,1))+(J176-INDEX($F$170:$F$177,MATCH(J176,$F$170:$F$177,1)))/INDEX($G$170:$G$177,MATCH(J176,$F$170:$F$177,1))-$C$174)</f>
      </c>
      <c r="L176">
        <f>MAX(0,L175*(1+'Inputs'!$C$122/100)-M175/12*(1+'Inputs'!$C$122/100)^(1/12)*'Inputs'!$C$122/100/((1+'Inputs'!$C$122/100)^(1/12)-1))</f>
      </c>
      <c r="M176">
        <f>IF(L176&gt;0.005,MIN(MAX(K176,'Inputs'!$H$115/100*L176),'Inputs'!$H$116/100*L176),0)</f>
      </c>
      <c r="N176">
        <f>IF(M176&gt;0,M176-(MAX(0,(INDEX('Inputs'!$D$125:$D$131,MATCH($C$174+M176,'Inputs'!$C$125:$C$131,1))+INDEX('Inputs'!$E$125:$E$131,MATCH($C$174+M176,'Inputs'!$C$125:$C$131,1))/100*(($C$174+M176)-INDEX('Inputs'!$C$125:$C$131,MATCH($C$174+M176,'Inputs'!$C$125:$C$131,1))))-$C$172)-$C$180),0)</f>
      </c>
      <c r="O176">
        <f>IF(I176&lt;$C$176,MAX(0,J176-N176),0)</f>
      </c>
      <c r="P176">
        <f>IF($C$179&lt;&gt;1,0,P175*(1+((1+$C$188)^(1/12)-1))^12-O175/12*(1+((1+$C$188)^(1/12)-1))*(((1+((1+$C$188)^(1/12)-1))^12-1)/((1+((1+$C$188)^(1/12)-1))-1)))</f>
      </c>
      <c r="Q176">
        <f>IF($C$179&lt;&gt;1,0,IFERROR((((1+($C$188+'Inputs'!$H$108/100))^(1/12)-1)-((1+$C$188)^(1/12)-1))*(P176*(((1+((1+$C$188)^(1/12)-1))^12-1)/((1+((1+$C$188)^(1/12)-1))-1))-O176/12/((1+((1+$C$188)^(1/12)-1))-1)*((1+((1+$C$188)^(1/12)-1))*(((1+((1+$C$188)^(1/12)-1))^12-1)/((1+((1+$C$188)^(1/12)-1))-1))-12)),0))</f>
      </c>
      <c r="S176">
        <f>IF($C$174+$C$181+T175*('Inputs'!$C$122/100*('Inputs'!$H$110/100+'Inputs'!$C$120/100*'Inputs'!$H$112/100))&lt;=$C$173,0,INDEX('Inputs'!$E$125:$E$131,MATCH($C$174+$C$181+T175*('Inputs'!$C$122/100*('Inputs'!$H$110/100+'Inputs'!$C$120/100*'Inputs'!$H$112/100)),'Inputs'!$C$125:$C$131,1)-IF(COUNTIF('Inputs'!$C$125:$C$131,$C$174+$C$181+T175*('Inputs'!$C$122/100*('Inputs'!$H$110/100+'Inputs'!$C$120/100*'Inputs'!$H$112/100)))&gt;0,1,0))/100)</f>
      </c>
      <c r="T176">
        <f>ROUND(IF(('Inputs'!$C$122/100*(1-('Inputs'!$H$110/100*S176+'Inputs'!$H$111/100*'Inputs'!$H$113/100+'Inputs'!$H$112/100*'Inputs'!$C$120/100*S176))-IF($C$179=1,'Inputs'!$H$108/100,0))=0,SUM($O$172:$O$221),(1-(1+('Inputs'!$C$122/100*(1-('Inputs'!$H$110/100*S176+'Inputs'!$H$111/100*'Inputs'!$H$113/100+'Inputs'!$H$112/100*'Inputs'!$C$120/100*S176))-IF($C$179=1,'Inputs'!$H$108/100,0)))^-1)/(1-(1+('Inputs'!$C$122/100*(1-('Inputs'!$H$110/100*S176+'Inputs'!$H$111/100*'Inputs'!$H$113/100+'Inputs'!$H$112/100*'Inputs'!$C$120/100*S176))-IF($C$179=1,'Inputs'!$H$108/100,0)))^(-1/12))/12*SUMPRODUCT($O$172:$O$221,(1+('Inputs'!$C$122/100*(1-('Inputs'!$H$110/100*S176+'Inputs'!$H$111/100*'Inputs'!$H$113/100+'Inputs'!$H$112/100*'Inputs'!$C$120/100*S176))-IF($C$179=1,'Inputs'!$H$108/100,0)))^(-$I$172:$I$221))),2)</f>
      </c>
    </row>
    <row r="177" spans="2:17" x14ac:dyDescent="0.25">
      <c r="B177" t="s">
        <v>439</v>
      </c>
      <c r="C177">
        <f>N('Inputs'!$E$92)</f>
      </c>
      <c r="E177">
        <f>MAX($C$174,INDEX('Inputs'!$C$125:$C$131,7))</f>
      </c>
      <c r="F177">
        <f>(E177-$C$174)-(MAX(0,(INDEX('Inputs'!$D$125:$D$131,MATCH(E177,'Inputs'!$C$125:$C$131,1))+INDEX('Inputs'!$E$125:$E$131,MATCH(E177,'Inputs'!$C$125:$C$131,1))/100*((E177)-INDEX('Inputs'!$C$125:$C$131,MATCH(E177,'Inputs'!$C$125:$C$131,1))))-$C$172)-$C$180)</f>
      </c>
      <c r="G177">
        <f>1-IF(E177&gt;=$C$173,INDEX('Inputs'!$E$125:$E$131,MATCH(E177,'Inputs'!$C$125:$C$131,1))/100,0)</f>
      </c>
      <c r="I177">
        <v>5</v>
      </c>
      <c r="J177">
        <f>IF(I177&lt;$C$176,12*$C$177*(1+$C$178)^I177,0)</f>
      </c>
      <c r="K177">
        <f>IF(J177&lt;=0,0,INDEX($E$170:$E$177,MATCH(J177,$F$170:$F$177,1))+(J177-INDEX($F$170:$F$177,MATCH(J177,$F$170:$F$177,1)))/INDEX($G$170:$G$177,MATCH(J177,$F$170:$F$177,1))-$C$174)</f>
      </c>
      <c r="L177">
        <f>MAX(0,L176*(1+'Inputs'!$C$122/100)-M176/12*(1+'Inputs'!$C$122/100)^(1/12)*'Inputs'!$C$122/100/((1+'Inputs'!$C$122/100)^(1/12)-1))</f>
      </c>
      <c r="M177">
        <f>IF(L177&gt;0.005,MIN(MAX(K177,'Inputs'!$H$115/100*L177),'Inputs'!$H$116/100*L177),0)</f>
      </c>
      <c r="N177">
        <f>IF(M177&gt;0,M177-(MAX(0,(INDEX('Inputs'!$D$125:$D$131,MATCH($C$174+M177,'Inputs'!$C$125:$C$131,1))+INDEX('Inputs'!$E$125:$E$131,MATCH($C$174+M177,'Inputs'!$C$125:$C$131,1))/100*(($C$174+M177)-INDEX('Inputs'!$C$125:$C$131,MATCH($C$174+M177,'Inputs'!$C$125:$C$131,1))))-$C$172)-$C$180),0)</f>
      </c>
      <c r="O177">
        <f>IF(I177&lt;$C$176,MAX(0,J177-N177),0)</f>
      </c>
      <c r="P177">
        <f>IF($C$179&lt;&gt;1,0,P176*(1+((1+$C$188)^(1/12)-1))^12-O176/12*(1+((1+$C$188)^(1/12)-1))*(((1+((1+$C$188)^(1/12)-1))^12-1)/((1+((1+$C$188)^(1/12)-1))-1)))</f>
      </c>
      <c r="Q177">
        <f>IF($C$179&lt;&gt;1,0,IFERROR((((1+($C$188+'Inputs'!$H$108/100))^(1/12)-1)-((1+$C$188)^(1/12)-1))*(P177*(((1+((1+$C$188)^(1/12)-1))^12-1)/((1+((1+$C$188)^(1/12)-1))-1))-O177/12/((1+((1+$C$188)^(1/12)-1))-1)*((1+((1+$C$188)^(1/12)-1))*(((1+((1+$C$188)^(1/12)-1))^12-1)/((1+((1+$C$188)^(1/12)-1))-1))-12)),0))</f>
      </c>
    </row>
    <row r="178" spans="2:17" x14ac:dyDescent="0.25">
      <c r="B178" t="s">
        <v>440</v>
      </c>
      <c r="C178">
        <f>IF('Inputs'!$G$92="",'Inputs'!$H$114/100,'Inputs'!$G$92/100)</f>
      </c>
      <c r="I178">
        <v>6</v>
      </c>
      <c r="J178">
        <f>IF(I178&lt;$C$176,12*$C$177*(1+$C$178)^I178,0)</f>
      </c>
      <c r="K178">
        <f>IF(J178&lt;=0,0,INDEX($E$170:$E$177,MATCH(J178,$F$170:$F$177,1))+(J178-INDEX($F$170:$F$177,MATCH(J178,$F$170:$F$177,1)))/INDEX($G$170:$G$177,MATCH(J178,$F$170:$F$177,1))-$C$174)</f>
      </c>
      <c r="L178">
        <f>MAX(0,L177*(1+'Inputs'!$C$122/100)-M177/12*(1+'Inputs'!$C$122/100)^(1/12)*'Inputs'!$C$122/100/((1+'Inputs'!$C$122/100)^(1/12)-1))</f>
      </c>
      <c r="M178">
        <f>IF(L178&gt;0.005,MIN(MAX(K178,'Inputs'!$H$115/100*L178),'Inputs'!$H$116/100*L178),0)</f>
      </c>
      <c r="N178">
        <f>IF(M178&gt;0,M178-(MAX(0,(INDEX('Inputs'!$D$125:$D$131,MATCH($C$174+M178,'Inputs'!$C$125:$C$131,1))+INDEX('Inputs'!$E$125:$E$131,MATCH($C$174+M178,'Inputs'!$C$125:$C$131,1))/100*(($C$174+M178)-INDEX('Inputs'!$C$125:$C$131,MATCH($C$174+M178,'Inputs'!$C$125:$C$131,1))))-$C$172)-$C$180),0)</f>
      </c>
      <c r="O178">
        <f>IF(I178&lt;$C$176,MAX(0,J178-N178),0)</f>
      </c>
      <c r="P178">
        <f>IF($C$179&lt;&gt;1,0,P177*(1+((1+$C$188)^(1/12)-1))^12-O177/12*(1+((1+$C$188)^(1/12)-1))*(((1+((1+$C$188)^(1/12)-1))^12-1)/((1+((1+$C$188)^(1/12)-1))-1)))</f>
      </c>
      <c r="Q178">
        <f>IF($C$179&lt;&gt;1,0,IFERROR((((1+($C$188+'Inputs'!$H$108/100))^(1/12)-1)-((1+$C$188)^(1/12)-1))*(P178*(((1+((1+$C$188)^(1/12)-1))^12-1)/((1+((1+$C$188)^(1/12)-1))-1))-O178/12/((1+((1+$C$188)^(1/12)-1))-1)*((1+((1+$C$188)^(1/12)-1))*(((1+((1+$C$188)^(1/12)-1))^12-1)/((1+((1+$C$188)^(1/12)-1))-1))-12)),0))</f>
      </c>
    </row>
    <row r="179" spans="2:17" x14ac:dyDescent="0.25">
      <c r="B179" t="s">
        <v>441</v>
      </c>
      <c r="C179">
        <f>IF('Inputs'!$H$92="Yes",1,0)</f>
      </c>
      <c r="I179">
        <v>7</v>
      </c>
      <c r="J179">
        <f>IF(I179&lt;$C$176,12*$C$177*(1+$C$178)^I179,0)</f>
      </c>
      <c r="K179">
        <f>IF(J179&lt;=0,0,INDEX($E$170:$E$177,MATCH(J179,$F$170:$F$177,1))+(J179-INDEX($F$170:$F$177,MATCH(J179,$F$170:$F$177,1)))/INDEX($G$170:$G$177,MATCH(J179,$F$170:$F$177,1))-$C$174)</f>
      </c>
      <c r="L179">
        <f>MAX(0,L178*(1+'Inputs'!$C$122/100)-M178/12*(1+'Inputs'!$C$122/100)^(1/12)*'Inputs'!$C$122/100/((1+'Inputs'!$C$122/100)^(1/12)-1))</f>
      </c>
      <c r="M179">
        <f>IF(L179&gt;0.005,MIN(MAX(K179,'Inputs'!$H$115/100*L179),'Inputs'!$H$116/100*L179),0)</f>
      </c>
      <c r="N179">
        <f>IF(M179&gt;0,M179-(MAX(0,(INDEX('Inputs'!$D$125:$D$131,MATCH($C$174+M179,'Inputs'!$C$125:$C$131,1))+INDEX('Inputs'!$E$125:$E$131,MATCH($C$174+M179,'Inputs'!$C$125:$C$131,1))/100*(($C$174+M179)-INDEX('Inputs'!$C$125:$C$131,MATCH($C$174+M179,'Inputs'!$C$125:$C$131,1))))-$C$172)-$C$180),0)</f>
      </c>
      <c r="O179">
        <f>IF(I179&lt;$C$176,MAX(0,J179-N179),0)</f>
      </c>
      <c r="P179">
        <f>IF($C$179&lt;&gt;1,0,P178*(1+((1+$C$188)^(1/12)-1))^12-O178/12*(1+((1+$C$188)^(1/12)-1))*(((1+((1+$C$188)^(1/12)-1))^12-1)/((1+((1+$C$188)^(1/12)-1))-1)))</f>
      </c>
      <c r="Q179">
        <f>IF($C$179&lt;&gt;1,0,IFERROR((((1+($C$188+'Inputs'!$H$108/100))^(1/12)-1)-((1+$C$188)^(1/12)-1))*(P179*(((1+((1+$C$188)^(1/12)-1))^12-1)/((1+((1+$C$188)^(1/12)-1))-1))-O179/12/((1+((1+$C$188)^(1/12)-1))-1)*((1+((1+$C$188)^(1/12)-1))*(((1+((1+$C$188)^(1/12)-1))^12-1)/((1+((1+$C$188)^(1/12)-1))-1))-12)),0))</f>
      </c>
    </row>
    <row r="180" spans="2:17" x14ac:dyDescent="0.25">
      <c r="B180" t="s">
        <v>442</v>
      </c>
      <c r="C180">
        <f>MAX(0,(INDEX('Inputs'!$D$125:$D$131,MATCH($C$174,'Inputs'!$C$125:$C$131,1))+INDEX('Inputs'!$E$125:$E$131,MATCH($C$174,'Inputs'!$C$125:$C$131,1))/100*(($C$174)-INDEX('Inputs'!$C$125:$C$131,MATCH($C$174,'Inputs'!$C$125:$C$131,1))))-$C$172)</f>
      </c>
      <c r="I180">
        <v>8</v>
      </c>
      <c r="J180">
        <f>IF(I180&lt;$C$176,12*$C$177*(1+$C$178)^I180,0)</f>
      </c>
      <c r="K180">
        <f>IF(J180&lt;=0,0,INDEX($E$170:$E$177,MATCH(J180,$F$170:$F$177,1))+(J180-INDEX($F$170:$F$177,MATCH(J180,$F$170:$F$177,1)))/INDEX($G$170:$G$177,MATCH(J180,$F$170:$F$177,1))-$C$174)</f>
      </c>
      <c r="L180">
        <f>MAX(0,L179*(1+'Inputs'!$C$122/100)-M179/12*(1+'Inputs'!$C$122/100)^(1/12)*'Inputs'!$C$122/100/((1+'Inputs'!$C$122/100)^(1/12)-1))</f>
      </c>
      <c r="M180">
        <f>IF(L180&gt;0.005,MIN(MAX(K180,'Inputs'!$H$115/100*L180),'Inputs'!$H$116/100*L180),0)</f>
      </c>
      <c r="N180">
        <f>IF(M180&gt;0,M180-(MAX(0,(INDEX('Inputs'!$D$125:$D$131,MATCH($C$174+M180,'Inputs'!$C$125:$C$131,1))+INDEX('Inputs'!$E$125:$E$131,MATCH($C$174+M180,'Inputs'!$C$125:$C$131,1))/100*(($C$174+M180)-INDEX('Inputs'!$C$125:$C$131,MATCH($C$174+M180,'Inputs'!$C$125:$C$131,1))))-$C$172)-$C$180),0)</f>
      </c>
      <c r="O180">
        <f>IF(I180&lt;$C$176,MAX(0,J180-N180),0)</f>
      </c>
      <c r="P180">
        <f>IF($C$179&lt;&gt;1,0,P179*(1+((1+$C$188)^(1/12)-1))^12-O179/12*(1+((1+$C$188)^(1/12)-1))*(((1+((1+$C$188)^(1/12)-1))^12-1)/((1+((1+$C$188)^(1/12)-1))-1)))</f>
      </c>
      <c r="Q180">
        <f>IF($C$179&lt;&gt;1,0,IFERROR((((1+($C$188+'Inputs'!$H$108/100))^(1/12)-1)-((1+$C$188)^(1/12)-1))*(P180*(((1+((1+$C$188)^(1/12)-1))^12-1)/((1+((1+$C$188)^(1/12)-1))-1))-O180/12/((1+((1+$C$188)^(1/12)-1))-1)*((1+((1+$C$188)^(1/12)-1))*(((1+((1+$C$188)^(1/12)-1))^12-1)/((1+((1+$C$188)^(1/12)-1))-1))-12)),0))</f>
      </c>
    </row>
    <row r="181" spans="2:17" x14ac:dyDescent="0.25">
      <c r="B181" t="s">
        <v>443</v>
      </c>
      <c r="C181">
        <f>M172</f>
      </c>
      <c r="I181">
        <v>9</v>
      </c>
      <c r="J181">
        <f>IF(I181&lt;$C$176,12*$C$177*(1+$C$178)^I181,0)</f>
      </c>
      <c r="K181">
        <f>IF(J181&lt;=0,0,INDEX($E$170:$E$177,MATCH(J181,$F$170:$F$177,1))+(J181-INDEX($F$170:$F$177,MATCH(J181,$F$170:$F$177,1)))/INDEX($G$170:$G$177,MATCH(J181,$F$170:$F$177,1))-$C$174)</f>
      </c>
      <c r="L181">
        <f>MAX(0,L180*(1+'Inputs'!$C$122/100)-M180/12*(1+'Inputs'!$C$122/100)^(1/12)*'Inputs'!$C$122/100/((1+'Inputs'!$C$122/100)^(1/12)-1))</f>
      </c>
      <c r="M181">
        <f>IF(L181&gt;0.005,MIN(MAX(K181,'Inputs'!$H$115/100*L181),'Inputs'!$H$116/100*L181),0)</f>
      </c>
      <c r="N181">
        <f>IF(M181&gt;0,M181-(MAX(0,(INDEX('Inputs'!$D$125:$D$131,MATCH($C$174+M181,'Inputs'!$C$125:$C$131,1))+INDEX('Inputs'!$E$125:$E$131,MATCH($C$174+M181,'Inputs'!$C$125:$C$131,1))/100*(($C$174+M181)-INDEX('Inputs'!$C$125:$C$131,MATCH($C$174+M181,'Inputs'!$C$125:$C$131,1))))-$C$172)-$C$180),0)</f>
      </c>
      <c r="O181">
        <f>IF(I181&lt;$C$176,MAX(0,J181-N181),0)</f>
      </c>
      <c r="P181">
        <f>IF($C$179&lt;&gt;1,0,P180*(1+((1+$C$188)^(1/12)-1))^12-O180/12*(1+((1+$C$188)^(1/12)-1))*(((1+((1+$C$188)^(1/12)-1))^12-1)/((1+((1+$C$188)^(1/12)-1))-1)))</f>
      </c>
      <c r="Q181">
        <f>IF($C$179&lt;&gt;1,0,IFERROR((((1+($C$188+'Inputs'!$H$108/100))^(1/12)-1)-((1+$C$188)^(1/12)-1))*(P181*(((1+((1+$C$188)^(1/12)-1))^12-1)/((1+((1+$C$188)^(1/12)-1))-1))-O181/12/((1+((1+$C$188)^(1/12)-1))-1)*((1+((1+$C$188)^(1/12)-1))*(((1+((1+$C$188)^(1/12)-1))^12-1)/((1+((1+$C$188)^(1/12)-1))-1))-12)),0))</f>
      </c>
    </row>
    <row r="182" spans="2:17" x14ac:dyDescent="0.25">
      <c r="B182" t="s">
        <v>444</v>
      </c>
      <c r="C182">
        <f>T176</f>
      </c>
      <c r="I182">
        <v>10</v>
      </c>
      <c r="J182">
        <f>IF(I182&lt;$C$176,12*$C$177*(1+$C$178)^I182,0)</f>
      </c>
      <c r="K182">
        <f>IF(J182&lt;=0,0,INDEX($E$170:$E$177,MATCH(J182,$F$170:$F$177,1))+(J182-INDEX($F$170:$F$177,MATCH(J182,$F$170:$F$177,1)))/INDEX($G$170:$G$177,MATCH(J182,$F$170:$F$177,1))-$C$174)</f>
      </c>
      <c r="L182">
        <f>MAX(0,L181*(1+'Inputs'!$C$122/100)-M181/12*(1+'Inputs'!$C$122/100)^(1/12)*'Inputs'!$C$122/100/((1+'Inputs'!$C$122/100)^(1/12)-1))</f>
      </c>
      <c r="M182">
        <f>IF(L182&gt;0.005,MIN(MAX(K182,'Inputs'!$H$115/100*L182),'Inputs'!$H$116/100*L182),0)</f>
      </c>
      <c r="N182">
        <f>IF(M182&gt;0,M182-(MAX(0,(INDEX('Inputs'!$D$125:$D$131,MATCH($C$174+M182,'Inputs'!$C$125:$C$131,1))+INDEX('Inputs'!$E$125:$E$131,MATCH($C$174+M182,'Inputs'!$C$125:$C$131,1))/100*(($C$174+M182)-INDEX('Inputs'!$C$125:$C$131,MATCH($C$174+M182,'Inputs'!$C$125:$C$131,1))))-$C$172)-$C$180),0)</f>
      </c>
      <c r="O182">
        <f>IF(I182&lt;$C$176,MAX(0,J182-N182),0)</f>
      </c>
      <c r="P182">
        <f>IF($C$179&lt;&gt;1,0,P181*(1+((1+$C$188)^(1/12)-1))^12-O181/12*(1+((1+$C$188)^(1/12)-1))*(((1+((1+$C$188)^(1/12)-1))^12-1)/((1+((1+$C$188)^(1/12)-1))-1)))</f>
      </c>
      <c r="Q182">
        <f>IF($C$179&lt;&gt;1,0,IFERROR((((1+($C$188+'Inputs'!$H$108/100))^(1/12)-1)-((1+$C$188)^(1/12)-1))*(P182*(((1+((1+$C$188)^(1/12)-1))^12-1)/((1+((1+$C$188)^(1/12)-1))-1))-O182/12/((1+((1+$C$188)^(1/12)-1))-1)*((1+((1+$C$188)^(1/12)-1))*(((1+((1+$C$188)^(1/12)-1))^12-1)/((1+((1+$C$188)^(1/12)-1))-1))-12)),0))</f>
      </c>
    </row>
    <row r="183" spans="2:17" x14ac:dyDescent="0.25">
      <c r="B183" t="s">
        <v>445</v>
      </c>
      <c r="C183">
        <f>N172</f>
      </c>
      <c r="I183">
        <v>11</v>
      </c>
      <c r="J183">
        <f>IF(I183&lt;$C$176,12*$C$177*(1+$C$178)^I183,0)</f>
      </c>
      <c r="K183">
        <f>IF(J183&lt;=0,0,INDEX($E$170:$E$177,MATCH(J183,$F$170:$F$177,1))+(J183-INDEX($F$170:$F$177,MATCH(J183,$F$170:$F$177,1)))/INDEX($G$170:$G$177,MATCH(J183,$F$170:$F$177,1))-$C$174)</f>
      </c>
      <c r="L183">
        <f>MAX(0,L182*(1+'Inputs'!$C$122/100)-M182/12*(1+'Inputs'!$C$122/100)^(1/12)*'Inputs'!$C$122/100/((1+'Inputs'!$C$122/100)^(1/12)-1))</f>
      </c>
      <c r="M183">
        <f>IF(L183&gt;0.005,MIN(MAX(K183,'Inputs'!$H$115/100*L183),'Inputs'!$H$116/100*L183),0)</f>
      </c>
      <c r="N183">
        <f>IF(M183&gt;0,M183-(MAX(0,(INDEX('Inputs'!$D$125:$D$131,MATCH($C$174+M183,'Inputs'!$C$125:$C$131,1))+INDEX('Inputs'!$E$125:$E$131,MATCH($C$174+M183,'Inputs'!$C$125:$C$131,1))/100*(($C$174+M183)-INDEX('Inputs'!$C$125:$C$131,MATCH($C$174+M183,'Inputs'!$C$125:$C$131,1))))-$C$172)-$C$180),0)</f>
      </c>
      <c r="O183">
        <f>IF(I183&lt;$C$176,MAX(0,J183-N183),0)</f>
      </c>
      <c r="P183">
        <f>IF($C$179&lt;&gt;1,0,P182*(1+((1+$C$188)^(1/12)-1))^12-O182/12*(1+((1+$C$188)^(1/12)-1))*(((1+((1+$C$188)^(1/12)-1))^12-1)/((1+((1+$C$188)^(1/12)-1))-1)))</f>
      </c>
      <c r="Q183">
        <f>IF($C$179&lt;&gt;1,0,IFERROR((((1+($C$188+'Inputs'!$H$108/100))^(1/12)-1)-((1+$C$188)^(1/12)-1))*(P183*(((1+((1+$C$188)^(1/12)-1))^12-1)/((1+((1+$C$188)^(1/12)-1))-1))-O183/12/((1+((1+$C$188)^(1/12)-1))-1)*((1+((1+$C$188)^(1/12)-1))*(((1+((1+$C$188)^(1/12)-1))^12-1)/((1+((1+$C$188)^(1/12)-1))-1))-12)),0))</f>
      </c>
    </row>
    <row r="184" spans="2:17" x14ac:dyDescent="0.25">
      <c r="B184" t="s">
        <v>446</v>
      </c>
      <c r="C184">
        <f>O172</f>
      </c>
      <c r="I184">
        <v>12</v>
      </c>
      <c r="J184">
        <f>IF(I184&lt;$C$176,12*$C$177*(1+$C$178)^I184,0)</f>
      </c>
      <c r="K184">
        <f>IF(J184&lt;=0,0,INDEX($E$170:$E$177,MATCH(J184,$F$170:$F$177,1))+(J184-INDEX($F$170:$F$177,MATCH(J184,$F$170:$F$177,1)))/INDEX($G$170:$G$177,MATCH(J184,$F$170:$F$177,1))-$C$174)</f>
      </c>
      <c r="L184">
        <f>MAX(0,L183*(1+'Inputs'!$C$122/100)-M183/12*(1+'Inputs'!$C$122/100)^(1/12)*'Inputs'!$C$122/100/((1+'Inputs'!$C$122/100)^(1/12)-1))</f>
      </c>
      <c r="M184">
        <f>IF(L184&gt;0.005,MIN(MAX(K184,'Inputs'!$H$115/100*L184),'Inputs'!$H$116/100*L184),0)</f>
      </c>
      <c r="N184">
        <f>IF(M184&gt;0,M184-(MAX(0,(INDEX('Inputs'!$D$125:$D$131,MATCH($C$174+M184,'Inputs'!$C$125:$C$131,1))+INDEX('Inputs'!$E$125:$E$131,MATCH($C$174+M184,'Inputs'!$C$125:$C$131,1))/100*(($C$174+M184)-INDEX('Inputs'!$C$125:$C$131,MATCH($C$174+M184,'Inputs'!$C$125:$C$131,1))))-$C$172)-$C$180),0)</f>
      </c>
      <c r="O184">
        <f>IF(I184&lt;$C$176,MAX(0,J184-N184),0)</f>
      </c>
      <c r="P184">
        <f>IF($C$179&lt;&gt;1,0,P183*(1+((1+$C$188)^(1/12)-1))^12-O183/12*(1+((1+$C$188)^(1/12)-1))*(((1+((1+$C$188)^(1/12)-1))^12-1)/((1+((1+$C$188)^(1/12)-1))-1)))</f>
      </c>
      <c r="Q184">
        <f>IF($C$179&lt;&gt;1,0,IFERROR((((1+($C$188+'Inputs'!$H$108/100))^(1/12)-1)-((1+$C$188)^(1/12)-1))*(P184*(((1+((1+$C$188)^(1/12)-1))^12-1)/((1+((1+$C$188)^(1/12)-1))-1))-O184/12/((1+((1+$C$188)^(1/12)-1))-1)*((1+((1+$C$188)^(1/12)-1))*(((1+((1+$C$188)^(1/12)-1))^12-1)/((1+((1+$C$188)^(1/12)-1))-1))-12)),0))</f>
      </c>
    </row>
    <row r="185" spans="2:17" x14ac:dyDescent="0.25">
      <c r="B185" t="s">
        <v>447</v>
      </c>
      <c r="C185">
        <f>ROUND(Q172,2)</f>
      </c>
      <c r="I185">
        <v>13</v>
      </c>
      <c r="J185">
        <f>IF(I185&lt;$C$176,12*$C$177*(1+$C$178)^I185,0)</f>
      </c>
      <c r="K185">
        <f>IF(J185&lt;=0,0,INDEX($E$170:$E$177,MATCH(J185,$F$170:$F$177,1))+(J185-INDEX($F$170:$F$177,MATCH(J185,$F$170:$F$177,1)))/INDEX($G$170:$G$177,MATCH(J185,$F$170:$F$177,1))-$C$174)</f>
      </c>
      <c r="L185">
        <f>MAX(0,L184*(1+'Inputs'!$C$122/100)-M184/12*(1+'Inputs'!$C$122/100)^(1/12)*'Inputs'!$C$122/100/((1+'Inputs'!$C$122/100)^(1/12)-1))</f>
      </c>
      <c r="M185">
        <f>IF(L185&gt;0.005,MIN(MAX(K185,'Inputs'!$H$115/100*L185),'Inputs'!$H$116/100*L185),0)</f>
      </c>
      <c r="N185">
        <f>IF(M185&gt;0,M185-(MAX(0,(INDEX('Inputs'!$D$125:$D$131,MATCH($C$174+M185,'Inputs'!$C$125:$C$131,1))+INDEX('Inputs'!$E$125:$E$131,MATCH($C$174+M185,'Inputs'!$C$125:$C$131,1))/100*(($C$174+M185)-INDEX('Inputs'!$C$125:$C$131,MATCH($C$174+M185,'Inputs'!$C$125:$C$131,1))))-$C$172)-$C$180),0)</f>
      </c>
      <c r="O185">
        <f>IF(I185&lt;$C$176,MAX(0,J185-N185),0)</f>
      </c>
      <c r="P185">
        <f>IF($C$179&lt;&gt;1,0,P184*(1+((1+$C$188)^(1/12)-1))^12-O184/12*(1+((1+$C$188)^(1/12)-1))*(((1+((1+$C$188)^(1/12)-1))^12-1)/((1+((1+$C$188)^(1/12)-1))-1)))</f>
      </c>
      <c r="Q185">
        <f>IF($C$179&lt;&gt;1,0,IFERROR((((1+($C$188+'Inputs'!$H$108/100))^(1/12)-1)-((1+$C$188)^(1/12)-1))*(P185*(((1+((1+$C$188)^(1/12)-1))^12-1)/((1+((1+$C$188)^(1/12)-1))-1))-O185/12/((1+((1+$C$188)^(1/12)-1))-1)*((1+((1+$C$188)^(1/12)-1))*(((1+((1+$C$188)^(1/12)-1))^12-1)/((1+((1+$C$188)^(1/12)-1))-1))-12)),0))</f>
      </c>
    </row>
    <row r="186" spans="2:17" x14ac:dyDescent="0.25">
      <c r="B186" t="s">
        <v>448</v>
      </c>
      <c r="C186">
        <f>ROUND(SUM($Q$172:$Q$221),2)</f>
      </c>
      <c r="I186">
        <v>14</v>
      </c>
      <c r="J186">
        <f>IF(I186&lt;$C$176,12*$C$177*(1+$C$178)^I186,0)</f>
      </c>
      <c r="K186">
        <f>IF(J186&lt;=0,0,INDEX($E$170:$E$177,MATCH(J186,$F$170:$F$177,1))+(J186-INDEX($F$170:$F$177,MATCH(J186,$F$170:$F$177,1)))/INDEX($G$170:$G$177,MATCH(J186,$F$170:$F$177,1))-$C$174)</f>
      </c>
      <c r="L186">
        <f>MAX(0,L185*(1+'Inputs'!$C$122/100)-M185/12*(1+'Inputs'!$C$122/100)^(1/12)*'Inputs'!$C$122/100/((1+'Inputs'!$C$122/100)^(1/12)-1))</f>
      </c>
      <c r="M186">
        <f>IF(L186&gt;0.005,MIN(MAX(K186,'Inputs'!$H$115/100*L186),'Inputs'!$H$116/100*L186),0)</f>
      </c>
      <c r="N186">
        <f>IF(M186&gt;0,M186-(MAX(0,(INDEX('Inputs'!$D$125:$D$131,MATCH($C$174+M186,'Inputs'!$C$125:$C$131,1))+INDEX('Inputs'!$E$125:$E$131,MATCH($C$174+M186,'Inputs'!$C$125:$C$131,1))/100*(($C$174+M186)-INDEX('Inputs'!$C$125:$C$131,MATCH($C$174+M186,'Inputs'!$C$125:$C$131,1))))-$C$172)-$C$180),0)</f>
      </c>
      <c r="O186">
        <f>IF(I186&lt;$C$176,MAX(0,J186-N186),0)</f>
      </c>
      <c r="P186">
        <f>IF($C$179&lt;&gt;1,0,P185*(1+((1+$C$188)^(1/12)-1))^12-O185/12*(1+((1+$C$188)^(1/12)-1))*(((1+((1+$C$188)^(1/12)-1))^12-1)/((1+((1+$C$188)^(1/12)-1))-1)))</f>
      </c>
      <c r="Q186">
        <f>IF($C$179&lt;&gt;1,0,IFERROR((((1+($C$188+'Inputs'!$H$108/100))^(1/12)-1)-((1+$C$188)^(1/12)-1))*(P186*(((1+((1+$C$188)^(1/12)-1))^12-1)/((1+((1+$C$188)^(1/12)-1))-1))-O186/12/((1+((1+$C$188)^(1/12)-1))-1)*((1+((1+$C$188)^(1/12)-1))*(((1+((1+$C$188)^(1/12)-1))^12-1)/((1+((1+$C$188)^(1/12)-1))-1))-12)),0))</f>
      </c>
    </row>
    <row r="187" spans="2:17" x14ac:dyDescent="0.25">
      <c r="B187" t="s">
        <v>449</v>
      </c>
      <c r="C187">
        <f>IF($C$179&lt;&gt;1,0,ROUND(IF($C$188=0,SUM($O$172:$O$221),(1-(1+$C$188)^-1)/(1-(1+$C$188)^(-1/12))/12*SUMPRODUCT($O$172:$O$221,(1+$C$188)^(-$I$172:$I$221)))-IF(($C$188+'Inputs'!$H$108/100)=0,SUM($O$172:$O$221),(1-(1+($C$188+'Inputs'!$H$108/100))^-1)/(1-(1+($C$188+'Inputs'!$H$108/100))^(-1/12))/12*SUMPRODUCT($O$172:$O$221,(1+($C$188+'Inputs'!$H$108/100))^(-$I$172:$I$221))),2))</f>
      </c>
      <c r="I187">
        <v>15</v>
      </c>
      <c r="J187">
        <f>IF(I187&lt;$C$176,12*$C$177*(1+$C$178)^I187,0)</f>
      </c>
      <c r="K187">
        <f>IF(J187&lt;=0,0,INDEX($E$170:$E$177,MATCH(J187,$F$170:$F$177,1))+(J187-INDEX($F$170:$F$177,MATCH(J187,$F$170:$F$177,1)))/INDEX($G$170:$G$177,MATCH(J187,$F$170:$F$177,1))-$C$174)</f>
      </c>
      <c r="L187">
        <f>MAX(0,L186*(1+'Inputs'!$C$122/100)-M186/12*(1+'Inputs'!$C$122/100)^(1/12)*'Inputs'!$C$122/100/((1+'Inputs'!$C$122/100)^(1/12)-1))</f>
      </c>
      <c r="M187">
        <f>IF(L187&gt;0.005,MIN(MAX(K187,'Inputs'!$H$115/100*L187),'Inputs'!$H$116/100*L187),0)</f>
      </c>
      <c r="N187">
        <f>IF(M187&gt;0,M187-(MAX(0,(INDEX('Inputs'!$D$125:$D$131,MATCH($C$174+M187,'Inputs'!$C$125:$C$131,1))+INDEX('Inputs'!$E$125:$E$131,MATCH($C$174+M187,'Inputs'!$C$125:$C$131,1))/100*(($C$174+M187)-INDEX('Inputs'!$C$125:$C$131,MATCH($C$174+M187,'Inputs'!$C$125:$C$131,1))))-$C$172)-$C$180),0)</f>
      </c>
      <c r="O187">
        <f>IF(I187&lt;$C$176,MAX(0,J187-N187),0)</f>
      </c>
      <c r="P187">
        <f>IF($C$179&lt;&gt;1,0,P186*(1+((1+$C$188)^(1/12)-1))^12-O186/12*(1+((1+$C$188)^(1/12)-1))*(((1+((1+$C$188)^(1/12)-1))^12-1)/((1+((1+$C$188)^(1/12)-1))-1)))</f>
      </c>
      <c r="Q187">
        <f>IF($C$179&lt;&gt;1,0,IFERROR((((1+($C$188+'Inputs'!$H$108/100))^(1/12)-1)-((1+$C$188)^(1/12)-1))*(P187*(((1+((1+$C$188)^(1/12)-1))^12-1)/((1+((1+$C$188)^(1/12)-1))-1))-O187/12/((1+((1+$C$188)^(1/12)-1))-1)*((1+((1+$C$188)^(1/12)-1))*(((1+((1+$C$188)^(1/12)-1))^12-1)/((1+((1+$C$188)^(1/12)-1))-1))-12)),0))</f>
      </c>
    </row>
    <row r="188" spans="2:17" x14ac:dyDescent="0.25">
      <c r="B188" t="s">
        <v>450</v>
      </c>
      <c r="C188">
        <f>IF($C$179=1,'Needs calc'!$C$70,0)</f>
      </c>
      <c r="I188">
        <v>16</v>
      </c>
      <c r="J188">
        <f>IF(I188&lt;$C$176,12*$C$177*(1+$C$178)^I188,0)</f>
      </c>
      <c r="K188">
        <f>IF(J188&lt;=0,0,INDEX($E$170:$E$177,MATCH(J188,$F$170:$F$177,1))+(J188-INDEX($F$170:$F$177,MATCH(J188,$F$170:$F$177,1)))/INDEX($G$170:$G$177,MATCH(J188,$F$170:$F$177,1))-$C$174)</f>
      </c>
      <c r="L188">
        <f>MAX(0,L187*(1+'Inputs'!$C$122/100)-M187/12*(1+'Inputs'!$C$122/100)^(1/12)*'Inputs'!$C$122/100/((1+'Inputs'!$C$122/100)^(1/12)-1))</f>
      </c>
      <c r="M188">
        <f>IF(L188&gt;0.005,MIN(MAX(K188,'Inputs'!$H$115/100*L188),'Inputs'!$H$116/100*L188),0)</f>
      </c>
      <c r="N188">
        <f>IF(M188&gt;0,M188-(MAX(0,(INDEX('Inputs'!$D$125:$D$131,MATCH($C$174+M188,'Inputs'!$C$125:$C$131,1))+INDEX('Inputs'!$E$125:$E$131,MATCH($C$174+M188,'Inputs'!$C$125:$C$131,1))/100*(($C$174+M188)-INDEX('Inputs'!$C$125:$C$131,MATCH($C$174+M188,'Inputs'!$C$125:$C$131,1))))-$C$172)-$C$180),0)</f>
      </c>
      <c r="O188">
        <f>IF(I188&lt;$C$176,MAX(0,J188-N188),0)</f>
      </c>
      <c r="P188">
        <f>IF($C$179&lt;&gt;1,0,P187*(1+((1+$C$188)^(1/12)-1))^12-O187/12*(1+((1+$C$188)^(1/12)-1))*(((1+((1+$C$188)^(1/12)-1))^12-1)/((1+((1+$C$188)^(1/12)-1))-1)))</f>
      </c>
      <c r="Q188">
        <f>IF($C$179&lt;&gt;1,0,IFERROR((((1+($C$188+'Inputs'!$H$108/100))^(1/12)-1)-((1+$C$188)^(1/12)-1))*(P188*(((1+((1+$C$188)^(1/12)-1))^12-1)/((1+((1+$C$188)^(1/12)-1))-1))-O188/12/((1+((1+$C$188)^(1/12)-1))-1)*((1+((1+$C$188)^(1/12)-1))*(((1+((1+$C$188)^(1/12)-1))^12-1)/((1+((1+$C$188)^(1/12)-1))-1))-12)),0))</f>
      </c>
    </row>
    <row r="189" spans="9:17" x14ac:dyDescent="0.25">
      <c r="I189">
        <v>17</v>
      </c>
      <c r="J189">
        <f>IF(I189&lt;$C$176,12*$C$177*(1+$C$178)^I189,0)</f>
      </c>
      <c r="K189">
        <f>IF(J189&lt;=0,0,INDEX($E$170:$E$177,MATCH(J189,$F$170:$F$177,1))+(J189-INDEX($F$170:$F$177,MATCH(J189,$F$170:$F$177,1)))/INDEX($G$170:$G$177,MATCH(J189,$F$170:$F$177,1))-$C$174)</f>
      </c>
      <c r="L189">
        <f>MAX(0,L188*(1+'Inputs'!$C$122/100)-M188/12*(1+'Inputs'!$C$122/100)^(1/12)*'Inputs'!$C$122/100/((1+'Inputs'!$C$122/100)^(1/12)-1))</f>
      </c>
      <c r="M189">
        <f>IF(L189&gt;0.005,MIN(MAX(K189,'Inputs'!$H$115/100*L189),'Inputs'!$H$116/100*L189),0)</f>
      </c>
      <c r="N189">
        <f>IF(M189&gt;0,M189-(MAX(0,(INDEX('Inputs'!$D$125:$D$131,MATCH($C$174+M189,'Inputs'!$C$125:$C$131,1))+INDEX('Inputs'!$E$125:$E$131,MATCH($C$174+M189,'Inputs'!$C$125:$C$131,1))/100*(($C$174+M189)-INDEX('Inputs'!$C$125:$C$131,MATCH($C$174+M189,'Inputs'!$C$125:$C$131,1))))-$C$172)-$C$180),0)</f>
      </c>
      <c r="O189">
        <f>IF(I189&lt;$C$176,MAX(0,J189-N189),0)</f>
      </c>
      <c r="P189">
        <f>IF($C$179&lt;&gt;1,0,P188*(1+((1+$C$188)^(1/12)-1))^12-O188/12*(1+((1+$C$188)^(1/12)-1))*(((1+((1+$C$188)^(1/12)-1))^12-1)/((1+((1+$C$188)^(1/12)-1))-1)))</f>
      </c>
      <c r="Q189">
        <f>IF($C$179&lt;&gt;1,0,IFERROR((((1+($C$188+'Inputs'!$H$108/100))^(1/12)-1)-((1+$C$188)^(1/12)-1))*(P189*(((1+((1+$C$188)^(1/12)-1))^12-1)/((1+((1+$C$188)^(1/12)-1))-1))-O189/12/((1+((1+$C$188)^(1/12)-1))-1)*((1+((1+$C$188)^(1/12)-1))*(((1+((1+$C$188)^(1/12)-1))^12-1)/((1+((1+$C$188)^(1/12)-1))-1))-12)),0))</f>
      </c>
    </row>
    <row r="190" spans="9:17" x14ac:dyDescent="0.25">
      <c r="I190">
        <v>18</v>
      </c>
      <c r="J190">
        <f>IF(I190&lt;$C$176,12*$C$177*(1+$C$178)^I190,0)</f>
      </c>
      <c r="K190">
        <f>IF(J190&lt;=0,0,INDEX($E$170:$E$177,MATCH(J190,$F$170:$F$177,1))+(J190-INDEX($F$170:$F$177,MATCH(J190,$F$170:$F$177,1)))/INDEX($G$170:$G$177,MATCH(J190,$F$170:$F$177,1))-$C$174)</f>
      </c>
      <c r="L190">
        <f>MAX(0,L189*(1+'Inputs'!$C$122/100)-M189/12*(1+'Inputs'!$C$122/100)^(1/12)*'Inputs'!$C$122/100/((1+'Inputs'!$C$122/100)^(1/12)-1))</f>
      </c>
      <c r="M190">
        <f>IF(L190&gt;0.005,MIN(MAX(K190,'Inputs'!$H$115/100*L190),'Inputs'!$H$116/100*L190),0)</f>
      </c>
      <c r="N190">
        <f>IF(M190&gt;0,M190-(MAX(0,(INDEX('Inputs'!$D$125:$D$131,MATCH($C$174+M190,'Inputs'!$C$125:$C$131,1))+INDEX('Inputs'!$E$125:$E$131,MATCH($C$174+M190,'Inputs'!$C$125:$C$131,1))/100*(($C$174+M190)-INDEX('Inputs'!$C$125:$C$131,MATCH($C$174+M190,'Inputs'!$C$125:$C$131,1))))-$C$172)-$C$180),0)</f>
      </c>
      <c r="O190">
        <f>IF(I190&lt;$C$176,MAX(0,J190-N190),0)</f>
      </c>
      <c r="P190">
        <f>IF($C$179&lt;&gt;1,0,P189*(1+((1+$C$188)^(1/12)-1))^12-O189/12*(1+((1+$C$188)^(1/12)-1))*(((1+((1+$C$188)^(1/12)-1))^12-1)/((1+((1+$C$188)^(1/12)-1))-1)))</f>
      </c>
      <c r="Q190">
        <f>IF($C$179&lt;&gt;1,0,IFERROR((((1+($C$188+'Inputs'!$H$108/100))^(1/12)-1)-((1+$C$188)^(1/12)-1))*(P190*(((1+((1+$C$188)^(1/12)-1))^12-1)/((1+((1+$C$188)^(1/12)-1))-1))-O190/12/((1+((1+$C$188)^(1/12)-1))-1)*((1+((1+$C$188)^(1/12)-1))*(((1+((1+$C$188)^(1/12)-1))^12-1)/((1+((1+$C$188)^(1/12)-1))-1))-12)),0))</f>
      </c>
    </row>
    <row r="191" spans="9:17" x14ac:dyDescent="0.25">
      <c r="I191">
        <v>19</v>
      </c>
      <c r="J191">
        <f>IF(I191&lt;$C$176,12*$C$177*(1+$C$178)^I191,0)</f>
      </c>
      <c r="K191">
        <f>IF(J191&lt;=0,0,INDEX($E$170:$E$177,MATCH(J191,$F$170:$F$177,1))+(J191-INDEX($F$170:$F$177,MATCH(J191,$F$170:$F$177,1)))/INDEX($G$170:$G$177,MATCH(J191,$F$170:$F$177,1))-$C$174)</f>
      </c>
      <c r="L191">
        <f>MAX(0,L190*(1+'Inputs'!$C$122/100)-M190/12*(1+'Inputs'!$C$122/100)^(1/12)*'Inputs'!$C$122/100/((1+'Inputs'!$C$122/100)^(1/12)-1))</f>
      </c>
      <c r="M191">
        <f>IF(L191&gt;0.005,MIN(MAX(K191,'Inputs'!$H$115/100*L191),'Inputs'!$H$116/100*L191),0)</f>
      </c>
      <c r="N191">
        <f>IF(M191&gt;0,M191-(MAX(0,(INDEX('Inputs'!$D$125:$D$131,MATCH($C$174+M191,'Inputs'!$C$125:$C$131,1))+INDEX('Inputs'!$E$125:$E$131,MATCH($C$174+M191,'Inputs'!$C$125:$C$131,1))/100*(($C$174+M191)-INDEX('Inputs'!$C$125:$C$131,MATCH($C$174+M191,'Inputs'!$C$125:$C$131,1))))-$C$172)-$C$180),0)</f>
      </c>
      <c r="O191">
        <f>IF(I191&lt;$C$176,MAX(0,J191-N191),0)</f>
      </c>
      <c r="P191">
        <f>IF($C$179&lt;&gt;1,0,P190*(1+((1+$C$188)^(1/12)-1))^12-O190/12*(1+((1+$C$188)^(1/12)-1))*(((1+((1+$C$188)^(1/12)-1))^12-1)/((1+((1+$C$188)^(1/12)-1))-1)))</f>
      </c>
      <c r="Q191">
        <f>IF($C$179&lt;&gt;1,0,IFERROR((((1+($C$188+'Inputs'!$H$108/100))^(1/12)-1)-((1+$C$188)^(1/12)-1))*(P191*(((1+((1+$C$188)^(1/12)-1))^12-1)/((1+((1+$C$188)^(1/12)-1))-1))-O191/12/((1+((1+$C$188)^(1/12)-1))-1)*((1+((1+$C$188)^(1/12)-1))*(((1+((1+$C$188)^(1/12)-1))^12-1)/((1+((1+$C$188)^(1/12)-1))-1))-12)),0))</f>
      </c>
    </row>
    <row r="192" spans="9:17" x14ac:dyDescent="0.25">
      <c r="I192">
        <v>20</v>
      </c>
      <c r="J192">
        <f>IF(I192&lt;$C$176,12*$C$177*(1+$C$178)^I192,0)</f>
      </c>
      <c r="K192">
        <f>IF(J192&lt;=0,0,INDEX($E$170:$E$177,MATCH(J192,$F$170:$F$177,1))+(J192-INDEX($F$170:$F$177,MATCH(J192,$F$170:$F$177,1)))/INDEX($G$170:$G$177,MATCH(J192,$F$170:$F$177,1))-$C$174)</f>
      </c>
      <c r="L192">
        <f>MAX(0,L191*(1+'Inputs'!$C$122/100)-M191/12*(1+'Inputs'!$C$122/100)^(1/12)*'Inputs'!$C$122/100/((1+'Inputs'!$C$122/100)^(1/12)-1))</f>
      </c>
      <c r="M192">
        <f>IF(L192&gt;0.005,MIN(MAX(K192,'Inputs'!$H$115/100*L192),'Inputs'!$H$116/100*L192),0)</f>
      </c>
      <c r="N192">
        <f>IF(M192&gt;0,M192-(MAX(0,(INDEX('Inputs'!$D$125:$D$131,MATCH($C$174+M192,'Inputs'!$C$125:$C$131,1))+INDEX('Inputs'!$E$125:$E$131,MATCH($C$174+M192,'Inputs'!$C$125:$C$131,1))/100*(($C$174+M192)-INDEX('Inputs'!$C$125:$C$131,MATCH($C$174+M192,'Inputs'!$C$125:$C$131,1))))-$C$172)-$C$180),0)</f>
      </c>
      <c r="O192">
        <f>IF(I192&lt;$C$176,MAX(0,J192-N192),0)</f>
      </c>
      <c r="P192">
        <f>IF($C$179&lt;&gt;1,0,P191*(1+((1+$C$188)^(1/12)-1))^12-O191/12*(1+((1+$C$188)^(1/12)-1))*(((1+((1+$C$188)^(1/12)-1))^12-1)/((1+((1+$C$188)^(1/12)-1))-1)))</f>
      </c>
      <c r="Q192">
        <f>IF($C$179&lt;&gt;1,0,IFERROR((((1+($C$188+'Inputs'!$H$108/100))^(1/12)-1)-((1+$C$188)^(1/12)-1))*(P192*(((1+((1+$C$188)^(1/12)-1))^12-1)/((1+((1+$C$188)^(1/12)-1))-1))-O192/12/((1+((1+$C$188)^(1/12)-1))-1)*((1+((1+$C$188)^(1/12)-1))*(((1+((1+$C$188)^(1/12)-1))^12-1)/((1+((1+$C$188)^(1/12)-1))-1))-12)),0))</f>
      </c>
    </row>
    <row r="193" spans="9:17" x14ac:dyDescent="0.25">
      <c r="I193">
        <v>21</v>
      </c>
      <c r="J193">
        <f>IF(I193&lt;$C$176,12*$C$177*(1+$C$178)^I193,0)</f>
      </c>
      <c r="K193">
        <f>IF(J193&lt;=0,0,INDEX($E$170:$E$177,MATCH(J193,$F$170:$F$177,1))+(J193-INDEX($F$170:$F$177,MATCH(J193,$F$170:$F$177,1)))/INDEX($G$170:$G$177,MATCH(J193,$F$170:$F$177,1))-$C$174)</f>
      </c>
      <c r="L193">
        <f>MAX(0,L192*(1+'Inputs'!$C$122/100)-M192/12*(1+'Inputs'!$C$122/100)^(1/12)*'Inputs'!$C$122/100/((1+'Inputs'!$C$122/100)^(1/12)-1))</f>
      </c>
      <c r="M193">
        <f>IF(L193&gt;0.005,MIN(MAX(K193,'Inputs'!$H$115/100*L193),'Inputs'!$H$116/100*L193),0)</f>
      </c>
      <c r="N193">
        <f>IF(M193&gt;0,M193-(MAX(0,(INDEX('Inputs'!$D$125:$D$131,MATCH($C$174+M193,'Inputs'!$C$125:$C$131,1))+INDEX('Inputs'!$E$125:$E$131,MATCH($C$174+M193,'Inputs'!$C$125:$C$131,1))/100*(($C$174+M193)-INDEX('Inputs'!$C$125:$C$131,MATCH($C$174+M193,'Inputs'!$C$125:$C$131,1))))-$C$172)-$C$180),0)</f>
      </c>
      <c r="O193">
        <f>IF(I193&lt;$C$176,MAX(0,J193-N193),0)</f>
      </c>
      <c r="P193">
        <f>IF($C$179&lt;&gt;1,0,P192*(1+((1+$C$188)^(1/12)-1))^12-O192/12*(1+((1+$C$188)^(1/12)-1))*(((1+((1+$C$188)^(1/12)-1))^12-1)/((1+((1+$C$188)^(1/12)-1))-1)))</f>
      </c>
      <c r="Q193">
        <f>IF($C$179&lt;&gt;1,0,IFERROR((((1+($C$188+'Inputs'!$H$108/100))^(1/12)-1)-((1+$C$188)^(1/12)-1))*(P193*(((1+((1+$C$188)^(1/12)-1))^12-1)/((1+((1+$C$188)^(1/12)-1))-1))-O193/12/((1+((1+$C$188)^(1/12)-1))-1)*((1+((1+$C$188)^(1/12)-1))*(((1+((1+$C$188)^(1/12)-1))^12-1)/((1+((1+$C$188)^(1/12)-1))-1))-12)),0))</f>
      </c>
    </row>
    <row r="194" spans="9:17" x14ac:dyDescent="0.25">
      <c r="I194">
        <v>22</v>
      </c>
      <c r="J194">
        <f>IF(I194&lt;$C$176,12*$C$177*(1+$C$178)^I194,0)</f>
      </c>
      <c r="K194">
        <f>IF(J194&lt;=0,0,INDEX($E$170:$E$177,MATCH(J194,$F$170:$F$177,1))+(J194-INDEX($F$170:$F$177,MATCH(J194,$F$170:$F$177,1)))/INDEX($G$170:$G$177,MATCH(J194,$F$170:$F$177,1))-$C$174)</f>
      </c>
      <c r="L194">
        <f>MAX(0,L193*(1+'Inputs'!$C$122/100)-M193/12*(1+'Inputs'!$C$122/100)^(1/12)*'Inputs'!$C$122/100/((1+'Inputs'!$C$122/100)^(1/12)-1))</f>
      </c>
      <c r="M194">
        <f>IF(L194&gt;0.005,MIN(MAX(K194,'Inputs'!$H$115/100*L194),'Inputs'!$H$116/100*L194),0)</f>
      </c>
      <c r="N194">
        <f>IF(M194&gt;0,M194-(MAX(0,(INDEX('Inputs'!$D$125:$D$131,MATCH($C$174+M194,'Inputs'!$C$125:$C$131,1))+INDEX('Inputs'!$E$125:$E$131,MATCH($C$174+M194,'Inputs'!$C$125:$C$131,1))/100*(($C$174+M194)-INDEX('Inputs'!$C$125:$C$131,MATCH($C$174+M194,'Inputs'!$C$125:$C$131,1))))-$C$172)-$C$180),0)</f>
      </c>
      <c r="O194">
        <f>IF(I194&lt;$C$176,MAX(0,J194-N194),0)</f>
      </c>
      <c r="P194">
        <f>IF($C$179&lt;&gt;1,0,P193*(1+((1+$C$188)^(1/12)-1))^12-O193/12*(1+((1+$C$188)^(1/12)-1))*(((1+((1+$C$188)^(1/12)-1))^12-1)/((1+((1+$C$188)^(1/12)-1))-1)))</f>
      </c>
      <c r="Q194">
        <f>IF($C$179&lt;&gt;1,0,IFERROR((((1+($C$188+'Inputs'!$H$108/100))^(1/12)-1)-((1+$C$188)^(1/12)-1))*(P194*(((1+((1+$C$188)^(1/12)-1))^12-1)/((1+((1+$C$188)^(1/12)-1))-1))-O194/12/((1+((1+$C$188)^(1/12)-1))-1)*((1+((1+$C$188)^(1/12)-1))*(((1+((1+$C$188)^(1/12)-1))^12-1)/((1+((1+$C$188)^(1/12)-1))-1))-12)),0))</f>
      </c>
    </row>
    <row r="195" spans="9:17" x14ac:dyDescent="0.25">
      <c r="I195">
        <v>23</v>
      </c>
      <c r="J195">
        <f>IF(I195&lt;$C$176,12*$C$177*(1+$C$178)^I195,0)</f>
      </c>
      <c r="K195">
        <f>IF(J195&lt;=0,0,INDEX($E$170:$E$177,MATCH(J195,$F$170:$F$177,1))+(J195-INDEX($F$170:$F$177,MATCH(J195,$F$170:$F$177,1)))/INDEX($G$170:$G$177,MATCH(J195,$F$170:$F$177,1))-$C$174)</f>
      </c>
      <c r="L195">
        <f>MAX(0,L194*(1+'Inputs'!$C$122/100)-M194/12*(1+'Inputs'!$C$122/100)^(1/12)*'Inputs'!$C$122/100/((1+'Inputs'!$C$122/100)^(1/12)-1))</f>
      </c>
      <c r="M195">
        <f>IF(L195&gt;0.005,MIN(MAX(K195,'Inputs'!$H$115/100*L195),'Inputs'!$H$116/100*L195),0)</f>
      </c>
      <c r="N195">
        <f>IF(M195&gt;0,M195-(MAX(0,(INDEX('Inputs'!$D$125:$D$131,MATCH($C$174+M195,'Inputs'!$C$125:$C$131,1))+INDEX('Inputs'!$E$125:$E$131,MATCH($C$174+M195,'Inputs'!$C$125:$C$131,1))/100*(($C$174+M195)-INDEX('Inputs'!$C$125:$C$131,MATCH($C$174+M195,'Inputs'!$C$125:$C$131,1))))-$C$172)-$C$180),0)</f>
      </c>
      <c r="O195">
        <f>IF(I195&lt;$C$176,MAX(0,J195-N195),0)</f>
      </c>
      <c r="P195">
        <f>IF($C$179&lt;&gt;1,0,P194*(1+((1+$C$188)^(1/12)-1))^12-O194/12*(1+((1+$C$188)^(1/12)-1))*(((1+((1+$C$188)^(1/12)-1))^12-1)/((1+((1+$C$188)^(1/12)-1))-1)))</f>
      </c>
      <c r="Q195">
        <f>IF($C$179&lt;&gt;1,0,IFERROR((((1+($C$188+'Inputs'!$H$108/100))^(1/12)-1)-((1+$C$188)^(1/12)-1))*(P195*(((1+((1+$C$188)^(1/12)-1))^12-1)/((1+((1+$C$188)^(1/12)-1))-1))-O195/12/((1+((1+$C$188)^(1/12)-1))-1)*((1+((1+$C$188)^(1/12)-1))*(((1+((1+$C$188)^(1/12)-1))^12-1)/((1+((1+$C$188)^(1/12)-1))-1))-12)),0))</f>
      </c>
    </row>
    <row r="196" spans="9:17" x14ac:dyDescent="0.25">
      <c r="I196">
        <v>24</v>
      </c>
      <c r="J196">
        <f>IF(I196&lt;$C$176,12*$C$177*(1+$C$178)^I196,0)</f>
      </c>
      <c r="K196">
        <f>IF(J196&lt;=0,0,INDEX($E$170:$E$177,MATCH(J196,$F$170:$F$177,1))+(J196-INDEX($F$170:$F$177,MATCH(J196,$F$170:$F$177,1)))/INDEX($G$170:$G$177,MATCH(J196,$F$170:$F$177,1))-$C$174)</f>
      </c>
      <c r="L196">
        <f>MAX(0,L195*(1+'Inputs'!$C$122/100)-M195/12*(1+'Inputs'!$C$122/100)^(1/12)*'Inputs'!$C$122/100/((1+'Inputs'!$C$122/100)^(1/12)-1))</f>
      </c>
      <c r="M196">
        <f>IF(L196&gt;0.005,MIN(MAX(K196,'Inputs'!$H$115/100*L196),'Inputs'!$H$116/100*L196),0)</f>
      </c>
      <c r="N196">
        <f>IF(M196&gt;0,M196-(MAX(0,(INDEX('Inputs'!$D$125:$D$131,MATCH($C$174+M196,'Inputs'!$C$125:$C$131,1))+INDEX('Inputs'!$E$125:$E$131,MATCH($C$174+M196,'Inputs'!$C$125:$C$131,1))/100*(($C$174+M196)-INDEX('Inputs'!$C$125:$C$131,MATCH($C$174+M196,'Inputs'!$C$125:$C$131,1))))-$C$172)-$C$180),0)</f>
      </c>
      <c r="O196">
        <f>IF(I196&lt;$C$176,MAX(0,J196-N196),0)</f>
      </c>
      <c r="P196">
        <f>IF($C$179&lt;&gt;1,0,P195*(1+((1+$C$188)^(1/12)-1))^12-O195/12*(1+((1+$C$188)^(1/12)-1))*(((1+((1+$C$188)^(1/12)-1))^12-1)/((1+((1+$C$188)^(1/12)-1))-1)))</f>
      </c>
      <c r="Q196">
        <f>IF($C$179&lt;&gt;1,0,IFERROR((((1+($C$188+'Inputs'!$H$108/100))^(1/12)-1)-((1+$C$188)^(1/12)-1))*(P196*(((1+((1+$C$188)^(1/12)-1))^12-1)/((1+((1+$C$188)^(1/12)-1))-1))-O196/12/((1+((1+$C$188)^(1/12)-1))-1)*((1+((1+$C$188)^(1/12)-1))*(((1+((1+$C$188)^(1/12)-1))^12-1)/((1+((1+$C$188)^(1/12)-1))-1))-12)),0))</f>
      </c>
    </row>
    <row r="197" spans="9:17" x14ac:dyDescent="0.25">
      <c r="I197">
        <v>25</v>
      </c>
      <c r="J197">
        <f>IF(I197&lt;$C$176,12*$C$177*(1+$C$178)^I197,0)</f>
      </c>
      <c r="K197">
        <f>IF(J197&lt;=0,0,INDEX($E$170:$E$177,MATCH(J197,$F$170:$F$177,1))+(J197-INDEX($F$170:$F$177,MATCH(J197,$F$170:$F$177,1)))/INDEX($G$170:$G$177,MATCH(J197,$F$170:$F$177,1))-$C$174)</f>
      </c>
      <c r="L197">
        <f>MAX(0,L196*(1+'Inputs'!$C$122/100)-M196/12*(1+'Inputs'!$C$122/100)^(1/12)*'Inputs'!$C$122/100/((1+'Inputs'!$C$122/100)^(1/12)-1))</f>
      </c>
      <c r="M197">
        <f>IF(L197&gt;0.005,MIN(MAX(K197,'Inputs'!$H$115/100*L197),'Inputs'!$H$116/100*L197),0)</f>
      </c>
      <c r="N197">
        <f>IF(M197&gt;0,M197-(MAX(0,(INDEX('Inputs'!$D$125:$D$131,MATCH($C$174+M197,'Inputs'!$C$125:$C$131,1))+INDEX('Inputs'!$E$125:$E$131,MATCH($C$174+M197,'Inputs'!$C$125:$C$131,1))/100*(($C$174+M197)-INDEX('Inputs'!$C$125:$C$131,MATCH($C$174+M197,'Inputs'!$C$125:$C$131,1))))-$C$172)-$C$180),0)</f>
      </c>
      <c r="O197">
        <f>IF(I197&lt;$C$176,MAX(0,J197-N197),0)</f>
      </c>
      <c r="P197">
        <f>IF($C$179&lt;&gt;1,0,P196*(1+((1+$C$188)^(1/12)-1))^12-O196/12*(1+((1+$C$188)^(1/12)-1))*(((1+((1+$C$188)^(1/12)-1))^12-1)/((1+((1+$C$188)^(1/12)-1))-1)))</f>
      </c>
      <c r="Q197">
        <f>IF($C$179&lt;&gt;1,0,IFERROR((((1+($C$188+'Inputs'!$H$108/100))^(1/12)-1)-((1+$C$188)^(1/12)-1))*(P197*(((1+((1+$C$188)^(1/12)-1))^12-1)/((1+((1+$C$188)^(1/12)-1))-1))-O197/12/((1+((1+$C$188)^(1/12)-1))-1)*((1+((1+$C$188)^(1/12)-1))*(((1+((1+$C$188)^(1/12)-1))^12-1)/((1+((1+$C$188)^(1/12)-1))-1))-12)),0))</f>
      </c>
    </row>
    <row r="198" spans="9:17" x14ac:dyDescent="0.25">
      <c r="I198">
        <v>26</v>
      </c>
      <c r="J198">
        <f>IF(I198&lt;$C$176,12*$C$177*(1+$C$178)^I198,0)</f>
      </c>
      <c r="K198">
        <f>IF(J198&lt;=0,0,INDEX($E$170:$E$177,MATCH(J198,$F$170:$F$177,1))+(J198-INDEX($F$170:$F$177,MATCH(J198,$F$170:$F$177,1)))/INDEX($G$170:$G$177,MATCH(J198,$F$170:$F$177,1))-$C$174)</f>
      </c>
      <c r="L198">
        <f>MAX(0,L197*(1+'Inputs'!$C$122/100)-M197/12*(1+'Inputs'!$C$122/100)^(1/12)*'Inputs'!$C$122/100/((1+'Inputs'!$C$122/100)^(1/12)-1))</f>
      </c>
      <c r="M198">
        <f>IF(L198&gt;0.005,MIN(MAX(K198,'Inputs'!$H$115/100*L198),'Inputs'!$H$116/100*L198),0)</f>
      </c>
      <c r="N198">
        <f>IF(M198&gt;0,M198-(MAX(0,(INDEX('Inputs'!$D$125:$D$131,MATCH($C$174+M198,'Inputs'!$C$125:$C$131,1))+INDEX('Inputs'!$E$125:$E$131,MATCH($C$174+M198,'Inputs'!$C$125:$C$131,1))/100*(($C$174+M198)-INDEX('Inputs'!$C$125:$C$131,MATCH($C$174+M198,'Inputs'!$C$125:$C$131,1))))-$C$172)-$C$180),0)</f>
      </c>
      <c r="O198">
        <f>IF(I198&lt;$C$176,MAX(0,J198-N198),0)</f>
      </c>
      <c r="P198">
        <f>IF($C$179&lt;&gt;1,0,P197*(1+((1+$C$188)^(1/12)-1))^12-O197/12*(1+((1+$C$188)^(1/12)-1))*(((1+((1+$C$188)^(1/12)-1))^12-1)/((1+((1+$C$188)^(1/12)-1))-1)))</f>
      </c>
      <c r="Q198">
        <f>IF($C$179&lt;&gt;1,0,IFERROR((((1+($C$188+'Inputs'!$H$108/100))^(1/12)-1)-((1+$C$188)^(1/12)-1))*(P198*(((1+((1+$C$188)^(1/12)-1))^12-1)/((1+((1+$C$188)^(1/12)-1))-1))-O198/12/((1+((1+$C$188)^(1/12)-1))-1)*((1+((1+$C$188)^(1/12)-1))*(((1+((1+$C$188)^(1/12)-1))^12-1)/((1+((1+$C$188)^(1/12)-1))-1))-12)),0))</f>
      </c>
    </row>
    <row r="199" spans="9:17" x14ac:dyDescent="0.25">
      <c r="I199">
        <v>27</v>
      </c>
      <c r="J199">
        <f>IF(I199&lt;$C$176,12*$C$177*(1+$C$178)^I199,0)</f>
      </c>
      <c r="K199">
        <f>IF(J199&lt;=0,0,INDEX($E$170:$E$177,MATCH(J199,$F$170:$F$177,1))+(J199-INDEX($F$170:$F$177,MATCH(J199,$F$170:$F$177,1)))/INDEX($G$170:$G$177,MATCH(J199,$F$170:$F$177,1))-$C$174)</f>
      </c>
      <c r="L199">
        <f>MAX(0,L198*(1+'Inputs'!$C$122/100)-M198/12*(1+'Inputs'!$C$122/100)^(1/12)*'Inputs'!$C$122/100/((1+'Inputs'!$C$122/100)^(1/12)-1))</f>
      </c>
      <c r="M199">
        <f>IF(L199&gt;0.005,MIN(MAX(K199,'Inputs'!$H$115/100*L199),'Inputs'!$H$116/100*L199),0)</f>
      </c>
      <c r="N199">
        <f>IF(M199&gt;0,M199-(MAX(0,(INDEX('Inputs'!$D$125:$D$131,MATCH($C$174+M199,'Inputs'!$C$125:$C$131,1))+INDEX('Inputs'!$E$125:$E$131,MATCH($C$174+M199,'Inputs'!$C$125:$C$131,1))/100*(($C$174+M199)-INDEX('Inputs'!$C$125:$C$131,MATCH($C$174+M199,'Inputs'!$C$125:$C$131,1))))-$C$172)-$C$180),0)</f>
      </c>
      <c r="O199">
        <f>IF(I199&lt;$C$176,MAX(0,J199-N199),0)</f>
      </c>
      <c r="P199">
        <f>IF($C$179&lt;&gt;1,0,P198*(1+((1+$C$188)^(1/12)-1))^12-O198/12*(1+((1+$C$188)^(1/12)-1))*(((1+((1+$C$188)^(1/12)-1))^12-1)/((1+((1+$C$188)^(1/12)-1))-1)))</f>
      </c>
      <c r="Q199">
        <f>IF($C$179&lt;&gt;1,0,IFERROR((((1+($C$188+'Inputs'!$H$108/100))^(1/12)-1)-((1+$C$188)^(1/12)-1))*(P199*(((1+((1+$C$188)^(1/12)-1))^12-1)/((1+((1+$C$188)^(1/12)-1))-1))-O199/12/((1+((1+$C$188)^(1/12)-1))-1)*((1+((1+$C$188)^(1/12)-1))*(((1+((1+$C$188)^(1/12)-1))^12-1)/((1+((1+$C$188)^(1/12)-1))-1))-12)),0))</f>
      </c>
    </row>
    <row r="200" spans="9:17" x14ac:dyDescent="0.25">
      <c r="I200">
        <v>28</v>
      </c>
      <c r="J200">
        <f>IF(I200&lt;$C$176,12*$C$177*(1+$C$178)^I200,0)</f>
      </c>
      <c r="K200">
        <f>IF(J200&lt;=0,0,INDEX($E$170:$E$177,MATCH(J200,$F$170:$F$177,1))+(J200-INDEX($F$170:$F$177,MATCH(J200,$F$170:$F$177,1)))/INDEX($G$170:$G$177,MATCH(J200,$F$170:$F$177,1))-$C$174)</f>
      </c>
      <c r="L200">
        <f>MAX(0,L199*(1+'Inputs'!$C$122/100)-M199/12*(1+'Inputs'!$C$122/100)^(1/12)*'Inputs'!$C$122/100/((1+'Inputs'!$C$122/100)^(1/12)-1))</f>
      </c>
      <c r="M200">
        <f>IF(L200&gt;0.005,MIN(MAX(K200,'Inputs'!$H$115/100*L200),'Inputs'!$H$116/100*L200),0)</f>
      </c>
      <c r="N200">
        <f>IF(M200&gt;0,M200-(MAX(0,(INDEX('Inputs'!$D$125:$D$131,MATCH($C$174+M200,'Inputs'!$C$125:$C$131,1))+INDEX('Inputs'!$E$125:$E$131,MATCH($C$174+M200,'Inputs'!$C$125:$C$131,1))/100*(($C$174+M200)-INDEX('Inputs'!$C$125:$C$131,MATCH($C$174+M200,'Inputs'!$C$125:$C$131,1))))-$C$172)-$C$180),0)</f>
      </c>
      <c r="O200">
        <f>IF(I200&lt;$C$176,MAX(0,J200-N200),0)</f>
      </c>
      <c r="P200">
        <f>IF($C$179&lt;&gt;1,0,P199*(1+((1+$C$188)^(1/12)-1))^12-O199/12*(1+((1+$C$188)^(1/12)-1))*(((1+((1+$C$188)^(1/12)-1))^12-1)/((1+((1+$C$188)^(1/12)-1))-1)))</f>
      </c>
      <c r="Q200">
        <f>IF($C$179&lt;&gt;1,0,IFERROR((((1+($C$188+'Inputs'!$H$108/100))^(1/12)-1)-((1+$C$188)^(1/12)-1))*(P200*(((1+((1+$C$188)^(1/12)-1))^12-1)/((1+((1+$C$188)^(1/12)-1))-1))-O200/12/((1+((1+$C$188)^(1/12)-1))-1)*((1+((1+$C$188)^(1/12)-1))*(((1+((1+$C$188)^(1/12)-1))^12-1)/((1+((1+$C$188)^(1/12)-1))-1))-12)),0))</f>
      </c>
    </row>
    <row r="201" spans="9:17" x14ac:dyDescent="0.25">
      <c r="I201">
        <v>29</v>
      </c>
      <c r="J201">
        <f>IF(I201&lt;$C$176,12*$C$177*(1+$C$178)^I201,0)</f>
      </c>
      <c r="K201">
        <f>IF(J201&lt;=0,0,INDEX($E$170:$E$177,MATCH(J201,$F$170:$F$177,1))+(J201-INDEX($F$170:$F$177,MATCH(J201,$F$170:$F$177,1)))/INDEX($G$170:$G$177,MATCH(J201,$F$170:$F$177,1))-$C$174)</f>
      </c>
      <c r="L201">
        <f>MAX(0,L200*(1+'Inputs'!$C$122/100)-M200/12*(1+'Inputs'!$C$122/100)^(1/12)*'Inputs'!$C$122/100/((1+'Inputs'!$C$122/100)^(1/12)-1))</f>
      </c>
      <c r="M201">
        <f>IF(L201&gt;0.005,MIN(MAX(K201,'Inputs'!$H$115/100*L201),'Inputs'!$H$116/100*L201),0)</f>
      </c>
      <c r="N201">
        <f>IF(M201&gt;0,M201-(MAX(0,(INDEX('Inputs'!$D$125:$D$131,MATCH($C$174+M201,'Inputs'!$C$125:$C$131,1))+INDEX('Inputs'!$E$125:$E$131,MATCH($C$174+M201,'Inputs'!$C$125:$C$131,1))/100*(($C$174+M201)-INDEX('Inputs'!$C$125:$C$131,MATCH($C$174+M201,'Inputs'!$C$125:$C$131,1))))-$C$172)-$C$180),0)</f>
      </c>
      <c r="O201">
        <f>IF(I201&lt;$C$176,MAX(0,J201-N201),0)</f>
      </c>
      <c r="P201">
        <f>IF($C$179&lt;&gt;1,0,P200*(1+((1+$C$188)^(1/12)-1))^12-O200/12*(1+((1+$C$188)^(1/12)-1))*(((1+((1+$C$188)^(1/12)-1))^12-1)/((1+((1+$C$188)^(1/12)-1))-1)))</f>
      </c>
      <c r="Q201">
        <f>IF($C$179&lt;&gt;1,0,IFERROR((((1+($C$188+'Inputs'!$H$108/100))^(1/12)-1)-((1+$C$188)^(1/12)-1))*(P201*(((1+((1+$C$188)^(1/12)-1))^12-1)/((1+((1+$C$188)^(1/12)-1))-1))-O201/12/((1+((1+$C$188)^(1/12)-1))-1)*((1+((1+$C$188)^(1/12)-1))*(((1+((1+$C$188)^(1/12)-1))^12-1)/((1+((1+$C$188)^(1/12)-1))-1))-12)),0))</f>
      </c>
    </row>
    <row r="202" spans="9:17" x14ac:dyDescent="0.25">
      <c r="I202">
        <v>30</v>
      </c>
      <c r="J202">
        <f>IF(I202&lt;$C$176,12*$C$177*(1+$C$178)^I202,0)</f>
      </c>
      <c r="K202">
        <f>IF(J202&lt;=0,0,INDEX($E$170:$E$177,MATCH(J202,$F$170:$F$177,1))+(J202-INDEX($F$170:$F$177,MATCH(J202,$F$170:$F$177,1)))/INDEX($G$170:$G$177,MATCH(J202,$F$170:$F$177,1))-$C$174)</f>
      </c>
      <c r="L202">
        <f>MAX(0,L201*(1+'Inputs'!$C$122/100)-M201/12*(1+'Inputs'!$C$122/100)^(1/12)*'Inputs'!$C$122/100/((1+'Inputs'!$C$122/100)^(1/12)-1))</f>
      </c>
      <c r="M202">
        <f>IF(L202&gt;0.005,MIN(MAX(K202,'Inputs'!$H$115/100*L202),'Inputs'!$H$116/100*L202),0)</f>
      </c>
      <c r="N202">
        <f>IF(M202&gt;0,M202-(MAX(0,(INDEX('Inputs'!$D$125:$D$131,MATCH($C$174+M202,'Inputs'!$C$125:$C$131,1))+INDEX('Inputs'!$E$125:$E$131,MATCH($C$174+M202,'Inputs'!$C$125:$C$131,1))/100*(($C$174+M202)-INDEX('Inputs'!$C$125:$C$131,MATCH($C$174+M202,'Inputs'!$C$125:$C$131,1))))-$C$172)-$C$180),0)</f>
      </c>
      <c r="O202">
        <f>IF(I202&lt;$C$176,MAX(0,J202-N202),0)</f>
      </c>
      <c r="P202">
        <f>IF($C$179&lt;&gt;1,0,P201*(1+((1+$C$188)^(1/12)-1))^12-O201/12*(1+((1+$C$188)^(1/12)-1))*(((1+((1+$C$188)^(1/12)-1))^12-1)/((1+((1+$C$188)^(1/12)-1))-1)))</f>
      </c>
      <c r="Q202">
        <f>IF($C$179&lt;&gt;1,0,IFERROR((((1+($C$188+'Inputs'!$H$108/100))^(1/12)-1)-((1+$C$188)^(1/12)-1))*(P202*(((1+((1+$C$188)^(1/12)-1))^12-1)/((1+((1+$C$188)^(1/12)-1))-1))-O202/12/((1+((1+$C$188)^(1/12)-1))-1)*((1+((1+$C$188)^(1/12)-1))*(((1+((1+$C$188)^(1/12)-1))^12-1)/((1+((1+$C$188)^(1/12)-1))-1))-12)),0))</f>
      </c>
    </row>
    <row r="203" spans="9:17" x14ac:dyDescent="0.25">
      <c r="I203">
        <v>31</v>
      </c>
      <c r="J203">
        <f>IF(I203&lt;$C$176,12*$C$177*(1+$C$178)^I203,0)</f>
      </c>
      <c r="K203">
        <f>IF(J203&lt;=0,0,INDEX($E$170:$E$177,MATCH(J203,$F$170:$F$177,1))+(J203-INDEX($F$170:$F$177,MATCH(J203,$F$170:$F$177,1)))/INDEX($G$170:$G$177,MATCH(J203,$F$170:$F$177,1))-$C$174)</f>
      </c>
      <c r="L203">
        <f>MAX(0,L202*(1+'Inputs'!$C$122/100)-M202/12*(1+'Inputs'!$C$122/100)^(1/12)*'Inputs'!$C$122/100/((1+'Inputs'!$C$122/100)^(1/12)-1))</f>
      </c>
      <c r="M203">
        <f>IF(L203&gt;0.005,MIN(MAX(K203,'Inputs'!$H$115/100*L203),'Inputs'!$H$116/100*L203),0)</f>
      </c>
      <c r="N203">
        <f>IF(M203&gt;0,M203-(MAX(0,(INDEX('Inputs'!$D$125:$D$131,MATCH($C$174+M203,'Inputs'!$C$125:$C$131,1))+INDEX('Inputs'!$E$125:$E$131,MATCH($C$174+M203,'Inputs'!$C$125:$C$131,1))/100*(($C$174+M203)-INDEX('Inputs'!$C$125:$C$131,MATCH($C$174+M203,'Inputs'!$C$125:$C$131,1))))-$C$172)-$C$180),0)</f>
      </c>
      <c r="O203">
        <f>IF(I203&lt;$C$176,MAX(0,J203-N203),0)</f>
      </c>
      <c r="P203">
        <f>IF($C$179&lt;&gt;1,0,P202*(1+((1+$C$188)^(1/12)-1))^12-O202/12*(1+((1+$C$188)^(1/12)-1))*(((1+((1+$C$188)^(1/12)-1))^12-1)/((1+((1+$C$188)^(1/12)-1))-1)))</f>
      </c>
      <c r="Q203">
        <f>IF($C$179&lt;&gt;1,0,IFERROR((((1+($C$188+'Inputs'!$H$108/100))^(1/12)-1)-((1+$C$188)^(1/12)-1))*(P203*(((1+((1+$C$188)^(1/12)-1))^12-1)/((1+((1+$C$188)^(1/12)-1))-1))-O203/12/((1+((1+$C$188)^(1/12)-1))-1)*((1+((1+$C$188)^(1/12)-1))*(((1+((1+$C$188)^(1/12)-1))^12-1)/((1+((1+$C$188)^(1/12)-1))-1))-12)),0))</f>
      </c>
    </row>
    <row r="204" spans="9:17" x14ac:dyDescent="0.25">
      <c r="I204">
        <v>32</v>
      </c>
      <c r="J204">
        <f>IF(I204&lt;$C$176,12*$C$177*(1+$C$178)^I204,0)</f>
      </c>
      <c r="K204">
        <f>IF(J204&lt;=0,0,INDEX($E$170:$E$177,MATCH(J204,$F$170:$F$177,1))+(J204-INDEX($F$170:$F$177,MATCH(J204,$F$170:$F$177,1)))/INDEX($G$170:$G$177,MATCH(J204,$F$170:$F$177,1))-$C$174)</f>
      </c>
      <c r="L204">
        <f>MAX(0,L203*(1+'Inputs'!$C$122/100)-M203/12*(1+'Inputs'!$C$122/100)^(1/12)*'Inputs'!$C$122/100/((1+'Inputs'!$C$122/100)^(1/12)-1))</f>
      </c>
      <c r="M204">
        <f>IF(L204&gt;0.005,MIN(MAX(K204,'Inputs'!$H$115/100*L204),'Inputs'!$H$116/100*L204),0)</f>
      </c>
      <c r="N204">
        <f>IF(M204&gt;0,M204-(MAX(0,(INDEX('Inputs'!$D$125:$D$131,MATCH($C$174+M204,'Inputs'!$C$125:$C$131,1))+INDEX('Inputs'!$E$125:$E$131,MATCH($C$174+M204,'Inputs'!$C$125:$C$131,1))/100*(($C$174+M204)-INDEX('Inputs'!$C$125:$C$131,MATCH($C$174+M204,'Inputs'!$C$125:$C$131,1))))-$C$172)-$C$180),0)</f>
      </c>
      <c r="O204">
        <f>IF(I204&lt;$C$176,MAX(0,J204-N204),0)</f>
      </c>
      <c r="P204">
        <f>IF($C$179&lt;&gt;1,0,P203*(1+((1+$C$188)^(1/12)-1))^12-O203/12*(1+((1+$C$188)^(1/12)-1))*(((1+((1+$C$188)^(1/12)-1))^12-1)/((1+((1+$C$188)^(1/12)-1))-1)))</f>
      </c>
      <c r="Q204">
        <f>IF($C$179&lt;&gt;1,0,IFERROR((((1+($C$188+'Inputs'!$H$108/100))^(1/12)-1)-((1+$C$188)^(1/12)-1))*(P204*(((1+((1+$C$188)^(1/12)-1))^12-1)/((1+((1+$C$188)^(1/12)-1))-1))-O204/12/((1+((1+$C$188)^(1/12)-1))-1)*((1+((1+$C$188)^(1/12)-1))*(((1+((1+$C$188)^(1/12)-1))^12-1)/((1+((1+$C$188)^(1/12)-1))-1))-12)),0))</f>
      </c>
    </row>
    <row r="205" spans="9:17" x14ac:dyDescent="0.25">
      <c r="I205">
        <v>33</v>
      </c>
      <c r="J205">
        <f>IF(I205&lt;$C$176,12*$C$177*(1+$C$178)^I205,0)</f>
      </c>
      <c r="K205">
        <f>IF(J205&lt;=0,0,INDEX($E$170:$E$177,MATCH(J205,$F$170:$F$177,1))+(J205-INDEX($F$170:$F$177,MATCH(J205,$F$170:$F$177,1)))/INDEX($G$170:$G$177,MATCH(J205,$F$170:$F$177,1))-$C$174)</f>
      </c>
      <c r="L205">
        <f>MAX(0,L204*(1+'Inputs'!$C$122/100)-M204/12*(1+'Inputs'!$C$122/100)^(1/12)*'Inputs'!$C$122/100/((1+'Inputs'!$C$122/100)^(1/12)-1))</f>
      </c>
      <c r="M205">
        <f>IF(L205&gt;0.005,MIN(MAX(K205,'Inputs'!$H$115/100*L205),'Inputs'!$H$116/100*L205),0)</f>
      </c>
      <c r="N205">
        <f>IF(M205&gt;0,M205-(MAX(0,(INDEX('Inputs'!$D$125:$D$131,MATCH($C$174+M205,'Inputs'!$C$125:$C$131,1))+INDEX('Inputs'!$E$125:$E$131,MATCH($C$174+M205,'Inputs'!$C$125:$C$131,1))/100*(($C$174+M205)-INDEX('Inputs'!$C$125:$C$131,MATCH($C$174+M205,'Inputs'!$C$125:$C$131,1))))-$C$172)-$C$180),0)</f>
      </c>
      <c r="O205">
        <f>IF(I205&lt;$C$176,MAX(0,J205-N205),0)</f>
      </c>
      <c r="P205">
        <f>IF($C$179&lt;&gt;1,0,P204*(1+((1+$C$188)^(1/12)-1))^12-O204/12*(1+((1+$C$188)^(1/12)-1))*(((1+((1+$C$188)^(1/12)-1))^12-1)/((1+((1+$C$188)^(1/12)-1))-1)))</f>
      </c>
      <c r="Q205">
        <f>IF($C$179&lt;&gt;1,0,IFERROR((((1+($C$188+'Inputs'!$H$108/100))^(1/12)-1)-((1+$C$188)^(1/12)-1))*(P205*(((1+((1+$C$188)^(1/12)-1))^12-1)/((1+((1+$C$188)^(1/12)-1))-1))-O205/12/((1+((1+$C$188)^(1/12)-1))-1)*((1+((1+$C$188)^(1/12)-1))*(((1+((1+$C$188)^(1/12)-1))^12-1)/((1+((1+$C$188)^(1/12)-1))-1))-12)),0))</f>
      </c>
    </row>
    <row r="206" spans="9:17" x14ac:dyDescent="0.25">
      <c r="I206">
        <v>34</v>
      </c>
      <c r="J206">
        <f>IF(I206&lt;$C$176,12*$C$177*(1+$C$178)^I206,0)</f>
      </c>
      <c r="K206">
        <f>IF(J206&lt;=0,0,INDEX($E$170:$E$177,MATCH(J206,$F$170:$F$177,1))+(J206-INDEX($F$170:$F$177,MATCH(J206,$F$170:$F$177,1)))/INDEX($G$170:$G$177,MATCH(J206,$F$170:$F$177,1))-$C$174)</f>
      </c>
      <c r="L206">
        <f>MAX(0,L205*(1+'Inputs'!$C$122/100)-M205/12*(1+'Inputs'!$C$122/100)^(1/12)*'Inputs'!$C$122/100/((1+'Inputs'!$C$122/100)^(1/12)-1))</f>
      </c>
      <c r="M206">
        <f>IF(L206&gt;0.005,MIN(MAX(K206,'Inputs'!$H$115/100*L206),'Inputs'!$H$116/100*L206),0)</f>
      </c>
      <c r="N206">
        <f>IF(M206&gt;0,M206-(MAX(0,(INDEX('Inputs'!$D$125:$D$131,MATCH($C$174+M206,'Inputs'!$C$125:$C$131,1))+INDEX('Inputs'!$E$125:$E$131,MATCH($C$174+M206,'Inputs'!$C$125:$C$131,1))/100*(($C$174+M206)-INDEX('Inputs'!$C$125:$C$131,MATCH($C$174+M206,'Inputs'!$C$125:$C$131,1))))-$C$172)-$C$180),0)</f>
      </c>
      <c r="O206">
        <f>IF(I206&lt;$C$176,MAX(0,J206-N206),0)</f>
      </c>
      <c r="P206">
        <f>IF($C$179&lt;&gt;1,0,P205*(1+((1+$C$188)^(1/12)-1))^12-O205/12*(1+((1+$C$188)^(1/12)-1))*(((1+((1+$C$188)^(1/12)-1))^12-1)/((1+((1+$C$188)^(1/12)-1))-1)))</f>
      </c>
      <c r="Q206">
        <f>IF($C$179&lt;&gt;1,0,IFERROR((((1+($C$188+'Inputs'!$H$108/100))^(1/12)-1)-((1+$C$188)^(1/12)-1))*(P206*(((1+((1+$C$188)^(1/12)-1))^12-1)/((1+((1+$C$188)^(1/12)-1))-1))-O206/12/((1+((1+$C$188)^(1/12)-1))-1)*((1+((1+$C$188)^(1/12)-1))*(((1+((1+$C$188)^(1/12)-1))^12-1)/((1+((1+$C$188)^(1/12)-1))-1))-12)),0))</f>
      </c>
    </row>
    <row r="207" spans="9:17" x14ac:dyDescent="0.25">
      <c r="I207">
        <v>35</v>
      </c>
      <c r="J207">
        <f>IF(I207&lt;$C$176,12*$C$177*(1+$C$178)^I207,0)</f>
      </c>
      <c r="K207">
        <f>IF(J207&lt;=0,0,INDEX($E$170:$E$177,MATCH(J207,$F$170:$F$177,1))+(J207-INDEX($F$170:$F$177,MATCH(J207,$F$170:$F$177,1)))/INDEX($G$170:$G$177,MATCH(J207,$F$170:$F$177,1))-$C$174)</f>
      </c>
      <c r="L207">
        <f>MAX(0,L206*(1+'Inputs'!$C$122/100)-M206/12*(1+'Inputs'!$C$122/100)^(1/12)*'Inputs'!$C$122/100/((1+'Inputs'!$C$122/100)^(1/12)-1))</f>
      </c>
      <c r="M207">
        <f>IF(L207&gt;0.005,MIN(MAX(K207,'Inputs'!$H$115/100*L207),'Inputs'!$H$116/100*L207),0)</f>
      </c>
      <c r="N207">
        <f>IF(M207&gt;0,M207-(MAX(0,(INDEX('Inputs'!$D$125:$D$131,MATCH($C$174+M207,'Inputs'!$C$125:$C$131,1))+INDEX('Inputs'!$E$125:$E$131,MATCH($C$174+M207,'Inputs'!$C$125:$C$131,1))/100*(($C$174+M207)-INDEX('Inputs'!$C$125:$C$131,MATCH($C$174+M207,'Inputs'!$C$125:$C$131,1))))-$C$172)-$C$180),0)</f>
      </c>
      <c r="O207">
        <f>IF(I207&lt;$C$176,MAX(0,J207-N207),0)</f>
      </c>
      <c r="P207">
        <f>IF($C$179&lt;&gt;1,0,P206*(1+((1+$C$188)^(1/12)-1))^12-O206/12*(1+((1+$C$188)^(1/12)-1))*(((1+((1+$C$188)^(1/12)-1))^12-1)/((1+((1+$C$188)^(1/12)-1))-1)))</f>
      </c>
      <c r="Q207">
        <f>IF($C$179&lt;&gt;1,0,IFERROR((((1+($C$188+'Inputs'!$H$108/100))^(1/12)-1)-((1+$C$188)^(1/12)-1))*(P207*(((1+((1+$C$188)^(1/12)-1))^12-1)/((1+((1+$C$188)^(1/12)-1))-1))-O207/12/((1+((1+$C$188)^(1/12)-1))-1)*((1+((1+$C$188)^(1/12)-1))*(((1+((1+$C$188)^(1/12)-1))^12-1)/((1+((1+$C$188)^(1/12)-1))-1))-12)),0))</f>
      </c>
    </row>
    <row r="208" spans="9:17" x14ac:dyDescent="0.25">
      <c r="I208">
        <v>36</v>
      </c>
      <c r="J208">
        <f>IF(I208&lt;$C$176,12*$C$177*(1+$C$178)^I208,0)</f>
      </c>
      <c r="K208">
        <f>IF(J208&lt;=0,0,INDEX($E$170:$E$177,MATCH(J208,$F$170:$F$177,1))+(J208-INDEX($F$170:$F$177,MATCH(J208,$F$170:$F$177,1)))/INDEX($G$170:$G$177,MATCH(J208,$F$170:$F$177,1))-$C$174)</f>
      </c>
      <c r="L208">
        <f>MAX(0,L207*(1+'Inputs'!$C$122/100)-M207/12*(1+'Inputs'!$C$122/100)^(1/12)*'Inputs'!$C$122/100/((1+'Inputs'!$C$122/100)^(1/12)-1))</f>
      </c>
      <c r="M208">
        <f>IF(L208&gt;0.005,MIN(MAX(K208,'Inputs'!$H$115/100*L208),'Inputs'!$H$116/100*L208),0)</f>
      </c>
      <c r="N208">
        <f>IF(M208&gt;0,M208-(MAX(0,(INDEX('Inputs'!$D$125:$D$131,MATCH($C$174+M208,'Inputs'!$C$125:$C$131,1))+INDEX('Inputs'!$E$125:$E$131,MATCH($C$174+M208,'Inputs'!$C$125:$C$131,1))/100*(($C$174+M208)-INDEX('Inputs'!$C$125:$C$131,MATCH($C$174+M208,'Inputs'!$C$125:$C$131,1))))-$C$172)-$C$180),0)</f>
      </c>
      <c r="O208">
        <f>IF(I208&lt;$C$176,MAX(0,J208-N208),0)</f>
      </c>
      <c r="P208">
        <f>IF($C$179&lt;&gt;1,0,P207*(1+((1+$C$188)^(1/12)-1))^12-O207/12*(1+((1+$C$188)^(1/12)-1))*(((1+((1+$C$188)^(1/12)-1))^12-1)/((1+((1+$C$188)^(1/12)-1))-1)))</f>
      </c>
      <c r="Q208">
        <f>IF($C$179&lt;&gt;1,0,IFERROR((((1+($C$188+'Inputs'!$H$108/100))^(1/12)-1)-((1+$C$188)^(1/12)-1))*(P208*(((1+((1+$C$188)^(1/12)-1))^12-1)/((1+((1+$C$188)^(1/12)-1))-1))-O208/12/((1+((1+$C$188)^(1/12)-1))-1)*((1+((1+$C$188)^(1/12)-1))*(((1+((1+$C$188)^(1/12)-1))^12-1)/((1+((1+$C$188)^(1/12)-1))-1))-12)),0))</f>
      </c>
    </row>
    <row r="209" spans="9:17" x14ac:dyDescent="0.25">
      <c r="I209">
        <v>37</v>
      </c>
      <c r="J209">
        <f>IF(I209&lt;$C$176,12*$C$177*(1+$C$178)^I209,0)</f>
      </c>
      <c r="K209">
        <f>IF(J209&lt;=0,0,INDEX($E$170:$E$177,MATCH(J209,$F$170:$F$177,1))+(J209-INDEX($F$170:$F$177,MATCH(J209,$F$170:$F$177,1)))/INDEX($G$170:$G$177,MATCH(J209,$F$170:$F$177,1))-$C$174)</f>
      </c>
      <c r="L209">
        <f>MAX(0,L208*(1+'Inputs'!$C$122/100)-M208/12*(1+'Inputs'!$C$122/100)^(1/12)*'Inputs'!$C$122/100/((1+'Inputs'!$C$122/100)^(1/12)-1))</f>
      </c>
      <c r="M209">
        <f>IF(L209&gt;0.005,MIN(MAX(K209,'Inputs'!$H$115/100*L209),'Inputs'!$H$116/100*L209),0)</f>
      </c>
      <c r="N209">
        <f>IF(M209&gt;0,M209-(MAX(0,(INDEX('Inputs'!$D$125:$D$131,MATCH($C$174+M209,'Inputs'!$C$125:$C$131,1))+INDEX('Inputs'!$E$125:$E$131,MATCH($C$174+M209,'Inputs'!$C$125:$C$131,1))/100*(($C$174+M209)-INDEX('Inputs'!$C$125:$C$131,MATCH($C$174+M209,'Inputs'!$C$125:$C$131,1))))-$C$172)-$C$180),0)</f>
      </c>
      <c r="O209">
        <f>IF(I209&lt;$C$176,MAX(0,J209-N209),0)</f>
      </c>
      <c r="P209">
        <f>IF($C$179&lt;&gt;1,0,P208*(1+((1+$C$188)^(1/12)-1))^12-O208/12*(1+((1+$C$188)^(1/12)-1))*(((1+((1+$C$188)^(1/12)-1))^12-1)/((1+((1+$C$188)^(1/12)-1))-1)))</f>
      </c>
      <c r="Q209">
        <f>IF($C$179&lt;&gt;1,0,IFERROR((((1+($C$188+'Inputs'!$H$108/100))^(1/12)-1)-((1+$C$188)^(1/12)-1))*(P209*(((1+((1+$C$188)^(1/12)-1))^12-1)/((1+((1+$C$188)^(1/12)-1))-1))-O209/12/((1+((1+$C$188)^(1/12)-1))-1)*((1+((1+$C$188)^(1/12)-1))*(((1+((1+$C$188)^(1/12)-1))^12-1)/((1+((1+$C$188)^(1/12)-1))-1))-12)),0))</f>
      </c>
    </row>
    <row r="210" spans="9:17" x14ac:dyDescent="0.25">
      <c r="I210">
        <v>38</v>
      </c>
      <c r="J210">
        <f>IF(I210&lt;$C$176,12*$C$177*(1+$C$178)^I210,0)</f>
      </c>
      <c r="K210">
        <f>IF(J210&lt;=0,0,INDEX($E$170:$E$177,MATCH(J210,$F$170:$F$177,1))+(J210-INDEX($F$170:$F$177,MATCH(J210,$F$170:$F$177,1)))/INDEX($G$170:$G$177,MATCH(J210,$F$170:$F$177,1))-$C$174)</f>
      </c>
      <c r="L210">
        <f>MAX(0,L209*(1+'Inputs'!$C$122/100)-M209/12*(1+'Inputs'!$C$122/100)^(1/12)*'Inputs'!$C$122/100/((1+'Inputs'!$C$122/100)^(1/12)-1))</f>
      </c>
      <c r="M210">
        <f>IF(L210&gt;0.005,MIN(MAX(K210,'Inputs'!$H$115/100*L210),'Inputs'!$H$116/100*L210),0)</f>
      </c>
      <c r="N210">
        <f>IF(M210&gt;0,M210-(MAX(0,(INDEX('Inputs'!$D$125:$D$131,MATCH($C$174+M210,'Inputs'!$C$125:$C$131,1))+INDEX('Inputs'!$E$125:$E$131,MATCH($C$174+M210,'Inputs'!$C$125:$C$131,1))/100*(($C$174+M210)-INDEX('Inputs'!$C$125:$C$131,MATCH($C$174+M210,'Inputs'!$C$125:$C$131,1))))-$C$172)-$C$180),0)</f>
      </c>
      <c r="O210">
        <f>IF(I210&lt;$C$176,MAX(0,J210-N210),0)</f>
      </c>
      <c r="P210">
        <f>IF($C$179&lt;&gt;1,0,P209*(1+((1+$C$188)^(1/12)-1))^12-O209/12*(1+((1+$C$188)^(1/12)-1))*(((1+((1+$C$188)^(1/12)-1))^12-1)/((1+((1+$C$188)^(1/12)-1))-1)))</f>
      </c>
      <c r="Q210">
        <f>IF($C$179&lt;&gt;1,0,IFERROR((((1+($C$188+'Inputs'!$H$108/100))^(1/12)-1)-((1+$C$188)^(1/12)-1))*(P210*(((1+((1+$C$188)^(1/12)-1))^12-1)/((1+((1+$C$188)^(1/12)-1))-1))-O210/12/((1+((1+$C$188)^(1/12)-1))-1)*((1+((1+$C$188)^(1/12)-1))*(((1+((1+$C$188)^(1/12)-1))^12-1)/((1+((1+$C$188)^(1/12)-1))-1))-12)),0))</f>
      </c>
    </row>
    <row r="211" spans="9:17" x14ac:dyDescent="0.25">
      <c r="I211">
        <v>39</v>
      </c>
      <c r="J211">
        <f>IF(I211&lt;$C$176,12*$C$177*(1+$C$178)^I211,0)</f>
      </c>
      <c r="K211">
        <f>IF(J211&lt;=0,0,INDEX($E$170:$E$177,MATCH(J211,$F$170:$F$177,1))+(J211-INDEX($F$170:$F$177,MATCH(J211,$F$170:$F$177,1)))/INDEX($G$170:$G$177,MATCH(J211,$F$170:$F$177,1))-$C$174)</f>
      </c>
      <c r="L211">
        <f>MAX(0,L210*(1+'Inputs'!$C$122/100)-M210/12*(1+'Inputs'!$C$122/100)^(1/12)*'Inputs'!$C$122/100/((1+'Inputs'!$C$122/100)^(1/12)-1))</f>
      </c>
      <c r="M211">
        <f>IF(L211&gt;0.005,MIN(MAX(K211,'Inputs'!$H$115/100*L211),'Inputs'!$H$116/100*L211),0)</f>
      </c>
      <c r="N211">
        <f>IF(M211&gt;0,M211-(MAX(0,(INDEX('Inputs'!$D$125:$D$131,MATCH($C$174+M211,'Inputs'!$C$125:$C$131,1))+INDEX('Inputs'!$E$125:$E$131,MATCH($C$174+M211,'Inputs'!$C$125:$C$131,1))/100*(($C$174+M211)-INDEX('Inputs'!$C$125:$C$131,MATCH($C$174+M211,'Inputs'!$C$125:$C$131,1))))-$C$172)-$C$180),0)</f>
      </c>
      <c r="O211">
        <f>IF(I211&lt;$C$176,MAX(0,J211-N211),0)</f>
      </c>
      <c r="P211">
        <f>IF($C$179&lt;&gt;1,0,P210*(1+((1+$C$188)^(1/12)-1))^12-O210/12*(1+((1+$C$188)^(1/12)-1))*(((1+((1+$C$188)^(1/12)-1))^12-1)/((1+((1+$C$188)^(1/12)-1))-1)))</f>
      </c>
      <c r="Q211">
        <f>IF($C$179&lt;&gt;1,0,IFERROR((((1+($C$188+'Inputs'!$H$108/100))^(1/12)-1)-((1+$C$188)^(1/12)-1))*(P211*(((1+((1+$C$188)^(1/12)-1))^12-1)/((1+((1+$C$188)^(1/12)-1))-1))-O211/12/((1+((1+$C$188)^(1/12)-1))-1)*((1+((1+$C$188)^(1/12)-1))*(((1+((1+$C$188)^(1/12)-1))^12-1)/((1+((1+$C$188)^(1/12)-1))-1))-12)),0))</f>
      </c>
    </row>
    <row r="212" spans="9:17" x14ac:dyDescent="0.25">
      <c r="I212">
        <v>40</v>
      </c>
      <c r="J212">
        <f>IF(I212&lt;$C$176,12*$C$177*(1+$C$178)^I212,0)</f>
      </c>
      <c r="K212">
        <f>IF(J212&lt;=0,0,INDEX($E$170:$E$177,MATCH(J212,$F$170:$F$177,1))+(J212-INDEX($F$170:$F$177,MATCH(J212,$F$170:$F$177,1)))/INDEX($G$170:$G$177,MATCH(J212,$F$170:$F$177,1))-$C$174)</f>
      </c>
      <c r="L212">
        <f>MAX(0,L211*(1+'Inputs'!$C$122/100)-M211/12*(1+'Inputs'!$C$122/100)^(1/12)*'Inputs'!$C$122/100/((1+'Inputs'!$C$122/100)^(1/12)-1))</f>
      </c>
      <c r="M212">
        <f>IF(L212&gt;0.005,MIN(MAX(K212,'Inputs'!$H$115/100*L212),'Inputs'!$H$116/100*L212),0)</f>
      </c>
      <c r="N212">
        <f>IF(M212&gt;0,M212-(MAX(0,(INDEX('Inputs'!$D$125:$D$131,MATCH($C$174+M212,'Inputs'!$C$125:$C$131,1))+INDEX('Inputs'!$E$125:$E$131,MATCH($C$174+M212,'Inputs'!$C$125:$C$131,1))/100*(($C$174+M212)-INDEX('Inputs'!$C$125:$C$131,MATCH($C$174+M212,'Inputs'!$C$125:$C$131,1))))-$C$172)-$C$180),0)</f>
      </c>
      <c r="O212">
        <f>IF(I212&lt;$C$176,MAX(0,J212-N212),0)</f>
      </c>
      <c r="P212">
        <f>IF($C$179&lt;&gt;1,0,P211*(1+((1+$C$188)^(1/12)-1))^12-O211/12*(1+((1+$C$188)^(1/12)-1))*(((1+((1+$C$188)^(1/12)-1))^12-1)/((1+((1+$C$188)^(1/12)-1))-1)))</f>
      </c>
      <c r="Q212">
        <f>IF($C$179&lt;&gt;1,0,IFERROR((((1+($C$188+'Inputs'!$H$108/100))^(1/12)-1)-((1+$C$188)^(1/12)-1))*(P212*(((1+((1+$C$188)^(1/12)-1))^12-1)/((1+((1+$C$188)^(1/12)-1))-1))-O212/12/((1+((1+$C$188)^(1/12)-1))-1)*((1+((1+$C$188)^(1/12)-1))*(((1+((1+$C$188)^(1/12)-1))^12-1)/((1+((1+$C$188)^(1/12)-1))-1))-12)),0))</f>
      </c>
    </row>
    <row r="213" spans="9:17" x14ac:dyDescent="0.25">
      <c r="I213">
        <v>41</v>
      </c>
      <c r="J213">
        <f>IF(I213&lt;$C$176,12*$C$177*(1+$C$178)^I213,0)</f>
      </c>
      <c r="K213">
        <f>IF(J213&lt;=0,0,INDEX($E$170:$E$177,MATCH(J213,$F$170:$F$177,1))+(J213-INDEX($F$170:$F$177,MATCH(J213,$F$170:$F$177,1)))/INDEX($G$170:$G$177,MATCH(J213,$F$170:$F$177,1))-$C$174)</f>
      </c>
      <c r="L213">
        <f>MAX(0,L212*(1+'Inputs'!$C$122/100)-M212/12*(1+'Inputs'!$C$122/100)^(1/12)*'Inputs'!$C$122/100/((1+'Inputs'!$C$122/100)^(1/12)-1))</f>
      </c>
      <c r="M213">
        <f>IF(L213&gt;0.005,MIN(MAX(K213,'Inputs'!$H$115/100*L213),'Inputs'!$H$116/100*L213),0)</f>
      </c>
      <c r="N213">
        <f>IF(M213&gt;0,M213-(MAX(0,(INDEX('Inputs'!$D$125:$D$131,MATCH($C$174+M213,'Inputs'!$C$125:$C$131,1))+INDEX('Inputs'!$E$125:$E$131,MATCH($C$174+M213,'Inputs'!$C$125:$C$131,1))/100*(($C$174+M213)-INDEX('Inputs'!$C$125:$C$131,MATCH($C$174+M213,'Inputs'!$C$125:$C$131,1))))-$C$172)-$C$180),0)</f>
      </c>
      <c r="O213">
        <f>IF(I213&lt;$C$176,MAX(0,J213-N213),0)</f>
      </c>
      <c r="P213">
        <f>IF($C$179&lt;&gt;1,0,P212*(1+((1+$C$188)^(1/12)-1))^12-O212/12*(1+((1+$C$188)^(1/12)-1))*(((1+((1+$C$188)^(1/12)-1))^12-1)/((1+((1+$C$188)^(1/12)-1))-1)))</f>
      </c>
      <c r="Q213">
        <f>IF($C$179&lt;&gt;1,0,IFERROR((((1+($C$188+'Inputs'!$H$108/100))^(1/12)-1)-((1+$C$188)^(1/12)-1))*(P213*(((1+((1+$C$188)^(1/12)-1))^12-1)/((1+((1+$C$188)^(1/12)-1))-1))-O213/12/((1+((1+$C$188)^(1/12)-1))-1)*((1+((1+$C$188)^(1/12)-1))*(((1+((1+$C$188)^(1/12)-1))^12-1)/((1+((1+$C$188)^(1/12)-1))-1))-12)),0))</f>
      </c>
    </row>
    <row r="214" spans="9:17" x14ac:dyDescent="0.25">
      <c r="I214">
        <v>42</v>
      </c>
      <c r="J214">
        <f>IF(I214&lt;$C$176,12*$C$177*(1+$C$178)^I214,0)</f>
      </c>
      <c r="K214">
        <f>IF(J214&lt;=0,0,INDEX($E$170:$E$177,MATCH(J214,$F$170:$F$177,1))+(J214-INDEX($F$170:$F$177,MATCH(J214,$F$170:$F$177,1)))/INDEX($G$170:$G$177,MATCH(J214,$F$170:$F$177,1))-$C$174)</f>
      </c>
      <c r="L214">
        <f>MAX(0,L213*(1+'Inputs'!$C$122/100)-M213/12*(1+'Inputs'!$C$122/100)^(1/12)*'Inputs'!$C$122/100/((1+'Inputs'!$C$122/100)^(1/12)-1))</f>
      </c>
      <c r="M214">
        <f>IF(L214&gt;0.005,MIN(MAX(K214,'Inputs'!$H$115/100*L214),'Inputs'!$H$116/100*L214),0)</f>
      </c>
      <c r="N214">
        <f>IF(M214&gt;0,M214-(MAX(0,(INDEX('Inputs'!$D$125:$D$131,MATCH($C$174+M214,'Inputs'!$C$125:$C$131,1))+INDEX('Inputs'!$E$125:$E$131,MATCH($C$174+M214,'Inputs'!$C$125:$C$131,1))/100*(($C$174+M214)-INDEX('Inputs'!$C$125:$C$131,MATCH($C$174+M214,'Inputs'!$C$125:$C$131,1))))-$C$172)-$C$180),0)</f>
      </c>
      <c r="O214">
        <f>IF(I214&lt;$C$176,MAX(0,J214-N214),0)</f>
      </c>
      <c r="P214">
        <f>IF($C$179&lt;&gt;1,0,P213*(1+((1+$C$188)^(1/12)-1))^12-O213/12*(1+((1+$C$188)^(1/12)-1))*(((1+((1+$C$188)^(1/12)-1))^12-1)/((1+((1+$C$188)^(1/12)-1))-1)))</f>
      </c>
      <c r="Q214">
        <f>IF($C$179&lt;&gt;1,0,IFERROR((((1+($C$188+'Inputs'!$H$108/100))^(1/12)-1)-((1+$C$188)^(1/12)-1))*(P214*(((1+((1+$C$188)^(1/12)-1))^12-1)/((1+((1+$C$188)^(1/12)-1))-1))-O214/12/((1+((1+$C$188)^(1/12)-1))-1)*((1+((1+$C$188)^(1/12)-1))*(((1+((1+$C$188)^(1/12)-1))^12-1)/((1+((1+$C$188)^(1/12)-1))-1))-12)),0))</f>
      </c>
    </row>
    <row r="215" spans="9:17" x14ac:dyDescent="0.25">
      <c r="I215">
        <v>43</v>
      </c>
      <c r="J215">
        <f>IF(I215&lt;$C$176,12*$C$177*(1+$C$178)^I215,0)</f>
      </c>
      <c r="K215">
        <f>IF(J215&lt;=0,0,INDEX($E$170:$E$177,MATCH(J215,$F$170:$F$177,1))+(J215-INDEX($F$170:$F$177,MATCH(J215,$F$170:$F$177,1)))/INDEX($G$170:$G$177,MATCH(J215,$F$170:$F$177,1))-$C$174)</f>
      </c>
      <c r="L215">
        <f>MAX(0,L214*(1+'Inputs'!$C$122/100)-M214/12*(1+'Inputs'!$C$122/100)^(1/12)*'Inputs'!$C$122/100/((1+'Inputs'!$C$122/100)^(1/12)-1))</f>
      </c>
      <c r="M215">
        <f>IF(L215&gt;0.005,MIN(MAX(K215,'Inputs'!$H$115/100*L215),'Inputs'!$H$116/100*L215),0)</f>
      </c>
      <c r="N215">
        <f>IF(M215&gt;0,M215-(MAX(0,(INDEX('Inputs'!$D$125:$D$131,MATCH($C$174+M215,'Inputs'!$C$125:$C$131,1))+INDEX('Inputs'!$E$125:$E$131,MATCH($C$174+M215,'Inputs'!$C$125:$C$131,1))/100*(($C$174+M215)-INDEX('Inputs'!$C$125:$C$131,MATCH($C$174+M215,'Inputs'!$C$125:$C$131,1))))-$C$172)-$C$180),0)</f>
      </c>
      <c r="O215">
        <f>IF(I215&lt;$C$176,MAX(0,J215-N215),0)</f>
      </c>
      <c r="P215">
        <f>IF($C$179&lt;&gt;1,0,P214*(1+((1+$C$188)^(1/12)-1))^12-O214/12*(1+((1+$C$188)^(1/12)-1))*(((1+((1+$C$188)^(1/12)-1))^12-1)/((1+((1+$C$188)^(1/12)-1))-1)))</f>
      </c>
      <c r="Q215">
        <f>IF($C$179&lt;&gt;1,0,IFERROR((((1+($C$188+'Inputs'!$H$108/100))^(1/12)-1)-((1+$C$188)^(1/12)-1))*(P215*(((1+((1+$C$188)^(1/12)-1))^12-1)/((1+((1+$C$188)^(1/12)-1))-1))-O215/12/((1+((1+$C$188)^(1/12)-1))-1)*((1+((1+$C$188)^(1/12)-1))*(((1+((1+$C$188)^(1/12)-1))^12-1)/((1+((1+$C$188)^(1/12)-1))-1))-12)),0))</f>
      </c>
    </row>
    <row r="216" spans="9:17" x14ac:dyDescent="0.25">
      <c r="I216">
        <v>44</v>
      </c>
      <c r="J216">
        <f>IF(I216&lt;$C$176,12*$C$177*(1+$C$178)^I216,0)</f>
      </c>
      <c r="K216">
        <f>IF(J216&lt;=0,0,INDEX($E$170:$E$177,MATCH(J216,$F$170:$F$177,1))+(J216-INDEX($F$170:$F$177,MATCH(J216,$F$170:$F$177,1)))/INDEX($G$170:$G$177,MATCH(J216,$F$170:$F$177,1))-$C$174)</f>
      </c>
      <c r="L216">
        <f>MAX(0,L215*(1+'Inputs'!$C$122/100)-M215/12*(1+'Inputs'!$C$122/100)^(1/12)*'Inputs'!$C$122/100/((1+'Inputs'!$C$122/100)^(1/12)-1))</f>
      </c>
      <c r="M216">
        <f>IF(L216&gt;0.005,MIN(MAX(K216,'Inputs'!$H$115/100*L216),'Inputs'!$H$116/100*L216),0)</f>
      </c>
      <c r="N216">
        <f>IF(M216&gt;0,M216-(MAX(0,(INDEX('Inputs'!$D$125:$D$131,MATCH($C$174+M216,'Inputs'!$C$125:$C$131,1))+INDEX('Inputs'!$E$125:$E$131,MATCH($C$174+M216,'Inputs'!$C$125:$C$131,1))/100*(($C$174+M216)-INDEX('Inputs'!$C$125:$C$131,MATCH($C$174+M216,'Inputs'!$C$125:$C$131,1))))-$C$172)-$C$180),0)</f>
      </c>
      <c r="O216">
        <f>IF(I216&lt;$C$176,MAX(0,J216-N216),0)</f>
      </c>
      <c r="P216">
        <f>IF($C$179&lt;&gt;1,0,P215*(1+((1+$C$188)^(1/12)-1))^12-O215/12*(1+((1+$C$188)^(1/12)-1))*(((1+((1+$C$188)^(1/12)-1))^12-1)/((1+((1+$C$188)^(1/12)-1))-1)))</f>
      </c>
      <c r="Q216">
        <f>IF($C$179&lt;&gt;1,0,IFERROR((((1+($C$188+'Inputs'!$H$108/100))^(1/12)-1)-((1+$C$188)^(1/12)-1))*(P216*(((1+((1+$C$188)^(1/12)-1))^12-1)/((1+((1+$C$188)^(1/12)-1))-1))-O216/12/((1+((1+$C$188)^(1/12)-1))-1)*((1+((1+$C$188)^(1/12)-1))*(((1+((1+$C$188)^(1/12)-1))^12-1)/((1+((1+$C$188)^(1/12)-1))-1))-12)),0))</f>
      </c>
    </row>
    <row r="217" spans="9:17" x14ac:dyDescent="0.25">
      <c r="I217">
        <v>45</v>
      </c>
      <c r="J217">
        <f>IF(I217&lt;$C$176,12*$C$177*(1+$C$178)^I217,0)</f>
      </c>
      <c r="K217">
        <f>IF(J217&lt;=0,0,INDEX($E$170:$E$177,MATCH(J217,$F$170:$F$177,1))+(J217-INDEX($F$170:$F$177,MATCH(J217,$F$170:$F$177,1)))/INDEX($G$170:$G$177,MATCH(J217,$F$170:$F$177,1))-$C$174)</f>
      </c>
      <c r="L217">
        <f>MAX(0,L216*(1+'Inputs'!$C$122/100)-M216/12*(1+'Inputs'!$C$122/100)^(1/12)*'Inputs'!$C$122/100/((1+'Inputs'!$C$122/100)^(1/12)-1))</f>
      </c>
      <c r="M217">
        <f>IF(L217&gt;0.005,MIN(MAX(K217,'Inputs'!$H$115/100*L217),'Inputs'!$H$116/100*L217),0)</f>
      </c>
      <c r="N217">
        <f>IF(M217&gt;0,M217-(MAX(0,(INDEX('Inputs'!$D$125:$D$131,MATCH($C$174+M217,'Inputs'!$C$125:$C$131,1))+INDEX('Inputs'!$E$125:$E$131,MATCH($C$174+M217,'Inputs'!$C$125:$C$131,1))/100*(($C$174+M217)-INDEX('Inputs'!$C$125:$C$131,MATCH($C$174+M217,'Inputs'!$C$125:$C$131,1))))-$C$172)-$C$180),0)</f>
      </c>
      <c r="O217">
        <f>IF(I217&lt;$C$176,MAX(0,J217-N217),0)</f>
      </c>
      <c r="P217">
        <f>IF($C$179&lt;&gt;1,0,P216*(1+((1+$C$188)^(1/12)-1))^12-O216/12*(1+((1+$C$188)^(1/12)-1))*(((1+((1+$C$188)^(1/12)-1))^12-1)/((1+((1+$C$188)^(1/12)-1))-1)))</f>
      </c>
      <c r="Q217">
        <f>IF($C$179&lt;&gt;1,0,IFERROR((((1+($C$188+'Inputs'!$H$108/100))^(1/12)-1)-((1+$C$188)^(1/12)-1))*(P217*(((1+((1+$C$188)^(1/12)-1))^12-1)/((1+((1+$C$188)^(1/12)-1))-1))-O217/12/((1+((1+$C$188)^(1/12)-1))-1)*((1+((1+$C$188)^(1/12)-1))*(((1+((1+$C$188)^(1/12)-1))^12-1)/((1+((1+$C$188)^(1/12)-1))-1))-12)),0))</f>
      </c>
    </row>
    <row r="218" spans="9:17" x14ac:dyDescent="0.25">
      <c r="I218">
        <v>46</v>
      </c>
      <c r="J218">
        <f>IF(I218&lt;$C$176,12*$C$177*(1+$C$178)^I218,0)</f>
      </c>
      <c r="K218">
        <f>IF(J218&lt;=0,0,INDEX($E$170:$E$177,MATCH(J218,$F$170:$F$177,1))+(J218-INDEX($F$170:$F$177,MATCH(J218,$F$170:$F$177,1)))/INDEX($G$170:$G$177,MATCH(J218,$F$170:$F$177,1))-$C$174)</f>
      </c>
      <c r="L218">
        <f>MAX(0,L217*(1+'Inputs'!$C$122/100)-M217/12*(1+'Inputs'!$C$122/100)^(1/12)*'Inputs'!$C$122/100/((1+'Inputs'!$C$122/100)^(1/12)-1))</f>
      </c>
      <c r="M218">
        <f>IF(L218&gt;0.005,MIN(MAX(K218,'Inputs'!$H$115/100*L218),'Inputs'!$H$116/100*L218),0)</f>
      </c>
      <c r="N218">
        <f>IF(M218&gt;0,M218-(MAX(0,(INDEX('Inputs'!$D$125:$D$131,MATCH($C$174+M218,'Inputs'!$C$125:$C$131,1))+INDEX('Inputs'!$E$125:$E$131,MATCH($C$174+M218,'Inputs'!$C$125:$C$131,1))/100*(($C$174+M218)-INDEX('Inputs'!$C$125:$C$131,MATCH($C$174+M218,'Inputs'!$C$125:$C$131,1))))-$C$172)-$C$180),0)</f>
      </c>
      <c r="O218">
        <f>IF(I218&lt;$C$176,MAX(0,J218-N218),0)</f>
      </c>
      <c r="P218">
        <f>IF($C$179&lt;&gt;1,0,P217*(1+((1+$C$188)^(1/12)-1))^12-O217/12*(1+((1+$C$188)^(1/12)-1))*(((1+((1+$C$188)^(1/12)-1))^12-1)/((1+((1+$C$188)^(1/12)-1))-1)))</f>
      </c>
      <c r="Q218">
        <f>IF($C$179&lt;&gt;1,0,IFERROR((((1+($C$188+'Inputs'!$H$108/100))^(1/12)-1)-((1+$C$188)^(1/12)-1))*(P218*(((1+((1+$C$188)^(1/12)-1))^12-1)/((1+((1+$C$188)^(1/12)-1))-1))-O218/12/((1+((1+$C$188)^(1/12)-1))-1)*((1+((1+$C$188)^(1/12)-1))*(((1+((1+$C$188)^(1/12)-1))^12-1)/((1+((1+$C$188)^(1/12)-1))-1))-12)),0))</f>
      </c>
    </row>
    <row r="219" spans="9:17" x14ac:dyDescent="0.25">
      <c r="I219">
        <v>47</v>
      </c>
      <c r="J219">
        <f>IF(I219&lt;$C$176,12*$C$177*(1+$C$178)^I219,0)</f>
      </c>
      <c r="K219">
        <f>IF(J219&lt;=0,0,INDEX($E$170:$E$177,MATCH(J219,$F$170:$F$177,1))+(J219-INDEX($F$170:$F$177,MATCH(J219,$F$170:$F$177,1)))/INDEX($G$170:$G$177,MATCH(J219,$F$170:$F$177,1))-$C$174)</f>
      </c>
      <c r="L219">
        <f>MAX(0,L218*(1+'Inputs'!$C$122/100)-M218/12*(1+'Inputs'!$C$122/100)^(1/12)*'Inputs'!$C$122/100/((1+'Inputs'!$C$122/100)^(1/12)-1))</f>
      </c>
      <c r="M219">
        <f>IF(L219&gt;0.005,MIN(MAX(K219,'Inputs'!$H$115/100*L219),'Inputs'!$H$116/100*L219),0)</f>
      </c>
      <c r="N219">
        <f>IF(M219&gt;0,M219-(MAX(0,(INDEX('Inputs'!$D$125:$D$131,MATCH($C$174+M219,'Inputs'!$C$125:$C$131,1))+INDEX('Inputs'!$E$125:$E$131,MATCH($C$174+M219,'Inputs'!$C$125:$C$131,1))/100*(($C$174+M219)-INDEX('Inputs'!$C$125:$C$131,MATCH($C$174+M219,'Inputs'!$C$125:$C$131,1))))-$C$172)-$C$180),0)</f>
      </c>
      <c r="O219">
        <f>IF(I219&lt;$C$176,MAX(0,J219-N219),0)</f>
      </c>
      <c r="P219">
        <f>IF($C$179&lt;&gt;1,0,P218*(1+((1+$C$188)^(1/12)-1))^12-O218/12*(1+((1+$C$188)^(1/12)-1))*(((1+((1+$C$188)^(1/12)-1))^12-1)/((1+((1+$C$188)^(1/12)-1))-1)))</f>
      </c>
      <c r="Q219">
        <f>IF($C$179&lt;&gt;1,0,IFERROR((((1+($C$188+'Inputs'!$H$108/100))^(1/12)-1)-((1+$C$188)^(1/12)-1))*(P219*(((1+((1+$C$188)^(1/12)-1))^12-1)/((1+((1+$C$188)^(1/12)-1))-1))-O219/12/((1+((1+$C$188)^(1/12)-1))-1)*((1+((1+$C$188)^(1/12)-1))*(((1+((1+$C$188)^(1/12)-1))^12-1)/((1+((1+$C$188)^(1/12)-1))-1))-12)),0))</f>
      </c>
    </row>
    <row r="220" spans="9:17" x14ac:dyDescent="0.25">
      <c r="I220">
        <v>48</v>
      </c>
      <c r="J220">
        <f>IF(I220&lt;$C$176,12*$C$177*(1+$C$178)^I220,0)</f>
      </c>
      <c r="K220">
        <f>IF(J220&lt;=0,0,INDEX($E$170:$E$177,MATCH(J220,$F$170:$F$177,1))+(J220-INDEX($F$170:$F$177,MATCH(J220,$F$170:$F$177,1)))/INDEX($G$170:$G$177,MATCH(J220,$F$170:$F$177,1))-$C$174)</f>
      </c>
      <c r="L220">
        <f>MAX(0,L219*(1+'Inputs'!$C$122/100)-M219/12*(1+'Inputs'!$C$122/100)^(1/12)*'Inputs'!$C$122/100/((1+'Inputs'!$C$122/100)^(1/12)-1))</f>
      </c>
      <c r="M220">
        <f>IF(L220&gt;0.005,MIN(MAX(K220,'Inputs'!$H$115/100*L220),'Inputs'!$H$116/100*L220),0)</f>
      </c>
      <c r="N220">
        <f>IF(M220&gt;0,M220-(MAX(0,(INDEX('Inputs'!$D$125:$D$131,MATCH($C$174+M220,'Inputs'!$C$125:$C$131,1))+INDEX('Inputs'!$E$125:$E$131,MATCH($C$174+M220,'Inputs'!$C$125:$C$131,1))/100*(($C$174+M220)-INDEX('Inputs'!$C$125:$C$131,MATCH($C$174+M220,'Inputs'!$C$125:$C$131,1))))-$C$172)-$C$180),0)</f>
      </c>
      <c r="O220">
        <f>IF(I220&lt;$C$176,MAX(0,J220-N220),0)</f>
      </c>
      <c r="P220">
        <f>IF($C$179&lt;&gt;1,0,P219*(1+((1+$C$188)^(1/12)-1))^12-O219/12*(1+((1+$C$188)^(1/12)-1))*(((1+((1+$C$188)^(1/12)-1))^12-1)/((1+((1+$C$188)^(1/12)-1))-1)))</f>
      </c>
      <c r="Q220">
        <f>IF($C$179&lt;&gt;1,0,IFERROR((((1+($C$188+'Inputs'!$H$108/100))^(1/12)-1)-((1+$C$188)^(1/12)-1))*(P220*(((1+((1+$C$188)^(1/12)-1))^12-1)/((1+((1+$C$188)^(1/12)-1))-1))-O220/12/((1+((1+$C$188)^(1/12)-1))-1)*((1+((1+$C$188)^(1/12)-1))*(((1+((1+$C$188)^(1/12)-1))^12-1)/((1+((1+$C$188)^(1/12)-1))-1))-12)),0))</f>
      </c>
    </row>
    <row r="221" spans="9:17" x14ac:dyDescent="0.25">
      <c r="I221">
        <v>49</v>
      </c>
      <c r="J221">
        <f>IF(I221&lt;$C$176,12*$C$177*(1+$C$178)^I221,0)</f>
      </c>
      <c r="K221">
        <f>IF(J221&lt;=0,0,INDEX($E$170:$E$177,MATCH(J221,$F$170:$F$177,1))+(J221-INDEX($F$170:$F$177,MATCH(J221,$F$170:$F$177,1)))/INDEX($G$170:$G$177,MATCH(J221,$F$170:$F$177,1))-$C$174)</f>
      </c>
      <c r="L221">
        <f>MAX(0,L220*(1+'Inputs'!$C$122/100)-M220/12*(1+'Inputs'!$C$122/100)^(1/12)*'Inputs'!$C$122/100/((1+'Inputs'!$C$122/100)^(1/12)-1))</f>
      </c>
      <c r="M221">
        <f>IF(L221&gt;0.005,MIN(MAX(K221,'Inputs'!$H$115/100*L221),'Inputs'!$H$116/100*L221),0)</f>
      </c>
      <c r="N221">
        <f>IF(M221&gt;0,M221-(MAX(0,(INDEX('Inputs'!$D$125:$D$131,MATCH($C$174+M221,'Inputs'!$C$125:$C$131,1))+INDEX('Inputs'!$E$125:$E$131,MATCH($C$174+M221,'Inputs'!$C$125:$C$131,1))/100*(($C$174+M221)-INDEX('Inputs'!$C$125:$C$131,MATCH($C$174+M221,'Inputs'!$C$125:$C$131,1))))-$C$172)-$C$180),0)</f>
      </c>
      <c r="O221">
        <f>IF(I221&lt;$C$176,MAX(0,J221-N221),0)</f>
      </c>
      <c r="P221">
        <f>IF($C$179&lt;&gt;1,0,P220*(1+((1+$C$188)^(1/12)-1))^12-O220/12*(1+((1+$C$188)^(1/12)-1))*(((1+((1+$C$188)^(1/12)-1))^12-1)/((1+((1+$C$188)^(1/12)-1))-1)))</f>
      </c>
      <c r="Q221">
        <f>IF($C$179&lt;&gt;1,0,IFERROR((((1+($C$188+'Inputs'!$H$108/100))^(1/12)-1)-((1+$C$188)^(1/12)-1))*(P221*(((1+((1+$C$188)^(1/12)-1))^12-1)/((1+((1+$C$188)^(1/12)-1))-1))-O221/12/((1+((1+$C$188)^(1/12)-1))-1)*((1+((1+$C$188)^(1/12)-1))*(((1+((1+$C$188)^(1/12)-1))^12-1)/((1+((1+$C$188)^(1/12)-1))-1))-12)),0))</f>
      </c>
    </row>
    <row r="225" spans="5:7" x14ac:dyDescent="0.25"/>
    <row r="226" spans="2:20" x14ac:dyDescent="0.25">
      <c r="B226" t="s">
        <v>113</v>
      </c>
      <c r="C226">
        <f>IF('Inputs'!$B$93="","",'Inputs'!$B$93)</f>
      </c>
      <c r="E226">
        <f>MAX($C$230,0)</f>
      </c>
      <c r="F226">
        <f>(E226-$C$230)-(MAX(0,(INDEX('Inputs'!$D$125:$D$131,MATCH(E226,'Inputs'!$C$125:$C$131,1))+INDEX('Inputs'!$E$125:$E$131,MATCH(E226,'Inputs'!$C$125:$C$131,1))/100*((E226)-INDEX('Inputs'!$C$125:$C$131,MATCH(E226,'Inputs'!$C$125:$C$131,1))))-$C$228)-$C$236)</f>
      </c>
      <c r="G226">
        <f>1-IF(E226&gt;=$C$229,INDEX('Inputs'!$E$125:$E$131,MATCH(E226,'Inputs'!$C$125:$C$131,1))/100,0)</f>
      </c>
      <c r="S226" t="s">
        <v>423</v>
      </c>
      <c r="T226" t="s">
        <v>424</v>
      </c>
    </row>
    <row r="227" spans="2:20" x14ac:dyDescent="0.25">
      <c r="B227" t="s">
        <v>115</v>
      </c>
      <c r="C227">
        <f>N('Inputs'!$D$93)</f>
      </c>
      <c r="E227">
        <f>MAX($C$230,$C$229)</f>
      </c>
      <c r="F227">
        <f>(E227-$C$230)-(MAX(0,(INDEX('Inputs'!$D$125:$D$131,MATCH(E227,'Inputs'!$C$125:$C$131,1))+INDEX('Inputs'!$E$125:$E$131,MATCH(E227,'Inputs'!$C$125:$C$131,1))/100*((E227)-INDEX('Inputs'!$C$125:$C$131,MATCH(E227,'Inputs'!$C$125:$C$131,1))))-$C$228)-$C$236)</f>
      </c>
      <c r="G227">
        <f>1-IF(E227&gt;=$C$229,INDEX('Inputs'!$E$125:$E$131,MATCH(E227,'Inputs'!$C$125:$C$131,1))/100,0)</f>
      </c>
      <c r="I227" t="s">
        <v>425</v>
      </c>
      <c r="J227" t="s">
        <v>426</v>
      </c>
      <c r="K227" t="s">
        <v>427</v>
      </c>
      <c r="L227" t="s">
        <v>428</v>
      </c>
      <c r="M227" t="s">
        <v>429</v>
      </c>
      <c r="N227" t="s">
        <v>430</v>
      </c>
      <c r="O227" t="s">
        <v>431</v>
      </c>
      <c r="P227" t="s">
        <v>432</v>
      </c>
      <c r="Q227" t="s">
        <v>433</v>
      </c>
      <c r="S227">
        <f>0</f>
      </c>
      <c r="T227">
        <f>ROUND(IF(('Inputs'!$C$122/100*(1-('Inputs'!$H$110/100*S227+'Inputs'!$H$111/100*'Inputs'!$H$113/100+'Inputs'!$H$112/100*'Inputs'!$C$120/100*S227))-IF($C$235=1,'Inputs'!$H$108/100,0))=0,SUM($O$228:$O$277),(1-(1+('Inputs'!$C$122/100*(1-('Inputs'!$H$110/100*S227+'Inputs'!$H$111/100*'Inputs'!$H$113/100+'Inputs'!$H$112/100*'Inputs'!$C$120/100*S227))-IF($C$235=1,'Inputs'!$H$108/100,0)))^-1)/(1-(1+('Inputs'!$C$122/100*(1-('Inputs'!$H$110/100*S227+'Inputs'!$H$111/100*'Inputs'!$H$113/100+'Inputs'!$H$112/100*'Inputs'!$C$120/100*S227))-IF($C$235=1,'Inputs'!$H$108/100,0)))^(-1/12))/12*SUMPRODUCT($O$228:$O$277,(1+('Inputs'!$C$122/100*(1-('Inputs'!$H$110/100*S227+'Inputs'!$H$111/100*'Inputs'!$H$113/100+'Inputs'!$H$112/100*'Inputs'!$C$120/100*S227))-IF($C$235=1,'Inputs'!$H$108/100,0)))^(-$I$228:$I$277))),2)</f>
      </c>
    </row>
    <row r="228" spans="2:20" x14ac:dyDescent="0.25">
      <c r="B228" t="s">
        <v>434</v>
      </c>
      <c r="C228">
        <f>IF($C$226="",0,'Inputs'!$H$117+IF($C$227&gt;=65,'Inputs'!$H$118,0)+IF($C$227&gt;=75,'Inputs'!$H$119,0))</f>
      </c>
      <c r="E228">
        <f>MAX($C$230,INDEX('Inputs'!$C$125:$C$131,2))</f>
      </c>
      <c r="F228">
        <f>(E228-$C$230)-(MAX(0,(INDEX('Inputs'!$D$125:$D$131,MATCH(E228,'Inputs'!$C$125:$C$131,1))+INDEX('Inputs'!$E$125:$E$131,MATCH(E228,'Inputs'!$C$125:$C$131,1))/100*((E228)-INDEX('Inputs'!$C$125:$C$131,MATCH(E228,'Inputs'!$C$125:$C$131,1))))-$C$228)-$C$236)</f>
      </c>
      <c r="G228">
        <f>1-IF(E228&gt;=$C$229,INDEX('Inputs'!$E$125:$E$131,MATCH(E228,'Inputs'!$C$125:$C$131,1))/100,0)</f>
      </c>
      <c r="I228">
        <v>0</v>
      </c>
      <c r="J228">
        <f>IF(I228&lt;$C$232,12*$C$233*(1+$C$234)^I228,0)</f>
      </c>
      <c r="K228">
        <f>IF(J228&lt;=0,0,INDEX($E$226:$E$233,MATCH(J228,$F$226:$F$233,1))+(J228-INDEX($F$226:$F$233,MATCH(J228,$F$226:$F$233,1)))/INDEX($G$226:$G$233,MATCH(J228,$F$226:$F$233,1))-$C$230)</f>
      </c>
      <c r="L228">
        <f>$C$231</f>
      </c>
      <c r="M228">
        <f>IF(L228&gt;0.005,MIN(MAX(K228,'Inputs'!$H$115/100*L228),'Inputs'!$H$116/100*L228),0)</f>
      </c>
      <c r="N228">
        <f>IF(M228&gt;0,M228-(MAX(0,(INDEX('Inputs'!$D$125:$D$131,MATCH($C$230+M228,'Inputs'!$C$125:$C$131,1))+INDEX('Inputs'!$E$125:$E$131,MATCH($C$230+M228,'Inputs'!$C$125:$C$131,1))/100*(($C$230+M228)-INDEX('Inputs'!$C$125:$C$131,MATCH($C$230+M228,'Inputs'!$C$125:$C$131,1))))-$C$228)-$C$236),0)</f>
      </c>
      <c r="O228">
        <f>IF(I228&lt;$C$232,MAX(0,J228-N228),0)</f>
      </c>
      <c r="P228">
        <f>IF($C$235&lt;&gt;1,0,IF($C$244=0,SUM($O$228:$O$277),(1-(1+$C$244)^-1)/(1-(1+$C$244)^(-1/12))/12*SUMPRODUCT($O$228:$O$277,(1+$C$244)^(-$I$228:$I$277))))</f>
      </c>
      <c r="Q228">
        <f>IF($C$235&lt;&gt;1,0,IFERROR((((1+($C$244+'Inputs'!$H$108/100))^(1/12)-1)-((1+$C$244)^(1/12)-1))*(P228*(((1+((1+$C$244)^(1/12)-1))^12-1)/((1+((1+$C$244)^(1/12)-1))-1))-O228/12/((1+((1+$C$244)^(1/12)-1))-1)*((1+((1+$C$244)^(1/12)-1))*(((1+((1+$C$244)^(1/12)-1))^12-1)/((1+((1+$C$244)^(1/12)-1))-1))-12)),0))</f>
      </c>
      <c r="S228">
        <f>IF($C$230+$C$237+T227*('Inputs'!$C$122/100*('Inputs'!$H$110/100+'Inputs'!$C$120/100*'Inputs'!$H$112/100))&lt;=$C$229,0,INDEX('Inputs'!$E$125:$E$131,MATCH($C$230+$C$237+T227*('Inputs'!$C$122/100*('Inputs'!$H$110/100+'Inputs'!$C$120/100*'Inputs'!$H$112/100)),'Inputs'!$C$125:$C$131,1)-IF(COUNTIF('Inputs'!$C$125:$C$131,$C$230+$C$237+T227*('Inputs'!$C$122/100*('Inputs'!$H$110/100+'Inputs'!$C$120/100*'Inputs'!$H$112/100)))&gt;0,1,0))/100)</f>
      </c>
      <c r="T228">
        <f>ROUND(IF(('Inputs'!$C$122/100*(1-('Inputs'!$H$110/100*S228+'Inputs'!$H$111/100*'Inputs'!$H$113/100+'Inputs'!$H$112/100*'Inputs'!$C$120/100*S228))-IF($C$235=1,'Inputs'!$H$108/100,0))=0,SUM($O$228:$O$277),(1-(1+('Inputs'!$C$122/100*(1-('Inputs'!$H$110/100*S228+'Inputs'!$H$111/100*'Inputs'!$H$113/100+'Inputs'!$H$112/100*'Inputs'!$C$120/100*S228))-IF($C$235=1,'Inputs'!$H$108/100,0)))^-1)/(1-(1+('Inputs'!$C$122/100*(1-('Inputs'!$H$110/100*S228+'Inputs'!$H$111/100*'Inputs'!$H$113/100+'Inputs'!$H$112/100*'Inputs'!$C$120/100*S228))-IF($C$235=1,'Inputs'!$H$108/100,0)))^(-1/12))/12*SUMPRODUCT($O$228:$O$277,(1+('Inputs'!$C$122/100*(1-('Inputs'!$H$110/100*S228+'Inputs'!$H$111/100*'Inputs'!$H$113/100+'Inputs'!$H$112/100*'Inputs'!$C$120/100*S228))-IF($C$235=1,'Inputs'!$H$108/100,0)))^(-$I$228:$I$277))),2)</f>
      </c>
    </row>
    <row r="229" spans="2:20" x14ac:dyDescent="0.25">
      <c r="B229" t="s">
        <v>435</v>
      </c>
      <c r="C229">
        <f>IF($C$227&gt;=75,'Inputs'!$H$121,IF($C$227&gt;=65,'Inputs'!$H$120,'Inputs'!$H$109))</f>
      </c>
      <c r="E229">
        <f>MAX($C$230,INDEX('Inputs'!$C$125:$C$131,3))</f>
      </c>
      <c r="F229">
        <f>(E229-$C$230)-(MAX(0,(INDEX('Inputs'!$D$125:$D$131,MATCH(E229,'Inputs'!$C$125:$C$131,1))+INDEX('Inputs'!$E$125:$E$131,MATCH(E229,'Inputs'!$C$125:$C$131,1))/100*((E229)-INDEX('Inputs'!$C$125:$C$131,MATCH(E229,'Inputs'!$C$125:$C$131,1))))-$C$228)-$C$236)</f>
      </c>
      <c r="G229">
        <f>1-IF(E229&gt;=$C$229,INDEX('Inputs'!$E$125:$E$131,MATCH(E229,'Inputs'!$C$125:$C$131,1))/100,0)</f>
      </c>
      <c r="I229">
        <v>1</v>
      </c>
      <c r="J229">
        <f>IF(I229&lt;$C$232,12*$C$233*(1+$C$234)^I229,0)</f>
      </c>
      <c r="K229">
        <f>IF(J229&lt;=0,0,INDEX($E$226:$E$233,MATCH(J229,$F$226:$F$233,1))+(J229-INDEX($F$226:$F$233,MATCH(J229,$F$226:$F$233,1)))/INDEX($G$226:$G$233,MATCH(J229,$F$226:$F$233,1))-$C$230)</f>
      </c>
      <c r="L229">
        <f>MAX(0,L228*(1+'Inputs'!$C$122/100)-M228/12*(1+'Inputs'!$C$122/100)^(1/12)*'Inputs'!$C$122/100/((1+'Inputs'!$C$122/100)^(1/12)-1))</f>
      </c>
      <c r="M229">
        <f>IF(L229&gt;0.005,MIN(MAX(K229,'Inputs'!$H$115/100*L229),'Inputs'!$H$116/100*L229),0)</f>
      </c>
      <c r="N229">
        <f>IF(M229&gt;0,M229-(MAX(0,(INDEX('Inputs'!$D$125:$D$131,MATCH($C$230+M229,'Inputs'!$C$125:$C$131,1))+INDEX('Inputs'!$E$125:$E$131,MATCH($C$230+M229,'Inputs'!$C$125:$C$131,1))/100*(($C$230+M229)-INDEX('Inputs'!$C$125:$C$131,MATCH($C$230+M229,'Inputs'!$C$125:$C$131,1))))-$C$228)-$C$236),0)</f>
      </c>
      <c r="O229">
        <f>IF(I229&lt;$C$232,MAX(0,J229-N229),0)</f>
      </c>
      <c r="P229">
        <f>IF($C$235&lt;&gt;1,0,P228*(1+((1+$C$244)^(1/12)-1))^12-O228/12*(1+((1+$C$244)^(1/12)-1))*(((1+((1+$C$244)^(1/12)-1))^12-1)/((1+((1+$C$244)^(1/12)-1))-1)))</f>
      </c>
      <c r="Q229">
        <f>IF($C$235&lt;&gt;1,0,IFERROR((((1+($C$244+'Inputs'!$H$108/100))^(1/12)-1)-((1+$C$244)^(1/12)-1))*(P229*(((1+((1+$C$244)^(1/12)-1))^12-1)/((1+((1+$C$244)^(1/12)-1))-1))-O229/12/((1+((1+$C$244)^(1/12)-1))-1)*((1+((1+$C$244)^(1/12)-1))*(((1+((1+$C$244)^(1/12)-1))^12-1)/((1+((1+$C$244)^(1/12)-1))-1))-12)),0))</f>
      </c>
      <c r="S229">
        <f>IF($C$230+$C$237+T228*('Inputs'!$C$122/100*('Inputs'!$H$110/100+'Inputs'!$C$120/100*'Inputs'!$H$112/100))&lt;=$C$229,0,INDEX('Inputs'!$E$125:$E$131,MATCH($C$230+$C$237+T228*('Inputs'!$C$122/100*('Inputs'!$H$110/100+'Inputs'!$C$120/100*'Inputs'!$H$112/100)),'Inputs'!$C$125:$C$131,1)-IF(COUNTIF('Inputs'!$C$125:$C$131,$C$230+$C$237+T228*('Inputs'!$C$122/100*('Inputs'!$H$110/100+'Inputs'!$C$120/100*'Inputs'!$H$112/100)))&gt;0,1,0))/100)</f>
      </c>
      <c r="T229">
        <f>ROUND(IF(('Inputs'!$C$122/100*(1-('Inputs'!$H$110/100*S229+'Inputs'!$H$111/100*'Inputs'!$H$113/100+'Inputs'!$H$112/100*'Inputs'!$C$120/100*S229))-IF($C$235=1,'Inputs'!$H$108/100,0))=0,SUM($O$228:$O$277),(1-(1+('Inputs'!$C$122/100*(1-('Inputs'!$H$110/100*S229+'Inputs'!$H$111/100*'Inputs'!$H$113/100+'Inputs'!$H$112/100*'Inputs'!$C$120/100*S229))-IF($C$235=1,'Inputs'!$H$108/100,0)))^-1)/(1-(1+('Inputs'!$C$122/100*(1-('Inputs'!$H$110/100*S229+'Inputs'!$H$111/100*'Inputs'!$H$113/100+'Inputs'!$H$112/100*'Inputs'!$C$120/100*S229))-IF($C$235=1,'Inputs'!$H$108/100,0)))^(-1/12))/12*SUMPRODUCT($O$228:$O$277,(1+('Inputs'!$C$122/100*(1-('Inputs'!$H$110/100*S229+'Inputs'!$H$111/100*'Inputs'!$H$113/100+'Inputs'!$H$112/100*'Inputs'!$C$120/100*S229))-IF($C$235=1,'Inputs'!$H$108/100,0)))^(-$I$228:$I$277))),2)</f>
      </c>
    </row>
    <row r="230" spans="2:20" x14ac:dyDescent="0.25">
      <c r="B230" t="s">
        <v>436</v>
      </c>
      <c r="C230">
        <f>N('Inputs'!$I$93)</f>
      </c>
      <c r="E230">
        <f>MAX($C$230,INDEX('Inputs'!$C$125:$C$131,4))</f>
      </c>
      <c r="F230">
        <f>(E230-$C$230)-(MAX(0,(INDEX('Inputs'!$D$125:$D$131,MATCH(E230,'Inputs'!$C$125:$C$131,1))+INDEX('Inputs'!$E$125:$E$131,MATCH(E230,'Inputs'!$C$125:$C$131,1))/100*((E230)-INDEX('Inputs'!$C$125:$C$131,MATCH(E230,'Inputs'!$C$125:$C$131,1))))-$C$228)-$C$236)</f>
      </c>
      <c r="G230">
        <f>1-IF(E230&gt;=$C$229,INDEX('Inputs'!$E$125:$E$131,MATCH(E230,'Inputs'!$C$125:$C$131,1))/100,0)</f>
      </c>
      <c r="I230">
        <v>2</v>
      </c>
      <c r="J230">
        <f>IF(I230&lt;$C$232,12*$C$233*(1+$C$234)^I230,0)</f>
      </c>
      <c r="K230">
        <f>IF(J230&lt;=0,0,INDEX($E$226:$E$233,MATCH(J230,$F$226:$F$233,1))+(J230-INDEX($F$226:$F$233,MATCH(J230,$F$226:$F$233,1)))/INDEX($G$226:$G$233,MATCH(J230,$F$226:$F$233,1))-$C$230)</f>
      </c>
      <c r="L230">
        <f>MAX(0,L229*(1+'Inputs'!$C$122/100)-M229/12*(1+'Inputs'!$C$122/100)^(1/12)*'Inputs'!$C$122/100/((1+'Inputs'!$C$122/100)^(1/12)-1))</f>
      </c>
      <c r="M230">
        <f>IF(L230&gt;0.005,MIN(MAX(K230,'Inputs'!$H$115/100*L230),'Inputs'!$H$116/100*L230),0)</f>
      </c>
      <c r="N230">
        <f>IF(M230&gt;0,M230-(MAX(0,(INDEX('Inputs'!$D$125:$D$131,MATCH($C$230+M230,'Inputs'!$C$125:$C$131,1))+INDEX('Inputs'!$E$125:$E$131,MATCH($C$230+M230,'Inputs'!$C$125:$C$131,1))/100*(($C$230+M230)-INDEX('Inputs'!$C$125:$C$131,MATCH($C$230+M230,'Inputs'!$C$125:$C$131,1))))-$C$228)-$C$236),0)</f>
      </c>
      <c r="O230">
        <f>IF(I230&lt;$C$232,MAX(0,J230-N230),0)</f>
      </c>
      <c r="P230">
        <f>IF($C$235&lt;&gt;1,0,P229*(1+((1+$C$244)^(1/12)-1))^12-O229/12*(1+((1+$C$244)^(1/12)-1))*(((1+((1+$C$244)^(1/12)-1))^12-1)/((1+((1+$C$244)^(1/12)-1))-1)))</f>
      </c>
      <c r="Q230">
        <f>IF($C$235&lt;&gt;1,0,IFERROR((((1+($C$244+'Inputs'!$H$108/100))^(1/12)-1)-((1+$C$244)^(1/12)-1))*(P230*(((1+((1+$C$244)^(1/12)-1))^12-1)/((1+((1+$C$244)^(1/12)-1))-1))-O230/12/((1+((1+$C$244)^(1/12)-1))-1)*((1+((1+$C$244)^(1/12)-1))*(((1+((1+$C$244)^(1/12)-1))^12-1)/((1+((1+$C$244)^(1/12)-1))-1))-12)),0))</f>
      </c>
      <c r="S230">
        <f>IF($C$230+$C$237+T229*('Inputs'!$C$122/100*('Inputs'!$H$110/100+'Inputs'!$C$120/100*'Inputs'!$H$112/100))&lt;=$C$229,0,INDEX('Inputs'!$E$125:$E$131,MATCH($C$230+$C$237+T229*('Inputs'!$C$122/100*('Inputs'!$H$110/100+'Inputs'!$C$120/100*'Inputs'!$H$112/100)),'Inputs'!$C$125:$C$131,1)-IF(COUNTIF('Inputs'!$C$125:$C$131,$C$230+$C$237+T229*('Inputs'!$C$122/100*('Inputs'!$H$110/100+'Inputs'!$C$120/100*'Inputs'!$H$112/100)))&gt;0,1,0))/100)</f>
      </c>
      <c r="T230">
        <f>ROUND(IF(('Inputs'!$C$122/100*(1-('Inputs'!$H$110/100*S230+'Inputs'!$H$111/100*'Inputs'!$H$113/100+'Inputs'!$H$112/100*'Inputs'!$C$120/100*S230))-IF($C$235=1,'Inputs'!$H$108/100,0))=0,SUM($O$228:$O$277),(1-(1+('Inputs'!$C$122/100*(1-('Inputs'!$H$110/100*S230+'Inputs'!$H$111/100*'Inputs'!$H$113/100+'Inputs'!$H$112/100*'Inputs'!$C$120/100*S230))-IF($C$235=1,'Inputs'!$H$108/100,0)))^-1)/(1-(1+('Inputs'!$C$122/100*(1-('Inputs'!$H$110/100*S230+'Inputs'!$H$111/100*'Inputs'!$H$113/100+'Inputs'!$H$112/100*'Inputs'!$C$120/100*S230))-IF($C$235=1,'Inputs'!$H$108/100,0)))^(-1/12))/12*SUMPRODUCT($O$228:$O$277,(1+('Inputs'!$C$122/100*(1-('Inputs'!$H$110/100*S230+'Inputs'!$H$111/100*'Inputs'!$H$113/100+'Inputs'!$H$112/100*'Inputs'!$C$120/100*S230))-IF($C$235=1,'Inputs'!$H$108/100,0)))^(-$I$228:$I$277))),2)</f>
      </c>
    </row>
    <row r="231" spans="2:20" x14ac:dyDescent="0.25">
      <c r="B231" t="s">
        <v>437</v>
      </c>
      <c r="C231">
        <f>IF($C$226="",0,SUMIFS('Inputs'!$D$76:$D$83,'Inputs'!$F$76:$F$83,$C$226))</f>
      </c>
      <c r="E231">
        <f>MAX($C$230,INDEX('Inputs'!$C$125:$C$131,5))</f>
      </c>
      <c r="F231">
        <f>(E231-$C$230)-(MAX(0,(INDEX('Inputs'!$D$125:$D$131,MATCH(E231,'Inputs'!$C$125:$C$131,1))+INDEX('Inputs'!$E$125:$E$131,MATCH(E231,'Inputs'!$C$125:$C$131,1))/100*((E231)-INDEX('Inputs'!$C$125:$C$131,MATCH(E231,'Inputs'!$C$125:$C$131,1))))-$C$228)-$C$236)</f>
      </c>
      <c r="G231">
        <f>1-IF(E231&gt;=$C$229,INDEX('Inputs'!$E$125:$E$131,MATCH(E231,'Inputs'!$C$125:$C$131,1))/100,0)</f>
      </c>
      <c r="I231">
        <v>3</v>
      </c>
      <c r="J231">
        <f>IF(I231&lt;$C$232,12*$C$233*(1+$C$234)^I231,0)</f>
      </c>
      <c r="K231">
        <f>IF(J231&lt;=0,0,INDEX($E$226:$E$233,MATCH(J231,$F$226:$F$233,1))+(J231-INDEX($F$226:$F$233,MATCH(J231,$F$226:$F$233,1)))/INDEX($G$226:$G$233,MATCH(J231,$F$226:$F$233,1))-$C$230)</f>
      </c>
      <c r="L231">
        <f>MAX(0,L230*(1+'Inputs'!$C$122/100)-M230/12*(1+'Inputs'!$C$122/100)^(1/12)*'Inputs'!$C$122/100/((1+'Inputs'!$C$122/100)^(1/12)-1))</f>
      </c>
      <c r="M231">
        <f>IF(L231&gt;0.005,MIN(MAX(K231,'Inputs'!$H$115/100*L231),'Inputs'!$H$116/100*L231),0)</f>
      </c>
      <c r="N231">
        <f>IF(M231&gt;0,M231-(MAX(0,(INDEX('Inputs'!$D$125:$D$131,MATCH($C$230+M231,'Inputs'!$C$125:$C$131,1))+INDEX('Inputs'!$E$125:$E$131,MATCH($C$230+M231,'Inputs'!$C$125:$C$131,1))/100*(($C$230+M231)-INDEX('Inputs'!$C$125:$C$131,MATCH($C$230+M231,'Inputs'!$C$125:$C$131,1))))-$C$228)-$C$236),0)</f>
      </c>
      <c r="O231">
        <f>IF(I231&lt;$C$232,MAX(0,J231-N231),0)</f>
      </c>
      <c r="P231">
        <f>IF($C$235&lt;&gt;1,0,P230*(1+((1+$C$244)^(1/12)-1))^12-O230/12*(1+((1+$C$244)^(1/12)-1))*(((1+((1+$C$244)^(1/12)-1))^12-1)/((1+((1+$C$244)^(1/12)-1))-1)))</f>
      </c>
      <c r="Q231">
        <f>IF($C$235&lt;&gt;1,0,IFERROR((((1+($C$244+'Inputs'!$H$108/100))^(1/12)-1)-((1+$C$244)^(1/12)-1))*(P231*(((1+((1+$C$244)^(1/12)-1))^12-1)/((1+((1+$C$244)^(1/12)-1))-1))-O231/12/((1+((1+$C$244)^(1/12)-1))-1)*((1+((1+$C$244)^(1/12)-1))*(((1+((1+$C$244)^(1/12)-1))^12-1)/((1+((1+$C$244)^(1/12)-1))-1))-12)),0))</f>
      </c>
      <c r="S231">
        <f>IF($C$230+$C$237+T230*('Inputs'!$C$122/100*('Inputs'!$H$110/100+'Inputs'!$C$120/100*'Inputs'!$H$112/100))&lt;=$C$229,0,INDEX('Inputs'!$E$125:$E$131,MATCH($C$230+$C$237+T230*('Inputs'!$C$122/100*('Inputs'!$H$110/100+'Inputs'!$C$120/100*'Inputs'!$H$112/100)),'Inputs'!$C$125:$C$131,1)-IF(COUNTIF('Inputs'!$C$125:$C$131,$C$230+$C$237+T230*('Inputs'!$C$122/100*('Inputs'!$H$110/100+'Inputs'!$C$120/100*'Inputs'!$H$112/100)))&gt;0,1,0))/100)</f>
      </c>
      <c r="T231">
        <f>ROUND(IF(('Inputs'!$C$122/100*(1-('Inputs'!$H$110/100*S231+'Inputs'!$H$111/100*'Inputs'!$H$113/100+'Inputs'!$H$112/100*'Inputs'!$C$120/100*S231))-IF($C$235=1,'Inputs'!$H$108/100,0))=0,SUM($O$228:$O$277),(1-(1+('Inputs'!$C$122/100*(1-('Inputs'!$H$110/100*S231+'Inputs'!$H$111/100*'Inputs'!$H$113/100+'Inputs'!$H$112/100*'Inputs'!$C$120/100*S231))-IF($C$235=1,'Inputs'!$H$108/100,0)))^-1)/(1-(1+('Inputs'!$C$122/100*(1-('Inputs'!$H$110/100*S231+'Inputs'!$H$111/100*'Inputs'!$H$113/100+'Inputs'!$H$112/100*'Inputs'!$C$120/100*S231))-IF($C$235=1,'Inputs'!$H$108/100,0)))^(-1/12))/12*SUMPRODUCT($O$228:$O$277,(1+('Inputs'!$C$122/100*(1-('Inputs'!$H$110/100*S231+'Inputs'!$H$111/100*'Inputs'!$H$113/100+'Inputs'!$H$112/100*'Inputs'!$C$120/100*S231))-IF($C$235=1,'Inputs'!$H$108/100,0)))^(-$I$228:$I$277))),2)</f>
      </c>
    </row>
    <row r="232" spans="2:20" x14ac:dyDescent="0.25">
      <c r="B232" t="s">
        <v>438</v>
      </c>
      <c r="C232">
        <f>IF($C$226="",0,N('Inputs'!$F$93))</f>
      </c>
      <c r="E232">
        <f>MAX($C$230,INDEX('Inputs'!$C$125:$C$131,6))</f>
      </c>
      <c r="F232">
        <f>(E232-$C$230)-(MAX(0,(INDEX('Inputs'!$D$125:$D$131,MATCH(E232,'Inputs'!$C$125:$C$131,1))+INDEX('Inputs'!$E$125:$E$131,MATCH(E232,'Inputs'!$C$125:$C$131,1))/100*((E232)-INDEX('Inputs'!$C$125:$C$131,MATCH(E232,'Inputs'!$C$125:$C$131,1))))-$C$228)-$C$236)</f>
      </c>
      <c r="G232">
        <f>1-IF(E232&gt;=$C$229,INDEX('Inputs'!$E$125:$E$131,MATCH(E232,'Inputs'!$C$125:$C$131,1))/100,0)</f>
      </c>
      <c r="I232">
        <v>4</v>
      </c>
      <c r="J232">
        <f>IF(I232&lt;$C$232,12*$C$233*(1+$C$234)^I232,0)</f>
      </c>
      <c r="K232">
        <f>IF(J232&lt;=0,0,INDEX($E$226:$E$233,MATCH(J232,$F$226:$F$233,1))+(J232-INDEX($F$226:$F$233,MATCH(J232,$F$226:$F$233,1)))/INDEX($G$226:$G$233,MATCH(J232,$F$226:$F$233,1))-$C$230)</f>
      </c>
      <c r="L232">
        <f>MAX(0,L231*(1+'Inputs'!$C$122/100)-M231/12*(1+'Inputs'!$C$122/100)^(1/12)*'Inputs'!$C$122/100/((1+'Inputs'!$C$122/100)^(1/12)-1))</f>
      </c>
      <c r="M232">
        <f>IF(L232&gt;0.005,MIN(MAX(K232,'Inputs'!$H$115/100*L232),'Inputs'!$H$116/100*L232),0)</f>
      </c>
      <c r="N232">
        <f>IF(M232&gt;0,M232-(MAX(0,(INDEX('Inputs'!$D$125:$D$131,MATCH($C$230+M232,'Inputs'!$C$125:$C$131,1))+INDEX('Inputs'!$E$125:$E$131,MATCH($C$230+M232,'Inputs'!$C$125:$C$131,1))/100*(($C$230+M232)-INDEX('Inputs'!$C$125:$C$131,MATCH($C$230+M232,'Inputs'!$C$125:$C$131,1))))-$C$228)-$C$236),0)</f>
      </c>
      <c r="O232">
        <f>IF(I232&lt;$C$232,MAX(0,J232-N232),0)</f>
      </c>
      <c r="P232">
        <f>IF($C$235&lt;&gt;1,0,P231*(1+((1+$C$244)^(1/12)-1))^12-O231/12*(1+((1+$C$244)^(1/12)-1))*(((1+((1+$C$244)^(1/12)-1))^12-1)/((1+((1+$C$244)^(1/12)-1))-1)))</f>
      </c>
      <c r="Q232">
        <f>IF($C$235&lt;&gt;1,0,IFERROR((((1+($C$244+'Inputs'!$H$108/100))^(1/12)-1)-((1+$C$244)^(1/12)-1))*(P232*(((1+((1+$C$244)^(1/12)-1))^12-1)/((1+((1+$C$244)^(1/12)-1))-1))-O232/12/((1+((1+$C$244)^(1/12)-1))-1)*((1+((1+$C$244)^(1/12)-1))*(((1+((1+$C$244)^(1/12)-1))^12-1)/((1+((1+$C$244)^(1/12)-1))-1))-12)),0))</f>
      </c>
      <c r="S232">
        <f>IF($C$230+$C$237+T231*('Inputs'!$C$122/100*('Inputs'!$H$110/100+'Inputs'!$C$120/100*'Inputs'!$H$112/100))&lt;=$C$229,0,INDEX('Inputs'!$E$125:$E$131,MATCH($C$230+$C$237+T231*('Inputs'!$C$122/100*('Inputs'!$H$110/100+'Inputs'!$C$120/100*'Inputs'!$H$112/100)),'Inputs'!$C$125:$C$131,1)-IF(COUNTIF('Inputs'!$C$125:$C$131,$C$230+$C$237+T231*('Inputs'!$C$122/100*('Inputs'!$H$110/100+'Inputs'!$C$120/100*'Inputs'!$H$112/100)))&gt;0,1,0))/100)</f>
      </c>
      <c r="T232">
        <f>ROUND(IF(('Inputs'!$C$122/100*(1-('Inputs'!$H$110/100*S232+'Inputs'!$H$111/100*'Inputs'!$H$113/100+'Inputs'!$H$112/100*'Inputs'!$C$120/100*S232))-IF($C$235=1,'Inputs'!$H$108/100,0))=0,SUM($O$228:$O$277),(1-(1+('Inputs'!$C$122/100*(1-('Inputs'!$H$110/100*S232+'Inputs'!$H$111/100*'Inputs'!$H$113/100+'Inputs'!$H$112/100*'Inputs'!$C$120/100*S232))-IF($C$235=1,'Inputs'!$H$108/100,0)))^-1)/(1-(1+('Inputs'!$C$122/100*(1-('Inputs'!$H$110/100*S232+'Inputs'!$H$111/100*'Inputs'!$H$113/100+'Inputs'!$H$112/100*'Inputs'!$C$120/100*S232))-IF($C$235=1,'Inputs'!$H$108/100,0)))^(-1/12))/12*SUMPRODUCT($O$228:$O$277,(1+('Inputs'!$C$122/100*(1-('Inputs'!$H$110/100*S232+'Inputs'!$H$111/100*'Inputs'!$H$113/100+'Inputs'!$H$112/100*'Inputs'!$C$120/100*S232))-IF($C$235=1,'Inputs'!$H$108/100,0)))^(-$I$228:$I$277))),2)</f>
      </c>
    </row>
    <row r="233" spans="2:17" x14ac:dyDescent="0.25">
      <c r="B233" t="s">
        <v>439</v>
      </c>
      <c r="C233">
        <f>N('Inputs'!$E$93)</f>
      </c>
      <c r="E233">
        <f>MAX($C$230,INDEX('Inputs'!$C$125:$C$131,7))</f>
      </c>
      <c r="F233">
        <f>(E233-$C$230)-(MAX(0,(INDEX('Inputs'!$D$125:$D$131,MATCH(E233,'Inputs'!$C$125:$C$131,1))+INDEX('Inputs'!$E$125:$E$131,MATCH(E233,'Inputs'!$C$125:$C$131,1))/100*((E233)-INDEX('Inputs'!$C$125:$C$131,MATCH(E233,'Inputs'!$C$125:$C$131,1))))-$C$228)-$C$236)</f>
      </c>
      <c r="G233">
        <f>1-IF(E233&gt;=$C$229,INDEX('Inputs'!$E$125:$E$131,MATCH(E233,'Inputs'!$C$125:$C$131,1))/100,0)</f>
      </c>
      <c r="I233">
        <v>5</v>
      </c>
      <c r="J233">
        <f>IF(I233&lt;$C$232,12*$C$233*(1+$C$234)^I233,0)</f>
      </c>
      <c r="K233">
        <f>IF(J233&lt;=0,0,INDEX($E$226:$E$233,MATCH(J233,$F$226:$F$233,1))+(J233-INDEX($F$226:$F$233,MATCH(J233,$F$226:$F$233,1)))/INDEX($G$226:$G$233,MATCH(J233,$F$226:$F$233,1))-$C$230)</f>
      </c>
      <c r="L233">
        <f>MAX(0,L232*(1+'Inputs'!$C$122/100)-M232/12*(1+'Inputs'!$C$122/100)^(1/12)*'Inputs'!$C$122/100/((1+'Inputs'!$C$122/100)^(1/12)-1))</f>
      </c>
      <c r="M233">
        <f>IF(L233&gt;0.005,MIN(MAX(K233,'Inputs'!$H$115/100*L233),'Inputs'!$H$116/100*L233),0)</f>
      </c>
      <c r="N233">
        <f>IF(M233&gt;0,M233-(MAX(0,(INDEX('Inputs'!$D$125:$D$131,MATCH($C$230+M233,'Inputs'!$C$125:$C$131,1))+INDEX('Inputs'!$E$125:$E$131,MATCH($C$230+M233,'Inputs'!$C$125:$C$131,1))/100*(($C$230+M233)-INDEX('Inputs'!$C$125:$C$131,MATCH($C$230+M233,'Inputs'!$C$125:$C$131,1))))-$C$228)-$C$236),0)</f>
      </c>
      <c r="O233">
        <f>IF(I233&lt;$C$232,MAX(0,J233-N233),0)</f>
      </c>
      <c r="P233">
        <f>IF($C$235&lt;&gt;1,0,P232*(1+((1+$C$244)^(1/12)-1))^12-O232/12*(1+((1+$C$244)^(1/12)-1))*(((1+((1+$C$244)^(1/12)-1))^12-1)/((1+((1+$C$244)^(1/12)-1))-1)))</f>
      </c>
      <c r="Q233">
        <f>IF($C$235&lt;&gt;1,0,IFERROR((((1+($C$244+'Inputs'!$H$108/100))^(1/12)-1)-((1+$C$244)^(1/12)-1))*(P233*(((1+((1+$C$244)^(1/12)-1))^12-1)/((1+((1+$C$244)^(1/12)-1))-1))-O233/12/((1+((1+$C$244)^(1/12)-1))-1)*((1+((1+$C$244)^(1/12)-1))*(((1+((1+$C$244)^(1/12)-1))^12-1)/((1+((1+$C$244)^(1/12)-1))-1))-12)),0))</f>
      </c>
    </row>
    <row r="234" spans="2:17" x14ac:dyDescent="0.25">
      <c r="B234" t="s">
        <v>440</v>
      </c>
      <c r="C234">
        <f>IF('Inputs'!$G$93="",'Inputs'!$H$114/100,'Inputs'!$G$93/100)</f>
      </c>
      <c r="I234">
        <v>6</v>
      </c>
      <c r="J234">
        <f>IF(I234&lt;$C$232,12*$C$233*(1+$C$234)^I234,0)</f>
      </c>
      <c r="K234">
        <f>IF(J234&lt;=0,0,INDEX($E$226:$E$233,MATCH(J234,$F$226:$F$233,1))+(J234-INDEX($F$226:$F$233,MATCH(J234,$F$226:$F$233,1)))/INDEX($G$226:$G$233,MATCH(J234,$F$226:$F$233,1))-$C$230)</f>
      </c>
      <c r="L234">
        <f>MAX(0,L233*(1+'Inputs'!$C$122/100)-M233/12*(1+'Inputs'!$C$122/100)^(1/12)*'Inputs'!$C$122/100/((1+'Inputs'!$C$122/100)^(1/12)-1))</f>
      </c>
      <c r="M234">
        <f>IF(L234&gt;0.005,MIN(MAX(K234,'Inputs'!$H$115/100*L234),'Inputs'!$H$116/100*L234),0)</f>
      </c>
      <c r="N234">
        <f>IF(M234&gt;0,M234-(MAX(0,(INDEX('Inputs'!$D$125:$D$131,MATCH($C$230+M234,'Inputs'!$C$125:$C$131,1))+INDEX('Inputs'!$E$125:$E$131,MATCH($C$230+M234,'Inputs'!$C$125:$C$131,1))/100*(($C$230+M234)-INDEX('Inputs'!$C$125:$C$131,MATCH($C$230+M234,'Inputs'!$C$125:$C$131,1))))-$C$228)-$C$236),0)</f>
      </c>
      <c r="O234">
        <f>IF(I234&lt;$C$232,MAX(0,J234-N234),0)</f>
      </c>
      <c r="P234">
        <f>IF($C$235&lt;&gt;1,0,P233*(1+((1+$C$244)^(1/12)-1))^12-O233/12*(1+((1+$C$244)^(1/12)-1))*(((1+((1+$C$244)^(1/12)-1))^12-1)/((1+((1+$C$244)^(1/12)-1))-1)))</f>
      </c>
      <c r="Q234">
        <f>IF($C$235&lt;&gt;1,0,IFERROR((((1+($C$244+'Inputs'!$H$108/100))^(1/12)-1)-((1+$C$244)^(1/12)-1))*(P234*(((1+((1+$C$244)^(1/12)-1))^12-1)/((1+((1+$C$244)^(1/12)-1))-1))-O234/12/((1+((1+$C$244)^(1/12)-1))-1)*((1+((1+$C$244)^(1/12)-1))*(((1+((1+$C$244)^(1/12)-1))^12-1)/((1+((1+$C$244)^(1/12)-1))-1))-12)),0))</f>
      </c>
    </row>
    <row r="235" spans="2:17" x14ac:dyDescent="0.25">
      <c r="B235" t="s">
        <v>441</v>
      </c>
      <c r="C235">
        <f>IF('Inputs'!$H$93="Yes",1,0)</f>
      </c>
      <c r="I235">
        <v>7</v>
      </c>
      <c r="J235">
        <f>IF(I235&lt;$C$232,12*$C$233*(1+$C$234)^I235,0)</f>
      </c>
      <c r="K235">
        <f>IF(J235&lt;=0,0,INDEX($E$226:$E$233,MATCH(J235,$F$226:$F$233,1))+(J235-INDEX($F$226:$F$233,MATCH(J235,$F$226:$F$233,1)))/INDEX($G$226:$G$233,MATCH(J235,$F$226:$F$233,1))-$C$230)</f>
      </c>
      <c r="L235">
        <f>MAX(0,L234*(1+'Inputs'!$C$122/100)-M234/12*(1+'Inputs'!$C$122/100)^(1/12)*'Inputs'!$C$122/100/((1+'Inputs'!$C$122/100)^(1/12)-1))</f>
      </c>
      <c r="M235">
        <f>IF(L235&gt;0.005,MIN(MAX(K235,'Inputs'!$H$115/100*L235),'Inputs'!$H$116/100*L235),0)</f>
      </c>
      <c r="N235">
        <f>IF(M235&gt;0,M235-(MAX(0,(INDEX('Inputs'!$D$125:$D$131,MATCH($C$230+M235,'Inputs'!$C$125:$C$131,1))+INDEX('Inputs'!$E$125:$E$131,MATCH($C$230+M235,'Inputs'!$C$125:$C$131,1))/100*(($C$230+M235)-INDEX('Inputs'!$C$125:$C$131,MATCH($C$230+M235,'Inputs'!$C$125:$C$131,1))))-$C$228)-$C$236),0)</f>
      </c>
      <c r="O235">
        <f>IF(I235&lt;$C$232,MAX(0,J235-N235),0)</f>
      </c>
      <c r="P235">
        <f>IF($C$235&lt;&gt;1,0,P234*(1+((1+$C$244)^(1/12)-1))^12-O234/12*(1+((1+$C$244)^(1/12)-1))*(((1+((1+$C$244)^(1/12)-1))^12-1)/((1+((1+$C$244)^(1/12)-1))-1)))</f>
      </c>
      <c r="Q235">
        <f>IF($C$235&lt;&gt;1,0,IFERROR((((1+($C$244+'Inputs'!$H$108/100))^(1/12)-1)-((1+$C$244)^(1/12)-1))*(P235*(((1+((1+$C$244)^(1/12)-1))^12-1)/((1+((1+$C$244)^(1/12)-1))-1))-O235/12/((1+((1+$C$244)^(1/12)-1))-1)*((1+((1+$C$244)^(1/12)-1))*(((1+((1+$C$244)^(1/12)-1))^12-1)/((1+((1+$C$244)^(1/12)-1))-1))-12)),0))</f>
      </c>
    </row>
    <row r="236" spans="2:17" x14ac:dyDescent="0.25">
      <c r="B236" t="s">
        <v>442</v>
      </c>
      <c r="C236">
        <f>MAX(0,(INDEX('Inputs'!$D$125:$D$131,MATCH($C$230,'Inputs'!$C$125:$C$131,1))+INDEX('Inputs'!$E$125:$E$131,MATCH($C$230,'Inputs'!$C$125:$C$131,1))/100*(($C$230)-INDEX('Inputs'!$C$125:$C$131,MATCH($C$230,'Inputs'!$C$125:$C$131,1))))-$C$228)</f>
      </c>
      <c r="I236">
        <v>8</v>
      </c>
      <c r="J236">
        <f>IF(I236&lt;$C$232,12*$C$233*(1+$C$234)^I236,0)</f>
      </c>
      <c r="K236">
        <f>IF(J236&lt;=0,0,INDEX($E$226:$E$233,MATCH(J236,$F$226:$F$233,1))+(J236-INDEX($F$226:$F$233,MATCH(J236,$F$226:$F$233,1)))/INDEX($G$226:$G$233,MATCH(J236,$F$226:$F$233,1))-$C$230)</f>
      </c>
      <c r="L236">
        <f>MAX(0,L235*(1+'Inputs'!$C$122/100)-M235/12*(1+'Inputs'!$C$122/100)^(1/12)*'Inputs'!$C$122/100/((1+'Inputs'!$C$122/100)^(1/12)-1))</f>
      </c>
      <c r="M236">
        <f>IF(L236&gt;0.005,MIN(MAX(K236,'Inputs'!$H$115/100*L236),'Inputs'!$H$116/100*L236),0)</f>
      </c>
      <c r="N236">
        <f>IF(M236&gt;0,M236-(MAX(0,(INDEX('Inputs'!$D$125:$D$131,MATCH($C$230+M236,'Inputs'!$C$125:$C$131,1))+INDEX('Inputs'!$E$125:$E$131,MATCH($C$230+M236,'Inputs'!$C$125:$C$131,1))/100*(($C$230+M236)-INDEX('Inputs'!$C$125:$C$131,MATCH($C$230+M236,'Inputs'!$C$125:$C$131,1))))-$C$228)-$C$236),0)</f>
      </c>
      <c r="O236">
        <f>IF(I236&lt;$C$232,MAX(0,J236-N236),0)</f>
      </c>
      <c r="P236">
        <f>IF($C$235&lt;&gt;1,0,P235*(1+((1+$C$244)^(1/12)-1))^12-O235/12*(1+((1+$C$244)^(1/12)-1))*(((1+((1+$C$244)^(1/12)-1))^12-1)/((1+((1+$C$244)^(1/12)-1))-1)))</f>
      </c>
      <c r="Q236">
        <f>IF($C$235&lt;&gt;1,0,IFERROR((((1+($C$244+'Inputs'!$H$108/100))^(1/12)-1)-((1+$C$244)^(1/12)-1))*(P236*(((1+((1+$C$244)^(1/12)-1))^12-1)/((1+((1+$C$244)^(1/12)-1))-1))-O236/12/((1+((1+$C$244)^(1/12)-1))-1)*((1+((1+$C$244)^(1/12)-1))*(((1+((1+$C$244)^(1/12)-1))^12-1)/((1+((1+$C$244)^(1/12)-1))-1))-12)),0))</f>
      </c>
    </row>
    <row r="237" spans="2:17" x14ac:dyDescent="0.25">
      <c r="B237" t="s">
        <v>443</v>
      </c>
      <c r="C237">
        <f>M228</f>
      </c>
      <c r="I237">
        <v>9</v>
      </c>
      <c r="J237">
        <f>IF(I237&lt;$C$232,12*$C$233*(1+$C$234)^I237,0)</f>
      </c>
      <c r="K237">
        <f>IF(J237&lt;=0,0,INDEX($E$226:$E$233,MATCH(J237,$F$226:$F$233,1))+(J237-INDEX($F$226:$F$233,MATCH(J237,$F$226:$F$233,1)))/INDEX($G$226:$G$233,MATCH(J237,$F$226:$F$233,1))-$C$230)</f>
      </c>
      <c r="L237">
        <f>MAX(0,L236*(1+'Inputs'!$C$122/100)-M236/12*(1+'Inputs'!$C$122/100)^(1/12)*'Inputs'!$C$122/100/((1+'Inputs'!$C$122/100)^(1/12)-1))</f>
      </c>
      <c r="M237">
        <f>IF(L237&gt;0.005,MIN(MAX(K237,'Inputs'!$H$115/100*L237),'Inputs'!$H$116/100*L237),0)</f>
      </c>
      <c r="N237">
        <f>IF(M237&gt;0,M237-(MAX(0,(INDEX('Inputs'!$D$125:$D$131,MATCH($C$230+M237,'Inputs'!$C$125:$C$131,1))+INDEX('Inputs'!$E$125:$E$131,MATCH($C$230+M237,'Inputs'!$C$125:$C$131,1))/100*(($C$230+M237)-INDEX('Inputs'!$C$125:$C$131,MATCH($C$230+M237,'Inputs'!$C$125:$C$131,1))))-$C$228)-$C$236),0)</f>
      </c>
      <c r="O237">
        <f>IF(I237&lt;$C$232,MAX(0,J237-N237),0)</f>
      </c>
      <c r="P237">
        <f>IF($C$235&lt;&gt;1,0,P236*(1+((1+$C$244)^(1/12)-1))^12-O236/12*(1+((1+$C$244)^(1/12)-1))*(((1+((1+$C$244)^(1/12)-1))^12-1)/((1+((1+$C$244)^(1/12)-1))-1)))</f>
      </c>
      <c r="Q237">
        <f>IF($C$235&lt;&gt;1,0,IFERROR((((1+($C$244+'Inputs'!$H$108/100))^(1/12)-1)-((1+$C$244)^(1/12)-1))*(P237*(((1+((1+$C$244)^(1/12)-1))^12-1)/((1+((1+$C$244)^(1/12)-1))-1))-O237/12/((1+((1+$C$244)^(1/12)-1))-1)*((1+((1+$C$244)^(1/12)-1))*(((1+((1+$C$244)^(1/12)-1))^12-1)/((1+((1+$C$244)^(1/12)-1))-1))-12)),0))</f>
      </c>
    </row>
    <row r="238" spans="2:17" x14ac:dyDescent="0.25">
      <c r="B238" t="s">
        <v>444</v>
      </c>
      <c r="C238">
        <f>T232</f>
      </c>
      <c r="I238">
        <v>10</v>
      </c>
      <c r="J238">
        <f>IF(I238&lt;$C$232,12*$C$233*(1+$C$234)^I238,0)</f>
      </c>
      <c r="K238">
        <f>IF(J238&lt;=0,0,INDEX($E$226:$E$233,MATCH(J238,$F$226:$F$233,1))+(J238-INDEX($F$226:$F$233,MATCH(J238,$F$226:$F$233,1)))/INDEX($G$226:$G$233,MATCH(J238,$F$226:$F$233,1))-$C$230)</f>
      </c>
      <c r="L238">
        <f>MAX(0,L237*(1+'Inputs'!$C$122/100)-M237/12*(1+'Inputs'!$C$122/100)^(1/12)*'Inputs'!$C$122/100/((1+'Inputs'!$C$122/100)^(1/12)-1))</f>
      </c>
      <c r="M238">
        <f>IF(L238&gt;0.005,MIN(MAX(K238,'Inputs'!$H$115/100*L238),'Inputs'!$H$116/100*L238),0)</f>
      </c>
      <c r="N238">
        <f>IF(M238&gt;0,M238-(MAX(0,(INDEX('Inputs'!$D$125:$D$131,MATCH($C$230+M238,'Inputs'!$C$125:$C$131,1))+INDEX('Inputs'!$E$125:$E$131,MATCH($C$230+M238,'Inputs'!$C$125:$C$131,1))/100*(($C$230+M238)-INDEX('Inputs'!$C$125:$C$131,MATCH($C$230+M238,'Inputs'!$C$125:$C$131,1))))-$C$228)-$C$236),0)</f>
      </c>
      <c r="O238">
        <f>IF(I238&lt;$C$232,MAX(0,J238-N238),0)</f>
      </c>
      <c r="P238">
        <f>IF($C$235&lt;&gt;1,0,P237*(1+((1+$C$244)^(1/12)-1))^12-O237/12*(1+((1+$C$244)^(1/12)-1))*(((1+((1+$C$244)^(1/12)-1))^12-1)/((1+((1+$C$244)^(1/12)-1))-1)))</f>
      </c>
      <c r="Q238">
        <f>IF($C$235&lt;&gt;1,0,IFERROR((((1+($C$244+'Inputs'!$H$108/100))^(1/12)-1)-((1+$C$244)^(1/12)-1))*(P238*(((1+((1+$C$244)^(1/12)-1))^12-1)/((1+((1+$C$244)^(1/12)-1))-1))-O238/12/((1+((1+$C$244)^(1/12)-1))-1)*((1+((1+$C$244)^(1/12)-1))*(((1+((1+$C$244)^(1/12)-1))^12-1)/((1+((1+$C$244)^(1/12)-1))-1))-12)),0))</f>
      </c>
    </row>
    <row r="239" spans="2:17" x14ac:dyDescent="0.25">
      <c r="B239" t="s">
        <v>445</v>
      </c>
      <c r="C239">
        <f>N228</f>
      </c>
      <c r="I239">
        <v>11</v>
      </c>
      <c r="J239">
        <f>IF(I239&lt;$C$232,12*$C$233*(1+$C$234)^I239,0)</f>
      </c>
      <c r="K239">
        <f>IF(J239&lt;=0,0,INDEX($E$226:$E$233,MATCH(J239,$F$226:$F$233,1))+(J239-INDEX($F$226:$F$233,MATCH(J239,$F$226:$F$233,1)))/INDEX($G$226:$G$233,MATCH(J239,$F$226:$F$233,1))-$C$230)</f>
      </c>
      <c r="L239">
        <f>MAX(0,L238*(1+'Inputs'!$C$122/100)-M238/12*(1+'Inputs'!$C$122/100)^(1/12)*'Inputs'!$C$122/100/((1+'Inputs'!$C$122/100)^(1/12)-1))</f>
      </c>
      <c r="M239">
        <f>IF(L239&gt;0.005,MIN(MAX(K239,'Inputs'!$H$115/100*L239),'Inputs'!$H$116/100*L239),0)</f>
      </c>
      <c r="N239">
        <f>IF(M239&gt;0,M239-(MAX(0,(INDEX('Inputs'!$D$125:$D$131,MATCH($C$230+M239,'Inputs'!$C$125:$C$131,1))+INDEX('Inputs'!$E$125:$E$131,MATCH($C$230+M239,'Inputs'!$C$125:$C$131,1))/100*(($C$230+M239)-INDEX('Inputs'!$C$125:$C$131,MATCH($C$230+M239,'Inputs'!$C$125:$C$131,1))))-$C$228)-$C$236),0)</f>
      </c>
      <c r="O239">
        <f>IF(I239&lt;$C$232,MAX(0,J239-N239),0)</f>
      </c>
      <c r="P239">
        <f>IF($C$235&lt;&gt;1,0,P238*(1+((1+$C$244)^(1/12)-1))^12-O238/12*(1+((1+$C$244)^(1/12)-1))*(((1+((1+$C$244)^(1/12)-1))^12-1)/((1+((1+$C$244)^(1/12)-1))-1)))</f>
      </c>
      <c r="Q239">
        <f>IF($C$235&lt;&gt;1,0,IFERROR((((1+($C$244+'Inputs'!$H$108/100))^(1/12)-1)-((1+$C$244)^(1/12)-1))*(P239*(((1+((1+$C$244)^(1/12)-1))^12-1)/((1+((1+$C$244)^(1/12)-1))-1))-O239/12/((1+((1+$C$244)^(1/12)-1))-1)*((1+((1+$C$244)^(1/12)-1))*(((1+((1+$C$244)^(1/12)-1))^12-1)/((1+((1+$C$244)^(1/12)-1))-1))-12)),0))</f>
      </c>
    </row>
    <row r="240" spans="2:17" x14ac:dyDescent="0.25">
      <c r="B240" t="s">
        <v>446</v>
      </c>
      <c r="C240">
        <f>O228</f>
      </c>
      <c r="I240">
        <v>12</v>
      </c>
      <c r="J240">
        <f>IF(I240&lt;$C$232,12*$C$233*(1+$C$234)^I240,0)</f>
      </c>
      <c r="K240">
        <f>IF(J240&lt;=0,0,INDEX($E$226:$E$233,MATCH(J240,$F$226:$F$233,1))+(J240-INDEX($F$226:$F$233,MATCH(J240,$F$226:$F$233,1)))/INDEX($G$226:$G$233,MATCH(J240,$F$226:$F$233,1))-$C$230)</f>
      </c>
      <c r="L240">
        <f>MAX(0,L239*(1+'Inputs'!$C$122/100)-M239/12*(1+'Inputs'!$C$122/100)^(1/12)*'Inputs'!$C$122/100/((1+'Inputs'!$C$122/100)^(1/12)-1))</f>
      </c>
      <c r="M240">
        <f>IF(L240&gt;0.005,MIN(MAX(K240,'Inputs'!$H$115/100*L240),'Inputs'!$H$116/100*L240),0)</f>
      </c>
      <c r="N240">
        <f>IF(M240&gt;0,M240-(MAX(0,(INDEX('Inputs'!$D$125:$D$131,MATCH($C$230+M240,'Inputs'!$C$125:$C$131,1))+INDEX('Inputs'!$E$125:$E$131,MATCH($C$230+M240,'Inputs'!$C$125:$C$131,1))/100*(($C$230+M240)-INDEX('Inputs'!$C$125:$C$131,MATCH($C$230+M240,'Inputs'!$C$125:$C$131,1))))-$C$228)-$C$236),0)</f>
      </c>
      <c r="O240">
        <f>IF(I240&lt;$C$232,MAX(0,J240-N240),0)</f>
      </c>
      <c r="P240">
        <f>IF($C$235&lt;&gt;1,0,P239*(1+((1+$C$244)^(1/12)-1))^12-O239/12*(1+((1+$C$244)^(1/12)-1))*(((1+((1+$C$244)^(1/12)-1))^12-1)/((1+((1+$C$244)^(1/12)-1))-1)))</f>
      </c>
      <c r="Q240">
        <f>IF($C$235&lt;&gt;1,0,IFERROR((((1+($C$244+'Inputs'!$H$108/100))^(1/12)-1)-((1+$C$244)^(1/12)-1))*(P240*(((1+((1+$C$244)^(1/12)-1))^12-1)/((1+((1+$C$244)^(1/12)-1))-1))-O240/12/((1+((1+$C$244)^(1/12)-1))-1)*((1+((1+$C$244)^(1/12)-1))*(((1+((1+$C$244)^(1/12)-1))^12-1)/((1+((1+$C$244)^(1/12)-1))-1))-12)),0))</f>
      </c>
    </row>
    <row r="241" spans="2:17" x14ac:dyDescent="0.25">
      <c r="B241" t="s">
        <v>447</v>
      </c>
      <c r="C241">
        <f>ROUND(Q228,2)</f>
      </c>
      <c r="I241">
        <v>13</v>
      </c>
      <c r="J241">
        <f>IF(I241&lt;$C$232,12*$C$233*(1+$C$234)^I241,0)</f>
      </c>
      <c r="K241">
        <f>IF(J241&lt;=0,0,INDEX($E$226:$E$233,MATCH(J241,$F$226:$F$233,1))+(J241-INDEX($F$226:$F$233,MATCH(J241,$F$226:$F$233,1)))/INDEX($G$226:$G$233,MATCH(J241,$F$226:$F$233,1))-$C$230)</f>
      </c>
      <c r="L241">
        <f>MAX(0,L240*(1+'Inputs'!$C$122/100)-M240/12*(1+'Inputs'!$C$122/100)^(1/12)*'Inputs'!$C$122/100/((1+'Inputs'!$C$122/100)^(1/12)-1))</f>
      </c>
      <c r="M241">
        <f>IF(L241&gt;0.005,MIN(MAX(K241,'Inputs'!$H$115/100*L241),'Inputs'!$H$116/100*L241),0)</f>
      </c>
      <c r="N241">
        <f>IF(M241&gt;0,M241-(MAX(0,(INDEX('Inputs'!$D$125:$D$131,MATCH($C$230+M241,'Inputs'!$C$125:$C$131,1))+INDEX('Inputs'!$E$125:$E$131,MATCH($C$230+M241,'Inputs'!$C$125:$C$131,1))/100*(($C$230+M241)-INDEX('Inputs'!$C$125:$C$131,MATCH($C$230+M241,'Inputs'!$C$125:$C$131,1))))-$C$228)-$C$236),0)</f>
      </c>
      <c r="O241">
        <f>IF(I241&lt;$C$232,MAX(0,J241-N241),0)</f>
      </c>
      <c r="P241">
        <f>IF($C$235&lt;&gt;1,0,P240*(1+((1+$C$244)^(1/12)-1))^12-O240/12*(1+((1+$C$244)^(1/12)-1))*(((1+((1+$C$244)^(1/12)-1))^12-1)/((1+((1+$C$244)^(1/12)-1))-1)))</f>
      </c>
      <c r="Q241">
        <f>IF($C$235&lt;&gt;1,0,IFERROR((((1+($C$244+'Inputs'!$H$108/100))^(1/12)-1)-((1+$C$244)^(1/12)-1))*(P241*(((1+((1+$C$244)^(1/12)-1))^12-1)/((1+((1+$C$244)^(1/12)-1))-1))-O241/12/((1+((1+$C$244)^(1/12)-1))-1)*((1+((1+$C$244)^(1/12)-1))*(((1+((1+$C$244)^(1/12)-1))^12-1)/((1+((1+$C$244)^(1/12)-1))-1))-12)),0))</f>
      </c>
    </row>
    <row r="242" spans="2:17" x14ac:dyDescent="0.25">
      <c r="B242" t="s">
        <v>448</v>
      </c>
      <c r="C242">
        <f>ROUND(SUM($Q$228:$Q$277),2)</f>
      </c>
      <c r="I242">
        <v>14</v>
      </c>
      <c r="J242">
        <f>IF(I242&lt;$C$232,12*$C$233*(1+$C$234)^I242,0)</f>
      </c>
      <c r="K242">
        <f>IF(J242&lt;=0,0,INDEX($E$226:$E$233,MATCH(J242,$F$226:$F$233,1))+(J242-INDEX($F$226:$F$233,MATCH(J242,$F$226:$F$233,1)))/INDEX($G$226:$G$233,MATCH(J242,$F$226:$F$233,1))-$C$230)</f>
      </c>
      <c r="L242">
        <f>MAX(0,L241*(1+'Inputs'!$C$122/100)-M241/12*(1+'Inputs'!$C$122/100)^(1/12)*'Inputs'!$C$122/100/((1+'Inputs'!$C$122/100)^(1/12)-1))</f>
      </c>
      <c r="M242">
        <f>IF(L242&gt;0.005,MIN(MAX(K242,'Inputs'!$H$115/100*L242),'Inputs'!$H$116/100*L242),0)</f>
      </c>
      <c r="N242">
        <f>IF(M242&gt;0,M242-(MAX(0,(INDEX('Inputs'!$D$125:$D$131,MATCH($C$230+M242,'Inputs'!$C$125:$C$131,1))+INDEX('Inputs'!$E$125:$E$131,MATCH($C$230+M242,'Inputs'!$C$125:$C$131,1))/100*(($C$230+M242)-INDEX('Inputs'!$C$125:$C$131,MATCH($C$230+M242,'Inputs'!$C$125:$C$131,1))))-$C$228)-$C$236),0)</f>
      </c>
      <c r="O242">
        <f>IF(I242&lt;$C$232,MAX(0,J242-N242),0)</f>
      </c>
      <c r="P242">
        <f>IF($C$235&lt;&gt;1,0,P241*(1+((1+$C$244)^(1/12)-1))^12-O241/12*(1+((1+$C$244)^(1/12)-1))*(((1+((1+$C$244)^(1/12)-1))^12-1)/((1+((1+$C$244)^(1/12)-1))-1)))</f>
      </c>
      <c r="Q242">
        <f>IF($C$235&lt;&gt;1,0,IFERROR((((1+($C$244+'Inputs'!$H$108/100))^(1/12)-1)-((1+$C$244)^(1/12)-1))*(P242*(((1+((1+$C$244)^(1/12)-1))^12-1)/((1+((1+$C$244)^(1/12)-1))-1))-O242/12/((1+((1+$C$244)^(1/12)-1))-1)*((1+((1+$C$244)^(1/12)-1))*(((1+((1+$C$244)^(1/12)-1))^12-1)/((1+((1+$C$244)^(1/12)-1))-1))-12)),0))</f>
      </c>
    </row>
    <row r="243" spans="2:17" x14ac:dyDescent="0.25">
      <c r="B243" t="s">
        <v>449</v>
      </c>
      <c r="C243">
        <f>IF($C$235&lt;&gt;1,0,ROUND(IF($C$244=0,SUM($O$228:$O$277),(1-(1+$C$244)^-1)/(1-(1+$C$244)^(-1/12))/12*SUMPRODUCT($O$228:$O$277,(1+$C$244)^(-$I$228:$I$277)))-IF(($C$244+'Inputs'!$H$108/100)=0,SUM($O$228:$O$277),(1-(1+($C$244+'Inputs'!$H$108/100))^-1)/(1-(1+($C$244+'Inputs'!$H$108/100))^(-1/12))/12*SUMPRODUCT($O$228:$O$277,(1+($C$244+'Inputs'!$H$108/100))^(-$I$228:$I$277))),2))</f>
      </c>
      <c r="I243">
        <v>15</v>
      </c>
      <c r="J243">
        <f>IF(I243&lt;$C$232,12*$C$233*(1+$C$234)^I243,0)</f>
      </c>
      <c r="K243">
        <f>IF(J243&lt;=0,0,INDEX($E$226:$E$233,MATCH(J243,$F$226:$F$233,1))+(J243-INDEX($F$226:$F$233,MATCH(J243,$F$226:$F$233,1)))/INDEX($G$226:$G$233,MATCH(J243,$F$226:$F$233,1))-$C$230)</f>
      </c>
      <c r="L243">
        <f>MAX(0,L242*(1+'Inputs'!$C$122/100)-M242/12*(1+'Inputs'!$C$122/100)^(1/12)*'Inputs'!$C$122/100/((1+'Inputs'!$C$122/100)^(1/12)-1))</f>
      </c>
      <c r="M243">
        <f>IF(L243&gt;0.005,MIN(MAX(K243,'Inputs'!$H$115/100*L243),'Inputs'!$H$116/100*L243),0)</f>
      </c>
      <c r="N243">
        <f>IF(M243&gt;0,M243-(MAX(0,(INDEX('Inputs'!$D$125:$D$131,MATCH($C$230+M243,'Inputs'!$C$125:$C$131,1))+INDEX('Inputs'!$E$125:$E$131,MATCH($C$230+M243,'Inputs'!$C$125:$C$131,1))/100*(($C$230+M243)-INDEX('Inputs'!$C$125:$C$131,MATCH($C$230+M243,'Inputs'!$C$125:$C$131,1))))-$C$228)-$C$236),0)</f>
      </c>
      <c r="O243">
        <f>IF(I243&lt;$C$232,MAX(0,J243-N243),0)</f>
      </c>
      <c r="P243">
        <f>IF($C$235&lt;&gt;1,0,P242*(1+((1+$C$244)^(1/12)-1))^12-O242/12*(1+((1+$C$244)^(1/12)-1))*(((1+((1+$C$244)^(1/12)-1))^12-1)/((1+((1+$C$244)^(1/12)-1))-1)))</f>
      </c>
      <c r="Q243">
        <f>IF($C$235&lt;&gt;1,0,IFERROR((((1+($C$244+'Inputs'!$H$108/100))^(1/12)-1)-((1+$C$244)^(1/12)-1))*(P243*(((1+((1+$C$244)^(1/12)-1))^12-1)/((1+((1+$C$244)^(1/12)-1))-1))-O243/12/((1+((1+$C$244)^(1/12)-1))-1)*((1+((1+$C$244)^(1/12)-1))*(((1+((1+$C$244)^(1/12)-1))^12-1)/((1+((1+$C$244)^(1/12)-1))-1))-12)),0))</f>
      </c>
    </row>
    <row r="244" spans="2:17" x14ac:dyDescent="0.25">
      <c r="B244" t="s">
        <v>450</v>
      </c>
      <c r="C244">
        <f>IF($C$235=1,'Needs calc'!$C$77,0)</f>
      </c>
      <c r="I244">
        <v>16</v>
      </c>
      <c r="J244">
        <f>IF(I244&lt;$C$232,12*$C$233*(1+$C$234)^I244,0)</f>
      </c>
      <c r="K244">
        <f>IF(J244&lt;=0,0,INDEX($E$226:$E$233,MATCH(J244,$F$226:$F$233,1))+(J244-INDEX($F$226:$F$233,MATCH(J244,$F$226:$F$233,1)))/INDEX($G$226:$G$233,MATCH(J244,$F$226:$F$233,1))-$C$230)</f>
      </c>
      <c r="L244">
        <f>MAX(0,L243*(1+'Inputs'!$C$122/100)-M243/12*(1+'Inputs'!$C$122/100)^(1/12)*'Inputs'!$C$122/100/((1+'Inputs'!$C$122/100)^(1/12)-1))</f>
      </c>
      <c r="M244">
        <f>IF(L244&gt;0.005,MIN(MAX(K244,'Inputs'!$H$115/100*L244),'Inputs'!$H$116/100*L244),0)</f>
      </c>
      <c r="N244">
        <f>IF(M244&gt;0,M244-(MAX(0,(INDEX('Inputs'!$D$125:$D$131,MATCH($C$230+M244,'Inputs'!$C$125:$C$131,1))+INDEX('Inputs'!$E$125:$E$131,MATCH($C$230+M244,'Inputs'!$C$125:$C$131,1))/100*(($C$230+M244)-INDEX('Inputs'!$C$125:$C$131,MATCH($C$230+M244,'Inputs'!$C$125:$C$131,1))))-$C$228)-$C$236),0)</f>
      </c>
      <c r="O244">
        <f>IF(I244&lt;$C$232,MAX(0,J244-N244),0)</f>
      </c>
      <c r="P244">
        <f>IF($C$235&lt;&gt;1,0,P243*(1+((1+$C$244)^(1/12)-1))^12-O243/12*(1+((1+$C$244)^(1/12)-1))*(((1+((1+$C$244)^(1/12)-1))^12-1)/((1+((1+$C$244)^(1/12)-1))-1)))</f>
      </c>
      <c r="Q244">
        <f>IF($C$235&lt;&gt;1,0,IFERROR((((1+($C$244+'Inputs'!$H$108/100))^(1/12)-1)-((1+$C$244)^(1/12)-1))*(P244*(((1+((1+$C$244)^(1/12)-1))^12-1)/((1+((1+$C$244)^(1/12)-1))-1))-O244/12/((1+((1+$C$244)^(1/12)-1))-1)*((1+((1+$C$244)^(1/12)-1))*(((1+((1+$C$244)^(1/12)-1))^12-1)/((1+((1+$C$244)^(1/12)-1))-1))-12)),0))</f>
      </c>
    </row>
    <row r="245" spans="9:17" x14ac:dyDescent="0.25">
      <c r="I245">
        <v>17</v>
      </c>
      <c r="J245">
        <f>IF(I245&lt;$C$232,12*$C$233*(1+$C$234)^I245,0)</f>
      </c>
      <c r="K245">
        <f>IF(J245&lt;=0,0,INDEX($E$226:$E$233,MATCH(J245,$F$226:$F$233,1))+(J245-INDEX($F$226:$F$233,MATCH(J245,$F$226:$F$233,1)))/INDEX($G$226:$G$233,MATCH(J245,$F$226:$F$233,1))-$C$230)</f>
      </c>
      <c r="L245">
        <f>MAX(0,L244*(1+'Inputs'!$C$122/100)-M244/12*(1+'Inputs'!$C$122/100)^(1/12)*'Inputs'!$C$122/100/((1+'Inputs'!$C$122/100)^(1/12)-1))</f>
      </c>
      <c r="M245">
        <f>IF(L245&gt;0.005,MIN(MAX(K245,'Inputs'!$H$115/100*L245),'Inputs'!$H$116/100*L245),0)</f>
      </c>
      <c r="N245">
        <f>IF(M245&gt;0,M245-(MAX(0,(INDEX('Inputs'!$D$125:$D$131,MATCH($C$230+M245,'Inputs'!$C$125:$C$131,1))+INDEX('Inputs'!$E$125:$E$131,MATCH($C$230+M245,'Inputs'!$C$125:$C$131,1))/100*(($C$230+M245)-INDEX('Inputs'!$C$125:$C$131,MATCH($C$230+M245,'Inputs'!$C$125:$C$131,1))))-$C$228)-$C$236),0)</f>
      </c>
      <c r="O245">
        <f>IF(I245&lt;$C$232,MAX(0,J245-N245),0)</f>
      </c>
      <c r="P245">
        <f>IF($C$235&lt;&gt;1,0,P244*(1+((1+$C$244)^(1/12)-1))^12-O244/12*(1+((1+$C$244)^(1/12)-1))*(((1+((1+$C$244)^(1/12)-1))^12-1)/((1+((1+$C$244)^(1/12)-1))-1)))</f>
      </c>
      <c r="Q245">
        <f>IF($C$235&lt;&gt;1,0,IFERROR((((1+($C$244+'Inputs'!$H$108/100))^(1/12)-1)-((1+$C$244)^(1/12)-1))*(P245*(((1+((1+$C$244)^(1/12)-1))^12-1)/((1+((1+$C$244)^(1/12)-1))-1))-O245/12/((1+((1+$C$244)^(1/12)-1))-1)*((1+((1+$C$244)^(1/12)-1))*(((1+((1+$C$244)^(1/12)-1))^12-1)/((1+((1+$C$244)^(1/12)-1))-1))-12)),0))</f>
      </c>
    </row>
    <row r="246" spans="9:17" x14ac:dyDescent="0.25">
      <c r="I246">
        <v>18</v>
      </c>
      <c r="J246">
        <f>IF(I246&lt;$C$232,12*$C$233*(1+$C$234)^I246,0)</f>
      </c>
      <c r="K246">
        <f>IF(J246&lt;=0,0,INDEX($E$226:$E$233,MATCH(J246,$F$226:$F$233,1))+(J246-INDEX($F$226:$F$233,MATCH(J246,$F$226:$F$233,1)))/INDEX($G$226:$G$233,MATCH(J246,$F$226:$F$233,1))-$C$230)</f>
      </c>
      <c r="L246">
        <f>MAX(0,L245*(1+'Inputs'!$C$122/100)-M245/12*(1+'Inputs'!$C$122/100)^(1/12)*'Inputs'!$C$122/100/((1+'Inputs'!$C$122/100)^(1/12)-1))</f>
      </c>
      <c r="M246">
        <f>IF(L246&gt;0.005,MIN(MAX(K246,'Inputs'!$H$115/100*L246),'Inputs'!$H$116/100*L246),0)</f>
      </c>
      <c r="N246">
        <f>IF(M246&gt;0,M246-(MAX(0,(INDEX('Inputs'!$D$125:$D$131,MATCH($C$230+M246,'Inputs'!$C$125:$C$131,1))+INDEX('Inputs'!$E$125:$E$131,MATCH($C$230+M246,'Inputs'!$C$125:$C$131,1))/100*(($C$230+M246)-INDEX('Inputs'!$C$125:$C$131,MATCH($C$230+M246,'Inputs'!$C$125:$C$131,1))))-$C$228)-$C$236),0)</f>
      </c>
      <c r="O246">
        <f>IF(I246&lt;$C$232,MAX(0,J246-N246),0)</f>
      </c>
      <c r="P246">
        <f>IF($C$235&lt;&gt;1,0,P245*(1+((1+$C$244)^(1/12)-1))^12-O245/12*(1+((1+$C$244)^(1/12)-1))*(((1+((1+$C$244)^(1/12)-1))^12-1)/((1+((1+$C$244)^(1/12)-1))-1)))</f>
      </c>
      <c r="Q246">
        <f>IF($C$235&lt;&gt;1,0,IFERROR((((1+($C$244+'Inputs'!$H$108/100))^(1/12)-1)-((1+$C$244)^(1/12)-1))*(P246*(((1+((1+$C$244)^(1/12)-1))^12-1)/((1+((1+$C$244)^(1/12)-1))-1))-O246/12/((1+((1+$C$244)^(1/12)-1))-1)*((1+((1+$C$244)^(1/12)-1))*(((1+((1+$C$244)^(1/12)-1))^12-1)/((1+((1+$C$244)^(1/12)-1))-1))-12)),0))</f>
      </c>
    </row>
    <row r="247" spans="9:17" x14ac:dyDescent="0.25">
      <c r="I247">
        <v>19</v>
      </c>
      <c r="J247">
        <f>IF(I247&lt;$C$232,12*$C$233*(1+$C$234)^I247,0)</f>
      </c>
      <c r="K247">
        <f>IF(J247&lt;=0,0,INDEX($E$226:$E$233,MATCH(J247,$F$226:$F$233,1))+(J247-INDEX($F$226:$F$233,MATCH(J247,$F$226:$F$233,1)))/INDEX($G$226:$G$233,MATCH(J247,$F$226:$F$233,1))-$C$230)</f>
      </c>
      <c r="L247">
        <f>MAX(0,L246*(1+'Inputs'!$C$122/100)-M246/12*(1+'Inputs'!$C$122/100)^(1/12)*'Inputs'!$C$122/100/((1+'Inputs'!$C$122/100)^(1/12)-1))</f>
      </c>
      <c r="M247">
        <f>IF(L247&gt;0.005,MIN(MAX(K247,'Inputs'!$H$115/100*L247),'Inputs'!$H$116/100*L247),0)</f>
      </c>
      <c r="N247">
        <f>IF(M247&gt;0,M247-(MAX(0,(INDEX('Inputs'!$D$125:$D$131,MATCH($C$230+M247,'Inputs'!$C$125:$C$131,1))+INDEX('Inputs'!$E$125:$E$131,MATCH($C$230+M247,'Inputs'!$C$125:$C$131,1))/100*(($C$230+M247)-INDEX('Inputs'!$C$125:$C$131,MATCH($C$230+M247,'Inputs'!$C$125:$C$131,1))))-$C$228)-$C$236),0)</f>
      </c>
      <c r="O247">
        <f>IF(I247&lt;$C$232,MAX(0,J247-N247),0)</f>
      </c>
      <c r="P247">
        <f>IF($C$235&lt;&gt;1,0,P246*(1+((1+$C$244)^(1/12)-1))^12-O246/12*(1+((1+$C$244)^(1/12)-1))*(((1+((1+$C$244)^(1/12)-1))^12-1)/((1+((1+$C$244)^(1/12)-1))-1)))</f>
      </c>
      <c r="Q247">
        <f>IF($C$235&lt;&gt;1,0,IFERROR((((1+($C$244+'Inputs'!$H$108/100))^(1/12)-1)-((1+$C$244)^(1/12)-1))*(P247*(((1+((1+$C$244)^(1/12)-1))^12-1)/((1+((1+$C$244)^(1/12)-1))-1))-O247/12/((1+((1+$C$244)^(1/12)-1))-1)*((1+((1+$C$244)^(1/12)-1))*(((1+((1+$C$244)^(1/12)-1))^12-1)/((1+((1+$C$244)^(1/12)-1))-1))-12)),0))</f>
      </c>
    </row>
    <row r="248" spans="9:17" x14ac:dyDescent="0.25">
      <c r="I248">
        <v>20</v>
      </c>
      <c r="J248">
        <f>IF(I248&lt;$C$232,12*$C$233*(1+$C$234)^I248,0)</f>
      </c>
      <c r="K248">
        <f>IF(J248&lt;=0,0,INDEX($E$226:$E$233,MATCH(J248,$F$226:$F$233,1))+(J248-INDEX($F$226:$F$233,MATCH(J248,$F$226:$F$233,1)))/INDEX($G$226:$G$233,MATCH(J248,$F$226:$F$233,1))-$C$230)</f>
      </c>
      <c r="L248">
        <f>MAX(0,L247*(1+'Inputs'!$C$122/100)-M247/12*(1+'Inputs'!$C$122/100)^(1/12)*'Inputs'!$C$122/100/((1+'Inputs'!$C$122/100)^(1/12)-1))</f>
      </c>
      <c r="M248">
        <f>IF(L248&gt;0.005,MIN(MAX(K248,'Inputs'!$H$115/100*L248),'Inputs'!$H$116/100*L248),0)</f>
      </c>
      <c r="N248">
        <f>IF(M248&gt;0,M248-(MAX(0,(INDEX('Inputs'!$D$125:$D$131,MATCH($C$230+M248,'Inputs'!$C$125:$C$131,1))+INDEX('Inputs'!$E$125:$E$131,MATCH($C$230+M248,'Inputs'!$C$125:$C$131,1))/100*(($C$230+M248)-INDEX('Inputs'!$C$125:$C$131,MATCH($C$230+M248,'Inputs'!$C$125:$C$131,1))))-$C$228)-$C$236),0)</f>
      </c>
      <c r="O248">
        <f>IF(I248&lt;$C$232,MAX(0,J248-N248),0)</f>
      </c>
      <c r="P248">
        <f>IF($C$235&lt;&gt;1,0,P247*(1+((1+$C$244)^(1/12)-1))^12-O247/12*(1+((1+$C$244)^(1/12)-1))*(((1+((1+$C$244)^(1/12)-1))^12-1)/((1+((1+$C$244)^(1/12)-1))-1)))</f>
      </c>
      <c r="Q248">
        <f>IF($C$235&lt;&gt;1,0,IFERROR((((1+($C$244+'Inputs'!$H$108/100))^(1/12)-1)-((1+$C$244)^(1/12)-1))*(P248*(((1+((1+$C$244)^(1/12)-1))^12-1)/((1+((1+$C$244)^(1/12)-1))-1))-O248/12/((1+((1+$C$244)^(1/12)-1))-1)*((1+((1+$C$244)^(1/12)-1))*(((1+((1+$C$244)^(1/12)-1))^12-1)/((1+((1+$C$244)^(1/12)-1))-1))-12)),0))</f>
      </c>
    </row>
    <row r="249" spans="9:17" x14ac:dyDescent="0.25">
      <c r="I249">
        <v>21</v>
      </c>
      <c r="J249">
        <f>IF(I249&lt;$C$232,12*$C$233*(1+$C$234)^I249,0)</f>
      </c>
      <c r="K249">
        <f>IF(J249&lt;=0,0,INDEX($E$226:$E$233,MATCH(J249,$F$226:$F$233,1))+(J249-INDEX($F$226:$F$233,MATCH(J249,$F$226:$F$233,1)))/INDEX($G$226:$G$233,MATCH(J249,$F$226:$F$233,1))-$C$230)</f>
      </c>
      <c r="L249">
        <f>MAX(0,L248*(1+'Inputs'!$C$122/100)-M248/12*(1+'Inputs'!$C$122/100)^(1/12)*'Inputs'!$C$122/100/((1+'Inputs'!$C$122/100)^(1/12)-1))</f>
      </c>
      <c r="M249">
        <f>IF(L249&gt;0.005,MIN(MAX(K249,'Inputs'!$H$115/100*L249),'Inputs'!$H$116/100*L249),0)</f>
      </c>
      <c r="N249">
        <f>IF(M249&gt;0,M249-(MAX(0,(INDEX('Inputs'!$D$125:$D$131,MATCH($C$230+M249,'Inputs'!$C$125:$C$131,1))+INDEX('Inputs'!$E$125:$E$131,MATCH($C$230+M249,'Inputs'!$C$125:$C$131,1))/100*(($C$230+M249)-INDEX('Inputs'!$C$125:$C$131,MATCH($C$230+M249,'Inputs'!$C$125:$C$131,1))))-$C$228)-$C$236),0)</f>
      </c>
      <c r="O249">
        <f>IF(I249&lt;$C$232,MAX(0,J249-N249),0)</f>
      </c>
      <c r="P249">
        <f>IF($C$235&lt;&gt;1,0,P248*(1+((1+$C$244)^(1/12)-1))^12-O248/12*(1+((1+$C$244)^(1/12)-1))*(((1+((1+$C$244)^(1/12)-1))^12-1)/((1+((1+$C$244)^(1/12)-1))-1)))</f>
      </c>
      <c r="Q249">
        <f>IF($C$235&lt;&gt;1,0,IFERROR((((1+($C$244+'Inputs'!$H$108/100))^(1/12)-1)-((1+$C$244)^(1/12)-1))*(P249*(((1+((1+$C$244)^(1/12)-1))^12-1)/((1+((1+$C$244)^(1/12)-1))-1))-O249/12/((1+((1+$C$244)^(1/12)-1))-1)*((1+((1+$C$244)^(1/12)-1))*(((1+((1+$C$244)^(1/12)-1))^12-1)/((1+((1+$C$244)^(1/12)-1))-1))-12)),0))</f>
      </c>
    </row>
    <row r="250" spans="9:17" x14ac:dyDescent="0.25">
      <c r="I250">
        <v>22</v>
      </c>
      <c r="J250">
        <f>IF(I250&lt;$C$232,12*$C$233*(1+$C$234)^I250,0)</f>
      </c>
      <c r="K250">
        <f>IF(J250&lt;=0,0,INDEX($E$226:$E$233,MATCH(J250,$F$226:$F$233,1))+(J250-INDEX($F$226:$F$233,MATCH(J250,$F$226:$F$233,1)))/INDEX($G$226:$G$233,MATCH(J250,$F$226:$F$233,1))-$C$230)</f>
      </c>
      <c r="L250">
        <f>MAX(0,L249*(1+'Inputs'!$C$122/100)-M249/12*(1+'Inputs'!$C$122/100)^(1/12)*'Inputs'!$C$122/100/((1+'Inputs'!$C$122/100)^(1/12)-1))</f>
      </c>
      <c r="M250">
        <f>IF(L250&gt;0.005,MIN(MAX(K250,'Inputs'!$H$115/100*L250),'Inputs'!$H$116/100*L250),0)</f>
      </c>
      <c r="N250">
        <f>IF(M250&gt;0,M250-(MAX(0,(INDEX('Inputs'!$D$125:$D$131,MATCH($C$230+M250,'Inputs'!$C$125:$C$131,1))+INDEX('Inputs'!$E$125:$E$131,MATCH($C$230+M250,'Inputs'!$C$125:$C$131,1))/100*(($C$230+M250)-INDEX('Inputs'!$C$125:$C$131,MATCH($C$230+M250,'Inputs'!$C$125:$C$131,1))))-$C$228)-$C$236),0)</f>
      </c>
      <c r="O250">
        <f>IF(I250&lt;$C$232,MAX(0,J250-N250),0)</f>
      </c>
      <c r="P250">
        <f>IF($C$235&lt;&gt;1,0,P249*(1+((1+$C$244)^(1/12)-1))^12-O249/12*(1+((1+$C$244)^(1/12)-1))*(((1+((1+$C$244)^(1/12)-1))^12-1)/((1+((1+$C$244)^(1/12)-1))-1)))</f>
      </c>
      <c r="Q250">
        <f>IF($C$235&lt;&gt;1,0,IFERROR((((1+($C$244+'Inputs'!$H$108/100))^(1/12)-1)-((1+$C$244)^(1/12)-1))*(P250*(((1+((1+$C$244)^(1/12)-1))^12-1)/((1+((1+$C$244)^(1/12)-1))-1))-O250/12/((1+((1+$C$244)^(1/12)-1))-1)*((1+((1+$C$244)^(1/12)-1))*(((1+((1+$C$244)^(1/12)-1))^12-1)/((1+((1+$C$244)^(1/12)-1))-1))-12)),0))</f>
      </c>
    </row>
    <row r="251" spans="9:17" x14ac:dyDescent="0.25">
      <c r="I251">
        <v>23</v>
      </c>
      <c r="J251">
        <f>IF(I251&lt;$C$232,12*$C$233*(1+$C$234)^I251,0)</f>
      </c>
      <c r="K251">
        <f>IF(J251&lt;=0,0,INDEX($E$226:$E$233,MATCH(J251,$F$226:$F$233,1))+(J251-INDEX($F$226:$F$233,MATCH(J251,$F$226:$F$233,1)))/INDEX($G$226:$G$233,MATCH(J251,$F$226:$F$233,1))-$C$230)</f>
      </c>
      <c r="L251">
        <f>MAX(0,L250*(1+'Inputs'!$C$122/100)-M250/12*(1+'Inputs'!$C$122/100)^(1/12)*'Inputs'!$C$122/100/((1+'Inputs'!$C$122/100)^(1/12)-1))</f>
      </c>
      <c r="M251">
        <f>IF(L251&gt;0.005,MIN(MAX(K251,'Inputs'!$H$115/100*L251),'Inputs'!$H$116/100*L251),0)</f>
      </c>
      <c r="N251">
        <f>IF(M251&gt;0,M251-(MAX(0,(INDEX('Inputs'!$D$125:$D$131,MATCH($C$230+M251,'Inputs'!$C$125:$C$131,1))+INDEX('Inputs'!$E$125:$E$131,MATCH($C$230+M251,'Inputs'!$C$125:$C$131,1))/100*(($C$230+M251)-INDEX('Inputs'!$C$125:$C$131,MATCH($C$230+M251,'Inputs'!$C$125:$C$131,1))))-$C$228)-$C$236),0)</f>
      </c>
      <c r="O251">
        <f>IF(I251&lt;$C$232,MAX(0,J251-N251),0)</f>
      </c>
      <c r="P251">
        <f>IF($C$235&lt;&gt;1,0,P250*(1+((1+$C$244)^(1/12)-1))^12-O250/12*(1+((1+$C$244)^(1/12)-1))*(((1+((1+$C$244)^(1/12)-1))^12-1)/((1+((1+$C$244)^(1/12)-1))-1)))</f>
      </c>
      <c r="Q251">
        <f>IF($C$235&lt;&gt;1,0,IFERROR((((1+($C$244+'Inputs'!$H$108/100))^(1/12)-1)-((1+$C$244)^(1/12)-1))*(P251*(((1+((1+$C$244)^(1/12)-1))^12-1)/((1+((1+$C$244)^(1/12)-1))-1))-O251/12/((1+((1+$C$244)^(1/12)-1))-1)*((1+((1+$C$244)^(1/12)-1))*(((1+((1+$C$244)^(1/12)-1))^12-1)/((1+((1+$C$244)^(1/12)-1))-1))-12)),0))</f>
      </c>
    </row>
    <row r="252" spans="9:17" x14ac:dyDescent="0.25">
      <c r="I252">
        <v>24</v>
      </c>
      <c r="J252">
        <f>IF(I252&lt;$C$232,12*$C$233*(1+$C$234)^I252,0)</f>
      </c>
      <c r="K252">
        <f>IF(J252&lt;=0,0,INDEX($E$226:$E$233,MATCH(J252,$F$226:$F$233,1))+(J252-INDEX($F$226:$F$233,MATCH(J252,$F$226:$F$233,1)))/INDEX($G$226:$G$233,MATCH(J252,$F$226:$F$233,1))-$C$230)</f>
      </c>
      <c r="L252">
        <f>MAX(0,L251*(1+'Inputs'!$C$122/100)-M251/12*(1+'Inputs'!$C$122/100)^(1/12)*'Inputs'!$C$122/100/((1+'Inputs'!$C$122/100)^(1/12)-1))</f>
      </c>
      <c r="M252">
        <f>IF(L252&gt;0.005,MIN(MAX(K252,'Inputs'!$H$115/100*L252),'Inputs'!$H$116/100*L252),0)</f>
      </c>
      <c r="N252">
        <f>IF(M252&gt;0,M252-(MAX(0,(INDEX('Inputs'!$D$125:$D$131,MATCH($C$230+M252,'Inputs'!$C$125:$C$131,1))+INDEX('Inputs'!$E$125:$E$131,MATCH($C$230+M252,'Inputs'!$C$125:$C$131,1))/100*(($C$230+M252)-INDEX('Inputs'!$C$125:$C$131,MATCH($C$230+M252,'Inputs'!$C$125:$C$131,1))))-$C$228)-$C$236),0)</f>
      </c>
      <c r="O252">
        <f>IF(I252&lt;$C$232,MAX(0,J252-N252),0)</f>
      </c>
      <c r="P252">
        <f>IF($C$235&lt;&gt;1,0,P251*(1+((1+$C$244)^(1/12)-1))^12-O251/12*(1+((1+$C$244)^(1/12)-1))*(((1+((1+$C$244)^(1/12)-1))^12-1)/((1+((1+$C$244)^(1/12)-1))-1)))</f>
      </c>
      <c r="Q252">
        <f>IF($C$235&lt;&gt;1,0,IFERROR((((1+($C$244+'Inputs'!$H$108/100))^(1/12)-1)-((1+$C$244)^(1/12)-1))*(P252*(((1+((1+$C$244)^(1/12)-1))^12-1)/((1+((1+$C$244)^(1/12)-1))-1))-O252/12/((1+((1+$C$244)^(1/12)-1))-1)*((1+((1+$C$244)^(1/12)-1))*(((1+((1+$C$244)^(1/12)-1))^12-1)/((1+((1+$C$244)^(1/12)-1))-1))-12)),0))</f>
      </c>
    </row>
    <row r="253" spans="9:17" x14ac:dyDescent="0.25">
      <c r="I253">
        <v>25</v>
      </c>
      <c r="J253">
        <f>IF(I253&lt;$C$232,12*$C$233*(1+$C$234)^I253,0)</f>
      </c>
      <c r="K253">
        <f>IF(J253&lt;=0,0,INDEX($E$226:$E$233,MATCH(J253,$F$226:$F$233,1))+(J253-INDEX($F$226:$F$233,MATCH(J253,$F$226:$F$233,1)))/INDEX($G$226:$G$233,MATCH(J253,$F$226:$F$233,1))-$C$230)</f>
      </c>
      <c r="L253">
        <f>MAX(0,L252*(1+'Inputs'!$C$122/100)-M252/12*(1+'Inputs'!$C$122/100)^(1/12)*'Inputs'!$C$122/100/((1+'Inputs'!$C$122/100)^(1/12)-1))</f>
      </c>
      <c r="M253">
        <f>IF(L253&gt;0.005,MIN(MAX(K253,'Inputs'!$H$115/100*L253),'Inputs'!$H$116/100*L253),0)</f>
      </c>
      <c r="N253">
        <f>IF(M253&gt;0,M253-(MAX(0,(INDEX('Inputs'!$D$125:$D$131,MATCH($C$230+M253,'Inputs'!$C$125:$C$131,1))+INDEX('Inputs'!$E$125:$E$131,MATCH($C$230+M253,'Inputs'!$C$125:$C$131,1))/100*(($C$230+M253)-INDEX('Inputs'!$C$125:$C$131,MATCH($C$230+M253,'Inputs'!$C$125:$C$131,1))))-$C$228)-$C$236),0)</f>
      </c>
      <c r="O253">
        <f>IF(I253&lt;$C$232,MAX(0,J253-N253),0)</f>
      </c>
      <c r="P253">
        <f>IF($C$235&lt;&gt;1,0,P252*(1+((1+$C$244)^(1/12)-1))^12-O252/12*(1+((1+$C$244)^(1/12)-1))*(((1+((1+$C$244)^(1/12)-1))^12-1)/((1+((1+$C$244)^(1/12)-1))-1)))</f>
      </c>
      <c r="Q253">
        <f>IF($C$235&lt;&gt;1,0,IFERROR((((1+($C$244+'Inputs'!$H$108/100))^(1/12)-1)-((1+$C$244)^(1/12)-1))*(P253*(((1+((1+$C$244)^(1/12)-1))^12-1)/((1+((1+$C$244)^(1/12)-1))-1))-O253/12/((1+((1+$C$244)^(1/12)-1))-1)*((1+((1+$C$244)^(1/12)-1))*(((1+((1+$C$244)^(1/12)-1))^12-1)/((1+((1+$C$244)^(1/12)-1))-1))-12)),0))</f>
      </c>
    </row>
    <row r="254" spans="9:17" x14ac:dyDescent="0.25">
      <c r="I254">
        <v>26</v>
      </c>
      <c r="J254">
        <f>IF(I254&lt;$C$232,12*$C$233*(1+$C$234)^I254,0)</f>
      </c>
      <c r="K254">
        <f>IF(J254&lt;=0,0,INDEX($E$226:$E$233,MATCH(J254,$F$226:$F$233,1))+(J254-INDEX($F$226:$F$233,MATCH(J254,$F$226:$F$233,1)))/INDEX($G$226:$G$233,MATCH(J254,$F$226:$F$233,1))-$C$230)</f>
      </c>
      <c r="L254">
        <f>MAX(0,L253*(1+'Inputs'!$C$122/100)-M253/12*(1+'Inputs'!$C$122/100)^(1/12)*'Inputs'!$C$122/100/((1+'Inputs'!$C$122/100)^(1/12)-1))</f>
      </c>
      <c r="M254">
        <f>IF(L254&gt;0.005,MIN(MAX(K254,'Inputs'!$H$115/100*L254),'Inputs'!$H$116/100*L254),0)</f>
      </c>
      <c r="N254">
        <f>IF(M254&gt;0,M254-(MAX(0,(INDEX('Inputs'!$D$125:$D$131,MATCH($C$230+M254,'Inputs'!$C$125:$C$131,1))+INDEX('Inputs'!$E$125:$E$131,MATCH($C$230+M254,'Inputs'!$C$125:$C$131,1))/100*(($C$230+M254)-INDEX('Inputs'!$C$125:$C$131,MATCH($C$230+M254,'Inputs'!$C$125:$C$131,1))))-$C$228)-$C$236),0)</f>
      </c>
      <c r="O254">
        <f>IF(I254&lt;$C$232,MAX(0,J254-N254),0)</f>
      </c>
      <c r="P254">
        <f>IF($C$235&lt;&gt;1,0,P253*(1+((1+$C$244)^(1/12)-1))^12-O253/12*(1+((1+$C$244)^(1/12)-1))*(((1+((1+$C$244)^(1/12)-1))^12-1)/((1+((1+$C$244)^(1/12)-1))-1)))</f>
      </c>
      <c r="Q254">
        <f>IF($C$235&lt;&gt;1,0,IFERROR((((1+($C$244+'Inputs'!$H$108/100))^(1/12)-1)-((1+$C$244)^(1/12)-1))*(P254*(((1+((1+$C$244)^(1/12)-1))^12-1)/((1+((1+$C$244)^(1/12)-1))-1))-O254/12/((1+((1+$C$244)^(1/12)-1))-1)*((1+((1+$C$244)^(1/12)-1))*(((1+((1+$C$244)^(1/12)-1))^12-1)/((1+((1+$C$244)^(1/12)-1))-1))-12)),0))</f>
      </c>
    </row>
    <row r="255" spans="9:17" x14ac:dyDescent="0.25">
      <c r="I255">
        <v>27</v>
      </c>
      <c r="J255">
        <f>IF(I255&lt;$C$232,12*$C$233*(1+$C$234)^I255,0)</f>
      </c>
      <c r="K255">
        <f>IF(J255&lt;=0,0,INDEX($E$226:$E$233,MATCH(J255,$F$226:$F$233,1))+(J255-INDEX($F$226:$F$233,MATCH(J255,$F$226:$F$233,1)))/INDEX($G$226:$G$233,MATCH(J255,$F$226:$F$233,1))-$C$230)</f>
      </c>
      <c r="L255">
        <f>MAX(0,L254*(1+'Inputs'!$C$122/100)-M254/12*(1+'Inputs'!$C$122/100)^(1/12)*'Inputs'!$C$122/100/((1+'Inputs'!$C$122/100)^(1/12)-1))</f>
      </c>
      <c r="M255">
        <f>IF(L255&gt;0.005,MIN(MAX(K255,'Inputs'!$H$115/100*L255),'Inputs'!$H$116/100*L255),0)</f>
      </c>
      <c r="N255">
        <f>IF(M255&gt;0,M255-(MAX(0,(INDEX('Inputs'!$D$125:$D$131,MATCH($C$230+M255,'Inputs'!$C$125:$C$131,1))+INDEX('Inputs'!$E$125:$E$131,MATCH($C$230+M255,'Inputs'!$C$125:$C$131,1))/100*(($C$230+M255)-INDEX('Inputs'!$C$125:$C$131,MATCH($C$230+M255,'Inputs'!$C$125:$C$131,1))))-$C$228)-$C$236),0)</f>
      </c>
      <c r="O255">
        <f>IF(I255&lt;$C$232,MAX(0,J255-N255),0)</f>
      </c>
      <c r="P255">
        <f>IF($C$235&lt;&gt;1,0,P254*(1+((1+$C$244)^(1/12)-1))^12-O254/12*(1+((1+$C$244)^(1/12)-1))*(((1+((1+$C$244)^(1/12)-1))^12-1)/((1+((1+$C$244)^(1/12)-1))-1)))</f>
      </c>
      <c r="Q255">
        <f>IF($C$235&lt;&gt;1,0,IFERROR((((1+($C$244+'Inputs'!$H$108/100))^(1/12)-1)-((1+$C$244)^(1/12)-1))*(P255*(((1+((1+$C$244)^(1/12)-1))^12-1)/((1+((1+$C$244)^(1/12)-1))-1))-O255/12/((1+((1+$C$244)^(1/12)-1))-1)*((1+((1+$C$244)^(1/12)-1))*(((1+((1+$C$244)^(1/12)-1))^12-1)/((1+((1+$C$244)^(1/12)-1))-1))-12)),0))</f>
      </c>
    </row>
    <row r="256" spans="9:17" x14ac:dyDescent="0.25">
      <c r="I256">
        <v>28</v>
      </c>
      <c r="J256">
        <f>IF(I256&lt;$C$232,12*$C$233*(1+$C$234)^I256,0)</f>
      </c>
      <c r="K256">
        <f>IF(J256&lt;=0,0,INDEX($E$226:$E$233,MATCH(J256,$F$226:$F$233,1))+(J256-INDEX($F$226:$F$233,MATCH(J256,$F$226:$F$233,1)))/INDEX($G$226:$G$233,MATCH(J256,$F$226:$F$233,1))-$C$230)</f>
      </c>
      <c r="L256">
        <f>MAX(0,L255*(1+'Inputs'!$C$122/100)-M255/12*(1+'Inputs'!$C$122/100)^(1/12)*'Inputs'!$C$122/100/((1+'Inputs'!$C$122/100)^(1/12)-1))</f>
      </c>
      <c r="M256">
        <f>IF(L256&gt;0.005,MIN(MAX(K256,'Inputs'!$H$115/100*L256),'Inputs'!$H$116/100*L256),0)</f>
      </c>
      <c r="N256">
        <f>IF(M256&gt;0,M256-(MAX(0,(INDEX('Inputs'!$D$125:$D$131,MATCH($C$230+M256,'Inputs'!$C$125:$C$131,1))+INDEX('Inputs'!$E$125:$E$131,MATCH($C$230+M256,'Inputs'!$C$125:$C$131,1))/100*(($C$230+M256)-INDEX('Inputs'!$C$125:$C$131,MATCH($C$230+M256,'Inputs'!$C$125:$C$131,1))))-$C$228)-$C$236),0)</f>
      </c>
      <c r="O256">
        <f>IF(I256&lt;$C$232,MAX(0,J256-N256),0)</f>
      </c>
      <c r="P256">
        <f>IF($C$235&lt;&gt;1,0,P255*(1+((1+$C$244)^(1/12)-1))^12-O255/12*(1+((1+$C$244)^(1/12)-1))*(((1+((1+$C$244)^(1/12)-1))^12-1)/((1+((1+$C$244)^(1/12)-1))-1)))</f>
      </c>
      <c r="Q256">
        <f>IF($C$235&lt;&gt;1,0,IFERROR((((1+($C$244+'Inputs'!$H$108/100))^(1/12)-1)-((1+$C$244)^(1/12)-1))*(P256*(((1+((1+$C$244)^(1/12)-1))^12-1)/((1+((1+$C$244)^(1/12)-1))-1))-O256/12/((1+((1+$C$244)^(1/12)-1))-1)*((1+((1+$C$244)^(1/12)-1))*(((1+((1+$C$244)^(1/12)-1))^12-1)/((1+((1+$C$244)^(1/12)-1))-1))-12)),0))</f>
      </c>
    </row>
    <row r="257" spans="9:17" x14ac:dyDescent="0.25">
      <c r="I257">
        <v>29</v>
      </c>
      <c r="J257">
        <f>IF(I257&lt;$C$232,12*$C$233*(1+$C$234)^I257,0)</f>
      </c>
      <c r="K257">
        <f>IF(J257&lt;=0,0,INDEX($E$226:$E$233,MATCH(J257,$F$226:$F$233,1))+(J257-INDEX($F$226:$F$233,MATCH(J257,$F$226:$F$233,1)))/INDEX($G$226:$G$233,MATCH(J257,$F$226:$F$233,1))-$C$230)</f>
      </c>
      <c r="L257">
        <f>MAX(0,L256*(1+'Inputs'!$C$122/100)-M256/12*(1+'Inputs'!$C$122/100)^(1/12)*'Inputs'!$C$122/100/((1+'Inputs'!$C$122/100)^(1/12)-1))</f>
      </c>
      <c r="M257">
        <f>IF(L257&gt;0.005,MIN(MAX(K257,'Inputs'!$H$115/100*L257),'Inputs'!$H$116/100*L257),0)</f>
      </c>
      <c r="N257">
        <f>IF(M257&gt;0,M257-(MAX(0,(INDEX('Inputs'!$D$125:$D$131,MATCH($C$230+M257,'Inputs'!$C$125:$C$131,1))+INDEX('Inputs'!$E$125:$E$131,MATCH($C$230+M257,'Inputs'!$C$125:$C$131,1))/100*(($C$230+M257)-INDEX('Inputs'!$C$125:$C$131,MATCH($C$230+M257,'Inputs'!$C$125:$C$131,1))))-$C$228)-$C$236),0)</f>
      </c>
      <c r="O257">
        <f>IF(I257&lt;$C$232,MAX(0,J257-N257),0)</f>
      </c>
      <c r="P257">
        <f>IF($C$235&lt;&gt;1,0,P256*(1+((1+$C$244)^(1/12)-1))^12-O256/12*(1+((1+$C$244)^(1/12)-1))*(((1+((1+$C$244)^(1/12)-1))^12-1)/((1+((1+$C$244)^(1/12)-1))-1)))</f>
      </c>
      <c r="Q257">
        <f>IF($C$235&lt;&gt;1,0,IFERROR((((1+($C$244+'Inputs'!$H$108/100))^(1/12)-1)-((1+$C$244)^(1/12)-1))*(P257*(((1+((1+$C$244)^(1/12)-1))^12-1)/((1+((1+$C$244)^(1/12)-1))-1))-O257/12/((1+((1+$C$244)^(1/12)-1))-1)*((1+((1+$C$244)^(1/12)-1))*(((1+((1+$C$244)^(1/12)-1))^12-1)/((1+((1+$C$244)^(1/12)-1))-1))-12)),0))</f>
      </c>
    </row>
    <row r="258" spans="9:17" x14ac:dyDescent="0.25">
      <c r="I258">
        <v>30</v>
      </c>
      <c r="J258">
        <f>IF(I258&lt;$C$232,12*$C$233*(1+$C$234)^I258,0)</f>
      </c>
      <c r="K258">
        <f>IF(J258&lt;=0,0,INDEX($E$226:$E$233,MATCH(J258,$F$226:$F$233,1))+(J258-INDEX($F$226:$F$233,MATCH(J258,$F$226:$F$233,1)))/INDEX($G$226:$G$233,MATCH(J258,$F$226:$F$233,1))-$C$230)</f>
      </c>
      <c r="L258">
        <f>MAX(0,L257*(1+'Inputs'!$C$122/100)-M257/12*(1+'Inputs'!$C$122/100)^(1/12)*'Inputs'!$C$122/100/((1+'Inputs'!$C$122/100)^(1/12)-1))</f>
      </c>
      <c r="M258">
        <f>IF(L258&gt;0.005,MIN(MAX(K258,'Inputs'!$H$115/100*L258),'Inputs'!$H$116/100*L258),0)</f>
      </c>
      <c r="N258">
        <f>IF(M258&gt;0,M258-(MAX(0,(INDEX('Inputs'!$D$125:$D$131,MATCH($C$230+M258,'Inputs'!$C$125:$C$131,1))+INDEX('Inputs'!$E$125:$E$131,MATCH($C$230+M258,'Inputs'!$C$125:$C$131,1))/100*(($C$230+M258)-INDEX('Inputs'!$C$125:$C$131,MATCH($C$230+M258,'Inputs'!$C$125:$C$131,1))))-$C$228)-$C$236),0)</f>
      </c>
      <c r="O258">
        <f>IF(I258&lt;$C$232,MAX(0,J258-N258),0)</f>
      </c>
      <c r="P258">
        <f>IF($C$235&lt;&gt;1,0,P257*(1+((1+$C$244)^(1/12)-1))^12-O257/12*(1+((1+$C$244)^(1/12)-1))*(((1+((1+$C$244)^(1/12)-1))^12-1)/((1+((1+$C$244)^(1/12)-1))-1)))</f>
      </c>
      <c r="Q258">
        <f>IF($C$235&lt;&gt;1,0,IFERROR((((1+($C$244+'Inputs'!$H$108/100))^(1/12)-1)-((1+$C$244)^(1/12)-1))*(P258*(((1+((1+$C$244)^(1/12)-1))^12-1)/((1+((1+$C$244)^(1/12)-1))-1))-O258/12/((1+((1+$C$244)^(1/12)-1))-1)*((1+((1+$C$244)^(1/12)-1))*(((1+((1+$C$244)^(1/12)-1))^12-1)/((1+((1+$C$244)^(1/12)-1))-1))-12)),0))</f>
      </c>
    </row>
    <row r="259" spans="9:17" x14ac:dyDescent="0.25">
      <c r="I259">
        <v>31</v>
      </c>
      <c r="J259">
        <f>IF(I259&lt;$C$232,12*$C$233*(1+$C$234)^I259,0)</f>
      </c>
      <c r="K259">
        <f>IF(J259&lt;=0,0,INDEX($E$226:$E$233,MATCH(J259,$F$226:$F$233,1))+(J259-INDEX($F$226:$F$233,MATCH(J259,$F$226:$F$233,1)))/INDEX($G$226:$G$233,MATCH(J259,$F$226:$F$233,1))-$C$230)</f>
      </c>
      <c r="L259">
        <f>MAX(0,L258*(1+'Inputs'!$C$122/100)-M258/12*(1+'Inputs'!$C$122/100)^(1/12)*'Inputs'!$C$122/100/((1+'Inputs'!$C$122/100)^(1/12)-1))</f>
      </c>
      <c r="M259">
        <f>IF(L259&gt;0.005,MIN(MAX(K259,'Inputs'!$H$115/100*L259),'Inputs'!$H$116/100*L259),0)</f>
      </c>
      <c r="N259">
        <f>IF(M259&gt;0,M259-(MAX(0,(INDEX('Inputs'!$D$125:$D$131,MATCH($C$230+M259,'Inputs'!$C$125:$C$131,1))+INDEX('Inputs'!$E$125:$E$131,MATCH($C$230+M259,'Inputs'!$C$125:$C$131,1))/100*(($C$230+M259)-INDEX('Inputs'!$C$125:$C$131,MATCH($C$230+M259,'Inputs'!$C$125:$C$131,1))))-$C$228)-$C$236),0)</f>
      </c>
      <c r="O259">
        <f>IF(I259&lt;$C$232,MAX(0,J259-N259),0)</f>
      </c>
      <c r="P259">
        <f>IF($C$235&lt;&gt;1,0,P258*(1+((1+$C$244)^(1/12)-1))^12-O258/12*(1+((1+$C$244)^(1/12)-1))*(((1+((1+$C$244)^(1/12)-1))^12-1)/((1+((1+$C$244)^(1/12)-1))-1)))</f>
      </c>
      <c r="Q259">
        <f>IF($C$235&lt;&gt;1,0,IFERROR((((1+($C$244+'Inputs'!$H$108/100))^(1/12)-1)-((1+$C$244)^(1/12)-1))*(P259*(((1+((1+$C$244)^(1/12)-1))^12-1)/((1+((1+$C$244)^(1/12)-1))-1))-O259/12/((1+((1+$C$244)^(1/12)-1))-1)*((1+((1+$C$244)^(1/12)-1))*(((1+((1+$C$244)^(1/12)-1))^12-1)/((1+((1+$C$244)^(1/12)-1))-1))-12)),0))</f>
      </c>
    </row>
    <row r="260" spans="9:17" x14ac:dyDescent="0.25">
      <c r="I260">
        <v>32</v>
      </c>
      <c r="J260">
        <f>IF(I260&lt;$C$232,12*$C$233*(1+$C$234)^I260,0)</f>
      </c>
      <c r="K260">
        <f>IF(J260&lt;=0,0,INDEX($E$226:$E$233,MATCH(J260,$F$226:$F$233,1))+(J260-INDEX($F$226:$F$233,MATCH(J260,$F$226:$F$233,1)))/INDEX($G$226:$G$233,MATCH(J260,$F$226:$F$233,1))-$C$230)</f>
      </c>
      <c r="L260">
        <f>MAX(0,L259*(1+'Inputs'!$C$122/100)-M259/12*(1+'Inputs'!$C$122/100)^(1/12)*'Inputs'!$C$122/100/((1+'Inputs'!$C$122/100)^(1/12)-1))</f>
      </c>
      <c r="M260">
        <f>IF(L260&gt;0.005,MIN(MAX(K260,'Inputs'!$H$115/100*L260),'Inputs'!$H$116/100*L260),0)</f>
      </c>
      <c r="N260">
        <f>IF(M260&gt;0,M260-(MAX(0,(INDEX('Inputs'!$D$125:$D$131,MATCH($C$230+M260,'Inputs'!$C$125:$C$131,1))+INDEX('Inputs'!$E$125:$E$131,MATCH($C$230+M260,'Inputs'!$C$125:$C$131,1))/100*(($C$230+M260)-INDEX('Inputs'!$C$125:$C$131,MATCH($C$230+M260,'Inputs'!$C$125:$C$131,1))))-$C$228)-$C$236),0)</f>
      </c>
      <c r="O260">
        <f>IF(I260&lt;$C$232,MAX(0,J260-N260),0)</f>
      </c>
      <c r="P260">
        <f>IF($C$235&lt;&gt;1,0,P259*(1+((1+$C$244)^(1/12)-1))^12-O259/12*(1+((1+$C$244)^(1/12)-1))*(((1+((1+$C$244)^(1/12)-1))^12-1)/((1+((1+$C$244)^(1/12)-1))-1)))</f>
      </c>
      <c r="Q260">
        <f>IF($C$235&lt;&gt;1,0,IFERROR((((1+($C$244+'Inputs'!$H$108/100))^(1/12)-1)-((1+$C$244)^(1/12)-1))*(P260*(((1+((1+$C$244)^(1/12)-1))^12-1)/((1+((1+$C$244)^(1/12)-1))-1))-O260/12/((1+((1+$C$244)^(1/12)-1))-1)*((1+((1+$C$244)^(1/12)-1))*(((1+((1+$C$244)^(1/12)-1))^12-1)/((1+((1+$C$244)^(1/12)-1))-1))-12)),0))</f>
      </c>
    </row>
    <row r="261" spans="9:17" x14ac:dyDescent="0.25">
      <c r="I261">
        <v>33</v>
      </c>
      <c r="J261">
        <f>IF(I261&lt;$C$232,12*$C$233*(1+$C$234)^I261,0)</f>
      </c>
      <c r="K261">
        <f>IF(J261&lt;=0,0,INDEX($E$226:$E$233,MATCH(J261,$F$226:$F$233,1))+(J261-INDEX($F$226:$F$233,MATCH(J261,$F$226:$F$233,1)))/INDEX($G$226:$G$233,MATCH(J261,$F$226:$F$233,1))-$C$230)</f>
      </c>
      <c r="L261">
        <f>MAX(0,L260*(1+'Inputs'!$C$122/100)-M260/12*(1+'Inputs'!$C$122/100)^(1/12)*'Inputs'!$C$122/100/((1+'Inputs'!$C$122/100)^(1/12)-1))</f>
      </c>
      <c r="M261">
        <f>IF(L261&gt;0.005,MIN(MAX(K261,'Inputs'!$H$115/100*L261),'Inputs'!$H$116/100*L261),0)</f>
      </c>
      <c r="N261">
        <f>IF(M261&gt;0,M261-(MAX(0,(INDEX('Inputs'!$D$125:$D$131,MATCH($C$230+M261,'Inputs'!$C$125:$C$131,1))+INDEX('Inputs'!$E$125:$E$131,MATCH($C$230+M261,'Inputs'!$C$125:$C$131,1))/100*(($C$230+M261)-INDEX('Inputs'!$C$125:$C$131,MATCH($C$230+M261,'Inputs'!$C$125:$C$131,1))))-$C$228)-$C$236),0)</f>
      </c>
      <c r="O261">
        <f>IF(I261&lt;$C$232,MAX(0,J261-N261),0)</f>
      </c>
      <c r="P261">
        <f>IF($C$235&lt;&gt;1,0,P260*(1+((1+$C$244)^(1/12)-1))^12-O260/12*(1+((1+$C$244)^(1/12)-1))*(((1+((1+$C$244)^(1/12)-1))^12-1)/((1+((1+$C$244)^(1/12)-1))-1)))</f>
      </c>
      <c r="Q261">
        <f>IF($C$235&lt;&gt;1,0,IFERROR((((1+($C$244+'Inputs'!$H$108/100))^(1/12)-1)-((1+$C$244)^(1/12)-1))*(P261*(((1+((1+$C$244)^(1/12)-1))^12-1)/((1+((1+$C$244)^(1/12)-1))-1))-O261/12/((1+((1+$C$244)^(1/12)-1))-1)*((1+((1+$C$244)^(1/12)-1))*(((1+((1+$C$244)^(1/12)-1))^12-1)/((1+((1+$C$244)^(1/12)-1))-1))-12)),0))</f>
      </c>
    </row>
    <row r="262" spans="9:17" x14ac:dyDescent="0.25">
      <c r="I262">
        <v>34</v>
      </c>
      <c r="J262">
        <f>IF(I262&lt;$C$232,12*$C$233*(1+$C$234)^I262,0)</f>
      </c>
      <c r="K262">
        <f>IF(J262&lt;=0,0,INDEX($E$226:$E$233,MATCH(J262,$F$226:$F$233,1))+(J262-INDEX($F$226:$F$233,MATCH(J262,$F$226:$F$233,1)))/INDEX($G$226:$G$233,MATCH(J262,$F$226:$F$233,1))-$C$230)</f>
      </c>
      <c r="L262">
        <f>MAX(0,L261*(1+'Inputs'!$C$122/100)-M261/12*(1+'Inputs'!$C$122/100)^(1/12)*'Inputs'!$C$122/100/((1+'Inputs'!$C$122/100)^(1/12)-1))</f>
      </c>
      <c r="M262">
        <f>IF(L262&gt;0.005,MIN(MAX(K262,'Inputs'!$H$115/100*L262),'Inputs'!$H$116/100*L262),0)</f>
      </c>
      <c r="N262">
        <f>IF(M262&gt;0,M262-(MAX(0,(INDEX('Inputs'!$D$125:$D$131,MATCH($C$230+M262,'Inputs'!$C$125:$C$131,1))+INDEX('Inputs'!$E$125:$E$131,MATCH($C$230+M262,'Inputs'!$C$125:$C$131,1))/100*(($C$230+M262)-INDEX('Inputs'!$C$125:$C$131,MATCH($C$230+M262,'Inputs'!$C$125:$C$131,1))))-$C$228)-$C$236),0)</f>
      </c>
      <c r="O262">
        <f>IF(I262&lt;$C$232,MAX(0,J262-N262),0)</f>
      </c>
      <c r="P262">
        <f>IF($C$235&lt;&gt;1,0,P261*(1+((1+$C$244)^(1/12)-1))^12-O261/12*(1+((1+$C$244)^(1/12)-1))*(((1+((1+$C$244)^(1/12)-1))^12-1)/((1+((1+$C$244)^(1/12)-1))-1)))</f>
      </c>
      <c r="Q262">
        <f>IF($C$235&lt;&gt;1,0,IFERROR((((1+($C$244+'Inputs'!$H$108/100))^(1/12)-1)-((1+$C$244)^(1/12)-1))*(P262*(((1+((1+$C$244)^(1/12)-1))^12-1)/((1+((1+$C$244)^(1/12)-1))-1))-O262/12/((1+((1+$C$244)^(1/12)-1))-1)*((1+((1+$C$244)^(1/12)-1))*(((1+((1+$C$244)^(1/12)-1))^12-1)/((1+((1+$C$244)^(1/12)-1))-1))-12)),0))</f>
      </c>
    </row>
    <row r="263" spans="9:17" x14ac:dyDescent="0.25">
      <c r="I263">
        <v>35</v>
      </c>
      <c r="J263">
        <f>IF(I263&lt;$C$232,12*$C$233*(1+$C$234)^I263,0)</f>
      </c>
      <c r="K263">
        <f>IF(J263&lt;=0,0,INDEX($E$226:$E$233,MATCH(J263,$F$226:$F$233,1))+(J263-INDEX($F$226:$F$233,MATCH(J263,$F$226:$F$233,1)))/INDEX($G$226:$G$233,MATCH(J263,$F$226:$F$233,1))-$C$230)</f>
      </c>
      <c r="L263">
        <f>MAX(0,L262*(1+'Inputs'!$C$122/100)-M262/12*(1+'Inputs'!$C$122/100)^(1/12)*'Inputs'!$C$122/100/((1+'Inputs'!$C$122/100)^(1/12)-1))</f>
      </c>
      <c r="M263">
        <f>IF(L263&gt;0.005,MIN(MAX(K263,'Inputs'!$H$115/100*L263),'Inputs'!$H$116/100*L263),0)</f>
      </c>
      <c r="N263">
        <f>IF(M263&gt;0,M263-(MAX(0,(INDEX('Inputs'!$D$125:$D$131,MATCH($C$230+M263,'Inputs'!$C$125:$C$131,1))+INDEX('Inputs'!$E$125:$E$131,MATCH($C$230+M263,'Inputs'!$C$125:$C$131,1))/100*(($C$230+M263)-INDEX('Inputs'!$C$125:$C$131,MATCH($C$230+M263,'Inputs'!$C$125:$C$131,1))))-$C$228)-$C$236),0)</f>
      </c>
      <c r="O263">
        <f>IF(I263&lt;$C$232,MAX(0,J263-N263),0)</f>
      </c>
      <c r="P263">
        <f>IF($C$235&lt;&gt;1,0,P262*(1+((1+$C$244)^(1/12)-1))^12-O262/12*(1+((1+$C$244)^(1/12)-1))*(((1+((1+$C$244)^(1/12)-1))^12-1)/((1+((1+$C$244)^(1/12)-1))-1)))</f>
      </c>
      <c r="Q263">
        <f>IF($C$235&lt;&gt;1,0,IFERROR((((1+($C$244+'Inputs'!$H$108/100))^(1/12)-1)-((1+$C$244)^(1/12)-1))*(P263*(((1+((1+$C$244)^(1/12)-1))^12-1)/((1+((1+$C$244)^(1/12)-1))-1))-O263/12/((1+((1+$C$244)^(1/12)-1))-1)*((1+((1+$C$244)^(1/12)-1))*(((1+((1+$C$244)^(1/12)-1))^12-1)/((1+((1+$C$244)^(1/12)-1))-1))-12)),0))</f>
      </c>
    </row>
    <row r="264" spans="9:17" x14ac:dyDescent="0.25">
      <c r="I264">
        <v>36</v>
      </c>
      <c r="J264">
        <f>IF(I264&lt;$C$232,12*$C$233*(1+$C$234)^I264,0)</f>
      </c>
      <c r="K264">
        <f>IF(J264&lt;=0,0,INDEX($E$226:$E$233,MATCH(J264,$F$226:$F$233,1))+(J264-INDEX($F$226:$F$233,MATCH(J264,$F$226:$F$233,1)))/INDEX($G$226:$G$233,MATCH(J264,$F$226:$F$233,1))-$C$230)</f>
      </c>
      <c r="L264">
        <f>MAX(0,L263*(1+'Inputs'!$C$122/100)-M263/12*(1+'Inputs'!$C$122/100)^(1/12)*'Inputs'!$C$122/100/((1+'Inputs'!$C$122/100)^(1/12)-1))</f>
      </c>
      <c r="M264">
        <f>IF(L264&gt;0.005,MIN(MAX(K264,'Inputs'!$H$115/100*L264),'Inputs'!$H$116/100*L264),0)</f>
      </c>
      <c r="N264">
        <f>IF(M264&gt;0,M264-(MAX(0,(INDEX('Inputs'!$D$125:$D$131,MATCH($C$230+M264,'Inputs'!$C$125:$C$131,1))+INDEX('Inputs'!$E$125:$E$131,MATCH($C$230+M264,'Inputs'!$C$125:$C$131,1))/100*(($C$230+M264)-INDEX('Inputs'!$C$125:$C$131,MATCH($C$230+M264,'Inputs'!$C$125:$C$131,1))))-$C$228)-$C$236),0)</f>
      </c>
      <c r="O264">
        <f>IF(I264&lt;$C$232,MAX(0,J264-N264),0)</f>
      </c>
      <c r="P264">
        <f>IF($C$235&lt;&gt;1,0,P263*(1+((1+$C$244)^(1/12)-1))^12-O263/12*(1+((1+$C$244)^(1/12)-1))*(((1+((1+$C$244)^(1/12)-1))^12-1)/((1+((1+$C$244)^(1/12)-1))-1)))</f>
      </c>
      <c r="Q264">
        <f>IF($C$235&lt;&gt;1,0,IFERROR((((1+($C$244+'Inputs'!$H$108/100))^(1/12)-1)-((1+$C$244)^(1/12)-1))*(P264*(((1+((1+$C$244)^(1/12)-1))^12-1)/((1+((1+$C$244)^(1/12)-1))-1))-O264/12/((1+((1+$C$244)^(1/12)-1))-1)*((1+((1+$C$244)^(1/12)-1))*(((1+((1+$C$244)^(1/12)-1))^12-1)/((1+((1+$C$244)^(1/12)-1))-1))-12)),0))</f>
      </c>
    </row>
    <row r="265" spans="9:17" x14ac:dyDescent="0.25">
      <c r="I265">
        <v>37</v>
      </c>
      <c r="J265">
        <f>IF(I265&lt;$C$232,12*$C$233*(1+$C$234)^I265,0)</f>
      </c>
      <c r="K265">
        <f>IF(J265&lt;=0,0,INDEX($E$226:$E$233,MATCH(J265,$F$226:$F$233,1))+(J265-INDEX($F$226:$F$233,MATCH(J265,$F$226:$F$233,1)))/INDEX($G$226:$G$233,MATCH(J265,$F$226:$F$233,1))-$C$230)</f>
      </c>
      <c r="L265">
        <f>MAX(0,L264*(1+'Inputs'!$C$122/100)-M264/12*(1+'Inputs'!$C$122/100)^(1/12)*'Inputs'!$C$122/100/((1+'Inputs'!$C$122/100)^(1/12)-1))</f>
      </c>
      <c r="M265">
        <f>IF(L265&gt;0.005,MIN(MAX(K265,'Inputs'!$H$115/100*L265),'Inputs'!$H$116/100*L265),0)</f>
      </c>
      <c r="N265">
        <f>IF(M265&gt;0,M265-(MAX(0,(INDEX('Inputs'!$D$125:$D$131,MATCH($C$230+M265,'Inputs'!$C$125:$C$131,1))+INDEX('Inputs'!$E$125:$E$131,MATCH($C$230+M265,'Inputs'!$C$125:$C$131,1))/100*(($C$230+M265)-INDEX('Inputs'!$C$125:$C$131,MATCH($C$230+M265,'Inputs'!$C$125:$C$131,1))))-$C$228)-$C$236),0)</f>
      </c>
      <c r="O265">
        <f>IF(I265&lt;$C$232,MAX(0,J265-N265),0)</f>
      </c>
      <c r="P265">
        <f>IF($C$235&lt;&gt;1,0,P264*(1+((1+$C$244)^(1/12)-1))^12-O264/12*(1+((1+$C$244)^(1/12)-1))*(((1+((1+$C$244)^(1/12)-1))^12-1)/((1+((1+$C$244)^(1/12)-1))-1)))</f>
      </c>
      <c r="Q265">
        <f>IF($C$235&lt;&gt;1,0,IFERROR((((1+($C$244+'Inputs'!$H$108/100))^(1/12)-1)-((1+$C$244)^(1/12)-1))*(P265*(((1+((1+$C$244)^(1/12)-1))^12-1)/((1+((1+$C$244)^(1/12)-1))-1))-O265/12/((1+((1+$C$244)^(1/12)-1))-1)*((1+((1+$C$244)^(1/12)-1))*(((1+((1+$C$244)^(1/12)-1))^12-1)/((1+((1+$C$244)^(1/12)-1))-1))-12)),0))</f>
      </c>
    </row>
    <row r="266" spans="9:17" x14ac:dyDescent="0.25">
      <c r="I266">
        <v>38</v>
      </c>
      <c r="J266">
        <f>IF(I266&lt;$C$232,12*$C$233*(1+$C$234)^I266,0)</f>
      </c>
      <c r="K266">
        <f>IF(J266&lt;=0,0,INDEX($E$226:$E$233,MATCH(J266,$F$226:$F$233,1))+(J266-INDEX($F$226:$F$233,MATCH(J266,$F$226:$F$233,1)))/INDEX($G$226:$G$233,MATCH(J266,$F$226:$F$233,1))-$C$230)</f>
      </c>
      <c r="L266">
        <f>MAX(0,L265*(1+'Inputs'!$C$122/100)-M265/12*(1+'Inputs'!$C$122/100)^(1/12)*'Inputs'!$C$122/100/((1+'Inputs'!$C$122/100)^(1/12)-1))</f>
      </c>
      <c r="M266">
        <f>IF(L266&gt;0.005,MIN(MAX(K266,'Inputs'!$H$115/100*L266),'Inputs'!$H$116/100*L266),0)</f>
      </c>
      <c r="N266">
        <f>IF(M266&gt;0,M266-(MAX(0,(INDEX('Inputs'!$D$125:$D$131,MATCH($C$230+M266,'Inputs'!$C$125:$C$131,1))+INDEX('Inputs'!$E$125:$E$131,MATCH($C$230+M266,'Inputs'!$C$125:$C$131,1))/100*(($C$230+M266)-INDEX('Inputs'!$C$125:$C$131,MATCH($C$230+M266,'Inputs'!$C$125:$C$131,1))))-$C$228)-$C$236),0)</f>
      </c>
      <c r="O266">
        <f>IF(I266&lt;$C$232,MAX(0,J266-N266),0)</f>
      </c>
      <c r="P266">
        <f>IF($C$235&lt;&gt;1,0,P265*(1+((1+$C$244)^(1/12)-1))^12-O265/12*(1+((1+$C$244)^(1/12)-1))*(((1+((1+$C$244)^(1/12)-1))^12-1)/((1+((1+$C$244)^(1/12)-1))-1)))</f>
      </c>
      <c r="Q266">
        <f>IF($C$235&lt;&gt;1,0,IFERROR((((1+($C$244+'Inputs'!$H$108/100))^(1/12)-1)-((1+$C$244)^(1/12)-1))*(P266*(((1+((1+$C$244)^(1/12)-1))^12-1)/((1+((1+$C$244)^(1/12)-1))-1))-O266/12/((1+((1+$C$244)^(1/12)-1))-1)*((1+((1+$C$244)^(1/12)-1))*(((1+((1+$C$244)^(1/12)-1))^12-1)/((1+((1+$C$244)^(1/12)-1))-1))-12)),0))</f>
      </c>
    </row>
    <row r="267" spans="9:17" x14ac:dyDescent="0.25">
      <c r="I267">
        <v>39</v>
      </c>
      <c r="J267">
        <f>IF(I267&lt;$C$232,12*$C$233*(1+$C$234)^I267,0)</f>
      </c>
      <c r="K267">
        <f>IF(J267&lt;=0,0,INDEX($E$226:$E$233,MATCH(J267,$F$226:$F$233,1))+(J267-INDEX($F$226:$F$233,MATCH(J267,$F$226:$F$233,1)))/INDEX($G$226:$G$233,MATCH(J267,$F$226:$F$233,1))-$C$230)</f>
      </c>
      <c r="L267">
        <f>MAX(0,L266*(1+'Inputs'!$C$122/100)-M266/12*(1+'Inputs'!$C$122/100)^(1/12)*'Inputs'!$C$122/100/((1+'Inputs'!$C$122/100)^(1/12)-1))</f>
      </c>
      <c r="M267">
        <f>IF(L267&gt;0.005,MIN(MAX(K267,'Inputs'!$H$115/100*L267),'Inputs'!$H$116/100*L267),0)</f>
      </c>
      <c r="N267">
        <f>IF(M267&gt;0,M267-(MAX(0,(INDEX('Inputs'!$D$125:$D$131,MATCH($C$230+M267,'Inputs'!$C$125:$C$131,1))+INDEX('Inputs'!$E$125:$E$131,MATCH($C$230+M267,'Inputs'!$C$125:$C$131,1))/100*(($C$230+M267)-INDEX('Inputs'!$C$125:$C$131,MATCH($C$230+M267,'Inputs'!$C$125:$C$131,1))))-$C$228)-$C$236),0)</f>
      </c>
      <c r="O267">
        <f>IF(I267&lt;$C$232,MAX(0,J267-N267),0)</f>
      </c>
      <c r="P267">
        <f>IF($C$235&lt;&gt;1,0,P266*(1+((1+$C$244)^(1/12)-1))^12-O266/12*(1+((1+$C$244)^(1/12)-1))*(((1+((1+$C$244)^(1/12)-1))^12-1)/((1+((1+$C$244)^(1/12)-1))-1)))</f>
      </c>
      <c r="Q267">
        <f>IF($C$235&lt;&gt;1,0,IFERROR((((1+($C$244+'Inputs'!$H$108/100))^(1/12)-1)-((1+$C$244)^(1/12)-1))*(P267*(((1+((1+$C$244)^(1/12)-1))^12-1)/((1+((1+$C$244)^(1/12)-1))-1))-O267/12/((1+((1+$C$244)^(1/12)-1))-1)*((1+((1+$C$244)^(1/12)-1))*(((1+((1+$C$244)^(1/12)-1))^12-1)/((1+((1+$C$244)^(1/12)-1))-1))-12)),0))</f>
      </c>
    </row>
    <row r="268" spans="9:17" x14ac:dyDescent="0.25">
      <c r="I268">
        <v>40</v>
      </c>
      <c r="J268">
        <f>IF(I268&lt;$C$232,12*$C$233*(1+$C$234)^I268,0)</f>
      </c>
      <c r="K268">
        <f>IF(J268&lt;=0,0,INDEX($E$226:$E$233,MATCH(J268,$F$226:$F$233,1))+(J268-INDEX($F$226:$F$233,MATCH(J268,$F$226:$F$233,1)))/INDEX($G$226:$G$233,MATCH(J268,$F$226:$F$233,1))-$C$230)</f>
      </c>
      <c r="L268">
        <f>MAX(0,L267*(1+'Inputs'!$C$122/100)-M267/12*(1+'Inputs'!$C$122/100)^(1/12)*'Inputs'!$C$122/100/((1+'Inputs'!$C$122/100)^(1/12)-1))</f>
      </c>
      <c r="M268">
        <f>IF(L268&gt;0.005,MIN(MAX(K268,'Inputs'!$H$115/100*L268),'Inputs'!$H$116/100*L268),0)</f>
      </c>
      <c r="N268">
        <f>IF(M268&gt;0,M268-(MAX(0,(INDEX('Inputs'!$D$125:$D$131,MATCH($C$230+M268,'Inputs'!$C$125:$C$131,1))+INDEX('Inputs'!$E$125:$E$131,MATCH($C$230+M268,'Inputs'!$C$125:$C$131,1))/100*(($C$230+M268)-INDEX('Inputs'!$C$125:$C$131,MATCH($C$230+M268,'Inputs'!$C$125:$C$131,1))))-$C$228)-$C$236),0)</f>
      </c>
      <c r="O268">
        <f>IF(I268&lt;$C$232,MAX(0,J268-N268),0)</f>
      </c>
      <c r="P268">
        <f>IF($C$235&lt;&gt;1,0,P267*(1+((1+$C$244)^(1/12)-1))^12-O267/12*(1+((1+$C$244)^(1/12)-1))*(((1+((1+$C$244)^(1/12)-1))^12-1)/((1+((1+$C$244)^(1/12)-1))-1)))</f>
      </c>
      <c r="Q268">
        <f>IF($C$235&lt;&gt;1,0,IFERROR((((1+($C$244+'Inputs'!$H$108/100))^(1/12)-1)-((1+$C$244)^(1/12)-1))*(P268*(((1+((1+$C$244)^(1/12)-1))^12-1)/((1+((1+$C$244)^(1/12)-1))-1))-O268/12/((1+((1+$C$244)^(1/12)-1))-1)*((1+((1+$C$244)^(1/12)-1))*(((1+((1+$C$244)^(1/12)-1))^12-1)/((1+((1+$C$244)^(1/12)-1))-1))-12)),0))</f>
      </c>
    </row>
    <row r="269" spans="9:17" x14ac:dyDescent="0.25">
      <c r="I269">
        <v>41</v>
      </c>
      <c r="J269">
        <f>IF(I269&lt;$C$232,12*$C$233*(1+$C$234)^I269,0)</f>
      </c>
      <c r="K269">
        <f>IF(J269&lt;=0,0,INDEX($E$226:$E$233,MATCH(J269,$F$226:$F$233,1))+(J269-INDEX($F$226:$F$233,MATCH(J269,$F$226:$F$233,1)))/INDEX($G$226:$G$233,MATCH(J269,$F$226:$F$233,1))-$C$230)</f>
      </c>
      <c r="L269">
        <f>MAX(0,L268*(1+'Inputs'!$C$122/100)-M268/12*(1+'Inputs'!$C$122/100)^(1/12)*'Inputs'!$C$122/100/((1+'Inputs'!$C$122/100)^(1/12)-1))</f>
      </c>
      <c r="M269">
        <f>IF(L269&gt;0.005,MIN(MAX(K269,'Inputs'!$H$115/100*L269),'Inputs'!$H$116/100*L269),0)</f>
      </c>
      <c r="N269">
        <f>IF(M269&gt;0,M269-(MAX(0,(INDEX('Inputs'!$D$125:$D$131,MATCH($C$230+M269,'Inputs'!$C$125:$C$131,1))+INDEX('Inputs'!$E$125:$E$131,MATCH($C$230+M269,'Inputs'!$C$125:$C$131,1))/100*(($C$230+M269)-INDEX('Inputs'!$C$125:$C$131,MATCH($C$230+M269,'Inputs'!$C$125:$C$131,1))))-$C$228)-$C$236),0)</f>
      </c>
      <c r="O269">
        <f>IF(I269&lt;$C$232,MAX(0,J269-N269),0)</f>
      </c>
      <c r="P269">
        <f>IF($C$235&lt;&gt;1,0,P268*(1+((1+$C$244)^(1/12)-1))^12-O268/12*(1+((1+$C$244)^(1/12)-1))*(((1+((1+$C$244)^(1/12)-1))^12-1)/((1+((1+$C$244)^(1/12)-1))-1)))</f>
      </c>
      <c r="Q269">
        <f>IF($C$235&lt;&gt;1,0,IFERROR((((1+($C$244+'Inputs'!$H$108/100))^(1/12)-1)-((1+$C$244)^(1/12)-1))*(P269*(((1+((1+$C$244)^(1/12)-1))^12-1)/((1+((1+$C$244)^(1/12)-1))-1))-O269/12/((1+((1+$C$244)^(1/12)-1))-1)*((1+((1+$C$244)^(1/12)-1))*(((1+((1+$C$244)^(1/12)-1))^12-1)/((1+((1+$C$244)^(1/12)-1))-1))-12)),0))</f>
      </c>
    </row>
    <row r="270" spans="9:17" x14ac:dyDescent="0.25">
      <c r="I270">
        <v>42</v>
      </c>
      <c r="J270">
        <f>IF(I270&lt;$C$232,12*$C$233*(1+$C$234)^I270,0)</f>
      </c>
      <c r="K270">
        <f>IF(J270&lt;=0,0,INDEX($E$226:$E$233,MATCH(J270,$F$226:$F$233,1))+(J270-INDEX($F$226:$F$233,MATCH(J270,$F$226:$F$233,1)))/INDEX($G$226:$G$233,MATCH(J270,$F$226:$F$233,1))-$C$230)</f>
      </c>
      <c r="L270">
        <f>MAX(0,L269*(1+'Inputs'!$C$122/100)-M269/12*(1+'Inputs'!$C$122/100)^(1/12)*'Inputs'!$C$122/100/((1+'Inputs'!$C$122/100)^(1/12)-1))</f>
      </c>
      <c r="M270">
        <f>IF(L270&gt;0.005,MIN(MAX(K270,'Inputs'!$H$115/100*L270),'Inputs'!$H$116/100*L270),0)</f>
      </c>
      <c r="N270">
        <f>IF(M270&gt;0,M270-(MAX(0,(INDEX('Inputs'!$D$125:$D$131,MATCH($C$230+M270,'Inputs'!$C$125:$C$131,1))+INDEX('Inputs'!$E$125:$E$131,MATCH($C$230+M270,'Inputs'!$C$125:$C$131,1))/100*(($C$230+M270)-INDEX('Inputs'!$C$125:$C$131,MATCH($C$230+M270,'Inputs'!$C$125:$C$131,1))))-$C$228)-$C$236),0)</f>
      </c>
      <c r="O270">
        <f>IF(I270&lt;$C$232,MAX(0,J270-N270),0)</f>
      </c>
      <c r="P270">
        <f>IF($C$235&lt;&gt;1,0,P269*(1+((1+$C$244)^(1/12)-1))^12-O269/12*(1+((1+$C$244)^(1/12)-1))*(((1+((1+$C$244)^(1/12)-1))^12-1)/((1+((1+$C$244)^(1/12)-1))-1)))</f>
      </c>
      <c r="Q270">
        <f>IF($C$235&lt;&gt;1,0,IFERROR((((1+($C$244+'Inputs'!$H$108/100))^(1/12)-1)-((1+$C$244)^(1/12)-1))*(P270*(((1+((1+$C$244)^(1/12)-1))^12-1)/((1+((1+$C$244)^(1/12)-1))-1))-O270/12/((1+((1+$C$244)^(1/12)-1))-1)*((1+((1+$C$244)^(1/12)-1))*(((1+((1+$C$244)^(1/12)-1))^12-1)/((1+((1+$C$244)^(1/12)-1))-1))-12)),0))</f>
      </c>
    </row>
    <row r="271" spans="9:17" x14ac:dyDescent="0.25">
      <c r="I271">
        <v>43</v>
      </c>
      <c r="J271">
        <f>IF(I271&lt;$C$232,12*$C$233*(1+$C$234)^I271,0)</f>
      </c>
      <c r="K271">
        <f>IF(J271&lt;=0,0,INDEX($E$226:$E$233,MATCH(J271,$F$226:$F$233,1))+(J271-INDEX($F$226:$F$233,MATCH(J271,$F$226:$F$233,1)))/INDEX($G$226:$G$233,MATCH(J271,$F$226:$F$233,1))-$C$230)</f>
      </c>
      <c r="L271">
        <f>MAX(0,L270*(1+'Inputs'!$C$122/100)-M270/12*(1+'Inputs'!$C$122/100)^(1/12)*'Inputs'!$C$122/100/((1+'Inputs'!$C$122/100)^(1/12)-1))</f>
      </c>
      <c r="M271">
        <f>IF(L271&gt;0.005,MIN(MAX(K271,'Inputs'!$H$115/100*L271),'Inputs'!$H$116/100*L271),0)</f>
      </c>
      <c r="N271">
        <f>IF(M271&gt;0,M271-(MAX(0,(INDEX('Inputs'!$D$125:$D$131,MATCH($C$230+M271,'Inputs'!$C$125:$C$131,1))+INDEX('Inputs'!$E$125:$E$131,MATCH($C$230+M271,'Inputs'!$C$125:$C$131,1))/100*(($C$230+M271)-INDEX('Inputs'!$C$125:$C$131,MATCH($C$230+M271,'Inputs'!$C$125:$C$131,1))))-$C$228)-$C$236),0)</f>
      </c>
      <c r="O271">
        <f>IF(I271&lt;$C$232,MAX(0,J271-N271),0)</f>
      </c>
      <c r="P271">
        <f>IF($C$235&lt;&gt;1,0,P270*(1+((1+$C$244)^(1/12)-1))^12-O270/12*(1+((1+$C$244)^(1/12)-1))*(((1+((1+$C$244)^(1/12)-1))^12-1)/((1+((1+$C$244)^(1/12)-1))-1)))</f>
      </c>
      <c r="Q271">
        <f>IF($C$235&lt;&gt;1,0,IFERROR((((1+($C$244+'Inputs'!$H$108/100))^(1/12)-1)-((1+$C$244)^(1/12)-1))*(P271*(((1+((1+$C$244)^(1/12)-1))^12-1)/((1+((1+$C$244)^(1/12)-1))-1))-O271/12/((1+((1+$C$244)^(1/12)-1))-1)*((1+((1+$C$244)^(1/12)-1))*(((1+((1+$C$244)^(1/12)-1))^12-1)/((1+((1+$C$244)^(1/12)-1))-1))-12)),0))</f>
      </c>
    </row>
    <row r="272" spans="9:17" x14ac:dyDescent="0.25">
      <c r="I272">
        <v>44</v>
      </c>
      <c r="J272">
        <f>IF(I272&lt;$C$232,12*$C$233*(1+$C$234)^I272,0)</f>
      </c>
      <c r="K272">
        <f>IF(J272&lt;=0,0,INDEX($E$226:$E$233,MATCH(J272,$F$226:$F$233,1))+(J272-INDEX($F$226:$F$233,MATCH(J272,$F$226:$F$233,1)))/INDEX($G$226:$G$233,MATCH(J272,$F$226:$F$233,1))-$C$230)</f>
      </c>
      <c r="L272">
        <f>MAX(0,L271*(1+'Inputs'!$C$122/100)-M271/12*(1+'Inputs'!$C$122/100)^(1/12)*'Inputs'!$C$122/100/((1+'Inputs'!$C$122/100)^(1/12)-1))</f>
      </c>
      <c r="M272">
        <f>IF(L272&gt;0.005,MIN(MAX(K272,'Inputs'!$H$115/100*L272),'Inputs'!$H$116/100*L272),0)</f>
      </c>
      <c r="N272">
        <f>IF(M272&gt;0,M272-(MAX(0,(INDEX('Inputs'!$D$125:$D$131,MATCH($C$230+M272,'Inputs'!$C$125:$C$131,1))+INDEX('Inputs'!$E$125:$E$131,MATCH($C$230+M272,'Inputs'!$C$125:$C$131,1))/100*(($C$230+M272)-INDEX('Inputs'!$C$125:$C$131,MATCH($C$230+M272,'Inputs'!$C$125:$C$131,1))))-$C$228)-$C$236),0)</f>
      </c>
      <c r="O272">
        <f>IF(I272&lt;$C$232,MAX(0,J272-N272),0)</f>
      </c>
      <c r="P272">
        <f>IF($C$235&lt;&gt;1,0,P271*(1+((1+$C$244)^(1/12)-1))^12-O271/12*(1+((1+$C$244)^(1/12)-1))*(((1+((1+$C$244)^(1/12)-1))^12-1)/((1+((1+$C$244)^(1/12)-1))-1)))</f>
      </c>
      <c r="Q272">
        <f>IF($C$235&lt;&gt;1,0,IFERROR((((1+($C$244+'Inputs'!$H$108/100))^(1/12)-1)-((1+$C$244)^(1/12)-1))*(P272*(((1+((1+$C$244)^(1/12)-1))^12-1)/((1+((1+$C$244)^(1/12)-1))-1))-O272/12/((1+((1+$C$244)^(1/12)-1))-1)*((1+((1+$C$244)^(1/12)-1))*(((1+((1+$C$244)^(1/12)-1))^12-1)/((1+((1+$C$244)^(1/12)-1))-1))-12)),0))</f>
      </c>
    </row>
    <row r="273" spans="9:17" x14ac:dyDescent="0.25">
      <c r="I273">
        <v>45</v>
      </c>
      <c r="J273">
        <f>IF(I273&lt;$C$232,12*$C$233*(1+$C$234)^I273,0)</f>
      </c>
      <c r="K273">
        <f>IF(J273&lt;=0,0,INDEX($E$226:$E$233,MATCH(J273,$F$226:$F$233,1))+(J273-INDEX($F$226:$F$233,MATCH(J273,$F$226:$F$233,1)))/INDEX($G$226:$G$233,MATCH(J273,$F$226:$F$233,1))-$C$230)</f>
      </c>
      <c r="L273">
        <f>MAX(0,L272*(1+'Inputs'!$C$122/100)-M272/12*(1+'Inputs'!$C$122/100)^(1/12)*'Inputs'!$C$122/100/((1+'Inputs'!$C$122/100)^(1/12)-1))</f>
      </c>
      <c r="M273">
        <f>IF(L273&gt;0.005,MIN(MAX(K273,'Inputs'!$H$115/100*L273),'Inputs'!$H$116/100*L273),0)</f>
      </c>
      <c r="N273">
        <f>IF(M273&gt;0,M273-(MAX(0,(INDEX('Inputs'!$D$125:$D$131,MATCH($C$230+M273,'Inputs'!$C$125:$C$131,1))+INDEX('Inputs'!$E$125:$E$131,MATCH($C$230+M273,'Inputs'!$C$125:$C$131,1))/100*(($C$230+M273)-INDEX('Inputs'!$C$125:$C$131,MATCH($C$230+M273,'Inputs'!$C$125:$C$131,1))))-$C$228)-$C$236),0)</f>
      </c>
      <c r="O273">
        <f>IF(I273&lt;$C$232,MAX(0,J273-N273),0)</f>
      </c>
      <c r="P273">
        <f>IF($C$235&lt;&gt;1,0,P272*(1+((1+$C$244)^(1/12)-1))^12-O272/12*(1+((1+$C$244)^(1/12)-1))*(((1+((1+$C$244)^(1/12)-1))^12-1)/((1+((1+$C$244)^(1/12)-1))-1)))</f>
      </c>
      <c r="Q273">
        <f>IF($C$235&lt;&gt;1,0,IFERROR((((1+($C$244+'Inputs'!$H$108/100))^(1/12)-1)-((1+$C$244)^(1/12)-1))*(P273*(((1+((1+$C$244)^(1/12)-1))^12-1)/((1+((1+$C$244)^(1/12)-1))-1))-O273/12/((1+((1+$C$244)^(1/12)-1))-1)*((1+((1+$C$244)^(1/12)-1))*(((1+((1+$C$244)^(1/12)-1))^12-1)/((1+((1+$C$244)^(1/12)-1))-1))-12)),0))</f>
      </c>
    </row>
    <row r="274" spans="9:17" x14ac:dyDescent="0.25">
      <c r="I274">
        <v>46</v>
      </c>
      <c r="J274">
        <f>IF(I274&lt;$C$232,12*$C$233*(1+$C$234)^I274,0)</f>
      </c>
      <c r="K274">
        <f>IF(J274&lt;=0,0,INDEX($E$226:$E$233,MATCH(J274,$F$226:$F$233,1))+(J274-INDEX($F$226:$F$233,MATCH(J274,$F$226:$F$233,1)))/INDEX($G$226:$G$233,MATCH(J274,$F$226:$F$233,1))-$C$230)</f>
      </c>
      <c r="L274">
        <f>MAX(0,L273*(1+'Inputs'!$C$122/100)-M273/12*(1+'Inputs'!$C$122/100)^(1/12)*'Inputs'!$C$122/100/((1+'Inputs'!$C$122/100)^(1/12)-1))</f>
      </c>
      <c r="M274">
        <f>IF(L274&gt;0.005,MIN(MAX(K274,'Inputs'!$H$115/100*L274),'Inputs'!$H$116/100*L274),0)</f>
      </c>
      <c r="N274">
        <f>IF(M274&gt;0,M274-(MAX(0,(INDEX('Inputs'!$D$125:$D$131,MATCH($C$230+M274,'Inputs'!$C$125:$C$131,1))+INDEX('Inputs'!$E$125:$E$131,MATCH($C$230+M274,'Inputs'!$C$125:$C$131,1))/100*(($C$230+M274)-INDEX('Inputs'!$C$125:$C$131,MATCH($C$230+M274,'Inputs'!$C$125:$C$131,1))))-$C$228)-$C$236),0)</f>
      </c>
      <c r="O274">
        <f>IF(I274&lt;$C$232,MAX(0,J274-N274),0)</f>
      </c>
      <c r="P274">
        <f>IF($C$235&lt;&gt;1,0,P273*(1+((1+$C$244)^(1/12)-1))^12-O273/12*(1+((1+$C$244)^(1/12)-1))*(((1+((1+$C$244)^(1/12)-1))^12-1)/((1+((1+$C$244)^(1/12)-1))-1)))</f>
      </c>
      <c r="Q274">
        <f>IF($C$235&lt;&gt;1,0,IFERROR((((1+($C$244+'Inputs'!$H$108/100))^(1/12)-1)-((1+$C$244)^(1/12)-1))*(P274*(((1+((1+$C$244)^(1/12)-1))^12-1)/((1+((1+$C$244)^(1/12)-1))-1))-O274/12/((1+((1+$C$244)^(1/12)-1))-1)*((1+((1+$C$244)^(1/12)-1))*(((1+((1+$C$244)^(1/12)-1))^12-1)/((1+((1+$C$244)^(1/12)-1))-1))-12)),0))</f>
      </c>
    </row>
    <row r="275" spans="9:17" x14ac:dyDescent="0.25">
      <c r="I275">
        <v>47</v>
      </c>
      <c r="J275">
        <f>IF(I275&lt;$C$232,12*$C$233*(1+$C$234)^I275,0)</f>
      </c>
      <c r="K275">
        <f>IF(J275&lt;=0,0,INDEX($E$226:$E$233,MATCH(J275,$F$226:$F$233,1))+(J275-INDEX($F$226:$F$233,MATCH(J275,$F$226:$F$233,1)))/INDEX($G$226:$G$233,MATCH(J275,$F$226:$F$233,1))-$C$230)</f>
      </c>
      <c r="L275">
        <f>MAX(0,L274*(1+'Inputs'!$C$122/100)-M274/12*(1+'Inputs'!$C$122/100)^(1/12)*'Inputs'!$C$122/100/((1+'Inputs'!$C$122/100)^(1/12)-1))</f>
      </c>
      <c r="M275">
        <f>IF(L275&gt;0.005,MIN(MAX(K275,'Inputs'!$H$115/100*L275),'Inputs'!$H$116/100*L275),0)</f>
      </c>
      <c r="N275">
        <f>IF(M275&gt;0,M275-(MAX(0,(INDEX('Inputs'!$D$125:$D$131,MATCH($C$230+M275,'Inputs'!$C$125:$C$131,1))+INDEX('Inputs'!$E$125:$E$131,MATCH($C$230+M275,'Inputs'!$C$125:$C$131,1))/100*(($C$230+M275)-INDEX('Inputs'!$C$125:$C$131,MATCH($C$230+M275,'Inputs'!$C$125:$C$131,1))))-$C$228)-$C$236),0)</f>
      </c>
      <c r="O275">
        <f>IF(I275&lt;$C$232,MAX(0,J275-N275),0)</f>
      </c>
      <c r="P275">
        <f>IF($C$235&lt;&gt;1,0,P274*(1+((1+$C$244)^(1/12)-1))^12-O274/12*(1+((1+$C$244)^(1/12)-1))*(((1+((1+$C$244)^(1/12)-1))^12-1)/((1+((1+$C$244)^(1/12)-1))-1)))</f>
      </c>
      <c r="Q275">
        <f>IF($C$235&lt;&gt;1,0,IFERROR((((1+($C$244+'Inputs'!$H$108/100))^(1/12)-1)-((1+$C$244)^(1/12)-1))*(P275*(((1+((1+$C$244)^(1/12)-1))^12-1)/((1+((1+$C$244)^(1/12)-1))-1))-O275/12/((1+((1+$C$244)^(1/12)-1))-1)*((1+((1+$C$244)^(1/12)-1))*(((1+((1+$C$244)^(1/12)-1))^12-1)/((1+((1+$C$244)^(1/12)-1))-1))-12)),0))</f>
      </c>
    </row>
    <row r="276" spans="9:17" x14ac:dyDescent="0.25">
      <c r="I276">
        <v>48</v>
      </c>
      <c r="J276">
        <f>IF(I276&lt;$C$232,12*$C$233*(1+$C$234)^I276,0)</f>
      </c>
      <c r="K276">
        <f>IF(J276&lt;=0,0,INDEX($E$226:$E$233,MATCH(J276,$F$226:$F$233,1))+(J276-INDEX($F$226:$F$233,MATCH(J276,$F$226:$F$233,1)))/INDEX($G$226:$G$233,MATCH(J276,$F$226:$F$233,1))-$C$230)</f>
      </c>
      <c r="L276">
        <f>MAX(0,L275*(1+'Inputs'!$C$122/100)-M275/12*(1+'Inputs'!$C$122/100)^(1/12)*'Inputs'!$C$122/100/((1+'Inputs'!$C$122/100)^(1/12)-1))</f>
      </c>
      <c r="M276">
        <f>IF(L276&gt;0.005,MIN(MAX(K276,'Inputs'!$H$115/100*L276),'Inputs'!$H$116/100*L276),0)</f>
      </c>
      <c r="N276">
        <f>IF(M276&gt;0,M276-(MAX(0,(INDEX('Inputs'!$D$125:$D$131,MATCH($C$230+M276,'Inputs'!$C$125:$C$131,1))+INDEX('Inputs'!$E$125:$E$131,MATCH($C$230+M276,'Inputs'!$C$125:$C$131,1))/100*(($C$230+M276)-INDEX('Inputs'!$C$125:$C$131,MATCH($C$230+M276,'Inputs'!$C$125:$C$131,1))))-$C$228)-$C$236),0)</f>
      </c>
      <c r="O276">
        <f>IF(I276&lt;$C$232,MAX(0,J276-N276),0)</f>
      </c>
      <c r="P276">
        <f>IF($C$235&lt;&gt;1,0,P275*(1+((1+$C$244)^(1/12)-1))^12-O275/12*(1+((1+$C$244)^(1/12)-1))*(((1+((1+$C$244)^(1/12)-1))^12-1)/((1+((1+$C$244)^(1/12)-1))-1)))</f>
      </c>
      <c r="Q276">
        <f>IF($C$235&lt;&gt;1,0,IFERROR((((1+($C$244+'Inputs'!$H$108/100))^(1/12)-1)-((1+$C$244)^(1/12)-1))*(P276*(((1+((1+$C$244)^(1/12)-1))^12-1)/((1+((1+$C$244)^(1/12)-1))-1))-O276/12/((1+((1+$C$244)^(1/12)-1))-1)*((1+((1+$C$244)^(1/12)-1))*(((1+((1+$C$244)^(1/12)-1))^12-1)/((1+((1+$C$244)^(1/12)-1))-1))-12)),0))</f>
      </c>
    </row>
    <row r="277" spans="9:17" x14ac:dyDescent="0.25">
      <c r="I277">
        <v>49</v>
      </c>
      <c r="J277">
        <f>IF(I277&lt;$C$232,12*$C$233*(1+$C$234)^I277,0)</f>
      </c>
      <c r="K277">
        <f>IF(J277&lt;=0,0,INDEX($E$226:$E$233,MATCH(J277,$F$226:$F$233,1))+(J277-INDEX($F$226:$F$233,MATCH(J277,$F$226:$F$233,1)))/INDEX($G$226:$G$233,MATCH(J277,$F$226:$F$233,1))-$C$230)</f>
      </c>
      <c r="L277">
        <f>MAX(0,L276*(1+'Inputs'!$C$122/100)-M276/12*(1+'Inputs'!$C$122/100)^(1/12)*'Inputs'!$C$122/100/((1+'Inputs'!$C$122/100)^(1/12)-1))</f>
      </c>
      <c r="M277">
        <f>IF(L277&gt;0.005,MIN(MAX(K277,'Inputs'!$H$115/100*L277),'Inputs'!$H$116/100*L277),0)</f>
      </c>
      <c r="N277">
        <f>IF(M277&gt;0,M277-(MAX(0,(INDEX('Inputs'!$D$125:$D$131,MATCH($C$230+M277,'Inputs'!$C$125:$C$131,1))+INDEX('Inputs'!$E$125:$E$131,MATCH($C$230+M277,'Inputs'!$C$125:$C$131,1))/100*(($C$230+M277)-INDEX('Inputs'!$C$125:$C$131,MATCH($C$230+M277,'Inputs'!$C$125:$C$131,1))))-$C$228)-$C$236),0)</f>
      </c>
      <c r="O277">
        <f>IF(I277&lt;$C$232,MAX(0,J277-N277),0)</f>
      </c>
      <c r="P277">
        <f>IF($C$235&lt;&gt;1,0,P276*(1+((1+$C$244)^(1/12)-1))^12-O276/12*(1+((1+$C$244)^(1/12)-1))*(((1+((1+$C$244)^(1/12)-1))^12-1)/((1+((1+$C$244)^(1/12)-1))-1)))</f>
      </c>
      <c r="Q277">
        <f>IF($C$235&lt;&gt;1,0,IFERROR((((1+($C$244+'Inputs'!$H$108/100))^(1/12)-1)-((1+$C$244)^(1/12)-1))*(P277*(((1+((1+$C$244)^(1/12)-1))^12-1)/((1+((1+$C$244)^(1/12)-1))-1))-O277/12/((1+((1+$C$244)^(1/12)-1))-1)*((1+((1+$C$244)^(1/12)-1))*(((1+((1+$C$244)^(1/12)-1))^12-1)/((1+((1+$C$244)^(1/12)-1))-1))-12)),0))</f>
      </c>
    </row>
    <row r="281" spans="5:7" x14ac:dyDescent="0.25"/>
    <row r="282" spans="2:20" x14ac:dyDescent="0.25">
      <c r="B282" t="s">
        <v>113</v>
      </c>
      <c r="C282">
        <f>IF('Inputs'!$B$94="","",'Inputs'!$B$94)</f>
      </c>
      <c r="E282">
        <f>MAX($C$286,0)</f>
      </c>
      <c r="F282">
        <f>(E282-$C$286)-(MAX(0,(INDEX('Inputs'!$D$125:$D$131,MATCH(E282,'Inputs'!$C$125:$C$131,1))+INDEX('Inputs'!$E$125:$E$131,MATCH(E282,'Inputs'!$C$125:$C$131,1))/100*((E282)-INDEX('Inputs'!$C$125:$C$131,MATCH(E282,'Inputs'!$C$125:$C$131,1))))-$C$284)-$C$292)</f>
      </c>
      <c r="G282">
        <f>1-IF(E282&gt;=$C$285,INDEX('Inputs'!$E$125:$E$131,MATCH(E282,'Inputs'!$C$125:$C$131,1))/100,0)</f>
      </c>
      <c r="S282" t="s">
        <v>423</v>
      </c>
      <c r="T282" t="s">
        <v>424</v>
      </c>
    </row>
    <row r="283" spans="2:20" x14ac:dyDescent="0.25">
      <c r="B283" t="s">
        <v>115</v>
      </c>
      <c r="C283">
        <f>N('Inputs'!$D$94)</f>
      </c>
      <c r="E283">
        <f>MAX($C$286,$C$285)</f>
      </c>
      <c r="F283">
        <f>(E283-$C$286)-(MAX(0,(INDEX('Inputs'!$D$125:$D$131,MATCH(E283,'Inputs'!$C$125:$C$131,1))+INDEX('Inputs'!$E$125:$E$131,MATCH(E283,'Inputs'!$C$125:$C$131,1))/100*((E283)-INDEX('Inputs'!$C$125:$C$131,MATCH(E283,'Inputs'!$C$125:$C$131,1))))-$C$284)-$C$292)</f>
      </c>
      <c r="G283">
        <f>1-IF(E283&gt;=$C$285,INDEX('Inputs'!$E$125:$E$131,MATCH(E283,'Inputs'!$C$125:$C$131,1))/100,0)</f>
      </c>
      <c r="I283" t="s">
        <v>425</v>
      </c>
      <c r="J283" t="s">
        <v>426</v>
      </c>
      <c r="K283" t="s">
        <v>427</v>
      </c>
      <c r="L283" t="s">
        <v>428</v>
      </c>
      <c r="M283" t="s">
        <v>429</v>
      </c>
      <c r="N283" t="s">
        <v>430</v>
      </c>
      <c r="O283" t="s">
        <v>431</v>
      </c>
      <c r="P283" t="s">
        <v>432</v>
      </c>
      <c r="Q283" t="s">
        <v>433</v>
      </c>
      <c r="S283">
        <f>0</f>
      </c>
      <c r="T283">
        <f>ROUND(IF(('Inputs'!$C$122/100*(1-('Inputs'!$H$110/100*S283+'Inputs'!$H$111/100*'Inputs'!$H$113/100+'Inputs'!$H$112/100*'Inputs'!$C$120/100*S283))-IF($C$291=1,'Inputs'!$H$108/100,0))=0,SUM($O$284:$O$333),(1-(1+('Inputs'!$C$122/100*(1-('Inputs'!$H$110/100*S283+'Inputs'!$H$111/100*'Inputs'!$H$113/100+'Inputs'!$H$112/100*'Inputs'!$C$120/100*S283))-IF($C$291=1,'Inputs'!$H$108/100,0)))^-1)/(1-(1+('Inputs'!$C$122/100*(1-('Inputs'!$H$110/100*S283+'Inputs'!$H$111/100*'Inputs'!$H$113/100+'Inputs'!$H$112/100*'Inputs'!$C$120/100*S283))-IF($C$291=1,'Inputs'!$H$108/100,0)))^(-1/12))/12*SUMPRODUCT($O$284:$O$333,(1+('Inputs'!$C$122/100*(1-('Inputs'!$H$110/100*S283+'Inputs'!$H$111/100*'Inputs'!$H$113/100+'Inputs'!$H$112/100*'Inputs'!$C$120/100*S283))-IF($C$291=1,'Inputs'!$H$108/100,0)))^(-$I$284:$I$333))),2)</f>
      </c>
    </row>
    <row r="284" spans="2:20" x14ac:dyDescent="0.25">
      <c r="B284" t="s">
        <v>434</v>
      </c>
      <c r="C284">
        <f>IF($C$282="",0,'Inputs'!$H$117+IF($C$283&gt;=65,'Inputs'!$H$118,0)+IF($C$283&gt;=75,'Inputs'!$H$119,0))</f>
      </c>
      <c r="E284">
        <f>MAX($C$286,INDEX('Inputs'!$C$125:$C$131,2))</f>
      </c>
      <c r="F284">
        <f>(E284-$C$286)-(MAX(0,(INDEX('Inputs'!$D$125:$D$131,MATCH(E284,'Inputs'!$C$125:$C$131,1))+INDEX('Inputs'!$E$125:$E$131,MATCH(E284,'Inputs'!$C$125:$C$131,1))/100*((E284)-INDEX('Inputs'!$C$125:$C$131,MATCH(E284,'Inputs'!$C$125:$C$131,1))))-$C$284)-$C$292)</f>
      </c>
      <c r="G284">
        <f>1-IF(E284&gt;=$C$285,INDEX('Inputs'!$E$125:$E$131,MATCH(E284,'Inputs'!$C$125:$C$131,1))/100,0)</f>
      </c>
      <c r="I284">
        <v>0</v>
      </c>
      <c r="J284">
        <f>IF(I284&lt;$C$288,12*$C$289*(1+$C$290)^I284,0)</f>
      </c>
      <c r="K284">
        <f>IF(J284&lt;=0,0,INDEX($E$282:$E$289,MATCH(J284,$F$282:$F$289,1))+(J284-INDEX($F$282:$F$289,MATCH(J284,$F$282:$F$289,1)))/INDEX($G$282:$G$289,MATCH(J284,$F$282:$F$289,1))-$C$286)</f>
      </c>
      <c r="L284">
        <f>$C$287</f>
      </c>
      <c r="M284">
        <f>IF(L284&gt;0.005,MIN(MAX(K284,'Inputs'!$H$115/100*L284),'Inputs'!$H$116/100*L284),0)</f>
      </c>
      <c r="N284">
        <f>IF(M284&gt;0,M284-(MAX(0,(INDEX('Inputs'!$D$125:$D$131,MATCH($C$286+M284,'Inputs'!$C$125:$C$131,1))+INDEX('Inputs'!$E$125:$E$131,MATCH($C$286+M284,'Inputs'!$C$125:$C$131,1))/100*(($C$286+M284)-INDEX('Inputs'!$C$125:$C$131,MATCH($C$286+M284,'Inputs'!$C$125:$C$131,1))))-$C$284)-$C$292),0)</f>
      </c>
      <c r="O284">
        <f>IF(I284&lt;$C$288,MAX(0,J284-N284),0)</f>
      </c>
      <c r="P284">
        <f>IF($C$291&lt;&gt;1,0,IF($C$300=0,SUM($O$284:$O$333),(1-(1+$C$300)^-1)/(1-(1+$C$300)^(-1/12))/12*SUMPRODUCT($O$284:$O$333,(1+$C$300)^(-$I$284:$I$333))))</f>
      </c>
      <c r="Q284">
        <f>IF($C$291&lt;&gt;1,0,IFERROR((((1+($C$300+'Inputs'!$H$108/100))^(1/12)-1)-((1+$C$300)^(1/12)-1))*(P284*(((1+((1+$C$300)^(1/12)-1))^12-1)/((1+((1+$C$300)^(1/12)-1))-1))-O284/12/((1+((1+$C$300)^(1/12)-1))-1)*((1+((1+$C$300)^(1/12)-1))*(((1+((1+$C$300)^(1/12)-1))^12-1)/((1+((1+$C$300)^(1/12)-1))-1))-12)),0))</f>
      </c>
      <c r="S284">
        <f>IF($C$286+$C$293+T283*('Inputs'!$C$122/100*('Inputs'!$H$110/100+'Inputs'!$C$120/100*'Inputs'!$H$112/100))&lt;=$C$285,0,INDEX('Inputs'!$E$125:$E$131,MATCH($C$286+$C$293+T283*('Inputs'!$C$122/100*('Inputs'!$H$110/100+'Inputs'!$C$120/100*'Inputs'!$H$112/100)),'Inputs'!$C$125:$C$131,1)-IF(COUNTIF('Inputs'!$C$125:$C$131,$C$286+$C$293+T283*('Inputs'!$C$122/100*('Inputs'!$H$110/100+'Inputs'!$C$120/100*'Inputs'!$H$112/100)))&gt;0,1,0))/100)</f>
      </c>
      <c r="T284">
        <f>ROUND(IF(('Inputs'!$C$122/100*(1-('Inputs'!$H$110/100*S284+'Inputs'!$H$111/100*'Inputs'!$H$113/100+'Inputs'!$H$112/100*'Inputs'!$C$120/100*S284))-IF($C$291=1,'Inputs'!$H$108/100,0))=0,SUM($O$284:$O$333),(1-(1+('Inputs'!$C$122/100*(1-('Inputs'!$H$110/100*S284+'Inputs'!$H$111/100*'Inputs'!$H$113/100+'Inputs'!$H$112/100*'Inputs'!$C$120/100*S284))-IF($C$291=1,'Inputs'!$H$108/100,0)))^-1)/(1-(1+('Inputs'!$C$122/100*(1-('Inputs'!$H$110/100*S284+'Inputs'!$H$111/100*'Inputs'!$H$113/100+'Inputs'!$H$112/100*'Inputs'!$C$120/100*S284))-IF($C$291=1,'Inputs'!$H$108/100,0)))^(-1/12))/12*SUMPRODUCT($O$284:$O$333,(1+('Inputs'!$C$122/100*(1-('Inputs'!$H$110/100*S284+'Inputs'!$H$111/100*'Inputs'!$H$113/100+'Inputs'!$H$112/100*'Inputs'!$C$120/100*S284))-IF($C$291=1,'Inputs'!$H$108/100,0)))^(-$I$284:$I$333))),2)</f>
      </c>
    </row>
    <row r="285" spans="2:20" x14ac:dyDescent="0.25">
      <c r="B285" t="s">
        <v>435</v>
      </c>
      <c r="C285">
        <f>IF($C$283&gt;=75,'Inputs'!$H$121,IF($C$283&gt;=65,'Inputs'!$H$120,'Inputs'!$H$109))</f>
      </c>
      <c r="E285">
        <f>MAX($C$286,INDEX('Inputs'!$C$125:$C$131,3))</f>
      </c>
      <c r="F285">
        <f>(E285-$C$286)-(MAX(0,(INDEX('Inputs'!$D$125:$D$131,MATCH(E285,'Inputs'!$C$125:$C$131,1))+INDEX('Inputs'!$E$125:$E$131,MATCH(E285,'Inputs'!$C$125:$C$131,1))/100*((E285)-INDEX('Inputs'!$C$125:$C$131,MATCH(E285,'Inputs'!$C$125:$C$131,1))))-$C$284)-$C$292)</f>
      </c>
      <c r="G285">
        <f>1-IF(E285&gt;=$C$285,INDEX('Inputs'!$E$125:$E$131,MATCH(E285,'Inputs'!$C$125:$C$131,1))/100,0)</f>
      </c>
      <c r="I285">
        <v>1</v>
      </c>
      <c r="J285">
        <f>IF(I285&lt;$C$288,12*$C$289*(1+$C$290)^I285,0)</f>
      </c>
      <c r="K285">
        <f>IF(J285&lt;=0,0,INDEX($E$282:$E$289,MATCH(J285,$F$282:$F$289,1))+(J285-INDEX($F$282:$F$289,MATCH(J285,$F$282:$F$289,1)))/INDEX($G$282:$G$289,MATCH(J285,$F$282:$F$289,1))-$C$286)</f>
      </c>
      <c r="L285">
        <f>MAX(0,L284*(1+'Inputs'!$C$122/100)-M284/12*(1+'Inputs'!$C$122/100)^(1/12)*'Inputs'!$C$122/100/((1+'Inputs'!$C$122/100)^(1/12)-1))</f>
      </c>
      <c r="M285">
        <f>IF(L285&gt;0.005,MIN(MAX(K285,'Inputs'!$H$115/100*L285),'Inputs'!$H$116/100*L285),0)</f>
      </c>
      <c r="N285">
        <f>IF(M285&gt;0,M285-(MAX(0,(INDEX('Inputs'!$D$125:$D$131,MATCH($C$286+M285,'Inputs'!$C$125:$C$131,1))+INDEX('Inputs'!$E$125:$E$131,MATCH($C$286+M285,'Inputs'!$C$125:$C$131,1))/100*(($C$286+M285)-INDEX('Inputs'!$C$125:$C$131,MATCH($C$286+M285,'Inputs'!$C$125:$C$131,1))))-$C$284)-$C$292),0)</f>
      </c>
      <c r="O285">
        <f>IF(I285&lt;$C$288,MAX(0,J285-N285),0)</f>
      </c>
      <c r="P285">
        <f>IF($C$291&lt;&gt;1,0,P284*(1+((1+$C$300)^(1/12)-1))^12-O284/12*(1+((1+$C$300)^(1/12)-1))*(((1+((1+$C$300)^(1/12)-1))^12-1)/((1+((1+$C$300)^(1/12)-1))-1)))</f>
      </c>
      <c r="Q285">
        <f>IF($C$291&lt;&gt;1,0,IFERROR((((1+($C$300+'Inputs'!$H$108/100))^(1/12)-1)-((1+$C$300)^(1/12)-1))*(P285*(((1+((1+$C$300)^(1/12)-1))^12-1)/((1+((1+$C$300)^(1/12)-1))-1))-O285/12/((1+((1+$C$300)^(1/12)-1))-1)*((1+((1+$C$300)^(1/12)-1))*(((1+((1+$C$300)^(1/12)-1))^12-1)/((1+((1+$C$300)^(1/12)-1))-1))-12)),0))</f>
      </c>
      <c r="S285">
        <f>IF($C$286+$C$293+T284*('Inputs'!$C$122/100*('Inputs'!$H$110/100+'Inputs'!$C$120/100*'Inputs'!$H$112/100))&lt;=$C$285,0,INDEX('Inputs'!$E$125:$E$131,MATCH($C$286+$C$293+T284*('Inputs'!$C$122/100*('Inputs'!$H$110/100+'Inputs'!$C$120/100*'Inputs'!$H$112/100)),'Inputs'!$C$125:$C$131,1)-IF(COUNTIF('Inputs'!$C$125:$C$131,$C$286+$C$293+T284*('Inputs'!$C$122/100*('Inputs'!$H$110/100+'Inputs'!$C$120/100*'Inputs'!$H$112/100)))&gt;0,1,0))/100)</f>
      </c>
      <c r="T285">
        <f>ROUND(IF(('Inputs'!$C$122/100*(1-('Inputs'!$H$110/100*S285+'Inputs'!$H$111/100*'Inputs'!$H$113/100+'Inputs'!$H$112/100*'Inputs'!$C$120/100*S285))-IF($C$291=1,'Inputs'!$H$108/100,0))=0,SUM($O$284:$O$333),(1-(1+('Inputs'!$C$122/100*(1-('Inputs'!$H$110/100*S285+'Inputs'!$H$111/100*'Inputs'!$H$113/100+'Inputs'!$H$112/100*'Inputs'!$C$120/100*S285))-IF($C$291=1,'Inputs'!$H$108/100,0)))^-1)/(1-(1+('Inputs'!$C$122/100*(1-('Inputs'!$H$110/100*S285+'Inputs'!$H$111/100*'Inputs'!$H$113/100+'Inputs'!$H$112/100*'Inputs'!$C$120/100*S285))-IF($C$291=1,'Inputs'!$H$108/100,0)))^(-1/12))/12*SUMPRODUCT($O$284:$O$333,(1+('Inputs'!$C$122/100*(1-('Inputs'!$H$110/100*S285+'Inputs'!$H$111/100*'Inputs'!$H$113/100+'Inputs'!$H$112/100*'Inputs'!$C$120/100*S285))-IF($C$291=1,'Inputs'!$H$108/100,0)))^(-$I$284:$I$333))),2)</f>
      </c>
    </row>
    <row r="286" spans="2:20" x14ac:dyDescent="0.25">
      <c r="B286" t="s">
        <v>436</v>
      </c>
      <c r="C286">
        <f>N('Inputs'!$I$94)</f>
      </c>
      <c r="E286">
        <f>MAX($C$286,INDEX('Inputs'!$C$125:$C$131,4))</f>
      </c>
      <c r="F286">
        <f>(E286-$C$286)-(MAX(0,(INDEX('Inputs'!$D$125:$D$131,MATCH(E286,'Inputs'!$C$125:$C$131,1))+INDEX('Inputs'!$E$125:$E$131,MATCH(E286,'Inputs'!$C$125:$C$131,1))/100*((E286)-INDEX('Inputs'!$C$125:$C$131,MATCH(E286,'Inputs'!$C$125:$C$131,1))))-$C$284)-$C$292)</f>
      </c>
      <c r="G286">
        <f>1-IF(E286&gt;=$C$285,INDEX('Inputs'!$E$125:$E$131,MATCH(E286,'Inputs'!$C$125:$C$131,1))/100,0)</f>
      </c>
      <c r="I286">
        <v>2</v>
      </c>
      <c r="J286">
        <f>IF(I286&lt;$C$288,12*$C$289*(1+$C$290)^I286,0)</f>
      </c>
      <c r="K286">
        <f>IF(J286&lt;=0,0,INDEX($E$282:$E$289,MATCH(J286,$F$282:$F$289,1))+(J286-INDEX($F$282:$F$289,MATCH(J286,$F$282:$F$289,1)))/INDEX($G$282:$G$289,MATCH(J286,$F$282:$F$289,1))-$C$286)</f>
      </c>
      <c r="L286">
        <f>MAX(0,L285*(1+'Inputs'!$C$122/100)-M285/12*(1+'Inputs'!$C$122/100)^(1/12)*'Inputs'!$C$122/100/((1+'Inputs'!$C$122/100)^(1/12)-1))</f>
      </c>
      <c r="M286">
        <f>IF(L286&gt;0.005,MIN(MAX(K286,'Inputs'!$H$115/100*L286),'Inputs'!$H$116/100*L286),0)</f>
      </c>
      <c r="N286">
        <f>IF(M286&gt;0,M286-(MAX(0,(INDEX('Inputs'!$D$125:$D$131,MATCH($C$286+M286,'Inputs'!$C$125:$C$131,1))+INDEX('Inputs'!$E$125:$E$131,MATCH($C$286+M286,'Inputs'!$C$125:$C$131,1))/100*(($C$286+M286)-INDEX('Inputs'!$C$125:$C$131,MATCH($C$286+M286,'Inputs'!$C$125:$C$131,1))))-$C$284)-$C$292),0)</f>
      </c>
      <c r="O286">
        <f>IF(I286&lt;$C$288,MAX(0,J286-N286),0)</f>
      </c>
      <c r="P286">
        <f>IF($C$291&lt;&gt;1,0,P285*(1+((1+$C$300)^(1/12)-1))^12-O285/12*(1+((1+$C$300)^(1/12)-1))*(((1+((1+$C$300)^(1/12)-1))^12-1)/((1+((1+$C$300)^(1/12)-1))-1)))</f>
      </c>
      <c r="Q286">
        <f>IF($C$291&lt;&gt;1,0,IFERROR((((1+($C$300+'Inputs'!$H$108/100))^(1/12)-1)-((1+$C$300)^(1/12)-1))*(P286*(((1+((1+$C$300)^(1/12)-1))^12-1)/((1+((1+$C$300)^(1/12)-1))-1))-O286/12/((1+((1+$C$300)^(1/12)-1))-1)*((1+((1+$C$300)^(1/12)-1))*(((1+((1+$C$300)^(1/12)-1))^12-1)/((1+((1+$C$300)^(1/12)-1))-1))-12)),0))</f>
      </c>
      <c r="S286">
        <f>IF($C$286+$C$293+T285*('Inputs'!$C$122/100*('Inputs'!$H$110/100+'Inputs'!$C$120/100*'Inputs'!$H$112/100))&lt;=$C$285,0,INDEX('Inputs'!$E$125:$E$131,MATCH($C$286+$C$293+T285*('Inputs'!$C$122/100*('Inputs'!$H$110/100+'Inputs'!$C$120/100*'Inputs'!$H$112/100)),'Inputs'!$C$125:$C$131,1)-IF(COUNTIF('Inputs'!$C$125:$C$131,$C$286+$C$293+T285*('Inputs'!$C$122/100*('Inputs'!$H$110/100+'Inputs'!$C$120/100*'Inputs'!$H$112/100)))&gt;0,1,0))/100)</f>
      </c>
      <c r="T286">
        <f>ROUND(IF(('Inputs'!$C$122/100*(1-('Inputs'!$H$110/100*S286+'Inputs'!$H$111/100*'Inputs'!$H$113/100+'Inputs'!$H$112/100*'Inputs'!$C$120/100*S286))-IF($C$291=1,'Inputs'!$H$108/100,0))=0,SUM($O$284:$O$333),(1-(1+('Inputs'!$C$122/100*(1-('Inputs'!$H$110/100*S286+'Inputs'!$H$111/100*'Inputs'!$H$113/100+'Inputs'!$H$112/100*'Inputs'!$C$120/100*S286))-IF($C$291=1,'Inputs'!$H$108/100,0)))^-1)/(1-(1+('Inputs'!$C$122/100*(1-('Inputs'!$H$110/100*S286+'Inputs'!$H$111/100*'Inputs'!$H$113/100+'Inputs'!$H$112/100*'Inputs'!$C$120/100*S286))-IF($C$291=1,'Inputs'!$H$108/100,0)))^(-1/12))/12*SUMPRODUCT($O$284:$O$333,(1+('Inputs'!$C$122/100*(1-('Inputs'!$H$110/100*S286+'Inputs'!$H$111/100*'Inputs'!$H$113/100+'Inputs'!$H$112/100*'Inputs'!$C$120/100*S286))-IF($C$291=1,'Inputs'!$H$108/100,0)))^(-$I$284:$I$333))),2)</f>
      </c>
    </row>
    <row r="287" spans="2:20" x14ac:dyDescent="0.25">
      <c r="B287" t="s">
        <v>437</v>
      </c>
      <c r="C287">
        <f>IF($C$282="",0,SUMIFS('Inputs'!$D$76:$D$83,'Inputs'!$F$76:$F$83,$C$282))</f>
      </c>
      <c r="E287">
        <f>MAX($C$286,INDEX('Inputs'!$C$125:$C$131,5))</f>
      </c>
      <c r="F287">
        <f>(E287-$C$286)-(MAX(0,(INDEX('Inputs'!$D$125:$D$131,MATCH(E287,'Inputs'!$C$125:$C$131,1))+INDEX('Inputs'!$E$125:$E$131,MATCH(E287,'Inputs'!$C$125:$C$131,1))/100*((E287)-INDEX('Inputs'!$C$125:$C$131,MATCH(E287,'Inputs'!$C$125:$C$131,1))))-$C$284)-$C$292)</f>
      </c>
      <c r="G287">
        <f>1-IF(E287&gt;=$C$285,INDEX('Inputs'!$E$125:$E$131,MATCH(E287,'Inputs'!$C$125:$C$131,1))/100,0)</f>
      </c>
      <c r="I287">
        <v>3</v>
      </c>
      <c r="J287">
        <f>IF(I287&lt;$C$288,12*$C$289*(1+$C$290)^I287,0)</f>
      </c>
      <c r="K287">
        <f>IF(J287&lt;=0,0,INDEX($E$282:$E$289,MATCH(J287,$F$282:$F$289,1))+(J287-INDEX($F$282:$F$289,MATCH(J287,$F$282:$F$289,1)))/INDEX($G$282:$G$289,MATCH(J287,$F$282:$F$289,1))-$C$286)</f>
      </c>
      <c r="L287">
        <f>MAX(0,L286*(1+'Inputs'!$C$122/100)-M286/12*(1+'Inputs'!$C$122/100)^(1/12)*'Inputs'!$C$122/100/((1+'Inputs'!$C$122/100)^(1/12)-1))</f>
      </c>
      <c r="M287">
        <f>IF(L287&gt;0.005,MIN(MAX(K287,'Inputs'!$H$115/100*L287),'Inputs'!$H$116/100*L287),0)</f>
      </c>
      <c r="N287">
        <f>IF(M287&gt;0,M287-(MAX(0,(INDEX('Inputs'!$D$125:$D$131,MATCH($C$286+M287,'Inputs'!$C$125:$C$131,1))+INDEX('Inputs'!$E$125:$E$131,MATCH($C$286+M287,'Inputs'!$C$125:$C$131,1))/100*(($C$286+M287)-INDEX('Inputs'!$C$125:$C$131,MATCH($C$286+M287,'Inputs'!$C$125:$C$131,1))))-$C$284)-$C$292),0)</f>
      </c>
      <c r="O287">
        <f>IF(I287&lt;$C$288,MAX(0,J287-N287),0)</f>
      </c>
      <c r="P287">
        <f>IF($C$291&lt;&gt;1,0,P286*(1+((1+$C$300)^(1/12)-1))^12-O286/12*(1+((1+$C$300)^(1/12)-1))*(((1+((1+$C$300)^(1/12)-1))^12-1)/((1+((1+$C$300)^(1/12)-1))-1)))</f>
      </c>
      <c r="Q287">
        <f>IF($C$291&lt;&gt;1,0,IFERROR((((1+($C$300+'Inputs'!$H$108/100))^(1/12)-1)-((1+$C$300)^(1/12)-1))*(P287*(((1+((1+$C$300)^(1/12)-1))^12-1)/((1+((1+$C$300)^(1/12)-1))-1))-O287/12/((1+((1+$C$300)^(1/12)-1))-1)*((1+((1+$C$300)^(1/12)-1))*(((1+((1+$C$300)^(1/12)-1))^12-1)/((1+((1+$C$300)^(1/12)-1))-1))-12)),0))</f>
      </c>
      <c r="S287">
        <f>IF($C$286+$C$293+T286*('Inputs'!$C$122/100*('Inputs'!$H$110/100+'Inputs'!$C$120/100*'Inputs'!$H$112/100))&lt;=$C$285,0,INDEX('Inputs'!$E$125:$E$131,MATCH($C$286+$C$293+T286*('Inputs'!$C$122/100*('Inputs'!$H$110/100+'Inputs'!$C$120/100*'Inputs'!$H$112/100)),'Inputs'!$C$125:$C$131,1)-IF(COUNTIF('Inputs'!$C$125:$C$131,$C$286+$C$293+T286*('Inputs'!$C$122/100*('Inputs'!$H$110/100+'Inputs'!$C$120/100*'Inputs'!$H$112/100)))&gt;0,1,0))/100)</f>
      </c>
      <c r="T287">
        <f>ROUND(IF(('Inputs'!$C$122/100*(1-('Inputs'!$H$110/100*S287+'Inputs'!$H$111/100*'Inputs'!$H$113/100+'Inputs'!$H$112/100*'Inputs'!$C$120/100*S287))-IF($C$291=1,'Inputs'!$H$108/100,0))=0,SUM($O$284:$O$333),(1-(1+('Inputs'!$C$122/100*(1-('Inputs'!$H$110/100*S287+'Inputs'!$H$111/100*'Inputs'!$H$113/100+'Inputs'!$H$112/100*'Inputs'!$C$120/100*S287))-IF($C$291=1,'Inputs'!$H$108/100,0)))^-1)/(1-(1+('Inputs'!$C$122/100*(1-('Inputs'!$H$110/100*S287+'Inputs'!$H$111/100*'Inputs'!$H$113/100+'Inputs'!$H$112/100*'Inputs'!$C$120/100*S287))-IF($C$291=1,'Inputs'!$H$108/100,0)))^(-1/12))/12*SUMPRODUCT($O$284:$O$333,(1+('Inputs'!$C$122/100*(1-('Inputs'!$H$110/100*S287+'Inputs'!$H$111/100*'Inputs'!$H$113/100+'Inputs'!$H$112/100*'Inputs'!$C$120/100*S287))-IF($C$291=1,'Inputs'!$H$108/100,0)))^(-$I$284:$I$333))),2)</f>
      </c>
    </row>
    <row r="288" spans="2:20" x14ac:dyDescent="0.25">
      <c r="B288" t="s">
        <v>438</v>
      </c>
      <c r="C288">
        <f>IF($C$282="",0,N('Inputs'!$F$94))</f>
      </c>
      <c r="E288">
        <f>MAX($C$286,INDEX('Inputs'!$C$125:$C$131,6))</f>
      </c>
      <c r="F288">
        <f>(E288-$C$286)-(MAX(0,(INDEX('Inputs'!$D$125:$D$131,MATCH(E288,'Inputs'!$C$125:$C$131,1))+INDEX('Inputs'!$E$125:$E$131,MATCH(E288,'Inputs'!$C$125:$C$131,1))/100*((E288)-INDEX('Inputs'!$C$125:$C$131,MATCH(E288,'Inputs'!$C$125:$C$131,1))))-$C$284)-$C$292)</f>
      </c>
      <c r="G288">
        <f>1-IF(E288&gt;=$C$285,INDEX('Inputs'!$E$125:$E$131,MATCH(E288,'Inputs'!$C$125:$C$131,1))/100,0)</f>
      </c>
      <c r="I288">
        <v>4</v>
      </c>
      <c r="J288">
        <f>IF(I288&lt;$C$288,12*$C$289*(1+$C$290)^I288,0)</f>
      </c>
      <c r="K288">
        <f>IF(J288&lt;=0,0,INDEX($E$282:$E$289,MATCH(J288,$F$282:$F$289,1))+(J288-INDEX($F$282:$F$289,MATCH(J288,$F$282:$F$289,1)))/INDEX($G$282:$G$289,MATCH(J288,$F$282:$F$289,1))-$C$286)</f>
      </c>
      <c r="L288">
        <f>MAX(0,L287*(1+'Inputs'!$C$122/100)-M287/12*(1+'Inputs'!$C$122/100)^(1/12)*'Inputs'!$C$122/100/((1+'Inputs'!$C$122/100)^(1/12)-1))</f>
      </c>
      <c r="M288">
        <f>IF(L288&gt;0.005,MIN(MAX(K288,'Inputs'!$H$115/100*L288),'Inputs'!$H$116/100*L288),0)</f>
      </c>
      <c r="N288">
        <f>IF(M288&gt;0,M288-(MAX(0,(INDEX('Inputs'!$D$125:$D$131,MATCH($C$286+M288,'Inputs'!$C$125:$C$131,1))+INDEX('Inputs'!$E$125:$E$131,MATCH($C$286+M288,'Inputs'!$C$125:$C$131,1))/100*(($C$286+M288)-INDEX('Inputs'!$C$125:$C$131,MATCH($C$286+M288,'Inputs'!$C$125:$C$131,1))))-$C$284)-$C$292),0)</f>
      </c>
      <c r="O288">
        <f>IF(I288&lt;$C$288,MAX(0,J288-N288),0)</f>
      </c>
      <c r="P288">
        <f>IF($C$291&lt;&gt;1,0,P287*(1+((1+$C$300)^(1/12)-1))^12-O287/12*(1+((1+$C$300)^(1/12)-1))*(((1+((1+$C$300)^(1/12)-1))^12-1)/((1+((1+$C$300)^(1/12)-1))-1)))</f>
      </c>
      <c r="Q288">
        <f>IF($C$291&lt;&gt;1,0,IFERROR((((1+($C$300+'Inputs'!$H$108/100))^(1/12)-1)-((1+$C$300)^(1/12)-1))*(P288*(((1+((1+$C$300)^(1/12)-1))^12-1)/((1+((1+$C$300)^(1/12)-1))-1))-O288/12/((1+((1+$C$300)^(1/12)-1))-1)*((1+((1+$C$300)^(1/12)-1))*(((1+((1+$C$300)^(1/12)-1))^12-1)/((1+((1+$C$300)^(1/12)-1))-1))-12)),0))</f>
      </c>
      <c r="S288">
        <f>IF($C$286+$C$293+T287*('Inputs'!$C$122/100*('Inputs'!$H$110/100+'Inputs'!$C$120/100*'Inputs'!$H$112/100))&lt;=$C$285,0,INDEX('Inputs'!$E$125:$E$131,MATCH($C$286+$C$293+T287*('Inputs'!$C$122/100*('Inputs'!$H$110/100+'Inputs'!$C$120/100*'Inputs'!$H$112/100)),'Inputs'!$C$125:$C$131,1)-IF(COUNTIF('Inputs'!$C$125:$C$131,$C$286+$C$293+T287*('Inputs'!$C$122/100*('Inputs'!$H$110/100+'Inputs'!$C$120/100*'Inputs'!$H$112/100)))&gt;0,1,0))/100)</f>
      </c>
      <c r="T288">
        <f>ROUND(IF(('Inputs'!$C$122/100*(1-('Inputs'!$H$110/100*S288+'Inputs'!$H$111/100*'Inputs'!$H$113/100+'Inputs'!$H$112/100*'Inputs'!$C$120/100*S288))-IF($C$291=1,'Inputs'!$H$108/100,0))=0,SUM($O$284:$O$333),(1-(1+('Inputs'!$C$122/100*(1-('Inputs'!$H$110/100*S288+'Inputs'!$H$111/100*'Inputs'!$H$113/100+'Inputs'!$H$112/100*'Inputs'!$C$120/100*S288))-IF($C$291=1,'Inputs'!$H$108/100,0)))^-1)/(1-(1+('Inputs'!$C$122/100*(1-('Inputs'!$H$110/100*S288+'Inputs'!$H$111/100*'Inputs'!$H$113/100+'Inputs'!$H$112/100*'Inputs'!$C$120/100*S288))-IF($C$291=1,'Inputs'!$H$108/100,0)))^(-1/12))/12*SUMPRODUCT($O$284:$O$333,(1+('Inputs'!$C$122/100*(1-('Inputs'!$H$110/100*S288+'Inputs'!$H$111/100*'Inputs'!$H$113/100+'Inputs'!$H$112/100*'Inputs'!$C$120/100*S288))-IF($C$291=1,'Inputs'!$H$108/100,0)))^(-$I$284:$I$333))),2)</f>
      </c>
    </row>
    <row r="289" spans="2:17" x14ac:dyDescent="0.25">
      <c r="B289" t="s">
        <v>439</v>
      </c>
      <c r="C289">
        <f>N('Inputs'!$E$94)</f>
      </c>
      <c r="E289">
        <f>MAX($C$286,INDEX('Inputs'!$C$125:$C$131,7))</f>
      </c>
      <c r="F289">
        <f>(E289-$C$286)-(MAX(0,(INDEX('Inputs'!$D$125:$D$131,MATCH(E289,'Inputs'!$C$125:$C$131,1))+INDEX('Inputs'!$E$125:$E$131,MATCH(E289,'Inputs'!$C$125:$C$131,1))/100*((E289)-INDEX('Inputs'!$C$125:$C$131,MATCH(E289,'Inputs'!$C$125:$C$131,1))))-$C$284)-$C$292)</f>
      </c>
      <c r="G289">
        <f>1-IF(E289&gt;=$C$285,INDEX('Inputs'!$E$125:$E$131,MATCH(E289,'Inputs'!$C$125:$C$131,1))/100,0)</f>
      </c>
      <c r="I289">
        <v>5</v>
      </c>
      <c r="J289">
        <f>IF(I289&lt;$C$288,12*$C$289*(1+$C$290)^I289,0)</f>
      </c>
      <c r="K289">
        <f>IF(J289&lt;=0,0,INDEX($E$282:$E$289,MATCH(J289,$F$282:$F$289,1))+(J289-INDEX($F$282:$F$289,MATCH(J289,$F$282:$F$289,1)))/INDEX($G$282:$G$289,MATCH(J289,$F$282:$F$289,1))-$C$286)</f>
      </c>
      <c r="L289">
        <f>MAX(0,L288*(1+'Inputs'!$C$122/100)-M288/12*(1+'Inputs'!$C$122/100)^(1/12)*'Inputs'!$C$122/100/((1+'Inputs'!$C$122/100)^(1/12)-1))</f>
      </c>
      <c r="M289">
        <f>IF(L289&gt;0.005,MIN(MAX(K289,'Inputs'!$H$115/100*L289),'Inputs'!$H$116/100*L289),0)</f>
      </c>
      <c r="N289">
        <f>IF(M289&gt;0,M289-(MAX(0,(INDEX('Inputs'!$D$125:$D$131,MATCH($C$286+M289,'Inputs'!$C$125:$C$131,1))+INDEX('Inputs'!$E$125:$E$131,MATCH($C$286+M289,'Inputs'!$C$125:$C$131,1))/100*(($C$286+M289)-INDEX('Inputs'!$C$125:$C$131,MATCH($C$286+M289,'Inputs'!$C$125:$C$131,1))))-$C$284)-$C$292),0)</f>
      </c>
      <c r="O289">
        <f>IF(I289&lt;$C$288,MAX(0,J289-N289),0)</f>
      </c>
      <c r="P289">
        <f>IF($C$291&lt;&gt;1,0,P288*(1+((1+$C$300)^(1/12)-1))^12-O288/12*(1+((1+$C$300)^(1/12)-1))*(((1+((1+$C$300)^(1/12)-1))^12-1)/((1+((1+$C$300)^(1/12)-1))-1)))</f>
      </c>
      <c r="Q289">
        <f>IF($C$291&lt;&gt;1,0,IFERROR((((1+($C$300+'Inputs'!$H$108/100))^(1/12)-1)-((1+$C$300)^(1/12)-1))*(P289*(((1+((1+$C$300)^(1/12)-1))^12-1)/((1+((1+$C$300)^(1/12)-1))-1))-O289/12/((1+((1+$C$300)^(1/12)-1))-1)*((1+((1+$C$300)^(1/12)-1))*(((1+((1+$C$300)^(1/12)-1))^12-1)/((1+((1+$C$300)^(1/12)-1))-1))-12)),0))</f>
      </c>
    </row>
    <row r="290" spans="2:17" x14ac:dyDescent="0.25">
      <c r="B290" t="s">
        <v>440</v>
      </c>
      <c r="C290">
        <f>IF('Inputs'!$G$94="",'Inputs'!$H$114/100,'Inputs'!$G$94/100)</f>
      </c>
      <c r="I290">
        <v>6</v>
      </c>
      <c r="J290">
        <f>IF(I290&lt;$C$288,12*$C$289*(1+$C$290)^I290,0)</f>
      </c>
      <c r="K290">
        <f>IF(J290&lt;=0,0,INDEX($E$282:$E$289,MATCH(J290,$F$282:$F$289,1))+(J290-INDEX($F$282:$F$289,MATCH(J290,$F$282:$F$289,1)))/INDEX($G$282:$G$289,MATCH(J290,$F$282:$F$289,1))-$C$286)</f>
      </c>
      <c r="L290">
        <f>MAX(0,L289*(1+'Inputs'!$C$122/100)-M289/12*(1+'Inputs'!$C$122/100)^(1/12)*'Inputs'!$C$122/100/((1+'Inputs'!$C$122/100)^(1/12)-1))</f>
      </c>
      <c r="M290">
        <f>IF(L290&gt;0.005,MIN(MAX(K290,'Inputs'!$H$115/100*L290),'Inputs'!$H$116/100*L290),0)</f>
      </c>
      <c r="N290">
        <f>IF(M290&gt;0,M290-(MAX(0,(INDEX('Inputs'!$D$125:$D$131,MATCH($C$286+M290,'Inputs'!$C$125:$C$131,1))+INDEX('Inputs'!$E$125:$E$131,MATCH($C$286+M290,'Inputs'!$C$125:$C$131,1))/100*(($C$286+M290)-INDEX('Inputs'!$C$125:$C$131,MATCH($C$286+M290,'Inputs'!$C$125:$C$131,1))))-$C$284)-$C$292),0)</f>
      </c>
      <c r="O290">
        <f>IF(I290&lt;$C$288,MAX(0,J290-N290),0)</f>
      </c>
      <c r="P290">
        <f>IF($C$291&lt;&gt;1,0,P289*(1+((1+$C$300)^(1/12)-1))^12-O289/12*(1+((1+$C$300)^(1/12)-1))*(((1+((1+$C$300)^(1/12)-1))^12-1)/((1+((1+$C$300)^(1/12)-1))-1)))</f>
      </c>
      <c r="Q290">
        <f>IF($C$291&lt;&gt;1,0,IFERROR((((1+($C$300+'Inputs'!$H$108/100))^(1/12)-1)-((1+$C$300)^(1/12)-1))*(P290*(((1+((1+$C$300)^(1/12)-1))^12-1)/((1+((1+$C$300)^(1/12)-1))-1))-O290/12/((1+((1+$C$300)^(1/12)-1))-1)*((1+((1+$C$300)^(1/12)-1))*(((1+((1+$C$300)^(1/12)-1))^12-1)/((1+((1+$C$300)^(1/12)-1))-1))-12)),0))</f>
      </c>
    </row>
    <row r="291" spans="2:17" x14ac:dyDescent="0.25">
      <c r="B291" t="s">
        <v>441</v>
      </c>
      <c r="C291">
        <f>IF('Inputs'!$H$94="Yes",1,0)</f>
      </c>
      <c r="I291">
        <v>7</v>
      </c>
      <c r="J291">
        <f>IF(I291&lt;$C$288,12*$C$289*(1+$C$290)^I291,0)</f>
      </c>
      <c r="K291">
        <f>IF(J291&lt;=0,0,INDEX($E$282:$E$289,MATCH(J291,$F$282:$F$289,1))+(J291-INDEX($F$282:$F$289,MATCH(J291,$F$282:$F$289,1)))/INDEX($G$282:$G$289,MATCH(J291,$F$282:$F$289,1))-$C$286)</f>
      </c>
      <c r="L291">
        <f>MAX(0,L290*(1+'Inputs'!$C$122/100)-M290/12*(1+'Inputs'!$C$122/100)^(1/12)*'Inputs'!$C$122/100/((1+'Inputs'!$C$122/100)^(1/12)-1))</f>
      </c>
      <c r="M291">
        <f>IF(L291&gt;0.005,MIN(MAX(K291,'Inputs'!$H$115/100*L291),'Inputs'!$H$116/100*L291),0)</f>
      </c>
      <c r="N291">
        <f>IF(M291&gt;0,M291-(MAX(0,(INDEX('Inputs'!$D$125:$D$131,MATCH($C$286+M291,'Inputs'!$C$125:$C$131,1))+INDEX('Inputs'!$E$125:$E$131,MATCH($C$286+M291,'Inputs'!$C$125:$C$131,1))/100*(($C$286+M291)-INDEX('Inputs'!$C$125:$C$131,MATCH($C$286+M291,'Inputs'!$C$125:$C$131,1))))-$C$284)-$C$292),0)</f>
      </c>
      <c r="O291">
        <f>IF(I291&lt;$C$288,MAX(0,J291-N291),0)</f>
      </c>
      <c r="P291">
        <f>IF($C$291&lt;&gt;1,0,P290*(1+((1+$C$300)^(1/12)-1))^12-O290/12*(1+((1+$C$300)^(1/12)-1))*(((1+((1+$C$300)^(1/12)-1))^12-1)/((1+((1+$C$300)^(1/12)-1))-1)))</f>
      </c>
      <c r="Q291">
        <f>IF($C$291&lt;&gt;1,0,IFERROR((((1+($C$300+'Inputs'!$H$108/100))^(1/12)-1)-((1+$C$300)^(1/12)-1))*(P291*(((1+((1+$C$300)^(1/12)-1))^12-1)/((1+((1+$C$300)^(1/12)-1))-1))-O291/12/((1+((1+$C$300)^(1/12)-1))-1)*((1+((1+$C$300)^(1/12)-1))*(((1+((1+$C$300)^(1/12)-1))^12-1)/((1+((1+$C$300)^(1/12)-1))-1))-12)),0))</f>
      </c>
    </row>
    <row r="292" spans="2:17" x14ac:dyDescent="0.25">
      <c r="B292" t="s">
        <v>442</v>
      </c>
      <c r="C292">
        <f>MAX(0,(INDEX('Inputs'!$D$125:$D$131,MATCH($C$286,'Inputs'!$C$125:$C$131,1))+INDEX('Inputs'!$E$125:$E$131,MATCH($C$286,'Inputs'!$C$125:$C$131,1))/100*(($C$286)-INDEX('Inputs'!$C$125:$C$131,MATCH($C$286,'Inputs'!$C$125:$C$131,1))))-$C$284)</f>
      </c>
      <c r="I292">
        <v>8</v>
      </c>
      <c r="J292">
        <f>IF(I292&lt;$C$288,12*$C$289*(1+$C$290)^I292,0)</f>
      </c>
      <c r="K292">
        <f>IF(J292&lt;=0,0,INDEX($E$282:$E$289,MATCH(J292,$F$282:$F$289,1))+(J292-INDEX($F$282:$F$289,MATCH(J292,$F$282:$F$289,1)))/INDEX($G$282:$G$289,MATCH(J292,$F$282:$F$289,1))-$C$286)</f>
      </c>
      <c r="L292">
        <f>MAX(0,L291*(1+'Inputs'!$C$122/100)-M291/12*(1+'Inputs'!$C$122/100)^(1/12)*'Inputs'!$C$122/100/((1+'Inputs'!$C$122/100)^(1/12)-1))</f>
      </c>
      <c r="M292">
        <f>IF(L292&gt;0.005,MIN(MAX(K292,'Inputs'!$H$115/100*L292),'Inputs'!$H$116/100*L292),0)</f>
      </c>
      <c r="N292">
        <f>IF(M292&gt;0,M292-(MAX(0,(INDEX('Inputs'!$D$125:$D$131,MATCH($C$286+M292,'Inputs'!$C$125:$C$131,1))+INDEX('Inputs'!$E$125:$E$131,MATCH($C$286+M292,'Inputs'!$C$125:$C$131,1))/100*(($C$286+M292)-INDEX('Inputs'!$C$125:$C$131,MATCH($C$286+M292,'Inputs'!$C$125:$C$131,1))))-$C$284)-$C$292),0)</f>
      </c>
      <c r="O292">
        <f>IF(I292&lt;$C$288,MAX(0,J292-N292),0)</f>
      </c>
      <c r="P292">
        <f>IF($C$291&lt;&gt;1,0,P291*(1+((1+$C$300)^(1/12)-1))^12-O291/12*(1+((1+$C$300)^(1/12)-1))*(((1+((1+$C$300)^(1/12)-1))^12-1)/((1+((1+$C$300)^(1/12)-1))-1)))</f>
      </c>
      <c r="Q292">
        <f>IF($C$291&lt;&gt;1,0,IFERROR((((1+($C$300+'Inputs'!$H$108/100))^(1/12)-1)-((1+$C$300)^(1/12)-1))*(P292*(((1+((1+$C$300)^(1/12)-1))^12-1)/((1+((1+$C$300)^(1/12)-1))-1))-O292/12/((1+((1+$C$300)^(1/12)-1))-1)*((1+((1+$C$300)^(1/12)-1))*(((1+((1+$C$300)^(1/12)-1))^12-1)/((1+((1+$C$300)^(1/12)-1))-1))-12)),0))</f>
      </c>
    </row>
    <row r="293" spans="2:17" x14ac:dyDescent="0.25">
      <c r="B293" t="s">
        <v>443</v>
      </c>
      <c r="C293">
        <f>M284</f>
      </c>
      <c r="I293">
        <v>9</v>
      </c>
      <c r="J293">
        <f>IF(I293&lt;$C$288,12*$C$289*(1+$C$290)^I293,0)</f>
      </c>
      <c r="K293">
        <f>IF(J293&lt;=0,0,INDEX($E$282:$E$289,MATCH(J293,$F$282:$F$289,1))+(J293-INDEX($F$282:$F$289,MATCH(J293,$F$282:$F$289,1)))/INDEX($G$282:$G$289,MATCH(J293,$F$282:$F$289,1))-$C$286)</f>
      </c>
      <c r="L293">
        <f>MAX(0,L292*(1+'Inputs'!$C$122/100)-M292/12*(1+'Inputs'!$C$122/100)^(1/12)*'Inputs'!$C$122/100/((1+'Inputs'!$C$122/100)^(1/12)-1))</f>
      </c>
      <c r="M293">
        <f>IF(L293&gt;0.005,MIN(MAX(K293,'Inputs'!$H$115/100*L293),'Inputs'!$H$116/100*L293),0)</f>
      </c>
      <c r="N293">
        <f>IF(M293&gt;0,M293-(MAX(0,(INDEX('Inputs'!$D$125:$D$131,MATCH($C$286+M293,'Inputs'!$C$125:$C$131,1))+INDEX('Inputs'!$E$125:$E$131,MATCH($C$286+M293,'Inputs'!$C$125:$C$131,1))/100*(($C$286+M293)-INDEX('Inputs'!$C$125:$C$131,MATCH($C$286+M293,'Inputs'!$C$125:$C$131,1))))-$C$284)-$C$292),0)</f>
      </c>
      <c r="O293">
        <f>IF(I293&lt;$C$288,MAX(0,J293-N293),0)</f>
      </c>
      <c r="P293">
        <f>IF($C$291&lt;&gt;1,0,P292*(1+((1+$C$300)^(1/12)-1))^12-O292/12*(1+((1+$C$300)^(1/12)-1))*(((1+((1+$C$300)^(1/12)-1))^12-1)/((1+((1+$C$300)^(1/12)-1))-1)))</f>
      </c>
      <c r="Q293">
        <f>IF($C$291&lt;&gt;1,0,IFERROR((((1+($C$300+'Inputs'!$H$108/100))^(1/12)-1)-((1+$C$300)^(1/12)-1))*(P293*(((1+((1+$C$300)^(1/12)-1))^12-1)/((1+((1+$C$300)^(1/12)-1))-1))-O293/12/((1+((1+$C$300)^(1/12)-1))-1)*((1+((1+$C$300)^(1/12)-1))*(((1+((1+$C$300)^(1/12)-1))^12-1)/((1+((1+$C$300)^(1/12)-1))-1))-12)),0))</f>
      </c>
    </row>
    <row r="294" spans="2:17" x14ac:dyDescent="0.25">
      <c r="B294" t="s">
        <v>444</v>
      </c>
      <c r="C294">
        <f>T288</f>
      </c>
      <c r="I294">
        <v>10</v>
      </c>
      <c r="J294">
        <f>IF(I294&lt;$C$288,12*$C$289*(1+$C$290)^I294,0)</f>
      </c>
      <c r="K294">
        <f>IF(J294&lt;=0,0,INDEX($E$282:$E$289,MATCH(J294,$F$282:$F$289,1))+(J294-INDEX($F$282:$F$289,MATCH(J294,$F$282:$F$289,1)))/INDEX($G$282:$G$289,MATCH(J294,$F$282:$F$289,1))-$C$286)</f>
      </c>
      <c r="L294">
        <f>MAX(0,L293*(1+'Inputs'!$C$122/100)-M293/12*(1+'Inputs'!$C$122/100)^(1/12)*'Inputs'!$C$122/100/((1+'Inputs'!$C$122/100)^(1/12)-1))</f>
      </c>
      <c r="M294">
        <f>IF(L294&gt;0.005,MIN(MAX(K294,'Inputs'!$H$115/100*L294),'Inputs'!$H$116/100*L294),0)</f>
      </c>
      <c r="N294">
        <f>IF(M294&gt;0,M294-(MAX(0,(INDEX('Inputs'!$D$125:$D$131,MATCH($C$286+M294,'Inputs'!$C$125:$C$131,1))+INDEX('Inputs'!$E$125:$E$131,MATCH($C$286+M294,'Inputs'!$C$125:$C$131,1))/100*(($C$286+M294)-INDEX('Inputs'!$C$125:$C$131,MATCH($C$286+M294,'Inputs'!$C$125:$C$131,1))))-$C$284)-$C$292),0)</f>
      </c>
      <c r="O294">
        <f>IF(I294&lt;$C$288,MAX(0,J294-N294),0)</f>
      </c>
      <c r="P294">
        <f>IF($C$291&lt;&gt;1,0,P293*(1+((1+$C$300)^(1/12)-1))^12-O293/12*(1+((1+$C$300)^(1/12)-1))*(((1+((1+$C$300)^(1/12)-1))^12-1)/((1+((1+$C$300)^(1/12)-1))-1)))</f>
      </c>
      <c r="Q294">
        <f>IF($C$291&lt;&gt;1,0,IFERROR((((1+($C$300+'Inputs'!$H$108/100))^(1/12)-1)-((1+$C$300)^(1/12)-1))*(P294*(((1+((1+$C$300)^(1/12)-1))^12-1)/((1+((1+$C$300)^(1/12)-1))-1))-O294/12/((1+((1+$C$300)^(1/12)-1))-1)*((1+((1+$C$300)^(1/12)-1))*(((1+((1+$C$300)^(1/12)-1))^12-1)/((1+((1+$C$300)^(1/12)-1))-1))-12)),0))</f>
      </c>
    </row>
    <row r="295" spans="2:17" x14ac:dyDescent="0.25">
      <c r="B295" t="s">
        <v>445</v>
      </c>
      <c r="C295">
        <f>N284</f>
      </c>
      <c r="I295">
        <v>11</v>
      </c>
      <c r="J295">
        <f>IF(I295&lt;$C$288,12*$C$289*(1+$C$290)^I295,0)</f>
      </c>
      <c r="K295">
        <f>IF(J295&lt;=0,0,INDEX($E$282:$E$289,MATCH(J295,$F$282:$F$289,1))+(J295-INDEX($F$282:$F$289,MATCH(J295,$F$282:$F$289,1)))/INDEX($G$282:$G$289,MATCH(J295,$F$282:$F$289,1))-$C$286)</f>
      </c>
      <c r="L295">
        <f>MAX(0,L294*(1+'Inputs'!$C$122/100)-M294/12*(1+'Inputs'!$C$122/100)^(1/12)*'Inputs'!$C$122/100/((1+'Inputs'!$C$122/100)^(1/12)-1))</f>
      </c>
      <c r="M295">
        <f>IF(L295&gt;0.005,MIN(MAX(K295,'Inputs'!$H$115/100*L295),'Inputs'!$H$116/100*L295),0)</f>
      </c>
      <c r="N295">
        <f>IF(M295&gt;0,M295-(MAX(0,(INDEX('Inputs'!$D$125:$D$131,MATCH($C$286+M295,'Inputs'!$C$125:$C$131,1))+INDEX('Inputs'!$E$125:$E$131,MATCH($C$286+M295,'Inputs'!$C$125:$C$131,1))/100*(($C$286+M295)-INDEX('Inputs'!$C$125:$C$131,MATCH($C$286+M295,'Inputs'!$C$125:$C$131,1))))-$C$284)-$C$292),0)</f>
      </c>
      <c r="O295">
        <f>IF(I295&lt;$C$288,MAX(0,J295-N295),0)</f>
      </c>
      <c r="P295">
        <f>IF($C$291&lt;&gt;1,0,P294*(1+((1+$C$300)^(1/12)-1))^12-O294/12*(1+((1+$C$300)^(1/12)-1))*(((1+((1+$C$300)^(1/12)-1))^12-1)/((1+((1+$C$300)^(1/12)-1))-1)))</f>
      </c>
      <c r="Q295">
        <f>IF($C$291&lt;&gt;1,0,IFERROR((((1+($C$300+'Inputs'!$H$108/100))^(1/12)-1)-((1+$C$300)^(1/12)-1))*(P295*(((1+((1+$C$300)^(1/12)-1))^12-1)/((1+((1+$C$300)^(1/12)-1))-1))-O295/12/((1+((1+$C$300)^(1/12)-1))-1)*((1+((1+$C$300)^(1/12)-1))*(((1+((1+$C$300)^(1/12)-1))^12-1)/((1+((1+$C$300)^(1/12)-1))-1))-12)),0))</f>
      </c>
    </row>
    <row r="296" spans="2:17" x14ac:dyDescent="0.25">
      <c r="B296" t="s">
        <v>446</v>
      </c>
      <c r="C296">
        <f>O284</f>
      </c>
      <c r="I296">
        <v>12</v>
      </c>
      <c r="J296">
        <f>IF(I296&lt;$C$288,12*$C$289*(1+$C$290)^I296,0)</f>
      </c>
      <c r="K296">
        <f>IF(J296&lt;=0,0,INDEX($E$282:$E$289,MATCH(J296,$F$282:$F$289,1))+(J296-INDEX($F$282:$F$289,MATCH(J296,$F$282:$F$289,1)))/INDEX($G$282:$G$289,MATCH(J296,$F$282:$F$289,1))-$C$286)</f>
      </c>
      <c r="L296">
        <f>MAX(0,L295*(1+'Inputs'!$C$122/100)-M295/12*(1+'Inputs'!$C$122/100)^(1/12)*'Inputs'!$C$122/100/((1+'Inputs'!$C$122/100)^(1/12)-1))</f>
      </c>
      <c r="M296">
        <f>IF(L296&gt;0.005,MIN(MAX(K296,'Inputs'!$H$115/100*L296),'Inputs'!$H$116/100*L296),0)</f>
      </c>
      <c r="N296">
        <f>IF(M296&gt;0,M296-(MAX(0,(INDEX('Inputs'!$D$125:$D$131,MATCH($C$286+M296,'Inputs'!$C$125:$C$131,1))+INDEX('Inputs'!$E$125:$E$131,MATCH($C$286+M296,'Inputs'!$C$125:$C$131,1))/100*(($C$286+M296)-INDEX('Inputs'!$C$125:$C$131,MATCH($C$286+M296,'Inputs'!$C$125:$C$131,1))))-$C$284)-$C$292),0)</f>
      </c>
      <c r="O296">
        <f>IF(I296&lt;$C$288,MAX(0,J296-N296),0)</f>
      </c>
      <c r="P296">
        <f>IF($C$291&lt;&gt;1,0,P295*(1+((1+$C$300)^(1/12)-1))^12-O295/12*(1+((1+$C$300)^(1/12)-1))*(((1+((1+$C$300)^(1/12)-1))^12-1)/((1+((1+$C$300)^(1/12)-1))-1)))</f>
      </c>
      <c r="Q296">
        <f>IF($C$291&lt;&gt;1,0,IFERROR((((1+($C$300+'Inputs'!$H$108/100))^(1/12)-1)-((1+$C$300)^(1/12)-1))*(P296*(((1+((1+$C$300)^(1/12)-1))^12-1)/((1+((1+$C$300)^(1/12)-1))-1))-O296/12/((1+((1+$C$300)^(1/12)-1))-1)*((1+((1+$C$300)^(1/12)-1))*(((1+((1+$C$300)^(1/12)-1))^12-1)/((1+((1+$C$300)^(1/12)-1))-1))-12)),0))</f>
      </c>
    </row>
    <row r="297" spans="2:17" x14ac:dyDescent="0.25">
      <c r="B297" t="s">
        <v>447</v>
      </c>
      <c r="C297">
        <f>ROUND(Q284,2)</f>
      </c>
      <c r="I297">
        <v>13</v>
      </c>
      <c r="J297">
        <f>IF(I297&lt;$C$288,12*$C$289*(1+$C$290)^I297,0)</f>
      </c>
      <c r="K297">
        <f>IF(J297&lt;=0,0,INDEX($E$282:$E$289,MATCH(J297,$F$282:$F$289,1))+(J297-INDEX($F$282:$F$289,MATCH(J297,$F$282:$F$289,1)))/INDEX($G$282:$G$289,MATCH(J297,$F$282:$F$289,1))-$C$286)</f>
      </c>
      <c r="L297">
        <f>MAX(0,L296*(1+'Inputs'!$C$122/100)-M296/12*(1+'Inputs'!$C$122/100)^(1/12)*'Inputs'!$C$122/100/((1+'Inputs'!$C$122/100)^(1/12)-1))</f>
      </c>
      <c r="M297">
        <f>IF(L297&gt;0.005,MIN(MAX(K297,'Inputs'!$H$115/100*L297),'Inputs'!$H$116/100*L297),0)</f>
      </c>
      <c r="N297">
        <f>IF(M297&gt;0,M297-(MAX(0,(INDEX('Inputs'!$D$125:$D$131,MATCH($C$286+M297,'Inputs'!$C$125:$C$131,1))+INDEX('Inputs'!$E$125:$E$131,MATCH($C$286+M297,'Inputs'!$C$125:$C$131,1))/100*(($C$286+M297)-INDEX('Inputs'!$C$125:$C$131,MATCH($C$286+M297,'Inputs'!$C$125:$C$131,1))))-$C$284)-$C$292),0)</f>
      </c>
      <c r="O297">
        <f>IF(I297&lt;$C$288,MAX(0,J297-N297),0)</f>
      </c>
      <c r="P297">
        <f>IF($C$291&lt;&gt;1,0,P296*(1+((1+$C$300)^(1/12)-1))^12-O296/12*(1+((1+$C$300)^(1/12)-1))*(((1+((1+$C$300)^(1/12)-1))^12-1)/((1+((1+$C$300)^(1/12)-1))-1)))</f>
      </c>
      <c r="Q297">
        <f>IF($C$291&lt;&gt;1,0,IFERROR((((1+($C$300+'Inputs'!$H$108/100))^(1/12)-1)-((1+$C$300)^(1/12)-1))*(P297*(((1+((1+$C$300)^(1/12)-1))^12-1)/((1+((1+$C$300)^(1/12)-1))-1))-O297/12/((1+((1+$C$300)^(1/12)-1))-1)*((1+((1+$C$300)^(1/12)-1))*(((1+((1+$C$300)^(1/12)-1))^12-1)/((1+((1+$C$300)^(1/12)-1))-1))-12)),0))</f>
      </c>
    </row>
    <row r="298" spans="2:17" x14ac:dyDescent="0.25">
      <c r="B298" t="s">
        <v>448</v>
      </c>
      <c r="C298">
        <f>ROUND(SUM($Q$284:$Q$333),2)</f>
      </c>
      <c r="I298">
        <v>14</v>
      </c>
      <c r="J298">
        <f>IF(I298&lt;$C$288,12*$C$289*(1+$C$290)^I298,0)</f>
      </c>
      <c r="K298">
        <f>IF(J298&lt;=0,0,INDEX($E$282:$E$289,MATCH(J298,$F$282:$F$289,1))+(J298-INDEX($F$282:$F$289,MATCH(J298,$F$282:$F$289,1)))/INDEX($G$282:$G$289,MATCH(J298,$F$282:$F$289,1))-$C$286)</f>
      </c>
      <c r="L298">
        <f>MAX(0,L297*(1+'Inputs'!$C$122/100)-M297/12*(1+'Inputs'!$C$122/100)^(1/12)*'Inputs'!$C$122/100/((1+'Inputs'!$C$122/100)^(1/12)-1))</f>
      </c>
      <c r="M298">
        <f>IF(L298&gt;0.005,MIN(MAX(K298,'Inputs'!$H$115/100*L298),'Inputs'!$H$116/100*L298),0)</f>
      </c>
      <c r="N298">
        <f>IF(M298&gt;0,M298-(MAX(0,(INDEX('Inputs'!$D$125:$D$131,MATCH($C$286+M298,'Inputs'!$C$125:$C$131,1))+INDEX('Inputs'!$E$125:$E$131,MATCH($C$286+M298,'Inputs'!$C$125:$C$131,1))/100*(($C$286+M298)-INDEX('Inputs'!$C$125:$C$131,MATCH($C$286+M298,'Inputs'!$C$125:$C$131,1))))-$C$284)-$C$292),0)</f>
      </c>
      <c r="O298">
        <f>IF(I298&lt;$C$288,MAX(0,J298-N298),0)</f>
      </c>
      <c r="P298">
        <f>IF($C$291&lt;&gt;1,0,P297*(1+((1+$C$300)^(1/12)-1))^12-O297/12*(1+((1+$C$300)^(1/12)-1))*(((1+((1+$C$300)^(1/12)-1))^12-1)/((1+((1+$C$300)^(1/12)-1))-1)))</f>
      </c>
      <c r="Q298">
        <f>IF($C$291&lt;&gt;1,0,IFERROR((((1+($C$300+'Inputs'!$H$108/100))^(1/12)-1)-((1+$C$300)^(1/12)-1))*(P298*(((1+((1+$C$300)^(1/12)-1))^12-1)/((1+((1+$C$300)^(1/12)-1))-1))-O298/12/((1+((1+$C$300)^(1/12)-1))-1)*((1+((1+$C$300)^(1/12)-1))*(((1+((1+$C$300)^(1/12)-1))^12-1)/((1+((1+$C$300)^(1/12)-1))-1))-12)),0))</f>
      </c>
    </row>
    <row r="299" spans="2:17" x14ac:dyDescent="0.25">
      <c r="B299" t="s">
        <v>449</v>
      </c>
      <c r="C299">
        <f>IF($C$291&lt;&gt;1,0,ROUND(IF($C$300=0,SUM($O$284:$O$333),(1-(1+$C$300)^-1)/(1-(1+$C$300)^(-1/12))/12*SUMPRODUCT($O$284:$O$333,(1+$C$300)^(-$I$284:$I$333)))-IF(($C$300+'Inputs'!$H$108/100)=0,SUM($O$284:$O$333),(1-(1+($C$300+'Inputs'!$H$108/100))^-1)/(1-(1+($C$300+'Inputs'!$H$108/100))^(-1/12))/12*SUMPRODUCT($O$284:$O$333,(1+($C$300+'Inputs'!$H$108/100))^(-$I$284:$I$333))),2))</f>
      </c>
      <c r="I299">
        <v>15</v>
      </c>
      <c r="J299">
        <f>IF(I299&lt;$C$288,12*$C$289*(1+$C$290)^I299,0)</f>
      </c>
      <c r="K299">
        <f>IF(J299&lt;=0,0,INDEX($E$282:$E$289,MATCH(J299,$F$282:$F$289,1))+(J299-INDEX($F$282:$F$289,MATCH(J299,$F$282:$F$289,1)))/INDEX($G$282:$G$289,MATCH(J299,$F$282:$F$289,1))-$C$286)</f>
      </c>
      <c r="L299">
        <f>MAX(0,L298*(1+'Inputs'!$C$122/100)-M298/12*(1+'Inputs'!$C$122/100)^(1/12)*'Inputs'!$C$122/100/((1+'Inputs'!$C$122/100)^(1/12)-1))</f>
      </c>
      <c r="M299">
        <f>IF(L299&gt;0.005,MIN(MAX(K299,'Inputs'!$H$115/100*L299),'Inputs'!$H$116/100*L299),0)</f>
      </c>
      <c r="N299">
        <f>IF(M299&gt;0,M299-(MAX(0,(INDEX('Inputs'!$D$125:$D$131,MATCH($C$286+M299,'Inputs'!$C$125:$C$131,1))+INDEX('Inputs'!$E$125:$E$131,MATCH($C$286+M299,'Inputs'!$C$125:$C$131,1))/100*(($C$286+M299)-INDEX('Inputs'!$C$125:$C$131,MATCH($C$286+M299,'Inputs'!$C$125:$C$131,1))))-$C$284)-$C$292),0)</f>
      </c>
      <c r="O299">
        <f>IF(I299&lt;$C$288,MAX(0,J299-N299),0)</f>
      </c>
      <c r="P299">
        <f>IF($C$291&lt;&gt;1,0,P298*(1+((1+$C$300)^(1/12)-1))^12-O298/12*(1+((1+$C$300)^(1/12)-1))*(((1+((1+$C$300)^(1/12)-1))^12-1)/((1+((1+$C$300)^(1/12)-1))-1)))</f>
      </c>
      <c r="Q299">
        <f>IF($C$291&lt;&gt;1,0,IFERROR((((1+($C$300+'Inputs'!$H$108/100))^(1/12)-1)-((1+$C$300)^(1/12)-1))*(P299*(((1+((1+$C$300)^(1/12)-1))^12-1)/((1+((1+$C$300)^(1/12)-1))-1))-O299/12/((1+((1+$C$300)^(1/12)-1))-1)*((1+((1+$C$300)^(1/12)-1))*(((1+((1+$C$300)^(1/12)-1))^12-1)/((1+((1+$C$300)^(1/12)-1))-1))-12)),0))</f>
      </c>
    </row>
    <row r="300" spans="2:17" x14ac:dyDescent="0.25">
      <c r="B300" t="s">
        <v>450</v>
      </c>
      <c r="C300">
        <f>IF($C$291=1,'Needs calc'!$C$84,0)</f>
      </c>
      <c r="I300">
        <v>16</v>
      </c>
      <c r="J300">
        <f>IF(I300&lt;$C$288,12*$C$289*(1+$C$290)^I300,0)</f>
      </c>
      <c r="K300">
        <f>IF(J300&lt;=0,0,INDEX($E$282:$E$289,MATCH(J300,$F$282:$F$289,1))+(J300-INDEX($F$282:$F$289,MATCH(J300,$F$282:$F$289,1)))/INDEX($G$282:$G$289,MATCH(J300,$F$282:$F$289,1))-$C$286)</f>
      </c>
      <c r="L300">
        <f>MAX(0,L299*(1+'Inputs'!$C$122/100)-M299/12*(1+'Inputs'!$C$122/100)^(1/12)*'Inputs'!$C$122/100/((1+'Inputs'!$C$122/100)^(1/12)-1))</f>
      </c>
      <c r="M300">
        <f>IF(L300&gt;0.005,MIN(MAX(K300,'Inputs'!$H$115/100*L300),'Inputs'!$H$116/100*L300),0)</f>
      </c>
      <c r="N300">
        <f>IF(M300&gt;0,M300-(MAX(0,(INDEX('Inputs'!$D$125:$D$131,MATCH($C$286+M300,'Inputs'!$C$125:$C$131,1))+INDEX('Inputs'!$E$125:$E$131,MATCH($C$286+M300,'Inputs'!$C$125:$C$131,1))/100*(($C$286+M300)-INDEX('Inputs'!$C$125:$C$131,MATCH($C$286+M300,'Inputs'!$C$125:$C$131,1))))-$C$284)-$C$292),0)</f>
      </c>
      <c r="O300">
        <f>IF(I300&lt;$C$288,MAX(0,J300-N300),0)</f>
      </c>
      <c r="P300">
        <f>IF($C$291&lt;&gt;1,0,P299*(1+((1+$C$300)^(1/12)-1))^12-O299/12*(1+((1+$C$300)^(1/12)-1))*(((1+((1+$C$300)^(1/12)-1))^12-1)/((1+((1+$C$300)^(1/12)-1))-1)))</f>
      </c>
      <c r="Q300">
        <f>IF($C$291&lt;&gt;1,0,IFERROR((((1+($C$300+'Inputs'!$H$108/100))^(1/12)-1)-((1+$C$300)^(1/12)-1))*(P300*(((1+((1+$C$300)^(1/12)-1))^12-1)/((1+((1+$C$300)^(1/12)-1))-1))-O300/12/((1+((1+$C$300)^(1/12)-1))-1)*((1+((1+$C$300)^(1/12)-1))*(((1+((1+$C$300)^(1/12)-1))^12-1)/((1+((1+$C$300)^(1/12)-1))-1))-12)),0))</f>
      </c>
    </row>
    <row r="301" spans="9:17" x14ac:dyDescent="0.25">
      <c r="I301">
        <v>17</v>
      </c>
      <c r="J301">
        <f>IF(I301&lt;$C$288,12*$C$289*(1+$C$290)^I301,0)</f>
      </c>
      <c r="K301">
        <f>IF(J301&lt;=0,0,INDEX($E$282:$E$289,MATCH(J301,$F$282:$F$289,1))+(J301-INDEX($F$282:$F$289,MATCH(J301,$F$282:$F$289,1)))/INDEX($G$282:$G$289,MATCH(J301,$F$282:$F$289,1))-$C$286)</f>
      </c>
      <c r="L301">
        <f>MAX(0,L300*(1+'Inputs'!$C$122/100)-M300/12*(1+'Inputs'!$C$122/100)^(1/12)*'Inputs'!$C$122/100/((1+'Inputs'!$C$122/100)^(1/12)-1))</f>
      </c>
      <c r="M301">
        <f>IF(L301&gt;0.005,MIN(MAX(K301,'Inputs'!$H$115/100*L301),'Inputs'!$H$116/100*L301),0)</f>
      </c>
      <c r="N301">
        <f>IF(M301&gt;0,M301-(MAX(0,(INDEX('Inputs'!$D$125:$D$131,MATCH($C$286+M301,'Inputs'!$C$125:$C$131,1))+INDEX('Inputs'!$E$125:$E$131,MATCH($C$286+M301,'Inputs'!$C$125:$C$131,1))/100*(($C$286+M301)-INDEX('Inputs'!$C$125:$C$131,MATCH($C$286+M301,'Inputs'!$C$125:$C$131,1))))-$C$284)-$C$292),0)</f>
      </c>
      <c r="O301">
        <f>IF(I301&lt;$C$288,MAX(0,J301-N301),0)</f>
      </c>
      <c r="P301">
        <f>IF($C$291&lt;&gt;1,0,P300*(1+((1+$C$300)^(1/12)-1))^12-O300/12*(1+((1+$C$300)^(1/12)-1))*(((1+((1+$C$300)^(1/12)-1))^12-1)/((1+((1+$C$300)^(1/12)-1))-1)))</f>
      </c>
      <c r="Q301">
        <f>IF($C$291&lt;&gt;1,0,IFERROR((((1+($C$300+'Inputs'!$H$108/100))^(1/12)-1)-((1+$C$300)^(1/12)-1))*(P301*(((1+((1+$C$300)^(1/12)-1))^12-1)/((1+((1+$C$300)^(1/12)-1))-1))-O301/12/((1+((1+$C$300)^(1/12)-1))-1)*((1+((1+$C$300)^(1/12)-1))*(((1+((1+$C$300)^(1/12)-1))^12-1)/((1+((1+$C$300)^(1/12)-1))-1))-12)),0))</f>
      </c>
    </row>
    <row r="302" spans="9:17" x14ac:dyDescent="0.25">
      <c r="I302">
        <v>18</v>
      </c>
      <c r="J302">
        <f>IF(I302&lt;$C$288,12*$C$289*(1+$C$290)^I302,0)</f>
      </c>
      <c r="K302">
        <f>IF(J302&lt;=0,0,INDEX($E$282:$E$289,MATCH(J302,$F$282:$F$289,1))+(J302-INDEX($F$282:$F$289,MATCH(J302,$F$282:$F$289,1)))/INDEX($G$282:$G$289,MATCH(J302,$F$282:$F$289,1))-$C$286)</f>
      </c>
      <c r="L302">
        <f>MAX(0,L301*(1+'Inputs'!$C$122/100)-M301/12*(1+'Inputs'!$C$122/100)^(1/12)*'Inputs'!$C$122/100/((1+'Inputs'!$C$122/100)^(1/12)-1))</f>
      </c>
      <c r="M302">
        <f>IF(L302&gt;0.005,MIN(MAX(K302,'Inputs'!$H$115/100*L302),'Inputs'!$H$116/100*L302),0)</f>
      </c>
      <c r="N302">
        <f>IF(M302&gt;0,M302-(MAX(0,(INDEX('Inputs'!$D$125:$D$131,MATCH($C$286+M302,'Inputs'!$C$125:$C$131,1))+INDEX('Inputs'!$E$125:$E$131,MATCH($C$286+M302,'Inputs'!$C$125:$C$131,1))/100*(($C$286+M302)-INDEX('Inputs'!$C$125:$C$131,MATCH($C$286+M302,'Inputs'!$C$125:$C$131,1))))-$C$284)-$C$292),0)</f>
      </c>
      <c r="O302">
        <f>IF(I302&lt;$C$288,MAX(0,J302-N302),0)</f>
      </c>
      <c r="P302">
        <f>IF($C$291&lt;&gt;1,0,P301*(1+((1+$C$300)^(1/12)-1))^12-O301/12*(1+((1+$C$300)^(1/12)-1))*(((1+((1+$C$300)^(1/12)-1))^12-1)/((1+((1+$C$300)^(1/12)-1))-1)))</f>
      </c>
      <c r="Q302">
        <f>IF($C$291&lt;&gt;1,0,IFERROR((((1+($C$300+'Inputs'!$H$108/100))^(1/12)-1)-((1+$C$300)^(1/12)-1))*(P302*(((1+((1+$C$300)^(1/12)-1))^12-1)/((1+((1+$C$300)^(1/12)-1))-1))-O302/12/((1+((1+$C$300)^(1/12)-1))-1)*((1+((1+$C$300)^(1/12)-1))*(((1+((1+$C$300)^(1/12)-1))^12-1)/((1+((1+$C$300)^(1/12)-1))-1))-12)),0))</f>
      </c>
    </row>
    <row r="303" spans="9:17" x14ac:dyDescent="0.25">
      <c r="I303">
        <v>19</v>
      </c>
      <c r="J303">
        <f>IF(I303&lt;$C$288,12*$C$289*(1+$C$290)^I303,0)</f>
      </c>
      <c r="K303">
        <f>IF(J303&lt;=0,0,INDEX($E$282:$E$289,MATCH(J303,$F$282:$F$289,1))+(J303-INDEX($F$282:$F$289,MATCH(J303,$F$282:$F$289,1)))/INDEX($G$282:$G$289,MATCH(J303,$F$282:$F$289,1))-$C$286)</f>
      </c>
      <c r="L303">
        <f>MAX(0,L302*(1+'Inputs'!$C$122/100)-M302/12*(1+'Inputs'!$C$122/100)^(1/12)*'Inputs'!$C$122/100/((1+'Inputs'!$C$122/100)^(1/12)-1))</f>
      </c>
      <c r="M303">
        <f>IF(L303&gt;0.005,MIN(MAX(K303,'Inputs'!$H$115/100*L303),'Inputs'!$H$116/100*L303),0)</f>
      </c>
      <c r="N303">
        <f>IF(M303&gt;0,M303-(MAX(0,(INDEX('Inputs'!$D$125:$D$131,MATCH($C$286+M303,'Inputs'!$C$125:$C$131,1))+INDEX('Inputs'!$E$125:$E$131,MATCH($C$286+M303,'Inputs'!$C$125:$C$131,1))/100*(($C$286+M303)-INDEX('Inputs'!$C$125:$C$131,MATCH($C$286+M303,'Inputs'!$C$125:$C$131,1))))-$C$284)-$C$292),0)</f>
      </c>
      <c r="O303">
        <f>IF(I303&lt;$C$288,MAX(0,J303-N303),0)</f>
      </c>
      <c r="P303">
        <f>IF($C$291&lt;&gt;1,0,P302*(1+((1+$C$300)^(1/12)-1))^12-O302/12*(1+((1+$C$300)^(1/12)-1))*(((1+((1+$C$300)^(1/12)-1))^12-1)/((1+((1+$C$300)^(1/12)-1))-1)))</f>
      </c>
      <c r="Q303">
        <f>IF($C$291&lt;&gt;1,0,IFERROR((((1+($C$300+'Inputs'!$H$108/100))^(1/12)-1)-((1+$C$300)^(1/12)-1))*(P303*(((1+((1+$C$300)^(1/12)-1))^12-1)/((1+((1+$C$300)^(1/12)-1))-1))-O303/12/((1+((1+$C$300)^(1/12)-1))-1)*((1+((1+$C$300)^(1/12)-1))*(((1+((1+$C$300)^(1/12)-1))^12-1)/((1+((1+$C$300)^(1/12)-1))-1))-12)),0))</f>
      </c>
    </row>
    <row r="304" spans="9:17" x14ac:dyDescent="0.25">
      <c r="I304">
        <v>20</v>
      </c>
      <c r="J304">
        <f>IF(I304&lt;$C$288,12*$C$289*(1+$C$290)^I304,0)</f>
      </c>
      <c r="K304">
        <f>IF(J304&lt;=0,0,INDEX($E$282:$E$289,MATCH(J304,$F$282:$F$289,1))+(J304-INDEX($F$282:$F$289,MATCH(J304,$F$282:$F$289,1)))/INDEX($G$282:$G$289,MATCH(J304,$F$282:$F$289,1))-$C$286)</f>
      </c>
      <c r="L304">
        <f>MAX(0,L303*(1+'Inputs'!$C$122/100)-M303/12*(1+'Inputs'!$C$122/100)^(1/12)*'Inputs'!$C$122/100/((1+'Inputs'!$C$122/100)^(1/12)-1))</f>
      </c>
      <c r="M304">
        <f>IF(L304&gt;0.005,MIN(MAX(K304,'Inputs'!$H$115/100*L304),'Inputs'!$H$116/100*L304),0)</f>
      </c>
      <c r="N304">
        <f>IF(M304&gt;0,M304-(MAX(0,(INDEX('Inputs'!$D$125:$D$131,MATCH($C$286+M304,'Inputs'!$C$125:$C$131,1))+INDEX('Inputs'!$E$125:$E$131,MATCH($C$286+M304,'Inputs'!$C$125:$C$131,1))/100*(($C$286+M304)-INDEX('Inputs'!$C$125:$C$131,MATCH($C$286+M304,'Inputs'!$C$125:$C$131,1))))-$C$284)-$C$292),0)</f>
      </c>
      <c r="O304">
        <f>IF(I304&lt;$C$288,MAX(0,J304-N304),0)</f>
      </c>
      <c r="P304">
        <f>IF($C$291&lt;&gt;1,0,P303*(1+((1+$C$300)^(1/12)-1))^12-O303/12*(1+((1+$C$300)^(1/12)-1))*(((1+((1+$C$300)^(1/12)-1))^12-1)/((1+((1+$C$300)^(1/12)-1))-1)))</f>
      </c>
      <c r="Q304">
        <f>IF($C$291&lt;&gt;1,0,IFERROR((((1+($C$300+'Inputs'!$H$108/100))^(1/12)-1)-((1+$C$300)^(1/12)-1))*(P304*(((1+((1+$C$300)^(1/12)-1))^12-1)/((1+((1+$C$300)^(1/12)-1))-1))-O304/12/((1+((1+$C$300)^(1/12)-1))-1)*((1+((1+$C$300)^(1/12)-1))*(((1+((1+$C$300)^(1/12)-1))^12-1)/((1+((1+$C$300)^(1/12)-1))-1))-12)),0))</f>
      </c>
    </row>
    <row r="305" spans="9:17" x14ac:dyDescent="0.25">
      <c r="I305">
        <v>21</v>
      </c>
      <c r="J305">
        <f>IF(I305&lt;$C$288,12*$C$289*(1+$C$290)^I305,0)</f>
      </c>
      <c r="K305">
        <f>IF(J305&lt;=0,0,INDEX($E$282:$E$289,MATCH(J305,$F$282:$F$289,1))+(J305-INDEX($F$282:$F$289,MATCH(J305,$F$282:$F$289,1)))/INDEX($G$282:$G$289,MATCH(J305,$F$282:$F$289,1))-$C$286)</f>
      </c>
      <c r="L305">
        <f>MAX(0,L304*(1+'Inputs'!$C$122/100)-M304/12*(1+'Inputs'!$C$122/100)^(1/12)*'Inputs'!$C$122/100/((1+'Inputs'!$C$122/100)^(1/12)-1))</f>
      </c>
      <c r="M305">
        <f>IF(L305&gt;0.005,MIN(MAX(K305,'Inputs'!$H$115/100*L305),'Inputs'!$H$116/100*L305),0)</f>
      </c>
      <c r="N305">
        <f>IF(M305&gt;0,M305-(MAX(0,(INDEX('Inputs'!$D$125:$D$131,MATCH($C$286+M305,'Inputs'!$C$125:$C$131,1))+INDEX('Inputs'!$E$125:$E$131,MATCH($C$286+M305,'Inputs'!$C$125:$C$131,1))/100*(($C$286+M305)-INDEX('Inputs'!$C$125:$C$131,MATCH($C$286+M305,'Inputs'!$C$125:$C$131,1))))-$C$284)-$C$292),0)</f>
      </c>
      <c r="O305">
        <f>IF(I305&lt;$C$288,MAX(0,J305-N305),0)</f>
      </c>
      <c r="P305">
        <f>IF($C$291&lt;&gt;1,0,P304*(1+((1+$C$300)^(1/12)-1))^12-O304/12*(1+((1+$C$300)^(1/12)-1))*(((1+((1+$C$300)^(1/12)-1))^12-1)/((1+((1+$C$300)^(1/12)-1))-1)))</f>
      </c>
      <c r="Q305">
        <f>IF($C$291&lt;&gt;1,0,IFERROR((((1+($C$300+'Inputs'!$H$108/100))^(1/12)-1)-((1+$C$300)^(1/12)-1))*(P305*(((1+((1+$C$300)^(1/12)-1))^12-1)/((1+((1+$C$300)^(1/12)-1))-1))-O305/12/((1+((1+$C$300)^(1/12)-1))-1)*((1+((1+$C$300)^(1/12)-1))*(((1+((1+$C$300)^(1/12)-1))^12-1)/((1+((1+$C$300)^(1/12)-1))-1))-12)),0))</f>
      </c>
    </row>
    <row r="306" spans="9:17" x14ac:dyDescent="0.25">
      <c r="I306">
        <v>22</v>
      </c>
      <c r="J306">
        <f>IF(I306&lt;$C$288,12*$C$289*(1+$C$290)^I306,0)</f>
      </c>
      <c r="K306">
        <f>IF(J306&lt;=0,0,INDEX($E$282:$E$289,MATCH(J306,$F$282:$F$289,1))+(J306-INDEX($F$282:$F$289,MATCH(J306,$F$282:$F$289,1)))/INDEX($G$282:$G$289,MATCH(J306,$F$282:$F$289,1))-$C$286)</f>
      </c>
      <c r="L306">
        <f>MAX(0,L305*(1+'Inputs'!$C$122/100)-M305/12*(1+'Inputs'!$C$122/100)^(1/12)*'Inputs'!$C$122/100/((1+'Inputs'!$C$122/100)^(1/12)-1))</f>
      </c>
      <c r="M306">
        <f>IF(L306&gt;0.005,MIN(MAX(K306,'Inputs'!$H$115/100*L306),'Inputs'!$H$116/100*L306),0)</f>
      </c>
      <c r="N306">
        <f>IF(M306&gt;0,M306-(MAX(0,(INDEX('Inputs'!$D$125:$D$131,MATCH($C$286+M306,'Inputs'!$C$125:$C$131,1))+INDEX('Inputs'!$E$125:$E$131,MATCH($C$286+M306,'Inputs'!$C$125:$C$131,1))/100*(($C$286+M306)-INDEX('Inputs'!$C$125:$C$131,MATCH($C$286+M306,'Inputs'!$C$125:$C$131,1))))-$C$284)-$C$292),0)</f>
      </c>
      <c r="O306">
        <f>IF(I306&lt;$C$288,MAX(0,J306-N306),0)</f>
      </c>
      <c r="P306">
        <f>IF($C$291&lt;&gt;1,0,P305*(1+((1+$C$300)^(1/12)-1))^12-O305/12*(1+((1+$C$300)^(1/12)-1))*(((1+((1+$C$300)^(1/12)-1))^12-1)/((1+((1+$C$300)^(1/12)-1))-1)))</f>
      </c>
      <c r="Q306">
        <f>IF($C$291&lt;&gt;1,0,IFERROR((((1+($C$300+'Inputs'!$H$108/100))^(1/12)-1)-((1+$C$300)^(1/12)-1))*(P306*(((1+((1+$C$300)^(1/12)-1))^12-1)/((1+((1+$C$300)^(1/12)-1))-1))-O306/12/((1+((1+$C$300)^(1/12)-1))-1)*((1+((1+$C$300)^(1/12)-1))*(((1+((1+$C$300)^(1/12)-1))^12-1)/((1+((1+$C$300)^(1/12)-1))-1))-12)),0))</f>
      </c>
    </row>
    <row r="307" spans="9:17" x14ac:dyDescent="0.25">
      <c r="I307">
        <v>23</v>
      </c>
      <c r="J307">
        <f>IF(I307&lt;$C$288,12*$C$289*(1+$C$290)^I307,0)</f>
      </c>
      <c r="K307">
        <f>IF(J307&lt;=0,0,INDEX($E$282:$E$289,MATCH(J307,$F$282:$F$289,1))+(J307-INDEX($F$282:$F$289,MATCH(J307,$F$282:$F$289,1)))/INDEX($G$282:$G$289,MATCH(J307,$F$282:$F$289,1))-$C$286)</f>
      </c>
      <c r="L307">
        <f>MAX(0,L306*(1+'Inputs'!$C$122/100)-M306/12*(1+'Inputs'!$C$122/100)^(1/12)*'Inputs'!$C$122/100/((1+'Inputs'!$C$122/100)^(1/12)-1))</f>
      </c>
      <c r="M307">
        <f>IF(L307&gt;0.005,MIN(MAX(K307,'Inputs'!$H$115/100*L307),'Inputs'!$H$116/100*L307),0)</f>
      </c>
      <c r="N307">
        <f>IF(M307&gt;0,M307-(MAX(0,(INDEX('Inputs'!$D$125:$D$131,MATCH($C$286+M307,'Inputs'!$C$125:$C$131,1))+INDEX('Inputs'!$E$125:$E$131,MATCH($C$286+M307,'Inputs'!$C$125:$C$131,1))/100*(($C$286+M307)-INDEX('Inputs'!$C$125:$C$131,MATCH($C$286+M307,'Inputs'!$C$125:$C$131,1))))-$C$284)-$C$292),0)</f>
      </c>
      <c r="O307">
        <f>IF(I307&lt;$C$288,MAX(0,J307-N307),0)</f>
      </c>
      <c r="P307">
        <f>IF($C$291&lt;&gt;1,0,P306*(1+((1+$C$300)^(1/12)-1))^12-O306/12*(1+((1+$C$300)^(1/12)-1))*(((1+((1+$C$300)^(1/12)-1))^12-1)/((1+((1+$C$300)^(1/12)-1))-1)))</f>
      </c>
      <c r="Q307">
        <f>IF($C$291&lt;&gt;1,0,IFERROR((((1+($C$300+'Inputs'!$H$108/100))^(1/12)-1)-((1+$C$300)^(1/12)-1))*(P307*(((1+((1+$C$300)^(1/12)-1))^12-1)/((1+((1+$C$300)^(1/12)-1))-1))-O307/12/((1+((1+$C$300)^(1/12)-1))-1)*((1+((1+$C$300)^(1/12)-1))*(((1+((1+$C$300)^(1/12)-1))^12-1)/((1+((1+$C$300)^(1/12)-1))-1))-12)),0))</f>
      </c>
    </row>
    <row r="308" spans="9:17" x14ac:dyDescent="0.25">
      <c r="I308">
        <v>24</v>
      </c>
      <c r="J308">
        <f>IF(I308&lt;$C$288,12*$C$289*(1+$C$290)^I308,0)</f>
      </c>
      <c r="K308">
        <f>IF(J308&lt;=0,0,INDEX($E$282:$E$289,MATCH(J308,$F$282:$F$289,1))+(J308-INDEX($F$282:$F$289,MATCH(J308,$F$282:$F$289,1)))/INDEX($G$282:$G$289,MATCH(J308,$F$282:$F$289,1))-$C$286)</f>
      </c>
      <c r="L308">
        <f>MAX(0,L307*(1+'Inputs'!$C$122/100)-M307/12*(1+'Inputs'!$C$122/100)^(1/12)*'Inputs'!$C$122/100/((1+'Inputs'!$C$122/100)^(1/12)-1))</f>
      </c>
      <c r="M308">
        <f>IF(L308&gt;0.005,MIN(MAX(K308,'Inputs'!$H$115/100*L308),'Inputs'!$H$116/100*L308),0)</f>
      </c>
      <c r="N308">
        <f>IF(M308&gt;0,M308-(MAX(0,(INDEX('Inputs'!$D$125:$D$131,MATCH($C$286+M308,'Inputs'!$C$125:$C$131,1))+INDEX('Inputs'!$E$125:$E$131,MATCH($C$286+M308,'Inputs'!$C$125:$C$131,1))/100*(($C$286+M308)-INDEX('Inputs'!$C$125:$C$131,MATCH($C$286+M308,'Inputs'!$C$125:$C$131,1))))-$C$284)-$C$292),0)</f>
      </c>
      <c r="O308">
        <f>IF(I308&lt;$C$288,MAX(0,J308-N308),0)</f>
      </c>
      <c r="P308">
        <f>IF($C$291&lt;&gt;1,0,P307*(1+((1+$C$300)^(1/12)-1))^12-O307/12*(1+((1+$C$300)^(1/12)-1))*(((1+((1+$C$300)^(1/12)-1))^12-1)/((1+((1+$C$300)^(1/12)-1))-1)))</f>
      </c>
      <c r="Q308">
        <f>IF($C$291&lt;&gt;1,0,IFERROR((((1+($C$300+'Inputs'!$H$108/100))^(1/12)-1)-((1+$C$300)^(1/12)-1))*(P308*(((1+((1+$C$300)^(1/12)-1))^12-1)/((1+((1+$C$300)^(1/12)-1))-1))-O308/12/((1+((1+$C$300)^(1/12)-1))-1)*((1+((1+$C$300)^(1/12)-1))*(((1+((1+$C$300)^(1/12)-1))^12-1)/((1+((1+$C$300)^(1/12)-1))-1))-12)),0))</f>
      </c>
    </row>
    <row r="309" spans="9:17" x14ac:dyDescent="0.25">
      <c r="I309">
        <v>25</v>
      </c>
      <c r="J309">
        <f>IF(I309&lt;$C$288,12*$C$289*(1+$C$290)^I309,0)</f>
      </c>
      <c r="K309">
        <f>IF(J309&lt;=0,0,INDEX($E$282:$E$289,MATCH(J309,$F$282:$F$289,1))+(J309-INDEX($F$282:$F$289,MATCH(J309,$F$282:$F$289,1)))/INDEX($G$282:$G$289,MATCH(J309,$F$282:$F$289,1))-$C$286)</f>
      </c>
      <c r="L309">
        <f>MAX(0,L308*(1+'Inputs'!$C$122/100)-M308/12*(1+'Inputs'!$C$122/100)^(1/12)*'Inputs'!$C$122/100/((1+'Inputs'!$C$122/100)^(1/12)-1))</f>
      </c>
      <c r="M309">
        <f>IF(L309&gt;0.005,MIN(MAX(K309,'Inputs'!$H$115/100*L309),'Inputs'!$H$116/100*L309),0)</f>
      </c>
      <c r="N309">
        <f>IF(M309&gt;0,M309-(MAX(0,(INDEX('Inputs'!$D$125:$D$131,MATCH($C$286+M309,'Inputs'!$C$125:$C$131,1))+INDEX('Inputs'!$E$125:$E$131,MATCH($C$286+M309,'Inputs'!$C$125:$C$131,1))/100*(($C$286+M309)-INDEX('Inputs'!$C$125:$C$131,MATCH($C$286+M309,'Inputs'!$C$125:$C$131,1))))-$C$284)-$C$292),0)</f>
      </c>
      <c r="O309">
        <f>IF(I309&lt;$C$288,MAX(0,J309-N309),0)</f>
      </c>
      <c r="P309">
        <f>IF($C$291&lt;&gt;1,0,P308*(1+((1+$C$300)^(1/12)-1))^12-O308/12*(1+((1+$C$300)^(1/12)-1))*(((1+((1+$C$300)^(1/12)-1))^12-1)/((1+((1+$C$300)^(1/12)-1))-1)))</f>
      </c>
      <c r="Q309">
        <f>IF($C$291&lt;&gt;1,0,IFERROR((((1+($C$300+'Inputs'!$H$108/100))^(1/12)-1)-((1+$C$300)^(1/12)-1))*(P309*(((1+((1+$C$300)^(1/12)-1))^12-1)/((1+((1+$C$300)^(1/12)-1))-1))-O309/12/((1+((1+$C$300)^(1/12)-1))-1)*((1+((1+$C$300)^(1/12)-1))*(((1+((1+$C$300)^(1/12)-1))^12-1)/((1+((1+$C$300)^(1/12)-1))-1))-12)),0))</f>
      </c>
    </row>
    <row r="310" spans="9:17" x14ac:dyDescent="0.25">
      <c r="I310">
        <v>26</v>
      </c>
      <c r="J310">
        <f>IF(I310&lt;$C$288,12*$C$289*(1+$C$290)^I310,0)</f>
      </c>
      <c r="K310">
        <f>IF(J310&lt;=0,0,INDEX($E$282:$E$289,MATCH(J310,$F$282:$F$289,1))+(J310-INDEX($F$282:$F$289,MATCH(J310,$F$282:$F$289,1)))/INDEX($G$282:$G$289,MATCH(J310,$F$282:$F$289,1))-$C$286)</f>
      </c>
      <c r="L310">
        <f>MAX(0,L309*(1+'Inputs'!$C$122/100)-M309/12*(1+'Inputs'!$C$122/100)^(1/12)*'Inputs'!$C$122/100/((1+'Inputs'!$C$122/100)^(1/12)-1))</f>
      </c>
      <c r="M310">
        <f>IF(L310&gt;0.005,MIN(MAX(K310,'Inputs'!$H$115/100*L310),'Inputs'!$H$116/100*L310),0)</f>
      </c>
      <c r="N310">
        <f>IF(M310&gt;0,M310-(MAX(0,(INDEX('Inputs'!$D$125:$D$131,MATCH($C$286+M310,'Inputs'!$C$125:$C$131,1))+INDEX('Inputs'!$E$125:$E$131,MATCH($C$286+M310,'Inputs'!$C$125:$C$131,1))/100*(($C$286+M310)-INDEX('Inputs'!$C$125:$C$131,MATCH($C$286+M310,'Inputs'!$C$125:$C$131,1))))-$C$284)-$C$292),0)</f>
      </c>
      <c r="O310">
        <f>IF(I310&lt;$C$288,MAX(0,J310-N310),0)</f>
      </c>
      <c r="P310">
        <f>IF($C$291&lt;&gt;1,0,P309*(1+((1+$C$300)^(1/12)-1))^12-O309/12*(1+((1+$C$300)^(1/12)-1))*(((1+((1+$C$300)^(1/12)-1))^12-1)/((1+((1+$C$300)^(1/12)-1))-1)))</f>
      </c>
      <c r="Q310">
        <f>IF($C$291&lt;&gt;1,0,IFERROR((((1+($C$300+'Inputs'!$H$108/100))^(1/12)-1)-((1+$C$300)^(1/12)-1))*(P310*(((1+((1+$C$300)^(1/12)-1))^12-1)/((1+((1+$C$300)^(1/12)-1))-1))-O310/12/((1+((1+$C$300)^(1/12)-1))-1)*((1+((1+$C$300)^(1/12)-1))*(((1+((1+$C$300)^(1/12)-1))^12-1)/((1+((1+$C$300)^(1/12)-1))-1))-12)),0))</f>
      </c>
    </row>
    <row r="311" spans="9:17" x14ac:dyDescent="0.25">
      <c r="I311">
        <v>27</v>
      </c>
      <c r="J311">
        <f>IF(I311&lt;$C$288,12*$C$289*(1+$C$290)^I311,0)</f>
      </c>
      <c r="K311">
        <f>IF(J311&lt;=0,0,INDEX($E$282:$E$289,MATCH(J311,$F$282:$F$289,1))+(J311-INDEX($F$282:$F$289,MATCH(J311,$F$282:$F$289,1)))/INDEX($G$282:$G$289,MATCH(J311,$F$282:$F$289,1))-$C$286)</f>
      </c>
      <c r="L311">
        <f>MAX(0,L310*(1+'Inputs'!$C$122/100)-M310/12*(1+'Inputs'!$C$122/100)^(1/12)*'Inputs'!$C$122/100/((1+'Inputs'!$C$122/100)^(1/12)-1))</f>
      </c>
      <c r="M311">
        <f>IF(L311&gt;0.005,MIN(MAX(K311,'Inputs'!$H$115/100*L311),'Inputs'!$H$116/100*L311),0)</f>
      </c>
      <c r="N311">
        <f>IF(M311&gt;0,M311-(MAX(0,(INDEX('Inputs'!$D$125:$D$131,MATCH($C$286+M311,'Inputs'!$C$125:$C$131,1))+INDEX('Inputs'!$E$125:$E$131,MATCH($C$286+M311,'Inputs'!$C$125:$C$131,1))/100*(($C$286+M311)-INDEX('Inputs'!$C$125:$C$131,MATCH($C$286+M311,'Inputs'!$C$125:$C$131,1))))-$C$284)-$C$292),0)</f>
      </c>
      <c r="O311">
        <f>IF(I311&lt;$C$288,MAX(0,J311-N311),0)</f>
      </c>
      <c r="P311">
        <f>IF($C$291&lt;&gt;1,0,P310*(1+((1+$C$300)^(1/12)-1))^12-O310/12*(1+((1+$C$300)^(1/12)-1))*(((1+((1+$C$300)^(1/12)-1))^12-1)/((1+((1+$C$300)^(1/12)-1))-1)))</f>
      </c>
      <c r="Q311">
        <f>IF($C$291&lt;&gt;1,0,IFERROR((((1+($C$300+'Inputs'!$H$108/100))^(1/12)-1)-((1+$C$300)^(1/12)-1))*(P311*(((1+((1+$C$300)^(1/12)-1))^12-1)/((1+((1+$C$300)^(1/12)-1))-1))-O311/12/((1+((1+$C$300)^(1/12)-1))-1)*((1+((1+$C$300)^(1/12)-1))*(((1+((1+$C$300)^(1/12)-1))^12-1)/((1+((1+$C$300)^(1/12)-1))-1))-12)),0))</f>
      </c>
    </row>
    <row r="312" spans="9:17" x14ac:dyDescent="0.25">
      <c r="I312">
        <v>28</v>
      </c>
      <c r="J312">
        <f>IF(I312&lt;$C$288,12*$C$289*(1+$C$290)^I312,0)</f>
      </c>
      <c r="K312">
        <f>IF(J312&lt;=0,0,INDEX($E$282:$E$289,MATCH(J312,$F$282:$F$289,1))+(J312-INDEX($F$282:$F$289,MATCH(J312,$F$282:$F$289,1)))/INDEX($G$282:$G$289,MATCH(J312,$F$282:$F$289,1))-$C$286)</f>
      </c>
      <c r="L312">
        <f>MAX(0,L311*(1+'Inputs'!$C$122/100)-M311/12*(1+'Inputs'!$C$122/100)^(1/12)*'Inputs'!$C$122/100/((1+'Inputs'!$C$122/100)^(1/12)-1))</f>
      </c>
      <c r="M312">
        <f>IF(L312&gt;0.005,MIN(MAX(K312,'Inputs'!$H$115/100*L312),'Inputs'!$H$116/100*L312),0)</f>
      </c>
      <c r="N312">
        <f>IF(M312&gt;0,M312-(MAX(0,(INDEX('Inputs'!$D$125:$D$131,MATCH($C$286+M312,'Inputs'!$C$125:$C$131,1))+INDEX('Inputs'!$E$125:$E$131,MATCH($C$286+M312,'Inputs'!$C$125:$C$131,1))/100*(($C$286+M312)-INDEX('Inputs'!$C$125:$C$131,MATCH($C$286+M312,'Inputs'!$C$125:$C$131,1))))-$C$284)-$C$292),0)</f>
      </c>
      <c r="O312">
        <f>IF(I312&lt;$C$288,MAX(0,J312-N312),0)</f>
      </c>
      <c r="P312">
        <f>IF($C$291&lt;&gt;1,0,P311*(1+((1+$C$300)^(1/12)-1))^12-O311/12*(1+((1+$C$300)^(1/12)-1))*(((1+((1+$C$300)^(1/12)-1))^12-1)/((1+((1+$C$300)^(1/12)-1))-1)))</f>
      </c>
      <c r="Q312">
        <f>IF($C$291&lt;&gt;1,0,IFERROR((((1+($C$300+'Inputs'!$H$108/100))^(1/12)-1)-((1+$C$300)^(1/12)-1))*(P312*(((1+((1+$C$300)^(1/12)-1))^12-1)/((1+((1+$C$300)^(1/12)-1))-1))-O312/12/((1+((1+$C$300)^(1/12)-1))-1)*((1+((1+$C$300)^(1/12)-1))*(((1+((1+$C$300)^(1/12)-1))^12-1)/((1+((1+$C$300)^(1/12)-1))-1))-12)),0))</f>
      </c>
    </row>
    <row r="313" spans="9:17" x14ac:dyDescent="0.25">
      <c r="I313">
        <v>29</v>
      </c>
      <c r="J313">
        <f>IF(I313&lt;$C$288,12*$C$289*(1+$C$290)^I313,0)</f>
      </c>
      <c r="K313">
        <f>IF(J313&lt;=0,0,INDEX($E$282:$E$289,MATCH(J313,$F$282:$F$289,1))+(J313-INDEX($F$282:$F$289,MATCH(J313,$F$282:$F$289,1)))/INDEX($G$282:$G$289,MATCH(J313,$F$282:$F$289,1))-$C$286)</f>
      </c>
      <c r="L313">
        <f>MAX(0,L312*(1+'Inputs'!$C$122/100)-M312/12*(1+'Inputs'!$C$122/100)^(1/12)*'Inputs'!$C$122/100/((1+'Inputs'!$C$122/100)^(1/12)-1))</f>
      </c>
      <c r="M313">
        <f>IF(L313&gt;0.005,MIN(MAX(K313,'Inputs'!$H$115/100*L313),'Inputs'!$H$116/100*L313),0)</f>
      </c>
      <c r="N313">
        <f>IF(M313&gt;0,M313-(MAX(0,(INDEX('Inputs'!$D$125:$D$131,MATCH($C$286+M313,'Inputs'!$C$125:$C$131,1))+INDEX('Inputs'!$E$125:$E$131,MATCH($C$286+M313,'Inputs'!$C$125:$C$131,1))/100*(($C$286+M313)-INDEX('Inputs'!$C$125:$C$131,MATCH($C$286+M313,'Inputs'!$C$125:$C$131,1))))-$C$284)-$C$292),0)</f>
      </c>
      <c r="O313">
        <f>IF(I313&lt;$C$288,MAX(0,J313-N313),0)</f>
      </c>
      <c r="P313">
        <f>IF($C$291&lt;&gt;1,0,P312*(1+((1+$C$300)^(1/12)-1))^12-O312/12*(1+((1+$C$300)^(1/12)-1))*(((1+((1+$C$300)^(1/12)-1))^12-1)/((1+((1+$C$300)^(1/12)-1))-1)))</f>
      </c>
      <c r="Q313">
        <f>IF($C$291&lt;&gt;1,0,IFERROR((((1+($C$300+'Inputs'!$H$108/100))^(1/12)-1)-((1+$C$300)^(1/12)-1))*(P313*(((1+((1+$C$300)^(1/12)-1))^12-1)/((1+((1+$C$300)^(1/12)-1))-1))-O313/12/((1+((1+$C$300)^(1/12)-1))-1)*((1+((1+$C$300)^(1/12)-1))*(((1+((1+$C$300)^(1/12)-1))^12-1)/((1+((1+$C$300)^(1/12)-1))-1))-12)),0))</f>
      </c>
    </row>
    <row r="314" spans="9:17" x14ac:dyDescent="0.25">
      <c r="I314">
        <v>30</v>
      </c>
      <c r="J314">
        <f>IF(I314&lt;$C$288,12*$C$289*(1+$C$290)^I314,0)</f>
      </c>
      <c r="K314">
        <f>IF(J314&lt;=0,0,INDEX($E$282:$E$289,MATCH(J314,$F$282:$F$289,1))+(J314-INDEX($F$282:$F$289,MATCH(J314,$F$282:$F$289,1)))/INDEX($G$282:$G$289,MATCH(J314,$F$282:$F$289,1))-$C$286)</f>
      </c>
      <c r="L314">
        <f>MAX(0,L313*(1+'Inputs'!$C$122/100)-M313/12*(1+'Inputs'!$C$122/100)^(1/12)*'Inputs'!$C$122/100/((1+'Inputs'!$C$122/100)^(1/12)-1))</f>
      </c>
      <c r="M314">
        <f>IF(L314&gt;0.005,MIN(MAX(K314,'Inputs'!$H$115/100*L314),'Inputs'!$H$116/100*L314),0)</f>
      </c>
      <c r="N314">
        <f>IF(M314&gt;0,M314-(MAX(0,(INDEX('Inputs'!$D$125:$D$131,MATCH($C$286+M314,'Inputs'!$C$125:$C$131,1))+INDEX('Inputs'!$E$125:$E$131,MATCH($C$286+M314,'Inputs'!$C$125:$C$131,1))/100*(($C$286+M314)-INDEX('Inputs'!$C$125:$C$131,MATCH($C$286+M314,'Inputs'!$C$125:$C$131,1))))-$C$284)-$C$292),0)</f>
      </c>
      <c r="O314">
        <f>IF(I314&lt;$C$288,MAX(0,J314-N314),0)</f>
      </c>
      <c r="P314">
        <f>IF($C$291&lt;&gt;1,0,P313*(1+((1+$C$300)^(1/12)-1))^12-O313/12*(1+((1+$C$300)^(1/12)-1))*(((1+((1+$C$300)^(1/12)-1))^12-1)/((1+((1+$C$300)^(1/12)-1))-1)))</f>
      </c>
      <c r="Q314">
        <f>IF($C$291&lt;&gt;1,0,IFERROR((((1+($C$300+'Inputs'!$H$108/100))^(1/12)-1)-((1+$C$300)^(1/12)-1))*(P314*(((1+((1+$C$300)^(1/12)-1))^12-1)/((1+((1+$C$300)^(1/12)-1))-1))-O314/12/((1+((1+$C$300)^(1/12)-1))-1)*((1+((1+$C$300)^(1/12)-1))*(((1+((1+$C$300)^(1/12)-1))^12-1)/((1+((1+$C$300)^(1/12)-1))-1))-12)),0))</f>
      </c>
    </row>
    <row r="315" spans="9:17" x14ac:dyDescent="0.25">
      <c r="I315">
        <v>31</v>
      </c>
      <c r="J315">
        <f>IF(I315&lt;$C$288,12*$C$289*(1+$C$290)^I315,0)</f>
      </c>
      <c r="K315">
        <f>IF(J315&lt;=0,0,INDEX($E$282:$E$289,MATCH(J315,$F$282:$F$289,1))+(J315-INDEX($F$282:$F$289,MATCH(J315,$F$282:$F$289,1)))/INDEX($G$282:$G$289,MATCH(J315,$F$282:$F$289,1))-$C$286)</f>
      </c>
      <c r="L315">
        <f>MAX(0,L314*(1+'Inputs'!$C$122/100)-M314/12*(1+'Inputs'!$C$122/100)^(1/12)*'Inputs'!$C$122/100/((1+'Inputs'!$C$122/100)^(1/12)-1))</f>
      </c>
      <c r="M315">
        <f>IF(L315&gt;0.005,MIN(MAX(K315,'Inputs'!$H$115/100*L315),'Inputs'!$H$116/100*L315),0)</f>
      </c>
      <c r="N315">
        <f>IF(M315&gt;0,M315-(MAX(0,(INDEX('Inputs'!$D$125:$D$131,MATCH($C$286+M315,'Inputs'!$C$125:$C$131,1))+INDEX('Inputs'!$E$125:$E$131,MATCH($C$286+M315,'Inputs'!$C$125:$C$131,1))/100*(($C$286+M315)-INDEX('Inputs'!$C$125:$C$131,MATCH($C$286+M315,'Inputs'!$C$125:$C$131,1))))-$C$284)-$C$292),0)</f>
      </c>
      <c r="O315">
        <f>IF(I315&lt;$C$288,MAX(0,J315-N315),0)</f>
      </c>
      <c r="P315">
        <f>IF($C$291&lt;&gt;1,0,P314*(1+((1+$C$300)^(1/12)-1))^12-O314/12*(1+((1+$C$300)^(1/12)-1))*(((1+((1+$C$300)^(1/12)-1))^12-1)/((1+((1+$C$300)^(1/12)-1))-1)))</f>
      </c>
      <c r="Q315">
        <f>IF($C$291&lt;&gt;1,0,IFERROR((((1+($C$300+'Inputs'!$H$108/100))^(1/12)-1)-((1+$C$300)^(1/12)-1))*(P315*(((1+((1+$C$300)^(1/12)-1))^12-1)/((1+((1+$C$300)^(1/12)-1))-1))-O315/12/((1+((1+$C$300)^(1/12)-1))-1)*((1+((1+$C$300)^(1/12)-1))*(((1+((1+$C$300)^(1/12)-1))^12-1)/((1+((1+$C$300)^(1/12)-1))-1))-12)),0))</f>
      </c>
    </row>
    <row r="316" spans="9:17" x14ac:dyDescent="0.25">
      <c r="I316">
        <v>32</v>
      </c>
      <c r="J316">
        <f>IF(I316&lt;$C$288,12*$C$289*(1+$C$290)^I316,0)</f>
      </c>
      <c r="K316">
        <f>IF(J316&lt;=0,0,INDEX($E$282:$E$289,MATCH(J316,$F$282:$F$289,1))+(J316-INDEX($F$282:$F$289,MATCH(J316,$F$282:$F$289,1)))/INDEX($G$282:$G$289,MATCH(J316,$F$282:$F$289,1))-$C$286)</f>
      </c>
      <c r="L316">
        <f>MAX(0,L315*(1+'Inputs'!$C$122/100)-M315/12*(1+'Inputs'!$C$122/100)^(1/12)*'Inputs'!$C$122/100/((1+'Inputs'!$C$122/100)^(1/12)-1))</f>
      </c>
      <c r="M316">
        <f>IF(L316&gt;0.005,MIN(MAX(K316,'Inputs'!$H$115/100*L316),'Inputs'!$H$116/100*L316),0)</f>
      </c>
      <c r="N316">
        <f>IF(M316&gt;0,M316-(MAX(0,(INDEX('Inputs'!$D$125:$D$131,MATCH($C$286+M316,'Inputs'!$C$125:$C$131,1))+INDEX('Inputs'!$E$125:$E$131,MATCH($C$286+M316,'Inputs'!$C$125:$C$131,1))/100*(($C$286+M316)-INDEX('Inputs'!$C$125:$C$131,MATCH($C$286+M316,'Inputs'!$C$125:$C$131,1))))-$C$284)-$C$292),0)</f>
      </c>
      <c r="O316">
        <f>IF(I316&lt;$C$288,MAX(0,J316-N316),0)</f>
      </c>
      <c r="P316">
        <f>IF($C$291&lt;&gt;1,0,P315*(1+((1+$C$300)^(1/12)-1))^12-O315/12*(1+((1+$C$300)^(1/12)-1))*(((1+((1+$C$300)^(1/12)-1))^12-1)/((1+((1+$C$300)^(1/12)-1))-1)))</f>
      </c>
      <c r="Q316">
        <f>IF($C$291&lt;&gt;1,0,IFERROR((((1+($C$300+'Inputs'!$H$108/100))^(1/12)-1)-((1+$C$300)^(1/12)-1))*(P316*(((1+((1+$C$300)^(1/12)-1))^12-1)/((1+((1+$C$300)^(1/12)-1))-1))-O316/12/((1+((1+$C$300)^(1/12)-1))-1)*((1+((1+$C$300)^(1/12)-1))*(((1+((1+$C$300)^(1/12)-1))^12-1)/((1+((1+$C$300)^(1/12)-1))-1))-12)),0))</f>
      </c>
    </row>
    <row r="317" spans="9:17" x14ac:dyDescent="0.25">
      <c r="I317">
        <v>33</v>
      </c>
      <c r="J317">
        <f>IF(I317&lt;$C$288,12*$C$289*(1+$C$290)^I317,0)</f>
      </c>
      <c r="K317">
        <f>IF(J317&lt;=0,0,INDEX($E$282:$E$289,MATCH(J317,$F$282:$F$289,1))+(J317-INDEX($F$282:$F$289,MATCH(J317,$F$282:$F$289,1)))/INDEX($G$282:$G$289,MATCH(J317,$F$282:$F$289,1))-$C$286)</f>
      </c>
      <c r="L317">
        <f>MAX(0,L316*(1+'Inputs'!$C$122/100)-M316/12*(1+'Inputs'!$C$122/100)^(1/12)*'Inputs'!$C$122/100/((1+'Inputs'!$C$122/100)^(1/12)-1))</f>
      </c>
      <c r="M317">
        <f>IF(L317&gt;0.005,MIN(MAX(K317,'Inputs'!$H$115/100*L317),'Inputs'!$H$116/100*L317),0)</f>
      </c>
      <c r="N317">
        <f>IF(M317&gt;0,M317-(MAX(0,(INDEX('Inputs'!$D$125:$D$131,MATCH($C$286+M317,'Inputs'!$C$125:$C$131,1))+INDEX('Inputs'!$E$125:$E$131,MATCH($C$286+M317,'Inputs'!$C$125:$C$131,1))/100*(($C$286+M317)-INDEX('Inputs'!$C$125:$C$131,MATCH($C$286+M317,'Inputs'!$C$125:$C$131,1))))-$C$284)-$C$292),0)</f>
      </c>
      <c r="O317">
        <f>IF(I317&lt;$C$288,MAX(0,J317-N317),0)</f>
      </c>
      <c r="P317">
        <f>IF($C$291&lt;&gt;1,0,P316*(1+((1+$C$300)^(1/12)-1))^12-O316/12*(1+((1+$C$300)^(1/12)-1))*(((1+((1+$C$300)^(1/12)-1))^12-1)/((1+((1+$C$300)^(1/12)-1))-1)))</f>
      </c>
      <c r="Q317">
        <f>IF($C$291&lt;&gt;1,0,IFERROR((((1+($C$300+'Inputs'!$H$108/100))^(1/12)-1)-((1+$C$300)^(1/12)-1))*(P317*(((1+((1+$C$300)^(1/12)-1))^12-1)/((1+((1+$C$300)^(1/12)-1))-1))-O317/12/((1+((1+$C$300)^(1/12)-1))-1)*((1+((1+$C$300)^(1/12)-1))*(((1+((1+$C$300)^(1/12)-1))^12-1)/((1+((1+$C$300)^(1/12)-1))-1))-12)),0))</f>
      </c>
    </row>
    <row r="318" spans="9:17" x14ac:dyDescent="0.25">
      <c r="I318">
        <v>34</v>
      </c>
      <c r="J318">
        <f>IF(I318&lt;$C$288,12*$C$289*(1+$C$290)^I318,0)</f>
      </c>
      <c r="K318">
        <f>IF(J318&lt;=0,0,INDEX($E$282:$E$289,MATCH(J318,$F$282:$F$289,1))+(J318-INDEX($F$282:$F$289,MATCH(J318,$F$282:$F$289,1)))/INDEX($G$282:$G$289,MATCH(J318,$F$282:$F$289,1))-$C$286)</f>
      </c>
      <c r="L318">
        <f>MAX(0,L317*(1+'Inputs'!$C$122/100)-M317/12*(1+'Inputs'!$C$122/100)^(1/12)*'Inputs'!$C$122/100/((1+'Inputs'!$C$122/100)^(1/12)-1))</f>
      </c>
      <c r="M318">
        <f>IF(L318&gt;0.005,MIN(MAX(K318,'Inputs'!$H$115/100*L318),'Inputs'!$H$116/100*L318),0)</f>
      </c>
      <c r="N318">
        <f>IF(M318&gt;0,M318-(MAX(0,(INDEX('Inputs'!$D$125:$D$131,MATCH($C$286+M318,'Inputs'!$C$125:$C$131,1))+INDEX('Inputs'!$E$125:$E$131,MATCH($C$286+M318,'Inputs'!$C$125:$C$131,1))/100*(($C$286+M318)-INDEX('Inputs'!$C$125:$C$131,MATCH($C$286+M318,'Inputs'!$C$125:$C$131,1))))-$C$284)-$C$292),0)</f>
      </c>
      <c r="O318">
        <f>IF(I318&lt;$C$288,MAX(0,J318-N318),0)</f>
      </c>
      <c r="P318">
        <f>IF($C$291&lt;&gt;1,0,P317*(1+((1+$C$300)^(1/12)-1))^12-O317/12*(1+((1+$C$300)^(1/12)-1))*(((1+((1+$C$300)^(1/12)-1))^12-1)/((1+((1+$C$300)^(1/12)-1))-1)))</f>
      </c>
      <c r="Q318">
        <f>IF($C$291&lt;&gt;1,0,IFERROR((((1+($C$300+'Inputs'!$H$108/100))^(1/12)-1)-((1+$C$300)^(1/12)-1))*(P318*(((1+((1+$C$300)^(1/12)-1))^12-1)/((1+((1+$C$300)^(1/12)-1))-1))-O318/12/((1+((1+$C$300)^(1/12)-1))-1)*((1+((1+$C$300)^(1/12)-1))*(((1+((1+$C$300)^(1/12)-1))^12-1)/((1+((1+$C$300)^(1/12)-1))-1))-12)),0))</f>
      </c>
    </row>
    <row r="319" spans="9:17" x14ac:dyDescent="0.25">
      <c r="I319">
        <v>35</v>
      </c>
      <c r="J319">
        <f>IF(I319&lt;$C$288,12*$C$289*(1+$C$290)^I319,0)</f>
      </c>
      <c r="K319">
        <f>IF(J319&lt;=0,0,INDEX($E$282:$E$289,MATCH(J319,$F$282:$F$289,1))+(J319-INDEX($F$282:$F$289,MATCH(J319,$F$282:$F$289,1)))/INDEX($G$282:$G$289,MATCH(J319,$F$282:$F$289,1))-$C$286)</f>
      </c>
      <c r="L319">
        <f>MAX(0,L318*(1+'Inputs'!$C$122/100)-M318/12*(1+'Inputs'!$C$122/100)^(1/12)*'Inputs'!$C$122/100/((1+'Inputs'!$C$122/100)^(1/12)-1))</f>
      </c>
      <c r="M319">
        <f>IF(L319&gt;0.005,MIN(MAX(K319,'Inputs'!$H$115/100*L319),'Inputs'!$H$116/100*L319),0)</f>
      </c>
      <c r="N319">
        <f>IF(M319&gt;0,M319-(MAX(0,(INDEX('Inputs'!$D$125:$D$131,MATCH($C$286+M319,'Inputs'!$C$125:$C$131,1))+INDEX('Inputs'!$E$125:$E$131,MATCH($C$286+M319,'Inputs'!$C$125:$C$131,1))/100*(($C$286+M319)-INDEX('Inputs'!$C$125:$C$131,MATCH($C$286+M319,'Inputs'!$C$125:$C$131,1))))-$C$284)-$C$292),0)</f>
      </c>
      <c r="O319">
        <f>IF(I319&lt;$C$288,MAX(0,J319-N319),0)</f>
      </c>
      <c r="P319">
        <f>IF($C$291&lt;&gt;1,0,P318*(1+((1+$C$300)^(1/12)-1))^12-O318/12*(1+((1+$C$300)^(1/12)-1))*(((1+((1+$C$300)^(1/12)-1))^12-1)/((1+((1+$C$300)^(1/12)-1))-1)))</f>
      </c>
      <c r="Q319">
        <f>IF($C$291&lt;&gt;1,0,IFERROR((((1+($C$300+'Inputs'!$H$108/100))^(1/12)-1)-((1+$C$300)^(1/12)-1))*(P319*(((1+((1+$C$300)^(1/12)-1))^12-1)/((1+((1+$C$300)^(1/12)-1))-1))-O319/12/((1+((1+$C$300)^(1/12)-1))-1)*((1+((1+$C$300)^(1/12)-1))*(((1+((1+$C$300)^(1/12)-1))^12-1)/((1+((1+$C$300)^(1/12)-1))-1))-12)),0))</f>
      </c>
    </row>
    <row r="320" spans="9:17" x14ac:dyDescent="0.25">
      <c r="I320">
        <v>36</v>
      </c>
      <c r="J320">
        <f>IF(I320&lt;$C$288,12*$C$289*(1+$C$290)^I320,0)</f>
      </c>
      <c r="K320">
        <f>IF(J320&lt;=0,0,INDEX($E$282:$E$289,MATCH(J320,$F$282:$F$289,1))+(J320-INDEX($F$282:$F$289,MATCH(J320,$F$282:$F$289,1)))/INDEX($G$282:$G$289,MATCH(J320,$F$282:$F$289,1))-$C$286)</f>
      </c>
      <c r="L320">
        <f>MAX(0,L319*(1+'Inputs'!$C$122/100)-M319/12*(1+'Inputs'!$C$122/100)^(1/12)*'Inputs'!$C$122/100/((1+'Inputs'!$C$122/100)^(1/12)-1))</f>
      </c>
      <c r="M320">
        <f>IF(L320&gt;0.005,MIN(MAX(K320,'Inputs'!$H$115/100*L320),'Inputs'!$H$116/100*L320),0)</f>
      </c>
      <c r="N320">
        <f>IF(M320&gt;0,M320-(MAX(0,(INDEX('Inputs'!$D$125:$D$131,MATCH($C$286+M320,'Inputs'!$C$125:$C$131,1))+INDEX('Inputs'!$E$125:$E$131,MATCH($C$286+M320,'Inputs'!$C$125:$C$131,1))/100*(($C$286+M320)-INDEX('Inputs'!$C$125:$C$131,MATCH($C$286+M320,'Inputs'!$C$125:$C$131,1))))-$C$284)-$C$292),0)</f>
      </c>
      <c r="O320">
        <f>IF(I320&lt;$C$288,MAX(0,J320-N320),0)</f>
      </c>
      <c r="P320">
        <f>IF($C$291&lt;&gt;1,0,P319*(1+((1+$C$300)^(1/12)-1))^12-O319/12*(1+((1+$C$300)^(1/12)-1))*(((1+((1+$C$300)^(1/12)-1))^12-1)/((1+((1+$C$300)^(1/12)-1))-1)))</f>
      </c>
      <c r="Q320">
        <f>IF($C$291&lt;&gt;1,0,IFERROR((((1+($C$300+'Inputs'!$H$108/100))^(1/12)-1)-((1+$C$300)^(1/12)-1))*(P320*(((1+((1+$C$300)^(1/12)-1))^12-1)/((1+((1+$C$300)^(1/12)-1))-1))-O320/12/((1+((1+$C$300)^(1/12)-1))-1)*((1+((1+$C$300)^(1/12)-1))*(((1+((1+$C$300)^(1/12)-1))^12-1)/((1+((1+$C$300)^(1/12)-1))-1))-12)),0))</f>
      </c>
    </row>
    <row r="321" spans="9:17" x14ac:dyDescent="0.25">
      <c r="I321">
        <v>37</v>
      </c>
      <c r="J321">
        <f>IF(I321&lt;$C$288,12*$C$289*(1+$C$290)^I321,0)</f>
      </c>
      <c r="K321">
        <f>IF(J321&lt;=0,0,INDEX($E$282:$E$289,MATCH(J321,$F$282:$F$289,1))+(J321-INDEX($F$282:$F$289,MATCH(J321,$F$282:$F$289,1)))/INDEX($G$282:$G$289,MATCH(J321,$F$282:$F$289,1))-$C$286)</f>
      </c>
      <c r="L321">
        <f>MAX(0,L320*(1+'Inputs'!$C$122/100)-M320/12*(1+'Inputs'!$C$122/100)^(1/12)*'Inputs'!$C$122/100/((1+'Inputs'!$C$122/100)^(1/12)-1))</f>
      </c>
      <c r="M321">
        <f>IF(L321&gt;0.005,MIN(MAX(K321,'Inputs'!$H$115/100*L321),'Inputs'!$H$116/100*L321),0)</f>
      </c>
      <c r="N321">
        <f>IF(M321&gt;0,M321-(MAX(0,(INDEX('Inputs'!$D$125:$D$131,MATCH($C$286+M321,'Inputs'!$C$125:$C$131,1))+INDEX('Inputs'!$E$125:$E$131,MATCH($C$286+M321,'Inputs'!$C$125:$C$131,1))/100*(($C$286+M321)-INDEX('Inputs'!$C$125:$C$131,MATCH($C$286+M321,'Inputs'!$C$125:$C$131,1))))-$C$284)-$C$292),0)</f>
      </c>
      <c r="O321">
        <f>IF(I321&lt;$C$288,MAX(0,J321-N321),0)</f>
      </c>
      <c r="P321">
        <f>IF($C$291&lt;&gt;1,0,P320*(1+((1+$C$300)^(1/12)-1))^12-O320/12*(1+((1+$C$300)^(1/12)-1))*(((1+((1+$C$300)^(1/12)-1))^12-1)/((1+((1+$C$300)^(1/12)-1))-1)))</f>
      </c>
      <c r="Q321">
        <f>IF($C$291&lt;&gt;1,0,IFERROR((((1+($C$300+'Inputs'!$H$108/100))^(1/12)-1)-((1+$C$300)^(1/12)-1))*(P321*(((1+((1+$C$300)^(1/12)-1))^12-1)/((1+((1+$C$300)^(1/12)-1))-1))-O321/12/((1+((1+$C$300)^(1/12)-1))-1)*((1+((1+$C$300)^(1/12)-1))*(((1+((1+$C$300)^(1/12)-1))^12-1)/((1+((1+$C$300)^(1/12)-1))-1))-12)),0))</f>
      </c>
    </row>
    <row r="322" spans="9:17" x14ac:dyDescent="0.25">
      <c r="I322">
        <v>38</v>
      </c>
      <c r="J322">
        <f>IF(I322&lt;$C$288,12*$C$289*(1+$C$290)^I322,0)</f>
      </c>
      <c r="K322">
        <f>IF(J322&lt;=0,0,INDEX($E$282:$E$289,MATCH(J322,$F$282:$F$289,1))+(J322-INDEX($F$282:$F$289,MATCH(J322,$F$282:$F$289,1)))/INDEX($G$282:$G$289,MATCH(J322,$F$282:$F$289,1))-$C$286)</f>
      </c>
      <c r="L322">
        <f>MAX(0,L321*(1+'Inputs'!$C$122/100)-M321/12*(1+'Inputs'!$C$122/100)^(1/12)*'Inputs'!$C$122/100/((1+'Inputs'!$C$122/100)^(1/12)-1))</f>
      </c>
      <c r="M322">
        <f>IF(L322&gt;0.005,MIN(MAX(K322,'Inputs'!$H$115/100*L322),'Inputs'!$H$116/100*L322),0)</f>
      </c>
      <c r="N322">
        <f>IF(M322&gt;0,M322-(MAX(0,(INDEX('Inputs'!$D$125:$D$131,MATCH($C$286+M322,'Inputs'!$C$125:$C$131,1))+INDEX('Inputs'!$E$125:$E$131,MATCH($C$286+M322,'Inputs'!$C$125:$C$131,1))/100*(($C$286+M322)-INDEX('Inputs'!$C$125:$C$131,MATCH($C$286+M322,'Inputs'!$C$125:$C$131,1))))-$C$284)-$C$292),0)</f>
      </c>
      <c r="O322">
        <f>IF(I322&lt;$C$288,MAX(0,J322-N322),0)</f>
      </c>
      <c r="P322">
        <f>IF($C$291&lt;&gt;1,0,P321*(1+((1+$C$300)^(1/12)-1))^12-O321/12*(1+((1+$C$300)^(1/12)-1))*(((1+((1+$C$300)^(1/12)-1))^12-1)/((1+((1+$C$300)^(1/12)-1))-1)))</f>
      </c>
      <c r="Q322">
        <f>IF($C$291&lt;&gt;1,0,IFERROR((((1+($C$300+'Inputs'!$H$108/100))^(1/12)-1)-((1+$C$300)^(1/12)-1))*(P322*(((1+((1+$C$300)^(1/12)-1))^12-1)/((1+((1+$C$300)^(1/12)-1))-1))-O322/12/((1+((1+$C$300)^(1/12)-1))-1)*((1+((1+$C$300)^(1/12)-1))*(((1+((1+$C$300)^(1/12)-1))^12-1)/((1+((1+$C$300)^(1/12)-1))-1))-12)),0))</f>
      </c>
    </row>
    <row r="323" spans="9:17" x14ac:dyDescent="0.25">
      <c r="I323">
        <v>39</v>
      </c>
      <c r="J323">
        <f>IF(I323&lt;$C$288,12*$C$289*(1+$C$290)^I323,0)</f>
      </c>
      <c r="K323">
        <f>IF(J323&lt;=0,0,INDEX($E$282:$E$289,MATCH(J323,$F$282:$F$289,1))+(J323-INDEX($F$282:$F$289,MATCH(J323,$F$282:$F$289,1)))/INDEX($G$282:$G$289,MATCH(J323,$F$282:$F$289,1))-$C$286)</f>
      </c>
      <c r="L323">
        <f>MAX(0,L322*(1+'Inputs'!$C$122/100)-M322/12*(1+'Inputs'!$C$122/100)^(1/12)*'Inputs'!$C$122/100/((1+'Inputs'!$C$122/100)^(1/12)-1))</f>
      </c>
      <c r="M323">
        <f>IF(L323&gt;0.005,MIN(MAX(K323,'Inputs'!$H$115/100*L323),'Inputs'!$H$116/100*L323),0)</f>
      </c>
      <c r="N323">
        <f>IF(M323&gt;0,M323-(MAX(0,(INDEX('Inputs'!$D$125:$D$131,MATCH($C$286+M323,'Inputs'!$C$125:$C$131,1))+INDEX('Inputs'!$E$125:$E$131,MATCH($C$286+M323,'Inputs'!$C$125:$C$131,1))/100*(($C$286+M323)-INDEX('Inputs'!$C$125:$C$131,MATCH($C$286+M323,'Inputs'!$C$125:$C$131,1))))-$C$284)-$C$292),0)</f>
      </c>
      <c r="O323">
        <f>IF(I323&lt;$C$288,MAX(0,J323-N323),0)</f>
      </c>
      <c r="P323">
        <f>IF($C$291&lt;&gt;1,0,P322*(1+((1+$C$300)^(1/12)-1))^12-O322/12*(1+((1+$C$300)^(1/12)-1))*(((1+((1+$C$300)^(1/12)-1))^12-1)/((1+((1+$C$300)^(1/12)-1))-1)))</f>
      </c>
      <c r="Q323">
        <f>IF($C$291&lt;&gt;1,0,IFERROR((((1+($C$300+'Inputs'!$H$108/100))^(1/12)-1)-((1+$C$300)^(1/12)-1))*(P323*(((1+((1+$C$300)^(1/12)-1))^12-1)/((1+((1+$C$300)^(1/12)-1))-1))-O323/12/((1+((1+$C$300)^(1/12)-1))-1)*((1+((1+$C$300)^(1/12)-1))*(((1+((1+$C$300)^(1/12)-1))^12-1)/((1+((1+$C$300)^(1/12)-1))-1))-12)),0))</f>
      </c>
    </row>
    <row r="324" spans="9:17" x14ac:dyDescent="0.25">
      <c r="I324">
        <v>40</v>
      </c>
      <c r="J324">
        <f>IF(I324&lt;$C$288,12*$C$289*(1+$C$290)^I324,0)</f>
      </c>
      <c r="K324">
        <f>IF(J324&lt;=0,0,INDEX($E$282:$E$289,MATCH(J324,$F$282:$F$289,1))+(J324-INDEX($F$282:$F$289,MATCH(J324,$F$282:$F$289,1)))/INDEX($G$282:$G$289,MATCH(J324,$F$282:$F$289,1))-$C$286)</f>
      </c>
      <c r="L324">
        <f>MAX(0,L323*(1+'Inputs'!$C$122/100)-M323/12*(1+'Inputs'!$C$122/100)^(1/12)*'Inputs'!$C$122/100/((1+'Inputs'!$C$122/100)^(1/12)-1))</f>
      </c>
      <c r="M324">
        <f>IF(L324&gt;0.005,MIN(MAX(K324,'Inputs'!$H$115/100*L324),'Inputs'!$H$116/100*L324),0)</f>
      </c>
      <c r="N324">
        <f>IF(M324&gt;0,M324-(MAX(0,(INDEX('Inputs'!$D$125:$D$131,MATCH($C$286+M324,'Inputs'!$C$125:$C$131,1))+INDEX('Inputs'!$E$125:$E$131,MATCH($C$286+M324,'Inputs'!$C$125:$C$131,1))/100*(($C$286+M324)-INDEX('Inputs'!$C$125:$C$131,MATCH($C$286+M324,'Inputs'!$C$125:$C$131,1))))-$C$284)-$C$292),0)</f>
      </c>
      <c r="O324">
        <f>IF(I324&lt;$C$288,MAX(0,J324-N324),0)</f>
      </c>
      <c r="P324">
        <f>IF($C$291&lt;&gt;1,0,P323*(1+((1+$C$300)^(1/12)-1))^12-O323/12*(1+((1+$C$300)^(1/12)-1))*(((1+((1+$C$300)^(1/12)-1))^12-1)/((1+((1+$C$300)^(1/12)-1))-1)))</f>
      </c>
      <c r="Q324">
        <f>IF($C$291&lt;&gt;1,0,IFERROR((((1+($C$300+'Inputs'!$H$108/100))^(1/12)-1)-((1+$C$300)^(1/12)-1))*(P324*(((1+((1+$C$300)^(1/12)-1))^12-1)/((1+((1+$C$300)^(1/12)-1))-1))-O324/12/((1+((1+$C$300)^(1/12)-1))-1)*((1+((1+$C$300)^(1/12)-1))*(((1+((1+$C$300)^(1/12)-1))^12-1)/((1+((1+$C$300)^(1/12)-1))-1))-12)),0))</f>
      </c>
    </row>
    <row r="325" spans="9:17" x14ac:dyDescent="0.25">
      <c r="I325">
        <v>41</v>
      </c>
      <c r="J325">
        <f>IF(I325&lt;$C$288,12*$C$289*(1+$C$290)^I325,0)</f>
      </c>
      <c r="K325">
        <f>IF(J325&lt;=0,0,INDEX($E$282:$E$289,MATCH(J325,$F$282:$F$289,1))+(J325-INDEX($F$282:$F$289,MATCH(J325,$F$282:$F$289,1)))/INDEX($G$282:$G$289,MATCH(J325,$F$282:$F$289,1))-$C$286)</f>
      </c>
      <c r="L325">
        <f>MAX(0,L324*(1+'Inputs'!$C$122/100)-M324/12*(1+'Inputs'!$C$122/100)^(1/12)*'Inputs'!$C$122/100/((1+'Inputs'!$C$122/100)^(1/12)-1))</f>
      </c>
      <c r="M325">
        <f>IF(L325&gt;0.005,MIN(MAX(K325,'Inputs'!$H$115/100*L325),'Inputs'!$H$116/100*L325),0)</f>
      </c>
      <c r="N325">
        <f>IF(M325&gt;0,M325-(MAX(0,(INDEX('Inputs'!$D$125:$D$131,MATCH($C$286+M325,'Inputs'!$C$125:$C$131,1))+INDEX('Inputs'!$E$125:$E$131,MATCH($C$286+M325,'Inputs'!$C$125:$C$131,1))/100*(($C$286+M325)-INDEX('Inputs'!$C$125:$C$131,MATCH($C$286+M325,'Inputs'!$C$125:$C$131,1))))-$C$284)-$C$292),0)</f>
      </c>
      <c r="O325">
        <f>IF(I325&lt;$C$288,MAX(0,J325-N325),0)</f>
      </c>
      <c r="P325">
        <f>IF($C$291&lt;&gt;1,0,P324*(1+((1+$C$300)^(1/12)-1))^12-O324/12*(1+((1+$C$300)^(1/12)-1))*(((1+((1+$C$300)^(1/12)-1))^12-1)/((1+((1+$C$300)^(1/12)-1))-1)))</f>
      </c>
      <c r="Q325">
        <f>IF($C$291&lt;&gt;1,0,IFERROR((((1+($C$300+'Inputs'!$H$108/100))^(1/12)-1)-((1+$C$300)^(1/12)-1))*(P325*(((1+((1+$C$300)^(1/12)-1))^12-1)/((1+((1+$C$300)^(1/12)-1))-1))-O325/12/((1+((1+$C$300)^(1/12)-1))-1)*((1+((1+$C$300)^(1/12)-1))*(((1+((1+$C$300)^(1/12)-1))^12-1)/((1+((1+$C$300)^(1/12)-1))-1))-12)),0))</f>
      </c>
    </row>
    <row r="326" spans="9:17" x14ac:dyDescent="0.25">
      <c r="I326">
        <v>42</v>
      </c>
      <c r="J326">
        <f>IF(I326&lt;$C$288,12*$C$289*(1+$C$290)^I326,0)</f>
      </c>
      <c r="K326">
        <f>IF(J326&lt;=0,0,INDEX($E$282:$E$289,MATCH(J326,$F$282:$F$289,1))+(J326-INDEX($F$282:$F$289,MATCH(J326,$F$282:$F$289,1)))/INDEX($G$282:$G$289,MATCH(J326,$F$282:$F$289,1))-$C$286)</f>
      </c>
      <c r="L326">
        <f>MAX(0,L325*(1+'Inputs'!$C$122/100)-M325/12*(1+'Inputs'!$C$122/100)^(1/12)*'Inputs'!$C$122/100/((1+'Inputs'!$C$122/100)^(1/12)-1))</f>
      </c>
      <c r="M326">
        <f>IF(L326&gt;0.005,MIN(MAX(K326,'Inputs'!$H$115/100*L326),'Inputs'!$H$116/100*L326),0)</f>
      </c>
      <c r="N326">
        <f>IF(M326&gt;0,M326-(MAX(0,(INDEX('Inputs'!$D$125:$D$131,MATCH($C$286+M326,'Inputs'!$C$125:$C$131,1))+INDEX('Inputs'!$E$125:$E$131,MATCH($C$286+M326,'Inputs'!$C$125:$C$131,1))/100*(($C$286+M326)-INDEX('Inputs'!$C$125:$C$131,MATCH($C$286+M326,'Inputs'!$C$125:$C$131,1))))-$C$284)-$C$292),0)</f>
      </c>
      <c r="O326">
        <f>IF(I326&lt;$C$288,MAX(0,J326-N326),0)</f>
      </c>
      <c r="P326">
        <f>IF($C$291&lt;&gt;1,0,P325*(1+((1+$C$300)^(1/12)-1))^12-O325/12*(1+((1+$C$300)^(1/12)-1))*(((1+((1+$C$300)^(1/12)-1))^12-1)/((1+((1+$C$300)^(1/12)-1))-1)))</f>
      </c>
      <c r="Q326">
        <f>IF($C$291&lt;&gt;1,0,IFERROR((((1+($C$300+'Inputs'!$H$108/100))^(1/12)-1)-((1+$C$300)^(1/12)-1))*(P326*(((1+((1+$C$300)^(1/12)-1))^12-1)/((1+((1+$C$300)^(1/12)-1))-1))-O326/12/((1+((1+$C$300)^(1/12)-1))-1)*((1+((1+$C$300)^(1/12)-1))*(((1+((1+$C$300)^(1/12)-1))^12-1)/((1+((1+$C$300)^(1/12)-1))-1))-12)),0))</f>
      </c>
    </row>
    <row r="327" spans="9:17" x14ac:dyDescent="0.25">
      <c r="I327">
        <v>43</v>
      </c>
      <c r="J327">
        <f>IF(I327&lt;$C$288,12*$C$289*(1+$C$290)^I327,0)</f>
      </c>
      <c r="K327">
        <f>IF(J327&lt;=0,0,INDEX($E$282:$E$289,MATCH(J327,$F$282:$F$289,1))+(J327-INDEX($F$282:$F$289,MATCH(J327,$F$282:$F$289,1)))/INDEX($G$282:$G$289,MATCH(J327,$F$282:$F$289,1))-$C$286)</f>
      </c>
      <c r="L327">
        <f>MAX(0,L326*(1+'Inputs'!$C$122/100)-M326/12*(1+'Inputs'!$C$122/100)^(1/12)*'Inputs'!$C$122/100/((1+'Inputs'!$C$122/100)^(1/12)-1))</f>
      </c>
      <c r="M327">
        <f>IF(L327&gt;0.005,MIN(MAX(K327,'Inputs'!$H$115/100*L327),'Inputs'!$H$116/100*L327),0)</f>
      </c>
      <c r="N327">
        <f>IF(M327&gt;0,M327-(MAX(0,(INDEX('Inputs'!$D$125:$D$131,MATCH($C$286+M327,'Inputs'!$C$125:$C$131,1))+INDEX('Inputs'!$E$125:$E$131,MATCH($C$286+M327,'Inputs'!$C$125:$C$131,1))/100*(($C$286+M327)-INDEX('Inputs'!$C$125:$C$131,MATCH($C$286+M327,'Inputs'!$C$125:$C$131,1))))-$C$284)-$C$292),0)</f>
      </c>
      <c r="O327">
        <f>IF(I327&lt;$C$288,MAX(0,J327-N327),0)</f>
      </c>
      <c r="P327">
        <f>IF($C$291&lt;&gt;1,0,P326*(1+((1+$C$300)^(1/12)-1))^12-O326/12*(1+((1+$C$300)^(1/12)-1))*(((1+((1+$C$300)^(1/12)-1))^12-1)/((1+((1+$C$300)^(1/12)-1))-1)))</f>
      </c>
      <c r="Q327">
        <f>IF($C$291&lt;&gt;1,0,IFERROR((((1+($C$300+'Inputs'!$H$108/100))^(1/12)-1)-((1+$C$300)^(1/12)-1))*(P327*(((1+((1+$C$300)^(1/12)-1))^12-1)/((1+((1+$C$300)^(1/12)-1))-1))-O327/12/((1+((1+$C$300)^(1/12)-1))-1)*((1+((1+$C$300)^(1/12)-1))*(((1+((1+$C$300)^(1/12)-1))^12-1)/((1+((1+$C$300)^(1/12)-1))-1))-12)),0))</f>
      </c>
    </row>
    <row r="328" spans="9:17" x14ac:dyDescent="0.25">
      <c r="I328">
        <v>44</v>
      </c>
      <c r="J328">
        <f>IF(I328&lt;$C$288,12*$C$289*(1+$C$290)^I328,0)</f>
      </c>
      <c r="K328">
        <f>IF(J328&lt;=0,0,INDEX($E$282:$E$289,MATCH(J328,$F$282:$F$289,1))+(J328-INDEX($F$282:$F$289,MATCH(J328,$F$282:$F$289,1)))/INDEX($G$282:$G$289,MATCH(J328,$F$282:$F$289,1))-$C$286)</f>
      </c>
      <c r="L328">
        <f>MAX(0,L327*(1+'Inputs'!$C$122/100)-M327/12*(1+'Inputs'!$C$122/100)^(1/12)*'Inputs'!$C$122/100/((1+'Inputs'!$C$122/100)^(1/12)-1))</f>
      </c>
      <c r="M328">
        <f>IF(L328&gt;0.005,MIN(MAX(K328,'Inputs'!$H$115/100*L328),'Inputs'!$H$116/100*L328),0)</f>
      </c>
      <c r="N328">
        <f>IF(M328&gt;0,M328-(MAX(0,(INDEX('Inputs'!$D$125:$D$131,MATCH($C$286+M328,'Inputs'!$C$125:$C$131,1))+INDEX('Inputs'!$E$125:$E$131,MATCH($C$286+M328,'Inputs'!$C$125:$C$131,1))/100*(($C$286+M328)-INDEX('Inputs'!$C$125:$C$131,MATCH($C$286+M328,'Inputs'!$C$125:$C$131,1))))-$C$284)-$C$292),0)</f>
      </c>
      <c r="O328">
        <f>IF(I328&lt;$C$288,MAX(0,J328-N328),0)</f>
      </c>
      <c r="P328">
        <f>IF($C$291&lt;&gt;1,0,P327*(1+((1+$C$300)^(1/12)-1))^12-O327/12*(1+((1+$C$300)^(1/12)-1))*(((1+((1+$C$300)^(1/12)-1))^12-1)/((1+((1+$C$300)^(1/12)-1))-1)))</f>
      </c>
      <c r="Q328">
        <f>IF($C$291&lt;&gt;1,0,IFERROR((((1+($C$300+'Inputs'!$H$108/100))^(1/12)-1)-((1+$C$300)^(1/12)-1))*(P328*(((1+((1+$C$300)^(1/12)-1))^12-1)/((1+((1+$C$300)^(1/12)-1))-1))-O328/12/((1+((1+$C$300)^(1/12)-1))-1)*((1+((1+$C$300)^(1/12)-1))*(((1+((1+$C$300)^(1/12)-1))^12-1)/((1+((1+$C$300)^(1/12)-1))-1))-12)),0))</f>
      </c>
    </row>
    <row r="329" spans="9:17" x14ac:dyDescent="0.25">
      <c r="I329">
        <v>45</v>
      </c>
      <c r="J329">
        <f>IF(I329&lt;$C$288,12*$C$289*(1+$C$290)^I329,0)</f>
      </c>
      <c r="K329">
        <f>IF(J329&lt;=0,0,INDEX($E$282:$E$289,MATCH(J329,$F$282:$F$289,1))+(J329-INDEX($F$282:$F$289,MATCH(J329,$F$282:$F$289,1)))/INDEX($G$282:$G$289,MATCH(J329,$F$282:$F$289,1))-$C$286)</f>
      </c>
      <c r="L329">
        <f>MAX(0,L328*(1+'Inputs'!$C$122/100)-M328/12*(1+'Inputs'!$C$122/100)^(1/12)*'Inputs'!$C$122/100/((1+'Inputs'!$C$122/100)^(1/12)-1))</f>
      </c>
      <c r="M329">
        <f>IF(L329&gt;0.005,MIN(MAX(K329,'Inputs'!$H$115/100*L329),'Inputs'!$H$116/100*L329),0)</f>
      </c>
      <c r="N329">
        <f>IF(M329&gt;0,M329-(MAX(0,(INDEX('Inputs'!$D$125:$D$131,MATCH($C$286+M329,'Inputs'!$C$125:$C$131,1))+INDEX('Inputs'!$E$125:$E$131,MATCH($C$286+M329,'Inputs'!$C$125:$C$131,1))/100*(($C$286+M329)-INDEX('Inputs'!$C$125:$C$131,MATCH($C$286+M329,'Inputs'!$C$125:$C$131,1))))-$C$284)-$C$292),0)</f>
      </c>
      <c r="O329">
        <f>IF(I329&lt;$C$288,MAX(0,J329-N329),0)</f>
      </c>
      <c r="P329">
        <f>IF($C$291&lt;&gt;1,0,P328*(1+((1+$C$300)^(1/12)-1))^12-O328/12*(1+((1+$C$300)^(1/12)-1))*(((1+((1+$C$300)^(1/12)-1))^12-1)/((1+((1+$C$300)^(1/12)-1))-1)))</f>
      </c>
      <c r="Q329">
        <f>IF($C$291&lt;&gt;1,0,IFERROR((((1+($C$300+'Inputs'!$H$108/100))^(1/12)-1)-((1+$C$300)^(1/12)-1))*(P329*(((1+((1+$C$300)^(1/12)-1))^12-1)/((1+((1+$C$300)^(1/12)-1))-1))-O329/12/((1+((1+$C$300)^(1/12)-1))-1)*((1+((1+$C$300)^(1/12)-1))*(((1+((1+$C$300)^(1/12)-1))^12-1)/((1+((1+$C$300)^(1/12)-1))-1))-12)),0))</f>
      </c>
    </row>
    <row r="330" spans="9:17" x14ac:dyDescent="0.25">
      <c r="I330">
        <v>46</v>
      </c>
      <c r="J330">
        <f>IF(I330&lt;$C$288,12*$C$289*(1+$C$290)^I330,0)</f>
      </c>
      <c r="K330">
        <f>IF(J330&lt;=0,0,INDEX($E$282:$E$289,MATCH(J330,$F$282:$F$289,1))+(J330-INDEX($F$282:$F$289,MATCH(J330,$F$282:$F$289,1)))/INDEX($G$282:$G$289,MATCH(J330,$F$282:$F$289,1))-$C$286)</f>
      </c>
      <c r="L330">
        <f>MAX(0,L329*(1+'Inputs'!$C$122/100)-M329/12*(1+'Inputs'!$C$122/100)^(1/12)*'Inputs'!$C$122/100/((1+'Inputs'!$C$122/100)^(1/12)-1))</f>
      </c>
      <c r="M330">
        <f>IF(L330&gt;0.005,MIN(MAX(K330,'Inputs'!$H$115/100*L330),'Inputs'!$H$116/100*L330),0)</f>
      </c>
      <c r="N330">
        <f>IF(M330&gt;0,M330-(MAX(0,(INDEX('Inputs'!$D$125:$D$131,MATCH($C$286+M330,'Inputs'!$C$125:$C$131,1))+INDEX('Inputs'!$E$125:$E$131,MATCH($C$286+M330,'Inputs'!$C$125:$C$131,1))/100*(($C$286+M330)-INDEX('Inputs'!$C$125:$C$131,MATCH($C$286+M330,'Inputs'!$C$125:$C$131,1))))-$C$284)-$C$292),0)</f>
      </c>
      <c r="O330">
        <f>IF(I330&lt;$C$288,MAX(0,J330-N330),0)</f>
      </c>
      <c r="P330">
        <f>IF($C$291&lt;&gt;1,0,P329*(1+((1+$C$300)^(1/12)-1))^12-O329/12*(1+((1+$C$300)^(1/12)-1))*(((1+((1+$C$300)^(1/12)-1))^12-1)/((1+((1+$C$300)^(1/12)-1))-1)))</f>
      </c>
      <c r="Q330">
        <f>IF($C$291&lt;&gt;1,0,IFERROR((((1+($C$300+'Inputs'!$H$108/100))^(1/12)-1)-((1+$C$300)^(1/12)-1))*(P330*(((1+((1+$C$300)^(1/12)-1))^12-1)/((1+((1+$C$300)^(1/12)-1))-1))-O330/12/((1+((1+$C$300)^(1/12)-1))-1)*((1+((1+$C$300)^(1/12)-1))*(((1+((1+$C$300)^(1/12)-1))^12-1)/((1+((1+$C$300)^(1/12)-1))-1))-12)),0))</f>
      </c>
    </row>
    <row r="331" spans="9:17" x14ac:dyDescent="0.25">
      <c r="I331">
        <v>47</v>
      </c>
      <c r="J331">
        <f>IF(I331&lt;$C$288,12*$C$289*(1+$C$290)^I331,0)</f>
      </c>
      <c r="K331">
        <f>IF(J331&lt;=0,0,INDEX($E$282:$E$289,MATCH(J331,$F$282:$F$289,1))+(J331-INDEX($F$282:$F$289,MATCH(J331,$F$282:$F$289,1)))/INDEX($G$282:$G$289,MATCH(J331,$F$282:$F$289,1))-$C$286)</f>
      </c>
      <c r="L331">
        <f>MAX(0,L330*(1+'Inputs'!$C$122/100)-M330/12*(1+'Inputs'!$C$122/100)^(1/12)*'Inputs'!$C$122/100/((1+'Inputs'!$C$122/100)^(1/12)-1))</f>
      </c>
      <c r="M331">
        <f>IF(L331&gt;0.005,MIN(MAX(K331,'Inputs'!$H$115/100*L331),'Inputs'!$H$116/100*L331),0)</f>
      </c>
      <c r="N331">
        <f>IF(M331&gt;0,M331-(MAX(0,(INDEX('Inputs'!$D$125:$D$131,MATCH($C$286+M331,'Inputs'!$C$125:$C$131,1))+INDEX('Inputs'!$E$125:$E$131,MATCH($C$286+M331,'Inputs'!$C$125:$C$131,1))/100*(($C$286+M331)-INDEX('Inputs'!$C$125:$C$131,MATCH($C$286+M331,'Inputs'!$C$125:$C$131,1))))-$C$284)-$C$292),0)</f>
      </c>
      <c r="O331">
        <f>IF(I331&lt;$C$288,MAX(0,J331-N331),0)</f>
      </c>
      <c r="P331">
        <f>IF($C$291&lt;&gt;1,0,P330*(1+((1+$C$300)^(1/12)-1))^12-O330/12*(1+((1+$C$300)^(1/12)-1))*(((1+((1+$C$300)^(1/12)-1))^12-1)/((1+((1+$C$300)^(1/12)-1))-1)))</f>
      </c>
      <c r="Q331">
        <f>IF($C$291&lt;&gt;1,0,IFERROR((((1+($C$300+'Inputs'!$H$108/100))^(1/12)-1)-((1+$C$300)^(1/12)-1))*(P331*(((1+((1+$C$300)^(1/12)-1))^12-1)/((1+((1+$C$300)^(1/12)-1))-1))-O331/12/((1+((1+$C$300)^(1/12)-1))-1)*((1+((1+$C$300)^(1/12)-1))*(((1+((1+$C$300)^(1/12)-1))^12-1)/((1+((1+$C$300)^(1/12)-1))-1))-12)),0))</f>
      </c>
    </row>
    <row r="332" spans="9:17" x14ac:dyDescent="0.25">
      <c r="I332">
        <v>48</v>
      </c>
      <c r="J332">
        <f>IF(I332&lt;$C$288,12*$C$289*(1+$C$290)^I332,0)</f>
      </c>
      <c r="K332">
        <f>IF(J332&lt;=0,0,INDEX($E$282:$E$289,MATCH(J332,$F$282:$F$289,1))+(J332-INDEX($F$282:$F$289,MATCH(J332,$F$282:$F$289,1)))/INDEX($G$282:$G$289,MATCH(J332,$F$282:$F$289,1))-$C$286)</f>
      </c>
      <c r="L332">
        <f>MAX(0,L331*(1+'Inputs'!$C$122/100)-M331/12*(1+'Inputs'!$C$122/100)^(1/12)*'Inputs'!$C$122/100/((1+'Inputs'!$C$122/100)^(1/12)-1))</f>
      </c>
      <c r="M332">
        <f>IF(L332&gt;0.005,MIN(MAX(K332,'Inputs'!$H$115/100*L332),'Inputs'!$H$116/100*L332),0)</f>
      </c>
      <c r="N332">
        <f>IF(M332&gt;0,M332-(MAX(0,(INDEX('Inputs'!$D$125:$D$131,MATCH($C$286+M332,'Inputs'!$C$125:$C$131,1))+INDEX('Inputs'!$E$125:$E$131,MATCH($C$286+M332,'Inputs'!$C$125:$C$131,1))/100*(($C$286+M332)-INDEX('Inputs'!$C$125:$C$131,MATCH($C$286+M332,'Inputs'!$C$125:$C$131,1))))-$C$284)-$C$292),0)</f>
      </c>
      <c r="O332">
        <f>IF(I332&lt;$C$288,MAX(0,J332-N332),0)</f>
      </c>
      <c r="P332">
        <f>IF($C$291&lt;&gt;1,0,P331*(1+((1+$C$300)^(1/12)-1))^12-O331/12*(1+((1+$C$300)^(1/12)-1))*(((1+((1+$C$300)^(1/12)-1))^12-1)/((1+((1+$C$300)^(1/12)-1))-1)))</f>
      </c>
      <c r="Q332">
        <f>IF($C$291&lt;&gt;1,0,IFERROR((((1+($C$300+'Inputs'!$H$108/100))^(1/12)-1)-((1+$C$300)^(1/12)-1))*(P332*(((1+((1+$C$300)^(1/12)-1))^12-1)/((1+((1+$C$300)^(1/12)-1))-1))-O332/12/((1+((1+$C$300)^(1/12)-1))-1)*((1+((1+$C$300)^(1/12)-1))*(((1+((1+$C$300)^(1/12)-1))^12-1)/((1+((1+$C$300)^(1/12)-1))-1))-12)),0))</f>
      </c>
    </row>
    <row r="333" spans="9:17" x14ac:dyDescent="0.25">
      <c r="I333">
        <v>49</v>
      </c>
      <c r="J333">
        <f>IF(I333&lt;$C$288,12*$C$289*(1+$C$290)^I333,0)</f>
      </c>
      <c r="K333">
        <f>IF(J333&lt;=0,0,INDEX($E$282:$E$289,MATCH(J333,$F$282:$F$289,1))+(J333-INDEX($F$282:$F$289,MATCH(J333,$F$282:$F$289,1)))/INDEX($G$282:$G$289,MATCH(J333,$F$282:$F$289,1))-$C$286)</f>
      </c>
      <c r="L333">
        <f>MAX(0,L332*(1+'Inputs'!$C$122/100)-M332/12*(1+'Inputs'!$C$122/100)^(1/12)*'Inputs'!$C$122/100/((1+'Inputs'!$C$122/100)^(1/12)-1))</f>
      </c>
      <c r="M333">
        <f>IF(L333&gt;0.005,MIN(MAX(K333,'Inputs'!$H$115/100*L333),'Inputs'!$H$116/100*L333),0)</f>
      </c>
      <c r="N333">
        <f>IF(M333&gt;0,M333-(MAX(0,(INDEX('Inputs'!$D$125:$D$131,MATCH($C$286+M333,'Inputs'!$C$125:$C$131,1))+INDEX('Inputs'!$E$125:$E$131,MATCH($C$286+M333,'Inputs'!$C$125:$C$131,1))/100*(($C$286+M333)-INDEX('Inputs'!$C$125:$C$131,MATCH($C$286+M333,'Inputs'!$C$125:$C$131,1))))-$C$284)-$C$292),0)</f>
      </c>
      <c r="O333">
        <f>IF(I333&lt;$C$288,MAX(0,J333-N333),0)</f>
      </c>
      <c r="P333">
        <f>IF($C$291&lt;&gt;1,0,P332*(1+((1+$C$300)^(1/12)-1))^12-O332/12*(1+((1+$C$300)^(1/12)-1))*(((1+((1+$C$300)^(1/12)-1))^12-1)/((1+((1+$C$300)^(1/12)-1))-1)))</f>
      </c>
      <c r="Q333">
        <f>IF($C$291&lt;&gt;1,0,IFERROR((((1+($C$300+'Inputs'!$H$108/100))^(1/12)-1)-((1+$C$300)^(1/12)-1))*(P333*(((1+((1+$C$300)^(1/12)-1))^12-1)/((1+((1+$C$300)^(1/12)-1))-1))-O333/12/((1+((1+$C$300)^(1/12)-1))-1)*((1+((1+$C$300)^(1/12)-1))*(((1+((1+$C$300)^(1/12)-1))^12-1)/((1+((1+$C$300)^(1/12)-1))-1))-12)),0))</f>
      </c>
    </row>
    <row r="339" spans="2:2" x14ac:dyDescent="0.25">
      <c r="B339" t="s">
        <v>451</v>
      </c>
    </row>
    <row r="340" spans="3:13" x14ac:dyDescent="0.25">
      <c r="C340">
        <f>0</f>
      </c>
      <c r="D340">
        <f>ROUND(('Inputs'!$C$108/100*(1+'Inputs'!$C$109/100))*('Workings'!$C$21+C340),2)+'Workings'!$C$28</f>
      </c>
      <c r="E340">
        <f>ROUND('Workings'!$C$33+IF('Inputs'!$C$14="Spouse",0,C340-D340),2)</f>
      </c>
      <c r="F340">
        <f>ROUND(IF(MAX(0,E340-'Inputs'!$C$115)&lt;='Inputs'!$C$117,MAX(0,E340-'Inputs'!$C$115)*'Inputs'!$C$116/100,'Inputs'!$C$117*'Inputs'!$C$116/100+(MAX(0,E340-'Inputs'!$C$115)-'Inputs'!$C$117)*'Inputs'!$C$118/100),2)</f>
      </c>
      <c r="G340">
        <f>IF(E340&gt;0,F340/E340,0)</f>
      </c>
      <c r="H340">
        <f>SUMPRODUCT(ROUND(G340*'Inputs'!$L$59:$L$70,2))</f>
      </c>
      <c r="I340">
        <f>SUMPRODUCT(ROUND(G340*'Inputs'!$S$22:$S$39,2))</f>
      </c>
      <c r="J340">
        <f>ROUND(F340-H340-I340,2)</f>
      </c>
      <c r="K340">
        <f>ROUND('Workings'!$C$60+D340-'Workings'!$C$46+J340,2)</f>
      </c>
      <c r="L340">
        <f>'Workings'!$C$63+C340</f>
      </c>
      <c r="M340">
        <f>ROUND(K340-L340,2)</f>
      </c>
    </row>
    <row r="341" spans="3:13" x14ac:dyDescent="0.25">
      <c r="C341">
        <f>IF(M340&gt;0,M340/(1-('Inputs'!$C$108/100*(1+'Inputs'!$C$109/100))),0)</f>
      </c>
      <c r="D341">
        <f>ROUND(('Inputs'!$C$108/100*(1+'Inputs'!$C$109/100))*('Workings'!$C$21+C341),2)+'Workings'!$C$28</f>
      </c>
      <c r="E341">
        <f>ROUND('Workings'!$C$33+IF('Inputs'!$C$14="Spouse",0,C341-D341),2)</f>
      </c>
      <c r="F341">
        <f>ROUND(IF(MAX(0,E341-'Inputs'!$C$115)&lt;='Inputs'!$C$117,MAX(0,E341-'Inputs'!$C$115)*'Inputs'!$C$116/100,'Inputs'!$C$117*'Inputs'!$C$116/100+(MAX(0,E341-'Inputs'!$C$115)-'Inputs'!$C$117)*'Inputs'!$C$118/100),2)</f>
      </c>
      <c r="G341">
        <f>IF(E341&gt;0,F341/E341,0)</f>
      </c>
      <c r="H341">
        <f>SUMPRODUCT(ROUND(G341*'Inputs'!$L$59:$L$70,2))</f>
      </c>
      <c r="I341">
        <f>SUMPRODUCT(ROUND(G341*'Inputs'!$S$22:$S$39,2))</f>
      </c>
      <c r="J341">
        <f>ROUND(F341-H341-I341,2)</f>
      </c>
      <c r="K341">
        <f>ROUND('Workings'!$C$60+D341-'Workings'!$C$46+J341,2)</f>
      </c>
      <c r="L341">
        <f>'Workings'!$C$63+C341</f>
      </c>
      <c r="M341">
        <f>ROUND(K341-L341,2)</f>
      </c>
    </row>
    <row r="342" spans="3:13" x14ac:dyDescent="0.25">
      <c r="C342">
        <f>IF(ABS(M341-M340)&lt;0.005,C341+MAX(0,M341)/(1-('Inputs'!$C$108/100*(1+'Inputs'!$C$109/100))),MAX(0,C341-M341*(C341-C340)/(M341-M340)))</f>
      </c>
      <c r="D342">
        <f>ROUND(('Inputs'!$C$108/100*(1+'Inputs'!$C$109/100))*('Workings'!$C$21+C342),2)+'Workings'!$C$28</f>
      </c>
      <c r="E342">
        <f>ROUND('Workings'!$C$33+IF('Inputs'!$C$14="Spouse",0,C342-D342),2)</f>
      </c>
      <c r="F342">
        <f>ROUND(IF(MAX(0,E342-'Inputs'!$C$115)&lt;='Inputs'!$C$117,MAX(0,E342-'Inputs'!$C$115)*'Inputs'!$C$116/100,'Inputs'!$C$117*'Inputs'!$C$116/100+(MAX(0,E342-'Inputs'!$C$115)-'Inputs'!$C$117)*'Inputs'!$C$118/100),2)</f>
      </c>
      <c r="G342">
        <f>IF(E342&gt;0,F342/E342,0)</f>
      </c>
      <c r="H342">
        <f>SUMPRODUCT(ROUND(G342*'Inputs'!$L$59:$L$70,2))</f>
      </c>
      <c r="I342">
        <f>SUMPRODUCT(ROUND(G342*'Inputs'!$S$22:$S$39,2))</f>
      </c>
      <c r="J342">
        <f>ROUND(F342-H342-I342,2)</f>
      </c>
      <c r="K342">
        <f>ROUND('Workings'!$C$60+D342-'Workings'!$C$46+J342,2)</f>
      </c>
      <c r="L342">
        <f>'Workings'!$C$63+C342</f>
      </c>
      <c r="M342">
        <f>ROUND(K342-L342,2)</f>
      </c>
    </row>
    <row r="343" spans="3:13" x14ac:dyDescent="0.25">
      <c r="C343">
        <f>IF(ABS(M342-M341)&lt;0.005,C342+MAX(0,M342)/(1-('Inputs'!$C$108/100*(1+'Inputs'!$C$109/100))),MAX(0,C342-M342*(C342-C341)/(M342-M341)))</f>
      </c>
      <c r="D343">
        <f>ROUND(('Inputs'!$C$108/100*(1+'Inputs'!$C$109/100))*('Workings'!$C$21+C343),2)+'Workings'!$C$28</f>
      </c>
      <c r="E343">
        <f>ROUND('Workings'!$C$33+IF('Inputs'!$C$14="Spouse",0,C343-D343),2)</f>
      </c>
      <c r="F343">
        <f>ROUND(IF(MAX(0,E343-'Inputs'!$C$115)&lt;='Inputs'!$C$117,MAX(0,E343-'Inputs'!$C$115)*'Inputs'!$C$116/100,'Inputs'!$C$117*'Inputs'!$C$116/100+(MAX(0,E343-'Inputs'!$C$115)-'Inputs'!$C$117)*'Inputs'!$C$118/100),2)</f>
      </c>
      <c r="G343">
        <f>IF(E343&gt;0,F343/E343,0)</f>
      </c>
      <c r="H343">
        <f>SUMPRODUCT(ROUND(G343*'Inputs'!$L$59:$L$70,2))</f>
      </c>
      <c r="I343">
        <f>SUMPRODUCT(ROUND(G343*'Inputs'!$S$22:$S$39,2))</f>
      </c>
      <c r="J343">
        <f>ROUND(F343-H343-I343,2)</f>
      </c>
      <c r="K343">
        <f>ROUND('Workings'!$C$60+D343-'Workings'!$C$46+J343,2)</f>
      </c>
      <c r="L343">
        <f>'Workings'!$C$63+C343</f>
      </c>
      <c r="M343">
        <f>ROUND(K343-L343,2)</f>
      </c>
    </row>
    <row r="344" spans="3:13" x14ac:dyDescent="0.25">
      <c r="C344">
        <f>IF(ABS(M343-M342)&lt;0.005,C343+MAX(0,M343)/(1-('Inputs'!$C$108/100*(1+'Inputs'!$C$109/100))),MAX(0,C343-M343*(C343-C342)/(M343-M342)))</f>
      </c>
      <c r="D344">
        <f>ROUND(('Inputs'!$C$108/100*(1+'Inputs'!$C$109/100))*('Workings'!$C$21+C344),2)+'Workings'!$C$28</f>
      </c>
      <c r="E344">
        <f>ROUND('Workings'!$C$33+IF('Inputs'!$C$14="Spouse",0,C344-D344),2)</f>
      </c>
      <c r="F344">
        <f>ROUND(IF(MAX(0,E344-'Inputs'!$C$115)&lt;='Inputs'!$C$117,MAX(0,E344-'Inputs'!$C$115)*'Inputs'!$C$116/100,'Inputs'!$C$117*'Inputs'!$C$116/100+(MAX(0,E344-'Inputs'!$C$115)-'Inputs'!$C$117)*'Inputs'!$C$118/100),2)</f>
      </c>
      <c r="G344">
        <f>IF(E344&gt;0,F344/E344,0)</f>
      </c>
      <c r="H344">
        <f>SUMPRODUCT(ROUND(G344*'Inputs'!$L$59:$L$70,2))</f>
      </c>
      <c r="I344">
        <f>SUMPRODUCT(ROUND(G344*'Inputs'!$S$22:$S$39,2))</f>
      </c>
      <c r="J344">
        <f>ROUND(F344-H344-I344,2)</f>
      </c>
      <c r="K344">
        <f>ROUND('Workings'!$C$60+D344-'Workings'!$C$46+J344,2)</f>
      </c>
      <c r="L344">
        <f>'Workings'!$C$63+C344</f>
      </c>
      <c r="M344">
        <f>ROUND(K344-L344,2)</f>
      </c>
    </row>
    <row r="345" spans="3:13" x14ac:dyDescent="0.25">
      <c r="C345">
        <f>IF(ABS(M344-M343)&lt;0.005,C344+MAX(0,M344)/(1-('Inputs'!$C$108/100*(1+'Inputs'!$C$109/100))),MAX(0,C344-M344*(C344-C343)/(M344-M343)))</f>
      </c>
      <c r="D345">
        <f>ROUND(('Inputs'!$C$108/100*(1+'Inputs'!$C$109/100))*('Workings'!$C$21+C345),2)+'Workings'!$C$28</f>
      </c>
      <c r="E345">
        <f>ROUND('Workings'!$C$33+IF('Inputs'!$C$14="Spouse",0,C345-D345),2)</f>
      </c>
      <c r="F345">
        <f>ROUND(IF(MAX(0,E345-'Inputs'!$C$115)&lt;='Inputs'!$C$117,MAX(0,E345-'Inputs'!$C$115)*'Inputs'!$C$116/100,'Inputs'!$C$117*'Inputs'!$C$116/100+(MAX(0,E345-'Inputs'!$C$115)-'Inputs'!$C$117)*'Inputs'!$C$118/100),2)</f>
      </c>
      <c r="G345">
        <f>IF(E345&gt;0,F345/E345,0)</f>
      </c>
      <c r="H345">
        <f>SUMPRODUCT(ROUND(G345*'Inputs'!$L$59:$L$70,2))</f>
      </c>
      <c r="I345">
        <f>SUMPRODUCT(ROUND(G345*'Inputs'!$S$22:$S$39,2))</f>
      </c>
      <c r="J345">
        <f>ROUND(F345-H345-I345,2)</f>
      </c>
      <c r="K345">
        <f>ROUND('Workings'!$C$60+D345-'Workings'!$C$46+J345,2)</f>
      </c>
      <c r="L345">
        <f>'Workings'!$C$63+C345</f>
      </c>
      <c r="M345">
        <f>ROUND(K345-L345,2)</f>
      </c>
    </row>
    <row r="346" spans="3:13" x14ac:dyDescent="0.25">
      <c r="C346">
        <f>IF(ABS(M345-M344)&lt;0.005,C345+MAX(0,M345)/(1-('Inputs'!$C$108/100*(1+'Inputs'!$C$109/100))),MAX(0,C345-M345*(C345-C344)/(M345-M344)))</f>
      </c>
      <c r="D346">
        <f>ROUND(('Inputs'!$C$108/100*(1+'Inputs'!$C$109/100))*('Workings'!$C$21+C346),2)+'Workings'!$C$28</f>
      </c>
      <c r="E346">
        <f>ROUND('Workings'!$C$33+IF('Inputs'!$C$14="Spouse",0,C346-D346),2)</f>
      </c>
      <c r="F346">
        <f>ROUND(IF(MAX(0,E346-'Inputs'!$C$115)&lt;='Inputs'!$C$117,MAX(0,E346-'Inputs'!$C$115)*'Inputs'!$C$116/100,'Inputs'!$C$117*'Inputs'!$C$116/100+(MAX(0,E346-'Inputs'!$C$115)-'Inputs'!$C$117)*'Inputs'!$C$118/100),2)</f>
      </c>
      <c r="G346">
        <f>IF(E346&gt;0,F346/E346,0)</f>
      </c>
      <c r="H346">
        <f>SUMPRODUCT(ROUND(G346*'Inputs'!$L$59:$L$70,2))</f>
      </c>
      <c r="I346">
        <f>SUMPRODUCT(ROUND(G346*'Inputs'!$S$22:$S$39,2))</f>
      </c>
      <c r="J346">
        <f>ROUND(F346-H346-I346,2)</f>
      </c>
      <c r="K346">
        <f>ROUND('Workings'!$C$60+D346-'Workings'!$C$46+J346,2)</f>
      </c>
      <c r="L346">
        <f>'Workings'!$C$63+C346</f>
      </c>
      <c r="M346">
        <f>ROUND(K346-L346,2)</f>
      </c>
    </row>
    <row r="347" spans="3:13" x14ac:dyDescent="0.25">
      <c r="C347">
        <f>IF(ABS(M346-M345)&lt;0.005,C346+MAX(0,M346)/(1-('Inputs'!$C$108/100*(1+'Inputs'!$C$109/100))),MAX(0,C346-M346*(C346-C345)/(M346-M345)))</f>
      </c>
      <c r="D347">
        <f>ROUND(('Inputs'!$C$108/100*(1+'Inputs'!$C$109/100))*('Workings'!$C$21+C347),2)+'Workings'!$C$28</f>
      </c>
      <c r="E347">
        <f>ROUND('Workings'!$C$33+IF('Inputs'!$C$14="Spouse",0,C347-D347),2)</f>
      </c>
      <c r="F347">
        <f>ROUND(IF(MAX(0,E347-'Inputs'!$C$115)&lt;='Inputs'!$C$117,MAX(0,E347-'Inputs'!$C$115)*'Inputs'!$C$116/100,'Inputs'!$C$117*'Inputs'!$C$116/100+(MAX(0,E347-'Inputs'!$C$115)-'Inputs'!$C$117)*'Inputs'!$C$118/100),2)</f>
      </c>
      <c r="G347">
        <f>IF(E347&gt;0,F347/E347,0)</f>
      </c>
      <c r="H347">
        <f>SUMPRODUCT(ROUND(G347*'Inputs'!$L$59:$L$70,2))</f>
      </c>
      <c r="I347">
        <f>SUMPRODUCT(ROUND(G347*'Inputs'!$S$22:$S$39,2))</f>
      </c>
      <c r="J347">
        <f>ROUND(F347-H347-I347,2)</f>
      </c>
      <c r="K347">
        <f>ROUND('Workings'!$C$60+D347-'Workings'!$C$46+J347,2)</f>
      </c>
      <c r="L347">
        <f>'Workings'!$C$63+C347</f>
      </c>
      <c r="M347">
        <f>ROUND(K347-L347,2)</f>
      </c>
    </row>
    <row r="348" spans="3:13" x14ac:dyDescent="0.25">
      <c r="C348">
        <f>IF(ABS(M347-M346)&lt;0.005,C347+MAX(0,M347)/(1-('Inputs'!$C$108/100*(1+'Inputs'!$C$109/100))),MAX(0,C347-M347*(C347-C346)/(M347-M346)))</f>
      </c>
      <c r="D348">
        <f>ROUND(('Inputs'!$C$108/100*(1+'Inputs'!$C$109/100))*('Workings'!$C$21+C348),2)+'Workings'!$C$28</f>
      </c>
      <c r="E348">
        <f>ROUND('Workings'!$C$33+IF('Inputs'!$C$14="Spouse",0,C348-D348),2)</f>
      </c>
      <c r="F348">
        <f>ROUND(IF(MAX(0,E348-'Inputs'!$C$115)&lt;='Inputs'!$C$117,MAX(0,E348-'Inputs'!$C$115)*'Inputs'!$C$116/100,'Inputs'!$C$117*'Inputs'!$C$116/100+(MAX(0,E348-'Inputs'!$C$115)-'Inputs'!$C$117)*'Inputs'!$C$118/100),2)</f>
      </c>
      <c r="G348">
        <f>IF(E348&gt;0,F348/E348,0)</f>
      </c>
      <c r="H348">
        <f>SUMPRODUCT(ROUND(G348*'Inputs'!$L$59:$L$70,2))</f>
      </c>
      <c r="I348">
        <f>SUMPRODUCT(ROUND(G348*'Inputs'!$S$22:$S$39,2))</f>
      </c>
      <c r="J348">
        <f>ROUND(F348-H348-I348,2)</f>
      </c>
      <c r="K348">
        <f>ROUND('Workings'!$C$60+D348-'Workings'!$C$46+J348,2)</f>
      </c>
      <c r="L348">
        <f>'Workings'!$C$63+C348</f>
      </c>
      <c r="M348">
        <f>ROUND(K348-L348,2)</f>
      </c>
    </row>
    <row r="349" spans="3:13" x14ac:dyDescent="0.25">
      <c r="C349">
        <f>IF(ABS(M348-M347)&lt;0.005,C348+MAX(0,M348)/(1-('Inputs'!$C$108/100*(1+'Inputs'!$C$109/100))),MAX(0,C348-M348*(C348-C347)/(M348-M347)))</f>
      </c>
      <c r="D349">
        <f>ROUND(('Inputs'!$C$108/100*(1+'Inputs'!$C$109/100))*('Workings'!$C$21+C349),2)+'Workings'!$C$28</f>
      </c>
      <c r="E349">
        <f>ROUND('Workings'!$C$33+IF('Inputs'!$C$14="Spouse",0,C349-D349),2)</f>
      </c>
      <c r="F349">
        <f>ROUND(IF(MAX(0,E349-'Inputs'!$C$115)&lt;='Inputs'!$C$117,MAX(0,E349-'Inputs'!$C$115)*'Inputs'!$C$116/100,'Inputs'!$C$117*'Inputs'!$C$116/100+(MAX(0,E349-'Inputs'!$C$115)-'Inputs'!$C$117)*'Inputs'!$C$118/100),2)</f>
      </c>
      <c r="G349">
        <f>IF(E349&gt;0,F349/E349,0)</f>
      </c>
      <c r="H349">
        <f>SUMPRODUCT(ROUND(G349*'Inputs'!$L$59:$L$70,2))</f>
      </c>
      <c r="I349">
        <f>SUMPRODUCT(ROUND(G349*'Inputs'!$S$22:$S$39,2))</f>
      </c>
      <c r="J349">
        <f>ROUND(F349-H349-I349,2)</f>
      </c>
      <c r="K349">
        <f>ROUND('Workings'!$C$60+D349-'Workings'!$C$46+J349,2)</f>
      </c>
      <c r="L349">
        <f>'Workings'!$C$63+C349</f>
      </c>
      <c r="M349">
        <f>ROUND(K349-L349,2)</f>
      </c>
    </row>
    <row r="350" spans="3:13" x14ac:dyDescent="0.25">
      <c r="C350">
        <f>IF(ABS(M349-M348)&lt;0.005,C349+MAX(0,M349)/(1-('Inputs'!$C$108/100*(1+'Inputs'!$C$109/100))),MAX(0,C349-M349*(C349-C348)/(M349-M348)))</f>
      </c>
      <c r="D350">
        <f>ROUND(('Inputs'!$C$108/100*(1+'Inputs'!$C$109/100))*('Workings'!$C$21+C350),2)+'Workings'!$C$28</f>
      </c>
      <c r="E350">
        <f>ROUND('Workings'!$C$33+IF('Inputs'!$C$14="Spouse",0,C350-D350),2)</f>
      </c>
      <c r="F350">
        <f>ROUND(IF(MAX(0,E350-'Inputs'!$C$115)&lt;='Inputs'!$C$117,MAX(0,E350-'Inputs'!$C$115)*'Inputs'!$C$116/100,'Inputs'!$C$117*'Inputs'!$C$116/100+(MAX(0,E350-'Inputs'!$C$115)-'Inputs'!$C$117)*'Inputs'!$C$118/100),2)</f>
      </c>
      <c r="G350">
        <f>IF(E350&gt;0,F350/E350,0)</f>
      </c>
      <c r="H350">
        <f>SUMPRODUCT(ROUND(G350*'Inputs'!$L$59:$L$70,2))</f>
      </c>
      <c r="I350">
        <f>SUMPRODUCT(ROUND(G350*'Inputs'!$S$22:$S$39,2))</f>
      </c>
      <c r="J350">
        <f>ROUND(F350-H350-I350,2)</f>
      </c>
      <c r="K350">
        <f>ROUND('Workings'!$C$60+D350-'Workings'!$C$46+J350,2)</f>
      </c>
      <c r="L350">
        <f>'Workings'!$C$63+C350</f>
      </c>
      <c r="M350">
        <f>ROUND(K350-L350,2)</f>
      </c>
    </row>
    <row r="351" spans="3:13" x14ac:dyDescent="0.25">
      <c r="C351">
        <f>IF(ABS(M350-M349)&lt;0.005,C350+MAX(0,M350)/(1-('Inputs'!$C$108/100*(1+'Inputs'!$C$109/100))),MAX(0,C350-M350*(C350-C349)/(M350-M349)))</f>
      </c>
      <c r="D351">
        <f>ROUND(('Inputs'!$C$108/100*(1+'Inputs'!$C$109/100))*('Workings'!$C$21+C351),2)+'Workings'!$C$28</f>
      </c>
      <c r="E351">
        <f>ROUND('Workings'!$C$33+IF('Inputs'!$C$14="Spouse",0,C351-D351),2)</f>
      </c>
      <c r="F351">
        <f>ROUND(IF(MAX(0,E351-'Inputs'!$C$115)&lt;='Inputs'!$C$117,MAX(0,E351-'Inputs'!$C$115)*'Inputs'!$C$116/100,'Inputs'!$C$117*'Inputs'!$C$116/100+(MAX(0,E351-'Inputs'!$C$115)-'Inputs'!$C$117)*'Inputs'!$C$118/100),2)</f>
      </c>
      <c r="G351">
        <f>IF(E351&gt;0,F351/E351,0)</f>
      </c>
      <c r="H351">
        <f>SUMPRODUCT(ROUND(G351*'Inputs'!$L$59:$L$70,2))</f>
      </c>
      <c r="I351">
        <f>SUMPRODUCT(ROUND(G351*'Inputs'!$S$22:$S$39,2))</f>
      </c>
      <c r="J351">
        <f>ROUND(F351-H351-I351,2)</f>
      </c>
      <c r="K351">
        <f>ROUND('Workings'!$C$60+D351-'Workings'!$C$46+J351,2)</f>
      </c>
      <c r="L351">
        <f>'Workings'!$C$63+C351</f>
      </c>
      <c r="M351">
        <f>ROUND(K351-L351,2)</f>
      </c>
    </row>
    <row r="352" spans="3:13" x14ac:dyDescent="0.25">
      <c r="C352">
        <f>IF(ABS(M351-M350)&lt;0.005,C351+MAX(0,M351)/(1-('Inputs'!$C$108/100*(1+'Inputs'!$C$109/100))),MAX(0,C351-M351*(C351-C350)/(M351-M350)))</f>
      </c>
      <c r="D352">
        <f>ROUND(('Inputs'!$C$108/100*(1+'Inputs'!$C$109/100))*('Workings'!$C$21+C352),2)+'Workings'!$C$28</f>
      </c>
      <c r="E352">
        <f>ROUND('Workings'!$C$33+IF('Inputs'!$C$14="Spouse",0,C352-D352),2)</f>
      </c>
      <c r="F352">
        <f>ROUND(IF(MAX(0,E352-'Inputs'!$C$115)&lt;='Inputs'!$C$117,MAX(0,E352-'Inputs'!$C$115)*'Inputs'!$C$116/100,'Inputs'!$C$117*'Inputs'!$C$116/100+(MAX(0,E352-'Inputs'!$C$115)-'Inputs'!$C$117)*'Inputs'!$C$118/100),2)</f>
      </c>
      <c r="G352">
        <f>IF(E352&gt;0,F352/E352,0)</f>
      </c>
      <c r="H352">
        <f>SUMPRODUCT(ROUND(G352*'Inputs'!$L$59:$L$70,2))</f>
      </c>
      <c r="I352">
        <f>SUMPRODUCT(ROUND(G352*'Inputs'!$S$22:$S$39,2))</f>
      </c>
      <c r="J352">
        <f>ROUND(F352-H352-I352,2)</f>
      </c>
      <c r="K352">
        <f>ROUND('Workings'!$C$60+D352-'Workings'!$C$46+J352,2)</f>
      </c>
      <c r="L352">
        <f>'Workings'!$C$63+C352</f>
      </c>
      <c r="M352">
        <f>ROUND(K352-L352,2)</f>
      </c>
    </row>
    <row r="353" spans="3:13" x14ac:dyDescent="0.25">
      <c r="C353">
        <f>IF(ABS(M352-M351)&lt;0.005,C352+MAX(0,M352)/(1-('Inputs'!$C$108/100*(1+'Inputs'!$C$109/100))),MAX(0,C352-M352*(C352-C351)/(M352-M351)))</f>
      </c>
      <c r="D353">
        <f>ROUND(('Inputs'!$C$108/100*(1+'Inputs'!$C$109/100))*('Workings'!$C$21+C353),2)+'Workings'!$C$28</f>
      </c>
      <c r="E353">
        <f>ROUND('Workings'!$C$33+IF('Inputs'!$C$14="Spouse",0,C353-D353),2)</f>
      </c>
      <c r="F353">
        <f>ROUND(IF(MAX(0,E353-'Inputs'!$C$115)&lt;='Inputs'!$C$117,MAX(0,E353-'Inputs'!$C$115)*'Inputs'!$C$116/100,'Inputs'!$C$117*'Inputs'!$C$116/100+(MAX(0,E353-'Inputs'!$C$115)-'Inputs'!$C$117)*'Inputs'!$C$118/100),2)</f>
      </c>
      <c r="G353">
        <f>IF(E353&gt;0,F353/E353,0)</f>
      </c>
      <c r="H353">
        <f>SUMPRODUCT(ROUND(G353*'Inputs'!$L$59:$L$70,2))</f>
      </c>
      <c r="I353">
        <f>SUMPRODUCT(ROUND(G353*'Inputs'!$S$22:$S$39,2))</f>
      </c>
      <c r="J353">
        <f>ROUND(F353-H353-I353,2)</f>
      </c>
      <c r="K353">
        <f>ROUND('Workings'!$C$60+D353-'Workings'!$C$46+J353,2)</f>
      </c>
      <c r="L353">
        <f>'Workings'!$C$63+C353</f>
      </c>
      <c r="M353">
        <f>ROUND(K353-L353,2)</f>
      </c>
    </row>
    <row r="354" spans="3:13" x14ac:dyDescent="0.25">
      <c r="C354">
        <f>IF(ABS(M353-M352)&lt;0.005,C353+MAX(0,M353)/(1-('Inputs'!$C$108/100*(1+'Inputs'!$C$109/100))),MAX(0,C353-M353*(C353-C352)/(M353-M352)))</f>
      </c>
      <c r="D354">
        <f>ROUND(('Inputs'!$C$108/100*(1+'Inputs'!$C$109/100))*('Workings'!$C$21+C354),2)+'Workings'!$C$28</f>
      </c>
      <c r="E354">
        <f>ROUND('Workings'!$C$33+IF('Inputs'!$C$14="Spouse",0,C354-D354),2)</f>
      </c>
      <c r="F354">
        <f>ROUND(IF(MAX(0,E354-'Inputs'!$C$115)&lt;='Inputs'!$C$117,MAX(0,E354-'Inputs'!$C$115)*'Inputs'!$C$116/100,'Inputs'!$C$117*'Inputs'!$C$116/100+(MAX(0,E354-'Inputs'!$C$115)-'Inputs'!$C$117)*'Inputs'!$C$118/100),2)</f>
      </c>
      <c r="G354">
        <f>IF(E354&gt;0,F354/E354,0)</f>
      </c>
      <c r="H354">
        <f>SUMPRODUCT(ROUND(G354*'Inputs'!$L$59:$L$70,2))</f>
      </c>
      <c r="I354">
        <f>SUMPRODUCT(ROUND(G354*'Inputs'!$S$22:$S$39,2))</f>
      </c>
      <c r="J354">
        <f>ROUND(F354-H354-I354,2)</f>
      </c>
      <c r="K354">
        <f>ROUND('Workings'!$C$60+D354-'Workings'!$C$46+J354,2)</f>
      </c>
      <c r="L354">
        <f>'Workings'!$C$63+C354</f>
      </c>
      <c r="M354">
        <f>ROUND(K354-L354,2)</f>
      </c>
    </row>
    <row r="355" spans="3:13" x14ac:dyDescent="0.25">
      <c r="C355">
        <f>IF(ABS(M354-M353)&lt;0.005,C354+MAX(0,M354)/(1-('Inputs'!$C$108/100*(1+'Inputs'!$C$109/100))),MAX(0,C354-M354*(C354-C353)/(M354-M353)))</f>
      </c>
      <c r="D355">
        <f>ROUND(('Inputs'!$C$108/100*(1+'Inputs'!$C$109/100))*('Workings'!$C$21+C355),2)+'Workings'!$C$28</f>
      </c>
      <c r="E355">
        <f>ROUND('Workings'!$C$33+IF('Inputs'!$C$14="Spouse",0,C355-D355),2)</f>
      </c>
      <c r="F355">
        <f>ROUND(IF(MAX(0,E355-'Inputs'!$C$115)&lt;='Inputs'!$C$117,MAX(0,E355-'Inputs'!$C$115)*'Inputs'!$C$116/100,'Inputs'!$C$117*'Inputs'!$C$116/100+(MAX(0,E355-'Inputs'!$C$115)-'Inputs'!$C$117)*'Inputs'!$C$118/100),2)</f>
      </c>
      <c r="G355">
        <f>IF(E355&gt;0,F355/E355,0)</f>
      </c>
      <c r="H355">
        <f>SUMPRODUCT(ROUND(G355*'Inputs'!$L$59:$L$70,2))</f>
      </c>
      <c r="I355">
        <f>SUMPRODUCT(ROUND(G355*'Inputs'!$S$22:$S$39,2))</f>
      </c>
      <c r="J355">
        <f>ROUND(F355-H355-I355,2)</f>
      </c>
      <c r="K355">
        <f>ROUND('Workings'!$C$60+D355-'Workings'!$C$46+J355,2)</f>
      </c>
      <c r="L355">
        <f>'Workings'!$C$63+C355</f>
      </c>
      <c r="M355">
        <f>ROUND(K355-L355,2)</f>
      </c>
    </row>
    <row r="356" spans="3:13" x14ac:dyDescent="0.25">
      <c r="C356">
        <f>IF(ABS(M355-M354)&lt;0.005,C355+MAX(0,M355)/(1-('Inputs'!$C$108/100*(1+'Inputs'!$C$109/100))),MAX(0,C355-M355*(C355-C354)/(M355-M354)))</f>
      </c>
      <c r="D356">
        <f>ROUND(('Inputs'!$C$108/100*(1+'Inputs'!$C$109/100))*('Workings'!$C$21+C356),2)+'Workings'!$C$28</f>
      </c>
      <c r="E356">
        <f>ROUND('Workings'!$C$33+IF('Inputs'!$C$14="Spouse",0,C356-D356),2)</f>
      </c>
      <c r="F356">
        <f>ROUND(IF(MAX(0,E356-'Inputs'!$C$115)&lt;='Inputs'!$C$117,MAX(0,E356-'Inputs'!$C$115)*'Inputs'!$C$116/100,'Inputs'!$C$117*'Inputs'!$C$116/100+(MAX(0,E356-'Inputs'!$C$115)-'Inputs'!$C$117)*'Inputs'!$C$118/100),2)</f>
      </c>
      <c r="G356">
        <f>IF(E356&gt;0,F356/E356,0)</f>
      </c>
      <c r="H356">
        <f>SUMPRODUCT(ROUND(G356*'Inputs'!$L$59:$L$70,2))</f>
      </c>
      <c r="I356">
        <f>SUMPRODUCT(ROUND(G356*'Inputs'!$S$22:$S$39,2))</f>
      </c>
      <c r="J356">
        <f>ROUND(F356-H356-I356,2)</f>
      </c>
      <c r="K356">
        <f>ROUND('Workings'!$C$60+D356-'Workings'!$C$46+J356,2)</f>
      </c>
      <c r="L356">
        <f>'Workings'!$C$63+C356</f>
      </c>
      <c r="M356">
        <f>ROUND(K356-L356,2)</f>
      </c>
    </row>
    <row r="357" spans="3:13" x14ac:dyDescent="0.25">
      <c r="C357">
        <f>IF(ABS(M356-M355)&lt;0.005,C356+MAX(0,M356)/(1-('Inputs'!$C$108/100*(1+'Inputs'!$C$109/100))),MAX(0,C356-M356*(C356-C355)/(M356-M355)))</f>
      </c>
      <c r="D357">
        <f>ROUND(('Inputs'!$C$108/100*(1+'Inputs'!$C$109/100))*('Workings'!$C$21+C357),2)+'Workings'!$C$28</f>
      </c>
      <c r="E357">
        <f>ROUND('Workings'!$C$33+IF('Inputs'!$C$14="Spouse",0,C357-D357),2)</f>
      </c>
      <c r="F357">
        <f>ROUND(IF(MAX(0,E357-'Inputs'!$C$115)&lt;='Inputs'!$C$117,MAX(0,E357-'Inputs'!$C$115)*'Inputs'!$C$116/100,'Inputs'!$C$117*'Inputs'!$C$116/100+(MAX(0,E357-'Inputs'!$C$115)-'Inputs'!$C$117)*'Inputs'!$C$118/100),2)</f>
      </c>
      <c r="G357">
        <f>IF(E357&gt;0,F357/E357,0)</f>
      </c>
      <c r="H357">
        <f>SUMPRODUCT(ROUND(G357*'Inputs'!$L$59:$L$70,2))</f>
      </c>
      <c r="I357">
        <f>SUMPRODUCT(ROUND(G357*'Inputs'!$S$22:$S$39,2))</f>
      </c>
      <c r="J357">
        <f>ROUND(F357-H357-I357,2)</f>
      </c>
      <c r="K357">
        <f>ROUND('Workings'!$C$60+D357-'Workings'!$C$46+J357,2)</f>
      </c>
      <c r="L357">
        <f>'Workings'!$C$63+C357</f>
      </c>
      <c r="M357">
        <f>ROUND(K357-L357,2)</f>
      </c>
    </row>
    <row r="358" spans="3:13" x14ac:dyDescent="0.25">
      <c r="C358">
        <f>IF(ABS(M357-M356)&lt;0.005,C357+MAX(0,M357)/(1-('Inputs'!$C$108/100*(1+'Inputs'!$C$109/100))),MAX(0,C357-M357*(C357-C356)/(M357-M356)))</f>
      </c>
      <c r="D358">
        <f>ROUND(('Inputs'!$C$108/100*(1+'Inputs'!$C$109/100))*('Workings'!$C$21+C358),2)+'Workings'!$C$28</f>
      </c>
      <c r="E358">
        <f>ROUND('Workings'!$C$33+IF('Inputs'!$C$14="Spouse",0,C358-D358),2)</f>
      </c>
      <c r="F358">
        <f>ROUND(IF(MAX(0,E358-'Inputs'!$C$115)&lt;='Inputs'!$C$117,MAX(0,E358-'Inputs'!$C$115)*'Inputs'!$C$116/100,'Inputs'!$C$117*'Inputs'!$C$116/100+(MAX(0,E358-'Inputs'!$C$115)-'Inputs'!$C$117)*'Inputs'!$C$118/100),2)</f>
      </c>
      <c r="G358">
        <f>IF(E358&gt;0,F358/E358,0)</f>
      </c>
      <c r="H358">
        <f>SUMPRODUCT(ROUND(G358*'Inputs'!$L$59:$L$70,2))</f>
      </c>
      <c r="I358">
        <f>SUMPRODUCT(ROUND(G358*'Inputs'!$S$22:$S$39,2))</f>
      </c>
      <c r="J358">
        <f>ROUND(F358-H358-I358,2)</f>
      </c>
      <c r="K358">
        <f>ROUND('Workings'!$C$60+D358-'Workings'!$C$46+J358,2)</f>
      </c>
      <c r="L358">
        <f>'Workings'!$C$63+C358</f>
      </c>
      <c r="M358">
        <f>ROUND(K358-L358,2)</f>
      </c>
    </row>
    <row r="359" spans="3:13" x14ac:dyDescent="0.25">
      <c r="C359">
        <f>IF(ABS(M358-M357)&lt;0.005,C358+MAX(0,M358)/(1-('Inputs'!$C$108/100*(1+'Inputs'!$C$109/100))),MAX(0,C358-M358*(C358-C357)/(M358-M357)))</f>
      </c>
      <c r="D359">
        <f>ROUND(('Inputs'!$C$108/100*(1+'Inputs'!$C$109/100))*('Workings'!$C$21+C359),2)+'Workings'!$C$28</f>
      </c>
      <c r="E359">
        <f>ROUND('Workings'!$C$33+IF('Inputs'!$C$14="Spouse",0,C359-D359),2)</f>
      </c>
      <c r="F359">
        <f>ROUND(IF(MAX(0,E359-'Inputs'!$C$115)&lt;='Inputs'!$C$117,MAX(0,E359-'Inputs'!$C$115)*'Inputs'!$C$116/100,'Inputs'!$C$117*'Inputs'!$C$116/100+(MAX(0,E359-'Inputs'!$C$115)-'Inputs'!$C$117)*'Inputs'!$C$118/100),2)</f>
      </c>
      <c r="G359">
        <f>IF(E359&gt;0,F359/E359,0)</f>
      </c>
      <c r="H359">
        <f>SUMPRODUCT(ROUND(G359*'Inputs'!$L$59:$L$70,2))</f>
      </c>
      <c r="I359">
        <f>SUMPRODUCT(ROUND(G359*'Inputs'!$S$22:$S$39,2))</f>
      </c>
      <c r="J359">
        <f>ROUND(F359-H359-I359,2)</f>
      </c>
      <c r="K359">
        <f>ROUND('Workings'!$C$60+D359-'Workings'!$C$46+J359,2)</f>
      </c>
      <c r="L359">
        <f>'Workings'!$C$63+C359</f>
      </c>
      <c r="M359">
        <f>ROUND(K359-L359,2)</f>
      </c>
    </row>
    <row r="360" spans="3:13" x14ac:dyDescent="0.25">
      <c r="C360">
        <f>IF(ABS(M359-M358)&lt;0.005,C359+MAX(0,M359)/(1-('Inputs'!$C$108/100*(1+'Inputs'!$C$109/100))),MAX(0,C359-M359*(C359-C358)/(M359-M358)))</f>
      </c>
      <c r="D360">
        <f>ROUND(('Inputs'!$C$108/100*(1+'Inputs'!$C$109/100))*('Workings'!$C$21+C360),2)+'Workings'!$C$28</f>
      </c>
      <c r="E360">
        <f>ROUND('Workings'!$C$33+IF('Inputs'!$C$14="Spouse",0,C360-D360),2)</f>
      </c>
      <c r="F360">
        <f>ROUND(IF(MAX(0,E360-'Inputs'!$C$115)&lt;='Inputs'!$C$117,MAX(0,E360-'Inputs'!$C$115)*'Inputs'!$C$116/100,'Inputs'!$C$117*'Inputs'!$C$116/100+(MAX(0,E360-'Inputs'!$C$115)-'Inputs'!$C$117)*'Inputs'!$C$118/100),2)</f>
      </c>
      <c r="G360">
        <f>IF(E360&gt;0,F360/E360,0)</f>
      </c>
      <c r="H360">
        <f>SUMPRODUCT(ROUND(G360*'Inputs'!$L$59:$L$70,2))</f>
      </c>
      <c r="I360">
        <f>SUMPRODUCT(ROUND(G360*'Inputs'!$S$22:$S$39,2))</f>
      </c>
      <c r="J360">
        <f>ROUND(F360-H360-I360,2)</f>
      </c>
      <c r="K360">
        <f>ROUND('Workings'!$C$60+D360-'Workings'!$C$46+J360,2)</f>
      </c>
      <c r="L360">
        <f>'Workings'!$C$63+C360</f>
      </c>
      <c r="M360">
        <f>ROUND(K360-L360,2)</f>
      </c>
    </row>
    <row r="361" spans="3:13" x14ac:dyDescent="0.25">
      <c r="C361">
        <f>IF(ABS(M360-M359)&lt;0.005,C360+MAX(0,M360)/(1-('Inputs'!$C$108/100*(1+'Inputs'!$C$109/100))),MAX(0,C360-M360*(C360-C359)/(M360-M359)))</f>
      </c>
      <c r="D361">
        <f>ROUND(('Inputs'!$C$108/100*(1+'Inputs'!$C$109/100))*('Workings'!$C$21+C361),2)+'Workings'!$C$28</f>
      </c>
      <c r="E361">
        <f>ROUND('Workings'!$C$33+IF('Inputs'!$C$14="Spouse",0,C361-D361),2)</f>
      </c>
      <c r="F361">
        <f>ROUND(IF(MAX(0,E361-'Inputs'!$C$115)&lt;='Inputs'!$C$117,MAX(0,E361-'Inputs'!$C$115)*'Inputs'!$C$116/100,'Inputs'!$C$117*'Inputs'!$C$116/100+(MAX(0,E361-'Inputs'!$C$115)-'Inputs'!$C$117)*'Inputs'!$C$118/100),2)</f>
      </c>
      <c r="G361">
        <f>IF(E361&gt;0,F361/E361,0)</f>
      </c>
      <c r="H361">
        <f>SUMPRODUCT(ROUND(G361*'Inputs'!$L$59:$L$70,2))</f>
      </c>
      <c r="I361">
        <f>SUMPRODUCT(ROUND(G361*'Inputs'!$S$22:$S$39,2))</f>
      </c>
      <c r="J361">
        <f>ROUND(F361-H361-I361,2)</f>
      </c>
      <c r="K361">
        <f>ROUND('Workings'!$C$60+D361-'Workings'!$C$46+J361,2)</f>
      </c>
      <c r="L361">
        <f>'Workings'!$C$63+C361</f>
      </c>
      <c r="M361">
        <f>ROUND(K361-L361,2)</f>
      </c>
    </row>
    <row r="362" spans="3:13" x14ac:dyDescent="0.25">
      <c r="C362">
        <f>IF(ABS(M361-M360)&lt;0.005,C361+MAX(0,M361)/(1-('Inputs'!$C$108/100*(1+'Inputs'!$C$109/100))),MAX(0,C361-M361*(C361-C360)/(M361-M360)))</f>
      </c>
      <c r="D362">
        <f>ROUND(('Inputs'!$C$108/100*(1+'Inputs'!$C$109/100))*('Workings'!$C$21+C362),2)+'Workings'!$C$28</f>
      </c>
      <c r="E362">
        <f>ROUND('Workings'!$C$33+IF('Inputs'!$C$14="Spouse",0,C362-D362),2)</f>
      </c>
      <c r="F362">
        <f>ROUND(IF(MAX(0,E362-'Inputs'!$C$115)&lt;='Inputs'!$C$117,MAX(0,E362-'Inputs'!$C$115)*'Inputs'!$C$116/100,'Inputs'!$C$117*'Inputs'!$C$116/100+(MAX(0,E362-'Inputs'!$C$115)-'Inputs'!$C$117)*'Inputs'!$C$118/100),2)</f>
      </c>
      <c r="G362">
        <f>IF(E362&gt;0,F362/E362,0)</f>
      </c>
      <c r="H362">
        <f>SUMPRODUCT(ROUND(G362*'Inputs'!$L$59:$L$70,2))</f>
      </c>
      <c r="I362">
        <f>SUMPRODUCT(ROUND(G362*'Inputs'!$S$22:$S$39,2))</f>
      </c>
      <c r="J362">
        <f>ROUND(F362-H362-I362,2)</f>
      </c>
      <c r="K362">
        <f>ROUND('Workings'!$C$60+D362-'Workings'!$C$46+J362,2)</f>
      </c>
      <c r="L362">
        <f>'Workings'!$C$63+C362</f>
      </c>
      <c r="M362">
        <f>ROUND(K362-L362,2)</f>
      </c>
    </row>
    <row r="363" spans="3:13" x14ac:dyDescent="0.25">
      <c r="C363">
        <f>IF(ABS(M362-M361)&lt;0.005,C362+MAX(0,M362)/(1-('Inputs'!$C$108/100*(1+'Inputs'!$C$109/100))),MAX(0,C362-M362*(C362-C361)/(M362-M361)))</f>
      </c>
      <c r="D363">
        <f>ROUND(('Inputs'!$C$108/100*(1+'Inputs'!$C$109/100))*('Workings'!$C$21+C363),2)+'Workings'!$C$28</f>
      </c>
      <c r="E363">
        <f>ROUND('Workings'!$C$33+IF('Inputs'!$C$14="Spouse",0,C363-D363),2)</f>
      </c>
      <c r="F363">
        <f>ROUND(IF(MAX(0,E363-'Inputs'!$C$115)&lt;='Inputs'!$C$117,MAX(0,E363-'Inputs'!$C$115)*'Inputs'!$C$116/100,'Inputs'!$C$117*'Inputs'!$C$116/100+(MAX(0,E363-'Inputs'!$C$115)-'Inputs'!$C$117)*'Inputs'!$C$118/100),2)</f>
      </c>
      <c r="G363">
        <f>IF(E363&gt;0,F363/E363,0)</f>
      </c>
      <c r="H363">
        <f>SUMPRODUCT(ROUND(G363*'Inputs'!$L$59:$L$70,2))</f>
      </c>
      <c r="I363">
        <f>SUMPRODUCT(ROUND(G363*'Inputs'!$S$22:$S$39,2))</f>
      </c>
      <c r="J363">
        <f>ROUND(F363-H363-I363,2)</f>
      </c>
      <c r="K363">
        <f>ROUND('Workings'!$C$60+D363-'Workings'!$C$46+J363,2)</f>
      </c>
      <c r="L363">
        <f>'Workings'!$C$63+C363</f>
      </c>
      <c r="M363">
        <f>ROUND(K363-L363,2)</f>
      </c>
    </row>
    <row r="364" spans="3:13" x14ac:dyDescent="0.25">
      <c r="C364">
        <f>IF(ABS(M363-M362)&lt;0.005,C363+MAX(0,M363)/(1-('Inputs'!$C$108/100*(1+'Inputs'!$C$109/100))),MAX(0,C363-M363*(C363-C362)/(M363-M362)))</f>
      </c>
      <c r="D364">
        <f>ROUND(('Inputs'!$C$108/100*(1+'Inputs'!$C$109/100))*('Workings'!$C$21+C364),2)+'Workings'!$C$28</f>
      </c>
      <c r="E364">
        <f>ROUND('Workings'!$C$33+IF('Inputs'!$C$14="Spouse",0,C364-D364),2)</f>
      </c>
      <c r="F364">
        <f>ROUND(IF(MAX(0,E364-'Inputs'!$C$115)&lt;='Inputs'!$C$117,MAX(0,E364-'Inputs'!$C$115)*'Inputs'!$C$116/100,'Inputs'!$C$117*'Inputs'!$C$116/100+(MAX(0,E364-'Inputs'!$C$115)-'Inputs'!$C$117)*'Inputs'!$C$118/100),2)</f>
      </c>
      <c r="G364">
        <f>IF(E364&gt;0,F364/E364,0)</f>
      </c>
      <c r="H364">
        <f>SUMPRODUCT(ROUND(G364*'Inputs'!$L$59:$L$70,2))</f>
      </c>
      <c r="I364">
        <f>SUMPRODUCT(ROUND(G364*'Inputs'!$S$22:$S$39,2))</f>
      </c>
      <c r="J364">
        <f>ROUND(F364-H364-I364,2)</f>
      </c>
      <c r="K364">
        <f>ROUND('Workings'!$C$60+D364-'Workings'!$C$46+J364,2)</f>
      </c>
      <c r="L364">
        <f>'Workings'!$C$63+C364</f>
      </c>
      <c r="M364">
        <f>ROUND(K364-L364,2)</f>
      </c>
    </row>
    <row r="365" spans="3:13" x14ac:dyDescent="0.25">
      <c r="C365">
        <f>IF(ABS(M364-M363)&lt;0.005,C364+MAX(0,M364)/(1-('Inputs'!$C$108/100*(1+'Inputs'!$C$109/100))),MAX(0,C364-M364*(C364-C363)/(M364-M363)))</f>
      </c>
      <c r="D365">
        <f>ROUND(('Inputs'!$C$108/100*(1+'Inputs'!$C$109/100))*('Workings'!$C$21+C365),2)+'Workings'!$C$28</f>
      </c>
      <c r="E365">
        <f>ROUND('Workings'!$C$33+IF('Inputs'!$C$14="Spouse",0,C365-D365),2)</f>
      </c>
      <c r="F365">
        <f>ROUND(IF(MAX(0,E365-'Inputs'!$C$115)&lt;='Inputs'!$C$117,MAX(0,E365-'Inputs'!$C$115)*'Inputs'!$C$116/100,'Inputs'!$C$117*'Inputs'!$C$116/100+(MAX(0,E365-'Inputs'!$C$115)-'Inputs'!$C$117)*'Inputs'!$C$118/100),2)</f>
      </c>
      <c r="G365">
        <f>IF(E365&gt;0,F365/E365,0)</f>
      </c>
      <c r="H365">
        <f>SUMPRODUCT(ROUND(G365*'Inputs'!$L$59:$L$70,2))</f>
      </c>
      <c r="I365">
        <f>SUMPRODUCT(ROUND(G365*'Inputs'!$S$22:$S$39,2))</f>
      </c>
      <c r="J365">
        <f>ROUND(F365-H365-I365,2)</f>
      </c>
      <c r="K365">
        <f>ROUND('Workings'!$C$60+D365-'Workings'!$C$46+J365,2)</f>
      </c>
      <c r="L365">
        <f>'Workings'!$C$63+C365</f>
      </c>
      <c r="M365">
        <f>ROUND(K365-L365,2)</f>
      </c>
    </row>
    <row r="366" spans="3:13" x14ac:dyDescent="0.25">
      <c r="C366">
        <f>IF(ABS(M365-M364)&lt;0.005,C365+MAX(0,M365)/(1-('Inputs'!$C$108/100*(1+'Inputs'!$C$109/100))),MAX(0,C365-M365*(C365-C364)/(M365-M364)))</f>
      </c>
      <c r="D366">
        <f>ROUND(('Inputs'!$C$108/100*(1+'Inputs'!$C$109/100))*('Workings'!$C$21+C366),2)+'Workings'!$C$28</f>
      </c>
      <c r="E366">
        <f>ROUND('Workings'!$C$33+IF('Inputs'!$C$14="Spouse",0,C366-D366),2)</f>
      </c>
      <c r="F366">
        <f>ROUND(IF(MAX(0,E366-'Inputs'!$C$115)&lt;='Inputs'!$C$117,MAX(0,E366-'Inputs'!$C$115)*'Inputs'!$C$116/100,'Inputs'!$C$117*'Inputs'!$C$116/100+(MAX(0,E366-'Inputs'!$C$115)-'Inputs'!$C$117)*'Inputs'!$C$118/100),2)</f>
      </c>
      <c r="G366">
        <f>IF(E366&gt;0,F366/E366,0)</f>
      </c>
      <c r="H366">
        <f>SUMPRODUCT(ROUND(G366*'Inputs'!$L$59:$L$70,2))</f>
      </c>
      <c r="I366">
        <f>SUMPRODUCT(ROUND(G366*'Inputs'!$S$22:$S$39,2))</f>
      </c>
      <c r="J366">
        <f>ROUND(F366-H366-I366,2)</f>
      </c>
      <c r="K366">
        <f>ROUND('Workings'!$C$60+D366-'Workings'!$C$46+J366,2)</f>
      </c>
      <c r="L366">
        <f>'Workings'!$C$63+C366</f>
      </c>
      <c r="M366">
        <f>ROUND(K366-L366,2)</f>
      </c>
    </row>
    <row r="367" spans="3:13" x14ac:dyDescent="0.25">
      <c r="C367">
        <f>IF(ABS(M366-M365)&lt;0.005,C366+MAX(0,M366)/(1-('Inputs'!$C$108/100*(1+'Inputs'!$C$109/100))),MAX(0,C366-M366*(C366-C365)/(M366-M365)))</f>
      </c>
      <c r="D367">
        <f>ROUND(('Inputs'!$C$108/100*(1+'Inputs'!$C$109/100))*('Workings'!$C$21+C367),2)+'Workings'!$C$28</f>
      </c>
      <c r="E367">
        <f>ROUND('Workings'!$C$33+IF('Inputs'!$C$14="Spouse",0,C367-D367),2)</f>
      </c>
      <c r="F367">
        <f>ROUND(IF(MAX(0,E367-'Inputs'!$C$115)&lt;='Inputs'!$C$117,MAX(0,E367-'Inputs'!$C$115)*'Inputs'!$C$116/100,'Inputs'!$C$117*'Inputs'!$C$116/100+(MAX(0,E367-'Inputs'!$C$115)-'Inputs'!$C$117)*'Inputs'!$C$118/100),2)</f>
      </c>
      <c r="G367">
        <f>IF(E367&gt;0,F367/E367,0)</f>
      </c>
      <c r="H367">
        <f>SUMPRODUCT(ROUND(G367*'Inputs'!$L$59:$L$70,2))</f>
      </c>
      <c r="I367">
        <f>SUMPRODUCT(ROUND(G367*'Inputs'!$S$22:$S$39,2))</f>
      </c>
      <c r="J367">
        <f>ROUND(F367-H367-I367,2)</f>
      </c>
      <c r="K367">
        <f>ROUND('Workings'!$C$60+D367-'Workings'!$C$46+J367,2)</f>
      </c>
      <c r="L367">
        <f>'Workings'!$C$63+C367</f>
      </c>
      <c r="M367">
        <f>ROUND(K367-L367,2)</f>
      </c>
    </row>
    <row r="368" spans="3:13" x14ac:dyDescent="0.25">
      <c r="C368">
        <f>IF(ABS(M367-M366)&lt;0.005,C367+MAX(0,M367)/(1-('Inputs'!$C$108/100*(1+'Inputs'!$C$109/100))),MAX(0,C367-M367*(C367-C366)/(M367-M366)))</f>
      </c>
      <c r="D368">
        <f>ROUND(('Inputs'!$C$108/100*(1+'Inputs'!$C$109/100))*('Workings'!$C$21+C368),2)+'Workings'!$C$28</f>
      </c>
      <c r="E368">
        <f>ROUND('Workings'!$C$33+IF('Inputs'!$C$14="Spouse",0,C368-D368),2)</f>
      </c>
      <c r="F368">
        <f>ROUND(IF(MAX(0,E368-'Inputs'!$C$115)&lt;='Inputs'!$C$117,MAX(0,E368-'Inputs'!$C$115)*'Inputs'!$C$116/100,'Inputs'!$C$117*'Inputs'!$C$116/100+(MAX(0,E368-'Inputs'!$C$115)-'Inputs'!$C$117)*'Inputs'!$C$118/100),2)</f>
      </c>
      <c r="G368">
        <f>IF(E368&gt;0,F368/E368,0)</f>
      </c>
      <c r="H368">
        <f>SUMPRODUCT(ROUND(G368*'Inputs'!$L$59:$L$70,2))</f>
      </c>
      <c r="I368">
        <f>SUMPRODUCT(ROUND(G368*'Inputs'!$S$22:$S$39,2))</f>
      </c>
      <c r="J368">
        <f>ROUND(F368-H368-I368,2)</f>
      </c>
      <c r="K368">
        <f>ROUND('Workings'!$C$60+D368-'Workings'!$C$46+J368,2)</f>
      </c>
      <c r="L368">
        <f>'Workings'!$C$63+C368</f>
      </c>
      <c r="M368">
        <f>ROUND(K368-L368,2)</f>
      </c>
    </row>
    <row r="369" spans="3:13" x14ac:dyDescent="0.25">
      <c r="C369">
        <f>IF(ABS(M368-M367)&lt;0.005,C368+MAX(0,M368)/(1-('Inputs'!$C$108/100*(1+'Inputs'!$C$109/100))),MAX(0,C368-M368*(C368-C367)/(M368-M367)))</f>
      </c>
      <c r="D369">
        <f>ROUND(('Inputs'!$C$108/100*(1+'Inputs'!$C$109/100))*('Workings'!$C$21+C369),2)+'Workings'!$C$28</f>
      </c>
      <c r="E369">
        <f>ROUND('Workings'!$C$33+IF('Inputs'!$C$14="Spouse",0,C369-D369),2)</f>
      </c>
      <c r="F369">
        <f>ROUND(IF(MAX(0,E369-'Inputs'!$C$115)&lt;='Inputs'!$C$117,MAX(0,E369-'Inputs'!$C$115)*'Inputs'!$C$116/100,'Inputs'!$C$117*'Inputs'!$C$116/100+(MAX(0,E369-'Inputs'!$C$115)-'Inputs'!$C$117)*'Inputs'!$C$118/100),2)</f>
      </c>
      <c r="G369">
        <f>IF(E369&gt;0,F369/E369,0)</f>
      </c>
      <c r="H369">
        <f>SUMPRODUCT(ROUND(G369*'Inputs'!$L$59:$L$70,2))</f>
      </c>
      <c r="I369">
        <f>SUMPRODUCT(ROUND(G369*'Inputs'!$S$22:$S$39,2))</f>
      </c>
      <c r="J369">
        <f>ROUND(F369-H369-I369,2)</f>
      </c>
      <c r="K369">
        <f>ROUND('Workings'!$C$60+D369-'Workings'!$C$46+J369,2)</f>
      </c>
      <c r="L369">
        <f>'Workings'!$C$63+C369</f>
      </c>
      <c r="M369">
        <f>ROUND(K369-L369,2)</f>
      </c>
    </row>
    <row r="370" spans="2:2" x14ac:dyDescent="0.25">
      <c r="B370" t="s">
        <v>452</v>
      </c>
    </row>
    <row r="371" spans="3:13" x14ac:dyDescent="0.25">
      <c r="C371">
        <f>MAX(0,ROUND(C369,2)-0.02)</f>
      </c>
      <c r="D371">
        <f>ROUND(('Inputs'!$C$108/100*(1+'Inputs'!$C$109/100))*('Workings'!$C$21+C371),2)+'Workings'!$C$28</f>
      </c>
      <c r="E371">
        <f>ROUND('Workings'!$C$33+IF('Inputs'!$C$14="Spouse",0,C371-D371),2)</f>
      </c>
      <c r="F371">
        <f>ROUND(IF(MAX(0,E371-'Inputs'!$C$115)&lt;='Inputs'!$C$117,MAX(0,E371-'Inputs'!$C$115)*'Inputs'!$C$116/100,'Inputs'!$C$117*'Inputs'!$C$116/100+(MAX(0,E371-'Inputs'!$C$115)-'Inputs'!$C$117)*'Inputs'!$C$118/100),2)</f>
      </c>
      <c r="G371">
        <f>IF(E371&gt;0,F371/E371,0)</f>
      </c>
      <c r="H371">
        <f>SUMPRODUCT(ROUND(G371*'Inputs'!$L$59:$L$70,2))</f>
      </c>
      <c r="I371">
        <f>SUMPRODUCT(ROUND(G371*'Inputs'!$S$22:$S$39,2))</f>
      </c>
      <c r="J371">
        <f>ROUND(F371-H371-I371,2)</f>
      </c>
      <c r="K371">
        <f>ROUND('Workings'!$C$60+D371-'Workings'!$C$46+J371,2)</f>
      </c>
      <c r="L371">
        <f>'Workings'!$C$63+C371</f>
      </c>
      <c r="M371">
        <f>ROUND(K371-L371,2)</f>
      </c>
    </row>
    <row r="372" spans="3:13" x14ac:dyDescent="0.25">
      <c r="C372">
        <f>MAX(0,ROUND(C369,2)-0.01)</f>
      </c>
      <c r="D372">
        <f>ROUND(('Inputs'!$C$108/100*(1+'Inputs'!$C$109/100))*('Workings'!$C$21+C372),2)+'Workings'!$C$28</f>
      </c>
      <c r="E372">
        <f>ROUND('Workings'!$C$33+IF('Inputs'!$C$14="Spouse",0,C372-D372),2)</f>
      </c>
      <c r="F372">
        <f>ROUND(IF(MAX(0,E372-'Inputs'!$C$115)&lt;='Inputs'!$C$117,MAX(0,E372-'Inputs'!$C$115)*'Inputs'!$C$116/100,'Inputs'!$C$117*'Inputs'!$C$116/100+(MAX(0,E372-'Inputs'!$C$115)-'Inputs'!$C$117)*'Inputs'!$C$118/100),2)</f>
      </c>
      <c r="G372">
        <f>IF(E372&gt;0,F372/E372,0)</f>
      </c>
      <c r="H372">
        <f>SUMPRODUCT(ROUND(G372*'Inputs'!$L$59:$L$70,2))</f>
      </c>
      <c r="I372">
        <f>SUMPRODUCT(ROUND(G372*'Inputs'!$S$22:$S$39,2))</f>
      </c>
      <c r="J372">
        <f>ROUND(F372-H372-I372,2)</f>
      </c>
      <c r="K372">
        <f>ROUND('Workings'!$C$60+D372-'Workings'!$C$46+J372,2)</f>
      </c>
      <c r="L372">
        <f>'Workings'!$C$63+C372</f>
      </c>
      <c r="M372">
        <f>ROUND(K372-L372,2)</f>
      </c>
    </row>
    <row r="373" spans="3:13" x14ac:dyDescent="0.25">
      <c r="C373">
        <f>MAX(0,ROUND(C369,2)+0.00)</f>
      </c>
      <c r="D373">
        <f>ROUND(('Inputs'!$C$108/100*(1+'Inputs'!$C$109/100))*('Workings'!$C$21+C373),2)+'Workings'!$C$28</f>
      </c>
      <c r="E373">
        <f>ROUND('Workings'!$C$33+IF('Inputs'!$C$14="Spouse",0,C373-D373),2)</f>
      </c>
      <c r="F373">
        <f>ROUND(IF(MAX(0,E373-'Inputs'!$C$115)&lt;='Inputs'!$C$117,MAX(0,E373-'Inputs'!$C$115)*'Inputs'!$C$116/100,'Inputs'!$C$117*'Inputs'!$C$116/100+(MAX(0,E373-'Inputs'!$C$115)-'Inputs'!$C$117)*'Inputs'!$C$118/100),2)</f>
      </c>
      <c r="G373">
        <f>IF(E373&gt;0,F373/E373,0)</f>
      </c>
      <c r="H373">
        <f>SUMPRODUCT(ROUND(G373*'Inputs'!$L$59:$L$70,2))</f>
      </c>
      <c r="I373">
        <f>SUMPRODUCT(ROUND(G373*'Inputs'!$S$22:$S$39,2))</f>
      </c>
      <c r="J373">
        <f>ROUND(F373-H373-I373,2)</f>
      </c>
      <c r="K373">
        <f>ROUND('Workings'!$C$60+D373-'Workings'!$C$46+J373,2)</f>
      </c>
      <c r="L373">
        <f>'Workings'!$C$63+C373</f>
      </c>
      <c r="M373">
        <f>ROUND(K373-L373,2)</f>
      </c>
    </row>
    <row r="374" spans="3:13" x14ac:dyDescent="0.25">
      <c r="C374">
        <f>MAX(0,ROUND(C369,2)+0.01)</f>
      </c>
      <c r="D374">
        <f>ROUND(('Inputs'!$C$108/100*(1+'Inputs'!$C$109/100))*('Workings'!$C$21+C374),2)+'Workings'!$C$28</f>
      </c>
      <c r="E374">
        <f>ROUND('Workings'!$C$33+IF('Inputs'!$C$14="Spouse",0,C374-D374),2)</f>
      </c>
      <c r="F374">
        <f>ROUND(IF(MAX(0,E374-'Inputs'!$C$115)&lt;='Inputs'!$C$117,MAX(0,E374-'Inputs'!$C$115)*'Inputs'!$C$116/100,'Inputs'!$C$117*'Inputs'!$C$116/100+(MAX(0,E374-'Inputs'!$C$115)-'Inputs'!$C$117)*'Inputs'!$C$118/100),2)</f>
      </c>
      <c r="G374">
        <f>IF(E374&gt;0,F374/E374,0)</f>
      </c>
      <c r="H374">
        <f>SUMPRODUCT(ROUND(G374*'Inputs'!$L$59:$L$70,2))</f>
      </c>
      <c r="I374">
        <f>SUMPRODUCT(ROUND(G374*'Inputs'!$S$22:$S$39,2))</f>
      </c>
      <c r="J374">
        <f>ROUND(F374-H374-I374,2)</f>
      </c>
      <c r="K374">
        <f>ROUND('Workings'!$C$60+D374-'Workings'!$C$46+J374,2)</f>
      </c>
      <c r="L374">
        <f>'Workings'!$C$63+C374</f>
      </c>
      <c r="M374">
        <f>ROUND(K374-L374,2)</f>
      </c>
    </row>
    <row r="375" spans="3:13" x14ac:dyDescent="0.25">
      <c r="C375">
        <f>MAX(0,ROUND(C369,2)+0.02)</f>
      </c>
      <c r="D375">
        <f>ROUND(('Inputs'!$C$108/100*(1+'Inputs'!$C$109/100))*('Workings'!$C$21+C375),2)+'Workings'!$C$28</f>
      </c>
      <c r="E375">
        <f>ROUND('Workings'!$C$33+IF('Inputs'!$C$14="Spouse",0,C375-D375),2)</f>
      </c>
      <c r="F375">
        <f>ROUND(IF(MAX(0,E375-'Inputs'!$C$115)&lt;='Inputs'!$C$117,MAX(0,E375-'Inputs'!$C$115)*'Inputs'!$C$116/100,'Inputs'!$C$117*'Inputs'!$C$116/100+(MAX(0,E375-'Inputs'!$C$115)-'Inputs'!$C$117)*'Inputs'!$C$118/100),2)</f>
      </c>
      <c r="G375">
        <f>IF(E375&gt;0,F375/E375,0)</f>
      </c>
      <c r="H375">
        <f>SUMPRODUCT(ROUND(G375*'Inputs'!$L$59:$L$70,2))</f>
      </c>
      <c r="I375">
        <f>SUMPRODUCT(ROUND(G375*'Inputs'!$S$22:$S$39,2))</f>
      </c>
      <c r="J375">
        <f>ROUND(F375-H375-I375,2)</f>
      </c>
      <c r="K375">
        <f>ROUND('Workings'!$C$60+D375-'Workings'!$C$46+J375,2)</f>
      </c>
      <c r="L375">
        <f>'Workings'!$C$63+C375</f>
      </c>
      <c r="M375">
        <f>ROUND(K375-L375,2)</f>
      </c>
    </row>
    <row r="377" spans="2:3" x14ac:dyDescent="0.25">
      <c r="B377" t="s">
        <v>453</v>
      </c>
      <c r="C377">
        <f>IF(M340&lt;=0,0,IF(M371&lt;=0,C371,IF(M372&lt;=0,C372,IF(M373&lt;=0,C373,IF(M374&lt;=0,C374,C375)))))</f>
      </c>
    </row>
    <row r="378" spans="2:3" x14ac:dyDescent="0.25">
      <c r="B378" t="s">
        <v>454</v>
      </c>
      <c r="C378">
        <f>IF(M340&lt;=0,"Yes",IF(AND(M371&gt;0,OR(M372&lt;=0,M373&lt;=0,M374&lt;=0,M375&lt;=0)),"Yes","No"))</f>
      </c>
    </row>
  </sheetData>
  <sheetProtection sheet="1" formatRows="0"/>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S100"/>
  <sheetFormatPr defaultRowHeight="15" outlineLevelRow="0" outlineLevelCol="0" x14ac:dyDescent="55"/>
  <cols>
    <col min="1" max="1" width="2" customWidth="1"/>
    <col min="2" max="2" width="28" customWidth="1"/>
  </cols>
  <sheetData>
    <row r="2" spans="3:56" x14ac:dyDescent="0.25">
      <c r="C2" t="s">
        <v>317</v>
      </c>
      <c r="E2" t="s">
        <v>318</v>
      </c>
      <c r="V2" t="s">
        <v>319</v>
      </c>
      <c r="AM2" t="s">
        <v>320</v>
      </c>
      <c r="BD2" t="s">
        <v>321</v>
      </c>
    </row>
    <row r="3" spans="2:71" x14ac:dyDescent="0.25">
      <c r="B3" t="s">
        <v>322</v>
      </c>
      <c r="C3">
        <f>0</f>
      </c>
      <c r="E3">
        <f>1</f>
      </c>
      <c r="F3">
        <f>1</f>
      </c>
      <c r="G3">
        <f>1</f>
      </c>
      <c r="H3">
        <f>1</f>
      </c>
      <c r="I3">
        <f>1</f>
      </c>
      <c r="J3">
        <f>1</f>
      </c>
      <c r="K3">
        <f>1</f>
      </c>
      <c r="L3">
        <f>1</f>
      </c>
      <c r="M3">
        <f>1</f>
      </c>
      <c r="N3">
        <f>1</f>
      </c>
      <c r="O3">
        <f>1</f>
      </c>
      <c r="P3">
        <f>1</f>
      </c>
      <c r="Q3">
        <f>1</f>
      </c>
      <c r="R3">
        <f>1</f>
      </c>
      <c r="S3">
        <f>1</f>
      </c>
      <c r="T3">
        <f>1</f>
      </c>
      <c r="V3">
        <f>IFERROR(MATCH('Options'!$D$10,'Lists'!$I$2:$I$5,0)-1,0)</f>
      </c>
      <c r="W3">
        <f>IFERROR(MATCH('Options'!$D$10,'Lists'!$I$2:$I$5,0)-1,0)</f>
      </c>
      <c r="X3">
        <f>IFERROR(MATCH('Options'!$D$10,'Lists'!$I$2:$I$5,0)-1,0)</f>
      </c>
      <c r="Y3">
        <f>IFERROR(MATCH('Options'!$D$10,'Lists'!$I$2:$I$5,0)-1,0)</f>
      </c>
      <c r="Z3">
        <f>IFERROR(MATCH('Options'!$D$10,'Lists'!$I$2:$I$5,0)-1,0)</f>
      </c>
      <c r="AA3">
        <f>IFERROR(MATCH('Options'!$D$10,'Lists'!$I$2:$I$5,0)-1,0)</f>
      </c>
      <c r="AB3">
        <f>IFERROR(MATCH('Options'!$D$10,'Lists'!$I$2:$I$5,0)-1,0)</f>
      </c>
      <c r="AC3">
        <f>IFERROR(MATCH('Options'!$D$10,'Lists'!$I$2:$I$5,0)-1,0)</f>
      </c>
      <c r="AD3">
        <f>IFERROR(MATCH('Options'!$D$10,'Lists'!$I$2:$I$5,0)-1,0)</f>
      </c>
      <c r="AE3">
        <f>IFERROR(MATCH('Options'!$D$10,'Lists'!$I$2:$I$5,0)-1,0)</f>
      </c>
      <c r="AF3">
        <f>IFERROR(MATCH('Options'!$D$10,'Lists'!$I$2:$I$5,0)-1,0)</f>
      </c>
      <c r="AG3">
        <f>IFERROR(MATCH('Options'!$D$10,'Lists'!$I$2:$I$5,0)-1,0)</f>
      </c>
      <c r="AH3">
        <f>IFERROR(MATCH('Options'!$D$10,'Lists'!$I$2:$I$5,0)-1,0)</f>
      </c>
      <c r="AI3">
        <f>IFERROR(MATCH('Options'!$D$10,'Lists'!$I$2:$I$5,0)-1,0)</f>
      </c>
      <c r="AJ3">
        <f>IFERROR(MATCH('Options'!$D$10,'Lists'!$I$2:$I$5,0)-1,0)</f>
      </c>
      <c r="AK3">
        <f>IFERROR(MATCH('Options'!$D$10,'Lists'!$I$2:$I$5,0)-1,0)</f>
      </c>
      <c r="AM3">
        <f>IFERROR(MATCH('Options'!$E$10,'Lists'!$I$2:$I$5,0)-1,0)</f>
      </c>
      <c r="AN3">
        <f>IFERROR(MATCH('Options'!$E$10,'Lists'!$I$2:$I$5,0)-1,0)</f>
      </c>
      <c r="AO3">
        <f>IFERROR(MATCH('Options'!$E$10,'Lists'!$I$2:$I$5,0)-1,0)</f>
      </c>
      <c r="AP3">
        <f>IFERROR(MATCH('Options'!$E$10,'Lists'!$I$2:$I$5,0)-1,0)</f>
      </c>
      <c r="AQ3">
        <f>IFERROR(MATCH('Options'!$E$10,'Lists'!$I$2:$I$5,0)-1,0)</f>
      </c>
      <c r="AR3">
        <f>IFERROR(MATCH('Options'!$E$10,'Lists'!$I$2:$I$5,0)-1,0)</f>
      </c>
      <c r="AS3">
        <f>IFERROR(MATCH('Options'!$E$10,'Lists'!$I$2:$I$5,0)-1,0)</f>
      </c>
      <c r="AT3">
        <f>IFERROR(MATCH('Options'!$E$10,'Lists'!$I$2:$I$5,0)-1,0)</f>
      </c>
      <c r="AU3">
        <f>IFERROR(MATCH('Options'!$E$10,'Lists'!$I$2:$I$5,0)-1,0)</f>
      </c>
      <c r="AV3">
        <f>IFERROR(MATCH('Options'!$E$10,'Lists'!$I$2:$I$5,0)-1,0)</f>
      </c>
      <c r="AW3">
        <f>IFERROR(MATCH('Options'!$E$10,'Lists'!$I$2:$I$5,0)-1,0)</f>
      </c>
      <c r="AX3">
        <f>IFERROR(MATCH('Options'!$E$10,'Lists'!$I$2:$I$5,0)-1,0)</f>
      </c>
      <c r="AY3">
        <f>IFERROR(MATCH('Options'!$E$10,'Lists'!$I$2:$I$5,0)-1,0)</f>
      </c>
      <c r="AZ3">
        <f>IFERROR(MATCH('Options'!$E$10,'Lists'!$I$2:$I$5,0)-1,0)</f>
      </c>
      <c r="BA3">
        <f>IFERROR(MATCH('Options'!$E$10,'Lists'!$I$2:$I$5,0)-1,0)</f>
      </c>
      <c r="BB3">
        <f>IFERROR(MATCH('Options'!$E$10,'Lists'!$I$2:$I$5,0)-1,0)</f>
      </c>
      <c r="BD3">
        <f>IFERROR(MATCH('Options'!$F$10,'Lists'!$I$2:$I$5,0)-1,0)</f>
      </c>
      <c r="BE3">
        <f>IFERROR(MATCH('Options'!$F$10,'Lists'!$I$2:$I$5,0)-1,0)</f>
      </c>
      <c r="BF3">
        <f>IFERROR(MATCH('Options'!$F$10,'Lists'!$I$2:$I$5,0)-1,0)</f>
      </c>
      <c r="BG3">
        <f>IFERROR(MATCH('Options'!$F$10,'Lists'!$I$2:$I$5,0)-1,0)</f>
      </c>
      <c r="BH3">
        <f>IFERROR(MATCH('Options'!$F$10,'Lists'!$I$2:$I$5,0)-1,0)</f>
      </c>
      <c r="BI3">
        <f>IFERROR(MATCH('Options'!$F$10,'Lists'!$I$2:$I$5,0)-1,0)</f>
      </c>
      <c r="BJ3">
        <f>IFERROR(MATCH('Options'!$F$10,'Lists'!$I$2:$I$5,0)-1,0)</f>
      </c>
      <c r="BK3">
        <f>IFERROR(MATCH('Options'!$F$10,'Lists'!$I$2:$I$5,0)-1,0)</f>
      </c>
      <c r="BL3">
        <f>IFERROR(MATCH('Options'!$F$10,'Lists'!$I$2:$I$5,0)-1,0)</f>
      </c>
      <c r="BM3">
        <f>IFERROR(MATCH('Options'!$F$10,'Lists'!$I$2:$I$5,0)-1,0)</f>
      </c>
      <c r="BN3">
        <f>IFERROR(MATCH('Options'!$F$10,'Lists'!$I$2:$I$5,0)-1,0)</f>
      </c>
      <c r="BO3">
        <f>IFERROR(MATCH('Options'!$F$10,'Lists'!$I$2:$I$5,0)-1,0)</f>
      </c>
      <c r="BP3">
        <f>IFERROR(MATCH('Options'!$F$10,'Lists'!$I$2:$I$5,0)-1,0)</f>
      </c>
      <c r="BQ3">
        <f>IFERROR(MATCH('Options'!$F$10,'Lists'!$I$2:$I$5,0)-1,0)</f>
      </c>
      <c r="BR3">
        <f>IFERROR(MATCH('Options'!$F$10,'Lists'!$I$2:$I$5,0)-1,0)</f>
      </c>
      <c r="BS3">
        <f>IFERROR(MATCH('Options'!$F$10,'Lists'!$I$2:$I$5,0)-1,0)</f>
      </c>
    </row>
    <row r="4" spans="2:71" x14ac:dyDescent="0.25">
      <c r="B4" t="s">
        <v>323</v>
      </c>
      <c r="C4">
        <f>IF(AND('Inputs'!$C$95="As one family pot",SUM('Inputs'!$Q$89:$Q$94)&gt;0),1,0)</f>
      </c>
      <c r="E4">
        <f>IF(AND('Inputs'!$C$95="As one family pot",SUM('Inputs'!$Q$89:$Q$94)&gt;0),1,0)</f>
      </c>
      <c r="F4">
        <f>IF(AND('Inputs'!$C$95="As one family pot",SUM('Inputs'!$Q$89:$Q$94)&gt;0),1,0)</f>
      </c>
      <c r="G4">
        <f>IF(AND('Inputs'!$C$95="As one family pot",SUM('Inputs'!$Q$89:$Q$94)&gt;0),1,0)</f>
      </c>
      <c r="H4">
        <f>IF(AND('Inputs'!$C$95="As one family pot",SUM('Inputs'!$Q$89:$Q$94)&gt;0),1,0)</f>
      </c>
      <c r="I4">
        <f>IF(AND('Inputs'!$C$95="As one family pot",SUM('Inputs'!$Q$89:$Q$94)&gt;0),1,0)</f>
      </c>
      <c r="J4">
        <f>IF(AND('Inputs'!$C$95="As one family pot",SUM('Inputs'!$Q$89:$Q$94)&gt;0),1,0)</f>
      </c>
      <c r="K4">
        <f>IF(AND('Inputs'!$C$95="As one family pot",SUM('Inputs'!$Q$89:$Q$94)&gt;0),1,0)</f>
      </c>
      <c r="L4">
        <f>IF(AND('Inputs'!$C$95="As one family pot",SUM('Inputs'!$Q$89:$Q$94)&gt;0),1,0)</f>
      </c>
      <c r="M4">
        <f>IF(AND('Inputs'!$C$95="As one family pot",SUM('Inputs'!$Q$89:$Q$94)&gt;0),1,0)</f>
      </c>
      <c r="N4">
        <f>IF(AND('Inputs'!$C$95="As one family pot",SUM('Inputs'!$Q$89:$Q$94)&gt;0),1,0)</f>
      </c>
      <c r="O4">
        <f>IF(AND('Inputs'!$C$95="As one family pot",SUM('Inputs'!$Q$89:$Q$94)&gt;0),1,0)</f>
      </c>
      <c r="P4">
        <f>IF(AND('Inputs'!$C$95="As one family pot",SUM('Inputs'!$Q$89:$Q$94)&gt;0),1,0)</f>
      </c>
      <c r="Q4">
        <f>IF(AND('Inputs'!$C$95="As one family pot",SUM('Inputs'!$Q$89:$Q$94)&gt;0),1,0)</f>
      </c>
      <c r="R4">
        <f>IF(AND('Inputs'!$C$95="As one family pot",SUM('Inputs'!$Q$89:$Q$94)&gt;0),1,0)</f>
      </c>
      <c r="S4">
        <f>IF(AND('Inputs'!$C$95="As one family pot",SUM('Inputs'!$Q$89:$Q$94)&gt;0),1,0)</f>
      </c>
      <c r="T4">
        <f>IF(AND('Inputs'!$C$95="As one family pot",SUM('Inputs'!$Q$89:$Q$94)&gt;0),1,0)</f>
      </c>
      <c r="V4">
        <f>IF(AND('Options'!$D$9="One family pot",SUM('Inputs'!$Q$89:$Q$94)&gt;0),1,0)</f>
      </c>
      <c r="W4">
        <f>IF(AND('Options'!$D$9="One family pot",SUM('Inputs'!$Q$89:$Q$94)&gt;0),1,0)</f>
      </c>
      <c r="X4">
        <f>IF(AND('Options'!$D$9="One family pot",SUM('Inputs'!$Q$89:$Q$94)&gt;0),1,0)</f>
      </c>
      <c r="Y4">
        <f>IF(AND('Options'!$D$9="One family pot",SUM('Inputs'!$Q$89:$Q$94)&gt;0),1,0)</f>
      </c>
      <c r="Z4">
        <f>IF(AND('Options'!$D$9="One family pot",SUM('Inputs'!$Q$89:$Q$94)&gt;0),1,0)</f>
      </c>
      <c r="AA4">
        <f>IF(AND('Options'!$D$9="One family pot",SUM('Inputs'!$Q$89:$Q$94)&gt;0),1,0)</f>
      </c>
      <c r="AB4">
        <f>IF(AND('Options'!$D$9="One family pot",SUM('Inputs'!$Q$89:$Q$94)&gt;0),1,0)</f>
      </c>
      <c r="AC4">
        <f>IF(AND('Options'!$D$9="One family pot",SUM('Inputs'!$Q$89:$Q$94)&gt;0),1,0)</f>
      </c>
      <c r="AD4">
        <f>IF(AND('Options'!$D$9="One family pot",SUM('Inputs'!$Q$89:$Q$94)&gt;0),1,0)</f>
      </c>
      <c r="AE4">
        <f>IF(AND('Options'!$D$9="One family pot",SUM('Inputs'!$Q$89:$Q$94)&gt;0),1,0)</f>
      </c>
      <c r="AF4">
        <f>IF(AND('Options'!$D$9="One family pot",SUM('Inputs'!$Q$89:$Q$94)&gt;0),1,0)</f>
      </c>
      <c r="AG4">
        <f>IF(AND('Options'!$D$9="One family pot",SUM('Inputs'!$Q$89:$Q$94)&gt;0),1,0)</f>
      </c>
      <c r="AH4">
        <f>IF(AND('Options'!$D$9="One family pot",SUM('Inputs'!$Q$89:$Q$94)&gt;0),1,0)</f>
      </c>
      <c r="AI4">
        <f>IF(AND('Options'!$D$9="One family pot",SUM('Inputs'!$Q$89:$Q$94)&gt;0),1,0)</f>
      </c>
      <c r="AJ4">
        <f>IF(AND('Options'!$D$9="One family pot",SUM('Inputs'!$Q$89:$Q$94)&gt;0),1,0)</f>
      </c>
      <c r="AK4">
        <f>IF(AND('Options'!$D$9="One family pot",SUM('Inputs'!$Q$89:$Q$94)&gt;0),1,0)</f>
      </c>
      <c r="AM4">
        <f>IF(AND('Options'!$E$9="One family pot",SUM('Inputs'!$Q$89:$Q$94)&gt;0),1,0)</f>
      </c>
      <c r="AN4">
        <f>IF(AND('Options'!$E$9="One family pot",SUM('Inputs'!$Q$89:$Q$94)&gt;0),1,0)</f>
      </c>
      <c r="AO4">
        <f>IF(AND('Options'!$E$9="One family pot",SUM('Inputs'!$Q$89:$Q$94)&gt;0),1,0)</f>
      </c>
      <c r="AP4">
        <f>IF(AND('Options'!$E$9="One family pot",SUM('Inputs'!$Q$89:$Q$94)&gt;0),1,0)</f>
      </c>
      <c r="AQ4">
        <f>IF(AND('Options'!$E$9="One family pot",SUM('Inputs'!$Q$89:$Q$94)&gt;0),1,0)</f>
      </c>
      <c r="AR4">
        <f>IF(AND('Options'!$E$9="One family pot",SUM('Inputs'!$Q$89:$Q$94)&gt;0),1,0)</f>
      </c>
      <c r="AS4">
        <f>IF(AND('Options'!$E$9="One family pot",SUM('Inputs'!$Q$89:$Q$94)&gt;0),1,0)</f>
      </c>
      <c r="AT4">
        <f>IF(AND('Options'!$E$9="One family pot",SUM('Inputs'!$Q$89:$Q$94)&gt;0),1,0)</f>
      </c>
      <c r="AU4">
        <f>IF(AND('Options'!$E$9="One family pot",SUM('Inputs'!$Q$89:$Q$94)&gt;0),1,0)</f>
      </c>
      <c r="AV4">
        <f>IF(AND('Options'!$E$9="One family pot",SUM('Inputs'!$Q$89:$Q$94)&gt;0),1,0)</f>
      </c>
      <c r="AW4">
        <f>IF(AND('Options'!$E$9="One family pot",SUM('Inputs'!$Q$89:$Q$94)&gt;0),1,0)</f>
      </c>
      <c r="AX4">
        <f>IF(AND('Options'!$E$9="One family pot",SUM('Inputs'!$Q$89:$Q$94)&gt;0),1,0)</f>
      </c>
      <c r="AY4">
        <f>IF(AND('Options'!$E$9="One family pot",SUM('Inputs'!$Q$89:$Q$94)&gt;0),1,0)</f>
      </c>
      <c r="AZ4">
        <f>IF(AND('Options'!$E$9="One family pot",SUM('Inputs'!$Q$89:$Q$94)&gt;0),1,0)</f>
      </c>
      <c r="BA4">
        <f>IF(AND('Options'!$E$9="One family pot",SUM('Inputs'!$Q$89:$Q$94)&gt;0),1,0)</f>
      </c>
      <c r="BB4">
        <f>IF(AND('Options'!$E$9="One family pot",SUM('Inputs'!$Q$89:$Q$94)&gt;0),1,0)</f>
      </c>
      <c r="BD4">
        <f>IF(AND('Options'!$F$9="One family pot",SUM('Inputs'!$Q$89:$Q$94)&gt;0),1,0)</f>
      </c>
      <c r="BE4">
        <f>IF(AND('Options'!$F$9="One family pot",SUM('Inputs'!$Q$89:$Q$94)&gt;0),1,0)</f>
      </c>
      <c r="BF4">
        <f>IF(AND('Options'!$F$9="One family pot",SUM('Inputs'!$Q$89:$Q$94)&gt;0),1,0)</f>
      </c>
      <c r="BG4">
        <f>IF(AND('Options'!$F$9="One family pot",SUM('Inputs'!$Q$89:$Q$94)&gt;0),1,0)</f>
      </c>
      <c r="BH4">
        <f>IF(AND('Options'!$F$9="One family pot",SUM('Inputs'!$Q$89:$Q$94)&gt;0),1,0)</f>
      </c>
      <c r="BI4">
        <f>IF(AND('Options'!$F$9="One family pot",SUM('Inputs'!$Q$89:$Q$94)&gt;0),1,0)</f>
      </c>
      <c r="BJ4">
        <f>IF(AND('Options'!$F$9="One family pot",SUM('Inputs'!$Q$89:$Q$94)&gt;0),1,0)</f>
      </c>
      <c r="BK4">
        <f>IF(AND('Options'!$F$9="One family pot",SUM('Inputs'!$Q$89:$Q$94)&gt;0),1,0)</f>
      </c>
      <c r="BL4">
        <f>IF(AND('Options'!$F$9="One family pot",SUM('Inputs'!$Q$89:$Q$94)&gt;0),1,0)</f>
      </c>
      <c r="BM4">
        <f>IF(AND('Options'!$F$9="One family pot",SUM('Inputs'!$Q$89:$Q$94)&gt;0),1,0)</f>
      </c>
      <c r="BN4">
        <f>IF(AND('Options'!$F$9="One family pot",SUM('Inputs'!$Q$89:$Q$94)&gt;0),1,0)</f>
      </c>
      <c r="BO4">
        <f>IF(AND('Options'!$F$9="One family pot",SUM('Inputs'!$Q$89:$Q$94)&gt;0),1,0)</f>
      </c>
      <c r="BP4">
        <f>IF(AND('Options'!$F$9="One family pot",SUM('Inputs'!$Q$89:$Q$94)&gt;0),1,0)</f>
      </c>
      <c r="BQ4">
        <f>IF(AND('Options'!$F$9="One family pot",SUM('Inputs'!$Q$89:$Q$94)&gt;0),1,0)</f>
      </c>
      <c r="BR4">
        <f>IF(AND('Options'!$F$9="One family pot",SUM('Inputs'!$Q$89:$Q$94)&gt;0),1,0)</f>
      </c>
      <c r="BS4">
        <f>IF(AND('Options'!$F$9="One family pot",SUM('Inputs'!$Q$89:$Q$94)&gt;0),1,0)</f>
      </c>
    </row>
    <row r="5" spans="2:71" x14ac:dyDescent="0.25">
      <c r="B5" t="s">
        <v>324</v>
      </c>
      <c r="C5">
        <f>IF(0=0,0,IF(OR(INDEX('Inputs'!$C$59:$C$70,0)="Estate",INDEX('Inputs'!$E$59:$E$70,0)="No"),0,0))</f>
      </c>
      <c r="E5">
        <f>IF(0=0,0,IF(OR(INDEX('Inputs'!$C$59:$C$70,0)="Estate",INDEX('Inputs'!$E$59:$E$70,0)="No"),0,0))</f>
      </c>
      <c r="F5">
        <f>IF(0=0,0,IF(OR(INDEX('Inputs'!$C$59:$C$70,0)="Estate",INDEX('Inputs'!$E$59:$E$70,0)="No"),0,0))</f>
      </c>
      <c r="G5">
        <f>IF(0=0,0,IF(OR(INDEX('Inputs'!$C$59:$C$70,0)="Estate",INDEX('Inputs'!$E$59:$E$70,0)="No"),0,0))</f>
      </c>
      <c r="H5">
        <f>IF(0=0,0,IF(OR(INDEX('Inputs'!$C$59:$C$70,0)="Estate",INDEX('Inputs'!$E$59:$E$70,0)="No"),0,0))</f>
      </c>
      <c r="I5">
        <f>IF(0=0,0,IF(OR(INDEX('Inputs'!$C$59:$C$70,0)="Estate",INDEX('Inputs'!$E$59:$E$70,0)="No"),0,0))</f>
      </c>
      <c r="J5">
        <f>IF(0=0,0,IF(OR(INDEX('Inputs'!$C$59:$C$70,0)="Estate",INDEX('Inputs'!$E$59:$E$70,0)="No"),0,0))</f>
      </c>
      <c r="K5">
        <f>IF(0=0,0,IF(OR(INDEX('Inputs'!$C$59:$C$70,0)="Estate",INDEX('Inputs'!$E$59:$E$70,0)="No"),0,0))</f>
      </c>
      <c r="L5">
        <f>IF(0=0,0,IF(OR(INDEX('Inputs'!$C$59:$C$70,0)="Estate",INDEX('Inputs'!$E$59:$E$70,0)="No"),0,0))</f>
      </c>
      <c r="M5">
        <f>IF(0=0,0,IF(OR(INDEX('Inputs'!$C$59:$C$70,0)="Estate",INDEX('Inputs'!$E$59:$E$70,0)="No"),0,0))</f>
      </c>
      <c r="N5">
        <f>IF(0=0,0,IF(OR(INDEX('Inputs'!$C$59:$C$70,0)="Estate",INDEX('Inputs'!$E$59:$E$70,0)="No"),0,0))</f>
      </c>
      <c r="O5">
        <f>IF(0=0,0,IF(OR(INDEX('Inputs'!$C$59:$C$70,0)="Estate",INDEX('Inputs'!$E$59:$E$70,0)="No"),0,0))</f>
      </c>
      <c r="P5">
        <f>IF(0=0,0,IF(OR(INDEX('Inputs'!$C$59:$C$70,0)="Estate",INDEX('Inputs'!$E$59:$E$70,0)="No"),0,0))</f>
      </c>
      <c r="Q5">
        <f>IF(0=0,0,IF(OR(INDEX('Inputs'!$C$59:$C$70,0)="Estate",INDEX('Inputs'!$E$59:$E$70,0)="No"),0,0))</f>
      </c>
      <c r="R5">
        <f>IF(0=0,0,IF(OR(INDEX('Inputs'!$C$59:$C$70,0)="Estate",INDEX('Inputs'!$E$59:$E$70,0)="No"),0,0))</f>
      </c>
      <c r="S5">
        <f>IF(0=0,0,IF(OR(INDEX('Inputs'!$C$59:$C$70,0)="Estate",INDEX('Inputs'!$E$59:$E$70,0)="No"),0,0))</f>
      </c>
      <c r="T5">
        <f>IF(0=0,0,IF(OR(INDEX('Inputs'!$C$59:$C$70,0)="Estate",INDEX('Inputs'!$E$59:$E$70,0)="No"),0,0))</f>
      </c>
      <c r="V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W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X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Y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Z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A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B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C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D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E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F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G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H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I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J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K5">
        <f>IF(IF(IFERROR(MATCH('Options'!$D$10,'Lists'!$I$2:$I$5,0)-1,0)&gt;=2,IFERROR(MATCH('Options'!$D$11,'Inputs'!$B$59:$B$70,0),0),0)=0,0,IF(OR(INDEX('Inputs'!$C$59:$C$70,IF(IFERROR(MATCH('Options'!$D$10,'Lists'!$I$2:$I$5,0)-1,0)&gt;=2,IFERROR(MATCH('Options'!$D$11,'Inputs'!$B$59:$B$70,0),0),0))="Estate",INDEX('Inputs'!$E$59:$E$70,IF(IFERROR(MATCH('Options'!$D$10,'Lists'!$I$2:$I$5,0)-1,0)&gt;=2,IFERROR(MATCH('Options'!$D$11,'Inputs'!$B$59:$B$70,0),0),0))="No"),0,IF(IFERROR(MATCH('Options'!$D$10,'Lists'!$I$2:$I$5,0)-1,0)&gt;=2,IFERROR(MATCH('Options'!$D$11,'Inputs'!$B$59:$B$70,0),0),0)))</f>
      </c>
      <c r="AM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N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O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P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Q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R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S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T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U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V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W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X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Y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AZ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BA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BB5">
        <f>IF(IF(IFERROR(MATCH('Options'!$E$10,'Lists'!$I$2:$I$5,0)-1,0)&gt;=2,IFERROR(MATCH('Options'!$E$11,'Inputs'!$B$59:$B$70,0),0),0)=0,0,IF(OR(INDEX('Inputs'!$C$59:$C$70,IF(IFERROR(MATCH('Options'!$E$10,'Lists'!$I$2:$I$5,0)-1,0)&gt;=2,IFERROR(MATCH('Options'!$E$11,'Inputs'!$B$59:$B$70,0),0),0))="Estate",INDEX('Inputs'!$E$59:$E$70,IF(IFERROR(MATCH('Options'!$E$10,'Lists'!$I$2:$I$5,0)-1,0)&gt;=2,IFERROR(MATCH('Options'!$E$11,'Inputs'!$B$59:$B$70,0),0),0))="No"),0,IF(IFERROR(MATCH('Options'!$E$10,'Lists'!$I$2:$I$5,0)-1,0)&gt;=2,IFERROR(MATCH('Options'!$E$11,'Inputs'!$B$59:$B$70,0),0),0)))</f>
      </c>
      <c r="BD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E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F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G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H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I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J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K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L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M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N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O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P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Q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R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c r="BS5">
        <f>IF(IF(IFERROR(MATCH('Options'!$F$10,'Lists'!$I$2:$I$5,0)-1,0)&gt;=2,IFERROR(MATCH('Options'!$F$11,'Inputs'!$B$59:$B$70,0),0),0)=0,0,IF(OR(INDEX('Inputs'!$C$59:$C$70,IF(IFERROR(MATCH('Options'!$F$10,'Lists'!$I$2:$I$5,0)-1,0)&gt;=2,IFERROR(MATCH('Options'!$F$11,'Inputs'!$B$59:$B$70,0),0),0))="Estate",INDEX('Inputs'!$E$59:$E$70,IF(IFERROR(MATCH('Options'!$F$10,'Lists'!$I$2:$I$5,0)-1,0)&gt;=2,IFERROR(MATCH('Options'!$F$11,'Inputs'!$B$59:$B$70,0),0),0))="No"),0,IF(IFERROR(MATCH('Options'!$F$10,'Lists'!$I$2:$I$5,0)-1,0)&gt;=2,IFERROR(MATCH('Options'!$F$11,'Inputs'!$B$59:$B$70,0),0),0)))</f>
      </c>
    </row>
    <row r="6" spans="2:71" x14ac:dyDescent="0.25">
      <c r="B6" t="s">
        <v>325</v>
      </c>
      <c r="C6">
        <f>""</f>
      </c>
      <c r="E6">
        <f>""</f>
      </c>
      <c r="F6">
        <f>""</f>
      </c>
      <c r="G6">
        <f>""</f>
      </c>
      <c r="H6">
        <f>""</f>
      </c>
      <c r="I6">
        <f>""</f>
      </c>
      <c r="J6">
        <f>""</f>
      </c>
      <c r="K6">
        <f>""</f>
      </c>
      <c r="L6">
        <f>""</f>
      </c>
      <c r="M6">
        <f>""</f>
      </c>
      <c r="N6">
        <f>""</f>
      </c>
      <c r="O6">
        <f>""</f>
      </c>
      <c r="P6">
        <f>""</f>
      </c>
      <c r="Q6">
        <f>""</f>
      </c>
      <c r="R6">
        <f>""</f>
      </c>
      <c r="S6">
        <f>""</f>
      </c>
      <c r="T6">
        <f>""</f>
      </c>
      <c r="V6">
        <f>IF('Options'!$D$12="","",'Options'!$D$12)</f>
      </c>
      <c r="W6">
        <f>IF('Options'!$D$12="","",'Options'!$D$12)</f>
      </c>
      <c r="X6">
        <f>IF('Options'!$D$12="","",'Options'!$D$12)</f>
      </c>
      <c r="Y6">
        <f>IF('Options'!$D$12="","",'Options'!$D$12)</f>
      </c>
      <c r="Z6">
        <f>IF('Options'!$D$12="","",'Options'!$D$12)</f>
      </c>
      <c r="AA6">
        <f>IF('Options'!$D$12="","",'Options'!$D$12)</f>
      </c>
      <c r="AB6">
        <f>IF('Options'!$D$12="","",'Options'!$D$12)</f>
      </c>
      <c r="AC6">
        <f>IF('Options'!$D$12="","",'Options'!$D$12)</f>
      </c>
      <c r="AD6">
        <f>IF('Options'!$D$12="","",'Options'!$D$12)</f>
      </c>
      <c r="AE6">
        <f>IF('Options'!$D$12="","",'Options'!$D$12)</f>
      </c>
      <c r="AF6">
        <f>IF('Options'!$D$12="","",'Options'!$D$12)</f>
      </c>
      <c r="AG6">
        <f>IF('Options'!$D$12="","",'Options'!$D$12)</f>
      </c>
      <c r="AH6">
        <f>IF('Options'!$D$12="","",'Options'!$D$12)</f>
      </c>
      <c r="AI6">
        <f>IF('Options'!$D$12="","",'Options'!$D$12)</f>
      </c>
      <c r="AJ6">
        <f>IF('Options'!$D$12="","",'Options'!$D$12)</f>
      </c>
      <c r="AK6">
        <f>IF('Options'!$D$12="","",'Options'!$D$12)</f>
      </c>
      <c r="AM6">
        <f>IF('Options'!$E$12="","",'Options'!$E$12)</f>
      </c>
      <c r="AN6">
        <f>IF('Options'!$E$12="","",'Options'!$E$12)</f>
      </c>
      <c r="AO6">
        <f>IF('Options'!$E$12="","",'Options'!$E$12)</f>
      </c>
      <c r="AP6">
        <f>IF('Options'!$E$12="","",'Options'!$E$12)</f>
      </c>
      <c r="AQ6">
        <f>IF('Options'!$E$12="","",'Options'!$E$12)</f>
      </c>
      <c r="AR6">
        <f>IF('Options'!$E$12="","",'Options'!$E$12)</f>
      </c>
      <c r="AS6">
        <f>IF('Options'!$E$12="","",'Options'!$E$12)</f>
      </c>
      <c r="AT6">
        <f>IF('Options'!$E$12="","",'Options'!$E$12)</f>
      </c>
      <c r="AU6">
        <f>IF('Options'!$E$12="","",'Options'!$E$12)</f>
      </c>
      <c r="AV6">
        <f>IF('Options'!$E$12="","",'Options'!$E$12)</f>
      </c>
      <c r="AW6">
        <f>IF('Options'!$E$12="","",'Options'!$E$12)</f>
      </c>
      <c r="AX6">
        <f>IF('Options'!$E$12="","",'Options'!$E$12)</f>
      </c>
      <c r="AY6">
        <f>IF('Options'!$E$12="","",'Options'!$E$12)</f>
      </c>
      <c r="AZ6">
        <f>IF('Options'!$E$12="","",'Options'!$E$12)</f>
      </c>
      <c r="BA6">
        <f>IF('Options'!$E$12="","",'Options'!$E$12)</f>
      </c>
      <c r="BB6">
        <f>IF('Options'!$E$12="","",'Options'!$E$12)</f>
      </c>
      <c r="BD6">
        <f>IF('Options'!$F$12="","",'Options'!$F$12)</f>
      </c>
      <c r="BE6">
        <f>IF('Options'!$F$12="","",'Options'!$F$12)</f>
      </c>
      <c r="BF6">
        <f>IF('Options'!$F$12="","",'Options'!$F$12)</f>
      </c>
      <c r="BG6">
        <f>IF('Options'!$F$12="","",'Options'!$F$12)</f>
      </c>
      <c r="BH6">
        <f>IF('Options'!$F$12="","",'Options'!$F$12)</f>
      </c>
      <c r="BI6">
        <f>IF('Options'!$F$12="","",'Options'!$F$12)</f>
      </c>
      <c r="BJ6">
        <f>IF('Options'!$F$12="","",'Options'!$F$12)</f>
      </c>
      <c r="BK6">
        <f>IF('Options'!$F$12="","",'Options'!$F$12)</f>
      </c>
      <c r="BL6">
        <f>IF('Options'!$F$12="","",'Options'!$F$12)</f>
      </c>
      <c r="BM6">
        <f>IF('Options'!$F$12="","",'Options'!$F$12)</f>
      </c>
      <c r="BN6">
        <f>IF('Options'!$F$12="","",'Options'!$F$12)</f>
      </c>
      <c r="BO6">
        <f>IF('Options'!$F$12="","",'Options'!$F$12)</f>
      </c>
      <c r="BP6">
        <f>IF('Options'!$F$12="","",'Options'!$F$12)</f>
      </c>
      <c r="BQ6">
        <f>IF('Options'!$F$12="","",'Options'!$F$12)</f>
      </c>
      <c r="BR6">
        <f>IF('Options'!$F$12="","",'Options'!$F$12)</f>
      </c>
      <c r="BS6">
        <f>IF('Options'!$F$12="","",'Options'!$F$12)</f>
      </c>
    </row>
    <row r="7" spans="2:71" x14ac:dyDescent="0.25">
      <c r="B7" t="s">
        <v>326</v>
      </c>
      <c r="C7">
        <f>0</f>
      </c>
      <c r="E7">
        <f>0</f>
      </c>
      <c r="F7">
        <f>E92</f>
      </c>
      <c r="G7">
        <f>F92</f>
      </c>
      <c r="H7">
        <f>G92</f>
      </c>
      <c r="I7">
        <f>H92</f>
      </c>
      <c r="J7">
        <f>I92</f>
      </c>
      <c r="K7">
        <f>J92</f>
      </c>
      <c r="L7">
        <f>K92</f>
      </c>
      <c r="M7">
        <f>L92</f>
      </c>
      <c r="N7">
        <f>M92</f>
      </c>
      <c r="O7">
        <f>N92</f>
      </c>
      <c r="P7">
        <f>O92</f>
      </c>
      <c r="Q7">
        <f>IF(ROUND(P92,2)&gt;0,MAX(0,ROUND(P92,2)-0.01),0)</f>
      </c>
      <c r="R7">
        <f>ROUND(P92,2)</f>
      </c>
      <c r="S7">
        <f>IF(ROUND(P92,2)&gt;0,ROUND(P92,2)+0.01,0)</f>
      </c>
      <c r="T7">
        <f>IF(AND(T3=2,R99&gt;T16+0.005),0,IF(ROUND(P92,2)=0,0,IF(T3=1,IF(R51&lt;=0,ROUND(P92,2),IF(S51&lt;=0,ROUND(P92,2)+0.01,ROUND(P92,2)+0.02)),IF(Q51&lt;=0,ROUND(P92,2)-0.01,IF(R51&lt;=0,ROUND(P92,2),ROUND(P92,2)+0.01)))))</f>
      </c>
      <c r="V7">
        <f>0</f>
      </c>
      <c r="W7">
        <f>V92</f>
      </c>
      <c r="X7">
        <f>W92</f>
      </c>
      <c r="Y7">
        <f>X92</f>
      </c>
      <c r="Z7">
        <f>Y92</f>
      </c>
      <c r="AA7">
        <f>Z92</f>
      </c>
      <c r="AB7">
        <f>AA92</f>
      </c>
      <c r="AC7">
        <f>AB92</f>
      </c>
      <c r="AD7">
        <f>AC92</f>
      </c>
      <c r="AE7">
        <f>AD92</f>
      </c>
      <c r="AF7">
        <f>AE92</f>
      </c>
      <c r="AG7">
        <f>AF92</f>
      </c>
      <c r="AH7">
        <f>IF(ROUND(AG92,2)&gt;0,MAX(0,ROUND(AG92,2)-0.01),0)</f>
      </c>
      <c r="AI7">
        <f>ROUND(AG92,2)</f>
      </c>
      <c r="AJ7">
        <f>IF(ROUND(AG92,2)&gt;0,ROUND(AG92,2)+0.01,0)</f>
      </c>
      <c r="AK7">
        <f>IF(AND(AK3=2,AI99&gt;AK16+0.005),0,IF(ROUND(AG92,2)=0,0,IF(AK3=1,IF(AI51&lt;=0,ROUND(AG92,2),IF(AJ51&lt;=0,ROUND(AG92,2)+0.01,ROUND(AG92,2)+0.02)),IF(AH51&lt;=0,ROUND(AG92,2)-0.01,IF(AI51&lt;=0,ROUND(AG92,2),ROUND(AG92,2)+0.01)))))</f>
      </c>
      <c r="AM7">
        <f>0</f>
      </c>
      <c r="AN7">
        <f>AM92</f>
      </c>
      <c r="AO7">
        <f>AN92</f>
      </c>
      <c r="AP7">
        <f>AO92</f>
      </c>
      <c r="AQ7">
        <f>AP92</f>
      </c>
      <c r="AR7">
        <f>AQ92</f>
      </c>
      <c r="AS7">
        <f>AR92</f>
      </c>
      <c r="AT7">
        <f>AS92</f>
      </c>
      <c r="AU7">
        <f>AT92</f>
      </c>
      <c r="AV7">
        <f>AU92</f>
      </c>
      <c r="AW7">
        <f>AV92</f>
      </c>
      <c r="AX7">
        <f>AW92</f>
      </c>
      <c r="AY7">
        <f>IF(ROUND(AX92,2)&gt;0,MAX(0,ROUND(AX92,2)-0.01),0)</f>
      </c>
      <c r="AZ7">
        <f>ROUND(AX92,2)</f>
      </c>
      <c r="BA7">
        <f>IF(ROUND(AX92,2)&gt;0,ROUND(AX92,2)+0.01,0)</f>
      </c>
      <c r="BB7">
        <f>IF(AND(BB3=2,AZ99&gt;BB16+0.005),0,IF(ROUND(AX92,2)=0,0,IF(BB3=1,IF(AZ51&lt;=0,ROUND(AX92,2),IF(BA51&lt;=0,ROUND(AX92,2)+0.01,ROUND(AX92,2)+0.02)),IF(AY51&lt;=0,ROUND(AX92,2)-0.01,IF(AZ51&lt;=0,ROUND(AX92,2),ROUND(AX92,2)+0.01)))))</f>
      </c>
      <c r="BD7">
        <f>0</f>
      </c>
      <c r="BE7">
        <f>BD92</f>
      </c>
      <c r="BF7">
        <f>BE92</f>
      </c>
      <c r="BG7">
        <f>BF92</f>
      </c>
      <c r="BH7">
        <f>BG92</f>
      </c>
      <c r="BI7">
        <f>BH92</f>
      </c>
      <c r="BJ7">
        <f>BI92</f>
      </c>
      <c r="BK7">
        <f>BJ92</f>
      </c>
      <c r="BL7">
        <f>BK92</f>
      </c>
      <c r="BM7">
        <f>BL92</f>
      </c>
      <c r="BN7">
        <f>BM92</f>
      </c>
      <c r="BO7">
        <f>BN92</f>
      </c>
      <c r="BP7">
        <f>IF(ROUND(BO92,2)&gt;0,MAX(0,ROUND(BO92,2)-0.01),0)</f>
      </c>
      <c r="BQ7">
        <f>ROUND(BO92,2)</f>
      </c>
      <c r="BR7">
        <f>IF(ROUND(BO92,2)&gt;0,ROUND(BO92,2)+0.01,0)</f>
      </c>
      <c r="BS7">
        <f>IF(AND(BS3=2,BQ99&gt;BS16+0.005),0,IF(ROUND(BO92,2)=0,0,IF(BS3=1,IF(BQ51&lt;=0,ROUND(BO92,2),IF(BR51&lt;=0,ROUND(BO92,2)+0.01,ROUND(BO92,2)+0.02)),IF(BP51&lt;=0,ROUND(BO92,2)-0.01,IF(BQ51&lt;=0,ROUND(BO92,2),ROUND(BO92,2)+0.01)))))</f>
      </c>
    </row>
    <row r="8" spans="2:71" x14ac:dyDescent="0.25">
      <c r="B8" t="s">
        <v>327</v>
      </c>
      <c r="C8">
        <f>0</f>
      </c>
      <c r="E8">
        <f>0</f>
      </c>
      <c r="F8">
        <f>E93</f>
      </c>
      <c r="G8">
        <f>F93</f>
      </c>
      <c r="H8">
        <f>G93</f>
      </c>
      <c r="I8">
        <f>H93</f>
      </c>
      <c r="J8">
        <f>I93</f>
      </c>
      <c r="K8">
        <f>J93</f>
      </c>
      <c r="L8">
        <f>K93</f>
      </c>
      <c r="M8">
        <f>L93</f>
      </c>
      <c r="N8">
        <f>M93</f>
      </c>
      <c r="O8">
        <f>N93</f>
      </c>
      <c r="P8">
        <f>O93</f>
      </c>
      <c r="Q8">
        <f>IF(ROUND(P93,2)&gt;0,MAX(0,ROUND(P93,2)-0.01),0)</f>
      </c>
      <c r="R8">
        <f>ROUND(P93,2)</f>
      </c>
      <c r="S8">
        <f>IF(ROUND(P93,2)&gt;0,ROUND(P93,2)+0.01,0)</f>
      </c>
      <c r="T8">
        <f>IF(AND(T3=2,R99&gt;T16+0.005),0,IF(ROUND(P93,2)=0,0,IF(T3=1,IF(R58&lt;=0,ROUND(P93,2),IF(S58&lt;=0,ROUND(P93,2)+0.01,ROUND(P93,2)+0.02)),IF(Q58&lt;=0,ROUND(P93,2)-0.01,IF(R58&lt;=0,ROUND(P93,2),ROUND(P93,2)+0.01)))))</f>
      </c>
      <c r="V8">
        <f>0</f>
      </c>
      <c r="W8">
        <f>V93</f>
      </c>
      <c r="X8">
        <f>W93</f>
      </c>
      <c r="Y8">
        <f>X93</f>
      </c>
      <c r="Z8">
        <f>Y93</f>
      </c>
      <c r="AA8">
        <f>Z93</f>
      </c>
      <c r="AB8">
        <f>AA93</f>
      </c>
      <c r="AC8">
        <f>AB93</f>
      </c>
      <c r="AD8">
        <f>AC93</f>
      </c>
      <c r="AE8">
        <f>AD93</f>
      </c>
      <c r="AF8">
        <f>AE93</f>
      </c>
      <c r="AG8">
        <f>AF93</f>
      </c>
      <c r="AH8">
        <f>IF(ROUND(AG93,2)&gt;0,MAX(0,ROUND(AG93,2)-0.01),0)</f>
      </c>
      <c r="AI8">
        <f>ROUND(AG93,2)</f>
      </c>
      <c r="AJ8">
        <f>IF(ROUND(AG93,2)&gt;0,ROUND(AG93,2)+0.01,0)</f>
      </c>
      <c r="AK8">
        <f>IF(AND(AK3=2,AI99&gt;AK16+0.005),0,IF(ROUND(AG93,2)=0,0,IF(AK3=1,IF(AI58&lt;=0,ROUND(AG93,2),IF(AJ58&lt;=0,ROUND(AG93,2)+0.01,ROUND(AG93,2)+0.02)),IF(AH58&lt;=0,ROUND(AG93,2)-0.01,IF(AI58&lt;=0,ROUND(AG93,2),ROUND(AG93,2)+0.01)))))</f>
      </c>
      <c r="AM8">
        <f>0</f>
      </c>
      <c r="AN8">
        <f>AM93</f>
      </c>
      <c r="AO8">
        <f>AN93</f>
      </c>
      <c r="AP8">
        <f>AO93</f>
      </c>
      <c r="AQ8">
        <f>AP93</f>
      </c>
      <c r="AR8">
        <f>AQ93</f>
      </c>
      <c r="AS8">
        <f>AR93</f>
      </c>
      <c r="AT8">
        <f>AS93</f>
      </c>
      <c r="AU8">
        <f>AT93</f>
      </c>
      <c r="AV8">
        <f>AU93</f>
      </c>
      <c r="AW8">
        <f>AV93</f>
      </c>
      <c r="AX8">
        <f>AW93</f>
      </c>
      <c r="AY8">
        <f>IF(ROUND(AX93,2)&gt;0,MAX(0,ROUND(AX93,2)-0.01),0)</f>
      </c>
      <c r="AZ8">
        <f>ROUND(AX93,2)</f>
      </c>
      <c r="BA8">
        <f>IF(ROUND(AX93,2)&gt;0,ROUND(AX93,2)+0.01,0)</f>
      </c>
      <c r="BB8">
        <f>IF(AND(BB3=2,AZ99&gt;BB16+0.005),0,IF(ROUND(AX93,2)=0,0,IF(BB3=1,IF(AZ58&lt;=0,ROUND(AX93,2),IF(BA58&lt;=0,ROUND(AX93,2)+0.01,ROUND(AX93,2)+0.02)),IF(AY58&lt;=0,ROUND(AX93,2)-0.01,IF(AZ58&lt;=0,ROUND(AX93,2),ROUND(AX93,2)+0.01)))))</f>
      </c>
      <c r="BD8">
        <f>0</f>
      </c>
      <c r="BE8">
        <f>BD93</f>
      </c>
      <c r="BF8">
        <f>BE93</f>
      </c>
      <c r="BG8">
        <f>BF93</f>
      </c>
      <c r="BH8">
        <f>BG93</f>
      </c>
      <c r="BI8">
        <f>BH93</f>
      </c>
      <c r="BJ8">
        <f>BI93</f>
      </c>
      <c r="BK8">
        <f>BJ93</f>
      </c>
      <c r="BL8">
        <f>BK93</f>
      </c>
      <c r="BM8">
        <f>BL93</f>
      </c>
      <c r="BN8">
        <f>BM93</f>
      </c>
      <c r="BO8">
        <f>BN93</f>
      </c>
      <c r="BP8">
        <f>IF(ROUND(BO93,2)&gt;0,MAX(0,ROUND(BO93,2)-0.01),0)</f>
      </c>
      <c r="BQ8">
        <f>ROUND(BO93,2)</f>
      </c>
      <c r="BR8">
        <f>IF(ROUND(BO93,2)&gt;0,ROUND(BO93,2)+0.01,0)</f>
      </c>
      <c r="BS8">
        <f>IF(AND(BS3=2,BQ99&gt;BS16+0.005),0,IF(ROUND(BO93,2)=0,0,IF(BS3=1,IF(BQ58&lt;=0,ROUND(BO93,2),IF(BR58&lt;=0,ROUND(BO93,2)+0.01,ROUND(BO93,2)+0.02)),IF(BP58&lt;=0,ROUND(BO93,2)-0.01,IF(BQ58&lt;=0,ROUND(BO93,2),ROUND(BO93,2)+0.01)))))</f>
      </c>
    </row>
    <row r="9" spans="2:71" x14ac:dyDescent="0.25">
      <c r="B9" t="s">
        <v>328</v>
      </c>
      <c r="C9">
        <f>0</f>
      </c>
      <c r="E9">
        <f>0</f>
      </c>
      <c r="F9">
        <f>E94</f>
      </c>
      <c r="G9">
        <f>F94</f>
      </c>
      <c r="H9">
        <f>G94</f>
      </c>
      <c r="I9">
        <f>H94</f>
      </c>
      <c r="J9">
        <f>I94</f>
      </c>
      <c r="K9">
        <f>J94</f>
      </c>
      <c r="L9">
        <f>K94</f>
      </c>
      <c r="M9">
        <f>L94</f>
      </c>
      <c r="N9">
        <f>M94</f>
      </c>
      <c r="O9">
        <f>N94</f>
      </c>
      <c r="P9">
        <f>O94</f>
      </c>
      <c r="Q9">
        <f>IF(ROUND(P94,2)&gt;0,MAX(0,ROUND(P94,2)-0.01),0)</f>
      </c>
      <c r="R9">
        <f>ROUND(P94,2)</f>
      </c>
      <c r="S9">
        <f>IF(ROUND(P94,2)&gt;0,ROUND(P94,2)+0.01,0)</f>
      </c>
      <c r="T9">
        <f>IF(AND(T3=2,R99&gt;T16+0.005),0,IF(ROUND(P94,2)=0,0,IF(T3=1,IF(R65&lt;=0,ROUND(P94,2),IF(S65&lt;=0,ROUND(P94,2)+0.01,ROUND(P94,2)+0.02)),IF(Q65&lt;=0,ROUND(P94,2)-0.01,IF(R65&lt;=0,ROUND(P94,2),ROUND(P94,2)+0.01)))))</f>
      </c>
      <c r="V9">
        <f>0</f>
      </c>
      <c r="W9">
        <f>V94</f>
      </c>
      <c r="X9">
        <f>W94</f>
      </c>
      <c r="Y9">
        <f>X94</f>
      </c>
      <c r="Z9">
        <f>Y94</f>
      </c>
      <c r="AA9">
        <f>Z94</f>
      </c>
      <c r="AB9">
        <f>AA94</f>
      </c>
      <c r="AC9">
        <f>AB94</f>
      </c>
      <c r="AD9">
        <f>AC94</f>
      </c>
      <c r="AE9">
        <f>AD94</f>
      </c>
      <c r="AF9">
        <f>AE94</f>
      </c>
      <c r="AG9">
        <f>AF94</f>
      </c>
      <c r="AH9">
        <f>IF(ROUND(AG94,2)&gt;0,MAX(0,ROUND(AG94,2)-0.01),0)</f>
      </c>
      <c r="AI9">
        <f>ROUND(AG94,2)</f>
      </c>
      <c r="AJ9">
        <f>IF(ROUND(AG94,2)&gt;0,ROUND(AG94,2)+0.01,0)</f>
      </c>
      <c r="AK9">
        <f>IF(AND(AK3=2,AI99&gt;AK16+0.005),0,IF(ROUND(AG94,2)=0,0,IF(AK3=1,IF(AI65&lt;=0,ROUND(AG94,2),IF(AJ65&lt;=0,ROUND(AG94,2)+0.01,ROUND(AG94,2)+0.02)),IF(AH65&lt;=0,ROUND(AG94,2)-0.01,IF(AI65&lt;=0,ROUND(AG94,2),ROUND(AG94,2)+0.01)))))</f>
      </c>
      <c r="AM9">
        <f>0</f>
      </c>
      <c r="AN9">
        <f>AM94</f>
      </c>
      <c r="AO9">
        <f>AN94</f>
      </c>
      <c r="AP9">
        <f>AO94</f>
      </c>
      <c r="AQ9">
        <f>AP94</f>
      </c>
      <c r="AR9">
        <f>AQ94</f>
      </c>
      <c r="AS9">
        <f>AR94</f>
      </c>
      <c r="AT9">
        <f>AS94</f>
      </c>
      <c r="AU9">
        <f>AT94</f>
      </c>
      <c r="AV9">
        <f>AU94</f>
      </c>
      <c r="AW9">
        <f>AV94</f>
      </c>
      <c r="AX9">
        <f>AW94</f>
      </c>
      <c r="AY9">
        <f>IF(ROUND(AX94,2)&gt;0,MAX(0,ROUND(AX94,2)-0.01),0)</f>
      </c>
      <c r="AZ9">
        <f>ROUND(AX94,2)</f>
      </c>
      <c r="BA9">
        <f>IF(ROUND(AX94,2)&gt;0,ROUND(AX94,2)+0.01,0)</f>
      </c>
      <c r="BB9">
        <f>IF(AND(BB3=2,AZ99&gt;BB16+0.005),0,IF(ROUND(AX94,2)=0,0,IF(BB3=1,IF(AZ65&lt;=0,ROUND(AX94,2),IF(BA65&lt;=0,ROUND(AX94,2)+0.01,ROUND(AX94,2)+0.02)),IF(AY65&lt;=0,ROUND(AX94,2)-0.01,IF(AZ65&lt;=0,ROUND(AX94,2),ROUND(AX94,2)+0.01)))))</f>
      </c>
      <c r="BD9">
        <f>0</f>
      </c>
      <c r="BE9">
        <f>BD94</f>
      </c>
      <c r="BF9">
        <f>BE94</f>
      </c>
      <c r="BG9">
        <f>BF94</f>
      </c>
      <c r="BH9">
        <f>BG94</f>
      </c>
      <c r="BI9">
        <f>BH94</f>
      </c>
      <c r="BJ9">
        <f>BI94</f>
      </c>
      <c r="BK9">
        <f>BJ94</f>
      </c>
      <c r="BL9">
        <f>BK94</f>
      </c>
      <c r="BM9">
        <f>BL94</f>
      </c>
      <c r="BN9">
        <f>BM94</f>
      </c>
      <c r="BO9">
        <f>BN94</f>
      </c>
      <c r="BP9">
        <f>IF(ROUND(BO94,2)&gt;0,MAX(0,ROUND(BO94,2)-0.01),0)</f>
      </c>
      <c r="BQ9">
        <f>ROUND(BO94,2)</f>
      </c>
      <c r="BR9">
        <f>IF(ROUND(BO94,2)&gt;0,ROUND(BO94,2)+0.01,0)</f>
      </c>
      <c r="BS9">
        <f>IF(AND(BS3=2,BQ99&gt;BS16+0.005),0,IF(ROUND(BO94,2)=0,0,IF(BS3=1,IF(BQ65&lt;=0,ROUND(BO94,2),IF(BR65&lt;=0,ROUND(BO94,2)+0.01,ROUND(BO94,2)+0.02)),IF(BP65&lt;=0,ROUND(BO94,2)-0.01,IF(BQ65&lt;=0,ROUND(BO94,2),ROUND(BO94,2)+0.01)))))</f>
      </c>
    </row>
    <row r="10" spans="2:71" x14ac:dyDescent="0.25">
      <c r="B10" t="s">
        <v>329</v>
      </c>
      <c r="C10">
        <f>0</f>
      </c>
      <c r="E10">
        <f>0</f>
      </c>
      <c r="F10">
        <f>E95</f>
      </c>
      <c r="G10">
        <f>F95</f>
      </c>
      <c r="H10">
        <f>G95</f>
      </c>
      <c r="I10">
        <f>H95</f>
      </c>
      <c r="J10">
        <f>I95</f>
      </c>
      <c r="K10">
        <f>J95</f>
      </c>
      <c r="L10">
        <f>K95</f>
      </c>
      <c r="M10">
        <f>L95</f>
      </c>
      <c r="N10">
        <f>M95</f>
      </c>
      <c r="O10">
        <f>N95</f>
      </c>
      <c r="P10">
        <f>O95</f>
      </c>
      <c r="Q10">
        <f>IF(ROUND(P95,2)&gt;0,MAX(0,ROUND(P95,2)-0.01),0)</f>
      </c>
      <c r="R10">
        <f>ROUND(P95,2)</f>
      </c>
      <c r="S10">
        <f>IF(ROUND(P95,2)&gt;0,ROUND(P95,2)+0.01,0)</f>
      </c>
      <c r="T10">
        <f>IF(AND(T3=2,R99&gt;T16+0.005),0,IF(ROUND(P95,2)=0,0,IF(T3=1,IF(R72&lt;=0,ROUND(P95,2),IF(S72&lt;=0,ROUND(P95,2)+0.01,ROUND(P95,2)+0.02)),IF(Q72&lt;=0,ROUND(P95,2)-0.01,IF(R72&lt;=0,ROUND(P95,2),ROUND(P95,2)+0.01)))))</f>
      </c>
      <c r="V10">
        <f>0</f>
      </c>
      <c r="W10">
        <f>V95</f>
      </c>
      <c r="X10">
        <f>W95</f>
      </c>
      <c r="Y10">
        <f>X95</f>
      </c>
      <c r="Z10">
        <f>Y95</f>
      </c>
      <c r="AA10">
        <f>Z95</f>
      </c>
      <c r="AB10">
        <f>AA95</f>
      </c>
      <c r="AC10">
        <f>AB95</f>
      </c>
      <c r="AD10">
        <f>AC95</f>
      </c>
      <c r="AE10">
        <f>AD95</f>
      </c>
      <c r="AF10">
        <f>AE95</f>
      </c>
      <c r="AG10">
        <f>AF95</f>
      </c>
      <c r="AH10">
        <f>IF(ROUND(AG95,2)&gt;0,MAX(0,ROUND(AG95,2)-0.01),0)</f>
      </c>
      <c r="AI10">
        <f>ROUND(AG95,2)</f>
      </c>
      <c r="AJ10">
        <f>IF(ROUND(AG95,2)&gt;0,ROUND(AG95,2)+0.01,0)</f>
      </c>
      <c r="AK10">
        <f>IF(AND(AK3=2,AI99&gt;AK16+0.005),0,IF(ROUND(AG95,2)=0,0,IF(AK3=1,IF(AI72&lt;=0,ROUND(AG95,2),IF(AJ72&lt;=0,ROUND(AG95,2)+0.01,ROUND(AG95,2)+0.02)),IF(AH72&lt;=0,ROUND(AG95,2)-0.01,IF(AI72&lt;=0,ROUND(AG95,2),ROUND(AG95,2)+0.01)))))</f>
      </c>
      <c r="AM10">
        <f>0</f>
      </c>
      <c r="AN10">
        <f>AM95</f>
      </c>
      <c r="AO10">
        <f>AN95</f>
      </c>
      <c r="AP10">
        <f>AO95</f>
      </c>
      <c r="AQ10">
        <f>AP95</f>
      </c>
      <c r="AR10">
        <f>AQ95</f>
      </c>
      <c r="AS10">
        <f>AR95</f>
      </c>
      <c r="AT10">
        <f>AS95</f>
      </c>
      <c r="AU10">
        <f>AT95</f>
      </c>
      <c r="AV10">
        <f>AU95</f>
      </c>
      <c r="AW10">
        <f>AV95</f>
      </c>
      <c r="AX10">
        <f>AW95</f>
      </c>
      <c r="AY10">
        <f>IF(ROUND(AX95,2)&gt;0,MAX(0,ROUND(AX95,2)-0.01),0)</f>
      </c>
      <c r="AZ10">
        <f>ROUND(AX95,2)</f>
      </c>
      <c r="BA10">
        <f>IF(ROUND(AX95,2)&gt;0,ROUND(AX95,2)+0.01,0)</f>
      </c>
      <c r="BB10">
        <f>IF(AND(BB3=2,AZ99&gt;BB16+0.005),0,IF(ROUND(AX95,2)=0,0,IF(BB3=1,IF(AZ72&lt;=0,ROUND(AX95,2),IF(BA72&lt;=0,ROUND(AX95,2)+0.01,ROUND(AX95,2)+0.02)),IF(AY72&lt;=0,ROUND(AX95,2)-0.01,IF(AZ72&lt;=0,ROUND(AX95,2),ROUND(AX95,2)+0.01)))))</f>
      </c>
      <c r="BD10">
        <f>0</f>
      </c>
      <c r="BE10">
        <f>BD95</f>
      </c>
      <c r="BF10">
        <f>BE95</f>
      </c>
      <c r="BG10">
        <f>BF95</f>
      </c>
      <c r="BH10">
        <f>BG95</f>
      </c>
      <c r="BI10">
        <f>BH95</f>
      </c>
      <c r="BJ10">
        <f>BI95</f>
      </c>
      <c r="BK10">
        <f>BJ95</f>
      </c>
      <c r="BL10">
        <f>BK95</f>
      </c>
      <c r="BM10">
        <f>BL95</f>
      </c>
      <c r="BN10">
        <f>BM95</f>
      </c>
      <c r="BO10">
        <f>BN95</f>
      </c>
      <c r="BP10">
        <f>IF(ROUND(BO95,2)&gt;0,MAX(0,ROUND(BO95,2)-0.01),0)</f>
      </c>
      <c r="BQ10">
        <f>ROUND(BO95,2)</f>
      </c>
      <c r="BR10">
        <f>IF(ROUND(BO95,2)&gt;0,ROUND(BO95,2)+0.01,0)</f>
      </c>
      <c r="BS10">
        <f>IF(AND(BS3=2,BQ99&gt;BS16+0.005),0,IF(ROUND(BO95,2)=0,0,IF(BS3=1,IF(BQ72&lt;=0,ROUND(BO95,2),IF(BR72&lt;=0,ROUND(BO95,2)+0.01,ROUND(BO95,2)+0.02)),IF(BP72&lt;=0,ROUND(BO95,2)-0.01,IF(BQ72&lt;=0,ROUND(BO95,2),ROUND(BO95,2)+0.01)))))</f>
      </c>
    </row>
    <row r="11" spans="2:71" x14ac:dyDescent="0.25">
      <c r="B11" t="s">
        <v>330</v>
      </c>
      <c r="C11">
        <f>0</f>
      </c>
      <c r="E11">
        <f>0</f>
      </c>
      <c r="F11">
        <f>E96</f>
      </c>
      <c r="G11">
        <f>F96</f>
      </c>
      <c r="H11">
        <f>G96</f>
      </c>
      <c r="I11">
        <f>H96</f>
      </c>
      <c r="J11">
        <f>I96</f>
      </c>
      <c r="K11">
        <f>J96</f>
      </c>
      <c r="L11">
        <f>K96</f>
      </c>
      <c r="M11">
        <f>L96</f>
      </c>
      <c r="N11">
        <f>M96</f>
      </c>
      <c r="O11">
        <f>N96</f>
      </c>
      <c r="P11">
        <f>O96</f>
      </c>
      <c r="Q11">
        <f>IF(ROUND(P96,2)&gt;0,MAX(0,ROUND(P96,2)-0.01),0)</f>
      </c>
      <c r="R11">
        <f>ROUND(P96,2)</f>
      </c>
      <c r="S11">
        <f>IF(ROUND(P96,2)&gt;0,ROUND(P96,2)+0.01,0)</f>
      </c>
      <c r="T11">
        <f>IF(AND(T3=2,R99&gt;T16+0.005),0,IF(ROUND(P96,2)=0,0,IF(T3=1,IF(R79&lt;=0,ROUND(P96,2),IF(S79&lt;=0,ROUND(P96,2)+0.01,ROUND(P96,2)+0.02)),IF(Q79&lt;=0,ROUND(P96,2)-0.01,IF(R79&lt;=0,ROUND(P96,2),ROUND(P96,2)+0.01)))))</f>
      </c>
      <c r="V11">
        <f>0</f>
      </c>
      <c r="W11">
        <f>V96</f>
      </c>
      <c r="X11">
        <f>W96</f>
      </c>
      <c r="Y11">
        <f>X96</f>
      </c>
      <c r="Z11">
        <f>Y96</f>
      </c>
      <c r="AA11">
        <f>Z96</f>
      </c>
      <c r="AB11">
        <f>AA96</f>
      </c>
      <c r="AC11">
        <f>AB96</f>
      </c>
      <c r="AD11">
        <f>AC96</f>
      </c>
      <c r="AE11">
        <f>AD96</f>
      </c>
      <c r="AF11">
        <f>AE96</f>
      </c>
      <c r="AG11">
        <f>AF96</f>
      </c>
      <c r="AH11">
        <f>IF(ROUND(AG96,2)&gt;0,MAX(0,ROUND(AG96,2)-0.01),0)</f>
      </c>
      <c r="AI11">
        <f>ROUND(AG96,2)</f>
      </c>
      <c r="AJ11">
        <f>IF(ROUND(AG96,2)&gt;0,ROUND(AG96,2)+0.01,0)</f>
      </c>
      <c r="AK11">
        <f>IF(AND(AK3=2,AI99&gt;AK16+0.005),0,IF(ROUND(AG96,2)=0,0,IF(AK3=1,IF(AI79&lt;=0,ROUND(AG96,2),IF(AJ79&lt;=0,ROUND(AG96,2)+0.01,ROUND(AG96,2)+0.02)),IF(AH79&lt;=0,ROUND(AG96,2)-0.01,IF(AI79&lt;=0,ROUND(AG96,2),ROUND(AG96,2)+0.01)))))</f>
      </c>
      <c r="AM11">
        <f>0</f>
      </c>
      <c r="AN11">
        <f>AM96</f>
      </c>
      <c r="AO11">
        <f>AN96</f>
      </c>
      <c r="AP11">
        <f>AO96</f>
      </c>
      <c r="AQ11">
        <f>AP96</f>
      </c>
      <c r="AR11">
        <f>AQ96</f>
      </c>
      <c r="AS11">
        <f>AR96</f>
      </c>
      <c r="AT11">
        <f>AS96</f>
      </c>
      <c r="AU11">
        <f>AT96</f>
      </c>
      <c r="AV11">
        <f>AU96</f>
      </c>
      <c r="AW11">
        <f>AV96</f>
      </c>
      <c r="AX11">
        <f>AW96</f>
      </c>
      <c r="AY11">
        <f>IF(ROUND(AX96,2)&gt;0,MAX(0,ROUND(AX96,2)-0.01),0)</f>
      </c>
      <c r="AZ11">
        <f>ROUND(AX96,2)</f>
      </c>
      <c r="BA11">
        <f>IF(ROUND(AX96,2)&gt;0,ROUND(AX96,2)+0.01,0)</f>
      </c>
      <c r="BB11">
        <f>IF(AND(BB3=2,AZ99&gt;BB16+0.005),0,IF(ROUND(AX96,2)=0,0,IF(BB3=1,IF(AZ79&lt;=0,ROUND(AX96,2),IF(BA79&lt;=0,ROUND(AX96,2)+0.01,ROUND(AX96,2)+0.02)),IF(AY79&lt;=0,ROUND(AX96,2)-0.01,IF(AZ79&lt;=0,ROUND(AX96,2),ROUND(AX96,2)+0.01)))))</f>
      </c>
      <c r="BD11">
        <f>0</f>
      </c>
      <c r="BE11">
        <f>BD96</f>
      </c>
      <c r="BF11">
        <f>BE96</f>
      </c>
      <c r="BG11">
        <f>BF96</f>
      </c>
      <c r="BH11">
        <f>BG96</f>
      </c>
      <c r="BI11">
        <f>BH96</f>
      </c>
      <c r="BJ11">
        <f>BI96</f>
      </c>
      <c r="BK11">
        <f>BJ96</f>
      </c>
      <c r="BL11">
        <f>BK96</f>
      </c>
      <c r="BM11">
        <f>BL96</f>
      </c>
      <c r="BN11">
        <f>BM96</f>
      </c>
      <c r="BO11">
        <f>BN96</f>
      </c>
      <c r="BP11">
        <f>IF(ROUND(BO96,2)&gt;0,MAX(0,ROUND(BO96,2)-0.01),0)</f>
      </c>
      <c r="BQ11">
        <f>ROUND(BO96,2)</f>
      </c>
      <c r="BR11">
        <f>IF(ROUND(BO96,2)&gt;0,ROUND(BO96,2)+0.01,0)</f>
      </c>
      <c r="BS11">
        <f>IF(AND(BS3=2,BQ99&gt;BS16+0.005),0,IF(ROUND(BO96,2)=0,0,IF(BS3=1,IF(BQ79&lt;=0,ROUND(BO96,2),IF(BR79&lt;=0,ROUND(BO96,2)+0.01,ROUND(BO96,2)+0.02)),IF(BP79&lt;=0,ROUND(BO96,2)-0.01,IF(BQ79&lt;=0,ROUND(BO96,2),ROUND(BO96,2)+0.01)))))</f>
      </c>
    </row>
    <row r="12" spans="2:71" x14ac:dyDescent="0.25">
      <c r="B12" t="s">
        <v>331</v>
      </c>
      <c r="C12">
        <f>0</f>
      </c>
      <c r="E12">
        <f>0</f>
      </c>
      <c r="F12">
        <f>E97</f>
      </c>
      <c r="G12">
        <f>F97</f>
      </c>
      <c r="H12">
        <f>G97</f>
      </c>
      <c r="I12">
        <f>H97</f>
      </c>
      <c r="J12">
        <f>I97</f>
      </c>
      <c r="K12">
        <f>J97</f>
      </c>
      <c r="L12">
        <f>K97</f>
      </c>
      <c r="M12">
        <f>L97</f>
      </c>
      <c r="N12">
        <f>M97</f>
      </c>
      <c r="O12">
        <f>N97</f>
      </c>
      <c r="P12">
        <f>O97</f>
      </c>
      <c r="Q12">
        <f>IF(ROUND(P97,2)&gt;0,MAX(0,ROUND(P97,2)-0.01),0)</f>
      </c>
      <c r="R12">
        <f>ROUND(P97,2)</f>
      </c>
      <c r="S12">
        <f>IF(ROUND(P97,2)&gt;0,ROUND(P97,2)+0.01,0)</f>
      </c>
      <c r="T12">
        <f>IF(AND(T3=2,R99&gt;T16+0.005),0,IF(ROUND(P97,2)=0,0,IF(T3=1,IF(R86&lt;=0,ROUND(P97,2),IF(S86&lt;=0,ROUND(P97,2)+0.01,ROUND(P97,2)+0.02)),IF(Q86&lt;=0,ROUND(P97,2)-0.01,IF(R86&lt;=0,ROUND(P97,2),ROUND(P97,2)+0.01)))))</f>
      </c>
      <c r="V12">
        <f>0</f>
      </c>
      <c r="W12">
        <f>V97</f>
      </c>
      <c r="X12">
        <f>W97</f>
      </c>
      <c r="Y12">
        <f>X97</f>
      </c>
      <c r="Z12">
        <f>Y97</f>
      </c>
      <c r="AA12">
        <f>Z97</f>
      </c>
      <c r="AB12">
        <f>AA97</f>
      </c>
      <c r="AC12">
        <f>AB97</f>
      </c>
      <c r="AD12">
        <f>AC97</f>
      </c>
      <c r="AE12">
        <f>AD97</f>
      </c>
      <c r="AF12">
        <f>AE97</f>
      </c>
      <c r="AG12">
        <f>AF97</f>
      </c>
      <c r="AH12">
        <f>IF(ROUND(AG97,2)&gt;0,MAX(0,ROUND(AG97,2)-0.01),0)</f>
      </c>
      <c r="AI12">
        <f>ROUND(AG97,2)</f>
      </c>
      <c r="AJ12">
        <f>IF(ROUND(AG97,2)&gt;0,ROUND(AG97,2)+0.01,0)</f>
      </c>
      <c r="AK12">
        <f>IF(AND(AK3=2,AI99&gt;AK16+0.005),0,IF(ROUND(AG97,2)=0,0,IF(AK3=1,IF(AI86&lt;=0,ROUND(AG97,2),IF(AJ86&lt;=0,ROUND(AG97,2)+0.01,ROUND(AG97,2)+0.02)),IF(AH86&lt;=0,ROUND(AG97,2)-0.01,IF(AI86&lt;=0,ROUND(AG97,2),ROUND(AG97,2)+0.01)))))</f>
      </c>
      <c r="AM12">
        <f>0</f>
      </c>
      <c r="AN12">
        <f>AM97</f>
      </c>
      <c r="AO12">
        <f>AN97</f>
      </c>
      <c r="AP12">
        <f>AO97</f>
      </c>
      <c r="AQ12">
        <f>AP97</f>
      </c>
      <c r="AR12">
        <f>AQ97</f>
      </c>
      <c r="AS12">
        <f>AR97</f>
      </c>
      <c r="AT12">
        <f>AS97</f>
      </c>
      <c r="AU12">
        <f>AT97</f>
      </c>
      <c r="AV12">
        <f>AU97</f>
      </c>
      <c r="AW12">
        <f>AV97</f>
      </c>
      <c r="AX12">
        <f>AW97</f>
      </c>
      <c r="AY12">
        <f>IF(ROUND(AX97,2)&gt;0,MAX(0,ROUND(AX97,2)-0.01),0)</f>
      </c>
      <c r="AZ12">
        <f>ROUND(AX97,2)</f>
      </c>
      <c r="BA12">
        <f>IF(ROUND(AX97,2)&gt;0,ROUND(AX97,2)+0.01,0)</f>
      </c>
      <c r="BB12">
        <f>IF(AND(BB3=2,AZ99&gt;BB16+0.005),0,IF(ROUND(AX97,2)=0,0,IF(BB3=1,IF(AZ86&lt;=0,ROUND(AX97,2),IF(BA86&lt;=0,ROUND(AX97,2)+0.01,ROUND(AX97,2)+0.02)),IF(AY86&lt;=0,ROUND(AX97,2)-0.01,IF(AZ86&lt;=0,ROUND(AX97,2),ROUND(AX97,2)+0.01)))))</f>
      </c>
      <c r="BD12">
        <f>0</f>
      </c>
      <c r="BE12">
        <f>BD97</f>
      </c>
      <c r="BF12">
        <f>BE97</f>
      </c>
      <c r="BG12">
        <f>BF97</f>
      </c>
      <c r="BH12">
        <f>BG97</f>
      </c>
      <c r="BI12">
        <f>BH97</f>
      </c>
      <c r="BJ12">
        <f>BI97</f>
      </c>
      <c r="BK12">
        <f>BJ97</f>
      </c>
      <c r="BL12">
        <f>BK97</f>
      </c>
      <c r="BM12">
        <f>BL97</f>
      </c>
      <c r="BN12">
        <f>BM97</f>
      </c>
      <c r="BO12">
        <f>BN97</f>
      </c>
      <c r="BP12">
        <f>IF(ROUND(BO97,2)&gt;0,MAX(0,ROUND(BO97,2)-0.01),0)</f>
      </c>
      <c r="BQ12">
        <f>ROUND(BO97,2)</f>
      </c>
      <c r="BR12">
        <f>IF(ROUND(BO97,2)&gt;0,ROUND(BO97,2)+0.01,0)</f>
      </c>
      <c r="BS12">
        <f>IF(AND(BS3=2,BQ99&gt;BS16+0.005),0,IF(ROUND(BO97,2)=0,0,IF(BS3=1,IF(BQ86&lt;=0,ROUND(BO97,2),IF(BR86&lt;=0,ROUND(BO97,2)+0.01,ROUND(BO97,2)+0.02)),IF(BP86&lt;=0,ROUND(BO97,2)-0.01,IF(BQ86&lt;=0,ROUND(BO97,2),ROUND(BO97,2)+0.01)))))</f>
      </c>
    </row>
    <row r="13" spans="2:71" x14ac:dyDescent="0.25">
      <c r="B13" t="s">
        <v>332</v>
      </c>
      <c r="C13">
        <f>0</f>
      </c>
      <c r="E13">
        <f>0</f>
      </c>
      <c r="F13">
        <f>E98</f>
      </c>
      <c r="G13">
        <f>F98</f>
      </c>
      <c r="H13">
        <f>G98</f>
      </c>
      <c r="I13">
        <f>H98</f>
      </c>
      <c r="J13">
        <f>I98</f>
      </c>
      <c r="K13">
        <f>J98</f>
      </c>
      <c r="L13">
        <f>K98</f>
      </c>
      <c r="M13">
        <f>L98</f>
      </c>
      <c r="N13">
        <f>M98</f>
      </c>
      <c r="O13">
        <f>N98</f>
      </c>
      <c r="P13">
        <f>O98</f>
      </c>
      <c r="Q13">
        <f>IF(ROUND(P98,2)&gt;0,MAX(0,ROUND(P98,2)-0.01),0)</f>
      </c>
      <c r="R13">
        <f>ROUND(P98,2)</f>
      </c>
      <c r="S13">
        <f>IF(ROUND(P98,2)&gt;0,ROUND(P98,2)+0.01,0)</f>
      </c>
      <c r="T13">
        <f>IF(AND(T3=2,R99&gt;T16+0.005),0,IF(ROUND(P98,2)=0,0,IF(T3=1,IF(R91&lt;=0,ROUND(P98,2),IF(S91&lt;=0,ROUND(P98,2)+0.01,ROUND(P98,2)+0.02)),IF(Q91&lt;=0,ROUND(P98,2)-0.01,IF(R91&lt;=0,ROUND(P98,2),ROUND(P98,2)+0.01)))))</f>
      </c>
      <c r="V13">
        <f>0</f>
      </c>
      <c r="W13">
        <f>V98</f>
      </c>
      <c r="X13">
        <f>W98</f>
      </c>
      <c r="Y13">
        <f>X98</f>
      </c>
      <c r="Z13">
        <f>Y98</f>
      </c>
      <c r="AA13">
        <f>Z98</f>
      </c>
      <c r="AB13">
        <f>AA98</f>
      </c>
      <c r="AC13">
        <f>AB98</f>
      </c>
      <c r="AD13">
        <f>AC98</f>
      </c>
      <c r="AE13">
        <f>AD98</f>
      </c>
      <c r="AF13">
        <f>AE98</f>
      </c>
      <c r="AG13">
        <f>AF98</f>
      </c>
      <c r="AH13">
        <f>IF(ROUND(AG98,2)&gt;0,MAX(0,ROUND(AG98,2)-0.01),0)</f>
      </c>
      <c r="AI13">
        <f>ROUND(AG98,2)</f>
      </c>
      <c r="AJ13">
        <f>IF(ROUND(AG98,2)&gt;0,ROUND(AG98,2)+0.01,0)</f>
      </c>
      <c r="AK13">
        <f>IF(AND(AK3=2,AI99&gt;AK16+0.005),0,IF(ROUND(AG98,2)=0,0,IF(AK3=1,IF(AI91&lt;=0,ROUND(AG98,2),IF(AJ91&lt;=0,ROUND(AG98,2)+0.01,ROUND(AG98,2)+0.02)),IF(AH91&lt;=0,ROUND(AG98,2)-0.01,IF(AI91&lt;=0,ROUND(AG98,2),ROUND(AG98,2)+0.01)))))</f>
      </c>
      <c r="AM13">
        <f>0</f>
      </c>
      <c r="AN13">
        <f>AM98</f>
      </c>
      <c r="AO13">
        <f>AN98</f>
      </c>
      <c r="AP13">
        <f>AO98</f>
      </c>
      <c r="AQ13">
        <f>AP98</f>
      </c>
      <c r="AR13">
        <f>AQ98</f>
      </c>
      <c r="AS13">
        <f>AR98</f>
      </c>
      <c r="AT13">
        <f>AS98</f>
      </c>
      <c r="AU13">
        <f>AT98</f>
      </c>
      <c r="AV13">
        <f>AU98</f>
      </c>
      <c r="AW13">
        <f>AV98</f>
      </c>
      <c r="AX13">
        <f>AW98</f>
      </c>
      <c r="AY13">
        <f>IF(ROUND(AX98,2)&gt;0,MAX(0,ROUND(AX98,2)-0.01),0)</f>
      </c>
      <c r="AZ13">
        <f>ROUND(AX98,2)</f>
      </c>
      <c r="BA13">
        <f>IF(ROUND(AX98,2)&gt;0,ROUND(AX98,2)+0.01,0)</f>
      </c>
      <c r="BB13">
        <f>IF(AND(BB3=2,AZ99&gt;BB16+0.005),0,IF(ROUND(AX98,2)=0,0,IF(BB3=1,IF(AZ91&lt;=0,ROUND(AX98,2),IF(BA91&lt;=0,ROUND(AX98,2)+0.01,ROUND(AX98,2)+0.02)),IF(AY91&lt;=0,ROUND(AX98,2)-0.01,IF(AZ91&lt;=0,ROUND(AX98,2),ROUND(AX98,2)+0.01)))))</f>
      </c>
      <c r="BD13">
        <f>0</f>
      </c>
      <c r="BE13">
        <f>BD98</f>
      </c>
      <c r="BF13">
        <f>BE98</f>
      </c>
      <c r="BG13">
        <f>BF98</f>
      </c>
      <c r="BH13">
        <f>BG98</f>
      </c>
      <c r="BI13">
        <f>BH98</f>
      </c>
      <c r="BJ13">
        <f>BI98</f>
      </c>
      <c r="BK13">
        <f>BJ98</f>
      </c>
      <c r="BL13">
        <f>BK98</f>
      </c>
      <c r="BM13">
        <f>BL98</f>
      </c>
      <c r="BN13">
        <f>BM98</f>
      </c>
      <c r="BO13">
        <f>BN98</f>
      </c>
      <c r="BP13">
        <f>IF(ROUND(BO98,2)&gt;0,MAX(0,ROUND(BO98,2)-0.01),0)</f>
      </c>
      <c r="BQ13">
        <f>ROUND(BO98,2)</f>
      </c>
      <c r="BR13">
        <f>IF(ROUND(BO98,2)&gt;0,ROUND(BO98,2)+0.01,0)</f>
      </c>
      <c r="BS13">
        <f>IF(AND(BS3=2,BQ99&gt;BS16+0.005),0,IF(ROUND(BO98,2)=0,0,IF(BS3=1,IF(BQ91&lt;=0,ROUND(BO98,2),IF(BR91&lt;=0,ROUND(BO98,2)+0.01,ROUND(BO98,2)+0.02)),IF(BP91&lt;=0,ROUND(BO98,2)-0.01,IF(BQ91&lt;=0,ROUND(BO98,2),ROUND(BO98,2)+0.01)))))</f>
      </c>
    </row>
    <row r="14" spans="2:71" x14ac:dyDescent="0.25">
      <c r="B14" t="s">
        <v>333</v>
      </c>
      <c r="C14">
        <f>IF(C3=2,C7+C8+C9+C10+C11+C12+C13,IF(AND(C3=3,C5&gt;0),C16,0))</f>
      </c>
      <c r="E14">
        <f>IF(E3=2,E7+E8+E9+E10+E11+E12+E13,IF(AND(E3=3,E5&gt;0),E16,0))</f>
      </c>
      <c r="F14">
        <f>IF(F3=2,F7+F8+F9+F10+F11+F12+F13,IF(AND(F3=3,F5&gt;0),F16,0))</f>
      </c>
      <c r="G14">
        <f>IF(G3=2,G7+G8+G9+G10+G11+G12+G13,IF(AND(G3=3,G5&gt;0),G16,0))</f>
      </c>
      <c r="H14">
        <f>IF(H3=2,H7+H8+H9+H10+H11+H12+H13,IF(AND(H3=3,H5&gt;0),H16,0))</f>
      </c>
      <c r="I14">
        <f>IF(I3=2,I7+I8+I9+I10+I11+I12+I13,IF(AND(I3=3,I5&gt;0),I16,0))</f>
      </c>
      <c r="J14">
        <f>IF(J3=2,J7+J8+J9+J10+J11+J12+J13,IF(AND(J3=3,J5&gt;0),J16,0))</f>
      </c>
      <c r="K14">
        <f>IF(K3=2,K7+K8+K9+K10+K11+K12+K13,IF(AND(K3=3,K5&gt;0),K16,0))</f>
      </c>
      <c r="L14">
        <f>IF(L3=2,L7+L8+L9+L10+L11+L12+L13,IF(AND(L3=3,L5&gt;0),L16,0))</f>
      </c>
      <c r="M14">
        <f>IF(M3=2,M7+M8+M9+M10+M11+M12+M13,IF(AND(M3=3,M5&gt;0),M16,0))</f>
      </c>
      <c r="N14">
        <f>IF(N3=2,N7+N8+N9+N10+N11+N12+N13,IF(AND(N3=3,N5&gt;0),N16,0))</f>
      </c>
      <c r="O14">
        <f>IF(O3=2,O7+O8+O9+O10+O11+O12+O13,IF(AND(O3=3,O5&gt;0),O16,0))</f>
      </c>
      <c r="P14">
        <f>IF(P3=2,P7+P8+P9+P10+P11+P12+P13,IF(AND(P3=3,P5&gt;0),P16,0))</f>
      </c>
      <c r="Q14">
        <f>IF(Q3=2,Q7+Q8+Q9+Q10+Q11+Q12+Q13,IF(AND(Q3=3,Q5&gt;0),Q16,0))</f>
      </c>
      <c r="R14">
        <f>IF(R3=2,R7+R8+R9+R10+R11+R12+R13,IF(AND(R3=3,R5&gt;0),R16,0))</f>
      </c>
      <c r="S14">
        <f>IF(S3=2,S7+S8+S9+S10+S11+S12+S13,IF(AND(S3=3,S5&gt;0),S16,0))</f>
      </c>
      <c r="T14">
        <f>IF(T3=2,T7+T8+T9+T10+T11+T12+T13,IF(AND(T3=3,T5&gt;0),T16,0))</f>
      </c>
      <c r="V14">
        <f>IF(V3=2,V7+V8+V9+V10+V11+V12+V13,IF(AND(V3=3,V5&gt;0),V16,0))</f>
      </c>
      <c r="W14">
        <f>IF(W3=2,W7+W8+W9+W10+W11+W12+W13,IF(AND(W3=3,W5&gt;0),W16,0))</f>
      </c>
      <c r="X14">
        <f>IF(X3=2,X7+X8+X9+X10+X11+X12+X13,IF(AND(X3=3,X5&gt;0),X16,0))</f>
      </c>
      <c r="Y14">
        <f>IF(Y3=2,Y7+Y8+Y9+Y10+Y11+Y12+Y13,IF(AND(Y3=3,Y5&gt;0),Y16,0))</f>
      </c>
      <c r="Z14">
        <f>IF(Z3=2,Z7+Z8+Z9+Z10+Z11+Z12+Z13,IF(AND(Z3=3,Z5&gt;0),Z16,0))</f>
      </c>
      <c r="AA14">
        <f>IF(AA3=2,AA7+AA8+AA9+AA10+AA11+AA12+AA13,IF(AND(AA3=3,AA5&gt;0),AA16,0))</f>
      </c>
      <c r="AB14">
        <f>IF(AB3=2,AB7+AB8+AB9+AB10+AB11+AB12+AB13,IF(AND(AB3=3,AB5&gt;0),AB16,0))</f>
      </c>
      <c r="AC14">
        <f>IF(AC3=2,AC7+AC8+AC9+AC10+AC11+AC12+AC13,IF(AND(AC3=3,AC5&gt;0),AC16,0))</f>
      </c>
      <c r="AD14">
        <f>IF(AD3=2,AD7+AD8+AD9+AD10+AD11+AD12+AD13,IF(AND(AD3=3,AD5&gt;0),AD16,0))</f>
      </c>
      <c r="AE14">
        <f>IF(AE3=2,AE7+AE8+AE9+AE10+AE11+AE12+AE13,IF(AND(AE3=3,AE5&gt;0),AE16,0))</f>
      </c>
      <c r="AF14">
        <f>IF(AF3=2,AF7+AF8+AF9+AF10+AF11+AF12+AF13,IF(AND(AF3=3,AF5&gt;0),AF16,0))</f>
      </c>
      <c r="AG14">
        <f>IF(AG3=2,AG7+AG8+AG9+AG10+AG11+AG12+AG13,IF(AND(AG3=3,AG5&gt;0),AG16,0))</f>
      </c>
      <c r="AH14">
        <f>IF(AH3=2,AH7+AH8+AH9+AH10+AH11+AH12+AH13,IF(AND(AH3=3,AH5&gt;0),AH16,0))</f>
      </c>
      <c r="AI14">
        <f>IF(AI3=2,AI7+AI8+AI9+AI10+AI11+AI12+AI13,IF(AND(AI3=3,AI5&gt;0),AI16,0))</f>
      </c>
      <c r="AJ14">
        <f>IF(AJ3=2,AJ7+AJ8+AJ9+AJ10+AJ11+AJ12+AJ13,IF(AND(AJ3=3,AJ5&gt;0),AJ16,0))</f>
      </c>
      <c r="AK14">
        <f>IF(AK3=2,AK7+AK8+AK9+AK10+AK11+AK12+AK13,IF(AND(AK3=3,AK5&gt;0),AK16,0))</f>
      </c>
      <c r="AM14">
        <f>IF(AM3=2,AM7+AM8+AM9+AM10+AM11+AM12+AM13,IF(AND(AM3=3,AM5&gt;0),AM16,0))</f>
      </c>
      <c r="AN14">
        <f>IF(AN3=2,AN7+AN8+AN9+AN10+AN11+AN12+AN13,IF(AND(AN3=3,AN5&gt;0),AN16,0))</f>
      </c>
      <c r="AO14">
        <f>IF(AO3=2,AO7+AO8+AO9+AO10+AO11+AO12+AO13,IF(AND(AO3=3,AO5&gt;0),AO16,0))</f>
      </c>
      <c r="AP14">
        <f>IF(AP3=2,AP7+AP8+AP9+AP10+AP11+AP12+AP13,IF(AND(AP3=3,AP5&gt;0),AP16,0))</f>
      </c>
      <c r="AQ14">
        <f>IF(AQ3=2,AQ7+AQ8+AQ9+AQ10+AQ11+AQ12+AQ13,IF(AND(AQ3=3,AQ5&gt;0),AQ16,0))</f>
      </c>
      <c r="AR14">
        <f>IF(AR3=2,AR7+AR8+AR9+AR10+AR11+AR12+AR13,IF(AND(AR3=3,AR5&gt;0),AR16,0))</f>
      </c>
      <c r="AS14">
        <f>IF(AS3=2,AS7+AS8+AS9+AS10+AS11+AS12+AS13,IF(AND(AS3=3,AS5&gt;0),AS16,0))</f>
      </c>
      <c r="AT14">
        <f>IF(AT3=2,AT7+AT8+AT9+AT10+AT11+AT12+AT13,IF(AND(AT3=3,AT5&gt;0),AT16,0))</f>
      </c>
      <c r="AU14">
        <f>IF(AU3=2,AU7+AU8+AU9+AU10+AU11+AU12+AU13,IF(AND(AU3=3,AU5&gt;0),AU16,0))</f>
      </c>
      <c r="AV14">
        <f>IF(AV3=2,AV7+AV8+AV9+AV10+AV11+AV12+AV13,IF(AND(AV3=3,AV5&gt;0),AV16,0))</f>
      </c>
      <c r="AW14">
        <f>IF(AW3=2,AW7+AW8+AW9+AW10+AW11+AW12+AW13,IF(AND(AW3=3,AW5&gt;0),AW16,0))</f>
      </c>
      <c r="AX14">
        <f>IF(AX3=2,AX7+AX8+AX9+AX10+AX11+AX12+AX13,IF(AND(AX3=3,AX5&gt;0),AX16,0))</f>
      </c>
      <c r="AY14">
        <f>IF(AY3=2,AY7+AY8+AY9+AY10+AY11+AY12+AY13,IF(AND(AY3=3,AY5&gt;0),AY16,0))</f>
      </c>
      <c r="AZ14">
        <f>IF(AZ3=2,AZ7+AZ8+AZ9+AZ10+AZ11+AZ12+AZ13,IF(AND(AZ3=3,AZ5&gt;0),AZ16,0))</f>
      </c>
      <c r="BA14">
        <f>IF(BA3=2,BA7+BA8+BA9+BA10+BA11+BA12+BA13,IF(AND(BA3=3,BA5&gt;0),BA16,0))</f>
      </c>
      <c r="BB14">
        <f>IF(BB3=2,BB7+BB8+BB9+BB10+BB11+BB12+BB13,IF(AND(BB3=3,BB5&gt;0),BB16,0))</f>
      </c>
      <c r="BD14">
        <f>IF(BD3=2,BD7+BD8+BD9+BD10+BD11+BD12+BD13,IF(AND(BD3=3,BD5&gt;0),BD16,0))</f>
      </c>
      <c r="BE14">
        <f>IF(BE3=2,BE7+BE8+BE9+BE10+BE11+BE12+BE13,IF(AND(BE3=3,BE5&gt;0),BE16,0))</f>
      </c>
      <c r="BF14">
        <f>IF(BF3=2,BF7+BF8+BF9+BF10+BF11+BF12+BF13,IF(AND(BF3=3,BF5&gt;0),BF16,0))</f>
      </c>
      <c r="BG14">
        <f>IF(BG3=2,BG7+BG8+BG9+BG10+BG11+BG12+BG13,IF(AND(BG3=3,BG5&gt;0),BG16,0))</f>
      </c>
      <c r="BH14">
        <f>IF(BH3=2,BH7+BH8+BH9+BH10+BH11+BH12+BH13,IF(AND(BH3=3,BH5&gt;0),BH16,0))</f>
      </c>
      <c r="BI14">
        <f>IF(BI3=2,BI7+BI8+BI9+BI10+BI11+BI12+BI13,IF(AND(BI3=3,BI5&gt;0),BI16,0))</f>
      </c>
      <c r="BJ14">
        <f>IF(BJ3=2,BJ7+BJ8+BJ9+BJ10+BJ11+BJ12+BJ13,IF(AND(BJ3=3,BJ5&gt;0),BJ16,0))</f>
      </c>
      <c r="BK14">
        <f>IF(BK3=2,BK7+BK8+BK9+BK10+BK11+BK12+BK13,IF(AND(BK3=3,BK5&gt;0),BK16,0))</f>
      </c>
      <c r="BL14">
        <f>IF(BL3=2,BL7+BL8+BL9+BL10+BL11+BL12+BL13,IF(AND(BL3=3,BL5&gt;0),BL16,0))</f>
      </c>
      <c r="BM14">
        <f>IF(BM3=2,BM7+BM8+BM9+BM10+BM11+BM12+BM13,IF(AND(BM3=3,BM5&gt;0),BM16,0))</f>
      </c>
      <c r="BN14">
        <f>IF(BN3=2,BN7+BN8+BN9+BN10+BN11+BN12+BN13,IF(AND(BN3=3,BN5&gt;0),BN16,0))</f>
      </c>
      <c r="BO14">
        <f>IF(BO3=2,BO7+BO8+BO9+BO10+BO11+BO12+BO13,IF(AND(BO3=3,BO5&gt;0),BO16,0))</f>
      </c>
      <c r="BP14">
        <f>IF(BP3=2,BP7+BP8+BP9+BP10+BP11+BP12+BP13,IF(AND(BP3=3,BP5&gt;0),BP16,0))</f>
      </c>
      <c r="BQ14">
        <f>IF(BQ3=2,BQ7+BQ8+BQ9+BQ10+BQ11+BQ12+BQ13,IF(AND(BQ3=3,BQ5&gt;0),BQ16,0))</f>
      </c>
      <c r="BR14">
        <f>IF(BR3=2,BR7+BR8+BR9+BR10+BR11+BR12+BR13,IF(AND(BR3=3,BR5&gt;0),BR16,0))</f>
      </c>
      <c r="BS14">
        <f>IF(BS3=2,BS7+BS8+BS9+BS10+BS11+BS12+BS13,IF(AND(BS3=3,BS5&gt;0),BS16,0))</f>
      </c>
    </row>
    <row r="15" spans="2:71" x14ac:dyDescent="0.25">
      <c r="B15" t="s">
        <v>334</v>
      </c>
      <c r="C15">
        <f>IF(C3=1,C7+C8+C9+C10+C11+C12+C13,0)</f>
      </c>
      <c r="E15">
        <f>IF(E3=1,E7+E8+E9+E10+E11+E12+E13,0)</f>
      </c>
      <c r="F15">
        <f>IF(F3=1,F7+F8+F9+F10+F11+F12+F13,0)</f>
      </c>
      <c r="G15">
        <f>IF(G3=1,G7+G8+G9+G10+G11+G12+G13,0)</f>
      </c>
      <c r="H15">
        <f>IF(H3=1,H7+H8+H9+H10+H11+H12+H13,0)</f>
      </c>
      <c r="I15">
        <f>IF(I3=1,I7+I8+I9+I10+I11+I12+I13,0)</f>
      </c>
      <c r="J15">
        <f>IF(J3=1,J7+J8+J9+J10+J11+J12+J13,0)</f>
      </c>
      <c r="K15">
        <f>IF(K3=1,K7+K8+K9+K10+K11+K12+K13,0)</f>
      </c>
      <c r="L15">
        <f>IF(L3=1,L7+L8+L9+L10+L11+L12+L13,0)</f>
      </c>
      <c r="M15">
        <f>IF(M3=1,M7+M8+M9+M10+M11+M12+M13,0)</f>
      </c>
      <c r="N15">
        <f>IF(N3=1,N7+N8+N9+N10+N11+N12+N13,0)</f>
      </c>
      <c r="O15">
        <f>IF(O3=1,O7+O8+O9+O10+O11+O12+O13,0)</f>
      </c>
      <c r="P15">
        <f>IF(P3=1,P7+P8+P9+P10+P11+P12+P13,0)</f>
      </c>
      <c r="Q15">
        <f>IF(Q3=1,Q7+Q8+Q9+Q10+Q11+Q12+Q13,0)</f>
      </c>
      <c r="R15">
        <f>IF(R3=1,R7+R8+R9+R10+R11+R12+R13,0)</f>
      </c>
      <c r="S15">
        <f>IF(S3=1,S7+S8+S9+S10+S11+S12+S13,0)</f>
      </c>
      <c r="T15">
        <f>IF(T3=1,T7+T8+T9+T10+T11+T12+T13,0)</f>
      </c>
      <c r="V15">
        <f>IF(V3=1,V7+V8+V9+V10+V11+V12+V13,0)</f>
      </c>
      <c r="W15">
        <f>IF(W3=1,W7+W8+W9+W10+W11+W12+W13,0)</f>
      </c>
      <c r="X15">
        <f>IF(X3=1,X7+X8+X9+X10+X11+X12+X13,0)</f>
      </c>
      <c r="Y15">
        <f>IF(Y3=1,Y7+Y8+Y9+Y10+Y11+Y12+Y13,0)</f>
      </c>
      <c r="Z15">
        <f>IF(Z3=1,Z7+Z8+Z9+Z10+Z11+Z12+Z13,0)</f>
      </c>
      <c r="AA15">
        <f>IF(AA3=1,AA7+AA8+AA9+AA10+AA11+AA12+AA13,0)</f>
      </c>
      <c r="AB15">
        <f>IF(AB3=1,AB7+AB8+AB9+AB10+AB11+AB12+AB13,0)</f>
      </c>
      <c r="AC15">
        <f>IF(AC3=1,AC7+AC8+AC9+AC10+AC11+AC12+AC13,0)</f>
      </c>
      <c r="AD15">
        <f>IF(AD3=1,AD7+AD8+AD9+AD10+AD11+AD12+AD13,0)</f>
      </c>
      <c r="AE15">
        <f>IF(AE3=1,AE7+AE8+AE9+AE10+AE11+AE12+AE13,0)</f>
      </c>
      <c r="AF15">
        <f>IF(AF3=1,AF7+AF8+AF9+AF10+AF11+AF12+AF13,0)</f>
      </c>
      <c r="AG15">
        <f>IF(AG3=1,AG7+AG8+AG9+AG10+AG11+AG12+AG13,0)</f>
      </c>
      <c r="AH15">
        <f>IF(AH3=1,AH7+AH8+AH9+AH10+AH11+AH12+AH13,0)</f>
      </c>
      <c r="AI15">
        <f>IF(AI3=1,AI7+AI8+AI9+AI10+AI11+AI12+AI13,0)</f>
      </c>
      <c r="AJ15">
        <f>IF(AJ3=1,AJ7+AJ8+AJ9+AJ10+AJ11+AJ12+AJ13,0)</f>
      </c>
      <c r="AK15">
        <f>IF(AK3=1,AK7+AK8+AK9+AK10+AK11+AK12+AK13,0)</f>
      </c>
      <c r="AM15">
        <f>IF(AM3=1,AM7+AM8+AM9+AM10+AM11+AM12+AM13,0)</f>
      </c>
      <c r="AN15">
        <f>IF(AN3=1,AN7+AN8+AN9+AN10+AN11+AN12+AN13,0)</f>
      </c>
      <c r="AO15">
        <f>IF(AO3=1,AO7+AO8+AO9+AO10+AO11+AO12+AO13,0)</f>
      </c>
      <c r="AP15">
        <f>IF(AP3=1,AP7+AP8+AP9+AP10+AP11+AP12+AP13,0)</f>
      </c>
      <c r="AQ15">
        <f>IF(AQ3=1,AQ7+AQ8+AQ9+AQ10+AQ11+AQ12+AQ13,0)</f>
      </c>
      <c r="AR15">
        <f>IF(AR3=1,AR7+AR8+AR9+AR10+AR11+AR12+AR13,0)</f>
      </c>
      <c r="AS15">
        <f>IF(AS3=1,AS7+AS8+AS9+AS10+AS11+AS12+AS13,0)</f>
      </c>
      <c r="AT15">
        <f>IF(AT3=1,AT7+AT8+AT9+AT10+AT11+AT12+AT13,0)</f>
      </c>
      <c r="AU15">
        <f>IF(AU3=1,AU7+AU8+AU9+AU10+AU11+AU12+AU13,0)</f>
      </c>
      <c r="AV15">
        <f>IF(AV3=1,AV7+AV8+AV9+AV10+AV11+AV12+AV13,0)</f>
      </c>
      <c r="AW15">
        <f>IF(AW3=1,AW7+AW8+AW9+AW10+AW11+AW12+AW13,0)</f>
      </c>
      <c r="AX15">
        <f>IF(AX3=1,AX7+AX8+AX9+AX10+AX11+AX12+AX13,0)</f>
      </c>
      <c r="AY15">
        <f>IF(AY3=1,AY7+AY8+AY9+AY10+AY11+AY12+AY13,0)</f>
      </c>
      <c r="AZ15">
        <f>IF(AZ3=1,AZ7+AZ8+AZ9+AZ10+AZ11+AZ12+AZ13,0)</f>
      </c>
      <c r="BA15">
        <f>IF(BA3=1,BA7+BA8+BA9+BA10+BA11+BA12+BA13,0)</f>
      </c>
      <c r="BB15">
        <f>IF(BB3=1,BB7+BB8+BB9+BB10+BB11+BB12+BB13,0)</f>
      </c>
      <c r="BD15">
        <f>IF(BD3=1,BD7+BD8+BD9+BD10+BD11+BD12+BD13,0)</f>
      </c>
      <c r="BE15">
        <f>IF(BE3=1,BE7+BE8+BE9+BE10+BE11+BE12+BE13,0)</f>
      </c>
      <c r="BF15">
        <f>IF(BF3=1,BF7+BF8+BF9+BF10+BF11+BF12+BF13,0)</f>
      </c>
      <c r="BG15">
        <f>IF(BG3=1,BG7+BG8+BG9+BG10+BG11+BG12+BG13,0)</f>
      </c>
      <c r="BH15">
        <f>IF(BH3=1,BH7+BH8+BH9+BH10+BH11+BH12+BH13,0)</f>
      </c>
      <c r="BI15">
        <f>IF(BI3=1,BI7+BI8+BI9+BI10+BI11+BI12+BI13,0)</f>
      </c>
      <c r="BJ15">
        <f>IF(BJ3=1,BJ7+BJ8+BJ9+BJ10+BJ11+BJ12+BJ13,0)</f>
      </c>
      <c r="BK15">
        <f>IF(BK3=1,BK7+BK8+BK9+BK10+BK11+BK12+BK13,0)</f>
      </c>
      <c r="BL15">
        <f>IF(BL3=1,BL7+BL8+BL9+BL10+BL11+BL12+BL13,0)</f>
      </c>
      <c r="BM15">
        <f>IF(BM3=1,BM7+BM8+BM9+BM10+BM11+BM12+BM13,0)</f>
      </c>
      <c r="BN15">
        <f>IF(BN3=1,BN7+BN8+BN9+BN10+BN11+BN12+BN13,0)</f>
      </c>
      <c r="BO15">
        <f>IF(BO3=1,BO7+BO8+BO9+BO10+BO11+BO12+BO13,0)</f>
      </c>
      <c r="BP15">
        <f>IF(BP3=1,BP7+BP8+BP9+BP10+BP11+BP12+BP13,0)</f>
      </c>
      <c r="BQ15">
        <f>IF(BQ3=1,BQ7+BQ8+BQ9+BQ10+BQ11+BQ12+BQ13,0)</f>
      </c>
      <c r="BR15">
        <f>IF(BR3=1,BR7+BR8+BR9+BR10+BR11+BR12+BR13,0)</f>
      </c>
      <c r="BS15">
        <f>IF(BS3=1,BS7+BS8+BS9+BS10+BS11+BS12+BS13,0)</f>
      </c>
    </row>
    <row r="16" spans="2:71" x14ac:dyDescent="0.25">
      <c r="B16" t="s">
        <v>335</v>
      </c>
      <c r="C16">
        <f>IF(C5&gt;0,N(INDEX('Inputs'!$D$59:$D$70,C5)),0)</f>
      </c>
      <c r="E16">
        <f>IF(E5&gt;0,N(INDEX('Inputs'!$D$59:$D$70,E5)),0)</f>
      </c>
      <c r="F16">
        <f>IF(F5&gt;0,N(INDEX('Inputs'!$D$59:$D$70,F5)),0)</f>
      </c>
      <c r="G16">
        <f>IF(G5&gt;0,N(INDEX('Inputs'!$D$59:$D$70,G5)),0)</f>
      </c>
      <c r="H16">
        <f>IF(H5&gt;0,N(INDEX('Inputs'!$D$59:$D$70,H5)),0)</f>
      </c>
      <c r="I16">
        <f>IF(I5&gt;0,N(INDEX('Inputs'!$D$59:$D$70,I5)),0)</f>
      </c>
      <c r="J16">
        <f>IF(J5&gt;0,N(INDEX('Inputs'!$D$59:$D$70,J5)),0)</f>
      </c>
      <c r="K16">
        <f>IF(K5&gt;0,N(INDEX('Inputs'!$D$59:$D$70,K5)),0)</f>
      </c>
      <c r="L16">
        <f>IF(L5&gt;0,N(INDEX('Inputs'!$D$59:$D$70,L5)),0)</f>
      </c>
      <c r="M16">
        <f>IF(M5&gt;0,N(INDEX('Inputs'!$D$59:$D$70,M5)),0)</f>
      </c>
      <c r="N16">
        <f>IF(N5&gt;0,N(INDEX('Inputs'!$D$59:$D$70,N5)),0)</f>
      </c>
      <c r="O16">
        <f>IF(O5&gt;0,N(INDEX('Inputs'!$D$59:$D$70,O5)),0)</f>
      </c>
      <c r="P16">
        <f>IF(P5&gt;0,N(INDEX('Inputs'!$D$59:$D$70,P5)),0)</f>
      </c>
      <c r="Q16">
        <f>IF(Q5&gt;0,N(INDEX('Inputs'!$D$59:$D$70,Q5)),0)</f>
      </c>
      <c r="R16">
        <f>IF(R5&gt;0,N(INDEX('Inputs'!$D$59:$D$70,R5)),0)</f>
      </c>
      <c r="S16">
        <f>IF(S5&gt;0,N(INDEX('Inputs'!$D$59:$D$70,S5)),0)</f>
      </c>
      <c r="T16">
        <f>IF(T5&gt;0,N(INDEX('Inputs'!$D$59:$D$70,T5)),0)</f>
      </c>
      <c r="V16">
        <f>IF(V5&gt;0,N(INDEX('Inputs'!$D$59:$D$70,V5)),0)</f>
      </c>
      <c r="W16">
        <f>IF(W5&gt;0,N(INDEX('Inputs'!$D$59:$D$70,W5)),0)</f>
      </c>
      <c r="X16">
        <f>IF(X5&gt;0,N(INDEX('Inputs'!$D$59:$D$70,X5)),0)</f>
      </c>
      <c r="Y16">
        <f>IF(Y5&gt;0,N(INDEX('Inputs'!$D$59:$D$70,Y5)),0)</f>
      </c>
      <c r="Z16">
        <f>IF(Z5&gt;0,N(INDEX('Inputs'!$D$59:$D$70,Z5)),0)</f>
      </c>
      <c r="AA16">
        <f>IF(AA5&gt;0,N(INDEX('Inputs'!$D$59:$D$70,AA5)),0)</f>
      </c>
      <c r="AB16">
        <f>IF(AB5&gt;0,N(INDEX('Inputs'!$D$59:$D$70,AB5)),0)</f>
      </c>
      <c r="AC16">
        <f>IF(AC5&gt;0,N(INDEX('Inputs'!$D$59:$D$70,AC5)),0)</f>
      </c>
      <c r="AD16">
        <f>IF(AD5&gt;0,N(INDEX('Inputs'!$D$59:$D$70,AD5)),0)</f>
      </c>
      <c r="AE16">
        <f>IF(AE5&gt;0,N(INDEX('Inputs'!$D$59:$D$70,AE5)),0)</f>
      </c>
      <c r="AF16">
        <f>IF(AF5&gt;0,N(INDEX('Inputs'!$D$59:$D$70,AF5)),0)</f>
      </c>
      <c r="AG16">
        <f>IF(AG5&gt;0,N(INDEX('Inputs'!$D$59:$D$70,AG5)),0)</f>
      </c>
      <c r="AH16">
        <f>IF(AH5&gt;0,N(INDEX('Inputs'!$D$59:$D$70,AH5)),0)</f>
      </c>
      <c r="AI16">
        <f>IF(AI5&gt;0,N(INDEX('Inputs'!$D$59:$D$70,AI5)),0)</f>
      </c>
      <c r="AJ16">
        <f>IF(AJ5&gt;0,N(INDEX('Inputs'!$D$59:$D$70,AJ5)),0)</f>
      </c>
      <c r="AK16">
        <f>IF(AK5&gt;0,N(INDEX('Inputs'!$D$59:$D$70,AK5)),0)</f>
      </c>
      <c r="AM16">
        <f>IF(AM5&gt;0,N(INDEX('Inputs'!$D$59:$D$70,AM5)),0)</f>
      </c>
      <c r="AN16">
        <f>IF(AN5&gt;0,N(INDEX('Inputs'!$D$59:$D$70,AN5)),0)</f>
      </c>
      <c r="AO16">
        <f>IF(AO5&gt;0,N(INDEX('Inputs'!$D$59:$D$70,AO5)),0)</f>
      </c>
      <c r="AP16">
        <f>IF(AP5&gt;0,N(INDEX('Inputs'!$D$59:$D$70,AP5)),0)</f>
      </c>
      <c r="AQ16">
        <f>IF(AQ5&gt;0,N(INDEX('Inputs'!$D$59:$D$70,AQ5)),0)</f>
      </c>
      <c r="AR16">
        <f>IF(AR5&gt;0,N(INDEX('Inputs'!$D$59:$D$70,AR5)),0)</f>
      </c>
      <c r="AS16">
        <f>IF(AS5&gt;0,N(INDEX('Inputs'!$D$59:$D$70,AS5)),0)</f>
      </c>
      <c r="AT16">
        <f>IF(AT5&gt;0,N(INDEX('Inputs'!$D$59:$D$70,AT5)),0)</f>
      </c>
      <c r="AU16">
        <f>IF(AU5&gt;0,N(INDEX('Inputs'!$D$59:$D$70,AU5)),0)</f>
      </c>
      <c r="AV16">
        <f>IF(AV5&gt;0,N(INDEX('Inputs'!$D$59:$D$70,AV5)),0)</f>
      </c>
      <c r="AW16">
        <f>IF(AW5&gt;0,N(INDEX('Inputs'!$D$59:$D$70,AW5)),0)</f>
      </c>
      <c r="AX16">
        <f>IF(AX5&gt;0,N(INDEX('Inputs'!$D$59:$D$70,AX5)),0)</f>
      </c>
      <c r="AY16">
        <f>IF(AY5&gt;0,N(INDEX('Inputs'!$D$59:$D$70,AY5)),0)</f>
      </c>
      <c r="AZ16">
        <f>IF(AZ5&gt;0,N(INDEX('Inputs'!$D$59:$D$70,AZ5)),0)</f>
      </c>
      <c r="BA16">
        <f>IF(BA5&gt;0,N(INDEX('Inputs'!$D$59:$D$70,BA5)),0)</f>
      </c>
      <c r="BB16">
        <f>IF(BB5&gt;0,N(INDEX('Inputs'!$D$59:$D$70,BB5)),0)</f>
      </c>
      <c r="BD16">
        <f>IF(BD5&gt;0,N(INDEX('Inputs'!$D$59:$D$70,BD5)),0)</f>
      </c>
      <c r="BE16">
        <f>IF(BE5&gt;0,N(INDEX('Inputs'!$D$59:$D$70,BE5)),0)</f>
      </c>
      <c r="BF16">
        <f>IF(BF5&gt;0,N(INDEX('Inputs'!$D$59:$D$70,BF5)),0)</f>
      </c>
      <c r="BG16">
        <f>IF(BG5&gt;0,N(INDEX('Inputs'!$D$59:$D$70,BG5)),0)</f>
      </c>
      <c r="BH16">
        <f>IF(BH5&gt;0,N(INDEX('Inputs'!$D$59:$D$70,BH5)),0)</f>
      </c>
      <c r="BI16">
        <f>IF(BI5&gt;0,N(INDEX('Inputs'!$D$59:$D$70,BI5)),0)</f>
      </c>
      <c r="BJ16">
        <f>IF(BJ5&gt;0,N(INDEX('Inputs'!$D$59:$D$70,BJ5)),0)</f>
      </c>
      <c r="BK16">
        <f>IF(BK5&gt;0,N(INDEX('Inputs'!$D$59:$D$70,BK5)),0)</f>
      </c>
      <c r="BL16">
        <f>IF(BL5&gt;0,N(INDEX('Inputs'!$D$59:$D$70,BL5)),0)</f>
      </c>
      <c r="BM16">
        <f>IF(BM5&gt;0,N(INDEX('Inputs'!$D$59:$D$70,BM5)),0)</f>
      </c>
      <c r="BN16">
        <f>IF(BN5&gt;0,N(INDEX('Inputs'!$D$59:$D$70,BN5)),0)</f>
      </c>
      <c r="BO16">
        <f>IF(BO5&gt;0,N(INDEX('Inputs'!$D$59:$D$70,BO5)),0)</f>
      </c>
      <c r="BP16">
        <f>IF(BP5&gt;0,N(INDEX('Inputs'!$D$59:$D$70,BP5)),0)</f>
      </c>
      <c r="BQ16">
        <f>IF(BQ5&gt;0,N(INDEX('Inputs'!$D$59:$D$70,BQ5)),0)</f>
      </c>
      <c r="BR16">
        <f>IF(BR5&gt;0,N(INDEX('Inputs'!$D$59:$D$70,BR5)),0)</f>
      </c>
      <c r="BS16">
        <f>IF(BS5&gt;0,N(INDEX('Inputs'!$D$59:$D$70,BS5)),0)</f>
      </c>
    </row>
    <row r="17" spans="2:71" x14ac:dyDescent="0.25">
      <c r="B17" t="s">
        <v>336</v>
      </c>
      <c r="C17">
        <f>IF(C5&gt;0,IF(INDEX('Inputs'!$C$59:$C$70,C5)="Spouse",1,0),0)</f>
      </c>
      <c r="E17">
        <f>IF(E5&gt;0,IF(INDEX('Inputs'!$C$59:$C$70,E5)="Spouse",1,0),0)</f>
      </c>
      <c r="F17">
        <f>IF(F5&gt;0,IF(INDEX('Inputs'!$C$59:$C$70,F5)="Spouse",1,0),0)</f>
      </c>
      <c r="G17">
        <f>IF(G5&gt;0,IF(INDEX('Inputs'!$C$59:$C$70,G5)="Spouse",1,0),0)</f>
      </c>
      <c r="H17">
        <f>IF(H5&gt;0,IF(INDEX('Inputs'!$C$59:$C$70,H5)="Spouse",1,0),0)</f>
      </c>
      <c r="I17">
        <f>IF(I5&gt;0,IF(INDEX('Inputs'!$C$59:$C$70,I5)="Spouse",1,0),0)</f>
      </c>
      <c r="J17">
        <f>IF(J5&gt;0,IF(INDEX('Inputs'!$C$59:$C$70,J5)="Spouse",1,0),0)</f>
      </c>
      <c r="K17">
        <f>IF(K5&gt;0,IF(INDEX('Inputs'!$C$59:$C$70,K5)="Spouse",1,0),0)</f>
      </c>
      <c r="L17">
        <f>IF(L5&gt;0,IF(INDEX('Inputs'!$C$59:$C$70,L5)="Spouse",1,0),0)</f>
      </c>
      <c r="M17">
        <f>IF(M5&gt;0,IF(INDEX('Inputs'!$C$59:$C$70,M5)="Spouse",1,0),0)</f>
      </c>
      <c r="N17">
        <f>IF(N5&gt;0,IF(INDEX('Inputs'!$C$59:$C$70,N5)="Spouse",1,0),0)</f>
      </c>
      <c r="O17">
        <f>IF(O5&gt;0,IF(INDEX('Inputs'!$C$59:$C$70,O5)="Spouse",1,0),0)</f>
      </c>
      <c r="P17">
        <f>IF(P5&gt;0,IF(INDEX('Inputs'!$C$59:$C$70,P5)="Spouse",1,0),0)</f>
      </c>
      <c r="Q17">
        <f>IF(Q5&gt;0,IF(INDEX('Inputs'!$C$59:$C$70,Q5)="Spouse",1,0),0)</f>
      </c>
      <c r="R17">
        <f>IF(R5&gt;0,IF(INDEX('Inputs'!$C$59:$C$70,R5)="Spouse",1,0),0)</f>
      </c>
      <c r="S17">
        <f>IF(S5&gt;0,IF(INDEX('Inputs'!$C$59:$C$70,S5)="Spouse",1,0),0)</f>
      </c>
      <c r="T17">
        <f>IF(T5&gt;0,IF(INDEX('Inputs'!$C$59:$C$70,T5)="Spouse",1,0),0)</f>
      </c>
      <c r="V17">
        <f>IF(V5&gt;0,IF(INDEX('Inputs'!$C$59:$C$70,V5)="Spouse",1,0),0)</f>
      </c>
      <c r="W17">
        <f>IF(W5&gt;0,IF(INDEX('Inputs'!$C$59:$C$70,W5)="Spouse",1,0),0)</f>
      </c>
      <c r="X17">
        <f>IF(X5&gt;0,IF(INDEX('Inputs'!$C$59:$C$70,X5)="Spouse",1,0),0)</f>
      </c>
      <c r="Y17">
        <f>IF(Y5&gt;0,IF(INDEX('Inputs'!$C$59:$C$70,Y5)="Spouse",1,0),0)</f>
      </c>
      <c r="Z17">
        <f>IF(Z5&gt;0,IF(INDEX('Inputs'!$C$59:$C$70,Z5)="Spouse",1,0),0)</f>
      </c>
      <c r="AA17">
        <f>IF(AA5&gt;0,IF(INDEX('Inputs'!$C$59:$C$70,AA5)="Spouse",1,0),0)</f>
      </c>
      <c r="AB17">
        <f>IF(AB5&gt;0,IF(INDEX('Inputs'!$C$59:$C$70,AB5)="Spouse",1,0),0)</f>
      </c>
      <c r="AC17">
        <f>IF(AC5&gt;0,IF(INDEX('Inputs'!$C$59:$C$70,AC5)="Spouse",1,0),0)</f>
      </c>
      <c r="AD17">
        <f>IF(AD5&gt;0,IF(INDEX('Inputs'!$C$59:$C$70,AD5)="Spouse",1,0),0)</f>
      </c>
      <c r="AE17">
        <f>IF(AE5&gt;0,IF(INDEX('Inputs'!$C$59:$C$70,AE5)="Spouse",1,0),0)</f>
      </c>
      <c r="AF17">
        <f>IF(AF5&gt;0,IF(INDEX('Inputs'!$C$59:$C$70,AF5)="Spouse",1,0),0)</f>
      </c>
      <c r="AG17">
        <f>IF(AG5&gt;0,IF(INDEX('Inputs'!$C$59:$C$70,AG5)="Spouse",1,0),0)</f>
      </c>
      <c r="AH17">
        <f>IF(AH5&gt;0,IF(INDEX('Inputs'!$C$59:$C$70,AH5)="Spouse",1,0),0)</f>
      </c>
      <c r="AI17">
        <f>IF(AI5&gt;0,IF(INDEX('Inputs'!$C$59:$C$70,AI5)="Spouse",1,0),0)</f>
      </c>
      <c r="AJ17">
        <f>IF(AJ5&gt;0,IF(INDEX('Inputs'!$C$59:$C$70,AJ5)="Spouse",1,0),0)</f>
      </c>
      <c r="AK17">
        <f>IF(AK5&gt;0,IF(INDEX('Inputs'!$C$59:$C$70,AK5)="Spouse",1,0),0)</f>
      </c>
      <c r="AM17">
        <f>IF(AM5&gt;0,IF(INDEX('Inputs'!$C$59:$C$70,AM5)="Spouse",1,0),0)</f>
      </c>
      <c r="AN17">
        <f>IF(AN5&gt;0,IF(INDEX('Inputs'!$C$59:$C$70,AN5)="Spouse",1,0),0)</f>
      </c>
      <c r="AO17">
        <f>IF(AO5&gt;0,IF(INDEX('Inputs'!$C$59:$C$70,AO5)="Spouse",1,0),0)</f>
      </c>
      <c r="AP17">
        <f>IF(AP5&gt;0,IF(INDEX('Inputs'!$C$59:$C$70,AP5)="Spouse",1,0),0)</f>
      </c>
      <c r="AQ17">
        <f>IF(AQ5&gt;0,IF(INDEX('Inputs'!$C$59:$C$70,AQ5)="Spouse",1,0),0)</f>
      </c>
      <c r="AR17">
        <f>IF(AR5&gt;0,IF(INDEX('Inputs'!$C$59:$C$70,AR5)="Spouse",1,0),0)</f>
      </c>
      <c r="AS17">
        <f>IF(AS5&gt;0,IF(INDEX('Inputs'!$C$59:$C$70,AS5)="Spouse",1,0),0)</f>
      </c>
      <c r="AT17">
        <f>IF(AT5&gt;0,IF(INDEX('Inputs'!$C$59:$C$70,AT5)="Spouse",1,0),0)</f>
      </c>
      <c r="AU17">
        <f>IF(AU5&gt;0,IF(INDEX('Inputs'!$C$59:$C$70,AU5)="Spouse",1,0),0)</f>
      </c>
      <c r="AV17">
        <f>IF(AV5&gt;0,IF(INDEX('Inputs'!$C$59:$C$70,AV5)="Spouse",1,0),0)</f>
      </c>
      <c r="AW17">
        <f>IF(AW5&gt;0,IF(INDEX('Inputs'!$C$59:$C$70,AW5)="Spouse",1,0),0)</f>
      </c>
      <c r="AX17">
        <f>IF(AX5&gt;0,IF(INDEX('Inputs'!$C$59:$C$70,AX5)="Spouse",1,0),0)</f>
      </c>
      <c r="AY17">
        <f>IF(AY5&gt;0,IF(INDEX('Inputs'!$C$59:$C$70,AY5)="Spouse",1,0),0)</f>
      </c>
      <c r="AZ17">
        <f>IF(AZ5&gt;0,IF(INDEX('Inputs'!$C$59:$C$70,AZ5)="Spouse",1,0),0)</f>
      </c>
      <c r="BA17">
        <f>IF(BA5&gt;0,IF(INDEX('Inputs'!$C$59:$C$70,BA5)="Spouse",1,0),0)</f>
      </c>
      <c r="BB17">
        <f>IF(BB5&gt;0,IF(INDEX('Inputs'!$C$59:$C$70,BB5)="Spouse",1,0),0)</f>
      </c>
      <c r="BD17">
        <f>IF(BD5&gt;0,IF(INDEX('Inputs'!$C$59:$C$70,BD5)="Spouse",1,0),0)</f>
      </c>
      <c r="BE17">
        <f>IF(BE5&gt;0,IF(INDEX('Inputs'!$C$59:$C$70,BE5)="Spouse",1,0),0)</f>
      </c>
      <c r="BF17">
        <f>IF(BF5&gt;0,IF(INDEX('Inputs'!$C$59:$C$70,BF5)="Spouse",1,0),0)</f>
      </c>
      <c r="BG17">
        <f>IF(BG5&gt;0,IF(INDEX('Inputs'!$C$59:$C$70,BG5)="Spouse",1,0),0)</f>
      </c>
      <c r="BH17">
        <f>IF(BH5&gt;0,IF(INDEX('Inputs'!$C$59:$C$70,BH5)="Spouse",1,0),0)</f>
      </c>
      <c r="BI17">
        <f>IF(BI5&gt;0,IF(INDEX('Inputs'!$C$59:$C$70,BI5)="Spouse",1,0),0)</f>
      </c>
      <c r="BJ17">
        <f>IF(BJ5&gt;0,IF(INDEX('Inputs'!$C$59:$C$70,BJ5)="Spouse",1,0),0)</f>
      </c>
      <c r="BK17">
        <f>IF(BK5&gt;0,IF(INDEX('Inputs'!$C$59:$C$70,BK5)="Spouse",1,0),0)</f>
      </c>
      <c r="BL17">
        <f>IF(BL5&gt;0,IF(INDEX('Inputs'!$C$59:$C$70,BL5)="Spouse",1,0),0)</f>
      </c>
      <c r="BM17">
        <f>IF(BM5&gt;0,IF(INDEX('Inputs'!$C$59:$C$70,BM5)="Spouse",1,0),0)</f>
      </c>
      <c r="BN17">
        <f>IF(BN5&gt;0,IF(INDEX('Inputs'!$C$59:$C$70,BN5)="Spouse",1,0),0)</f>
      </c>
      <c r="BO17">
        <f>IF(BO5&gt;0,IF(INDEX('Inputs'!$C$59:$C$70,BO5)="Spouse",1,0),0)</f>
      </c>
      <c r="BP17">
        <f>IF(BP5&gt;0,IF(INDEX('Inputs'!$C$59:$C$70,BP5)="Spouse",1,0),0)</f>
      </c>
      <c r="BQ17">
        <f>IF(BQ5&gt;0,IF(INDEX('Inputs'!$C$59:$C$70,BQ5)="Spouse",1,0),0)</f>
      </c>
      <c r="BR17">
        <f>IF(BR5&gt;0,IF(INDEX('Inputs'!$C$59:$C$70,BR5)="Spouse",1,0),0)</f>
      </c>
      <c r="BS17">
        <f>IF(BS5&gt;0,IF(INDEX('Inputs'!$C$59:$C$70,BS5)="Spouse",1,0),0)</f>
      </c>
    </row>
    <row r="18" spans="2:71" x14ac:dyDescent="0.25">
      <c r="B18" t="s">
        <v>337</v>
      </c>
      <c r="C18">
        <f>IF(AND(C3&gt;=2,C5=0),1,0)</f>
      </c>
      <c r="E18">
        <f>IF(AND(E3&gt;=2,E5=0),1,0)</f>
      </c>
      <c r="F18">
        <f>IF(AND(F3&gt;=2,F5=0),1,0)</f>
      </c>
      <c r="G18">
        <f>IF(AND(G3&gt;=2,G5=0),1,0)</f>
      </c>
      <c r="H18">
        <f>IF(AND(H3&gt;=2,H5=0),1,0)</f>
      </c>
      <c r="I18">
        <f>IF(AND(I3&gt;=2,I5=0),1,0)</f>
      </c>
      <c r="J18">
        <f>IF(AND(J3&gt;=2,J5=0),1,0)</f>
      </c>
      <c r="K18">
        <f>IF(AND(K3&gt;=2,K5=0),1,0)</f>
      </c>
      <c r="L18">
        <f>IF(AND(L3&gt;=2,L5=0),1,0)</f>
      </c>
      <c r="M18">
        <f>IF(AND(M3&gt;=2,M5=0),1,0)</f>
      </c>
      <c r="N18">
        <f>IF(AND(N3&gt;=2,N5=0),1,0)</f>
      </c>
      <c r="O18">
        <f>IF(AND(O3&gt;=2,O5=0),1,0)</f>
      </c>
      <c r="P18">
        <f>IF(AND(P3&gt;=2,P5=0),1,0)</f>
      </c>
      <c r="Q18">
        <f>IF(AND(Q3&gt;=2,Q5=0),1,0)</f>
      </c>
      <c r="R18">
        <f>IF(AND(R3&gt;=2,R5=0),1,0)</f>
      </c>
      <c r="S18">
        <f>IF(AND(S3&gt;=2,S5=0),1,0)</f>
      </c>
      <c r="T18">
        <f>IF(AND(T3&gt;=2,T5=0),1,0)</f>
      </c>
      <c r="V18">
        <f>IF(AND(V3&gt;=2,V5=0),1,0)</f>
      </c>
      <c r="W18">
        <f>IF(AND(W3&gt;=2,W5=0),1,0)</f>
      </c>
      <c r="X18">
        <f>IF(AND(X3&gt;=2,X5=0),1,0)</f>
      </c>
      <c r="Y18">
        <f>IF(AND(Y3&gt;=2,Y5=0),1,0)</f>
      </c>
      <c r="Z18">
        <f>IF(AND(Z3&gt;=2,Z5=0),1,0)</f>
      </c>
      <c r="AA18">
        <f>IF(AND(AA3&gt;=2,AA5=0),1,0)</f>
      </c>
      <c r="AB18">
        <f>IF(AND(AB3&gt;=2,AB5=0),1,0)</f>
      </c>
      <c r="AC18">
        <f>IF(AND(AC3&gt;=2,AC5=0),1,0)</f>
      </c>
      <c r="AD18">
        <f>IF(AND(AD3&gt;=2,AD5=0),1,0)</f>
      </c>
      <c r="AE18">
        <f>IF(AND(AE3&gt;=2,AE5=0),1,0)</f>
      </c>
      <c r="AF18">
        <f>IF(AND(AF3&gt;=2,AF5=0),1,0)</f>
      </c>
      <c r="AG18">
        <f>IF(AND(AG3&gt;=2,AG5=0),1,0)</f>
      </c>
      <c r="AH18">
        <f>IF(AND(AH3&gt;=2,AH5=0),1,0)</f>
      </c>
      <c r="AI18">
        <f>IF(AND(AI3&gt;=2,AI5=0),1,0)</f>
      </c>
      <c r="AJ18">
        <f>IF(AND(AJ3&gt;=2,AJ5=0),1,0)</f>
      </c>
      <c r="AK18">
        <f>IF(AND(AK3&gt;=2,AK5=0),1,0)</f>
      </c>
      <c r="AM18">
        <f>IF(AND(AM3&gt;=2,AM5=0),1,0)</f>
      </c>
      <c r="AN18">
        <f>IF(AND(AN3&gt;=2,AN5=0),1,0)</f>
      </c>
      <c r="AO18">
        <f>IF(AND(AO3&gt;=2,AO5=0),1,0)</f>
      </c>
      <c r="AP18">
        <f>IF(AND(AP3&gt;=2,AP5=0),1,0)</f>
      </c>
      <c r="AQ18">
        <f>IF(AND(AQ3&gt;=2,AQ5=0),1,0)</f>
      </c>
      <c r="AR18">
        <f>IF(AND(AR3&gt;=2,AR5=0),1,0)</f>
      </c>
      <c r="AS18">
        <f>IF(AND(AS3&gt;=2,AS5=0),1,0)</f>
      </c>
      <c r="AT18">
        <f>IF(AND(AT3&gt;=2,AT5=0),1,0)</f>
      </c>
      <c r="AU18">
        <f>IF(AND(AU3&gt;=2,AU5=0),1,0)</f>
      </c>
      <c r="AV18">
        <f>IF(AND(AV3&gt;=2,AV5=0),1,0)</f>
      </c>
      <c r="AW18">
        <f>IF(AND(AW3&gt;=2,AW5=0),1,0)</f>
      </c>
      <c r="AX18">
        <f>IF(AND(AX3&gt;=2,AX5=0),1,0)</f>
      </c>
      <c r="AY18">
        <f>IF(AND(AY3&gt;=2,AY5=0),1,0)</f>
      </c>
      <c r="AZ18">
        <f>IF(AND(AZ3&gt;=2,AZ5=0),1,0)</f>
      </c>
      <c r="BA18">
        <f>IF(AND(BA3&gt;=2,BA5=0),1,0)</f>
      </c>
      <c r="BB18">
        <f>IF(AND(BB3&gt;=2,BB5=0),1,0)</f>
      </c>
      <c r="BD18">
        <f>IF(AND(BD3&gt;=2,BD5=0),1,0)</f>
      </c>
      <c r="BE18">
        <f>IF(AND(BE3&gt;=2,BE5=0),1,0)</f>
      </c>
      <c r="BF18">
        <f>IF(AND(BF3&gt;=2,BF5=0),1,0)</f>
      </c>
      <c r="BG18">
        <f>IF(AND(BG3&gt;=2,BG5=0),1,0)</f>
      </c>
      <c r="BH18">
        <f>IF(AND(BH3&gt;=2,BH5=0),1,0)</f>
      </c>
      <c r="BI18">
        <f>IF(AND(BI3&gt;=2,BI5=0),1,0)</f>
      </c>
      <c r="BJ18">
        <f>IF(AND(BJ3&gt;=2,BJ5=0),1,0)</f>
      </c>
      <c r="BK18">
        <f>IF(AND(BK3&gt;=2,BK5=0),1,0)</f>
      </c>
      <c r="BL18">
        <f>IF(AND(BL3&gt;=2,BL5=0),1,0)</f>
      </c>
      <c r="BM18">
        <f>IF(AND(BM3&gt;=2,BM5=0),1,0)</f>
      </c>
      <c r="BN18">
        <f>IF(AND(BN3&gt;=2,BN5=0),1,0)</f>
      </c>
      <c r="BO18">
        <f>IF(AND(BO3&gt;=2,BO5=0),1,0)</f>
      </c>
      <c r="BP18">
        <f>IF(AND(BP3&gt;=2,BP5=0),1,0)</f>
      </c>
      <c r="BQ18">
        <f>IF(AND(BQ3&gt;=2,BQ5=0),1,0)</f>
      </c>
      <c r="BR18">
        <f>IF(AND(BR3&gt;=2,BR5=0),1,0)</f>
      </c>
      <c r="BS18">
        <f>IF(AND(BS3&gt;=2,BS5=0),1,0)</f>
      </c>
    </row>
    <row r="19" spans="2:71" x14ac:dyDescent="0.25">
      <c r="B19" t="s">
        <v>338</v>
      </c>
      <c r="C19">
        <f>ROUND('Workings'!$C$33+C15+C17*C14,2)</f>
      </c>
      <c r="E19">
        <f>ROUND('Workings'!$C$33+E15+E17*E14,2)</f>
      </c>
      <c r="F19">
        <f>ROUND('Workings'!$C$33+F15+F17*F14,2)</f>
      </c>
      <c r="G19">
        <f>ROUND('Workings'!$C$33+G15+G17*G14,2)</f>
      </c>
      <c r="H19">
        <f>ROUND('Workings'!$C$33+H15+H17*H14,2)</f>
      </c>
      <c r="I19">
        <f>ROUND('Workings'!$C$33+I15+I17*I14,2)</f>
      </c>
      <c r="J19">
        <f>ROUND('Workings'!$C$33+J15+J17*J14,2)</f>
      </c>
      <c r="K19">
        <f>ROUND('Workings'!$C$33+K15+K17*K14,2)</f>
      </c>
      <c r="L19">
        <f>ROUND('Workings'!$C$33+L15+L17*L14,2)</f>
      </c>
      <c r="M19">
        <f>ROUND('Workings'!$C$33+M15+M17*M14,2)</f>
      </c>
      <c r="N19">
        <f>ROUND('Workings'!$C$33+N15+N17*N14,2)</f>
      </c>
      <c r="O19">
        <f>ROUND('Workings'!$C$33+O15+O17*O14,2)</f>
      </c>
      <c r="P19">
        <f>ROUND('Workings'!$C$33+P15+P17*P14,2)</f>
      </c>
      <c r="Q19">
        <f>ROUND('Workings'!$C$33+Q15+Q17*Q14,2)</f>
      </c>
      <c r="R19">
        <f>ROUND('Workings'!$C$33+R15+R17*R14,2)</f>
      </c>
      <c r="S19">
        <f>ROUND('Workings'!$C$33+S15+S17*S14,2)</f>
      </c>
      <c r="T19">
        <f>ROUND('Workings'!$C$33+T15+T17*T14,2)</f>
      </c>
      <c r="V19">
        <f>ROUND('Workings'!$C$33+V15+V17*V14,2)</f>
      </c>
      <c r="W19">
        <f>ROUND('Workings'!$C$33+W15+W17*W14,2)</f>
      </c>
      <c r="X19">
        <f>ROUND('Workings'!$C$33+X15+X17*X14,2)</f>
      </c>
      <c r="Y19">
        <f>ROUND('Workings'!$C$33+Y15+Y17*Y14,2)</f>
      </c>
      <c r="Z19">
        <f>ROUND('Workings'!$C$33+Z15+Z17*Z14,2)</f>
      </c>
      <c r="AA19">
        <f>ROUND('Workings'!$C$33+AA15+AA17*AA14,2)</f>
      </c>
      <c r="AB19">
        <f>ROUND('Workings'!$C$33+AB15+AB17*AB14,2)</f>
      </c>
      <c r="AC19">
        <f>ROUND('Workings'!$C$33+AC15+AC17*AC14,2)</f>
      </c>
      <c r="AD19">
        <f>ROUND('Workings'!$C$33+AD15+AD17*AD14,2)</f>
      </c>
      <c r="AE19">
        <f>ROUND('Workings'!$C$33+AE15+AE17*AE14,2)</f>
      </c>
      <c r="AF19">
        <f>ROUND('Workings'!$C$33+AF15+AF17*AF14,2)</f>
      </c>
      <c r="AG19">
        <f>ROUND('Workings'!$C$33+AG15+AG17*AG14,2)</f>
      </c>
      <c r="AH19">
        <f>ROUND('Workings'!$C$33+AH15+AH17*AH14,2)</f>
      </c>
      <c r="AI19">
        <f>ROUND('Workings'!$C$33+AI15+AI17*AI14,2)</f>
      </c>
      <c r="AJ19">
        <f>ROUND('Workings'!$C$33+AJ15+AJ17*AJ14,2)</f>
      </c>
      <c r="AK19">
        <f>ROUND('Workings'!$C$33+AK15+AK17*AK14,2)</f>
      </c>
      <c r="AM19">
        <f>ROUND('Workings'!$C$33+AM15+AM17*AM14,2)</f>
      </c>
      <c r="AN19">
        <f>ROUND('Workings'!$C$33+AN15+AN17*AN14,2)</f>
      </c>
      <c r="AO19">
        <f>ROUND('Workings'!$C$33+AO15+AO17*AO14,2)</f>
      </c>
      <c r="AP19">
        <f>ROUND('Workings'!$C$33+AP15+AP17*AP14,2)</f>
      </c>
      <c r="AQ19">
        <f>ROUND('Workings'!$C$33+AQ15+AQ17*AQ14,2)</f>
      </c>
      <c r="AR19">
        <f>ROUND('Workings'!$C$33+AR15+AR17*AR14,2)</f>
      </c>
      <c r="AS19">
        <f>ROUND('Workings'!$C$33+AS15+AS17*AS14,2)</f>
      </c>
      <c r="AT19">
        <f>ROUND('Workings'!$C$33+AT15+AT17*AT14,2)</f>
      </c>
      <c r="AU19">
        <f>ROUND('Workings'!$C$33+AU15+AU17*AU14,2)</f>
      </c>
      <c r="AV19">
        <f>ROUND('Workings'!$C$33+AV15+AV17*AV14,2)</f>
      </c>
      <c r="AW19">
        <f>ROUND('Workings'!$C$33+AW15+AW17*AW14,2)</f>
      </c>
      <c r="AX19">
        <f>ROUND('Workings'!$C$33+AX15+AX17*AX14,2)</f>
      </c>
      <c r="AY19">
        <f>ROUND('Workings'!$C$33+AY15+AY17*AY14,2)</f>
      </c>
      <c r="AZ19">
        <f>ROUND('Workings'!$C$33+AZ15+AZ17*AZ14,2)</f>
      </c>
      <c r="BA19">
        <f>ROUND('Workings'!$C$33+BA15+BA17*BA14,2)</f>
      </c>
      <c r="BB19">
        <f>ROUND('Workings'!$C$33+BB15+BB17*BB14,2)</f>
      </c>
      <c r="BD19">
        <f>ROUND('Workings'!$C$33+BD15+BD17*BD14,2)</f>
      </c>
      <c r="BE19">
        <f>ROUND('Workings'!$C$33+BE15+BE17*BE14,2)</f>
      </c>
      <c r="BF19">
        <f>ROUND('Workings'!$C$33+BF15+BF17*BF14,2)</f>
      </c>
      <c r="BG19">
        <f>ROUND('Workings'!$C$33+BG15+BG17*BG14,2)</f>
      </c>
      <c r="BH19">
        <f>ROUND('Workings'!$C$33+BH15+BH17*BH14,2)</f>
      </c>
      <c r="BI19">
        <f>ROUND('Workings'!$C$33+BI15+BI17*BI14,2)</f>
      </c>
      <c r="BJ19">
        <f>ROUND('Workings'!$C$33+BJ15+BJ17*BJ14,2)</f>
      </c>
      <c r="BK19">
        <f>ROUND('Workings'!$C$33+BK15+BK17*BK14,2)</f>
      </c>
      <c r="BL19">
        <f>ROUND('Workings'!$C$33+BL15+BL17*BL14,2)</f>
      </c>
      <c r="BM19">
        <f>ROUND('Workings'!$C$33+BM15+BM17*BM14,2)</f>
      </c>
      <c r="BN19">
        <f>ROUND('Workings'!$C$33+BN15+BN17*BN14,2)</f>
      </c>
      <c r="BO19">
        <f>ROUND('Workings'!$C$33+BO15+BO17*BO14,2)</f>
      </c>
      <c r="BP19">
        <f>ROUND('Workings'!$C$33+BP15+BP17*BP14,2)</f>
      </c>
      <c r="BQ19">
        <f>ROUND('Workings'!$C$33+BQ15+BQ17*BQ14,2)</f>
      </c>
      <c r="BR19">
        <f>ROUND('Workings'!$C$33+BR15+BR17*BR14,2)</f>
      </c>
      <c r="BS19">
        <f>ROUND('Workings'!$C$33+BS15+BS17*BS14,2)</f>
      </c>
    </row>
    <row r="20" spans="2:71" x14ac:dyDescent="0.25">
      <c r="B20" t="s">
        <v>339</v>
      </c>
      <c r="C20">
        <f>ROUND(IF(MAX(0,C19-'Inputs'!$C$115)&lt;='Inputs'!$C$117,MAX(0,C19-'Inputs'!$C$115)*'Inputs'!$C$116/100,'Inputs'!$C$117*'Inputs'!$C$116/100+(MAX(0,C19-'Inputs'!$C$115)-'Inputs'!$C$117)*'Inputs'!$C$118/100),2)</f>
      </c>
      <c r="E20">
        <f>ROUND(IF(MAX(0,E19-'Inputs'!$C$115)&lt;='Inputs'!$C$117,MAX(0,E19-'Inputs'!$C$115)*'Inputs'!$C$116/100,'Inputs'!$C$117*'Inputs'!$C$116/100+(MAX(0,E19-'Inputs'!$C$115)-'Inputs'!$C$117)*'Inputs'!$C$118/100),2)</f>
      </c>
      <c r="F20">
        <f>ROUND(IF(MAX(0,F19-'Inputs'!$C$115)&lt;='Inputs'!$C$117,MAX(0,F19-'Inputs'!$C$115)*'Inputs'!$C$116/100,'Inputs'!$C$117*'Inputs'!$C$116/100+(MAX(0,F19-'Inputs'!$C$115)-'Inputs'!$C$117)*'Inputs'!$C$118/100),2)</f>
      </c>
      <c r="G20">
        <f>ROUND(IF(MAX(0,G19-'Inputs'!$C$115)&lt;='Inputs'!$C$117,MAX(0,G19-'Inputs'!$C$115)*'Inputs'!$C$116/100,'Inputs'!$C$117*'Inputs'!$C$116/100+(MAX(0,G19-'Inputs'!$C$115)-'Inputs'!$C$117)*'Inputs'!$C$118/100),2)</f>
      </c>
      <c r="H20">
        <f>ROUND(IF(MAX(0,H19-'Inputs'!$C$115)&lt;='Inputs'!$C$117,MAX(0,H19-'Inputs'!$C$115)*'Inputs'!$C$116/100,'Inputs'!$C$117*'Inputs'!$C$116/100+(MAX(0,H19-'Inputs'!$C$115)-'Inputs'!$C$117)*'Inputs'!$C$118/100),2)</f>
      </c>
      <c r="I20">
        <f>ROUND(IF(MAX(0,I19-'Inputs'!$C$115)&lt;='Inputs'!$C$117,MAX(0,I19-'Inputs'!$C$115)*'Inputs'!$C$116/100,'Inputs'!$C$117*'Inputs'!$C$116/100+(MAX(0,I19-'Inputs'!$C$115)-'Inputs'!$C$117)*'Inputs'!$C$118/100),2)</f>
      </c>
      <c r="J20">
        <f>ROUND(IF(MAX(0,J19-'Inputs'!$C$115)&lt;='Inputs'!$C$117,MAX(0,J19-'Inputs'!$C$115)*'Inputs'!$C$116/100,'Inputs'!$C$117*'Inputs'!$C$116/100+(MAX(0,J19-'Inputs'!$C$115)-'Inputs'!$C$117)*'Inputs'!$C$118/100),2)</f>
      </c>
      <c r="K20">
        <f>ROUND(IF(MAX(0,K19-'Inputs'!$C$115)&lt;='Inputs'!$C$117,MAX(0,K19-'Inputs'!$C$115)*'Inputs'!$C$116/100,'Inputs'!$C$117*'Inputs'!$C$116/100+(MAX(0,K19-'Inputs'!$C$115)-'Inputs'!$C$117)*'Inputs'!$C$118/100),2)</f>
      </c>
      <c r="L20">
        <f>ROUND(IF(MAX(0,L19-'Inputs'!$C$115)&lt;='Inputs'!$C$117,MAX(0,L19-'Inputs'!$C$115)*'Inputs'!$C$116/100,'Inputs'!$C$117*'Inputs'!$C$116/100+(MAX(0,L19-'Inputs'!$C$115)-'Inputs'!$C$117)*'Inputs'!$C$118/100),2)</f>
      </c>
      <c r="M20">
        <f>ROUND(IF(MAX(0,M19-'Inputs'!$C$115)&lt;='Inputs'!$C$117,MAX(0,M19-'Inputs'!$C$115)*'Inputs'!$C$116/100,'Inputs'!$C$117*'Inputs'!$C$116/100+(MAX(0,M19-'Inputs'!$C$115)-'Inputs'!$C$117)*'Inputs'!$C$118/100),2)</f>
      </c>
      <c r="N20">
        <f>ROUND(IF(MAX(0,N19-'Inputs'!$C$115)&lt;='Inputs'!$C$117,MAX(0,N19-'Inputs'!$C$115)*'Inputs'!$C$116/100,'Inputs'!$C$117*'Inputs'!$C$116/100+(MAX(0,N19-'Inputs'!$C$115)-'Inputs'!$C$117)*'Inputs'!$C$118/100),2)</f>
      </c>
      <c r="O20">
        <f>ROUND(IF(MAX(0,O19-'Inputs'!$C$115)&lt;='Inputs'!$C$117,MAX(0,O19-'Inputs'!$C$115)*'Inputs'!$C$116/100,'Inputs'!$C$117*'Inputs'!$C$116/100+(MAX(0,O19-'Inputs'!$C$115)-'Inputs'!$C$117)*'Inputs'!$C$118/100),2)</f>
      </c>
      <c r="P20">
        <f>ROUND(IF(MAX(0,P19-'Inputs'!$C$115)&lt;='Inputs'!$C$117,MAX(0,P19-'Inputs'!$C$115)*'Inputs'!$C$116/100,'Inputs'!$C$117*'Inputs'!$C$116/100+(MAX(0,P19-'Inputs'!$C$115)-'Inputs'!$C$117)*'Inputs'!$C$118/100),2)</f>
      </c>
      <c r="Q20">
        <f>ROUND(IF(MAX(0,Q19-'Inputs'!$C$115)&lt;='Inputs'!$C$117,MAX(0,Q19-'Inputs'!$C$115)*'Inputs'!$C$116/100,'Inputs'!$C$117*'Inputs'!$C$116/100+(MAX(0,Q19-'Inputs'!$C$115)-'Inputs'!$C$117)*'Inputs'!$C$118/100),2)</f>
      </c>
      <c r="R20">
        <f>ROUND(IF(MAX(0,R19-'Inputs'!$C$115)&lt;='Inputs'!$C$117,MAX(0,R19-'Inputs'!$C$115)*'Inputs'!$C$116/100,'Inputs'!$C$117*'Inputs'!$C$116/100+(MAX(0,R19-'Inputs'!$C$115)-'Inputs'!$C$117)*'Inputs'!$C$118/100),2)</f>
      </c>
      <c r="S20">
        <f>ROUND(IF(MAX(0,S19-'Inputs'!$C$115)&lt;='Inputs'!$C$117,MAX(0,S19-'Inputs'!$C$115)*'Inputs'!$C$116/100,'Inputs'!$C$117*'Inputs'!$C$116/100+(MAX(0,S19-'Inputs'!$C$115)-'Inputs'!$C$117)*'Inputs'!$C$118/100),2)</f>
      </c>
      <c r="T20">
        <f>ROUND(IF(MAX(0,T19-'Inputs'!$C$115)&lt;='Inputs'!$C$117,MAX(0,T19-'Inputs'!$C$115)*'Inputs'!$C$116/100,'Inputs'!$C$117*'Inputs'!$C$116/100+(MAX(0,T19-'Inputs'!$C$115)-'Inputs'!$C$117)*'Inputs'!$C$118/100),2)</f>
      </c>
      <c r="V20">
        <f>ROUND(IF(MAX(0,V19-'Inputs'!$C$115)&lt;='Inputs'!$C$117,MAX(0,V19-'Inputs'!$C$115)*'Inputs'!$C$116/100,'Inputs'!$C$117*'Inputs'!$C$116/100+(MAX(0,V19-'Inputs'!$C$115)-'Inputs'!$C$117)*'Inputs'!$C$118/100),2)</f>
      </c>
      <c r="W20">
        <f>ROUND(IF(MAX(0,W19-'Inputs'!$C$115)&lt;='Inputs'!$C$117,MAX(0,W19-'Inputs'!$C$115)*'Inputs'!$C$116/100,'Inputs'!$C$117*'Inputs'!$C$116/100+(MAX(0,W19-'Inputs'!$C$115)-'Inputs'!$C$117)*'Inputs'!$C$118/100),2)</f>
      </c>
      <c r="X20">
        <f>ROUND(IF(MAX(0,X19-'Inputs'!$C$115)&lt;='Inputs'!$C$117,MAX(0,X19-'Inputs'!$C$115)*'Inputs'!$C$116/100,'Inputs'!$C$117*'Inputs'!$C$116/100+(MAX(0,X19-'Inputs'!$C$115)-'Inputs'!$C$117)*'Inputs'!$C$118/100),2)</f>
      </c>
      <c r="Y20">
        <f>ROUND(IF(MAX(0,Y19-'Inputs'!$C$115)&lt;='Inputs'!$C$117,MAX(0,Y19-'Inputs'!$C$115)*'Inputs'!$C$116/100,'Inputs'!$C$117*'Inputs'!$C$116/100+(MAX(0,Y19-'Inputs'!$C$115)-'Inputs'!$C$117)*'Inputs'!$C$118/100),2)</f>
      </c>
      <c r="Z20">
        <f>ROUND(IF(MAX(0,Z19-'Inputs'!$C$115)&lt;='Inputs'!$C$117,MAX(0,Z19-'Inputs'!$C$115)*'Inputs'!$C$116/100,'Inputs'!$C$117*'Inputs'!$C$116/100+(MAX(0,Z19-'Inputs'!$C$115)-'Inputs'!$C$117)*'Inputs'!$C$118/100),2)</f>
      </c>
      <c r="AA20">
        <f>ROUND(IF(MAX(0,AA19-'Inputs'!$C$115)&lt;='Inputs'!$C$117,MAX(0,AA19-'Inputs'!$C$115)*'Inputs'!$C$116/100,'Inputs'!$C$117*'Inputs'!$C$116/100+(MAX(0,AA19-'Inputs'!$C$115)-'Inputs'!$C$117)*'Inputs'!$C$118/100),2)</f>
      </c>
      <c r="AB20">
        <f>ROUND(IF(MAX(0,AB19-'Inputs'!$C$115)&lt;='Inputs'!$C$117,MAX(0,AB19-'Inputs'!$C$115)*'Inputs'!$C$116/100,'Inputs'!$C$117*'Inputs'!$C$116/100+(MAX(0,AB19-'Inputs'!$C$115)-'Inputs'!$C$117)*'Inputs'!$C$118/100),2)</f>
      </c>
      <c r="AC20">
        <f>ROUND(IF(MAX(0,AC19-'Inputs'!$C$115)&lt;='Inputs'!$C$117,MAX(0,AC19-'Inputs'!$C$115)*'Inputs'!$C$116/100,'Inputs'!$C$117*'Inputs'!$C$116/100+(MAX(0,AC19-'Inputs'!$C$115)-'Inputs'!$C$117)*'Inputs'!$C$118/100),2)</f>
      </c>
      <c r="AD20">
        <f>ROUND(IF(MAX(0,AD19-'Inputs'!$C$115)&lt;='Inputs'!$C$117,MAX(0,AD19-'Inputs'!$C$115)*'Inputs'!$C$116/100,'Inputs'!$C$117*'Inputs'!$C$116/100+(MAX(0,AD19-'Inputs'!$C$115)-'Inputs'!$C$117)*'Inputs'!$C$118/100),2)</f>
      </c>
      <c r="AE20">
        <f>ROUND(IF(MAX(0,AE19-'Inputs'!$C$115)&lt;='Inputs'!$C$117,MAX(0,AE19-'Inputs'!$C$115)*'Inputs'!$C$116/100,'Inputs'!$C$117*'Inputs'!$C$116/100+(MAX(0,AE19-'Inputs'!$C$115)-'Inputs'!$C$117)*'Inputs'!$C$118/100),2)</f>
      </c>
      <c r="AF20">
        <f>ROUND(IF(MAX(0,AF19-'Inputs'!$C$115)&lt;='Inputs'!$C$117,MAX(0,AF19-'Inputs'!$C$115)*'Inputs'!$C$116/100,'Inputs'!$C$117*'Inputs'!$C$116/100+(MAX(0,AF19-'Inputs'!$C$115)-'Inputs'!$C$117)*'Inputs'!$C$118/100),2)</f>
      </c>
      <c r="AG20">
        <f>ROUND(IF(MAX(0,AG19-'Inputs'!$C$115)&lt;='Inputs'!$C$117,MAX(0,AG19-'Inputs'!$C$115)*'Inputs'!$C$116/100,'Inputs'!$C$117*'Inputs'!$C$116/100+(MAX(0,AG19-'Inputs'!$C$115)-'Inputs'!$C$117)*'Inputs'!$C$118/100),2)</f>
      </c>
      <c r="AH20">
        <f>ROUND(IF(MAX(0,AH19-'Inputs'!$C$115)&lt;='Inputs'!$C$117,MAX(0,AH19-'Inputs'!$C$115)*'Inputs'!$C$116/100,'Inputs'!$C$117*'Inputs'!$C$116/100+(MAX(0,AH19-'Inputs'!$C$115)-'Inputs'!$C$117)*'Inputs'!$C$118/100),2)</f>
      </c>
      <c r="AI20">
        <f>ROUND(IF(MAX(0,AI19-'Inputs'!$C$115)&lt;='Inputs'!$C$117,MAX(0,AI19-'Inputs'!$C$115)*'Inputs'!$C$116/100,'Inputs'!$C$117*'Inputs'!$C$116/100+(MAX(0,AI19-'Inputs'!$C$115)-'Inputs'!$C$117)*'Inputs'!$C$118/100),2)</f>
      </c>
      <c r="AJ20">
        <f>ROUND(IF(MAX(0,AJ19-'Inputs'!$C$115)&lt;='Inputs'!$C$117,MAX(0,AJ19-'Inputs'!$C$115)*'Inputs'!$C$116/100,'Inputs'!$C$117*'Inputs'!$C$116/100+(MAX(0,AJ19-'Inputs'!$C$115)-'Inputs'!$C$117)*'Inputs'!$C$118/100),2)</f>
      </c>
      <c r="AK20">
        <f>ROUND(IF(MAX(0,AK19-'Inputs'!$C$115)&lt;='Inputs'!$C$117,MAX(0,AK19-'Inputs'!$C$115)*'Inputs'!$C$116/100,'Inputs'!$C$117*'Inputs'!$C$116/100+(MAX(0,AK19-'Inputs'!$C$115)-'Inputs'!$C$117)*'Inputs'!$C$118/100),2)</f>
      </c>
      <c r="AM20">
        <f>ROUND(IF(MAX(0,AM19-'Inputs'!$C$115)&lt;='Inputs'!$C$117,MAX(0,AM19-'Inputs'!$C$115)*'Inputs'!$C$116/100,'Inputs'!$C$117*'Inputs'!$C$116/100+(MAX(0,AM19-'Inputs'!$C$115)-'Inputs'!$C$117)*'Inputs'!$C$118/100),2)</f>
      </c>
      <c r="AN20">
        <f>ROUND(IF(MAX(0,AN19-'Inputs'!$C$115)&lt;='Inputs'!$C$117,MAX(0,AN19-'Inputs'!$C$115)*'Inputs'!$C$116/100,'Inputs'!$C$117*'Inputs'!$C$116/100+(MAX(0,AN19-'Inputs'!$C$115)-'Inputs'!$C$117)*'Inputs'!$C$118/100),2)</f>
      </c>
      <c r="AO20">
        <f>ROUND(IF(MAX(0,AO19-'Inputs'!$C$115)&lt;='Inputs'!$C$117,MAX(0,AO19-'Inputs'!$C$115)*'Inputs'!$C$116/100,'Inputs'!$C$117*'Inputs'!$C$116/100+(MAX(0,AO19-'Inputs'!$C$115)-'Inputs'!$C$117)*'Inputs'!$C$118/100),2)</f>
      </c>
      <c r="AP20">
        <f>ROUND(IF(MAX(0,AP19-'Inputs'!$C$115)&lt;='Inputs'!$C$117,MAX(0,AP19-'Inputs'!$C$115)*'Inputs'!$C$116/100,'Inputs'!$C$117*'Inputs'!$C$116/100+(MAX(0,AP19-'Inputs'!$C$115)-'Inputs'!$C$117)*'Inputs'!$C$118/100),2)</f>
      </c>
      <c r="AQ20">
        <f>ROUND(IF(MAX(0,AQ19-'Inputs'!$C$115)&lt;='Inputs'!$C$117,MAX(0,AQ19-'Inputs'!$C$115)*'Inputs'!$C$116/100,'Inputs'!$C$117*'Inputs'!$C$116/100+(MAX(0,AQ19-'Inputs'!$C$115)-'Inputs'!$C$117)*'Inputs'!$C$118/100),2)</f>
      </c>
      <c r="AR20">
        <f>ROUND(IF(MAX(0,AR19-'Inputs'!$C$115)&lt;='Inputs'!$C$117,MAX(0,AR19-'Inputs'!$C$115)*'Inputs'!$C$116/100,'Inputs'!$C$117*'Inputs'!$C$116/100+(MAX(0,AR19-'Inputs'!$C$115)-'Inputs'!$C$117)*'Inputs'!$C$118/100),2)</f>
      </c>
      <c r="AS20">
        <f>ROUND(IF(MAX(0,AS19-'Inputs'!$C$115)&lt;='Inputs'!$C$117,MAX(0,AS19-'Inputs'!$C$115)*'Inputs'!$C$116/100,'Inputs'!$C$117*'Inputs'!$C$116/100+(MAX(0,AS19-'Inputs'!$C$115)-'Inputs'!$C$117)*'Inputs'!$C$118/100),2)</f>
      </c>
      <c r="AT20">
        <f>ROUND(IF(MAX(0,AT19-'Inputs'!$C$115)&lt;='Inputs'!$C$117,MAX(0,AT19-'Inputs'!$C$115)*'Inputs'!$C$116/100,'Inputs'!$C$117*'Inputs'!$C$116/100+(MAX(0,AT19-'Inputs'!$C$115)-'Inputs'!$C$117)*'Inputs'!$C$118/100),2)</f>
      </c>
      <c r="AU20">
        <f>ROUND(IF(MAX(0,AU19-'Inputs'!$C$115)&lt;='Inputs'!$C$117,MAX(0,AU19-'Inputs'!$C$115)*'Inputs'!$C$116/100,'Inputs'!$C$117*'Inputs'!$C$116/100+(MAX(0,AU19-'Inputs'!$C$115)-'Inputs'!$C$117)*'Inputs'!$C$118/100),2)</f>
      </c>
      <c r="AV20">
        <f>ROUND(IF(MAX(0,AV19-'Inputs'!$C$115)&lt;='Inputs'!$C$117,MAX(0,AV19-'Inputs'!$C$115)*'Inputs'!$C$116/100,'Inputs'!$C$117*'Inputs'!$C$116/100+(MAX(0,AV19-'Inputs'!$C$115)-'Inputs'!$C$117)*'Inputs'!$C$118/100),2)</f>
      </c>
      <c r="AW20">
        <f>ROUND(IF(MAX(0,AW19-'Inputs'!$C$115)&lt;='Inputs'!$C$117,MAX(0,AW19-'Inputs'!$C$115)*'Inputs'!$C$116/100,'Inputs'!$C$117*'Inputs'!$C$116/100+(MAX(0,AW19-'Inputs'!$C$115)-'Inputs'!$C$117)*'Inputs'!$C$118/100),2)</f>
      </c>
      <c r="AX20">
        <f>ROUND(IF(MAX(0,AX19-'Inputs'!$C$115)&lt;='Inputs'!$C$117,MAX(0,AX19-'Inputs'!$C$115)*'Inputs'!$C$116/100,'Inputs'!$C$117*'Inputs'!$C$116/100+(MAX(0,AX19-'Inputs'!$C$115)-'Inputs'!$C$117)*'Inputs'!$C$118/100),2)</f>
      </c>
      <c r="AY20">
        <f>ROUND(IF(MAX(0,AY19-'Inputs'!$C$115)&lt;='Inputs'!$C$117,MAX(0,AY19-'Inputs'!$C$115)*'Inputs'!$C$116/100,'Inputs'!$C$117*'Inputs'!$C$116/100+(MAX(0,AY19-'Inputs'!$C$115)-'Inputs'!$C$117)*'Inputs'!$C$118/100),2)</f>
      </c>
      <c r="AZ20">
        <f>ROUND(IF(MAX(0,AZ19-'Inputs'!$C$115)&lt;='Inputs'!$C$117,MAX(0,AZ19-'Inputs'!$C$115)*'Inputs'!$C$116/100,'Inputs'!$C$117*'Inputs'!$C$116/100+(MAX(0,AZ19-'Inputs'!$C$115)-'Inputs'!$C$117)*'Inputs'!$C$118/100),2)</f>
      </c>
      <c r="BA20">
        <f>ROUND(IF(MAX(0,BA19-'Inputs'!$C$115)&lt;='Inputs'!$C$117,MAX(0,BA19-'Inputs'!$C$115)*'Inputs'!$C$116/100,'Inputs'!$C$117*'Inputs'!$C$116/100+(MAX(0,BA19-'Inputs'!$C$115)-'Inputs'!$C$117)*'Inputs'!$C$118/100),2)</f>
      </c>
      <c r="BB20">
        <f>ROUND(IF(MAX(0,BB19-'Inputs'!$C$115)&lt;='Inputs'!$C$117,MAX(0,BB19-'Inputs'!$C$115)*'Inputs'!$C$116/100,'Inputs'!$C$117*'Inputs'!$C$116/100+(MAX(0,BB19-'Inputs'!$C$115)-'Inputs'!$C$117)*'Inputs'!$C$118/100),2)</f>
      </c>
      <c r="BD20">
        <f>ROUND(IF(MAX(0,BD19-'Inputs'!$C$115)&lt;='Inputs'!$C$117,MAX(0,BD19-'Inputs'!$C$115)*'Inputs'!$C$116/100,'Inputs'!$C$117*'Inputs'!$C$116/100+(MAX(0,BD19-'Inputs'!$C$115)-'Inputs'!$C$117)*'Inputs'!$C$118/100),2)</f>
      </c>
      <c r="BE20">
        <f>ROUND(IF(MAX(0,BE19-'Inputs'!$C$115)&lt;='Inputs'!$C$117,MAX(0,BE19-'Inputs'!$C$115)*'Inputs'!$C$116/100,'Inputs'!$C$117*'Inputs'!$C$116/100+(MAX(0,BE19-'Inputs'!$C$115)-'Inputs'!$C$117)*'Inputs'!$C$118/100),2)</f>
      </c>
      <c r="BF20">
        <f>ROUND(IF(MAX(0,BF19-'Inputs'!$C$115)&lt;='Inputs'!$C$117,MAX(0,BF19-'Inputs'!$C$115)*'Inputs'!$C$116/100,'Inputs'!$C$117*'Inputs'!$C$116/100+(MAX(0,BF19-'Inputs'!$C$115)-'Inputs'!$C$117)*'Inputs'!$C$118/100),2)</f>
      </c>
      <c r="BG20">
        <f>ROUND(IF(MAX(0,BG19-'Inputs'!$C$115)&lt;='Inputs'!$C$117,MAX(0,BG19-'Inputs'!$C$115)*'Inputs'!$C$116/100,'Inputs'!$C$117*'Inputs'!$C$116/100+(MAX(0,BG19-'Inputs'!$C$115)-'Inputs'!$C$117)*'Inputs'!$C$118/100),2)</f>
      </c>
      <c r="BH20">
        <f>ROUND(IF(MAX(0,BH19-'Inputs'!$C$115)&lt;='Inputs'!$C$117,MAX(0,BH19-'Inputs'!$C$115)*'Inputs'!$C$116/100,'Inputs'!$C$117*'Inputs'!$C$116/100+(MAX(0,BH19-'Inputs'!$C$115)-'Inputs'!$C$117)*'Inputs'!$C$118/100),2)</f>
      </c>
      <c r="BI20">
        <f>ROUND(IF(MAX(0,BI19-'Inputs'!$C$115)&lt;='Inputs'!$C$117,MAX(0,BI19-'Inputs'!$C$115)*'Inputs'!$C$116/100,'Inputs'!$C$117*'Inputs'!$C$116/100+(MAX(0,BI19-'Inputs'!$C$115)-'Inputs'!$C$117)*'Inputs'!$C$118/100),2)</f>
      </c>
      <c r="BJ20">
        <f>ROUND(IF(MAX(0,BJ19-'Inputs'!$C$115)&lt;='Inputs'!$C$117,MAX(0,BJ19-'Inputs'!$C$115)*'Inputs'!$C$116/100,'Inputs'!$C$117*'Inputs'!$C$116/100+(MAX(0,BJ19-'Inputs'!$C$115)-'Inputs'!$C$117)*'Inputs'!$C$118/100),2)</f>
      </c>
      <c r="BK20">
        <f>ROUND(IF(MAX(0,BK19-'Inputs'!$C$115)&lt;='Inputs'!$C$117,MAX(0,BK19-'Inputs'!$C$115)*'Inputs'!$C$116/100,'Inputs'!$C$117*'Inputs'!$C$116/100+(MAX(0,BK19-'Inputs'!$C$115)-'Inputs'!$C$117)*'Inputs'!$C$118/100),2)</f>
      </c>
      <c r="BL20">
        <f>ROUND(IF(MAX(0,BL19-'Inputs'!$C$115)&lt;='Inputs'!$C$117,MAX(0,BL19-'Inputs'!$C$115)*'Inputs'!$C$116/100,'Inputs'!$C$117*'Inputs'!$C$116/100+(MAX(0,BL19-'Inputs'!$C$115)-'Inputs'!$C$117)*'Inputs'!$C$118/100),2)</f>
      </c>
      <c r="BM20">
        <f>ROUND(IF(MAX(0,BM19-'Inputs'!$C$115)&lt;='Inputs'!$C$117,MAX(0,BM19-'Inputs'!$C$115)*'Inputs'!$C$116/100,'Inputs'!$C$117*'Inputs'!$C$116/100+(MAX(0,BM19-'Inputs'!$C$115)-'Inputs'!$C$117)*'Inputs'!$C$118/100),2)</f>
      </c>
      <c r="BN20">
        <f>ROUND(IF(MAX(0,BN19-'Inputs'!$C$115)&lt;='Inputs'!$C$117,MAX(0,BN19-'Inputs'!$C$115)*'Inputs'!$C$116/100,'Inputs'!$C$117*'Inputs'!$C$116/100+(MAX(0,BN19-'Inputs'!$C$115)-'Inputs'!$C$117)*'Inputs'!$C$118/100),2)</f>
      </c>
      <c r="BO20">
        <f>ROUND(IF(MAX(0,BO19-'Inputs'!$C$115)&lt;='Inputs'!$C$117,MAX(0,BO19-'Inputs'!$C$115)*'Inputs'!$C$116/100,'Inputs'!$C$117*'Inputs'!$C$116/100+(MAX(0,BO19-'Inputs'!$C$115)-'Inputs'!$C$117)*'Inputs'!$C$118/100),2)</f>
      </c>
      <c r="BP20">
        <f>ROUND(IF(MAX(0,BP19-'Inputs'!$C$115)&lt;='Inputs'!$C$117,MAX(0,BP19-'Inputs'!$C$115)*'Inputs'!$C$116/100,'Inputs'!$C$117*'Inputs'!$C$116/100+(MAX(0,BP19-'Inputs'!$C$115)-'Inputs'!$C$117)*'Inputs'!$C$118/100),2)</f>
      </c>
      <c r="BQ20">
        <f>ROUND(IF(MAX(0,BQ19-'Inputs'!$C$115)&lt;='Inputs'!$C$117,MAX(0,BQ19-'Inputs'!$C$115)*'Inputs'!$C$116/100,'Inputs'!$C$117*'Inputs'!$C$116/100+(MAX(0,BQ19-'Inputs'!$C$115)-'Inputs'!$C$117)*'Inputs'!$C$118/100),2)</f>
      </c>
      <c r="BR20">
        <f>ROUND(IF(MAX(0,BR19-'Inputs'!$C$115)&lt;='Inputs'!$C$117,MAX(0,BR19-'Inputs'!$C$115)*'Inputs'!$C$116/100,'Inputs'!$C$117*'Inputs'!$C$116/100+(MAX(0,BR19-'Inputs'!$C$115)-'Inputs'!$C$117)*'Inputs'!$C$118/100),2)</f>
      </c>
      <c r="BS20">
        <f>ROUND(IF(MAX(0,BS19-'Inputs'!$C$115)&lt;='Inputs'!$C$117,MAX(0,BS19-'Inputs'!$C$115)*'Inputs'!$C$116/100,'Inputs'!$C$117*'Inputs'!$C$116/100+(MAX(0,BS19-'Inputs'!$C$115)-'Inputs'!$C$117)*'Inputs'!$C$118/100),2)</f>
      </c>
    </row>
    <row r="21" spans="2:71" x14ac:dyDescent="0.25">
      <c r="B21" t="s">
        <v>340</v>
      </c>
      <c r="C21">
        <f>IF(C19&gt;0,C20/C19,0)</f>
      </c>
      <c r="E21">
        <f>IF(E19&gt;0,E20/E19,0)</f>
      </c>
      <c r="F21">
        <f>IF(F19&gt;0,F20/F19,0)</f>
      </c>
      <c r="G21">
        <f>IF(G19&gt;0,G20/G19,0)</f>
      </c>
      <c r="H21">
        <f>IF(H19&gt;0,H20/H19,0)</f>
      </c>
      <c r="I21">
        <f>IF(I19&gt;0,I20/I19,0)</f>
      </c>
      <c r="J21">
        <f>IF(J19&gt;0,J20/J19,0)</f>
      </c>
      <c r="K21">
        <f>IF(K19&gt;0,K20/K19,0)</f>
      </c>
      <c r="L21">
        <f>IF(L19&gt;0,L20/L19,0)</f>
      </c>
      <c r="M21">
        <f>IF(M19&gt;0,M20/M19,0)</f>
      </c>
      <c r="N21">
        <f>IF(N19&gt;0,N20/N19,0)</f>
      </c>
      <c r="O21">
        <f>IF(O19&gt;0,O20/O19,0)</f>
      </c>
      <c r="P21">
        <f>IF(P19&gt;0,P20/P19,0)</f>
      </c>
      <c r="Q21">
        <f>IF(Q19&gt;0,Q20/Q19,0)</f>
      </c>
      <c r="R21">
        <f>IF(R19&gt;0,R20/R19,0)</f>
      </c>
      <c r="S21">
        <f>IF(S19&gt;0,S20/S19,0)</f>
      </c>
      <c r="T21">
        <f>IF(T19&gt;0,T20/T19,0)</f>
      </c>
      <c r="V21">
        <f>IF(V19&gt;0,V20/V19,0)</f>
      </c>
      <c r="W21">
        <f>IF(W19&gt;0,W20/W19,0)</f>
      </c>
      <c r="X21">
        <f>IF(X19&gt;0,X20/X19,0)</f>
      </c>
      <c r="Y21">
        <f>IF(Y19&gt;0,Y20/Y19,0)</f>
      </c>
      <c r="Z21">
        <f>IF(Z19&gt;0,Z20/Z19,0)</f>
      </c>
      <c r="AA21">
        <f>IF(AA19&gt;0,AA20/AA19,0)</f>
      </c>
      <c r="AB21">
        <f>IF(AB19&gt;0,AB20/AB19,0)</f>
      </c>
      <c r="AC21">
        <f>IF(AC19&gt;0,AC20/AC19,0)</f>
      </c>
      <c r="AD21">
        <f>IF(AD19&gt;0,AD20/AD19,0)</f>
      </c>
      <c r="AE21">
        <f>IF(AE19&gt;0,AE20/AE19,0)</f>
      </c>
      <c r="AF21">
        <f>IF(AF19&gt;0,AF20/AF19,0)</f>
      </c>
      <c r="AG21">
        <f>IF(AG19&gt;0,AG20/AG19,0)</f>
      </c>
      <c r="AH21">
        <f>IF(AH19&gt;0,AH20/AH19,0)</f>
      </c>
      <c r="AI21">
        <f>IF(AI19&gt;0,AI20/AI19,0)</f>
      </c>
      <c r="AJ21">
        <f>IF(AJ19&gt;0,AJ20/AJ19,0)</f>
      </c>
      <c r="AK21">
        <f>IF(AK19&gt;0,AK20/AK19,0)</f>
      </c>
      <c r="AM21">
        <f>IF(AM19&gt;0,AM20/AM19,0)</f>
      </c>
      <c r="AN21">
        <f>IF(AN19&gt;0,AN20/AN19,0)</f>
      </c>
      <c r="AO21">
        <f>IF(AO19&gt;0,AO20/AO19,0)</f>
      </c>
      <c r="AP21">
        <f>IF(AP19&gt;0,AP20/AP19,0)</f>
      </c>
      <c r="AQ21">
        <f>IF(AQ19&gt;0,AQ20/AQ19,0)</f>
      </c>
      <c r="AR21">
        <f>IF(AR19&gt;0,AR20/AR19,0)</f>
      </c>
      <c r="AS21">
        <f>IF(AS19&gt;0,AS20/AS19,0)</f>
      </c>
      <c r="AT21">
        <f>IF(AT19&gt;0,AT20/AT19,0)</f>
      </c>
      <c r="AU21">
        <f>IF(AU19&gt;0,AU20/AU19,0)</f>
      </c>
      <c r="AV21">
        <f>IF(AV19&gt;0,AV20/AV19,0)</f>
      </c>
      <c r="AW21">
        <f>IF(AW19&gt;0,AW20/AW19,0)</f>
      </c>
      <c r="AX21">
        <f>IF(AX19&gt;0,AX20/AX19,0)</f>
      </c>
      <c r="AY21">
        <f>IF(AY19&gt;0,AY20/AY19,0)</f>
      </c>
      <c r="AZ21">
        <f>IF(AZ19&gt;0,AZ20/AZ19,0)</f>
      </c>
      <c r="BA21">
        <f>IF(BA19&gt;0,BA20/BA19,0)</f>
      </c>
      <c r="BB21">
        <f>IF(BB19&gt;0,BB20/BB19,0)</f>
      </c>
      <c r="BD21">
        <f>IF(BD19&gt;0,BD20/BD19,0)</f>
      </c>
      <c r="BE21">
        <f>IF(BE19&gt;0,BE20/BE19,0)</f>
      </c>
      <c r="BF21">
        <f>IF(BF19&gt;0,BF20/BF19,0)</f>
      </c>
      <c r="BG21">
        <f>IF(BG19&gt;0,BG20/BG19,0)</f>
      </c>
      <c r="BH21">
        <f>IF(BH19&gt;0,BH20/BH19,0)</f>
      </c>
      <c r="BI21">
        <f>IF(BI19&gt;0,BI20/BI19,0)</f>
      </c>
      <c r="BJ21">
        <f>IF(BJ19&gt;0,BJ20/BJ19,0)</f>
      </c>
      <c r="BK21">
        <f>IF(BK19&gt;0,BK20/BK19,0)</f>
      </c>
      <c r="BL21">
        <f>IF(BL19&gt;0,BL20/BL19,0)</f>
      </c>
      <c r="BM21">
        <f>IF(BM19&gt;0,BM20/BM19,0)</f>
      </c>
      <c r="BN21">
        <f>IF(BN19&gt;0,BN20/BN19,0)</f>
      </c>
      <c r="BO21">
        <f>IF(BO19&gt;0,BO20/BO19,0)</f>
      </c>
      <c r="BP21">
        <f>IF(BP19&gt;0,BP20/BP19,0)</f>
      </c>
      <c r="BQ21">
        <f>IF(BQ19&gt;0,BQ20/BQ19,0)</f>
      </c>
      <c r="BR21">
        <f>IF(BR19&gt;0,BR20/BR19,0)</f>
      </c>
      <c r="BS21">
        <f>IF(BS19&gt;0,BS20/BS19,0)</f>
      </c>
    </row>
    <row r="22" spans="2:71" x14ac:dyDescent="0.25">
      <c r="B22" t="s">
        <v>341</v>
      </c>
      <c r="C22">
        <f>SUMPRODUCT('Inputs'!$R$59:$R$70,ROUND(C21*('Inputs'!$D$59:$D$70-('Inputs'!$P$59:$P$70=C5)*C14),2))</f>
      </c>
      <c r="E22">
        <f>SUMPRODUCT('Inputs'!$R$59:$R$70,ROUND(E21*('Inputs'!$D$59:$D$70-('Inputs'!$P$59:$P$70=E5)*E14),2))</f>
      </c>
      <c r="F22">
        <f>SUMPRODUCT('Inputs'!$R$59:$R$70,ROUND(F21*('Inputs'!$D$59:$D$70-('Inputs'!$P$59:$P$70=F5)*F14),2))</f>
      </c>
      <c r="G22">
        <f>SUMPRODUCT('Inputs'!$R$59:$R$70,ROUND(G21*('Inputs'!$D$59:$D$70-('Inputs'!$P$59:$P$70=G5)*G14),2))</f>
      </c>
      <c r="H22">
        <f>SUMPRODUCT('Inputs'!$R$59:$R$70,ROUND(H21*('Inputs'!$D$59:$D$70-('Inputs'!$P$59:$P$70=H5)*H14),2))</f>
      </c>
      <c r="I22">
        <f>SUMPRODUCT('Inputs'!$R$59:$R$70,ROUND(I21*('Inputs'!$D$59:$D$70-('Inputs'!$P$59:$P$70=I5)*I14),2))</f>
      </c>
      <c r="J22">
        <f>SUMPRODUCT('Inputs'!$R$59:$R$70,ROUND(J21*('Inputs'!$D$59:$D$70-('Inputs'!$P$59:$P$70=J5)*J14),2))</f>
      </c>
      <c r="K22">
        <f>SUMPRODUCT('Inputs'!$R$59:$R$70,ROUND(K21*('Inputs'!$D$59:$D$70-('Inputs'!$P$59:$P$70=K5)*K14),2))</f>
      </c>
      <c r="L22">
        <f>SUMPRODUCT('Inputs'!$R$59:$R$70,ROUND(L21*('Inputs'!$D$59:$D$70-('Inputs'!$P$59:$P$70=L5)*L14),2))</f>
      </c>
      <c r="M22">
        <f>SUMPRODUCT('Inputs'!$R$59:$R$70,ROUND(M21*('Inputs'!$D$59:$D$70-('Inputs'!$P$59:$P$70=M5)*M14),2))</f>
      </c>
      <c r="N22">
        <f>SUMPRODUCT('Inputs'!$R$59:$R$70,ROUND(N21*('Inputs'!$D$59:$D$70-('Inputs'!$P$59:$P$70=N5)*N14),2))</f>
      </c>
      <c r="O22">
        <f>SUMPRODUCT('Inputs'!$R$59:$R$70,ROUND(O21*('Inputs'!$D$59:$D$70-('Inputs'!$P$59:$P$70=O5)*O14),2))</f>
      </c>
      <c r="P22">
        <f>SUMPRODUCT('Inputs'!$R$59:$R$70,ROUND(P21*('Inputs'!$D$59:$D$70-('Inputs'!$P$59:$P$70=P5)*P14),2))</f>
      </c>
      <c r="Q22">
        <f>SUMPRODUCT('Inputs'!$R$59:$R$70,ROUND(Q21*('Inputs'!$D$59:$D$70-('Inputs'!$P$59:$P$70=Q5)*Q14),2))</f>
      </c>
      <c r="R22">
        <f>SUMPRODUCT('Inputs'!$R$59:$R$70,ROUND(R21*('Inputs'!$D$59:$D$70-('Inputs'!$P$59:$P$70=R5)*R14),2))</f>
      </c>
      <c r="S22">
        <f>SUMPRODUCT('Inputs'!$R$59:$R$70,ROUND(S21*('Inputs'!$D$59:$D$70-('Inputs'!$P$59:$P$70=S5)*S14),2))</f>
      </c>
      <c r="T22">
        <f>SUMPRODUCT('Inputs'!$R$59:$R$70,ROUND(T21*('Inputs'!$D$59:$D$70-('Inputs'!$P$59:$P$70=T5)*T14),2))</f>
      </c>
      <c r="V22">
        <f>SUMPRODUCT('Inputs'!$R$59:$R$70,ROUND(V21*('Inputs'!$D$59:$D$70-('Inputs'!$P$59:$P$70=V5)*V14),2))</f>
      </c>
      <c r="W22">
        <f>SUMPRODUCT('Inputs'!$R$59:$R$70,ROUND(W21*('Inputs'!$D$59:$D$70-('Inputs'!$P$59:$P$70=W5)*W14),2))</f>
      </c>
      <c r="X22">
        <f>SUMPRODUCT('Inputs'!$R$59:$R$70,ROUND(X21*('Inputs'!$D$59:$D$70-('Inputs'!$P$59:$P$70=X5)*X14),2))</f>
      </c>
      <c r="Y22">
        <f>SUMPRODUCT('Inputs'!$R$59:$R$70,ROUND(Y21*('Inputs'!$D$59:$D$70-('Inputs'!$P$59:$P$70=Y5)*Y14),2))</f>
      </c>
      <c r="Z22">
        <f>SUMPRODUCT('Inputs'!$R$59:$R$70,ROUND(Z21*('Inputs'!$D$59:$D$70-('Inputs'!$P$59:$P$70=Z5)*Z14),2))</f>
      </c>
      <c r="AA22">
        <f>SUMPRODUCT('Inputs'!$R$59:$R$70,ROUND(AA21*('Inputs'!$D$59:$D$70-('Inputs'!$P$59:$P$70=AA5)*AA14),2))</f>
      </c>
      <c r="AB22">
        <f>SUMPRODUCT('Inputs'!$R$59:$R$70,ROUND(AB21*('Inputs'!$D$59:$D$70-('Inputs'!$P$59:$P$70=AB5)*AB14),2))</f>
      </c>
      <c r="AC22">
        <f>SUMPRODUCT('Inputs'!$R$59:$R$70,ROUND(AC21*('Inputs'!$D$59:$D$70-('Inputs'!$P$59:$P$70=AC5)*AC14),2))</f>
      </c>
      <c r="AD22">
        <f>SUMPRODUCT('Inputs'!$R$59:$R$70,ROUND(AD21*('Inputs'!$D$59:$D$70-('Inputs'!$P$59:$P$70=AD5)*AD14),2))</f>
      </c>
      <c r="AE22">
        <f>SUMPRODUCT('Inputs'!$R$59:$R$70,ROUND(AE21*('Inputs'!$D$59:$D$70-('Inputs'!$P$59:$P$70=AE5)*AE14),2))</f>
      </c>
      <c r="AF22">
        <f>SUMPRODUCT('Inputs'!$R$59:$R$70,ROUND(AF21*('Inputs'!$D$59:$D$70-('Inputs'!$P$59:$P$70=AF5)*AF14),2))</f>
      </c>
      <c r="AG22">
        <f>SUMPRODUCT('Inputs'!$R$59:$R$70,ROUND(AG21*('Inputs'!$D$59:$D$70-('Inputs'!$P$59:$P$70=AG5)*AG14),2))</f>
      </c>
      <c r="AH22">
        <f>SUMPRODUCT('Inputs'!$R$59:$R$70,ROUND(AH21*('Inputs'!$D$59:$D$70-('Inputs'!$P$59:$P$70=AH5)*AH14),2))</f>
      </c>
      <c r="AI22">
        <f>SUMPRODUCT('Inputs'!$R$59:$R$70,ROUND(AI21*('Inputs'!$D$59:$D$70-('Inputs'!$P$59:$P$70=AI5)*AI14),2))</f>
      </c>
      <c r="AJ22">
        <f>SUMPRODUCT('Inputs'!$R$59:$R$70,ROUND(AJ21*('Inputs'!$D$59:$D$70-('Inputs'!$P$59:$P$70=AJ5)*AJ14),2))</f>
      </c>
      <c r="AK22">
        <f>SUMPRODUCT('Inputs'!$R$59:$R$70,ROUND(AK21*('Inputs'!$D$59:$D$70-('Inputs'!$P$59:$P$70=AK5)*AK14),2))</f>
      </c>
      <c r="AM22">
        <f>SUMPRODUCT('Inputs'!$R$59:$R$70,ROUND(AM21*('Inputs'!$D$59:$D$70-('Inputs'!$P$59:$P$70=AM5)*AM14),2))</f>
      </c>
      <c r="AN22">
        <f>SUMPRODUCT('Inputs'!$R$59:$R$70,ROUND(AN21*('Inputs'!$D$59:$D$70-('Inputs'!$P$59:$P$70=AN5)*AN14),2))</f>
      </c>
      <c r="AO22">
        <f>SUMPRODUCT('Inputs'!$R$59:$R$70,ROUND(AO21*('Inputs'!$D$59:$D$70-('Inputs'!$P$59:$P$70=AO5)*AO14),2))</f>
      </c>
      <c r="AP22">
        <f>SUMPRODUCT('Inputs'!$R$59:$R$70,ROUND(AP21*('Inputs'!$D$59:$D$70-('Inputs'!$P$59:$P$70=AP5)*AP14),2))</f>
      </c>
      <c r="AQ22">
        <f>SUMPRODUCT('Inputs'!$R$59:$R$70,ROUND(AQ21*('Inputs'!$D$59:$D$70-('Inputs'!$P$59:$P$70=AQ5)*AQ14),2))</f>
      </c>
      <c r="AR22">
        <f>SUMPRODUCT('Inputs'!$R$59:$R$70,ROUND(AR21*('Inputs'!$D$59:$D$70-('Inputs'!$P$59:$P$70=AR5)*AR14),2))</f>
      </c>
      <c r="AS22">
        <f>SUMPRODUCT('Inputs'!$R$59:$R$70,ROUND(AS21*('Inputs'!$D$59:$D$70-('Inputs'!$P$59:$P$70=AS5)*AS14),2))</f>
      </c>
      <c r="AT22">
        <f>SUMPRODUCT('Inputs'!$R$59:$R$70,ROUND(AT21*('Inputs'!$D$59:$D$70-('Inputs'!$P$59:$P$70=AT5)*AT14),2))</f>
      </c>
      <c r="AU22">
        <f>SUMPRODUCT('Inputs'!$R$59:$R$70,ROUND(AU21*('Inputs'!$D$59:$D$70-('Inputs'!$P$59:$P$70=AU5)*AU14),2))</f>
      </c>
      <c r="AV22">
        <f>SUMPRODUCT('Inputs'!$R$59:$R$70,ROUND(AV21*('Inputs'!$D$59:$D$70-('Inputs'!$P$59:$P$70=AV5)*AV14),2))</f>
      </c>
      <c r="AW22">
        <f>SUMPRODUCT('Inputs'!$R$59:$R$70,ROUND(AW21*('Inputs'!$D$59:$D$70-('Inputs'!$P$59:$P$70=AW5)*AW14),2))</f>
      </c>
      <c r="AX22">
        <f>SUMPRODUCT('Inputs'!$R$59:$R$70,ROUND(AX21*('Inputs'!$D$59:$D$70-('Inputs'!$P$59:$P$70=AX5)*AX14),2))</f>
      </c>
      <c r="AY22">
        <f>SUMPRODUCT('Inputs'!$R$59:$R$70,ROUND(AY21*('Inputs'!$D$59:$D$70-('Inputs'!$P$59:$P$70=AY5)*AY14),2))</f>
      </c>
      <c r="AZ22">
        <f>SUMPRODUCT('Inputs'!$R$59:$R$70,ROUND(AZ21*('Inputs'!$D$59:$D$70-('Inputs'!$P$59:$P$70=AZ5)*AZ14),2))</f>
      </c>
      <c r="BA22">
        <f>SUMPRODUCT('Inputs'!$R$59:$R$70,ROUND(BA21*('Inputs'!$D$59:$D$70-('Inputs'!$P$59:$P$70=BA5)*BA14),2))</f>
      </c>
      <c r="BB22">
        <f>SUMPRODUCT('Inputs'!$R$59:$R$70,ROUND(BB21*('Inputs'!$D$59:$D$70-('Inputs'!$P$59:$P$70=BB5)*BB14),2))</f>
      </c>
      <c r="BD22">
        <f>SUMPRODUCT('Inputs'!$R$59:$R$70,ROUND(BD21*('Inputs'!$D$59:$D$70-('Inputs'!$P$59:$P$70=BD5)*BD14),2))</f>
      </c>
      <c r="BE22">
        <f>SUMPRODUCT('Inputs'!$R$59:$R$70,ROUND(BE21*('Inputs'!$D$59:$D$70-('Inputs'!$P$59:$P$70=BE5)*BE14),2))</f>
      </c>
      <c r="BF22">
        <f>SUMPRODUCT('Inputs'!$R$59:$R$70,ROUND(BF21*('Inputs'!$D$59:$D$70-('Inputs'!$P$59:$P$70=BF5)*BF14),2))</f>
      </c>
      <c r="BG22">
        <f>SUMPRODUCT('Inputs'!$R$59:$R$70,ROUND(BG21*('Inputs'!$D$59:$D$70-('Inputs'!$P$59:$P$70=BG5)*BG14),2))</f>
      </c>
      <c r="BH22">
        <f>SUMPRODUCT('Inputs'!$R$59:$R$70,ROUND(BH21*('Inputs'!$D$59:$D$70-('Inputs'!$P$59:$P$70=BH5)*BH14),2))</f>
      </c>
      <c r="BI22">
        <f>SUMPRODUCT('Inputs'!$R$59:$R$70,ROUND(BI21*('Inputs'!$D$59:$D$70-('Inputs'!$P$59:$P$70=BI5)*BI14),2))</f>
      </c>
      <c r="BJ22">
        <f>SUMPRODUCT('Inputs'!$R$59:$R$70,ROUND(BJ21*('Inputs'!$D$59:$D$70-('Inputs'!$P$59:$P$70=BJ5)*BJ14),2))</f>
      </c>
      <c r="BK22">
        <f>SUMPRODUCT('Inputs'!$R$59:$R$70,ROUND(BK21*('Inputs'!$D$59:$D$70-('Inputs'!$P$59:$P$70=BK5)*BK14),2))</f>
      </c>
      <c r="BL22">
        <f>SUMPRODUCT('Inputs'!$R$59:$R$70,ROUND(BL21*('Inputs'!$D$59:$D$70-('Inputs'!$P$59:$P$70=BL5)*BL14),2))</f>
      </c>
      <c r="BM22">
        <f>SUMPRODUCT('Inputs'!$R$59:$R$70,ROUND(BM21*('Inputs'!$D$59:$D$70-('Inputs'!$P$59:$P$70=BM5)*BM14),2))</f>
      </c>
      <c r="BN22">
        <f>SUMPRODUCT('Inputs'!$R$59:$R$70,ROUND(BN21*('Inputs'!$D$59:$D$70-('Inputs'!$P$59:$P$70=BN5)*BN14),2))</f>
      </c>
      <c r="BO22">
        <f>SUMPRODUCT('Inputs'!$R$59:$R$70,ROUND(BO21*('Inputs'!$D$59:$D$70-('Inputs'!$P$59:$P$70=BO5)*BO14),2))</f>
      </c>
      <c r="BP22">
        <f>SUMPRODUCT('Inputs'!$R$59:$R$70,ROUND(BP21*('Inputs'!$D$59:$D$70-('Inputs'!$P$59:$P$70=BP5)*BP14),2))</f>
      </c>
      <c r="BQ22">
        <f>SUMPRODUCT('Inputs'!$R$59:$R$70,ROUND(BQ21*('Inputs'!$D$59:$D$70-('Inputs'!$P$59:$P$70=BQ5)*BQ14),2))</f>
      </c>
      <c r="BR22">
        <f>SUMPRODUCT('Inputs'!$R$59:$R$70,ROUND(BR21*('Inputs'!$D$59:$D$70-('Inputs'!$P$59:$P$70=BR5)*BR14),2))</f>
      </c>
      <c r="BS22">
        <f>SUMPRODUCT('Inputs'!$R$59:$R$70,ROUND(BS21*('Inputs'!$D$59:$D$70-('Inputs'!$P$59:$P$70=BS5)*BS14),2))</f>
      </c>
    </row>
    <row r="23" spans="2:71" x14ac:dyDescent="0.25">
      <c r="B23" t="s">
        <v>342</v>
      </c>
      <c r="C23">
        <f>SUMPRODUCT(ROUND(C21*'Inputs'!$S$22:$S$39,2))</f>
      </c>
      <c r="E23">
        <f>SUMPRODUCT(ROUND(E21*'Inputs'!$S$22:$S$39,2))</f>
      </c>
      <c r="F23">
        <f>SUMPRODUCT(ROUND(F21*'Inputs'!$S$22:$S$39,2))</f>
      </c>
      <c r="G23">
        <f>SUMPRODUCT(ROUND(G21*'Inputs'!$S$22:$S$39,2))</f>
      </c>
      <c r="H23">
        <f>SUMPRODUCT(ROUND(H21*'Inputs'!$S$22:$S$39,2))</f>
      </c>
      <c r="I23">
        <f>SUMPRODUCT(ROUND(I21*'Inputs'!$S$22:$S$39,2))</f>
      </c>
      <c r="J23">
        <f>SUMPRODUCT(ROUND(J21*'Inputs'!$S$22:$S$39,2))</f>
      </c>
      <c r="K23">
        <f>SUMPRODUCT(ROUND(K21*'Inputs'!$S$22:$S$39,2))</f>
      </c>
      <c r="L23">
        <f>SUMPRODUCT(ROUND(L21*'Inputs'!$S$22:$S$39,2))</f>
      </c>
      <c r="M23">
        <f>SUMPRODUCT(ROUND(M21*'Inputs'!$S$22:$S$39,2))</f>
      </c>
      <c r="N23">
        <f>SUMPRODUCT(ROUND(N21*'Inputs'!$S$22:$S$39,2))</f>
      </c>
      <c r="O23">
        <f>SUMPRODUCT(ROUND(O21*'Inputs'!$S$22:$S$39,2))</f>
      </c>
      <c r="P23">
        <f>SUMPRODUCT(ROUND(P21*'Inputs'!$S$22:$S$39,2))</f>
      </c>
      <c r="Q23">
        <f>SUMPRODUCT(ROUND(Q21*'Inputs'!$S$22:$S$39,2))</f>
      </c>
      <c r="R23">
        <f>SUMPRODUCT(ROUND(R21*'Inputs'!$S$22:$S$39,2))</f>
      </c>
      <c r="S23">
        <f>SUMPRODUCT(ROUND(S21*'Inputs'!$S$22:$S$39,2))</f>
      </c>
      <c r="T23">
        <f>SUMPRODUCT(ROUND(T21*'Inputs'!$S$22:$S$39,2))</f>
      </c>
      <c r="V23">
        <f>SUMPRODUCT(ROUND(V21*'Inputs'!$S$22:$S$39,2))</f>
      </c>
      <c r="W23">
        <f>SUMPRODUCT(ROUND(W21*'Inputs'!$S$22:$S$39,2))</f>
      </c>
      <c r="X23">
        <f>SUMPRODUCT(ROUND(X21*'Inputs'!$S$22:$S$39,2))</f>
      </c>
      <c r="Y23">
        <f>SUMPRODUCT(ROUND(Y21*'Inputs'!$S$22:$S$39,2))</f>
      </c>
      <c r="Z23">
        <f>SUMPRODUCT(ROUND(Z21*'Inputs'!$S$22:$S$39,2))</f>
      </c>
      <c r="AA23">
        <f>SUMPRODUCT(ROUND(AA21*'Inputs'!$S$22:$S$39,2))</f>
      </c>
      <c r="AB23">
        <f>SUMPRODUCT(ROUND(AB21*'Inputs'!$S$22:$S$39,2))</f>
      </c>
      <c r="AC23">
        <f>SUMPRODUCT(ROUND(AC21*'Inputs'!$S$22:$S$39,2))</f>
      </c>
      <c r="AD23">
        <f>SUMPRODUCT(ROUND(AD21*'Inputs'!$S$22:$S$39,2))</f>
      </c>
      <c r="AE23">
        <f>SUMPRODUCT(ROUND(AE21*'Inputs'!$S$22:$S$39,2))</f>
      </c>
      <c r="AF23">
        <f>SUMPRODUCT(ROUND(AF21*'Inputs'!$S$22:$S$39,2))</f>
      </c>
      <c r="AG23">
        <f>SUMPRODUCT(ROUND(AG21*'Inputs'!$S$22:$S$39,2))</f>
      </c>
      <c r="AH23">
        <f>SUMPRODUCT(ROUND(AH21*'Inputs'!$S$22:$S$39,2))</f>
      </c>
      <c r="AI23">
        <f>SUMPRODUCT(ROUND(AI21*'Inputs'!$S$22:$S$39,2))</f>
      </c>
      <c r="AJ23">
        <f>SUMPRODUCT(ROUND(AJ21*'Inputs'!$S$22:$S$39,2))</f>
      </c>
      <c r="AK23">
        <f>SUMPRODUCT(ROUND(AK21*'Inputs'!$S$22:$S$39,2))</f>
      </c>
      <c r="AM23">
        <f>SUMPRODUCT(ROUND(AM21*'Inputs'!$S$22:$S$39,2))</f>
      </c>
      <c r="AN23">
        <f>SUMPRODUCT(ROUND(AN21*'Inputs'!$S$22:$S$39,2))</f>
      </c>
      <c r="AO23">
        <f>SUMPRODUCT(ROUND(AO21*'Inputs'!$S$22:$S$39,2))</f>
      </c>
      <c r="AP23">
        <f>SUMPRODUCT(ROUND(AP21*'Inputs'!$S$22:$S$39,2))</f>
      </c>
      <c r="AQ23">
        <f>SUMPRODUCT(ROUND(AQ21*'Inputs'!$S$22:$S$39,2))</f>
      </c>
      <c r="AR23">
        <f>SUMPRODUCT(ROUND(AR21*'Inputs'!$S$22:$S$39,2))</f>
      </c>
      <c r="AS23">
        <f>SUMPRODUCT(ROUND(AS21*'Inputs'!$S$22:$S$39,2))</f>
      </c>
      <c r="AT23">
        <f>SUMPRODUCT(ROUND(AT21*'Inputs'!$S$22:$S$39,2))</f>
      </c>
      <c r="AU23">
        <f>SUMPRODUCT(ROUND(AU21*'Inputs'!$S$22:$S$39,2))</f>
      </c>
      <c r="AV23">
        <f>SUMPRODUCT(ROUND(AV21*'Inputs'!$S$22:$S$39,2))</f>
      </c>
      <c r="AW23">
        <f>SUMPRODUCT(ROUND(AW21*'Inputs'!$S$22:$S$39,2))</f>
      </c>
      <c r="AX23">
        <f>SUMPRODUCT(ROUND(AX21*'Inputs'!$S$22:$S$39,2))</f>
      </c>
      <c r="AY23">
        <f>SUMPRODUCT(ROUND(AY21*'Inputs'!$S$22:$S$39,2))</f>
      </c>
      <c r="AZ23">
        <f>SUMPRODUCT(ROUND(AZ21*'Inputs'!$S$22:$S$39,2))</f>
      </c>
      <c r="BA23">
        <f>SUMPRODUCT(ROUND(BA21*'Inputs'!$S$22:$S$39,2))</f>
      </c>
      <c r="BB23">
        <f>SUMPRODUCT(ROUND(BB21*'Inputs'!$S$22:$S$39,2))</f>
      </c>
      <c r="BD23">
        <f>SUMPRODUCT(ROUND(BD21*'Inputs'!$S$22:$S$39,2))</f>
      </c>
      <c r="BE23">
        <f>SUMPRODUCT(ROUND(BE21*'Inputs'!$S$22:$S$39,2))</f>
      </c>
      <c r="BF23">
        <f>SUMPRODUCT(ROUND(BF21*'Inputs'!$S$22:$S$39,2))</f>
      </c>
      <c r="BG23">
        <f>SUMPRODUCT(ROUND(BG21*'Inputs'!$S$22:$S$39,2))</f>
      </c>
      <c r="BH23">
        <f>SUMPRODUCT(ROUND(BH21*'Inputs'!$S$22:$S$39,2))</f>
      </c>
      <c r="BI23">
        <f>SUMPRODUCT(ROUND(BI21*'Inputs'!$S$22:$S$39,2))</f>
      </c>
      <c r="BJ23">
        <f>SUMPRODUCT(ROUND(BJ21*'Inputs'!$S$22:$S$39,2))</f>
      </c>
      <c r="BK23">
        <f>SUMPRODUCT(ROUND(BK21*'Inputs'!$S$22:$S$39,2))</f>
      </c>
      <c r="BL23">
        <f>SUMPRODUCT(ROUND(BL21*'Inputs'!$S$22:$S$39,2))</f>
      </c>
      <c r="BM23">
        <f>SUMPRODUCT(ROUND(BM21*'Inputs'!$S$22:$S$39,2))</f>
      </c>
      <c r="BN23">
        <f>SUMPRODUCT(ROUND(BN21*'Inputs'!$S$22:$S$39,2))</f>
      </c>
      <c r="BO23">
        <f>SUMPRODUCT(ROUND(BO21*'Inputs'!$S$22:$S$39,2))</f>
      </c>
      <c r="BP23">
        <f>SUMPRODUCT(ROUND(BP21*'Inputs'!$S$22:$S$39,2))</f>
      </c>
      <c r="BQ23">
        <f>SUMPRODUCT(ROUND(BQ21*'Inputs'!$S$22:$S$39,2))</f>
      </c>
      <c r="BR23">
        <f>SUMPRODUCT(ROUND(BR21*'Inputs'!$S$22:$S$39,2))</f>
      </c>
      <c r="BS23">
        <f>SUMPRODUCT(ROUND(BS21*'Inputs'!$S$22:$S$39,2))</f>
      </c>
    </row>
    <row r="24" spans="2:71" x14ac:dyDescent="0.25">
      <c r="B24" t="s">
        <v>343</v>
      </c>
      <c r="C24">
        <f>IF(OR(C3=1,C3=2),ROUND(C21*C7,2)+ROUND(C21*C8,2)+ROUND(C21*C9,2)+ROUND(C21*C10,2)+ROUND(C21*C11,2)+ROUND(C21*C12,2)+ROUND(C21*C13,2),IF(C3=3,ROUND(C21*C14,2),0))</f>
      </c>
      <c r="E24">
        <f>IF(OR(E3=1,E3=2),ROUND(E21*E7,2)+ROUND(E21*E8,2)+ROUND(E21*E9,2)+ROUND(E21*E10,2)+ROUND(E21*E11,2)+ROUND(E21*E12,2)+ROUND(E21*E13,2),IF(E3=3,ROUND(E21*E14,2),0))</f>
      </c>
      <c r="F24">
        <f>IF(OR(F3=1,F3=2),ROUND(F21*F7,2)+ROUND(F21*F8,2)+ROUND(F21*F9,2)+ROUND(F21*F10,2)+ROUND(F21*F11,2)+ROUND(F21*F12,2)+ROUND(F21*F13,2),IF(F3=3,ROUND(F21*F14,2),0))</f>
      </c>
      <c r="G24">
        <f>IF(OR(G3=1,G3=2),ROUND(G21*G7,2)+ROUND(G21*G8,2)+ROUND(G21*G9,2)+ROUND(G21*G10,2)+ROUND(G21*G11,2)+ROUND(G21*G12,2)+ROUND(G21*G13,2),IF(G3=3,ROUND(G21*G14,2),0))</f>
      </c>
      <c r="H24">
        <f>IF(OR(H3=1,H3=2),ROUND(H21*H7,2)+ROUND(H21*H8,2)+ROUND(H21*H9,2)+ROUND(H21*H10,2)+ROUND(H21*H11,2)+ROUND(H21*H12,2)+ROUND(H21*H13,2),IF(H3=3,ROUND(H21*H14,2),0))</f>
      </c>
      <c r="I24">
        <f>IF(OR(I3=1,I3=2),ROUND(I21*I7,2)+ROUND(I21*I8,2)+ROUND(I21*I9,2)+ROUND(I21*I10,2)+ROUND(I21*I11,2)+ROUND(I21*I12,2)+ROUND(I21*I13,2),IF(I3=3,ROUND(I21*I14,2),0))</f>
      </c>
      <c r="J24">
        <f>IF(OR(J3=1,J3=2),ROUND(J21*J7,2)+ROUND(J21*J8,2)+ROUND(J21*J9,2)+ROUND(J21*J10,2)+ROUND(J21*J11,2)+ROUND(J21*J12,2)+ROUND(J21*J13,2),IF(J3=3,ROUND(J21*J14,2),0))</f>
      </c>
      <c r="K24">
        <f>IF(OR(K3=1,K3=2),ROUND(K21*K7,2)+ROUND(K21*K8,2)+ROUND(K21*K9,2)+ROUND(K21*K10,2)+ROUND(K21*K11,2)+ROUND(K21*K12,2)+ROUND(K21*K13,2),IF(K3=3,ROUND(K21*K14,2),0))</f>
      </c>
      <c r="L24">
        <f>IF(OR(L3=1,L3=2),ROUND(L21*L7,2)+ROUND(L21*L8,2)+ROUND(L21*L9,2)+ROUND(L21*L10,2)+ROUND(L21*L11,2)+ROUND(L21*L12,2)+ROUND(L21*L13,2),IF(L3=3,ROUND(L21*L14,2),0))</f>
      </c>
      <c r="M24">
        <f>IF(OR(M3=1,M3=2),ROUND(M21*M7,2)+ROUND(M21*M8,2)+ROUND(M21*M9,2)+ROUND(M21*M10,2)+ROUND(M21*M11,2)+ROUND(M21*M12,2)+ROUND(M21*M13,2),IF(M3=3,ROUND(M21*M14,2),0))</f>
      </c>
      <c r="N24">
        <f>IF(OR(N3=1,N3=2),ROUND(N21*N7,2)+ROUND(N21*N8,2)+ROUND(N21*N9,2)+ROUND(N21*N10,2)+ROUND(N21*N11,2)+ROUND(N21*N12,2)+ROUND(N21*N13,2),IF(N3=3,ROUND(N21*N14,2),0))</f>
      </c>
      <c r="O24">
        <f>IF(OR(O3=1,O3=2),ROUND(O21*O7,2)+ROUND(O21*O8,2)+ROUND(O21*O9,2)+ROUND(O21*O10,2)+ROUND(O21*O11,2)+ROUND(O21*O12,2)+ROUND(O21*O13,2),IF(O3=3,ROUND(O21*O14,2),0))</f>
      </c>
      <c r="P24">
        <f>IF(OR(P3=1,P3=2),ROUND(P21*P7,2)+ROUND(P21*P8,2)+ROUND(P21*P9,2)+ROUND(P21*P10,2)+ROUND(P21*P11,2)+ROUND(P21*P12,2)+ROUND(P21*P13,2),IF(P3=3,ROUND(P21*P14,2),0))</f>
      </c>
      <c r="Q24">
        <f>IF(OR(Q3=1,Q3=2),ROUND(Q21*Q7,2)+ROUND(Q21*Q8,2)+ROUND(Q21*Q9,2)+ROUND(Q21*Q10,2)+ROUND(Q21*Q11,2)+ROUND(Q21*Q12,2)+ROUND(Q21*Q13,2),IF(Q3=3,ROUND(Q21*Q14,2),0))</f>
      </c>
      <c r="R24">
        <f>IF(OR(R3=1,R3=2),ROUND(R21*R7,2)+ROUND(R21*R8,2)+ROUND(R21*R9,2)+ROUND(R21*R10,2)+ROUND(R21*R11,2)+ROUND(R21*R12,2)+ROUND(R21*R13,2),IF(R3=3,ROUND(R21*R14,2),0))</f>
      </c>
      <c r="S24">
        <f>IF(OR(S3=1,S3=2),ROUND(S21*S7,2)+ROUND(S21*S8,2)+ROUND(S21*S9,2)+ROUND(S21*S10,2)+ROUND(S21*S11,2)+ROUND(S21*S12,2)+ROUND(S21*S13,2),IF(S3=3,ROUND(S21*S14,2),0))</f>
      </c>
      <c r="T24">
        <f>IF(OR(T3=1,T3=2),ROUND(T21*T7,2)+ROUND(T21*T8,2)+ROUND(T21*T9,2)+ROUND(T21*T10,2)+ROUND(T21*T11,2)+ROUND(T21*T12,2)+ROUND(T21*T13,2),IF(T3=3,ROUND(T21*T14,2),0))</f>
      </c>
      <c r="V24">
        <f>IF(OR(V3=1,V3=2),ROUND(V21*V7,2)+ROUND(V21*V8,2)+ROUND(V21*V9,2)+ROUND(V21*V10,2)+ROUND(V21*V11,2)+ROUND(V21*V12,2)+ROUND(V21*V13,2),IF(V3=3,ROUND(V21*V14,2),0))</f>
      </c>
      <c r="W24">
        <f>IF(OR(W3=1,W3=2),ROUND(W21*W7,2)+ROUND(W21*W8,2)+ROUND(W21*W9,2)+ROUND(W21*W10,2)+ROUND(W21*W11,2)+ROUND(W21*W12,2)+ROUND(W21*W13,2),IF(W3=3,ROUND(W21*W14,2),0))</f>
      </c>
      <c r="X24">
        <f>IF(OR(X3=1,X3=2),ROUND(X21*X7,2)+ROUND(X21*X8,2)+ROUND(X21*X9,2)+ROUND(X21*X10,2)+ROUND(X21*X11,2)+ROUND(X21*X12,2)+ROUND(X21*X13,2),IF(X3=3,ROUND(X21*X14,2),0))</f>
      </c>
      <c r="Y24">
        <f>IF(OR(Y3=1,Y3=2),ROUND(Y21*Y7,2)+ROUND(Y21*Y8,2)+ROUND(Y21*Y9,2)+ROUND(Y21*Y10,2)+ROUND(Y21*Y11,2)+ROUND(Y21*Y12,2)+ROUND(Y21*Y13,2),IF(Y3=3,ROUND(Y21*Y14,2),0))</f>
      </c>
      <c r="Z24">
        <f>IF(OR(Z3=1,Z3=2),ROUND(Z21*Z7,2)+ROUND(Z21*Z8,2)+ROUND(Z21*Z9,2)+ROUND(Z21*Z10,2)+ROUND(Z21*Z11,2)+ROUND(Z21*Z12,2)+ROUND(Z21*Z13,2),IF(Z3=3,ROUND(Z21*Z14,2),0))</f>
      </c>
      <c r="AA24">
        <f>IF(OR(AA3=1,AA3=2),ROUND(AA21*AA7,2)+ROUND(AA21*AA8,2)+ROUND(AA21*AA9,2)+ROUND(AA21*AA10,2)+ROUND(AA21*AA11,2)+ROUND(AA21*AA12,2)+ROUND(AA21*AA13,2),IF(AA3=3,ROUND(AA21*AA14,2),0))</f>
      </c>
      <c r="AB24">
        <f>IF(OR(AB3=1,AB3=2),ROUND(AB21*AB7,2)+ROUND(AB21*AB8,2)+ROUND(AB21*AB9,2)+ROUND(AB21*AB10,2)+ROUND(AB21*AB11,2)+ROUND(AB21*AB12,2)+ROUND(AB21*AB13,2),IF(AB3=3,ROUND(AB21*AB14,2),0))</f>
      </c>
      <c r="AC24">
        <f>IF(OR(AC3=1,AC3=2),ROUND(AC21*AC7,2)+ROUND(AC21*AC8,2)+ROUND(AC21*AC9,2)+ROUND(AC21*AC10,2)+ROUND(AC21*AC11,2)+ROUND(AC21*AC12,2)+ROUND(AC21*AC13,2),IF(AC3=3,ROUND(AC21*AC14,2),0))</f>
      </c>
      <c r="AD24">
        <f>IF(OR(AD3=1,AD3=2),ROUND(AD21*AD7,2)+ROUND(AD21*AD8,2)+ROUND(AD21*AD9,2)+ROUND(AD21*AD10,2)+ROUND(AD21*AD11,2)+ROUND(AD21*AD12,2)+ROUND(AD21*AD13,2),IF(AD3=3,ROUND(AD21*AD14,2),0))</f>
      </c>
      <c r="AE24">
        <f>IF(OR(AE3=1,AE3=2),ROUND(AE21*AE7,2)+ROUND(AE21*AE8,2)+ROUND(AE21*AE9,2)+ROUND(AE21*AE10,2)+ROUND(AE21*AE11,2)+ROUND(AE21*AE12,2)+ROUND(AE21*AE13,2),IF(AE3=3,ROUND(AE21*AE14,2),0))</f>
      </c>
      <c r="AF24">
        <f>IF(OR(AF3=1,AF3=2),ROUND(AF21*AF7,2)+ROUND(AF21*AF8,2)+ROUND(AF21*AF9,2)+ROUND(AF21*AF10,2)+ROUND(AF21*AF11,2)+ROUND(AF21*AF12,2)+ROUND(AF21*AF13,2),IF(AF3=3,ROUND(AF21*AF14,2),0))</f>
      </c>
      <c r="AG24">
        <f>IF(OR(AG3=1,AG3=2),ROUND(AG21*AG7,2)+ROUND(AG21*AG8,2)+ROUND(AG21*AG9,2)+ROUND(AG21*AG10,2)+ROUND(AG21*AG11,2)+ROUND(AG21*AG12,2)+ROUND(AG21*AG13,2),IF(AG3=3,ROUND(AG21*AG14,2),0))</f>
      </c>
      <c r="AH24">
        <f>IF(OR(AH3=1,AH3=2),ROUND(AH21*AH7,2)+ROUND(AH21*AH8,2)+ROUND(AH21*AH9,2)+ROUND(AH21*AH10,2)+ROUND(AH21*AH11,2)+ROUND(AH21*AH12,2)+ROUND(AH21*AH13,2),IF(AH3=3,ROUND(AH21*AH14,2),0))</f>
      </c>
      <c r="AI24">
        <f>IF(OR(AI3=1,AI3=2),ROUND(AI21*AI7,2)+ROUND(AI21*AI8,2)+ROUND(AI21*AI9,2)+ROUND(AI21*AI10,2)+ROUND(AI21*AI11,2)+ROUND(AI21*AI12,2)+ROUND(AI21*AI13,2),IF(AI3=3,ROUND(AI21*AI14,2),0))</f>
      </c>
      <c r="AJ24">
        <f>IF(OR(AJ3=1,AJ3=2),ROUND(AJ21*AJ7,2)+ROUND(AJ21*AJ8,2)+ROUND(AJ21*AJ9,2)+ROUND(AJ21*AJ10,2)+ROUND(AJ21*AJ11,2)+ROUND(AJ21*AJ12,2)+ROUND(AJ21*AJ13,2),IF(AJ3=3,ROUND(AJ21*AJ14,2),0))</f>
      </c>
      <c r="AK24">
        <f>IF(OR(AK3=1,AK3=2),ROUND(AK21*AK7,2)+ROUND(AK21*AK8,2)+ROUND(AK21*AK9,2)+ROUND(AK21*AK10,2)+ROUND(AK21*AK11,2)+ROUND(AK21*AK12,2)+ROUND(AK21*AK13,2),IF(AK3=3,ROUND(AK21*AK14,2),0))</f>
      </c>
      <c r="AM24">
        <f>IF(OR(AM3=1,AM3=2),ROUND(AM21*AM7,2)+ROUND(AM21*AM8,2)+ROUND(AM21*AM9,2)+ROUND(AM21*AM10,2)+ROUND(AM21*AM11,2)+ROUND(AM21*AM12,2)+ROUND(AM21*AM13,2),IF(AM3=3,ROUND(AM21*AM14,2),0))</f>
      </c>
      <c r="AN24">
        <f>IF(OR(AN3=1,AN3=2),ROUND(AN21*AN7,2)+ROUND(AN21*AN8,2)+ROUND(AN21*AN9,2)+ROUND(AN21*AN10,2)+ROUND(AN21*AN11,2)+ROUND(AN21*AN12,2)+ROUND(AN21*AN13,2),IF(AN3=3,ROUND(AN21*AN14,2),0))</f>
      </c>
      <c r="AO24">
        <f>IF(OR(AO3=1,AO3=2),ROUND(AO21*AO7,2)+ROUND(AO21*AO8,2)+ROUND(AO21*AO9,2)+ROUND(AO21*AO10,2)+ROUND(AO21*AO11,2)+ROUND(AO21*AO12,2)+ROUND(AO21*AO13,2),IF(AO3=3,ROUND(AO21*AO14,2),0))</f>
      </c>
      <c r="AP24">
        <f>IF(OR(AP3=1,AP3=2),ROUND(AP21*AP7,2)+ROUND(AP21*AP8,2)+ROUND(AP21*AP9,2)+ROUND(AP21*AP10,2)+ROUND(AP21*AP11,2)+ROUND(AP21*AP12,2)+ROUND(AP21*AP13,2),IF(AP3=3,ROUND(AP21*AP14,2),0))</f>
      </c>
      <c r="AQ24">
        <f>IF(OR(AQ3=1,AQ3=2),ROUND(AQ21*AQ7,2)+ROUND(AQ21*AQ8,2)+ROUND(AQ21*AQ9,2)+ROUND(AQ21*AQ10,2)+ROUND(AQ21*AQ11,2)+ROUND(AQ21*AQ12,2)+ROUND(AQ21*AQ13,2),IF(AQ3=3,ROUND(AQ21*AQ14,2),0))</f>
      </c>
      <c r="AR24">
        <f>IF(OR(AR3=1,AR3=2),ROUND(AR21*AR7,2)+ROUND(AR21*AR8,2)+ROUND(AR21*AR9,2)+ROUND(AR21*AR10,2)+ROUND(AR21*AR11,2)+ROUND(AR21*AR12,2)+ROUND(AR21*AR13,2),IF(AR3=3,ROUND(AR21*AR14,2),0))</f>
      </c>
      <c r="AS24">
        <f>IF(OR(AS3=1,AS3=2),ROUND(AS21*AS7,2)+ROUND(AS21*AS8,2)+ROUND(AS21*AS9,2)+ROUND(AS21*AS10,2)+ROUND(AS21*AS11,2)+ROUND(AS21*AS12,2)+ROUND(AS21*AS13,2),IF(AS3=3,ROUND(AS21*AS14,2),0))</f>
      </c>
      <c r="AT24">
        <f>IF(OR(AT3=1,AT3=2),ROUND(AT21*AT7,2)+ROUND(AT21*AT8,2)+ROUND(AT21*AT9,2)+ROUND(AT21*AT10,2)+ROUND(AT21*AT11,2)+ROUND(AT21*AT12,2)+ROUND(AT21*AT13,2),IF(AT3=3,ROUND(AT21*AT14,2),0))</f>
      </c>
      <c r="AU24">
        <f>IF(OR(AU3=1,AU3=2),ROUND(AU21*AU7,2)+ROUND(AU21*AU8,2)+ROUND(AU21*AU9,2)+ROUND(AU21*AU10,2)+ROUND(AU21*AU11,2)+ROUND(AU21*AU12,2)+ROUND(AU21*AU13,2),IF(AU3=3,ROUND(AU21*AU14,2),0))</f>
      </c>
      <c r="AV24">
        <f>IF(OR(AV3=1,AV3=2),ROUND(AV21*AV7,2)+ROUND(AV21*AV8,2)+ROUND(AV21*AV9,2)+ROUND(AV21*AV10,2)+ROUND(AV21*AV11,2)+ROUND(AV21*AV12,2)+ROUND(AV21*AV13,2),IF(AV3=3,ROUND(AV21*AV14,2),0))</f>
      </c>
      <c r="AW24">
        <f>IF(OR(AW3=1,AW3=2),ROUND(AW21*AW7,2)+ROUND(AW21*AW8,2)+ROUND(AW21*AW9,2)+ROUND(AW21*AW10,2)+ROUND(AW21*AW11,2)+ROUND(AW21*AW12,2)+ROUND(AW21*AW13,2),IF(AW3=3,ROUND(AW21*AW14,2),0))</f>
      </c>
      <c r="AX24">
        <f>IF(OR(AX3=1,AX3=2),ROUND(AX21*AX7,2)+ROUND(AX21*AX8,2)+ROUND(AX21*AX9,2)+ROUND(AX21*AX10,2)+ROUND(AX21*AX11,2)+ROUND(AX21*AX12,2)+ROUND(AX21*AX13,2),IF(AX3=3,ROUND(AX21*AX14,2),0))</f>
      </c>
      <c r="AY24">
        <f>IF(OR(AY3=1,AY3=2),ROUND(AY21*AY7,2)+ROUND(AY21*AY8,2)+ROUND(AY21*AY9,2)+ROUND(AY21*AY10,2)+ROUND(AY21*AY11,2)+ROUND(AY21*AY12,2)+ROUND(AY21*AY13,2),IF(AY3=3,ROUND(AY21*AY14,2),0))</f>
      </c>
      <c r="AZ24">
        <f>IF(OR(AZ3=1,AZ3=2),ROUND(AZ21*AZ7,2)+ROUND(AZ21*AZ8,2)+ROUND(AZ21*AZ9,2)+ROUND(AZ21*AZ10,2)+ROUND(AZ21*AZ11,2)+ROUND(AZ21*AZ12,2)+ROUND(AZ21*AZ13,2),IF(AZ3=3,ROUND(AZ21*AZ14,2),0))</f>
      </c>
      <c r="BA24">
        <f>IF(OR(BA3=1,BA3=2),ROUND(BA21*BA7,2)+ROUND(BA21*BA8,2)+ROUND(BA21*BA9,2)+ROUND(BA21*BA10,2)+ROUND(BA21*BA11,2)+ROUND(BA21*BA12,2)+ROUND(BA21*BA13,2),IF(BA3=3,ROUND(BA21*BA14,2),0))</f>
      </c>
      <c r="BB24">
        <f>IF(OR(BB3=1,BB3=2),ROUND(BB21*BB7,2)+ROUND(BB21*BB8,2)+ROUND(BB21*BB9,2)+ROUND(BB21*BB10,2)+ROUND(BB21*BB11,2)+ROUND(BB21*BB12,2)+ROUND(BB21*BB13,2),IF(BB3=3,ROUND(BB21*BB14,2),0))</f>
      </c>
      <c r="BD24">
        <f>IF(OR(BD3=1,BD3=2),ROUND(BD21*BD7,2)+ROUND(BD21*BD8,2)+ROUND(BD21*BD9,2)+ROUND(BD21*BD10,2)+ROUND(BD21*BD11,2)+ROUND(BD21*BD12,2)+ROUND(BD21*BD13,2),IF(BD3=3,ROUND(BD21*BD14,2),0))</f>
      </c>
      <c r="BE24">
        <f>IF(OR(BE3=1,BE3=2),ROUND(BE21*BE7,2)+ROUND(BE21*BE8,2)+ROUND(BE21*BE9,2)+ROUND(BE21*BE10,2)+ROUND(BE21*BE11,2)+ROUND(BE21*BE12,2)+ROUND(BE21*BE13,2),IF(BE3=3,ROUND(BE21*BE14,2),0))</f>
      </c>
      <c r="BF24">
        <f>IF(OR(BF3=1,BF3=2),ROUND(BF21*BF7,2)+ROUND(BF21*BF8,2)+ROUND(BF21*BF9,2)+ROUND(BF21*BF10,2)+ROUND(BF21*BF11,2)+ROUND(BF21*BF12,2)+ROUND(BF21*BF13,2),IF(BF3=3,ROUND(BF21*BF14,2),0))</f>
      </c>
      <c r="BG24">
        <f>IF(OR(BG3=1,BG3=2),ROUND(BG21*BG7,2)+ROUND(BG21*BG8,2)+ROUND(BG21*BG9,2)+ROUND(BG21*BG10,2)+ROUND(BG21*BG11,2)+ROUND(BG21*BG12,2)+ROUND(BG21*BG13,2),IF(BG3=3,ROUND(BG21*BG14,2),0))</f>
      </c>
      <c r="BH24">
        <f>IF(OR(BH3=1,BH3=2),ROUND(BH21*BH7,2)+ROUND(BH21*BH8,2)+ROUND(BH21*BH9,2)+ROUND(BH21*BH10,2)+ROUND(BH21*BH11,2)+ROUND(BH21*BH12,2)+ROUND(BH21*BH13,2),IF(BH3=3,ROUND(BH21*BH14,2),0))</f>
      </c>
      <c r="BI24">
        <f>IF(OR(BI3=1,BI3=2),ROUND(BI21*BI7,2)+ROUND(BI21*BI8,2)+ROUND(BI21*BI9,2)+ROUND(BI21*BI10,2)+ROUND(BI21*BI11,2)+ROUND(BI21*BI12,2)+ROUND(BI21*BI13,2),IF(BI3=3,ROUND(BI21*BI14,2),0))</f>
      </c>
      <c r="BJ24">
        <f>IF(OR(BJ3=1,BJ3=2),ROUND(BJ21*BJ7,2)+ROUND(BJ21*BJ8,2)+ROUND(BJ21*BJ9,2)+ROUND(BJ21*BJ10,2)+ROUND(BJ21*BJ11,2)+ROUND(BJ21*BJ12,2)+ROUND(BJ21*BJ13,2),IF(BJ3=3,ROUND(BJ21*BJ14,2),0))</f>
      </c>
      <c r="BK24">
        <f>IF(OR(BK3=1,BK3=2),ROUND(BK21*BK7,2)+ROUND(BK21*BK8,2)+ROUND(BK21*BK9,2)+ROUND(BK21*BK10,2)+ROUND(BK21*BK11,2)+ROUND(BK21*BK12,2)+ROUND(BK21*BK13,2),IF(BK3=3,ROUND(BK21*BK14,2),0))</f>
      </c>
      <c r="BL24">
        <f>IF(OR(BL3=1,BL3=2),ROUND(BL21*BL7,2)+ROUND(BL21*BL8,2)+ROUND(BL21*BL9,2)+ROUND(BL21*BL10,2)+ROUND(BL21*BL11,2)+ROUND(BL21*BL12,2)+ROUND(BL21*BL13,2),IF(BL3=3,ROUND(BL21*BL14,2),0))</f>
      </c>
      <c r="BM24">
        <f>IF(OR(BM3=1,BM3=2),ROUND(BM21*BM7,2)+ROUND(BM21*BM8,2)+ROUND(BM21*BM9,2)+ROUND(BM21*BM10,2)+ROUND(BM21*BM11,2)+ROUND(BM21*BM12,2)+ROUND(BM21*BM13,2),IF(BM3=3,ROUND(BM21*BM14,2),0))</f>
      </c>
      <c r="BN24">
        <f>IF(OR(BN3=1,BN3=2),ROUND(BN21*BN7,2)+ROUND(BN21*BN8,2)+ROUND(BN21*BN9,2)+ROUND(BN21*BN10,2)+ROUND(BN21*BN11,2)+ROUND(BN21*BN12,2)+ROUND(BN21*BN13,2),IF(BN3=3,ROUND(BN21*BN14,2),0))</f>
      </c>
      <c r="BO24">
        <f>IF(OR(BO3=1,BO3=2),ROUND(BO21*BO7,2)+ROUND(BO21*BO8,2)+ROUND(BO21*BO9,2)+ROUND(BO21*BO10,2)+ROUND(BO21*BO11,2)+ROUND(BO21*BO12,2)+ROUND(BO21*BO13,2),IF(BO3=3,ROUND(BO21*BO14,2),0))</f>
      </c>
      <c r="BP24">
        <f>IF(OR(BP3=1,BP3=2),ROUND(BP21*BP7,2)+ROUND(BP21*BP8,2)+ROUND(BP21*BP9,2)+ROUND(BP21*BP10,2)+ROUND(BP21*BP11,2)+ROUND(BP21*BP12,2)+ROUND(BP21*BP13,2),IF(BP3=3,ROUND(BP21*BP14,2),0))</f>
      </c>
      <c r="BQ24">
        <f>IF(OR(BQ3=1,BQ3=2),ROUND(BQ21*BQ7,2)+ROUND(BQ21*BQ8,2)+ROUND(BQ21*BQ9,2)+ROUND(BQ21*BQ10,2)+ROUND(BQ21*BQ11,2)+ROUND(BQ21*BQ12,2)+ROUND(BQ21*BQ13,2),IF(BQ3=3,ROUND(BQ21*BQ14,2),0))</f>
      </c>
      <c r="BR24">
        <f>IF(OR(BR3=1,BR3=2),ROUND(BR21*BR7,2)+ROUND(BR21*BR8,2)+ROUND(BR21*BR9,2)+ROUND(BR21*BR10,2)+ROUND(BR21*BR11,2)+ROUND(BR21*BR12,2)+ROUND(BR21*BR13,2),IF(BR3=3,ROUND(BR21*BR14,2),0))</f>
      </c>
      <c r="BS24">
        <f>IF(OR(BS3=1,BS3=2),ROUND(BS21*BS7,2)+ROUND(BS21*BS8,2)+ROUND(BS21*BS9,2)+ROUND(BS21*BS10,2)+ROUND(BS21*BS11,2)+ROUND(BS21*BS12,2)+ROUND(BS21*BS13,2),IF(BS3=3,ROUND(BS21*BS14,2),0))</f>
      </c>
    </row>
    <row r="25" spans="2:71" x14ac:dyDescent="0.25">
      <c r="B25" t="s">
        <v>344</v>
      </c>
      <c r="C25">
        <f>ROUND(C20-C22-C23-C24,2)</f>
      </c>
      <c r="E25">
        <f>ROUND(E20-E22-E23-E24,2)</f>
      </c>
      <c r="F25">
        <f>ROUND(F20-F22-F23-F24,2)</f>
      </c>
      <c r="G25">
        <f>ROUND(G20-G22-G23-G24,2)</f>
      </c>
      <c r="H25">
        <f>ROUND(H20-H22-H23-H24,2)</f>
      </c>
      <c r="I25">
        <f>ROUND(I20-I22-I23-I24,2)</f>
      </c>
      <c r="J25">
        <f>ROUND(J20-J22-J23-J24,2)</f>
      </c>
      <c r="K25">
        <f>ROUND(K20-K22-K23-K24,2)</f>
      </c>
      <c r="L25">
        <f>ROUND(L20-L22-L23-L24,2)</f>
      </c>
      <c r="M25">
        <f>ROUND(M20-M22-M23-M24,2)</f>
      </c>
      <c r="N25">
        <f>ROUND(N20-N22-N23-N24,2)</f>
      </c>
      <c r="O25">
        <f>ROUND(O20-O22-O23-O24,2)</f>
      </c>
      <c r="P25">
        <f>ROUND(P20-P22-P23-P24,2)</f>
      </c>
      <c r="Q25">
        <f>ROUND(Q20-Q22-Q23-Q24,2)</f>
      </c>
      <c r="R25">
        <f>ROUND(R20-R22-R23-R24,2)</f>
      </c>
      <c r="S25">
        <f>ROUND(S20-S22-S23-S24,2)</f>
      </c>
      <c r="T25">
        <f>ROUND(T20-T22-T23-T24,2)</f>
      </c>
      <c r="V25">
        <f>ROUND(V20-V22-V23-V24,2)</f>
      </c>
      <c r="W25">
        <f>ROUND(W20-W22-W23-W24,2)</f>
      </c>
      <c r="X25">
        <f>ROUND(X20-X22-X23-X24,2)</f>
      </c>
      <c r="Y25">
        <f>ROUND(Y20-Y22-Y23-Y24,2)</f>
      </c>
      <c r="Z25">
        <f>ROUND(Z20-Z22-Z23-Z24,2)</f>
      </c>
      <c r="AA25">
        <f>ROUND(AA20-AA22-AA23-AA24,2)</f>
      </c>
      <c r="AB25">
        <f>ROUND(AB20-AB22-AB23-AB24,2)</f>
      </c>
      <c r="AC25">
        <f>ROUND(AC20-AC22-AC23-AC24,2)</f>
      </c>
      <c r="AD25">
        <f>ROUND(AD20-AD22-AD23-AD24,2)</f>
      </c>
      <c r="AE25">
        <f>ROUND(AE20-AE22-AE23-AE24,2)</f>
      </c>
      <c r="AF25">
        <f>ROUND(AF20-AF22-AF23-AF24,2)</f>
      </c>
      <c r="AG25">
        <f>ROUND(AG20-AG22-AG23-AG24,2)</f>
      </c>
      <c r="AH25">
        <f>ROUND(AH20-AH22-AH23-AH24,2)</f>
      </c>
      <c r="AI25">
        <f>ROUND(AI20-AI22-AI23-AI24,2)</f>
      </c>
      <c r="AJ25">
        <f>ROUND(AJ20-AJ22-AJ23-AJ24,2)</f>
      </c>
      <c r="AK25">
        <f>ROUND(AK20-AK22-AK23-AK24,2)</f>
      </c>
      <c r="AM25">
        <f>ROUND(AM20-AM22-AM23-AM24,2)</f>
      </c>
      <c r="AN25">
        <f>ROUND(AN20-AN22-AN23-AN24,2)</f>
      </c>
      <c r="AO25">
        <f>ROUND(AO20-AO22-AO23-AO24,2)</f>
      </c>
      <c r="AP25">
        <f>ROUND(AP20-AP22-AP23-AP24,2)</f>
      </c>
      <c r="AQ25">
        <f>ROUND(AQ20-AQ22-AQ23-AQ24,2)</f>
      </c>
      <c r="AR25">
        <f>ROUND(AR20-AR22-AR23-AR24,2)</f>
      </c>
      <c r="AS25">
        <f>ROUND(AS20-AS22-AS23-AS24,2)</f>
      </c>
      <c r="AT25">
        <f>ROUND(AT20-AT22-AT23-AT24,2)</f>
      </c>
      <c r="AU25">
        <f>ROUND(AU20-AU22-AU23-AU24,2)</f>
      </c>
      <c r="AV25">
        <f>ROUND(AV20-AV22-AV23-AV24,2)</f>
      </c>
      <c r="AW25">
        <f>ROUND(AW20-AW22-AW23-AW24,2)</f>
      </c>
      <c r="AX25">
        <f>ROUND(AX20-AX22-AX23-AX24,2)</f>
      </c>
      <c r="AY25">
        <f>ROUND(AY20-AY22-AY23-AY24,2)</f>
      </c>
      <c r="AZ25">
        <f>ROUND(AZ20-AZ22-AZ23-AZ24,2)</f>
      </c>
      <c r="BA25">
        <f>ROUND(BA20-BA22-BA23-BA24,2)</f>
      </c>
      <c r="BB25">
        <f>ROUND(BB20-BB22-BB23-BB24,2)</f>
      </c>
      <c r="BD25">
        <f>ROUND(BD20-BD22-BD23-BD24,2)</f>
      </c>
      <c r="BE25">
        <f>ROUND(BE20-BE22-BE23-BE24,2)</f>
      </c>
      <c r="BF25">
        <f>ROUND(BF20-BF22-BF23-BF24,2)</f>
      </c>
      <c r="BG25">
        <f>ROUND(BG20-BG22-BG23-BG24,2)</f>
      </c>
      <c r="BH25">
        <f>ROUND(BH20-BH22-BH23-BH24,2)</f>
      </c>
      <c r="BI25">
        <f>ROUND(BI20-BI22-BI23-BI24,2)</f>
      </c>
      <c r="BJ25">
        <f>ROUND(BJ20-BJ22-BJ23-BJ24,2)</f>
      </c>
      <c r="BK25">
        <f>ROUND(BK20-BK22-BK23-BK24,2)</f>
      </c>
      <c r="BL25">
        <f>ROUND(BL20-BL22-BL23-BL24,2)</f>
      </c>
      <c r="BM25">
        <f>ROUND(BM20-BM22-BM23-BM24,2)</f>
      </c>
      <c r="BN25">
        <f>ROUND(BN20-BN22-BN23-BN24,2)</f>
      </c>
      <c r="BO25">
        <f>ROUND(BO20-BO22-BO23-BO24,2)</f>
      </c>
      <c r="BP25">
        <f>ROUND(BP20-BP22-BP23-BP24,2)</f>
      </c>
      <c r="BQ25">
        <f>ROUND(BQ20-BQ22-BQ23-BQ24,2)</f>
      </c>
      <c r="BR25">
        <f>ROUND(BR20-BR22-BR23-BR24,2)</f>
      </c>
      <c r="BS25">
        <f>ROUND(BS20-BS22-BS23-BS24,2)</f>
      </c>
    </row>
    <row r="26" spans="2:71" x14ac:dyDescent="0.25">
      <c r="B26" t="s">
        <v>345</v>
      </c>
      <c r="C26">
        <f>ROUND('Workings'!$C$60-'Workings'!$C$46+C25,2)</f>
      </c>
      <c r="E26">
        <f>ROUND('Workings'!$C$60-'Workings'!$C$46+E25,2)</f>
      </c>
      <c r="F26">
        <f>ROUND('Workings'!$C$60-'Workings'!$C$46+F25,2)</f>
      </c>
      <c r="G26">
        <f>ROUND('Workings'!$C$60-'Workings'!$C$46+G25,2)</f>
      </c>
      <c r="H26">
        <f>ROUND('Workings'!$C$60-'Workings'!$C$46+H25,2)</f>
      </c>
      <c r="I26">
        <f>ROUND('Workings'!$C$60-'Workings'!$C$46+I25,2)</f>
      </c>
      <c r="J26">
        <f>ROUND('Workings'!$C$60-'Workings'!$C$46+J25,2)</f>
      </c>
      <c r="K26">
        <f>ROUND('Workings'!$C$60-'Workings'!$C$46+K25,2)</f>
      </c>
      <c r="L26">
        <f>ROUND('Workings'!$C$60-'Workings'!$C$46+L25,2)</f>
      </c>
      <c r="M26">
        <f>ROUND('Workings'!$C$60-'Workings'!$C$46+M25,2)</f>
      </c>
      <c r="N26">
        <f>ROUND('Workings'!$C$60-'Workings'!$C$46+N25,2)</f>
      </c>
      <c r="O26">
        <f>ROUND('Workings'!$C$60-'Workings'!$C$46+O25,2)</f>
      </c>
      <c r="P26">
        <f>ROUND('Workings'!$C$60-'Workings'!$C$46+P25,2)</f>
      </c>
      <c r="Q26">
        <f>ROUND('Workings'!$C$60-'Workings'!$C$46+Q25,2)</f>
      </c>
      <c r="R26">
        <f>ROUND('Workings'!$C$60-'Workings'!$C$46+R25,2)</f>
      </c>
      <c r="S26">
        <f>ROUND('Workings'!$C$60-'Workings'!$C$46+S25,2)</f>
      </c>
      <c r="T26">
        <f>ROUND('Workings'!$C$60-'Workings'!$C$46+T25,2)</f>
      </c>
      <c r="V26">
        <f>ROUND('Workings'!$C$60-'Workings'!$C$46+V25,2)</f>
      </c>
      <c r="W26">
        <f>ROUND('Workings'!$C$60-'Workings'!$C$46+W25,2)</f>
      </c>
      <c r="X26">
        <f>ROUND('Workings'!$C$60-'Workings'!$C$46+X25,2)</f>
      </c>
      <c r="Y26">
        <f>ROUND('Workings'!$C$60-'Workings'!$C$46+Y25,2)</f>
      </c>
      <c r="Z26">
        <f>ROUND('Workings'!$C$60-'Workings'!$C$46+Z25,2)</f>
      </c>
      <c r="AA26">
        <f>ROUND('Workings'!$C$60-'Workings'!$C$46+AA25,2)</f>
      </c>
      <c r="AB26">
        <f>ROUND('Workings'!$C$60-'Workings'!$C$46+AB25,2)</f>
      </c>
      <c r="AC26">
        <f>ROUND('Workings'!$C$60-'Workings'!$C$46+AC25,2)</f>
      </c>
      <c r="AD26">
        <f>ROUND('Workings'!$C$60-'Workings'!$C$46+AD25,2)</f>
      </c>
      <c r="AE26">
        <f>ROUND('Workings'!$C$60-'Workings'!$C$46+AE25,2)</f>
      </c>
      <c r="AF26">
        <f>ROUND('Workings'!$C$60-'Workings'!$C$46+AF25,2)</f>
      </c>
      <c r="AG26">
        <f>ROUND('Workings'!$C$60-'Workings'!$C$46+AG25,2)</f>
      </c>
      <c r="AH26">
        <f>ROUND('Workings'!$C$60-'Workings'!$C$46+AH25,2)</f>
      </c>
      <c r="AI26">
        <f>ROUND('Workings'!$C$60-'Workings'!$C$46+AI25,2)</f>
      </c>
      <c r="AJ26">
        <f>ROUND('Workings'!$C$60-'Workings'!$C$46+AJ25,2)</f>
      </c>
      <c r="AK26">
        <f>ROUND('Workings'!$C$60-'Workings'!$C$46+AK25,2)</f>
      </c>
      <c r="AM26">
        <f>ROUND('Workings'!$C$60-'Workings'!$C$46+AM25,2)</f>
      </c>
      <c r="AN26">
        <f>ROUND('Workings'!$C$60-'Workings'!$C$46+AN25,2)</f>
      </c>
      <c r="AO26">
        <f>ROUND('Workings'!$C$60-'Workings'!$C$46+AO25,2)</f>
      </c>
      <c r="AP26">
        <f>ROUND('Workings'!$C$60-'Workings'!$C$46+AP25,2)</f>
      </c>
      <c r="AQ26">
        <f>ROUND('Workings'!$C$60-'Workings'!$C$46+AQ25,2)</f>
      </c>
      <c r="AR26">
        <f>ROUND('Workings'!$C$60-'Workings'!$C$46+AR25,2)</f>
      </c>
      <c r="AS26">
        <f>ROUND('Workings'!$C$60-'Workings'!$C$46+AS25,2)</f>
      </c>
      <c r="AT26">
        <f>ROUND('Workings'!$C$60-'Workings'!$C$46+AT25,2)</f>
      </c>
      <c r="AU26">
        <f>ROUND('Workings'!$C$60-'Workings'!$C$46+AU25,2)</f>
      </c>
      <c r="AV26">
        <f>ROUND('Workings'!$C$60-'Workings'!$C$46+AV25,2)</f>
      </c>
      <c r="AW26">
        <f>ROUND('Workings'!$C$60-'Workings'!$C$46+AW25,2)</f>
      </c>
      <c r="AX26">
        <f>ROUND('Workings'!$C$60-'Workings'!$C$46+AX25,2)</f>
      </c>
      <c r="AY26">
        <f>ROUND('Workings'!$C$60-'Workings'!$C$46+AY25,2)</f>
      </c>
      <c r="AZ26">
        <f>ROUND('Workings'!$C$60-'Workings'!$C$46+AZ25,2)</f>
      </c>
      <c r="BA26">
        <f>ROUND('Workings'!$C$60-'Workings'!$C$46+BA25,2)</f>
      </c>
      <c r="BB26">
        <f>ROUND('Workings'!$C$60-'Workings'!$C$46+BB25,2)</f>
      </c>
      <c r="BD26">
        <f>ROUND('Workings'!$C$60-'Workings'!$C$46+BD25,2)</f>
      </c>
      <c r="BE26">
        <f>ROUND('Workings'!$C$60-'Workings'!$C$46+BE25,2)</f>
      </c>
      <c r="BF26">
        <f>ROUND('Workings'!$C$60-'Workings'!$C$46+BF25,2)</f>
      </c>
      <c r="BG26">
        <f>ROUND('Workings'!$C$60-'Workings'!$C$46+BG25,2)</f>
      </c>
      <c r="BH26">
        <f>ROUND('Workings'!$C$60-'Workings'!$C$46+BH25,2)</f>
      </c>
      <c r="BI26">
        <f>ROUND('Workings'!$C$60-'Workings'!$C$46+BI25,2)</f>
      </c>
      <c r="BJ26">
        <f>ROUND('Workings'!$C$60-'Workings'!$C$46+BJ25,2)</f>
      </c>
      <c r="BK26">
        <f>ROUND('Workings'!$C$60-'Workings'!$C$46+BK25,2)</f>
      </c>
      <c r="BL26">
        <f>ROUND('Workings'!$C$60-'Workings'!$C$46+BL25,2)</f>
      </c>
      <c r="BM26">
        <f>ROUND('Workings'!$C$60-'Workings'!$C$46+BM25,2)</f>
      </c>
      <c r="BN26">
        <f>ROUND('Workings'!$C$60-'Workings'!$C$46+BN25,2)</f>
      </c>
      <c r="BO26">
        <f>ROUND('Workings'!$C$60-'Workings'!$C$46+BO25,2)</f>
      </c>
      <c r="BP26">
        <f>ROUND('Workings'!$C$60-'Workings'!$C$46+BP25,2)</f>
      </c>
      <c r="BQ26">
        <f>ROUND('Workings'!$C$60-'Workings'!$C$46+BQ25,2)</f>
      </c>
      <c r="BR26">
        <f>ROUND('Workings'!$C$60-'Workings'!$C$46+BR25,2)</f>
      </c>
      <c r="BS26">
        <f>ROUND('Workings'!$C$60-'Workings'!$C$46+BS25,2)</f>
      </c>
    </row>
    <row r="27" spans="2:71" x14ac:dyDescent="0.25">
      <c r="B27" t="s">
        <v>346</v>
      </c>
      <c r="C27">
        <f>ROUND(MAX(0,'Workings'!$C$63-C26),2)</f>
      </c>
      <c r="E27">
        <f>ROUND(MAX(0,'Workings'!$C$63-E26),2)</f>
      </c>
      <c r="F27">
        <f>ROUND(MAX(0,'Workings'!$C$63-F26),2)</f>
      </c>
      <c r="G27">
        <f>ROUND(MAX(0,'Workings'!$C$63-G26),2)</f>
      </c>
      <c r="H27">
        <f>ROUND(MAX(0,'Workings'!$C$63-H26),2)</f>
      </c>
      <c r="I27">
        <f>ROUND(MAX(0,'Workings'!$C$63-I26),2)</f>
      </c>
      <c r="J27">
        <f>ROUND(MAX(0,'Workings'!$C$63-J26),2)</f>
      </c>
      <c r="K27">
        <f>ROUND(MAX(0,'Workings'!$C$63-K26),2)</f>
      </c>
      <c r="L27">
        <f>ROUND(MAX(0,'Workings'!$C$63-L26),2)</f>
      </c>
      <c r="M27">
        <f>ROUND(MAX(0,'Workings'!$C$63-M26),2)</f>
      </c>
      <c r="N27">
        <f>ROUND(MAX(0,'Workings'!$C$63-N26),2)</f>
      </c>
      <c r="O27">
        <f>ROUND(MAX(0,'Workings'!$C$63-O26),2)</f>
      </c>
      <c r="P27">
        <f>ROUND(MAX(0,'Workings'!$C$63-P26),2)</f>
      </c>
      <c r="Q27">
        <f>ROUND(MAX(0,'Workings'!$C$63-Q26),2)</f>
      </c>
      <c r="R27">
        <f>ROUND(MAX(0,'Workings'!$C$63-R26),2)</f>
      </c>
      <c r="S27">
        <f>ROUND(MAX(0,'Workings'!$C$63-S26),2)</f>
      </c>
      <c r="T27">
        <f>ROUND(MAX(0,'Workings'!$C$63-T26),2)</f>
      </c>
      <c r="V27">
        <f>ROUND(MAX(0,'Workings'!$C$63-V26),2)</f>
      </c>
      <c r="W27">
        <f>ROUND(MAX(0,'Workings'!$C$63-W26),2)</f>
      </c>
      <c r="X27">
        <f>ROUND(MAX(0,'Workings'!$C$63-X26),2)</f>
      </c>
      <c r="Y27">
        <f>ROUND(MAX(0,'Workings'!$C$63-Y26),2)</f>
      </c>
      <c r="Z27">
        <f>ROUND(MAX(0,'Workings'!$C$63-Z26),2)</f>
      </c>
      <c r="AA27">
        <f>ROUND(MAX(0,'Workings'!$C$63-AA26),2)</f>
      </c>
      <c r="AB27">
        <f>ROUND(MAX(0,'Workings'!$C$63-AB26),2)</f>
      </c>
      <c r="AC27">
        <f>ROUND(MAX(0,'Workings'!$C$63-AC26),2)</f>
      </c>
      <c r="AD27">
        <f>ROUND(MAX(0,'Workings'!$C$63-AD26),2)</f>
      </c>
      <c r="AE27">
        <f>ROUND(MAX(0,'Workings'!$C$63-AE26),2)</f>
      </c>
      <c r="AF27">
        <f>ROUND(MAX(0,'Workings'!$C$63-AF26),2)</f>
      </c>
      <c r="AG27">
        <f>ROUND(MAX(0,'Workings'!$C$63-AG26),2)</f>
      </c>
      <c r="AH27">
        <f>ROUND(MAX(0,'Workings'!$C$63-AH26),2)</f>
      </c>
      <c r="AI27">
        <f>ROUND(MAX(0,'Workings'!$C$63-AI26),2)</f>
      </c>
      <c r="AJ27">
        <f>ROUND(MAX(0,'Workings'!$C$63-AJ26),2)</f>
      </c>
      <c r="AK27">
        <f>ROUND(MAX(0,'Workings'!$C$63-AK26),2)</f>
      </c>
      <c r="AM27">
        <f>ROUND(MAX(0,'Workings'!$C$63-AM26),2)</f>
      </c>
      <c r="AN27">
        <f>ROUND(MAX(0,'Workings'!$C$63-AN26),2)</f>
      </c>
      <c r="AO27">
        <f>ROUND(MAX(0,'Workings'!$C$63-AO26),2)</f>
      </c>
      <c r="AP27">
        <f>ROUND(MAX(0,'Workings'!$C$63-AP26),2)</f>
      </c>
      <c r="AQ27">
        <f>ROUND(MAX(0,'Workings'!$C$63-AQ26),2)</f>
      </c>
      <c r="AR27">
        <f>ROUND(MAX(0,'Workings'!$C$63-AR26),2)</f>
      </c>
      <c r="AS27">
        <f>ROUND(MAX(0,'Workings'!$C$63-AS26),2)</f>
      </c>
      <c r="AT27">
        <f>ROUND(MAX(0,'Workings'!$C$63-AT26),2)</f>
      </c>
      <c r="AU27">
        <f>ROUND(MAX(0,'Workings'!$C$63-AU26),2)</f>
      </c>
      <c r="AV27">
        <f>ROUND(MAX(0,'Workings'!$C$63-AV26),2)</f>
      </c>
      <c r="AW27">
        <f>ROUND(MAX(0,'Workings'!$C$63-AW26),2)</f>
      </c>
      <c r="AX27">
        <f>ROUND(MAX(0,'Workings'!$C$63-AX26),2)</f>
      </c>
      <c r="AY27">
        <f>ROUND(MAX(0,'Workings'!$C$63-AY26),2)</f>
      </c>
      <c r="AZ27">
        <f>ROUND(MAX(0,'Workings'!$C$63-AZ26),2)</f>
      </c>
      <c r="BA27">
        <f>ROUND(MAX(0,'Workings'!$C$63-BA26),2)</f>
      </c>
      <c r="BB27">
        <f>ROUND(MAX(0,'Workings'!$C$63-BB26),2)</f>
      </c>
      <c r="BD27">
        <f>ROUND(MAX(0,'Workings'!$C$63-BD26),2)</f>
      </c>
      <c r="BE27">
        <f>ROUND(MAX(0,'Workings'!$C$63-BE26),2)</f>
      </c>
      <c r="BF27">
        <f>ROUND(MAX(0,'Workings'!$C$63-BF26),2)</f>
      </c>
      <c r="BG27">
        <f>ROUND(MAX(0,'Workings'!$C$63-BG26),2)</f>
      </c>
      <c r="BH27">
        <f>ROUND(MAX(0,'Workings'!$C$63-BH26),2)</f>
      </c>
      <c r="BI27">
        <f>ROUND(MAX(0,'Workings'!$C$63-BI26),2)</f>
      </c>
      <c r="BJ27">
        <f>ROUND(MAX(0,'Workings'!$C$63-BJ26),2)</f>
      </c>
      <c r="BK27">
        <f>ROUND(MAX(0,'Workings'!$C$63-BK26),2)</f>
      </c>
      <c r="BL27">
        <f>ROUND(MAX(0,'Workings'!$C$63-BL26),2)</f>
      </c>
      <c r="BM27">
        <f>ROUND(MAX(0,'Workings'!$C$63-BM26),2)</f>
      </c>
      <c r="BN27">
        <f>ROUND(MAX(0,'Workings'!$C$63-BN26),2)</f>
      </c>
      <c r="BO27">
        <f>ROUND(MAX(0,'Workings'!$C$63-BO26),2)</f>
      </c>
      <c r="BP27">
        <f>ROUND(MAX(0,'Workings'!$C$63-BP26),2)</f>
      </c>
      <c r="BQ27">
        <f>ROUND(MAX(0,'Workings'!$C$63-BQ26),2)</f>
      </c>
      <c r="BR27">
        <f>ROUND(MAX(0,'Workings'!$C$63-BR26),2)</f>
      </c>
      <c r="BS27">
        <f>ROUND(MAX(0,'Workings'!$C$63-BS26),2)</f>
      </c>
    </row>
    <row r="28" spans="2:71" x14ac:dyDescent="0.25">
      <c r="B28" t="s">
        <v>347</v>
      </c>
      <c r="C28">
        <f>ROUND(C27+SUM('Inputs'!$Y$22:$Y$39),2)</f>
      </c>
      <c r="E28">
        <f>ROUND(E27+SUM('Inputs'!$Y$22:$Y$39),2)</f>
      </c>
      <c r="F28">
        <f>ROUND(F27+SUM('Inputs'!$Y$22:$Y$39),2)</f>
      </c>
      <c r="G28">
        <f>ROUND(G27+SUM('Inputs'!$Y$22:$Y$39),2)</f>
      </c>
      <c r="H28">
        <f>ROUND(H27+SUM('Inputs'!$Y$22:$Y$39),2)</f>
      </c>
      <c r="I28">
        <f>ROUND(I27+SUM('Inputs'!$Y$22:$Y$39),2)</f>
      </c>
      <c r="J28">
        <f>ROUND(J27+SUM('Inputs'!$Y$22:$Y$39),2)</f>
      </c>
      <c r="K28">
        <f>ROUND(K27+SUM('Inputs'!$Y$22:$Y$39),2)</f>
      </c>
      <c r="L28">
        <f>ROUND(L27+SUM('Inputs'!$Y$22:$Y$39),2)</f>
      </c>
      <c r="M28">
        <f>ROUND(M27+SUM('Inputs'!$Y$22:$Y$39),2)</f>
      </c>
      <c r="N28">
        <f>ROUND(N27+SUM('Inputs'!$Y$22:$Y$39),2)</f>
      </c>
      <c r="O28">
        <f>ROUND(O27+SUM('Inputs'!$Y$22:$Y$39),2)</f>
      </c>
      <c r="P28">
        <f>ROUND(P27+SUM('Inputs'!$Y$22:$Y$39),2)</f>
      </c>
      <c r="Q28">
        <f>ROUND(Q27+SUM('Inputs'!$Y$22:$Y$39),2)</f>
      </c>
      <c r="R28">
        <f>ROUND(R27+SUM('Inputs'!$Y$22:$Y$39),2)</f>
      </c>
      <c r="S28">
        <f>ROUND(S27+SUM('Inputs'!$Y$22:$Y$39),2)</f>
      </c>
      <c r="T28">
        <f>ROUND(T27+SUM('Inputs'!$Y$22:$Y$39),2)</f>
      </c>
      <c r="V28">
        <f>ROUND(V27+SUM('Inputs'!$Y$22:$Y$39),2)</f>
      </c>
      <c r="W28">
        <f>ROUND(W27+SUM('Inputs'!$Y$22:$Y$39),2)</f>
      </c>
      <c r="X28">
        <f>ROUND(X27+SUM('Inputs'!$Y$22:$Y$39),2)</f>
      </c>
      <c r="Y28">
        <f>ROUND(Y27+SUM('Inputs'!$Y$22:$Y$39),2)</f>
      </c>
      <c r="Z28">
        <f>ROUND(Z27+SUM('Inputs'!$Y$22:$Y$39),2)</f>
      </c>
      <c r="AA28">
        <f>ROUND(AA27+SUM('Inputs'!$Y$22:$Y$39),2)</f>
      </c>
      <c r="AB28">
        <f>ROUND(AB27+SUM('Inputs'!$Y$22:$Y$39),2)</f>
      </c>
      <c r="AC28">
        <f>ROUND(AC27+SUM('Inputs'!$Y$22:$Y$39),2)</f>
      </c>
      <c r="AD28">
        <f>ROUND(AD27+SUM('Inputs'!$Y$22:$Y$39),2)</f>
      </c>
      <c r="AE28">
        <f>ROUND(AE27+SUM('Inputs'!$Y$22:$Y$39),2)</f>
      </c>
      <c r="AF28">
        <f>ROUND(AF27+SUM('Inputs'!$Y$22:$Y$39),2)</f>
      </c>
      <c r="AG28">
        <f>ROUND(AG27+SUM('Inputs'!$Y$22:$Y$39),2)</f>
      </c>
      <c r="AH28">
        <f>ROUND(AH27+SUM('Inputs'!$Y$22:$Y$39),2)</f>
      </c>
      <c r="AI28">
        <f>ROUND(AI27+SUM('Inputs'!$Y$22:$Y$39),2)</f>
      </c>
      <c r="AJ28">
        <f>ROUND(AJ27+SUM('Inputs'!$Y$22:$Y$39),2)</f>
      </c>
      <c r="AK28">
        <f>ROUND(AK27+SUM('Inputs'!$Y$22:$Y$39),2)</f>
      </c>
      <c r="AM28">
        <f>ROUND(AM27+SUM('Inputs'!$Y$22:$Y$39),2)</f>
      </c>
      <c r="AN28">
        <f>ROUND(AN27+SUM('Inputs'!$Y$22:$Y$39),2)</f>
      </c>
      <c r="AO28">
        <f>ROUND(AO27+SUM('Inputs'!$Y$22:$Y$39),2)</f>
      </c>
      <c r="AP28">
        <f>ROUND(AP27+SUM('Inputs'!$Y$22:$Y$39),2)</f>
      </c>
      <c r="AQ28">
        <f>ROUND(AQ27+SUM('Inputs'!$Y$22:$Y$39),2)</f>
      </c>
      <c r="AR28">
        <f>ROUND(AR27+SUM('Inputs'!$Y$22:$Y$39),2)</f>
      </c>
      <c r="AS28">
        <f>ROUND(AS27+SUM('Inputs'!$Y$22:$Y$39),2)</f>
      </c>
      <c r="AT28">
        <f>ROUND(AT27+SUM('Inputs'!$Y$22:$Y$39),2)</f>
      </c>
      <c r="AU28">
        <f>ROUND(AU27+SUM('Inputs'!$Y$22:$Y$39),2)</f>
      </c>
      <c r="AV28">
        <f>ROUND(AV27+SUM('Inputs'!$Y$22:$Y$39),2)</f>
      </c>
      <c r="AW28">
        <f>ROUND(AW27+SUM('Inputs'!$Y$22:$Y$39),2)</f>
      </c>
      <c r="AX28">
        <f>ROUND(AX27+SUM('Inputs'!$Y$22:$Y$39),2)</f>
      </c>
      <c r="AY28">
        <f>ROUND(AY27+SUM('Inputs'!$Y$22:$Y$39),2)</f>
      </c>
      <c r="AZ28">
        <f>ROUND(AZ27+SUM('Inputs'!$Y$22:$Y$39),2)</f>
      </c>
      <c r="BA28">
        <f>ROUND(BA27+SUM('Inputs'!$Y$22:$Y$39),2)</f>
      </c>
      <c r="BB28">
        <f>ROUND(BB27+SUM('Inputs'!$Y$22:$Y$39),2)</f>
      </c>
      <c r="BD28">
        <f>ROUND(BD27+SUM('Inputs'!$Y$22:$Y$39),2)</f>
      </c>
      <c r="BE28">
        <f>ROUND(BE27+SUM('Inputs'!$Y$22:$Y$39),2)</f>
      </c>
      <c r="BF28">
        <f>ROUND(BF27+SUM('Inputs'!$Y$22:$Y$39),2)</f>
      </c>
      <c r="BG28">
        <f>ROUND(BG27+SUM('Inputs'!$Y$22:$Y$39),2)</f>
      </c>
      <c r="BH28">
        <f>ROUND(BH27+SUM('Inputs'!$Y$22:$Y$39),2)</f>
      </c>
      <c r="BI28">
        <f>ROUND(BI27+SUM('Inputs'!$Y$22:$Y$39),2)</f>
      </c>
      <c r="BJ28">
        <f>ROUND(BJ27+SUM('Inputs'!$Y$22:$Y$39),2)</f>
      </c>
      <c r="BK28">
        <f>ROUND(BK27+SUM('Inputs'!$Y$22:$Y$39),2)</f>
      </c>
      <c r="BL28">
        <f>ROUND(BL27+SUM('Inputs'!$Y$22:$Y$39),2)</f>
      </c>
      <c r="BM28">
        <f>ROUND(BM27+SUM('Inputs'!$Y$22:$Y$39),2)</f>
      </c>
      <c r="BN28">
        <f>ROUND(BN27+SUM('Inputs'!$Y$22:$Y$39),2)</f>
      </c>
      <c r="BO28">
        <f>ROUND(BO27+SUM('Inputs'!$Y$22:$Y$39),2)</f>
      </c>
      <c r="BP28">
        <f>ROUND(BP27+SUM('Inputs'!$Y$22:$Y$39),2)</f>
      </c>
      <c r="BQ28">
        <f>ROUND(BQ27+SUM('Inputs'!$Y$22:$Y$39),2)</f>
      </c>
      <c r="BR28">
        <f>ROUND(BR27+SUM('Inputs'!$Y$22:$Y$39),2)</f>
      </c>
      <c r="BS28">
        <f>ROUND(BS27+SUM('Inputs'!$Y$22:$Y$39),2)</f>
      </c>
    </row>
    <row r="29" spans="2:71" x14ac:dyDescent="0.25">
      <c r="B29" t="s">
        <v>348</v>
      </c>
      <c r="C29">
        <f>SUM('Inputs'!$L$89:$L$94)</f>
      </c>
      <c r="E29">
        <f>SUM('Inputs'!$L$89:$L$94)</f>
      </c>
      <c r="F29">
        <f>SUM('Inputs'!$L$89:$L$94)</f>
      </c>
      <c r="G29">
        <f>SUM('Inputs'!$L$89:$L$94)</f>
      </c>
      <c r="H29">
        <f>SUM('Inputs'!$L$89:$L$94)</f>
      </c>
      <c r="I29">
        <f>SUM('Inputs'!$L$89:$L$94)</f>
      </c>
      <c r="J29">
        <f>SUM('Inputs'!$L$89:$L$94)</f>
      </c>
      <c r="K29">
        <f>SUM('Inputs'!$L$89:$L$94)</f>
      </c>
      <c r="L29">
        <f>SUM('Inputs'!$L$89:$L$94)</f>
      </c>
      <c r="M29">
        <f>SUM('Inputs'!$L$89:$L$94)</f>
      </c>
      <c r="N29">
        <f>SUM('Inputs'!$L$89:$L$94)</f>
      </c>
      <c r="O29">
        <f>SUM('Inputs'!$L$89:$L$94)</f>
      </c>
      <c r="P29">
        <f>SUM('Inputs'!$L$89:$L$94)</f>
      </c>
      <c r="Q29">
        <f>SUM('Inputs'!$L$89:$L$94)</f>
      </c>
      <c r="R29">
        <f>SUM('Inputs'!$L$89:$L$94)</f>
      </c>
      <c r="S29">
        <f>SUM('Inputs'!$L$89:$L$94)</f>
      </c>
      <c r="T29">
        <f>SUM('Inputs'!$L$89:$L$94)</f>
      </c>
      <c r="V29">
        <f>SUM('Inputs'!$L$89:$L$94)</f>
      </c>
      <c r="W29">
        <f>SUM('Inputs'!$L$89:$L$94)</f>
      </c>
      <c r="X29">
        <f>SUM('Inputs'!$L$89:$L$94)</f>
      </c>
      <c r="Y29">
        <f>SUM('Inputs'!$L$89:$L$94)</f>
      </c>
      <c r="Z29">
        <f>SUM('Inputs'!$L$89:$L$94)</f>
      </c>
      <c r="AA29">
        <f>SUM('Inputs'!$L$89:$L$94)</f>
      </c>
      <c r="AB29">
        <f>SUM('Inputs'!$L$89:$L$94)</f>
      </c>
      <c r="AC29">
        <f>SUM('Inputs'!$L$89:$L$94)</f>
      </c>
      <c r="AD29">
        <f>SUM('Inputs'!$L$89:$L$94)</f>
      </c>
      <c r="AE29">
        <f>SUM('Inputs'!$L$89:$L$94)</f>
      </c>
      <c r="AF29">
        <f>SUM('Inputs'!$L$89:$L$94)</f>
      </c>
      <c r="AG29">
        <f>SUM('Inputs'!$L$89:$L$94)</f>
      </c>
      <c r="AH29">
        <f>SUM('Inputs'!$L$89:$L$94)</f>
      </c>
      <c r="AI29">
        <f>SUM('Inputs'!$L$89:$L$94)</f>
      </c>
      <c r="AJ29">
        <f>SUM('Inputs'!$L$89:$L$94)</f>
      </c>
      <c r="AK29">
        <f>SUM('Inputs'!$L$89:$L$94)</f>
      </c>
      <c r="AM29">
        <f>SUM('Inputs'!$L$89:$L$94)</f>
      </c>
      <c r="AN29">
        <f>SUM('Inputs'!$L$89:$L$94)</f>
      </c>
      <c r="AO29">
        <f>SUM('Inputs'!$L$89:$L$94)</f>
      </c>
      <c r="AP29">
        <f>SUM('Inputs'!$L$89:$L$94)</f>
      </c>
      <c r="AQ29">
        <f>SUM('Inputs'!$L$89:$L$94)</f>
      </c>
      <c r="AR29">
        <f>SUM('Inputs'!$L$89:$L$94)</f>
      </c>
      <c r="AS29">
        <f>SUM('Inputs'!$L$89:$L$94)</f>
      </c>
      <c r="AT29">
        <f>SUM('Inputs'!$L$89:$L$94)</f>
      </c>
      <c r="AU29">
        <f>SUM('Inputs'!$L$89:$L$94)</f>
      </c>
      <c r="AV29">
        <f>SUM('Inputs'!$L$89:$L$94)</f>
      </c>
      <c r="AW29">
        <f>SUM('Inputs'!$L$89:$L$94)</f>
      </c>
      <c r="AX29">
        <f>SUM('Inputs'!$L$89:$L$94)</f>
      </c>
      <c r="AY29">
        <f>SUM('Inputs'!$L$89:$L$94)</f>
      </c>
      <c r="AZ29">
        <f>SUM('Inputs'!$L$89:$L$94)</f>
      </c>
      <c r="BA29">
        <f>SUM('Inputs'!$L$89:$L$94)</f>
      </c>
      <c r="BB29">
        <f>SUM('Inputs'!$L$89:$L$94)</f>
      </c>
      <c r="BD29">
        <f>SUM('Inputs'!$L$89:$L$94)</f>
      </c>
      <c r="BE29">
        <f>SUM('Inputs'!$L$89:$L$94)</f>
      </c>
      <c r="BF29">
        <f>SUM('Inputs'!$L$89:$L$94)</f>
      </c>
      <c r="BG29">
        <f>SUM('Inputs'!$L$89:$L$94)</f>
      </c>
      <c r="BH29">
        <f>SUM('Inputs'!$L$89:$L$94)</f>
      </c>
      <c r="BI29">
        <f>SUM('Inputs'!$L$89:$L$94)</f>
      </c>
      <c r="BJ29">
        <f>SUM('Inputs'!$L$89:$L$94)</f>
      </c>
      <c r="BK29">
        <f>SUM('Inputs'!$L$89:$L$94)</f>
      </c>
      <c r="BL29">
        <f>SUM('Inputs'!$L$89:$L$94)</f>
      </c>
      <c r="BM29">
        <f>SUM('Inputs'!$L$89:$L$94)</f>
      </c>
      <c r="BN29">
        <f>SUM('Inputs'!$L$89:$L$94)</f>
      </c>
      <c r="BO29">
        <f>SUM('Inputs'!$L$89:$L$94)</f>
      </c>
      <c r="BP29">
        <f>SUM('Inputs'!$L$89:$L$94)</f>
      </c>
      <c r="BQ29">
        <f>SUM('Inputs'!$L$89:$L$94)</f>
      </c>
      <c r="BR29">
        <f>SUM('Inputs'!$L$89:$L$94)</f>
      </c>
      <c r="BS29">
        <f>SUM('Inputs'!$L$89:$L$94)</f>
      </c>
    </row>
    <row r="30" spans="2:71" x14ac:dyDescent="0.25">
      <c r="B30" t="s">
        <v>349</v>
      </c>
      <c r="C30">
        <f>SUM('Inputs'!$Q$89:$Q$94)</f>
      </c>
      <c r="E30">
        <f>SUM('Inputs'!$Q$89:$Q$94)</f>
      </c>
      <c r="F30">
        <f>SUM('Inputs'!$Q$89:$Q$94)</f>
      </c>
      <c r="G30">
        <f>SUM('Inputs'!$Q$89:$Q$94)</f>
      </c>
      <c r="H30">
        <f>SUM('Inputs'!$Q$89:$Q$94)</f>
      </c>
      <c r="I30">
        <f>SUM('Inputs'!$Q$89:$Q$94)</f>
      </c>
      <c r="J30">
        <f>SUM('Inputs'!$Q$89:$Q$94)</f>
      </c>
      <c r="K30">
        <f>SUM('Inputs'!$Q$89:$Q$94)</f>
      </c>
      <c r="L30">
        <f>SUM('Inputs'!$Q$89:$Q$94)</f>
      </c>
      <c r="M30">
        <f>SUM('Inputs'!$Q$89:$Q$94)</f>
      </c>
      <c r="N30">
        <f>SUM('Inputs'!$Q$89:$Q$94)</f>
      </c>
      <c r="O30">
        <f>SUM('Inputs'!$Q$89:$Q$94)</f>
      </c>
      <c r="P30">
        <f>SUM('Inputs'!$Q$89:$Q$94)</f>
      </c>
      <c r="Q30">
        <f>SUM('Inputs'!$Q$89:$Q$94)</f>
      </c>
      <c r="R30">
        <f>SUM('Inputs'!$Q$89:$Q$94)</f>
      </c>
      <c r="S30">
        <f>SUM('Inputs'!$Q$89:$Q$94)</f>
      </c>
      <c r="T30">
        <f>SUM('Inputs'!$Q$89:$Q$94)</f>
      </c>
      <c r="V30">
        <f>SUM('Inputs'!$Q$89:$Q$94)</f>
      </c>
      <c r="W30">
        <f>SUM('Inputs'!$Q$89:$Q$94)</f>
      </c>
      <c r="X30">
        <f>SUM('Inputs'!$Q$89:$Q$94)</f>
      </c>
      <c r="Y30">
        <f>SUM('Inputs'!$Q$89:$Q$94)</f>
      </c>
      <c r="Z30">
        <f>SUM('Inputs'!$Q$89:$Q$94)</f>
      </c>
      <c r="AA30">
        <f>SUM('Inputs'!$Q$89:$Q$94)</f>
      </c>
      <c r="AB30">
        <f>SUM('Inputs'!$Q$89:$Q$94)</f>
      </c>
      <c r="AC30">
        <f>SUM('Inputs'!$Q$89:$Q$94)</f>
      </c>
      <c r="AD30">
        <f>SUM('Inputs'!$Q$89:$Q$94)</f>
      </c>
      <c r="AE30">
        <f>SUM('Inputs'!$Q$89:$Q$94)</f>
      </c>
      <c r="AF30">
        <f>SUM('Inputs'!$Q$89:$Q$94)</f>
      </c>
      <c r="AG30">
        <f>SUM('Inputs'!$Q$89:$Q$94)</f>
      </c>
      <c r="AH30">
        <f>SUM('Inputs'!$Q$89:$Q$94)</f>
      </c>
      <c r="AI30">
        <f>SUM('Inputs'!$Q$89:$Q$94)</f>
      </c>
      <c r="AJ30">
        <f>SUM('Inputs'!$Q$89:$Q$94)</f>
      </c>
      <c r="AK30">
        <f>SUM('Inputs'!$Q$89:$Q$94)</f>
      </c>
      <c r="AM30">
        <f>SUM('Inputs'!$Q$89:$Q$94)</f>
      </c>
      <c r="AN30">
        <f>SUM('Inputs'!$Q$89:$Q$94)</f>
      </c>
      <c r="AO30">
        <f>SUM('Inputs'!$Q$89:$Q$94)</f>
      </c>
      <c r="AP30">
        <f>SUM('Inputs'!$Q$89:$Q$94)</f>
      </c>
      <c r="AQ30">
        <f>SUM('Inputs'!$Q$89:$Q$94)</f>
      </c>
      <c r="AR30">
        <f>SUM('Inputs'!$Q$89:$Q$94)</f>
      </c>
      <c r="AS30">
        <f>SUM('Inputs'!$Q$89:$Q$94)</f>
      </c>
      <c r="AT30">
        <f>SUM('Inputs'!$Q$89:$Q$94)</f>
      </c>
      <c r="AU30">
        <f>SUM('Inputs'!$Q$89:$Q$94)</f>
      </c>
      <c r="AV30">
        <f>SUM('Inputs'!$Q$89:$Q$94)</f>
      </c>
      <c r="AW30">
        <f>SUM('Inputs'!$Q$89:$Q$94)</f>
      </c>
      <c r="AX30">
        <f>SUM('Inputs'!$Q$89:$Q$94)</f>
      </c>
      <c r="AY30">
        <f>SUM('Inputs'!$Q$89:$Q$94)</f>
      </c>
      <c r="AZ30">
        <f>SUM('Inputs'!$Q$89:$Q$94)</f>
      </c>
      <c r="BA30">
        <f>SUM('Inputs'!$Q$89:$Q$94)</f>
      </c>
      <c r="BB30">
        <f>SUM('Inputs'!$Q$89:$Q$94)</f>
      </c>
      <c r="BD30">
        <f>SUM('Inputs'!$Q$89:$Q$94)</f>
      </c>
      <c r="BE30">
        <f>SUM('Inputs'!$Q$89:$Q$94)</f>
      </c>
      <c r="BF30">
        <f>SUM('Inputs'!$Q$89:$Q$94)</f>
      </c>
      <c r="BG30">
        <f>SUM('Inputs'!$Q$89:$Q$94)</f>
      </c>
      <c r="BH30">
        <f>SUM('Inputs'!$Q$89:$Q$94)</f>
      </c>
      <c r="BI30">
        <f>SUM('Inputs'!$Q$89:$Q$94)</f>
      </c>
      <c r="BJ30">
        <f>SUM('Inputs'!$Q$89:$Q$94)</f>
      </c>
      <c r="BK30">
        <f>SUM('Inputs'!$Q$89:$Q$94)</f>
      </c>
      <c r="BL30">
        <f>SUM('Inputs'!$Q$89:$Q$94)</f>
      </c>
      <c r="BM30">
        <f>SUM('Inputs'!$Q$89:$Q$94)</f>
      </c>
      <c r="BN30">
        <f>SUM('Inputs'!$Q$89:$Q$94)</f>
      </c>
      <c r="BO30">
        <f>SUM('Inputs'!$Q$89:$Q$94)</f>
      </c>
      <c r="BP30">
        <f>SUM('Inputs'!$Q$89:$Q$94)</f>
      </c>
      <c r="BQ30">
        <f>SUM('Inputs'!$Q$89:$Q$94)</f>
      </c>
      <c r="BR30">
        <f>SUM('Inputs'!$Q$89:$Q$94)</f>
      </c>
      <c r="BS30">
        <f>SUM('Inputs'!$Q$89:$Q$94)</f>
      </c>
    </row>
    <row r="31" spans="2:71" x14ac:dyDescent="0.25">
      <c r="B31" t="s">
        <v>350</v>
      </c>
      <c r="C31">
        <f>IF('Inputs'!$C$14="Spouse","S",IF('Inputs'!$C$95="Not to the dependants","N","K"))</f>
      </c>
      <c r="E31">
        <f>IF('Inputs'!$C$14="Spouse","S",IF('Inputs'!$C$95="Not to the dependants","N","K"))</f>
      </c>
      <c r="F31">
        <f>IF('Inputs'!$C$14="Spouse","S",IF('Inputs'!$C$95="Not to the dependants","N","K"))</f>
      </c>
      <c r="G31">
        <f>IF('Inputs'!$C$14="Spouse","S",IF('Inputs'!$C$95="Not to the dependants","N","K"))</f>
      </c>
      <c r="H31">
        <f>IF('Inputs'!$C$14="Spouse","S",IF('Inputs'!$C$95="Not to the dependants","N","K"))</f>
      </c>
      <c r="I31">
        <f>IF('Inputs'!$C$14="Spouse","S",IF('Inputs'!$C$95="Not to the dependants","N","K"))</f>
      </c>
      <c r="J31">
        <f>IF('Inputs'!$C$14="Spouse","S",IF('Inputs'!$C$95="Not to the dependants","N","K"))</f>
      </c>
      <c r="K31">
        <f>IF('Inputs'!$C$14="Spouse","S",IF('Inputs'!$C$95="Not to the dependants","N","K"))</f>
      </c>
      <c r="L31">
        <f>IF('Inputs'!$C$14="Spouse","S",IF('Inputs'!$C$95="Not to the dependants","N","K"))</f>
      </c>
      <c r="M31">
        <f>IF('Inputs'!$C$14="Spouse","S",IF('Inputs'!$C$95="Not to the dependants","N","K"))</f>
      </c>
      <c r="N31">
        <f>IF('Inputs'!$C$14="Spouse","S",IF('Inputs'!$C$95="Not to the dependants","N","K"))</f>
      </c>
      <c r="O31">
        <f>IF('Inputs'!$C$14="Spouse","S",IF('Inputs'!$C$95="Not to the dependants","N","K"))</f>
      </c>
      <c r="P31">
        <f>IF('Inputs'!$C$14="Spouse","S",IF('Inputs'!$C$95="Not to the dependants","N","K"))</f>
      </c>
      <c r="Q31">
        <f>IF('Inputs'!$C$14="Spouse","S",IF('Inputs'!$C$95="Not to the dependants","N","K"))</f>
      </c>
      <c r="R31">
        <f>IF('Inputs'!$C$14="Spouse","S",IF('Inputs'!$C$95="Not to the dependants","N","K"))</f>
      </c>
      <c r="S31">
        <f>IF('Inputs'!$C$14="Spouse","S",IF('Inputs'!$C$95="Not to the dependants","N","K"))</f>
      </c>
      <c r="T31">
        <f>IF('Inputs'!$C$14="Spouse","S",IF('Inputs'!$C$95="Not to the dependants","N","K"))</f>
      </c>
      <c r="V31">
        <f>IF('Inputs'!$C$14="Spouse","S",IF('Inputs'!$C$95="Not to the dependants","N","K"))</f>
      </c>
      <c r="W31">
        <f>IF('Inputs'!$C$14="Spouse","S",IF('Inputs'!$C$95="Not to the dependants","N","K"))</f>
      </c>
      <c r="X31">
        <f>IF('Inputs'!$C$14="Spouse","S",IF('Inputs'!$C$95="Not to the dependants","N","K"))</f>
      </c>
      <c r="Y31">
        <f>IF('Inputs'!$C$14="Spouse","S",IF('Inputs'!$C$95="Not to the dependants","N","K"))</f>
      </c>
      <c r="Z31">
        <f>IF('Inputs'!$C$14="Spouse","S",IF('Inputs'!$C$95="Not to the dependants","N","K"))</f>
      </c>
      <c r="AA31">
        <f>IF('Inputs'!$C$14="Spouse","S",IF('Inputs'!$C$95="Not to the dependants","N","K"))</f>
      </c>
      <c r="AB31">
        <f>IF('Inputs'!$C$14="Spouse","S",IF('Inputs'!$C$95="Not to the dependants","N","K"))</f>
      </c>
      <c r="AC31">
        <f>IF('Inputs'!$C$14="Spouse","S",IF('Inputs'!$C$95="Not to the dependants","N","K"))</f>
      </c>
      <c r="AD31">
        <f>IF('Inputs'!$C$14="Spouse","S",IF('Inputs'!$C$95="Not to the dependants","N","K"))</f>
      </c>
      <c r="AE31">
        <f>IF('Inputs'!$C$14="Spouse","S",IF('Inputs'!$C$95="Not to the dependants","N","K"))</f>
      </c>
      <c r="AF31">
        <f>IF('Inputs'!$C$14="Spouse","S",IF('Inputs'!$C$95="Not to the dependants","N","K"))</f>
      </c>
      <c r="AG31">
        <f>IF('Inputs'!$C$14="Spouse","S",IF('Inputs'!$C$95="Not to the dependants","N","K"))</f>
      </c>
      <c r="AH31">
        <f>IF('Inputs'!$C$14="Spouse","S",IF('Inputs'!$C$95="Not to the dependants","N","K"))</f>
      </c>
      <c r="AI31">
        <f>IF('Inputs'!$C$14="Spouse","S",IF('Inputs'!$C$95="Not to the dependants","N","K"))</f>
      </c>
      <c r="AJ31">
        <f>IF('Inputs'!$C$14="Spouse","S",IF('Inputs'!$C$95="Not to the dependants","N","K"))</f>
      </c>
      <c r="AK31">
        <f>IF('Inputs'!$C$14="Spouse","S",IF('Inputs'!$C$95="Not to the dependants","N","K"))</f>
      </c>
      <c r="AM31">
        <f>IF('Inputs'!$C$14="Spouse","S",IF('Inputs'!$C$95="Not to the dependants","N","K"))</f>
      </c>
      <c r="AN31">
        <f>IF('Inputs'!$C$14="Spouse","S",IF('Inputs'!$C$95="Not to the dependants","N","K"))</f>
      </c>
      <c r="AO31">
        <f>IF('Inputs'!$C$14="Spouse","S",IF('Inputs'!$C$95="Not to the dependants","N","K"))</f>
      </c>
      <c r="AP31">
        <f>IF('Inputs'!$C$14="Spouse","S",IF('Inputs'!$C$95="Not to the dependants","N","K"))</f>
      </c>
      <c r="AQ31">
        <f>IF('Inputs'!$C$14="Spouse","S",IF('Inputs'!$C$95="Not to the dependants","N","K"))</f>
      </c>
      <c r="AR31">
        <f>IF('Inputs'!$C$14="Spouse","S",IF('Inputs'!$C$95="Not to the dependants","N","K"))</f>
      </c>
      <c r="AS31">
        <f>IF('Inputs'!$C$14="Spouse","S",IF('Inputs'!$C$95="Not to the dependants","N","K"))</f>
      </c>
      <c r="AT31">
        <f>IF('Inputs'!$C$14="Spouse","S",IF('Inputs'!$C$95="Not to the dependants","N","K"))</f>
      </c>
      <c r="AU31">
        <f>IF('Inputs'!$C$14="Spouse","S",IF('Inputs'!$C$95="Not to the dependants","N","K"))</f>
      </c>
      <c r="AV31">
        <f>IF('Inputs'!$C$14="Spouse","S",IF('Inputs'!$C$95="Not to the dependants","N","K"))</f>
      </c>
      <c r="AW31">
        <f>IF('Inputs'!$C$14="Spouse","S",IF('Inputs'!$C$95="Not to the dependants","N","K"))</f>
      </c>
      <c r="AX31">
        <f>IF('Inputs'!$C$14="Spouse","S",IF('Inputs'!$C$95="Not to the dependants","N","K"))</f>
      </c>
      <c r="AY31">
        <f>IF('Inputs'!$C$14="Spouse","S",IF('Inputs'!$C$95="Not to the dependants","N","K"))</f>
      </c>
      <c r="AZ31">
        <f>IF('Inputs'!$C$14="Spouse","S",IF('Inputs'!$C$95="Not to the dependants","N","K"))</f>
      </c>
      <c r="BA31">
        <f>IF('Inputs'!$C$14="Spouse","S",IF('Inputs'!$C$95="Not to the dependants","N","K"))</f>
      </c>
      <c r="BB31">
        <f>IF('Inputs'!$C$14="Spouse","S",IF('Inputs'!$C$95="Not to the dependants","N","K"))</f>
      </c>
      <c r="BD31">
        <f>IF('Inputs'!$C$14="Spouse","S",IF('Inputs'!$C$95="Not to the dependants","N","K"))</f>
      </c>
      <c r="BE31">
        <f>IF('Inputs'!$C$14="Spouse","S",IF('Inputs'!$C$95="Not to the dependants","N","K"))</f>
      </c>
      <c r="BF31">
        <f>IF('Inputs'!$C$14="Spouse","S",IF('Inputs'!$C$95="Not to the dependants","N","K"))</f>
      </c>
      <c r="BG31">
        <f>IF('Inputs'!$C$14="Spouse","S",IF('Inputs'!$C$95="Not to the dependants","N","K"))</f>
      </c>
      <c r="BH31">
        <f>IF('Inputs'!$C$14="Spouse","S",IF('Inputs'!$C$95="Not to the dependants","N","K"))</f>
      </c>
      <c r="BI31">
        <f>IF('Inputs'!$C$14="Spouse","S",IF('Inputs'!$C$95="Not to the dependants","N","K"))</f>
      </c>
      <c r="BJ31">
        <f>IF('Inputs'!$C$14="Spouse","S",IF('Inputs'!$C$95="Not to the dependants","N","K"))</f>
      </c>
      <c r="BK31">
        <f>IF('Inputs'!$C$14="Spouse","S",IF('Inputs'!$C$95="Not to the dependants","N","K"))</f>
      </c>
      <c r="BL31">
        <f>IF('Inputs'!$C$14="Spouse","S",IF('Inputs'!$C$95="Not to the dependants","N","K"))</f>
      </c>
      <c r="BM31">
        <f>IF('Inputs'!$C$14="Spouse","S",IF('Inputs'!$C$95="Not to the dependants","N","K"))</f>
      </c>
      <c r="BN31">
        <f>IF('Inputs'!$C$14="Spouse","S",IF('Inputs'!$C$95="Not to the dependants","N","K"))</f>
      </c>
      <c r="BO31">
        <f>IF('Inputs'!$C$14="Spouse","S",IF('Inputs'!$C$95="Not to the dependants","N","K"))</f>
      </c>
      <c r="BP31">
        <f>IF('Inputs'!$C$14="Spouse","S",IF('Inputs'!$C$95="Not to the dependants","N","K"))</f>
      </c>
      <c r="BQ31">
        <f>IF('Inputs'!$C$14="Spouse","S",IF('Inputs'!$C$95="Not to the dependants","N","K"))</f>
      </c>
      <c r="BR31">
        <f>IF('Inputs'!$C$14="Spouse","S",IF('Inputs'!$C$95="Not to the dependants","N","K"))</f>
      </c>
      <c r="BS31">
        <f>IF('Inputs'!$C$14="Spouse","S",IF('Inputs'!$C$95="Not to the dependants","N","K"))</f>
      </c>
    </row>
    <row r="32" spans="2:71" x14ac:dyDescent="0.25">
      <c r="B32" t="s">
        <v>351</v>
      </c>
      <c r="C32">
        <f>IF(C29=0,0,ROUNDDOWN(C28/C29,2))</f>
      </c>
      <c r="E32">
        <f>IF(E29=0,0,ROUNDDOWN(E28/E29,2))</f>
      </c>
      <c r="F32">
        <f>IF(F29=0,0,ROUNDDOWN(F28/F29,2))</f>
      </c>
      <c r="G32">
        <f>IF(G29=0,0,ROUNDDOWN(G28/G29,2))</f>
      </c>
      <c r="H32">
        <f>IF(H29=0,0,ROUNDDOWN(H28/H29,2))</f>
      </c>
      <c r="I32">
        <f>IF(I29=0,0,ROUNDDOWN(I28/I29,2))</f>
      </c>
      <c r="J32">
        <f>IF(J29=0,0,ROUNDDOWN(J28/J29,2))</f>
      </c>
      <c r="K32">
        <f>IF(K29=0,0,ROUNDDOWN(K28/K29,2))</f>
      </c>
      <c r="L32">
        <f>IF(L29=0,0,ROUNDDOWN(L28/L29,2))</f>
      </c>
      <c r="M32">
        <f>IF(M29=0,0,ROUNDDOWN(M28/M29,2))</f>
      </c>
      <c r="N32">
        <f>IF(N29=0,0,ROUNDDOWN(N28/N29,2))</f>
      </c>
      <c r="O32">
        <f>IF(O29=0,0,ROUNDDOWN(O28/O29,2))</f>
      </c>
      <c r="P32">
        <f>IF(P29=0,0,ROUNDDOWN(P28/P29,2))</f>
      </c>
      <c r="Q32">
        <f>IF(Q29=0,0,ROUNDDOWN(Q28/Q29,2))</f>
      </c>
      <c r="R32">
        <f>IF(R29=0,0,ROUNDDOWN(R28/R29,2))</f>
      </c>
      <c r="S32">
        <f>IF(S29=0,0,ROUNDDOWN(S28/S29,2))</f>
      </c>
      <c r="T32">
        <f>IF(T29=0,0,ROUNDDOWN(T28/T29,2))</f>
      </c>
      <c r="V32">
        <f>IF(V29=0,0,ROUNDDOWN(V28/V29,2))</f>
      </c>
      <c r="W32">
        <f>IF(W29=0,0,ROUNDDOWN(W28/W29,2))</f>
      </c>
      <c r="X32">
        <f>IF(X29=0,0,ROUNDDOWN(X28/X29,2))</f>
      </c>
      <c r="Y32">
        <f>IF(Y29=0,0,ROUNDDOWN(Y28/Y29,2))</f>
      </c>
      <c r="Z32">
        <f>IF(Z29=0,0,ROUNDDOWN(Z28/Z29,2))</f>
      </c>
      <c r="AA32">
        <f>IF(AA29=0,0,ROUNDDOWN(AA28/AA29,2))</f>
      </c>
      <c r="AB32">
        <f>IF(AB29=0,0,ROUNDDOWN(AB28/AB29,2))</f>
      </c>
      <c r="AC32">
        <f>IF(AC29=0,0,ROUNDDOWN(AC28/AC29,2))</f>
      </c>
      <c r="AD32">
        <f>IF(AD29=0,0,ROUNDDOWN(AD28/AD29,2))</f>
      </c>
      <c r="AE32">
        <f>IF(AE29=0,0,ROUNDDOWN(AE28/AE29,2))</f>
      </c>
      <c r="AF32">
        <f>IF(AF29=0,0,ROUNDDOWN(AF28/AF29,2))</f>
      </c>
      <c r="AG32">
        <f>IF(AG29=0,0,ROUNDDOWN(AG28/AG29,2))</f>
      </c>
      <c r="AH32">
        <f>IF(AH29=0,0,ROUNDDOWN(AH28/AH29,2))</f>
      </c>
      <c r="AI32">
        <f>IF(AI29=0,0,ROUNDDOWN(AI28/AI29,2))</f>
      </c>
      <c r="AJ32">
        <f>IF(AJ29=0,0,ROUNDDOWN(AJ28/AJ29,2))</f>
      </c>
      <c r="AK32">
        <f>IF(AK29=0,0,ROUNDDOWN(AK28/AK29,2))</f>
      </c>
      <c r="AM32">
        <f>IF(AM29=0,0,ROUNDDOWN(AM28/AM29,2))</f>
      </c>
      <c r="AN32">
        <f>IF(AN29=0,0,ROUNDDOWN(AN28/AN29,2))</f>
      </c>
      <c r="AO32">
        <f>IF(AO29=0,0,ROUNDDOWN(AO28/AO29,2))</f>
      </c>
      <c r="AP32">
        <f>IF(AP29=0,0,ROUNDDOWN(AP28/AP29,2))</f>
      </c>
      <c r="AQ32">
        <f>IF(AQ29=0,0,ROUNDDOWN(AQ28/AQ29,2))</f>
      </c>
      <c r="AR32">
        <f>IF(AR29=0,0,ROUNDDOWN(AR28/AR29,2))</f>
      </c>
      <c r="AS32">
        <f>IF(AS29=0,0,ROUNDDOWN(AS28/AS29,2))</f>
      </c>
      <c r="AT32">
        <f>IF(AT29=0,0,ROUNDDOWN(AT28/AT29,2))</f>
      </c>
      <c r="AU32">
        <f>IF(AU29=0,0,ROUNDDOWN(AU28/AU29,2))</f>
      </c>
      <c r="AV32">
        <f>IF(AV29=0,0,ROUNDDOWN(AV28/AV29,2))</f>
      </c>
      <c r="AW32">
        <f>IF(AW29=0,0,ROUNDDOWN(AW28/AW29,2))</f>
      </c>
      <c r="AX32">
        <f>IF(AX29=0,0,ROUNDDOWN(AX28/AX29,2))</f>
      </c>
      <c r="AY32">
        <f>IF(AY29=0,0,ROUNDDOWN(AY28/AY29,2))</f>
      </c>
      <c r="AZ32">
        <f>IF(AZ29=0,0,ROUNDDOWN(AZ28/AZ29,2))</f>
      </c>
      <c r="BA32">
        <f>IF(BA29=0,0,ROUNDDOWN(BA28/BA29,2))</f>
      </c>
      <c r="BB32">
        <f>IF(BB29=0,0,ROUNDDOWN(BB28/BB29,2))</f>
      </c>
      <c r="BD32">
        <f>IF(BD29=0,0,ROUNDDOWN(BD28/BD29,2))</f>
      </c>
      <c r="BE32">
        <f>IF(BE29=0,0,ROUNDDOWN(BE28/BE29,2))</f>
      </c>
      <c r="BF32">
        <f>IF(BF29=0,0,ROUNDDOWN(BF28/BF29,2))</f>
      </c>
      <c r="BG32">
        <f>IF(BG29=0,0,ROUNDDOWN(BG28/BG29,2))</f>
      </c>
      <c r="BH32">
        <f>IF(BH29=0,0,ROUNDDOWN(BH28/BH29,2))</f>
      </c>
      <c r="BI32">
        <f>IF(BI29=0,0,ROUNDDOWN(BI28/BI29,2))</f>
      </c>
      <c r="BJ32">
        <f>IF(BJ29=0,0,ROUNDDOWN(BJ28/BJ29,2))</f>
      </c>
      <c r="BK32">
        <f>IF(BK29=0,0,ROUNDDOWN(BK28/BK29,2))</f>
      </c>
      <c r="BL32">
        <f>IF(BL29=0,0,ROUNDDOWN(BL28/BL29,2))</f>
      </c>
      <c r="BM32">
        <f>IF(BM29=0,0,ROUNDDOWN(BM28/BM29,2))</f>
      </c>
      <c r="BN32">
        <f>IF(BN29=0,0,ROUNDDOWN(BN28/BN29,2))</f>
      </c>
      <c r="BO32">
        <f>IF(BO29=0,0,ROUNDDOWN(BO28/BO29,2))</f>
      </c>
      <c r="BP32">
        <f>IF(BP29=0,0,ROUNDDOWN(BP28/BP29,2))</f>
      </c>
      <c r="BQ32">
        <f>IF(BQ29=0,0,ROUNDDOWN(BQ28/BQ29,2))</f>
      </c>
      <c r="BR32">
        <f>IF(BR29=0,0,ROUNDDOWN(BR28/BR29,2))</f>
      </c>
      <c r="BS32">
        <f>IF(BS29=0,0,ROUNDDOWN(BS28/BS29,2))</f>
      </c>
    </row>
    <row r="33" spans="2:71" x14ac:dyDescent="0.25">
      <c r="B33" t="s">
        <v>352</v>
      </c>
      <c r="C33">
        <f>ROUND(C28-C32*(C29-1),2)</f>
      </c>
      <c r="E33">
        <f>ROUND(E28-E32*(E29-1),2)</f>
      </c>
      <c r="F33">
        <f>ROUND(F28-F32*(F29-1),2)</f>
      </c>
      <c r="G33">
        <f>ROUND(G28-G32*(G29-1),2)</f>
      </c>
      <c r="H33">
        <f>ROUND(H28-H32*(H29-1),2)</f>
      </c>
      <c r="I33">
        <f>ROUND(I28-I32*(I29-1),2)</f>
      </c>
      <c r="J33">
        <f>ROUND(J28-J32*(J29-1),2)</f>
      </c>
      <c r="K33">
        <f>ROUND(K28-K32*(K29-1),2)</f>
      </c>
      <c r="L33">
        <f>ROUND(L28-L32*(L29-1),2)</f>
      </c>
      <c r="M33">
        <f>ROUND(M28-M32*(M29-1),2)</f>
      </c>
      <c r="N33">
        <f>ROUND(N28-N32*(N29-1),2)</f>
      </c>
      <c r="O33">
        <f>ROUND(O28-O32*(O29-1),2)</f>
      </c>
      <c r="P33">
        <f>ROUND(P28-P32*(P29-1),2)</f>
      </c>
      <c r="Q33">
        <f>ROUND(Q28-Q32*(Q29-1),2)</f>
      </c>
      <c r="R33">
        <f>ROUND(R28-R32*(R29-1),2)</f>
      </c>
      <c r="S33">
        <f>ROUND(S28-S32*(S29-1),2)</f>
      </c>
      <c r="T33">
        <f>ROUND(T28-T32*(T29-1),2)</f>
      </c>
      <c r="V33">
        <f>ROUND(V28-V32*(V29-1),2)</f>
      </c>
      <c r="W33">
        <f>ROUND(W28-W32*(W29-1),2)</f>
      </c>
      <c r="X33">
        <f>ROUND(X28-X32*(X29-1),2)</f>
      </c>
      <c r="Y33">
        <f>ROUND(Y28-Y32*(Y29-1),2)</f>
      </c>
      <c r="Z33">
        <f>ROUND(Z28-Z32*(Z29-1),2)</f>
      </c>
      <c r="AA33">
        <f>ROUND(AA28-AA32*(AA29-1),2)</f>
      </c>
      <c r="AB33">
        <f>ROUND(AB28-AB32*(AB29-1),2)</f>
      </c>
      <c r="AC33">
        <f>ROUND(AC28-AC32*(AC29-1),2)</f>
      </c>
      <c r="AD33">
        <f>ROUND(AD28-AD32*(AD29-1),2)</f>
      </c>
      <c r="AE33">
        <f>ROUND(AE28-AE32*(AE29-1),2)</f>
      </c>
      <c r="AF33">
        <f>ROUND(AF28-AF32*(AF29-1),2)</f>
      </c>
      <c r="AG33">
        <f>ROUND(AG28-AG32*(AG29-1),2)</f>
      </c>
      <c r="AH33">
        <f>ROUND(AH28-AH32*(AH29-1),2)</f>
      </c>
      <c r="AI33">
        <f>ROUND(AI28-AI32*(AI29-1),2)</f>
      </c>
      <c r="AJ33">
        <f>ROUND(AJ28-AJ32*(AJ29-1),2)</f>
      </c>
      <c r="AK33">
        <f>ROUND(AK28-AK32*(AK29-1),2)</f>
      </c>
      <c r="AM33">
        <f>ROUND(AM28-AM32*(AM29-1),2)</f>
      </c>
      <c r="AN33">
        <f>ROUND(AN28-AN32*(AN29-1),2)</f>
      </c>
      <c r="AO33">
        <f>ROUND(AO28-AO32*(AO29-1),2)</f>
      </c>
      <c r="AP33">
        <f>ROUND(AP28-AP32*(AP29-1),2)</f>
      </c>
      <c r="AQ33">
        <f>ROUND(AQ28-AQ32*(AQ29-1),2)</f>
      </c>
      <c r="AR33">
        <f>ROUND(AR28-AR32*(AR29-1),2)</f>
      </c>
      <c r="AS33">
        <f>ROUND(AS28-AS32*(AS29-1),2)</f>
      </c>
      <c r="AT33">
        <f>ROUND(AT28-AT32*(AT29-1),2)</f>
      </c>
      <c r="AU33">
        <f>ROUND(AU28-AU32*(AU29-1),2)</f>
      </c>
      <c r="AV33">
        <f>ROUND(AV28-AV32*(AV29-1),2)</f>
      </c>
      <c r="AW33">
        <f>ROUND(AW28-AW32*(AW29-1),2)</f>
      </c>
      <c r="AX33">
        <f>ROUND(AX28-AX32*(AX29-1),2)</f>
      </c>
      <c r="AY33">
        <f>ROUND(AY28-AY32*(AY29-1),2)</f>
      </c>
      <c r="AZ33">
        <f>ROUND(AZ28-AZ32*(AZ29-1),2)</f>
      </c>
      <c r="BA33">
        <f>ROUND(BA28-BA32*(BA29-1),2)</f>
      </c>
      <c r="BB33">
        <f>ROUND(BB28-BB32*(BB29-1),2)</f>
      </c>
      <c r="BD33">
        <f>ROUND(BD28-BD32*(BD29-1),2)</f>
      </c>
      <c r="BE33">
        <f>ROUND(BE28-BE32*(BE29-1),2)</f>
      </c>
      <c r="BF33">
        <f>ROUND(BF28-BF32*(BF29-1),2)</f>
      </c>
      <c r="BG33">
        <f>ROUND(BG28-BG32*(BG29-1),2)</f>
      </c>
      <c r="BH33">
        <f>ROUND(BH28-BH32*(BH29-1),2)</f>
      </c>
      <c r="BI33">
        <f>ROUND(BI28-BI32*(BI29-1),2)</f>
      </c>
      <c r="BJ33">
        <f>ROUND(BJ28-BJ32*(BJ29-1),2)</f>
      </c>
      <c r="BK33">
        <f>ROUND(BK28-BK32*(BK29-1),2)</f>
      </c>
      <c r="BL33">
        <f>ROUND(BL28-BL32*(BL29-1),2)</f>
      </c>
      <c r="BM33">
        <f>ROUND(BM28-BM32*(BM29-1),2)</f>
      </c>
      <c r="BN33">
        <f>ROUND(BN28-BN32*(BN29-1),2)</f>
      </c>
      <c r="BO33">
        <f>ROUND(BO28-BO32*(BO29-1),2)</f>
      </c>
      <c r="BP33">
        <f>ROUND(BP28-BP32*(BP29-1),2)</f>
      </c>
      <c r="BQ33">
        <f>ROUND(BQ28-BQ32*(BQ29-1),2)</f>
      </c>
      <c r="BR33">
        <f>ROUND(BR28-BR32*(BR29-1),2)</f>
      </c>
      <c r="BS33">
        <f>ROUND(BS28-BS32*(BS29-1),2)</f>
      </c>
    </row>
    <row r="34" spans="2:71" x14ac:dyDescent="0.25">
      <c r="B34" t="s">
        <v>353</v>
      </c>
      <c r="C34">
        <f>IF(C30=0,0,SUMPRODUCT('Inputs'!$Q$59:$Q$70,ROUNDDOWN((('Inputs'!$D$59:$D$70-('Inputs'!$P$59:$P$70=C5)*C14)-'Inputs'!$R$59:$R$70*ROUND(C21*('Inputs'!$D$59:$D$70-('Inputs'!$P$59:$P$70=C5)*C14),2))/C30,2)))</f>
      </c>
      <c r="E34">
        <f>IF(E30=0,0,SUMPRODUCT('Inputs'!$Q$59:$Q$70,ROUNDDOWN((('Inputs'!$D$59:$D$70-('Inputs'!$P$59:$P$70=E5)*E14)-'Inputs'!$R$59:$R$70*ROUND(E21*('Inputs'!$D$59:$D$70-('Inputs'!$P$59:$P$70=E5)*E14),2))/E30,2)))</f>
      </c>
      <c r="F34">
        <f>IF(F30=0,0,SUMPRODUCT('Inputs'!$Q$59:$Q$70,ROUNDDOWN((('Inputs'!$D$59:$D$70-('Inputs'!$P$59:$P$70=F5)*F14)-'Inputs'!$R$59:$R$70*ROUND(F21*('Inputs'!$D$59:$D$70-('Inputs'!$P$59:$P$70=F5)*F14),2))/F30,2)))</f>
      </c>
      <c r="G34">
        <f>IF(G30=0,0,SUMPRODUCT('Inputs'!$Q$59:$Q$70,ROUNDDOWN((('Inputs'!$D$59:$D$70-('Inputs'!$P$59:$P$70=G5)*G14)-'Inputs'!$R$59:$R$70*ROUND(G21*('Inputs'!$D$59:$D$70-('Inputs'!$P$59:$P$70=G5)*G14),2))/G30,2)))</f>
      </c>
      <c r="H34">
        <f>IF(H30=0,0,SUMPRODUCT('Inputs'!$Q$59:$Q$70,ROUNDDOWN((('Inputs'!$D$59:$D$70-('Inputs'!$P$59:$P$70=H5)*H14)-'Inputs'!$R$59:$R$70*ROUND(H21*('Inputs'!$D$59:$D$70-('Inputs'!$P$59:$P$70=H5)*H14),2))/H30,2)))</f>
      </c>
      <c r="I34">
        <f>IF(I30=0,0,SUMPRODUCT('Inputs'!$Q$59:$Q$70,ROUNDDOWN((('Inputs'!$D$59:$D$70-('Inputs'!$P$59:$P$70=I5)*I14)-'Inputs'!$R$59:$R$70*ROUND(I21*('Inputs'!$D$59:$D$70-('Inputs'!$P$59:$P$70=I5)*I14),2))/I30,2)))</f>
      </c>
      <c r="J34">
        <f>IF(J30=0,0,SUMPRODUCT('Inputs'!$Q$59:$Q$70,ROUNDDOWN((('Inputs'!$D$59:$D$70-('Inputs'!$P$59:$P$70=J5)*J14)-'Inputs'!$R$59:$R$70*ROUND(J21*('Inputs'!$D$59:$D$70-('Inputs'!$P$59:$P$70=J5)*J14),2))/J30,2)))</f>
      </c>
      <c r="K34">
        <f>IF(K30=0,0,SUMPRODUCT('Inputs'!$Q$59:$Q$70,ROUNDDOWN((('Inputs'!$D$59:$D$70-('Inputs'!$P$59:$P$70=K5)*K14)-'Inputs'!$R$59:$R$70*ROUND(K21*('Inputs'!$D$59:$D$70-('Inputs'!$P$59:$P$70=K5)*K14),2))/K30,2)))</f>
      </c>
      <c r="L34">
        <f>IF(L30=0,0,SUMPRODUCT('Inputs'!$Q$59:$Q$70,ROUNDDOWN((('Inputs'!$D$59:$D$70-('Inputs'!$P$59:$P$70=L5)*L14)-'Inputs'!$R$59:$R$70*ROUND(L21*('Inputs'!$D$59:$D$70-('Inputs'!$P$59:$P$70=L5)*L14),2))/L30,2)))</f>
      </c>
      <c r="M34">
        <f>IF(M30=0,0,SUMPRODUCT('Inputs'!$Q$59:$Q$70,ROUNDDOWN((('Inputs'!$D$59:$D$70-('Inputs'!$P$59:$P$70=M5)*M14)-'Inputs'!$R$59:$R$70*ROUND(M21*('Inputs'!$D$59:$D$70-('Inputs'!$P$59:$P$70=M5)*M14),2))/M30,2)))</f>
      </c>
      <c r="N34">
        <f>IF(N30=0,0,SUMPRODUCT('Inputs'!$Q$59:$Q$70,ROUNDDOWN((('Inputs'!$D$59:$D$70-('Inputs'!$P$59:$P$70=N5)*N14)-'Inputs'!$R$59:$R$70*ROUND(N21*('Inputs'!$D$59:$D$70-('Inputs'!$P$59:$P$70=N5)*N14),2))/N30,2)))</f>
      </c>
      <c r="O34">
        <f>IF(O30=0,0,SUMPRODUCT('Inputs'!$Q$59:$Q$70,ROUNDDOWN((('Inputs'!$D$59:$D$70-('Inputs'!$P$59:$P$70=O5)*O14)-'Inputs'!$R$59:$R$70*ROUND(O21*('Inputs'!$D$59:$D$70-('Inputs'!$P$59:$P$70=O5)*O14),2))/O30,2)))</f>
      </c>
      <c r="P34">
        <f>IF(P30=0,0,SUMPRODUCT('Inputs'!$Q$59:$Q$70,ROUNDDOWN((('Inputs'!$D$59:$D$70-('Inputs'!$P$59:$P$70=P5)*P14)-'Inputs'!$R$59:$R$70*ROUND(P21*('Inputs'!$D$59:$D$70-('Inputs'!$P$59:$P$70=P5)*P14),2))/P30,2)))</f>
      </c>
      <c r="Q34">
        <f>IF(Q30=0,0,SUMPRODUCT('Inputs'!$Q$59:$Q$70,ROUNDDOWN((('Inputs'!$D$59:$D$70-('Inputs'!$P$59:$P$70=Q5)*Q14)-'Inputs'!$R$59:$R$70*ROUND(Q21*('Inputs'!$D$59:$D$70-('Inputs'!$P$59:$P$70=Q5)*Q14),2))/Q30,2)))</f>
      </c>
      <c r="R34">
        <f>IF(R30=0,0,SUMPRODUCT('Inputs'!$Q$59:$Q$70,ROUNDDOWN((('Inputs'!$D$59:$D$70-('Inputs'!$P$59:$P$70=R5)*R14)-'Inputs'!$R$59:$R$70*ROUND(R21*('Inputs'!$D$59:$D$70-('Inputs'!$P$59:$P$70=R5)*R14),2))/R30,2)))</f>
      </c>
      <c r="S34">
        <f>IF(S30=0,0,SUMPRODUCT('Inputs'!$Q$59:$Q$70,ROUNDDOWN((('Inputs'!$D$59:$D$70-('Inputs'!$P$59:$P$70=S5)*S14)-'Inputs'!$R$59:$R$70*ROUND(S21*('Inputs'!$D$59:$D$70-('Inputs'!$P$59:$P$70=S5)*S14),2))/S30,2)))</f>
      </c>
      <c r="T34">
        <f>IF(T30=0,0,SUMPRODUCT('Inputs'!$Q$59:$Q$70,ROUNDDOWN((('Inputs'!$D$59:$D$70-('Inputs'!$P$59:$P$70=T5)*T14)-'Inputs'!$R$59:$R$70*ROUND(T21*('Inputs'!$D$59:$D$70-('Inputs'!$P$59:$P$70=T5)*T14),2))/T30,2)))</f>
      </c>
      <c r="V34">
        <f>IF(V30=0,0,SUMPRODUCT('Inputs'!$Q$59:$Q$70,ROUNDDOWN((('Inputs'!$D$59:$D$70-('Inputs'!$P$59:$P$70=V5)*V14)-'Inputs'!$R$59:$R$70*ROUND(V21*('Inputs'!$D$59:$D$70-('Inputs'!$P$59:$P$70=V5)*V14),2))/V30,2)))</f>
      </c>
      <c r="W34">
        <f>IF(W30=0,0,SUMPRODUCT('Inputs'!$Q$59:$Q$70,ROUNDDOWN((('Inputs'!$D$59:$D$70-('Inputs'!$P$59:$P$70=W5)*W14)-'Inputs'!$R$59:$R$70*ROUND(W21*('Inputs'!$D$59:$D$70-('Inputs'!$P$59:$P$70=W5)*W14),2))/W30,2)))</f>
      </c>
      <c r="X34">
        <f>IF(X30=0,0,SUMPRODUCT('Inputs'!$Q$59:$Q$70,ROUNDDOWN((('Inputs'!$D$59:$D$70-('Inputs'!$P$59:$P$70=X5)*X14)-'Inputs'!$R$59:$R$70*ROUND(X21*('Inputs'!$D$59:$D$70-('Inputs'!$P$59:$P$70=X5)*X14),2))/X30,2)))</f>
      </c>
      <c r="Y34">
        <f>IF(Y30=0,0,SUMPRODUCT('Inputs'!$Q$59:$Q$70,ROUNDDOWN((('Inputs'!$D$59:$D$70-('Inputs'!$P$59:$P$70=Y5)*Y14)-'Inputs'!$R$59:$R$70*ROUND(Y21*('Inputs'!$D$59:$D$70-('Inputs'!$P$59:$P$70=Y5)*Y14),2))/Y30,2)))</f>
      </c>
      <c r="Z34">
        <f>IF(Z30=0,0,SUMPRODUCT('Inputs'!$Q$59:$Q$70,ROUNDDOWN((('Inputs'!$D$59:$D$70-('Inputs'!$P$59:$P$70=Z5)*Z14)-'Inputs'!$R$59:$R$70*ROUND(Z21*('Inputs'!$D$59:$D$70-('Inputs'!$P$59:$P$70=Z5)*Z14),2))/Z30,2)))</f>
      </c>
      <c r="AA34">
        <f>IF(AA30=0,0,SUMPRODUCT('Inputs'!$Q$59:$Q$70,ROUNDDOWN((('Inputs'!$D$59:$D$70-('Inputs'!$P$59:$P$70=AA5)*AA14)-'Inputs'!$R$59:$R$70*ROUND(AA21*('Inputs'!$D$59:$D$70-('Inputs'!$P$59:$P$70=AA5)*AA14),2))/AA30,2)))</f>
      </c>
      <c r="AB34">
        <f>IF(AB30=0,0,SUMPRODUCT('Inputs'!$Q$59:$Q$70,ROUNDDOWN((('Inputs'!$D$59:$D$70-('Inputs'!$P$59:$P$70=AB5)*AB14)-'Inputs'!$R$59:$R$70*ROUND(AB21*('Inputs'!$D$59:$D$70-('Inputs'!$P$59:$P$70=AB5)*AB14),2))/AB30,2)))</f>
      </c>
      <c r="AC34">
        <f>IF(AC30=0,0,SUMPRODUCT('Inputs'!$Q$59:$Q$70,ROUNDDOWN((('Inputs'!$D$59:$D$70-('Inputs'!$P$59:$P$70=AC5)*AC14)-'Inputs'!$R$59:$R$70*ROUND(AC21*('Inputs'!$D$59:$D$70-('Inputs'!$P$59:$P$70=AC5)*AC14),2))/AC30,2)))</f>
      </c>
      <c r="AD34">
        <f>IF(AD30=0,0,SUMPRODUCT('Inputs'!$Q$59:$Q$70,ROUNDDOWN((('Inputs'!$D$59:$D$70-('Inputs'!$P$59:$P$70=AD5)*AD14)-'Inputs'!$R$59:$R$70*ROUND(AD21*('Inputs'!$D$59:$D$70-('Inputs'!$P$59:$P$70=AD5)*AD14),2))/AD30,2)))</f>
      </c>
      <c r="AE34">
        <f>IF(AE30=0,0,SUMPRODUCT('Inputs'!$Q$59:$Q$70,ROUNDDOWN((('Inputs'!$D$59:$D$70-('Inputs'!$P$59:$P$70=AE5)*AE14)-'Inputs'!$R$59:$R$70*ROUND(AE21*('Inputs'!$D$59:$D$70-('Inputs'!$P$59:$P$70=AE5)*AE14),2))/AE30,2)))</f>
      </c>
      <c r="AF34">
        <f>IF(AF30=0,0,SUMPRODUCT('Inputs'!$Q$59:$Q$70,ROUNDDOWN((('Inputs'!$D$59:$D$70-('Inputs'!$P$59:$P$70=AF5)*AF14)-'Inputs'!$R$59:$R$70*ROUND(AF21*('Inputs'!$D$59:$D$70-('Inputs'!$P$59:$P$70=AF5)*AF14),2))/AF30,2)))</f>
      </c>
      <c r="AG34">
        <f>IF(AG30=0,0,SUMPRODUCT('Inputs'!$Q$59:$Q$70,ROUNDDOWN((('Inputs'!$D$59:$D$70-('Inputs'!$P$59:$P$70=AG5)*AG14)-'Inputs'!$R$59:$R$70*ROUND(AG21*('Inputs'!$D$59:$D$70-('Inputs'!$P$59:$P$70=AG5)*AG14),2))/AG30,2)))</f>
      </c>
      <c r="AH34">
        <f>IF(AH30=0,0,SUMPRODUCT('Inputs'!$Q$59:$Q$70,ROUNDDOWN((('Inputs'!$D$59:$D$70-('Inputs'!$P$59:$P$70=AH5)*AH14)-'Inputs'!$R$59:$R$70*ROUND(AH21*('Inputs'!$D$59:$D$70-('Inputs'!$P$59:$P$70=AH5)*AH14),2))/AH30,2)))</f>
      </c>
      <c r="AI34">
        <f>IF(AI30=0,0,SUMPRODUCT('Inputs'!$Q$59:$Q$70,ROUNDDOWN((('Inputs'!$D$59:$D$70-('Inputs'!$P$59:$P$70=AI5)*AI14)-'Inputs'!$R$59:$R$70*ROUND(AI21*('Inputs'!$D$59:$D$70-('Inputs'!$P$59:$P$70=AI5)*AI14),2))/AI30,2)))</f>
      </c>
      <c r="AJ34">
        <f>IF(AJ30=0,0,SUMPRODUCT('Inputs'!$Q$59:$Q$70,ROUNDDOWN((('Inputs'!$D$59:$D$70-('Inputs'!$P$59:$P$70=AJ5)*AJ14)-'Inputs'!$R$59:$R$70*ROUND(AJ21*('Inputs'!$D$59:$D$70-('Inputs'!$P$59:$P$70=AJ5)*AJ14),2))/AJ30,2)))</f>
      </c>
      <c r="AK34">
        <f>IF(AK30=0,0,SUMPRODUCT('Inputs'!$Q$59:$Q$70,ROUNDDOWN((('Inputs'!$D$59:$D$70-('Inputs'!$P$59:$P$70=AK5)*AK14)-'Inputs'!$R$59:$R$70*ROUND(AK21*('Inputs'!$D$59:$D$70-('Inputs'!$P$59:$P$70=AK5)*AK14),2))/AK30,2)))</f>
      </c>
      <c r="AM34">
        <f>IF(AM30=0,0,SUMPRODUCT('Inputs'!$Q$59:$Q$70,ROUNDDOWN((('Inputs'!$D$59:$D$70-('Inputs'!$P$59:$P$70=AM5)*AM14)-'Inputs'!$R$59:$R$70*ROUND(AM21*('Inputs'!$D$59:$D$70-('Inputs'!$P$59:$P$70=AM5)*AM14),2))/AM30,2)))</f>
      </c>
      <c r="AN34">
        <f>IF(AN30=0,0,SUMPRODUCT('Inputs'!$Q$59:$Q$70,ROUNDDOWN((('Inputs'!$D$59:$D$70-('Inputs'!$P$59:$P$70=AN5)*AN14)-'Inputs'!$R$59:$R$70*ROUND(AN21*('Inputs'!$D$59:$D$70-('Inputs'!$P$59:$P$70=AN5)*AN14),2))/AN30,2)))</f>
      </c>
      <c r="AO34">
        <f>IF(AO30=0,0,SUMPRODUCT('Inputs'!$Q$59:$Q$70,ROUNDDOWN((('Inputs'!$D$59:$D$70-('Inputs'!$P$59:$P$70=AO5)*AO14)-'Inputs'!$R$59:$R$70*ROUND(AO21*('Inputs'!$D$59:$D$70-('Inputs'!$P$59:$P$70=AO5)*AO14),2))/AO30,2)))</f>
      </c>
      <c r="AP34">
        <f>IF(AP30=0,0,SUMPRODUCT('Inputs'!$Q$59:$Q$70,ROUNDDOWN((('Inputs'!$D$59:$D$70-('Inputs'!$P$59:$P$70=AP5)*AP14)-'Inputs'!$R$59:$R$70*ROUND(AP21*('Inputs'!$D$59:$D$70-('Inputs'!$P$59:$P$70=AP5)*AP14),2))/AP30,2)))</f>
      </c>
      <c r="AQ34">
        <f>IF(AQ30=0,0,SUMPRODUCT('Inputs'!$Q$59:$Q$70,ROUNDDOWN((('Inputs'!$D$59:$D$70-('Inputs'!$P$59:$P$70=AQ5)*AQ14)-'Inputs'!$R$59:$R$70*ROUND(AQ21*('Inputs'!$D$59:$D$70-('Inputs'!$P$59:$P$70=AQ5)*AQ14),2))/AQ30,2)))</f>
      </c>
      <c r="AR34">
        <f>IF(AR30=0,0,SUMPRODUCT('Inputs'!$Q$59:$Q$70,ROUNDDOWN((('Inputs'!$D$59:$D$70-('Inputs'!$P$59:$P$70=AR5)*AR14)-'Inputs'!$R$59:$R$70*ROUND(AR21*('Inputs'!$D$59:$D$70-('Inputs'!$P$59:$P$70=AR5)*AR14),2))/AR30,2)))</f>
      </c>
      <c r="AS34">
        <f>IF(AS30=0,0,SUMPRODUCT('Inputs'!$Q$59:$Q$70,ROUNDDOWN((('Inputs'!$D$59:$D$70-('Inputs'!$P$59:$P$70=AS5)*AS14)-'Inputs'!$R$59:$R$70*ROUND(AS21*('Inputs'!$D$59:$D$70-('Inputs'!$P$59:$P$70=AS5)*AS14),2))/AS30,2)))</f>
      </c>
      <c r="AT34">
        <f>IF(AT30=0,0,SUMPRODUCT('Inputs'!$Q$59:$Q$70,ROUNDDOWN((('Inputs'!$D$59:$D$70-('Inputs'!$P$59:$P$70=AT5)*AT14)-'Inputs'!$R$59:$R$70*ROUND(AT21*('Inputs'!$D$59:$D$70-('Inputs'!$P$59:$P$70=AT5)*AT14),2))/AT30,2)))</f>
      </c>
      <c r="AU34">
        <f>IF(AU30=0,0,SUMPRODUCT('Inputs'!$Q$59:$Q$70,ROUNDDOWN((('Inputs'!$D$59:$D$70-('Inputs'!$P$59:$P$70=AU5)*AU14)-'Inputs'!$R$59:$R$70*ROUND(AU21*('Inputs'!$D$59:$D$70-('Inputs'!$P$59:$P$70=AU5)*AU14),2))/AU30,2)))</f>
      </c>
      <c r="AV34">
        <f>IF(AV30=0,0,SUMPRODUCT('Inputs'!$Q$59:$Q$70,ROUNDDOWN((('Inputs'!$D$59:$D$70-('Inputs'!$P$59:$P$70=AV5)*AV14)-'Inputs'!$R$59:$R$70*ROUND(AV21*('Inputs'!$D$59:$D$70-('Inputs'!$P$59:$P$70=AV5)*AV14),2))/AV30,2)))</f>
      </c>
      <c r="AW34">
        <f>IF(AW30=0,0,SUMPRODUCT('Inputs'!$Q$59:$Q$70,ROUNDDOWN((('Inputs'!$D$59:$D$70-('Inputs'!$P$59:$P$70=AW5)*AW14)-'Inputs'!$R$59:$R$70*ROUND(AW21*('Inputs'!$D$59:$D$70-('Inputs'!$P$59:$P$70=AW5)*AW14),2))/AW30,2)))</f>
      </c>
      <c r="AX34">
        <f>IF(AX30=0,0,SUMPRODUCT('Inputs'!$Q$59:$Q$70,ROUNDDOWN((('Inputs'!$D$59:$D$70-('Inputs'!$P$59:$P$70=AX5)*AX14)-'Inputs'!$R$59:$R$70*ROUND(AX21*('Inputs'!$D$59:$D$70-('Inputs'!$P$59:$P$70=AX5)*AX14),2))/AX30,2)))</f>
      </c>
      <c r="AY34">
        <f>IF(AY30=0,0,SUMPRODUCT('Inputs'!$Q$59:$Q$70,ROUNDDOWN((('Inputs'!$D$59:$D$70-('Inputs'!$P$59:$P$70=AY5)*AY14)-'Inputs'!$R$59:$R$70*ROUND(AY21*('Inputs'!$D$59:$D$70-('Inputs'!$P$59:$P$70=AY5)*AY14),2))/AY30,2)))</f>
      </c>
      <c r="AZ34">
        <f>IF(AZ30=0,0,SUMPRODUCT('Inputs'!$Q$59:$Q$70,ROUNDDOWN((('Inputs'!$D$59:$D$70-('Inputs'!$P$59:$P$70=AZ5)*AZ14)-'Inputs'!$R$59:$R$70*ROUND(AZ21*('Inputs'!$D$59:$D$70-('Inputs'!$P$59:$P$70=AZ5)*AZ14),2))/AZ30,2)))</f>
      </c>
      <c r="BA34">
        <f>IF(BA30=0,0,SUMPRODUCT('Inputs'!$Q$59:$Q$70,ROUNDDOWN((('Inputs'!$D$59:$D$70-('Inputs'!$P$59:$P$70=BA5)*BA14)-'Inputs'!$R$59:$R$70*ROUND(BA21*('Inputs'!$D$59:$D$70-('Inputs'!$P$59:$P$70=BA5)*BA14),2))/BA30,2)))</f>
      </c>
      <c r="BB34">
        <f>IF(BB30=0,0,SUMPRODUCT('Inputs'!$Q$59:$Q$70,ROUNDDOWN((('Inputs'!$D$59:$D$70-('Inputs'!$P$59:$P$70=BB5)*BB14)-'Inputs'!$R$59:$R$70*ROUND(BB21*('Inputs'!$D$59:$D$70-('Inputs'!$P$59:$P$70=BB5)*BB14),2))/BB30,2)))</f>
      </c>
      <c r="BD34">
        <f>IF(BD30=0,0,SUMPRODUCT('Inputs'!$Q$59:$Q$70,ROUNDDOWN((('Inputs'!$D$59:$D$70-('Inputs'!$P$59:$P$70=BD5)*BD14)-'Inputs'!$R$59:$R$70*ROUND(BD21*('Inputs'!$D$59:$D$70-('Inputs'!$P$59:$P$70=BD5)*BD14),2))/BD30,2)))</f>
      </c>
      <c r="BE34">
        <f>IF(BE30=0,0,SUMPRODUCT('Inputs'!$Q$59:$Q$70,ROUNDDOWN((('Inputs'!$D$59:$D$70-('Inputs'!$P$59:$P$70=BE5)*BE14)-'Inputs'!$R$59:$R$70*ROUND(BE21*('Inputs'!$D$59:$D$70-('Inputs'!$P$59:$P$70=BE5)*BE14),2))/BE30,2)))</f>
      </c>
      <c r="BF34">
        <f>IF(BF30=0,0,SUMPRODUCT('Inputs'!$Q$59:$Q$70,ROUNDDOWN((('Inputs'!$D$59:$D$70-('Inputs'!$P$59:$P$70=BF5)*BF14)-'Inputs'!$R$59:$R$70*ROUND(BF21*('Inputs'!$D$59:$D$70-('Inputs'!$P$59:$P$70=BF5)*BF14),2))/BF30,2)))</f>
      </c>
      <c r="BG34">
        <f>IF(BG30=0,0,SUMPRODUCT('Inputs'!$Q$59:$Q$70,ROUNDDOWN((('Inputs'!$D$59:$D$70-('Inputs'!$P$59:$P$70=BG5)*BG14)-'Inputs'!$R$59:$R$70*ROUND(BG21*('Inputs'!$D$59:$D$70-('Inputs'!$P$59:$P$70=BG5)*BG14),2))/BG30,2)))</f>
      </c>
      <c r="BH34">
        <f>IF(BH30=0,0,SUMPRODUCT('Inputs'!$Q$59:$Q$70,ROUNDDOWN((('Inputs'!$D$59:$D$70-('Inputs'!$P$59:$P$70=BH5)*BH14)-'Inputs'!$R$59:$R$70*ROUND(BH21*('Inputs'!$D$59:$D$70-('Inputs'!$P$59:$P$70=BH5)*BH14),2))/BH30,2)))</f>
      </c>
      <c r="BI34">
        <f>IF(BI30=0,0,SUMPRODUCT('Inputs'!$Q$59:$Q$70,ROUNDDOWN((('Inputs'!$D$59:$D$70-('Inputs'!$P$59:$P$70=BI5)*BI14)-'Inputs'!$R$59:$R$70*ROUND(BI21*('Inputs'!$D$59:$D$70-('Inputs'!$P$59:$P$70=BI5)*BI14),2))/BI30,2)))</f>
      </c>
      <c r="BJ34">
        <f>IF(BJ30=0,0,SUMPRODUCT('Inputs'!$Q$59:$Q$70,ROUNDDOWN((('Inputs'!$D$59:$D$70-('Inputs'!$P$59:$P$70=BJ5)*BJ14)-'Inputs'!$R$59:$R$70*ROUND(BJ21*('Inputs'!$D$59:$D$70-('Inputs'!$P$59:$P$70=BJ5)*BJ14),2))/BJ30,2)))</f>
      </c>
      <c r="BK34">
        <f>IF(BK30=0,0,SUMPRODUCT('Inputs'!$Q$59:$Q$70,ROUNDDOWN((('Inputs'!$D$59:$D$70-('Inputs'!$P$59:$P$70=BK5)*BK14)-'Inputs'!$R$59:$R$70*ROUND(BK21*('Inputs'!$D$59:$D$70-('Inputs'!$P$59:$P$70=BK5)*BK14),2))/BK30,2)))</f>
      </c>
      <c r="BL34">
        <f>IF(BL30=0,0,SUMPRODUCT('Inputs'!$Q$59:$Q$70,ROUNDDOWN((('Inputs'!$D$59:$D$70-('Inputs'!$P$59:$P$70=BL5)*BL14)-'Inputs'!$R$59:$R$70*ROUND(BL21*('Inputs'!$D$59:$D$70-('Inputs'!$P$59:$P$70=BL5)*BL14),2))/BL30,2)))</f>
      </c>
      <c r="BM34">
        <f>IF(BM30=0,0,SUMPRODUCT('Inputs'!$Q$59:$Q$70,ROUNDDOWN((('Inputs'!$D$59:$D$70-('Inputs'!$P$59:$P$70=BM5)*BM14)-'Inputs'!$R$59:$R$70*ROUND(BM21*('Inputs'!$D$59:$D$70-('Inputs'!$P$59:$P$70=BM5)*BM14),2))/BM30,2)))</f>
      </c>
      <c r="BN34">
        <f>IF(BN30=0,0,SUMPRODUCT('Inputs'!$Q$59:$Q$70,ROUNDDOWN((('Inputs'!$D$59:$D$70-('Inputs'!$P$59:$P$70=BN5)*BN14)-'Inputs'!$R$59:$R$70*ROUND(BN21*('Inputs'!$D$59:$D$70-('Inputs'!$P$59:$P$70=BN5)*BN14),2))/BN30,2)))</f>
      </c>
      <c r="BO34">
        <f>IF(BO30=0,0,SUMPRODUCT('Inputs'!$Q$59:$Q$70,ROUNDDOWN((('Inputs'!$D$59:$D$70-('Inputs'!$P$59:$P$70=BO5)*BO14)-'Inputs'!$R$59:$R$70*ROUND(BO21*('Inputs'!$D$59:$D$70-('Inputs'!$P$59:$P$70=BO5)*BO14),2))/BO30,2)))</f>
      </c>
      <c r="BP34">
        <f>IF(BP30=0,0,SUMPRODUCT('Inputs'!$Q$59:$Q$70,ROUNDDOWN((('Inputs'!$D$59:$D$70-('Inputs'!$P$59:$P$70=BP5)*BP14)-'Inputs'!$R$59:$R$70*ROUND(BP21*('Inputs'!$D$59:$D$70-('Inputs'!$P$59:$P$70=BP5)*BP14),2))/BP30,2)))</f>
      </c>
      <c r="BQ34">
        <f>IF(BQ30=0,0,SUMPRODUCT('Inputs'!$Q$59:$Q$70,ROUNDDOWN((('Inputs'!$D$59:$D$70-('Inputs'!$P$59:$P$70=BQ5)*BQ14)-'Inputs'!$R$59:$R$70*ROUND(BQ21*('Inputs'!$D$59:$D$70-('Inputs'!$P$59:$P$70=BQ5)*BQ14),2))/BQ30,2)))</f>
      </c>
      <c r="BR34">
        <f>IF(BR30=0,0,SUMPRODUCT('Inputs'!$Q$59:$Q$70,ROUNDDOWN((('Inputs'!$D$59:$D$70-('Inputs'!$P$59:$P$70=BR5)*BR14)-'Inputs'!$R$59:$R$70*ROUND(BR21*('Inputs'!$D$59:$D$70-('Inputs'!$P$59:$P$70=BR5)*BR14),2))/BR30,2)))</f>
      </c>
      <c r="BS34">
        <f>IF(BS30=0,0,SUMPRODUCT('Inputs'!$Q$59:$Q$70,ROUNDDOWN((('Inputs'!$D$59:$D$70-('Inputs'!$P$59:$P$70=BS5)*BS14)-'Inputs'!$R$59:$R$70*ROUND(BS21*('Inputs'!$D$59:$D$70-('Inputs'!$P$59:$P$70=BS5)*BS14),2))/BS30,2)))</f>
      </c>
    </row>
    <row r="35" spans="2:71" x14ac:dyDescent="0.25">
      <c r="B35" t="s">
        <v>354</v>
      </c>
      <c r="C35">
        <f>IF(C30=0,0,SUMPRODUCT('Inputs'!$Q$59:$Q$70,(('Inputs'!$D$59:$D$70-('Inputs'!$P$59:$P$70=C5)*C14)-'Inputs'!$R$59:$R$70*ROUND(C21*('Inputs'!$D$59:$D$70-('Inputs'!$P$59:$P$70=C5)*C14),2))-ROUNDDOWN((('Inputs'!$D$59:$D$70-('Inputs'!$P$59:$P$70=C5)*C14)-'Inputs'!$R$59:$R$70*ROUND(C21*('Inputs'!$D$59:$D$70-('Inputs'!$P$59:$P$70=C5)*C14),2))/C30,2)*(C30-1)))</f>
      </c>
      <c r="E35">
        <f>IF(E30=0,0,SUMPRODUCT('Inputs'!$Q$59:$Q$70,(('Inputs'!$D$59:$D$70-('Inputs'!$P$59:$P$70=E5)*E14)-'Inputs'!$R$59:$R$70*ROUND(E21*('Inputs'!$D$59:$D$70-('Inputs'!$P$59:$P$70=E5)*E14),2))-ROUNDDOWN((('Inputs'!$D$59:$D$70-('Inputs'!$P$59:$P$70=E5)*E14)-'Inputs'!$R$59:$R$70*ROUND(E21*('Inputs'!$D$59:$D$70-('Inputs'!$P$59:$P$70=E5)*E14),2))/E30,2)*(E30-1)))</f>
      </c>
      <c r="F35">
        <f>IF(F30=0,0,SUMPRODUCT('Inputs'!$Q$59:$Q$70,(('Inputs'!$D$59:$D$70-('Inputs'!$P$59:$P$70=F5)*F14)-'Inputs'!$R$59:$R$70*ROUND(F21*('Inputs'!$D$59:$D$70-('Inputs'!$P$59:$P$70=F5)*F14),2))-ROUNDDOWN((('Inputs'!$D$59:$D$70-('Inputs'!$P$59:$P$70=F5)*F14)-'Inputs'!$R$59:$R$70*ROUND(F21*('Inputs'!$D$59:$D$70-('Inputs'!$P$59:$P$70=F5)*F14),2))/F30,2)*(F30-1)))</f>
      </c>
      <c r="G35">
        <f>IF(G30=0,0,SUMPRODUCT('Inputs'!$Q$59:$Q$70,(('Inputs'!$D$59:$D$70-('Inputs'!$P$59:$P$70=G5)*G14)-'Inputs'!$R$59:$R$70*ROUND(G21*('Inputs'!$D$59:$D$70-('Inputs'!$P$59:$P$70=G5)*G14),2))-ROUNDDOWN((('Inputs'!$D$59:$D$70-('Inputs'!$P$59:$P$70=G5)*G14)-'Inputs'!$R$59:$R$70*ROUND(G21*('Inputs'!$D$59:$D$70-('Inputs'!$P$59:$P$70=G5)*G14),2))/G30,2)*(G30-1)))</f>
      </c>
      <c r="H35">
        <f>IF(H30=0,0,SUMPRODUCT('Inputs'!$Q$59:$Q$70,(('Inputs'!$D$59:$D$70-('Inputs'!$P$59:$P$70=H5)*H14)-'Inputs'!$R$59:$R$70*ROUND(H21*('Inputs'!$D$59:$D$70-('Inputs'!$P$59:$P$70=H5)*H14),2))-ROUNDDOWN((('Inputs'!$D$59:$D$70-('Inputs'!$P$59:$P$70=H5)*H14)-'Inputs'!$R$59:$R$70*ROUND(H21*('Inputs'!$D$59:$D$70-('Inputs'!$P$59:$P$70=H5)*H14),2))/H30,2)*(H30-1)))</f>
      </c>
      <c r="I35">
        <f>IF(I30=0,0,SUMPRODUCT('Inputs'!$Q$59:$Q$70,(('Inputs'!$D$59:$D$70-('Inputs'!$P$59:$P$70=I5)*I14)-'Inputs'!$R$59:$R$70*ROUND(I21*('Inputs'!$D$59:$D$70-('Inputs'!$P$59:$P$70=I5)*I14),2))-ROUNDDOWN((('Inputs'!$D$59:$D$70-('Inputs'!$P$59:$P$70=I5)*I14)-'Inputs'!$R$59:$R$70*ROUND(I21*('Inputs'!$D$59:$D$70-('Inputs'!$P$59:$P$70=I5)*I14),2))/I30,2)*(I30-1)))</f>
      </c>
      <c r="J35">
        <f>IF(J30=0,0,SUMPRODUCT('Inputs'!$Q$59:$Q$70,(('Inputs'!$D$59:$D$70-('Inputs'!$P$59:$P$70=J5)*J14)-'Inputs'!$R$59:$R$70*ROUND(J21*('Inputs'!$D$59:$D$70-('Inputs'!$P$59:$P$70=J5)*J14),2))-ROUNDDOWN((('Inputs'!$D$59:$D$70-('Inputs'!$P$59:$P$70=J5)*J14)-'Inputs'!$R$59:$R$70*ROUND(J21*('Inputs'!$D$59:$D$70-('Inputs'!$P$59:$P$70=J5)*J14),2))/J30,2)*(J30-1)))</f>
      </c>
      <c r="K35">
        <f>IF(K30=0,0,SUMPRODUCT('Inputs'!$Q$59:$Q$70,(('Inputs'!$D$59:$D$70-('Inputs'!$P$59:$P$70=K5)*K14)-'Inputs'!$R$59:$R$70*ROUND(K21*('Inputs'!$D$59:$D$70-('Inputs'!$P$59:$P$70=K5)*K14),2))-ROUNDDOWN((('Inputs'!$D$59:$D$70-('Inputs'!$P$59:$P$70=K5)*K14)-'Inputs'!$R$59:$R$70*ROUND(K21*('Inputs'!$D$59:$D$70-('Inputs'!$P$59:$P$70=K5)*K14),2))/K30,2)*(K30-1)))</f>
      </c>
      <c r="L35">
        <f>IF(L30=0,0,SUMPRODUCT('Inputs'!$Q$59:$Q$70,(('Inputs'!$D$59:$D$70-('Inputs'!$P$59:$P$70=L5)*L14)-'Inputs'!$R$59:$R$70*ROUND(L21*('Inputs'!$D$59:$D$70-('Inputs'!$P$59:$P$70=L5)*L14),2))-ROUNDDOWN((('Inputs'!$D$59:$D$70-('Inputs'!$P$59:$P$70=L5)*L14)-'Inputs'!$R$59:$R$70*ROUND(L21*('Inputs'!$D$59:$D$70-('Inputs'!$P$59:$P$70=L5)*L14),2))/L30,2)*(L30-1)))</f>
      </c>
      <c r="M35">
        <f>IF(M30=0,0,SUMPRODUCT('Inputs'!$Q$59:$Q$70,(('Inputs'!$D$59:$D$70-('Inputs'!$P$59:$P$70=M5)*M14)-'Inputs'!$R$59:$R$70*ROUND(M21*('Inputs'!$D$59:$D$70-('Inputs'!$P$59:$P$70=M5)*M14),2))-ROUNDDOWN((('Inputs'!$D$59:$D$70-('Inputs'!$P$59:$P$70=M5)*M14)-'Inputs'!$R$59:$R$70*ROUND(M21*('Inputs'!$D$59:$D$70-('Inputs'!$P$59:$P$70=M5)*M14),2))/M30,2)*(M30-1)))</f>
      </c>
      <c r="N35">
        <f>IF(N30=0,0,SUMPRODUCT('Inputs'!$Q$59:$Q$70,(('Inputs'!$D$59:$D$70-('Inputs'!$P$59:$P$70=N5)*N14)-'Inputs'!$R$59:$R$70*ROUND(N21*('Inputs'!$D$59:$D$70-('Inputs'!$P$59:$P$70=N5)*N14),2))-ROUNDDOWN((('Inputs'!$D$59:$D$70-('Inputs'!$P$59:$P$70=N5)*N14)-'Inputs'!$R$59:$R$70*ROUND(N21*('Inputs'!$D$59:$D$70-('Inputs'!$P$59:$P$70=N5)*N14),2))/N30,2)*(N30-1)))</f>
      </c>
      <c r="O35">
        <f>IF(O30=0,0,SUMPRODUCT('Inputs'!$Q$59:$Q$70,(('Inputs'!$D$59:$D$70-('Inputs'!$P$59:$P$70=O5)*O14)-'Inputs'!$R$59:$R$70*ROUND(O21*('Inputs'!$D$59:$D$70-('Inputs'!$P$59:$P$70=O5)*O14),2))-ROUNDDOWN((('Inputs'!$D$59:$D$70-('Inputs'!$P$59:$P$70=O5)*O14)-'Inputs'!$R$59:$R$70*ROUND(O21*('Inputs'!$D$59:$D$70-('Inputs'!$P$59:$P$70=O5)*O14),2))/O30,2)*(O30-1)))</f>
      </c>
      <c r="P35">
        <f>IF(P30=0,0,SUMPRODUCT('Inputs'!$Q$59:$Q$70,(('Inputs'!$D$59:$D$70-('Inputs'!$P$59:$P$70=P5)*P14)-'Inputs'!$R$59:$R$70*ROUND(P21*('Inputs'!$D$59:$D$70-('Inputs'!$P$59:$P$70=P5)*P14),2))-ROUNDDOWN((('Inputs'!$D$59:$D$70-('Inputs'!$P$59:$P$70=P5)*P14)-'Inputs'!$R$59:$R$70*ROUND(P21*('Inputs'!$D$59:$D$70-('Inputs'!$P$59:$P$70=P5)*P14),2))/P30,2)*(P30-1)))</f>
      </c>
      <c r="Q35">
        <f>IF(Q30=0,0,SUMPRODUCT('Inputs'!$Q$59:$Q$70,(('Inputs'!$D$59:$D$70-('Inputs'!$P$59:$P$70=Q5)*Q14)-'Inputs'!$R$59:$R$70*ROUND(Q21*('Inputs'!$D$59:$D$70-('Inputs'!$P$59:$P$70=Q5)*Q14),2))-ROUNDDOWN((('Inputs'!$D$59:$D$70-('Inputs'!$P$59:$P$70=Q5)*Q14)-'Inputs'!$R$59:$R$70*ROUND(Q21*('Inputs'!$D$59:$D$70-('Inputs'!$P$59:$P$70=Q5)*Q14),2))/Q30,2)*(Q30-1)))</f>
      </c>
      <c r="R35">
        <f>IF(R30=0,0,SUMPRODUCT('Inputs'!$Q$59:$Q$70,(('Inputs'!$D$59:$D$70-('Inputs'!$P$59:$P$70=R5)*R14)-'Inputs'!$R$59:$R$70*ROUND(R21*('Inputs'!$D$59:$D$70-('Inputs'!$P$59:$P$70=R5)*R14),2))-ROUNDDOWN((('Inputs'!$D$59:$D$70-('Inputs'!$P$59:$P$70=R5)*R14)-'Inputs'!$R$59:$R$70*ROUND(R21*('Inputs'!$D$59:$D$70-('Inputs'!$P$59:$P$70=R5)*R14),2))/R30,2)*(R30-1)))</f>
      </c>
      <c r="S35">
        <f>IF(S30=0,0,SUMPRODUCT('Inputs'!$Q$59:$Q$70,(('Inputs'!$D$59:$D$70-('Inputs'!$P$59:$P$70=S5)*S14)-'Inputs'!$R$59:$R$70*ROUND(S21*('Inputs'!$D$59:$D$70-('Inputs'!$P$59:$P$70=S5)*S14),2))-ROUNDDOWN((('Inputs'!$D$59:$D$70-('Inputs'!$P$59:$P$70=S5)*S14)-'Inputs'!$R$59:$R$70*ROUND(S21*('Inputs'!$D$59:$D$70-('Inputs'!$P$59:$P$70=S5)*S14),2))/S30,2)*(S30-1)))</f>
      </c>
      <c r="T35">
        <f>IF(T30=0,0,SUMPRODUCT('Inputs'!$Q$59:$Q$70,(('Inputs'!$D$59:$D$70-('Inputs'!$P$59:$P$70=T5)*T14)-'Inputs'!$R$59:$R$70*ROUND(T21*('Inputs'!$D$59:$D$70-('Inputs'!$P$59:$P$70=T5)*T14),2))-ROUNDDOWN((('Inputs'!$D$59:$D$70-('Inputs'!$P$59:$P$70=T5)*T14)-'Inputs'!$R$59:$R$70*ROUND(T21*('Inputs'!$D$59:$D$70-('Inputs'!$P$59:$P$70=T5)*T14),2))/T30,2)*(T30-1)))</f>
      </c>
      <c r="V35">
        <f>IF(V30=0,0,SUMPRODUCT('Inputs'!$Q$59:$Q$70,(('Inputs'!$D$59:$D$70-('Inputs'!$P$59:$P$70=V5)*V14)-'Inputs'!$R$59:$R$70*ROUND(V21*('Inputs'!$D$59:$D$70-('Inputs'!$P$59:$P$70=V5)*V14),2))-ROUNDDOWN((('Inputs'!$D$59:$D$70-('Inputs'!$P$59:$P$70=V5)*V14)-'Inputs'!$R$59:$R$70*ROUND(V21*('Inputs'!$D$59:$D$70-('Inputs'!$P$59:$P$70=V5)*V14),2))/V30,2)*(V30-1)))</f>
      </c>
      <c r="W35">
        <f>IF(W30=0,0,SUMPRODUCT('Inputs'!$Q$59:$Q$70,(('Inputs'!$D$59:$D$70-('Inputs'!$P$59:$P$70=W5)*W14)-'Inputs'!$R$59:$R$70*ROUND(W21*('Inputs'!$D$59:$D$70-('Inputs'!$P$59:$P$70=W5)*W14),2))-ROUNDDOWN((('Inputs'!$D$59:$D$70-('Inputs'!$P$59:$P$70=W5)*W14)-'Inputs'!$R$59:$R$70*ROUND(W21*('Inputs'!$D$59:$D$70-('Inputs'!$P$59:$P$70=W5)*W14),2))/W30,2)*(W30-1)))</f>
      </c>
      <c r="X35">
        <f>IF(X30=0,0,SUMPRODUCT('Inputs'!$Q$59:$Q$70,(('Inputs'!$D$59:$D$70-('Inputs'!$P$59:$P$70=X5)*X14)-'Inputs'!$R$59:$R$70*ROUND(X21*('Inputs'!$D$59:$D$70-('Inputs'!$P$59:$P$70=X5)*X14),2))-ROUNDDOWN((('Inputs'!$D$59:$D$70-('Inputs'!$P$59:$P$70=X5)*X14)-'Inputs'!$R$59:$R$70*ROUND(X21*('Inputs'!$D$59:$D$70-('Inputs'!$P$59:$P$70=X5)*X14),2))/X30,2)*(X30-1)))</f>
      </c>
      <c r="Y35">
        <f>IF(Y30=0,0,SUMPRODUCT('Inputs'!$Q$59:$Q$70,(('Inputs'!$D$59:$D$70-('Inputs'!$P$59:$P$70=Y5)*Y14)-'Inputs'!$R$59:$R$70*ROUND(Y21*('Inputs'!$D$59:$D$70-('Inputs'!$P$59:$P$70=Y5)*Y14),2))-ROUNDDOWN((('Inputs'!$D$59:$D$70-('Inputs'!$P$59:$P$70=Y5)*Y14)-'Inputs'!$R$59:$R$70*ROUND(Y21*('Inputs'!$D$59:$D$70-('Inputs'!$P$59:$P$70=Y5)*Y14),2))/Y30,2)*(Y30-1)))</f>
      </c>
      <c r="Z35">
        <f>IF(Z30=0,0,SUMPRODUCT('Inputs'!$Q$59:$Q$70,(('Inputs'!$D$59:$D$70-('Inputs'!$P$59:$P$70=Z5)*Z14)-'Inputs'!$R$59:$R$70*ROUND(Z21*('Inputs'!$D$59:$D$70-('Inputs'!$P$59:$P$70=Z5)*Z14),2))-ROUNDDOWN((('Inputs'!$D$59:$D$70-('Inputs'!$P$59:$P$70=Z5)*Z14)-'Inputs'!$R$59:$R$70*ROUND(Z21*('Inputs'!$D$59:$D$70-('Inputs'!$P$59:$P$70=Z5)*Z14),2))/Z30,2)*(Z30-1)))</f>
      </c>
      <c r="AA35">
        <f>IF(AA30=0,0,SUMPRODUCT('Inputs'!$Q$59:$Q$70,(('Inputs'!$D$59:$D$70-('Inputs'!$P$59:$P$70=AA5)*AA14)-'Inputs'!$R$59:$R$70*ROUND(AA21*('Inputs'!$D$59:$D$70-('Inputs'!$P$59:$P$70=AA5)*AA14),2))-ROUNDDOWN((('Inputs'!$D$59:$D$70-('Inputs'!$P$59:$P$70=AA5)*AA14)-'Inputs'!$R$59:$R$70*ROUND(AA21*('Inputs'!$D$59:$D$70-('Inputs'!$P$59:$P$70=AA5)*AA14),2))/AA30,2)*(AA30-1)))</f>
      </c>
      <c r="AB35">
        <f>IF(AB30=0,0,SUMPRODUCT('Inputs'!$Q$59:$Q$70,(('Inputs'!$D$59:$D$70-('Inputs'!$P$59:$P$70=AB5)*AB14)-'Inputs'!$R$59:$R$70*ROUND(AB21*('Inputs'!$D$59:$D$70-('Inputs'!$P$59:$P$70=AB5)*AB14),2))-ROUNDDOWN((('Inputs'!$D$59:$D$70-('Inputs'!$P$59:$P$70=AB5)*AB14)-'Inputs'!$R$59:$R$70*ROUND(AB21*('Inputs'!$D$59:$D$70-('Inputs'!$P$59:$P$70=AB5)*AB14),2))/AB30,2)*(AB30-1)))</f>
      </c>
      <c r="AC35">
        <f>IF(AC30=0,0,SUMPRODUCT('Inputs'!$Q$59:$Q$70,(('Inputs'!$D$59:$D$70-('Inputs'!$P$59:$P$70=AC5)*AC14)-'Inputs'!$R$59:$R$70*ROUND(AC21*('Inputs'!$D$59:$D$70-('Inputs'!$P$59:$P$70=AC5)*AC14),2))-ROUNDDOWN((('Inputs'!$D$59:$D$70-('Inputs'!$P$59:$P$70=AC5)*AC14)-'Inputs'!$R$59:$R$70*ROUND(AC21*('Inputs'!$D$59:$D$70-('Inputs'!$P$59:$P$70=AC5)*AC14),2))/AC30,2)*(AC30-1)))</f>
      </c>
      <c r="AD35">
        <f>IF(AD30=0,0,SUMPRODUCT('Inputs'!$Q$59:$Q$70,(('Inputs'!$D$59:$D$70-('Inputs'!$P$59:$P$70=AD5)*AD14)-'Inputs'!$R$59:$R$70*ROUND(AD21*('Inputs'!$D$59:$D$70-('Inputs'!$P$59:$P$70=AD5)*AD14),2))-ROUNDDOWN((('Inputs'!$D$59:$D$70-('Inputs'!$P$59:$P$70=AD5)*AD14)-'Inputs'!$R$59:$R$70*ROUND(AD21*('Inputs'!$D$59:$D$70-('Inputs'!$P$59:$P$70=AD5)*AD14),2))/AD30,2)*(AD30-1)))</f>
      </c>
      <c r="AE35">
        <f>IF(AE30=0,0,SUMPRODUCT('Inputs'!$Q$59:$Q$70,(('Inputs'!$D$59:$D$70-('Inputs'!$P$59:$P$70=AE5)*AE14)-'Inputs'!$R$59:$R$70*ROUND(AE21*('Inputs'!$D$59:$D$70-('Inputs'!$P$59:$P$70=AE5)*AE14),2))-ROUNDDOWN((('Inputs'!$D$59:$D$70-('Inputs'!$P$59:$P$70=AE5)*AE14)-'Inputs'!$R$59:$R$70*ROUND(AE21*('Inputs'!$D$59:$D$70-('Inputs'!$P$59:$P$70=AE5)*AE14),2))/AE30,2)*(AE30-1)))</f>
      </c>
      <c r="AF35">
        <f>IF(AF30=0,0,SUMPRODUCT('Inputs'!$Q$59:$Q$70,(('Inputs'!$D$59:$D$70-('Inputs'!$P$59:$P$70=AF5)*AF14)-'Inputs'!$R$59:$R$70*ROUND(AF21*('Inputs'!$D$59:$D$70-('Inputs'!$P$59:$P$70=AF5)*AF14),2))-ROUNDDOWN((('Inputs'!$D$59:$D$70-('Inputs'!$P$59:$P$70=AF5)*AF14)-'Inputs'!$R$59:$R$70*ROUND(AF21*('Inputs'!$D$59:$D$70-('Inputs'!$P$59:$P$70=AF5)*AF14),2))/AF30,2)*(AF30-1)))</f>
      </c>
      <c r="AG35">
        <f>IF(AG30=0,0,SUMPRODUCT('Inputs'!$Q$59:$Q$70,(('Inputs'!$D$59:$D$70-('Inputs'!$P$59:$P$70=AG5)*AG14)-'Inputs'!$R$59:$R$70*ROUND(AG21*('Inputs'!$D$59:$D$70-('Inputs'!$P$59:$P$70=AG5)*AG14),2))-ROUNDDOWN((('Inputs'!$D$59:$D$70-('Inputs'!$P$59:$P$70=AG5)*AG14)-'Inputs'!$R$59:$R$70*ROUND(AG21*('Inputs'!$D$59:$D$70-('Inputs'!$P$59:$P$70=AG5)*AG14),2))/AG30,2)*(AG30-1)))</f>
      </c>
      <c r="AH35">
        <f>IF(AH30=0,0,SUMPRODUCT('Inputs'!$Q$59:$Q$70,(('Inputs'!$D$59:$D$70-('Inputs'!$P$59:$P$70=AH5)*AH14)-'Inputs'!$R$59:$R$70*ROUND(AH21*('Inputs'!$D$59:$D$70-('Inputs'!$P$59:$P$70=AH5)*AH14),2))-ROUNDDOWN((('Inputs'!$D$59:$D$70-('Inputs'!$P$59:$P$70=AH5)*AH14)-'Inputs'!$R$59:$R$70*ROUND(AH21*('Inputs'!$D$59:$D$70-('Inputs'!$P$59:$P$70=AH5)*AH14),2))/AH30,2)*(AH30-1)))</f>
      </c>
      <c r="AI35">
        <f>IF(AI30=0,0,SUMPRODUCT('Inputs'!$Q$59:$Q$70,(('Inputs'!$D$59:$D$70-('Inputs'!$P$59:$P$70=AI5)*AI14)-'Inputs'!$R$59:$R$70*ROUND(AI21*('Inputs'!$D$59:$D$70-('Inputs'!$P$59:$P$70=AI5)*AI14),2))-ROUNDDOWN((('Inputs'!$D$59:$D$70-('Inputs'!$P$59:$P$70=AI5)*AI14)-'Inputs'!$R$59:$R$70*ROUND(AI21*('Inputs'!$D$59:$D$70-('Inputs'!$P$59:$P$70=AI5)*AI14),2))/AI30,2)*(AI30-1)))</f>
      </c>
      <c r="AJ35">
        <f>IF(AJ30=0,0,SUMPRODUCT('Inputs'!$Q$59:$Q$70,(('Inputs'!$D$59:$D$70-('Inputs'!$P$59:$P$70=AJ5)*AJ14)-'Inputs'!$R$59:$R$70*ROUND(AJ21*('Inputs'!$D$59:$D$70-('Inputs'!$P$59:$P$70=AJ5)*AJ14),2))-ROUNDDOWN((('Inputs'!$D$59:$D$70-('Inputs'!$P$59:$P$70=AJ5)*AJ14)-'Inputs'!$R$59:$R$70*ROUND(AJ21*('Inputs'!$D$59:$D$70-('Inputs'!$P$59:$P$70=AJ5)*AJ14),2))/AJ30,2)*(AJ30-1)))</f>
      </c>
      <c r="AK35">
        <f>IF(AK30=0,0,SUMPRODUCT('Inputs'!$Q$59:$Q$70,(('Inputs'!$D$59:$D$70-('Inputs'!$P$59:$P$70=AK5)*AK14)-'Inputs'!$R$59:$R$70*ROUND(AK21*('Inputs'!$D$59:$D$70-('Inputs'!$P$59:$P$70=AK5)*AK14),2))-ROUNDDOWN((('Inputs'!$D$59:$D$70-('Inputs'!$P$59:$P$70=AK5)*AK14)-'Inputs'!$R$59:$R$70*ROUND(AK21*('Inputs'!$D$59:$D$70-('Inputs'!$P$59:$P$70=AK5)*AK14),2))/AK30,2)*(AK30-1)))</f>
      </c>
      <c r="AM35">
        <f>IF(AM30=0,0,SUMPRODUCT('Inputs'!$Q$59:$Q$70,(('Inputs'!$D$59:$D$70-('Inputs'!$P$59:$P$70=AM5)*AM14)-'Inputs'!$R$59:$R$70*ROUND(AM21*('Inputs'!$D$59:$D$70-('Inputs'!$P$59:$P$70=AM5)*AM14),2))-ROUNDDOWN((('Inputs'!$D$59:$D$70-('Inputs'!$P$59:$P$70=AM5)*AM14)-'Inputs'!$R$59:$R$70*ROUND(AM21*('Inputs'!$D$59:$D$70-('Inputs'!$P$59:$P$70=AM5)*AM14),2))/AM30,2)*(AM30-1)))</f>
      </c>
      <c r="AN35">
        <f>IF(AN30=0,0,SUMPRODUCT('Inputs'!$Q$59:$Q$70,(('Inputs'!$D$59:$D$70-('Inputs'!$P$59:$P$70=AN5)*AN14)-'Inputs'!$R$59:$R$70*ROUND(AN21*('Inputs'!$D$59:$D$70-('Inputs'!$P$59:$P$70=AN5)*AN14),2))-ROUNDDOWN((('Inputs'!$D$59:$D$70-('Inputs'!$P$59:$P$70=AN5)*AN14)-'Inputs'!$R$59:$R$70*ROUND(AN21*('Inputs'!$D$59:$D$70-('Inputs'!$P$59:$P$70=AN5)*AN14),2))/AN30,2)*(AN30-1)))</f>
      </c>
      <c r="AO35">
        <f>IF(AO30=0,0,SUMPRODUCT('Inputs'!$Q$59:$Q$70,(('Inputs'!$D$59:$D$70-('Inputs'!$P$59:$P$70=AO5)*AO14)-'Inputs'!$R$59:$R$70*ROUND(AO21*('Inputs'!$D$59:$D$70-('Inputs'!$P$59:$P$70=AO5)*AO14),2))-ROUNDDOWN((('Inputs'!$D$59:$D$70-('Inputs'!$P$59:$P$70=AO5)*AO14)-'Inputs'!$R$59:$R$70*ROUND(AO21*('Inputs'!$D$59:$D$70-('Inputs'!$P$59:$P$70=AO5)*AO14),2))/AO30,2)*(AO30-1)))</f>
      </c>
      <c r="AP35">
        <f>IF(AP30=0,0,SUMPRODUCT('Inputs'!$Q$59:$Q$70,(('Inputs'!$D$59:$D$70-('Inputs'!$P$59:$P$70=AP5)*AP14)-'Inputs'!$R$59:$R$70*ROUND(AP21*('Inputs'!$D$59:$D$70-('Inputs'!$P$59:$P$70=AP5)*AP14),2))-ROUNDDOWN((('Inputs'!$D$59:$D$70-('Inputs'!$P$59:$P$70=AP5)*AP14)-'Inputs'!$R$59:$R$70*ROUND(AP21*('Inputs'!$D$59:$D$70-('Inputs'!$P$59:$P$70=AP5)*AP14),2))/AP30,2)*(AP30-1)))</f>
      </c>
      <c r="AQ35">
        <f>IF(AQ30=0,0,SUMPRODUCT('Inputs'!$Q$59:$Q$70,(('Inputs'!$D$59:$D$70-('Inputs'!$P$59:$P$70=AQ5)*AQ14)-'Inputs'!$R$59:$R$70*ROUND(AQ21*('Inputs'!$D$59:$D$70-('Inputs'!$P$59:$P$70=AQ5)*AQ14),2))-ROUNDDOWN((('Inputs'!$D$59:$D$70-('Inputs'!$P$59:$P$70=AQ5)*AQ14)-'Inputs'!$R$59:$R$70*ROUND(AQ21*('Inputs'!$D$59:$D$70-('Inputs'!$P$59:$P$70=AQ5)*AQ14),2))/AQ30,2)*(AQ30-1)))</f>
      </c>
      <c r="AR35">
        <f>IF(AR30=0,0,SUMPRODUCT('Inputs'!$Q$59:$Q$70,(('Inputs'!$D$59:$D$70-('Inputs'!$P$59:$P$70=AR5)*AR14)-'Inputs'!$R$59:$R$70*ROUND(AR21*('Inputs'!$D$59:$D$70-('Inputs'!$P$59:$P$70=AR5)*AR14),2))-ROUNDDOWN((('Inputs'!$D$59:$D$70-('Inputs'!$P$59:$P$70=AR5)*AR14)-'Inputs'!$R$59:$R$70*ROUND(AR21*('Inputs'!$D$59:$D$70-('Inputs'!$P$59:$P$70=AR5)*AR14),2))/AR30,2)*(AR30-1)))</f>
      </c>
      <c r="AS35">
        <f>IF(AS30=0,0,SUMPRODUCT('Inputs'!$Q$59:$Q$70,(('Inputs'!$D$59:$D$70-('Inputs'!$P$59:$P$70=AS5)*AS14)-'Inputs'!$R$59:$R$70*ROUND(AS21*('Inputs'!$D$59:$D$70-('Inputs'!$P$59:$P$70=AS5)*AS14),2))-ROUNDDOWN((('Inputs'!$D$59:$D$70-('Inputs'!$P$59:$P$70=AS5)*AS14)-'Inputs'!$R$59:$R$70*ROUND(AS21*('Inputs'!$D$59:$D$70-('Inputs'!$P$59:$P$70=AS5)*AS14),2))/AS30,2)*(AS30-1)))</f>
      </c>
      <c r="AT35">
        <f>IF(AT30=0,0,SUMPRODUCT('Inputs'!$Q$59:$Q$70,(('Inputs'!$D$59:$D$70-('Inputs'!$P$59:$P$70=AT5)*AT14)-'Inputs'!$R$59:$R$70*ROUND(AT21*('Inputs'!$D$59:$D$70-('Inputs'!$P$59:$P$70=AT5)*AT14),2))-ROUNDDOWN((('Inputs'!$D$59:$D$70-('Inputs'!$P$59:$P$70=AT5)*AT14)-'Inputs'!$R$59:$R$70*ROUND(AT21*('Inputs'!$D$59:$D$70-('Inputs'!$P$59:$P$70=AT5)*AT14),2))/AT30,2)*(AT30-1)))</f>
      </c>
      <c r="AU35">
        <f>IF(AU30=0,0,SUMPRODUCT('Inputs'!$Q$59:$Q$70,(('Inputs'!$D$59:$D$70-('Inputs'!$P$59:$P$70=AU5)*AU14)-'Inputs'!$R$59:$R$70*ROUND(AU21*('Inputs'!$D$59:$D$70-('Inputs'!$P$59:$P$70=AU5)*AU14),2))-ROUNDDOWN((('Inputs'!$D$59:$D$70-('Inputs'!$P$59:$P$70=AU5)*AU14)-'Inputs'!$R$59:$R$70*ROUND(AU21*('Inputs'!$D$59:$D$70-('Inputs'!$P$59:$P$70=AU5)*AU14),2))/AU30,2)*(AU30-1)))</f>
      </c>
      <c r="AV35">
        <f>IF(AV30=0,0,SUMPRODUCT('Inputs'!$Q$59:$Q$70,(('Inputs'!$D$59:$D$70-('Inputs'!$P$59:$P$70=AV5)*AV14)-'Inputs'!$R$59:$R$70*ROUND(AV21*('Inputs'!$D$59:$D$70-('Inputs'!$P$59:$P$70=AV5)*AV14),2))-ROUNDDOWN((('Inputs'!$D$59:$D$70-('Inputs'!$P$59:$P$70=AV5)*AV14)-'Inputs'!$R$59:$R$70*ROUND(AV21*('Inputs'!$D$59:$D$70-('Inputs'!$P$59:$P$70=AV5)*AV14),2))/AV30,2)*(AV30-1)))</f>
      </c>
      <c r="AW35">
        <f>IF(AW30=0,0,SUMPRODUCT('Inputs'!$Q$59:$Q$70,(('Inputs'!$D$59:$D$70-('Inputs'!$P$59:$P$70=AW5)*AW14)-'Inputs'!$R$59:$R$70*ROUND(AW21*('Inputs'!$D$59:$D$70-('Inputs'!$P$59:$P$70=AW5)*AW14),2))-ROUNDDOWN((('Inputs'!$D$59:$D$70-('Inputs'!$P$59:$P$70=AW5)*AW14)-'Inputs'!$R$59:$R$70*ROUND(AW21*('Inputs'!$D$59:$D$70-('Inputs'!$P$59:$P$70=AW5)*AW14),2))/AW30,2)*(AW30-1)))</f>
      </c>
      <c r="AX35">
        <f>IF(AX30=0,0,SUMPRODUCT('Inputs'!$Q$59:$Q$70,(('Inputs'!$D$59:$D$70-('Inputs'!$P$59:$P$70=AX5)*AX14)-'Inputs'!$R$59:$R$70*ROUND(AX21*('Inputs'!$D$59:$D$70-('Inputs'!$P$59:$P$70=AX5)*AX14),2))-ROUNDDOWN((('Inputs'!$D$59:$D$70-('Inputs'!$P$59:$P$70=AX5)*AX14)-'Inputs'!$R$59:$R$70*ROUND(AX21*('Inputs'!$D$59:$D$70-('Inputs'!$P$59:$P$70=AX5)*AX14),2))/AX30,2)*(AX30-1)))</f>
      </c>
      <c r="AY35">
        <f>IF(AY30=0,0,SUMPRODUCT('Inputs'!$Q$59:$Q$70,(('Inputs'!$D$59:$D$70-('Inputs'!$P$59:$P$70=AY5)*AY14)-'Inputs'!$R$59:$R$70*ROUND(AY21*('Inputs'!$D$59:$D$70-('Inputs'!$P$59:$P$70=AY5)*AY14),2))-ROUNDDOWN((('Inputs'!$D$59:$D$70-('Inputs'!$P$59:$P$70=AY5)*AY14)-'Inputs'!$R$59:$R$70*ROUND(AY21*('Inputs'!$D$59:$D$70-('Inputs'!$P$59:$P$70=AY5)*AY14),2))/AY30,2)*(AY30-1)))</f>
      </c>
      <c r="AZ35">
        <f>IF(AZ30=0,0,SUMPRODUCT('Inputs'!$Q$59:$Q$70,(('Inputs'!$D$59:$D$70-('Inputs'!$P$59:$P$70=AZ5)*AZ14)-'Inputs'!$R$59:$R$70*ROUND(AZ21*('Inputs'!$D$59:$D$70-('Inputs'!$P$59:$P$70=AZ5)*AZ14),2))-ROUNDDOWN((('Inputs'!$D$59:$D$70-('Inputs'!$P$59:$P$70=AZ5)*AZ14)-'Inputs'!$R$59:$R$70*ROUND(AZ21*('Inputs'!$D$59:$D$70-('Inputs'!$P$59:$P$70=AZ5)*AZ14),2))/AZ30,2)*(AZ30-1)))</f>
      </c>
      <c r="BA35">
        <f>IF(BA30=0,0,SUMPRODUCT('Inputs'!$Q$59:$Q$70,(('Inputs'!$D$59:$D$70-('Inputs'!$P$59:$P$70=BA5)*BA14)-'Inputs'!$R$59:$R$70*ROUND(BA21*('Inputs'!$D$59:$D$70-('Inputs'!$P$59:$P$70=BA5)*BA14),2))-ROUNDDOWN((('Inputs'!$D$59:$D$70-('Inputs'!$P$59:$P$70=BA5)*BA14)-'Inputs'!$R$59:$R$70*ROUND(BA21*('Inputs'!$D$59:$D$70-('Inputs'!$P$59:$P$70=BA5)*BA14),2))/BA30,2)*(BA30-1)))</f>
      </c>
      <c r="BB35">
        <f>IF(BB30=0,0,SUMPRODUCT('Inputs'!$Q$59:$Q$70,(('Inputs'!$D$59:$D$70-('Inputs'!$P$59:$P$70=BB5)*BB14)-'Inputs'!$R$59:$R$70*ROUND(BB21*('Inputs'!$D$59:$D$70-('Inputs'!$P$59:$P$70=BB5)*BB14),2))-ROUNDDOWN((('Inputs'!$D$59:$D$70-('Inputs'!$P$59:$P$70=BB5)*BB14)-'Inputs'!$R$59:$R$70*ROUND(BB21*('Inputs'!$D$59:$D$70-('Inputs'!$P$59:$P$70=BB5)*BB14),2))/BB30,2)*(BB30-1)))</f>
      </c>
      <c r="BD35">
        <f>IF(BD30=0,0,SUMPRODUCT('Inputs'!$Q$59:$Q$70,(('Inputs'!$D$59:$D$70-('Inputs'!$P$59:$P$70=BD5)*BD14)-'Inputs'!$R$59:$R$70*ROUND(BD21*('Inputs'!$D$59:$D$70-('Inputs'!$P$59:$P$70=BD5)*BD14),2))-ROUNDDOWN((('Inputs'!$D$59:$D$70-('Inputs'!$P$59:$P$70=BD5)*BD14)-'Inputs'!$R$59:$R$70*ROUND(BD21*('Inputs'!$D$59:$D$70-('Inputs'!$P$59:$P$70=BD5)*BD14),2))/BD30,2)*(BD30-1)))</f>
      </c>
      <c r="BE35">
        <f>IF(BE30=0,0,SUMPRODUCT('Inputs'!$Q$59:$Q$70,(('Inputs'!$D$59:$D$70-('Inputs'!$P$59:$P$70=BE5)*BE14)-'Inputs'!$R$59:$R$70*ROUND(BE21*('Inputs'!$D$59:$D$70-('Inputs'!$P$59:$P$70=BE5)*BE14),2))-ROUNDDOWN((('Inputs'!$D$59:$D$70-('Inputs'!$P$59:$P$70=BE5)*BE14)-'Inputs'!$R$59:$R$70*ROUND(BE21*('Inputs'!$D$59:$D$70-('Inputs'!$P$59:$P$70=BE5)*BE14),2))/BE30,2)*(BE30-1)))</f>
      </c>
      <c r="BF35">
        <f>IF(BF30=0,0,SUMPRODUCT('Inputs'!$Q$59:$Q$70,(('Inputs'!$D$59:$D$70-('Inputs'!$P$59:$P$70=BF5)*BF14)-'Inputs'!$R$59:$R$70*ROUND(BF21*('Inputs'!$D$59:$D$70-('Inputs'!$P$59:$P$70=BF5)*BF14),2))-ROUNDDOWN((('Inputs'!$D$59:$D$70-('Inputs'!$P$59:$P$70=BF5)*BF14)-'Inputs'!$R$59:$R$70*ROUND(BF21*('Inputs'!$D$59:$D$70-('Inputs'!$P$59:$P$70=BF5)*BF14),2))/BF30,2)*(BF30-1)))</f>
      </c>
      <c r="BG35">
        <f>IF(BG30=0,0,SUMPRODUCT('Inputs'!$Q$59:$Q$70,(('Inputs'!$D$59:$D$70-('Inputs'!$P$59:$P$70=BG5)*BG14)-'Inputs'!$R$59:$R$70*ROUND(BG21*('Inputs'!$D$59:$D$70-('Inputs'!$P$59:$P$70=BG5)*BG14),2))-ROUNDDOWN((('Inputs'!$D$59:$D$70-('Inputs'!$P$59:$P$70=BG5)*BG14)-'Inputs'!$R$59:$R$70*ROUND(BG21*('Inputs'!$D$59:$D$70-('Inputs'!$P$59:$P$70=BG5)*BG14),2))/BG30,2)*(BG30-1)))</f>
      </c>
      <c r="BH35">
        <f>IF(BH30=0,0,SUMPRODUCT('Inputs'!$Q$59:$Q$70,(('Inputs'!$D$59:$D$70-('Inputs'!$P$59:$P$70=BH5)*BH14)-'Inputs'!$R$59:$R$70*ROUND(BH21*('Inputs'!$D$59:$D$70-('Inputs'!$P$59:$P$70=BH5)*BH14),2))-ROUNDDOWN((('Inputs'!$D$59:$D$70-('Inputs'!$P$59:$P$70=BH5)*BH14)-'Inputs'!$R$59:$R$70*ROUND(BH21*('Inputs'!$D$59:$D$70-('Inputs'!$P$59:$P$70=BH5)*BH14),2))/BH30,2)*(BH30-1)))</f>
      </c>
      <c r="BI35">
        <f>IF(BI30=0,0,SUMPRODUCT('Inputs'!$Q$59:$Q$70,(('Inputs'!$D$59:$D$70-('Inputs'!$P$59:$P$70=BI5)*BI14)-'Inputs'!$R$59:$R$70*ROUND(BI21*('Inputs'!$D$59:$D$70-('Inputs'!$P$59:$P$70=BI5)*BI14),2))-ROUNDDOWN((('Inputs'!$D$59:$D$70-('Inputs'!$P$59:$P$70=BI5)*BI14)-'Inputs'!$R$59:$R$70*ROUND(BI21*('Inputs'!$D$59:$D$70-('Inputs'!$P$59:$P$70=BI5)*BI14),2))/BI30,2)*(BI30-1)))</f>
      </c>
      <c r="BJ35">
        <f>IF(BJ30=0,0,SUMPRODUCT('Inputs'!$Q$59:$Q$70,(('Inputs'!$D$59:$D$70-('Inputs'!$P$59:$P$70=BJ5)*BJ14)-'Inputs'!$R$59:$R$70*ROUND(BJ21*('Inputs'!$D$59:$D$70-('Inputs'!$P$59:$P$70=BJ5)*BJ14),2))-ROUNDDOWN((('Inputs'!$D$59:$D$70-('Inputs'!$P$59:$P$70=BJ5)*BJ14)-'Inputs'!$R$59:$R$70*ROUND(BJ21*('Inputs'!$D$59:$D$70-('Inputs'!$P$59:$P$70=BJ5)*BJ14),2))/BJ30,2)*(BJ30-1)))</f>
      </c>
      <c r="BK35">
        <f>IF(BK30=0,0,SUMPRODUCT('Inputs'!$Q$59:$Q$70,(('Inputs'!$D$59:$D$70-('Inputs'!$P$59:$P$70=BK5)*BK14)-'Inputs'!$R$59:$R$70*ROUND(BK21*('Inputs'!$D$59:$D$70-('Inputs'!$P$59:$P$70=BK5)*BK14),2))-ROUNDDOWN((('Inputs'!$D$59:$D$70-('Inputs'!$P$59:$P$70=BK5)*BK14)-'Inputs'!$R$59:$R$70*ROUND(BK21*('Inputs'!$D$59:$D$70-('Inputs'!$P$59:$P$70=BK5)*BK14),2))/BK30,2)*(BK30-1)))</f>
      </c>
      <c r="BL35">
        <f>IF(BL30=0,0,SUMPRODUCT('Inputs'!$Q$59:$Q$70,(('Inputs'!$D$59:$D$70-('Inputs'!$P$59:$P$70=BL5)*BL14)-'Inputs'!$R$59:$R$70*ROUND(BL21*('Inputs'!$D$59:$D$70-('Inputs'!$P$59:$P$70=BL5)*BL14),2))-ROUNDDOWN((('Inputs'!$D$59:$D$70-('Inputs'!$P$59:$P$70=BL5)*BL14)-'Inputs'!$R$59:$R$70*ROUND(BL21*('Inputs'!$D$59:$D$70-('Inputs'!$P$59:$P$70=BL5)*BL14),2))/BL30,2)*(BL30-1)))</f>
      </c>
      <c r="BM35">
        <f>IF(BM30=0,0,SUMPRODUCT('Inputs'!$Q$59:$Q$70,(('Inputs'!$D$59:$D$70-('Inputs'!$P$59:$P$70=BM5)*BM14)-'Inputs'!$R$59:$R$70*ROUND(BM21*('Inputs'!$D$59:$D$70-('Inputs'!$P$59:$P$70=BM5)*BM14),2))-ROUNDDOWN((('Inputs'!$D$59:$D$70-('Inputs'!$P$59:$P$70=BM5)*BM14)-'Inputs'!$R$59:$R$70*ROUND(BM21*('Inputs'!$D$59:$D$70-('Inputs'!$P$59:$P$70=BM5)*BM14),2))/BM30,2)*(BM30-1)))</f>
      </c>
      <c r="BN35">
        <f>IF(BN30=0,0,SUMPRODUCT('Inputs'!$Q$59:$Q$70,(('Inputs'!$D$59:$D$70-('Inputs'!$P$59:$P$70=BN5)*BN14)-'Inputs'!$R$59:$R$70*ROUND(BN21*('Inputs'!$D$59:$D$70-('Inputs'!$P$59:$P$70=BN5)*BN14),2))-ROUNDDOWN((('Inputs'!$D$59:$D$70-('Inputs'!$P$59:$P$70=BN5)*BN14)-'Inputs'!$R$59:$R$70*ROUND(BN21*('Inputs'!$D$59:$D$70-('Inputs'!$P$59:$P$70=BN5)*BN14),2))/BN30,2)*(BN30-1)))</f>
      </c>
      <c r="BO35">
        <f>IF(BO30=0,0,SUMPRODUCT('Inputs'!$Q$59:$Q$70,(('Inputs'!$D$59:$D$70-('Inputs'!$P$59:$P$70=BO5)*BO14)-'Inputs'!$R$59:$R$70*ROUND(BO21*('Inputs'!$D$59:$D$70-('Inputs'!$P$59:$P$70=BO5)*BO14),2))-ROUNDDOWN((('Inputs'!$D$59:$D$70-('Inputs'!$P$59:$P$70=BO5)*BO14)-'Inputs'!$R$59:$R$70*ROUND(BO21*('Inputs'!$D$59:$D$70-('Inputs'!$P$59:$P$70=BO5)*BO14),2))/BO30,2)*(BO30-1)))</f>
      </c>
      <c r="BP35">
        <f>IF(BP30=0,0,SUMPRODUCT('Inputs'!$Q$59:$Q$70,(('Inputs'!$D$59:$D$70-('Inputs'!$P$59:$P$70=BP5)*BP14)-'Inputs'!$R$59:$R$70*ROUND(BP21*('Inputs'!$D$59:$D$70-('Inputs'!$P$59:$P$70=BP5)*BP14),2))-ROUNDDOWN((('Inputs'!$D$59:$D$70-('Inputs'!$P$59:$P$70=BP5)*BP14)-'Inputs'!$R$59:$R$70*ROUND(BP21*('Inputs'!$D$59:$D$70-('Inputs'!$P$59:$P$70=BP5)*BP14),2))/BP30,2)*(BP30-1)))</f>
      </c>
      <c r="BQ35">
        <f>IF(BQ30=0,0,SUMPRODUCT('Inputs'!$Q$59:$Q$70,(('Inputs'!$D$59:$D$70-('Inputs'!$P$59:$P$70=BQ5)*BQ14)-'Inputs'!$R$59:$R$70*ROUND(BQ21*('Inputs'!$D$59:$D$70-('Inputs'!$P$59:$P$70=BQ5)*BQ14),2))-ROUNDDOWN((('Inputs'!$D$59:$D$70-('Inputs'!$P$59:$P$70=BQ5)*BQ14)-'Inputs'!$R$59:$R$70*ROUND(BQ21*('Inputs'!$D$59:$D$70-('Inputs'!$P$59:$P$70=BQ5)*BQ14),2))/BQ30,2)*(BQ30-1)))</f>
      </c>
      <c r="BR35">
        <f>IF(BR30=0,0,SUMPRODUCT('Inputs'!$Q$59:$Q$70,(('Inputs'!$D$59:$D$70-('Inputs'!$P$59:$P$70=BR5)*BR14)-'Inputs'!$R$59:$R$70*ROUND(BR21*('Inputs'!$D$59:$D$70-('Inputs'!$P$59:$P$70=BR5)*BR14),2))-ROUNDDOWN((('Inputs'!$D$59:$D$70-('Inputs'!$P$59:$P$70=BR5)*BR14)-'Inputs'!$R$59:$R$70*ROUND(BR21*('Inputs'!$D$59:$D$70-('Inputs'!$P$59:$P$70=BR5)*BR14),2))/BR30,2)*(BR30-1)))</f>
      </c>
      <c r="BS35">
        <f>IF(BS30=0,0,SUMPRODUCT('Inputs'!$Q$59:$Q$70,(('Inputs'!$D$59:$D$70-('Inputs'!$P$59:$P$70=BS5)*BS14)-'Inputs'!$R$59:$R$70*ROUND(BS21*('Inputs'!$D$59:$D$70-('Inputs'!$P$59:$P$70=BS5)*BS14),2))-ROUNDDOWN((('Inputs'!$D$59:$D$70-('Inputs'!$P$59:$P$70=BS5)*BS14)-'Inputs'!$R$59:$R$70*ROUND(BS21*('Inputs'!$D$59:$D$70-('Inputs'!$P$59:$P$70=BS5)*BS14),2))/BS30,2)*(BS30-1)))</f>
      </c>
    </row>
    <row r="36" spans="2:71" x14ac:dyDescent="0.25">
      <c r="B36" t="s">
        <v>355</v>
      </c>
      <c r="C36">
        <f>IF(C30=0,0,SUMPRODUCT(ROUNDDOWN('Inputs'!$J$76:$J$83/C30,2)))</f>
      </c>
      <c r="E36">
        <f>IF(E30=0,0,SUMPRODUCT(ROUNDDOWN('Inputs'!$J$76:$J$83/E30,2)))</f>
      </c>
      <c r="F36">
        <f>IF(F30=0,0,SUMPRODUCT(ROUNDDOWN('Inputs'!$J$76:$J$83/F30,2)))</f>
      </c>
      <c r="G36">
        <f>IF(G30=0,0,SUMPRODUCT(ROUNDDOWN('Inputs'!$J$76:$J$83/G30,2)))</f>
      </c>
      <c r="H36">
        <f>IF(H30=0,0,SUMPRODUCT(ROUNDDOWN('Inputs'!$J$76:$J$83/H30,2)))</f>
      </c>
      <c r="I36">
        <f>IF(I30=0,0,SUMPRODUCT(ROUNDDOWN('Inputs'!$J$76:$J$83/I30,2)))</f>
      </c>
      <c r="J36">
        <f>IF(J30=0,0,SUMPRODUCT(ROUNDDOWN('Inputs'!$J$76:$J$83/J30,2)))</f>
      </c>
      <c r="K36">
        <f>IF(K30=0,0,SUMPRODUCT(ROUNDDOWN('Inputs'!$J$76:$J$83/K30,2)))</f>
      </c>
      <c r="L36">
        <f>IF(L30=0,0,SUMPRODUCT(ROUNDDOWN('Inputs'!$J$76:$J$83/L30,2)))</f>
      </c>
      <c r="M36">
        <f>IF(M30=0,0,SUMPRODUCT(ROUNDDOWN('Inputs'!$J$76:$J$83/M30,2)))</f>
      </c>
      <c r="N36">
        <f>IF(N30=0,0,SUMPRODUCT(ROUNDDOWN('Inputs'!$J$76:$J$83/N30,2)))</f>
      </c>
      <c r="O36">
        <f>IF(O30=0,0,SUMPRODUCT(ROUNDDOWN('Inputs'!$J$76:$J$83/O30,2)))</f>
      </c>
      <c r="P36">
        <f>IF(P30=0,0,SUMPRODUCT(ROUNDDOWN('Inputs'!$J$76:$J$83/P30,2)))</f>
      </c>
      <c r="Q36">
        <f>IF(Q30=0,0,SUMPRODUCT(ROUNDDOWN('Inputs'!$J$76:$J$83/Q30,2)))</f>
      </c>
      <c r="R36">
        <f>IF(R30=0,0,SUMPRODUCT(ROUNDDOWN('Inputs'!$J$76:$J$83/R30,2)))</f>
      </c>
      <c r="S36">
        <f>IF(S30=0,0,SUMPRODUCT(ROUNDDOWN('Inputs'!$J$76:$J$83/S30,2)))</f>
      </c>
      <c r="T36">
        <f>IF(T30=0,0,SUMPRODUCT(ROUNDDOWN('Inputs'!$J$76:$J$83/T30,2)))</f>
      </c>
      <c r="V36">
        <f>IF(V30=0,0,SUMPRODUCT(ROUNDDOWN('Inputs'!$J$76:$J$83/V30,2)))</f>
      </c>
      <c r="W36">
        <f>IF(W30=0,0,SUMPRODUCT(ROUNDDOWN('Inputs'!$J$76:$J$83/W30,2)))</f>
      </c>
      <c r="X36">
        <f>IF(X30=0,0,SUMPRODUCT(ROUNDDOWN('Inputs'!$J$76:$J$83/X30,2)))</f>
      </c>
      <c r="Y36">
        <f>IF(Y30=0,0,SUMPRODUCT(ROUNDDOWN('Inputs'!$J$76:$J$83/Y30,2)))</f>
      </c>
      <c r="Z36">
        <f>IF(Z30=0,0,SUMPRODUCT(ROUNDDOWN('Inputs'!$J$76:$J$83/Z30,2)))</f>
      </c>
      <c r="AA36">
        <f>IF(AA30=0,0,SUMPRODUCT(ROUNDDOWN('Inputs'!$J$76:$J$83/AA30,2)))</f>
      </c>
      <c r="AB36">
        <f>IF(AB30=0,0,SUMPRODUCT(ROUNDDOWN('Inputs'!$J$76:$J$83/AB30,2)))</f>
      </c>
      <c r="AC36">
        <f>IF(AC30=0,0,SUMPRODUCT(ROUNDDOWN('Inputs'!$J$76:$J$83/AC30,2)))</f>
      </c>
      <c r="AD36">
        <f>IF(AD30=0,0,SUMPRODUCT(ROUNDDOWN('Inputs'!$J$76:$J$83/AD30,2)))</f>
      </c>
      <c r="AE36">
        <f>IF(AE30=0,0,SUMPRODUCT(ROUNDDOWN('Inputs'!$J$76:$J$83/AE30,2)))</f>
      </c>
      <c r="AF36">
        <f>IF(AF30=0,0,SUMPRODUCT(ROUNDDOWN('Inputs'!$J$76:$J$83/AF30,2)))</f>
      </c>
      <c r="AG36">
        <f>IF(AG30=0,0,SUMPRODUCT(ROUNDDOWN('Inputs'!$J$76:$J$83/AG30,2)))</f>
      </c>
      <c r="AH36">
        <f>IF(AH30=0,0,SUMPRODUCT(ROUNDDOWN('Inputs'!$J$76:$J$83/AH30,2)))</f>
      </c>
      <c r="AI36">
        <f>IF(AI30=0,0,SUMPRODUCT(ROUNDDOWN('Inputs'!$J$76:$J$83/AI30,2)))</f>
      </c>
      <c r="AJ36">
        <f>IF(AJ30=0,0,SUMPRODUCT(ROUNDDOWN('Inputs'!$J$76:$J$83/AJ30,2)))</f>
      </c>
      <c r="AK36">
        <f>IF(AK30=0,0,SUMPRODUCT(ROUNDDOWN('Inputs'!$J$76:$J$83/AK30,2)))</f>
      </c>
      <c r="AM36">
        <f>IF(AM30=0,0,SUMPRODUCT(ROUNDDOWN('Inputs'!$J$76:$J$83/AM30,2)))</f>
      </c>
      <c r="AN36">
        <f>IF(AN30=0,0,SUMPRODUCT(ROUNDDOWN('Inputs'!$J$76:$J$83/AN30,2)))</f>
      </c>
      <c r="AO36">
        <f>IF(AO30=0,0,SUMPRODUCT(ROUNDDOWN('Inputs'!$J$76:$J$83/AO30,2)))</f>
      </c>
      <c r="AP36">
        <f>IF(AP30=0,0,SUMPRODUCT(ROUNDDOWN('Inputs'!$J$76:$J$83/AP30,2)))</f>
      </c>
      <c r="AQ36">
        <f>IF(AQ30=0,0,SUMPRODUCT(ROUNDDOWN('Inputs'!$J$76:$J$83/AQ30,2)))</f>
      </c>
      <c r="AR36">
        <f>IF(AR30=0,0,SUMPRODUCT(ROUNDDOWN('Inputs'!$J$76:$J$83/AR30,2)))</f>
      </c>
      <c r="AS36">
        <f>IF(AS30=0,0,SUMPRODUCT(ROUNDDOWN('Inputs'!$J$76:$J$83/AS30,2)))</f>
      </c>
      <c r="AT36">
        <f>IF(AT30=0,0,SUMPRODUCT(ROUNDDOWN('Inputs'!$J$76:$J$83/AT30,2)))</f>
      </c>
      <c r="AU36">
        <f>IF(AU30=0,0,SUMPRODUCT(ROUNDDOWN('Inputs'!$J$76:$J$83/AU30,2)))</f>
      </c>
      <c r="AV36">
        <f>IF(AV30=0,0,SUMPRODUCT(ROUNDDOWN('Inputs'!$J$76:$J$83/AV30,2)))</f>
      </c>
      <c r="AW36">
        <f>IF(AW30=0,0,SUMPRODUCT(ROUNDDOWN('Inputs'!$J$76:$J$83/AW30,2)))</f>
      </c>
      <c r="AX36">
        <f>IF(AX30=0,0,SUMPRODUCT(ROUNDDOWN('Inputs'!$J$76:$J$83/AX30,2)))</f>
      </c>
      <c r="AY36">
        <f>IF(AY30=0,0,SUMPRODUCT(ROUNDDOWN('Inputs'!$J$76:$J$83/AY30,2)))</f>
      </c>
      <c r="AZ36">
        <f>IF(AZ30=0,0,SUMPRODUCT(ROUNDDOWN('Inputs'!$J$76:$J$83/AZ30,2)))</f>
      </c>
      <c r="BA36">
        <f>IF(BA30=0,0,SUMPRODUCT(ROUNDDOWN('Inputs'!$J$76:$J$83/BA30,2)))</f>
      </c>
      <c r="BB36">
        <f>IF(BB30=0,0,SUMPRODUCT(ROUNDDOWN('Inputs'!$J$76:$J$83/BB30,2)))</f>
      </c>
      <c r="BD36">
        <f>IF(BD30=0,0,SUMPRODUCT(ROUNDDOWN('Inputs'!$J$76:$J$83/BD30,2)))</f>
      </c>
      <c r="BE36">
        <f>IF(BE30=0,0,SUMPRODUCT(ROUNDDOWN('Inputs'!$J$76:$J$83/BE30,2)))</f>
      </c>
      <c r="BF36">
        <f>IF(BF30=0,0,SUMPRODUCT(ROUNDDOWN('Inputs'!$J$76:$J$83/BF30,2)))</f>
      </c>
      <c r="BG36">
        <f>IF(BG30=0,0,SUMPRODUCT(ROUNDDOWN('Inputs'!$J$76:$J$83/BG30,2)))</f>
      </c>
      <c r="BH36">
        <f>IF(BH30=0,0,SUMPRODUCT(ROUNDDOWN('Inputs'!$J$76:$J$83/BH30,2)))</f>
      </c>
      <c r="BI36">
        <f>IF(BI30=0,0,SUMPRODUCT(ROUNDDOWN('Inputs'!$J$76:$J$83/BI30,2)))</f>
      </c>
      <c r="BJ36">
        <f>IF(BJ30=0,0,SUMPRODUCT(ROUNDDOWN('Inputs'!$J$76:$J$83/BJ30,2)))</f>
      </c>
      <c r="BK36">
        <f>IF(BK30=0,0,SUMPRODUCT(ROUNDDOWN('Inputs'!$J$76:$J$83/BK30,2)))</f>
      </c>
      <c r="BL36">
        <f>IF(BL30=0,0,SUMPRODUCT(ROUNDDOWN('Inputs'!$J$76:$J$83/BL30,2)))</f>
      </c>
      <c r="BM36">
        <f>IF(BM30=0,0,SUMPRODUCT(ROUNDDOWN('Inputs'!$J$76:$J$83/BM30,2)))</f>
      </c>
      <c r="BN36">
        <f>IF(BN30=0,0,SUMPRODUCT(ROUNDDOWN('Inputs'!$J$76:$J$83/BN30,2)))</f>
      </c>
      <c r="BO36">
        <f>IF(BO30=0,0,SUMPRODUCT(ROUNDDOWN('Inputs'!$J$76:$J$83/BO30,2)))</f>
      </c>
      <c r="BP36">
        <f>IF(BP30=0,0,SUMPRODUCT(ROUNDDOWN('Inputs'!$J$76:$J$83/BP30,2)))</f>
      </c>
      <c r="BQ36">
        <f>IF(BQ30=0,0,SUMPRODUCT(ROUNDDOWN('Inputs'!$J$76:$J$83/BQ30,2)))</f>
      </c>
      <c r="BR36">
        <f>IF(BR30=0,0,SUMPRODUCT(ROUNDDOWN('Inputs'!$J$76:$J$83/BR30,2)))</f>
      </c>
      <c r="BS36">
        <f>IF(BS30=0,0,SUMPRODUCT(ROUNDDOWN('Inputs'!$J$76:$J$83/BS30,2)))</f>
      </c>
    </row>
    <row r="37" spans="2:71" x14ac:dyDescent="0.25">
      <c r="B37" t="s">
        <v>356</v>
      </c>
      <c r="C37">
        <f>IF(C30=0,0,SUMPRODUCT('Inputs'!$J$76:$J$83-ROUNDDOWN('Inputs'!$J$76:$J$83/C30,2)*(C30-1)))</f>
      </c>
      <c r="E37">
        <f>IF(E30=0,0,SUMPRODUCT('Inputs'!$J$76:$J$83-ROUNDDOWN('Inputs'!$J$76:$J$83/E30,2)*(E30-1)))</f>
      </c>
      <c r="F37">
        <f>IF(F30=0,0,SUMPRODUCT('Inputs'!$J$76:$J$83-ROUNDDOWN('Inputs'!$J$76:$J$83/F30,2)*(F30-1)))</f>
      </c>
      <c r="G37">
        <f>IF(G30=0,0,SUMPRODUCT('Inputs'!$J$76:$J$83-ROUNDDOWN('Inputs'!$J$76:$J$83/G30,2)*(G30-1)))</f>
      </c>
      <c r="H37">
        <f>IF(H30=0,0,SUMPRODUCT('Inputs'!$J$76:$J$83-ROUNDDOWN('Inputs'!$J$76:$J$83/H30,2)*(H30-1)))</f>
      </c>
      <c r="I37">
        <f>IF(I30=0,0,SUMPRODUCT('Inputs'!$J$76:$J$83-ROUNDDOWN('Inputs'!$J$76:$J$83/I30,2)*(I30-1)))</f>
      </c>
      <c r="J37">
        <f>IF(J30=0,0,SUMPRODUCT('Inputs'!$J$76:$J$83-ROUNDDOWN('Inputs'!$J$76:$J$83/J30,2)*(J30-1)))</f>
      </c>
      <c r="K37">
        <f>IF(K30=0,0,SUMPRODUCT('Inputs'!$J$76:$J$83-ROUNDDOWN('Inputs'!$J$76:$J$83/K30,2)*(K30-1)))</f>
      </c>
      <c r="L37">
        <f>IF(L30=0,0,SUMPRODUCT('Inputs'!$J$76:$J$83-ROUNDDOWN('Inputs'!$J$76:$J$83/L30,2)*(L30-1)))</f>
      </c>
      <c r="M37">
        <f>IF(M30=0,0,SUMPRODUCT('Inputs'!$J$76:$J$83-ROUNDDOWN('Inputs'!$J$76:$J$83/M30,2)*(M30-1)))</f>
      </c>
      <c r="N37">
        <f>IF(N30=0,0,SUMPRODUCT('Inputs'!$J$76:$J$83-ROUNDDOWN('Inputs'!$J$76:$J$83/N30,2)*(N30-1)))</f>
      </c>
      <c r="O37">
        <f>IF(O30=0,0,SUMPRODUCT('Inputs'!$J$76:$J$83-ROUNDDOWN('Inputs'!$J$76:$J$83/O30,2)*(O30-1)))</f>
      </c>
      <c r="P37">
        <f>IF(P30=0,0,SUMPRODUCT('Inputs'!$J$76:$J$83-ROUNDDOWN('Inputs'!$J$76:$J$83/P30,2)*(P30-1)))</f>
      </c>
      <c r="Q37">
        <f>IF(Q30=0,0,SUMPRODUCT('Inputs'!$J$76:$J$83-ROUNDDOWN('Inputs'!$J$76:$J$83/Q30,2)*(Q30-1)))</f>
      </c>
      <c r="R37">
        <f>IF(R30=0,0,SUMPRODUCT('Inputs'!$J$76:$J$83-ROUNDDOWN('Inputs'!$J$76:$J$83/R30,2)*(R30-1)))</f>
      </c>
      <c r="S37">
        <f>IF(S30=0,0,SUMPRODUCT('Inputs'!$J$76:$J$83-ROUNDDOWN('Inputs'!$J$76:$J$83/S30,2)*(S30-1)))</f>
      </c>
      <c r="T37">
        <f>IF(T30=0,0,SUMPRODUCT('Inputs'!$J$76:$J$83-ROUNDDOWN('Inputs'!$J$76:$J$83/T30,2)*(T30-1)))</f>
      </c>
      <c r="V37">
        <f>IF(V30=0,0,SUMPRODUCT('Inputs'!$J$76:$J$83-ROUNDDOWN('Inputs'!$J$76:$J$83/V30,2)*(V30-1)))</f>
      </c>
      <c r="W37">
        <f>IF(W30=0,0,SUMPRODUCT('Inputs'!$J$76:$J$83-ROUNDDOWN('Inputs'!$J$76:$J$83/W30,2)*(W30-1)))</f>
      </c>
      <c r="X37">
        <f>IF(X30=0,0,SUMPRODUCT('Inputs'!$J$76:$J$83-ROUNDDOWN('Inputs'!$J$76:$J$83/X30,2)*(X30-1)))</f>
      </c>
      <c r="Y37">
        <f>IF(Y30=0,0,SUMPRODUCT('Inputs'!$J$76:$J$83-ROUNDDOWN('Inputs'!$J$76:$J$83/Y30,2)*(Y30-1)))</f>
      </c>
      <c r="Z37">
        <f>IF(Z30=0,0,SUMPRODUCT('Inputs'!$J$76:$J$83-ROUNDDOWN('Inputs'!$J$76:$J$83/Z30,2)*(Z30-1)))</f>
      </c>
      <c r="AA37">
        <f>IF(AA30=0,0,SUMPRODUCT('Inputs'!$J$76:$J$83-ROUNDDOWN('Inputs'!$J$76:$J$83/AA30,2)*(AA30-1)))</f>
      </c>
      <c r="AB37">
        <f>IF(AB30=0,0,SUMPRODUCT('Inputs'!$J$76:$J$83-ROUNDDOWN('Inputs'!$J$76:$J$83/AB30,2)*(AB30-1)))</f>
      </c>
      <c r="AC37">
        <f>IF(AC30=0,0,SUMPRODUCT('Inputs'!$J$76:$J$83-ROUNDDOWN('Inputs'!$J$76:$J$83/AC30,2)*(AC30-1)))</f>
      </c>
      <c r="AD37">
        <f>IF(AD30=0,0,SUMPRODUCT('Inputs'!$J$76:$J$83-ROUNDDOWN('Inputs'!$J$76:$J$83/AD30,2)*(AD30-1)))</f>
      </c>
      <c r="AE37">
        <f>IF(AE30=0,0,SUMPRODUCT('Inputs'!$J$76:$J$83-ROUNDDOWN('Inputs'!$J$76:$J$83/AE30,2)*(AE30-1)))</f>
      </c>
      <c r="AF37">
        <f>IF(AF30=0,0,SUMPRODUCT('Inputs'!$J$76:$J$83-ROUNDDOWN('Inputs'!$J$76:$J$83/AF30,2)*(AF30-1)))</f>
      </c>
      <c r="AG37">
        <f>IF(AG30=0,0,SUMPRODUCT('Inputs'!$J$76:$J$83-ROUNDDOWN('Inputs'!$J$76:$J$83/AG30,2)*(AG30-1)))</f>
      </c>
      <c r="AH37">
        <f>IF(AH30=0,0,SUMPRODUCT('Inputs'!$J$76:$J$83-ROUNDDOWN('Inputs'!$J$76:$J$83/AH30,2)*(AH30-1)))</f>
      </c>
      <c r="AI37">
        <f>IF(AI30=0,0,SUMPRODUCT('Inputs'!$J$76:$J$83-ROUNDDOWN('Inputs'!$J$76:$J$83/AI30,2)*(AI30-1)))</f>
      </c>
      <c r="AJ37">
        <f>IF(AJ30=0,0,SUMPRODUCT('Inputs'!$J$76:$J$83-ROUNDDOWN('Inputs'!$J$76:$J$83/AJ30,2)*(AJ30-1)))</f>
      </c>
      <c r="AK37">
        <f>IF(AK30=0,0,SUMPRODUCT('Inputs'!$J$76:$J$83-ROUNDDOWN('Inputs'!$J$76:$J$83/AK30,2)*(AK30-1)))</f>
      </c>
      <c r="AM37">
        <f>IF(AM30=0,0,SUMPRODUCT('Inputs'!$J$76:$J$83-ROUNDDOWN('Inputs'!$J$76:$J$83/AM30,2)*(AM30-1)))</f>
      </c>
      <c r="AN37">
        <f>IF(AN30=0,0,SUMPRODUCT('Inputs'!$J$76:$J$83-ROUNDDOWN('Inputs'!$J$76:$J$83/AN30,2)*(AN30-1)))</f>
      </c>
      <c r="AO37">
        <f>IF(AO30=0,0,SUMPRODUCT('Inputs'!$J$76:$J$83-ROUNDDOWN('Inputs'!$J$76:$J$83/AO30,2)*(AO30-1)))</f>
      </c>
      <c r="AP37">
        <f>IF(AP30=0,0,SUMPRODUCT('Inputs'!$J$76:$J$83-ROUNDDOWN('Inputs'!$J$76:$J$83/AP30,2)*(AP30-1)))</f>
      </c>
      <c r="AQ37">
        <f>IF(AQ30=0,0,SUMPRODUCT('Inputs'!$J$76:$J$83-ROUNDDOWN('Inputs'!$J$76:$J$83/AQ30,2)*(AQ30-1)))</f>
      </c>
      <c r="AR37">
        <f>IF(AR30=0,0,SUMPRODUCT('Inputs'!$J$76:$J$83-ROUNDDOWN('Inputs'!$J$76:$J$83/AR30,2)*(AR30-1)))</f>
      </c>
      <c r="AS37">
        <f>IF(AS30=0,0,SUMPRODUCT('Inputs'!$J$76:$J$83-ROUNDDOWN('Inputs'!$J$76:$J$83/AS30,2)*(AS30-1)))</f>
      </c>
      <c r="AT37">
        <f>IF(AT30=0,0,SUMPRODUCT('Inputs'!$J$76:$J$83-ROUNDDOWN('Inputs'!$J$76:$J$83/AT30,2)*(AT30-1)))</f>
      </c>
      <c r="AU37">
        <f>IF(AU30=0,0,SUMPRODUCT('Inputs'!$J$76:$J$83-ROUNDDOWN('Inputs'!$J$76:$J$83/AU30,2)*(AU30-1)))</f>
      </c>
      <c r="AV37">
        <f>IF(AV30=0,0,SUMPRODUCT('Inputs'!$J$76:$J$83-ROUNDDOWN('Inputs'!$J$76:$J$83/AV30,2)*(AV30-1)))</f>
      </c>
      <c r="AW37">
        <f>IF(AW30=0,0,SUMPRODUCT('Inputs'!$J$76:$J$83-ROUNDDOWN('Inputs'!$J$76:$J$83/AW30,2)*(AW30-1)))</f>
      </c>
      <c r="AX37">
        <f>IF(AX30=0,0,SUMPRODUCT('Inputs'!$J$76:$J$83-ROUNDDOWN('Inputs'!$J$76:$J$83/AX30,2)*(AX30-1)))</f>
      </c>
      <c r="AY37">
        <f>IF(AY30=0,0,SUMPRODUCT('Inputs'!$J$76:$J$83-ROUNDDOWN('Inputs'!$J$76:$J$83/AY30,2)*(AY30-1)))</f>
      </c>
      <c r="AZ37">
        <f>IF(AZ30=0,0,SUMPRODUCT('Inputs'!$J$76:$J$83-ROUNDDOWN('Inputs'!$J$76:$J$83/AZ30,2)*(AZ30-1)))</f>
      </c>
      <c r="BA37">
        <f>IF(BA30=0,0,SUMPRODUCT('Inputs'!$J$76:$J$83-ROUNDDOWN('Inputs'!$J$76:$J$83/BA30,2)*(BA30-1)))</f>
      </c>
      <c r="BB37">
        <f>IF(BB30=0,0,SUMPRODUCT('Inputs'!$J$76:$J$83-ROUNDDOWN('Inputs'!$J$76:$J$83/BB30,2)*(BB30-1)))</f>
      </c>
      <c r="BD37">
        <f>IF(BD30=0,0,SUMPRODUCT('Inputs'!$J$76:$J$83-ROUNDDOWN('Inputs'!$J$76:$J$83/BD30,2)*(BD30-1)))</f>
      </c>
      <c r="BE37">
        <f>IF(BE30=0,0,SUMPRODUCT('Inputs'!$J$76:$J$83-ROUNDDOWN('Inputs'!$J$76:$J$83/BE30,2)*(BE30-1)))</f>
      </c>
      <c r="BF37">
        <f>IF(BF30=0,0,SUMPRODUCT('Inputs'!$J$76:$J$83-ROUNDDOWN('Inputs'!$J$76:$J$83/BF30,2)*(BF30-1)))</f>
      </c>
      <c r="BG37">
        <f>IF(BG30=0,0,SUMPRODUCT('Inputs'!$J$76:$J$83-ROUNDDOWN('Inputs'!$J$76:$J$83/BG30,2)*(BG30-1)))</f>
      </c>
      <c r="BH37">
        <f>IF(BH30=0,0,SUMPRODUCT('Inputs'!$J$76:$J$83-ROUNDDOWN('Inputs'!$J$76:$J$83/BH30,2)*(BH30-1)))</f>
      </c>
      <c r="BI37">
        <f>IF(BI30=0,0,SUMPRODUCT('Inputs'!$J$76:$J$83-ROUNDDOWN('Inputs'!$J$76:$J$83/BI30,2)*(BI30-1)))</f>
      </c>
      <c r="BJ37">
        <f>IF(BJ30=0,0,SUMPRODUCT('Inputs'!$J$76:$J$83-ROUNDDOWN('Inputs'!$J$76:$J$83/BJ30,2)*(BJ30-1)))</f>
      </c>
      <c r="BK37">
        <f>IF(BK30=0,0,SUMPRODUCT('Inputs'!$J$76:$J$83-ROUNDDOWN('Inputs'!$J$76:$J$83/BK30,2)*(BK30-1)))</f>
      </c>
      <c r="BL37">
        <f>IF(BL30=0,0,SUMPRODUCT('Inputs'!$J$76:$J$83-ROUNDDOWN('Inputs'!$J$76:$J$83/BL30,2)*(BL30-1)))</f>
      </c>
      <c r="BM37">
        <f>IF(BM30=0,0,SUMPRODUCT('Inputs'!$J$76:$J$83-ROUNDDOWN('Inputs'!$J$76:$J$83/BM30,2)*(BM30-1)))</f>
      </c>
      <c r="BN37">
        <f>IF(BN30=0,0,SUMPRODUCT('Inputs'!$J$76:$J$83-ROUNDDOWN('Inputs'!$J$76:$J$83/BN30,2)*(BN30-1)))</f>
      </c>
      <c r="BO37">
        <f>IF(BO30=0,0,SUMPRODUCT('Inputs'!$J$76:$J$83-ROUNDDOWN('Inputs'!$J$76:$J$83/BO30,2)*(BO30-1)))</f>
      </c>
      <c r="BP37">
        <f>IF(BP30=0,0,SUMPRODUCT('Inputs'!$J$76:$J$83-ROUNDDOWN('Inputs'!$J$76:$J$83/BP30,2)*(BP30-1)))</f>
      </c>
      <c r="BQ37">
        <f>IF(BQ30=0,0,SUMPRODUCT('Inputs'!$J$76:$J$83-ROUNDDOWN('Inputs'!$J$76:$J$83/BQ30,2)*(BQ30-1)))</f>
      </c>
      <c r="BR37">
        <f>IF(BR30=0,0,SUMPRODUCT('Inputs'!$J$76:$J$83-ROUNDDOWN('Inputs'!$J$76:$J$83/BR30,2)*(BR30-1)))</f>
      </c>
      <c r="BS37">
        <f>IF(BS30=0,0,SUMPRODUCT('Inputs'!$J$76:$J$83-ROUNDDOWN('Inputs'!$J$76:$J$83/BS30,2)*(BS30-1)))</f>
      </c>
    </row>
    <row r="38" spans="2:71" x14ac:dyDescent="0.25">
      <c r="B38" t="s">
        <v>357</v>
      </c>
      <c r="C38">
        <f>IF(C3=3,ROUND(C14-ROUND(C21*C14,2),2),0)</f>
      </c>
      <c r="E38">
        <f>IF(E3=3,ROUND(E14-ROUND(E21*E14,2),2),0)</f>
      </c>
      <c r="F38">
        <f>IF(F3=3,ROUND(F14-ROUND(F21*F14,2),2),0)</f>
      </c>
      <c r="G38">
        <f>IF(G3=3,ROUND(G14-ROUND(G21*G14,2),2),0)</f>
      </c>
      <c r="H38">
        <f>IF(H3=3,ROUND(H14-ROUND(H21*H14,2),2),0)</f>
      </c>
      <c r="I38">
        <f>IF(I3=3,ROUND(I14-ROUND(I21*I14,2),2),0)</f>
      </c>
      <c r="J38">
        <f>IF(J3=3,ROUND(J14-ROUND(J21*J14,2),2),0)</f>
      </c>
      <c r="K38">
        <f>IF(K3=3,ROUND(K14-ROUND(K21*K14,2),2),0)</f>
      </c>
      <c r="L38">
        <f>IF(L3=3,ROUND(L14-ROUND(L21*L14,2),2),0)</f>
      </c>
      <c r="M38">
        <f>IF(M3=3,ROUND(M14-ROUND(M21*M14,2),2),0)</f>
      </c>
      <c r="N38">
        <f>IF(N3=3,ROUND(N14-ROUND(N21*N14,2),2),0)</f>
      </c>
      <c r="O38">
        <f>IF(O3=3,ROUND(O14-ROUND(O21*O14,2),2),0)</f>
      </c>
      <c r="P38">
        <f>IF(P3=3,ROUND(P14-ROUND(P21*P14,2),2),0)</f>
      </c>
      <c r="Q38">
        <f>IF(Q3=3,ROUND(Q14-ROUND(Q21*Q14,2),2),0)</f>
      </c>
      <c r="R38">
        <f>IF(R3=3,ROUND(R14-ROUND(R21*R14,2),2),0)</f>
      </c>
      <c r="S38">
        <f>IF(S3=3,ROUND(S14-ROUND(S21*S14,2),2),0)</f>
      </c>
      <c r="T38">
        <f>IF(T3=3,ROUND(T14-ROUND(T21*T14,2),2),0)</f>
      </c>
      <c r="V38">
        <f>IF(V3=3,ROUND(V14-ROUND(V21*V14,2),2),0)</f>
      </c>
      <c r="W38">
        <f>IF(W3=3,ROUND(W14-ROUND(W21*W14,2),2),0)</f>
      </c>
      <c r="X38">
        <f>IF(X3=3,ROUND(X14-ROUND(X21*X14,2),2),0)</f>
      </c>
      <c r="Y38">
        <f>IF(Y3=3,ROUND(Y14-ROUND(Y21*Y14,2),2),0)</f>
      </c>
      <c r="Z38">
        <f>IF(Z3=3,ROUND(Z14-ROUND(Z21*Z14,2),2),0)</f>
      </c>
      <c r="AA38">
        <f>IF(AA3=3,ROUND(AA14-ROUND(AA21*AA14,2),2),0)</f>
      </c>
      <c r="AB38">
        <f>IF(AB3=3,ROUND(AB14-ROUND(AB21*AB14,2),2),0)</f>
      </c>
      <c r="AC38">
        <f>IF(AC3=3,ROUND(AC14-ROUND(AC21*AC14,2),2),0)</f>
      </c>
      <c r="AD38">
        <f>IF(AD3=3,ROUND(AD14-ROUND(AD21*AD14,2),2),0)</f>
      </c>
      <c r="AE38">
        <f>IF(AE3=3,ROUND(AE14-ROUND(AE21*AE14,2),2),0)</f>
      </c>
      <c r="AF38">
        <f>IF(AF3=3,ROUND(AF14-ROUND(AF21*AF14,2),2),0)</f>
      </c>
      <c r="AG38">
        <f>IF(AG3=3,ROUND(AG14-ROUND(AG21*AG14,2),2),0)</f>
      </c>
      <c r="AH38">
        <f>IF(AH3=3,ROUND(AH14-ROUND(AH21*AH14,2),2),0)</f>
      </c>
      <c r="AI38">
        <f>IF(AI3=3,ROUND(AI14-ROUND(AI21*AI14,2),2),0)</f>
      </c>
      <c r="AJ38">
        <f>IF(AJ3=3,ROUND(AJ14-ROUND(AJ21*AJ14,2),2),0)</f>
      </c>
      <c r="AK38">
        <f>IF(AK3=3,ROUND(AK14-ROUND(AK21*AK14,2),2),0)</f>
      </c>
      <c r="AM38">
        <f>IF(AM3=3,ROUND(AM14-ROUND(AM21*AM14,2),2),0)</f>
      </c>
      <c r="AN38">
        <f>IF(AN3=3,ROUND(AN14-ROUND(AN21*AN14,2),2),0)</f>
      </c>
      <c r="AO38">
        <f>IF(AO3=3,ROUND(AO14-ROUND(AO21*AO14,2),2),0)</f>
      </c>
      <c r="AP38">
        <f>IF(AP3=3,ROUND(AP14-ROUND(AP21*AP14,2),2),0)</f>
      </c>
      <c r="AQ38">
        <f>IF(AQ3=3,ROUND(AQ14-ROUND(AQ21*AQ14,2),2),0)</f>
      </c>
      <c r="AR38">
        <f>IF(AR3=3,ROUND(AR14-ROUND(AR21*AR14,2),2),0)</f>
      </c>
      <c r="AS38">
        <f>IF(AS3=3,ROUND(AS14-ROUND(AS21*AS14,2),2),0)</f>
      </c>
      <c r="AT38">
        <f>IF(AT3=3,ROUND(AT14-ROUND(AT21*AT14,2),2),0)</f>
      </c>
      <c r="AU38">
        <f>IF(AU3=3,ROUND(AU14-ROUND(AU21*AU14,2),2),0)</f>
      </c>
      <c r="AV38">
        <f>IF(AV3=3,ROUND(AV14-ROUND(AV21*AV14,2),2),0)</f>
      </c>
      <c r="AW38">
        <f>IF(AW3=3,ROUND(AW14-ROUND(AW21*AW14,2),2),0)</f>
      </c>
      <c r="AX38">
        <f>IF(AX3=3,ROUND(AX14-ROUND(AX21*AX14,2),2),0)</f>
      </c>
      <c r="AY38">
        <f>IF(AY3=3,ROUND(AY14-ROUND(AY21*AY14,2),2),0)</f>
      </c>
      <c r="AZ38">
        <f>IF(AZ3=3,ROUND(AZ14-ROUND(AZ21*AZ14,2),2),0)</f>
      </c>
      <c r="BA38">
        <f>IF(BA3=3,ROUND(BA14-ROUND(BA21*BA14,2),2),0)</f>
      </c>
      <c r="BB38">
        <f>IF(BB3=3,ROUND(BB14-ROUND(BB21*BB14,2),2),0)</f>
      </c>
      <c r="BD38">
        <f>IF(BD3=3,ROUND(BD14-ROUND(BD21*BD14,2),2),0)</f>
      </c>
      <c r="BE38">
        <f>IF(BE3=3,ROUND(BE14-ROUND(BE21*BE14,2),2),0)</f>
      </c>
      <c r="BF38">
        <f>IF(BF3=3,ROUND(BF14-ROUND(BF21*BF14,2),2),0)</f>
      </c>
      <c r="BG38">
        <f>IF(BG3=3,ROUND(BG14-ROUND(BG21*BG14,2),2),0)</f>
      </c>
      <c r="BH38">
        <f>IF(BH3=3,ROUND(BH14-ROUND(BH21*BH14,2),2),0)</f>
      </c>
      <c r="BI38">
        <f>IF(BI3=3,ROUND(BI14-ROUND(BI21*BI14,2),2),0)</f>
      </c>
      <c r="BJ38">
        <f>IF(BJ3=3,ROUND(BJ14-ROUND(BJ21*BJ14,2),2),0)</f>
      </c>
      <c r="BK38">
        <f>IF(BK3=3,ROUND(BK14-ROUND(BK21*BK14,2),2),0)</f>
      </c>
      <c r="BL38">
        <f>IF(BL3=3,ROUND(BL14-ROUND(BL21*BL14,2),2),0)</f>
      </c>
      <c r="BM38">
        <f>IF(BM3=3,ROUND(BM14-ROUND(BM21*BM14,2),2),0)</f>
      </c>
      <c r="BN38">
        <f>IF(BN3=3,ROUND(BN14-ROUND(BN21*BN14,2),2),0)</f>
      </c>
      <c r="BO38">
        <f>IF(BO3=3,ROUND(BO14-ROUND(BO21*BO14,2),2),0)</f>
      </c>
      <c r="BP38">
        <f>IF(BP3=3,ROUND(BP14-ROUND(BP21*BP14,2),2),0)</f>
      </c>
      <c r="BQ38">
        <f>IF(BQ3=3,ROUND(BQ14-ROUND(BQ21*BQ14,2),2),0)</f>
      </c>
      <c r="BR38">
        <f>IF(BR3=3,ROUND(BR14-ROUND(BR21*BR14,2),2),0)</f>
      </c>
      <c r="BS38">
        <f>IF(BS3=3,ROUND(BS14-ROUND(BS21*BS14,2),2),0)</f>
      </c>
    </row>
    <row r="39" spans="2:71" x14ac:dyDescent="0.25">
      <c r="B39" t="s">
        <v>358</v>
      </c>
      <c r="C39">
        <f>IF(AND(C6="The children's trust",C30&gt;0),ROUNDDOWN(C38/C30,2),0)</f>
      </c>
      <c r="E39">
        <f>IF(AND(E6="The children's trust",E30&gt;0),ROUNDDOWN(E38/E30,2),0)</f>
      </c>
      <c r="F39">
        <f>IF(AND(F6="The children's trust",F30&gt;0),ROUNDDOWN(F38/F30,2),0)</f>
      </c>
      <c r="G39">
        <f>IF(AND(G6="The children's trust",G30&gt;0),ROUNDDOWN(G38/G30,2),0)</f>
      </c>
      <c r="H39">
        <f>IF(AND(H6="The children's trust",H30&gt;0),ROUNDDOWN(H38/H30,2),0)</f>
      </c>
      <c r="I39">
        <f>IF(AND(I6="The children's trust",I30&gt;0),ROUNDDOWN(I38/I30,2),0)</f>
      </c>
      <c r="J39">
        <f>IF(AND(J6="The children's trust",J30&gt;0),ROUNDDOWN(J38/J30,2),0)</f>
      </c>
      <c r="K39">
        <f>IF(AND(K6="The children's trust",K30&gt;0),ROUNDDOWN(K38/K30,2),0)</f>
      </c>
      <c r="L39">
        <f>IF(AND(L6="The children's trust",L30&gt;0),ROUNDDOWN(L38/L30,2),0)</f>
      </c>
      <c r="M39">
        <f>IF(AND(M6="The children's trust",M30&gt;0),ROUNDDOWN(M38/M30,2),0)</f>
      </c>
      <c r="N39">
        <f>IF(AND(N6="The children's trust",N30&gt;0),ROUNDDOWN(N38/N30,2),0)</f>
      </c>
      <c r="O39">
        <f>IF(AND(O6="The children's trust",O30&gt;0),ROUNDDOWN(O38/O30,2),0)</f>
      </c>
      <c r="P39">
        <f>IF(AND(P6="The children's trust",P30&gt;0),ROUNDDOWN(P38/P30,2),0)</f>
      </c>
      <c r="Q39">
        <f>IF(AND(Q6="The children's trust",Q30&gt;0),ROUNDDOWN(Q38/Q30,2),0)</f>
      </c>
      <c r="R39">
        <f>IF(AND(R6="The children's trust",R30&gt;0),ROUNDDOWN(R38/R30,2),0)</f>
      </c>
      <c r="S39">
        <f>IF(AND(S6="The children's trust",S30&gt;0),ROUNDDOWN(S38/S30,2),0)</f>
      </c>
      <c r="T39">
        <f>IF(AND(T6="The children's trust",T30&gt;0),ROUNDDOWN(T38/T30,2),0)</f>
      </c>
      <c r="V39">
        <f>IF(AND(V6="The children's trust",V30&gt;0),ROUNDDOWN(V38/V30,2),0)</f>
      </c>
      <c r="W39">
        <f>IF(AND(W6="The children's trust",W30&gt;0),ROUNDDOWN(W38/W30,2),0)</f>
      </c>
      <c r="X39">
        <f>IF(AND(X6="The children's trust",X30&gt;0),ROUNDDOWN(X38/X30,2),0)</f>
      </c>
      <c r="Y39">
        <f>IF(AND(Y6="The children's trust",Y30&gt;0),ROUNDDOWN(Y38/Y30,2),0)</f>
      </c>
      <c r="Z39">
        <f>IF(AND(Z6="The children's trust",Z30&gt;0),ROUNDDOWN(Z38/Z30,2),0)</f>
      </c>
      <c r="AA39">
        <f>IF(AND(AA6="The children's trust",AA30&gt;0),ROUNDDOWN(AA38/AA30,2),0)</f>
      </c>
      <c r="AB39">
        <f>IF(AND(AB6="The children's trust",AB30&gt;0),ROUNDDOWN(AB38/AB30,2),0)</f>
      </c>
      <c r="AC39">
        <f>IF(AND(AC6="The children's trust",AC30&gt;0),ROUNDDOWN(AC38/AC30,2),0)</f>
      </c>
      <c r="AD39">
        <f>IF(AND(AD6="The children's trust",AD30&gt;0),ROUNDDOWN(AD38/AD30,2),0)</f>
      </c>
      <c r="AE39">
        <f>IF(AND(AE6="The children's trust",AE30&gt;0),ROUNDDOWN(AE38/AE30,2),0)</f>
      </c>
      <c r="AF39">
        <f>IF(AND(AF6="The children's trust",AF30&gt;0),ROUNDDOWN(AF38/AF30,2),0)</f>
      </c>
      <c r="AG39">
        <f>IF(AND(AG6="The children's trust",AG30&gt;0),ROUNDDOWN(AG38/AG30,2),0)</f>
      </c>
      <c r="AH39">
        <f>IF(AND(AH6="The children's trust",AH30&gt;0),ROUNDDOWN(AH38/AH30,2),0)</f>
      </c>
      <c r="AI39">
        <f>IF(AND(AI6="The children's trust",AI30&gt;0),ROUNDDOWN(AI38/AI30,2),0)</f>
      </c>
      <c r="AJ39">
        <f>IF(AND(AJ6="The children's trust",AJ30&gt;0),ROUNDDOWN(AJ38/AJ30,2),0)</f>
      </c>
      <c r="AK39">
        <f>IF(AND(AK6="The children's trust",AK30&gt;0),ROUNDDOWN(AK38/AK30,2),0)</f>
      </c>
      <c r="AM39">
        <f>IF(AND(AM6="The children's trust",AM30&gt;0),ROUNDDOWN(AM38/AM30,2),0)</f>
      </c>
      <c r="AN39">
        <f>IF(AND(AN6="The children's trust",AN30&gt;0),ROUNDDOWN(AN38/AN30,2),0)</f>
      </c>
      <c r="AO39">
        <f>IF(AND(AO6="The children's trust",AO30&gt;0),ROUNDDOWN(AO38/AO30,2),0)</f>
      </c>
      <c r="AP39">
        <f>IF(AND(AP6="The children's trust",AP30&gt;0),ROUNDDOWN(AP38/AP30,2),0)</f>
      </c>
      <c r="AQ39">
        <f>IF(AND(AQ6="The children's trust",AQ30&gt;0),ROUNDDOWN(AQ38/AQ30,2),0)</f>
      </c>
      <c r="AR39">
        <f>IF(AND(AR6="The children's trust",AR30&gt;0),ROUNDDOWN(AR38/AR30,2),0)</f>
      </c>
      <c r="AS39">
        <f>IF(AND(AS6="The children's trust",AS30&gt;0),ROUNDDOWN(AS38/AS30,2),0)</f>
      </c>
      <c r="AT39">
        <f>IF(AND(AT6="The children's trust",AT30&gt;0),ROUNDDOWN(AT38/AT30,2),0)</f>
      </c>
      <c r="AU39">
        <f>IF(AND(AU6="The children's trust",AU30&gt;0),ROUNDDOWN(AU38/AU30,2),0)</f>
      </c>
      <c r="AV39">
        <f>IF(AND(AV6="The children's trust",AV30&gt;0),ROUNDDOWN(AV38/AV30,2),0)</f>
      </c>
      <c r="AW39">
        <f>IF(AND(AW6="The children's trust",AW30&gt;0),ROUNDDOWN(AW38/AW30,2),0)</f>
      </c>
      <c r="AX39">
        <f>IF(AND(AX6="The children's trust",AX30&gt;0),ROUNDDOWN(AX38/AX30,2),0)</f>
      </c>
      <c r="AY39">
        <f>IF(AND(AY6="The children's trust",AY30&gt;0),ROUNDDOWN(AY38/AY30,2),0)</f>
      </c>
      <c r="AZ39">
        <f>IF(AND(AZ6="The children's trust",AZ30&gt;0),ROUNDDOWN(AZ38/AZ30,2),0)</f>
      </c>
      <c r="BA39">
        <f>IF(AND(BA6="The children's trust",BA30&gt;0),ROUNDDOWN(BA38/BA30,2),0)</f>
      </c>
      <c r="BB39">
        <f>IF(AND(BB6="The children's trust",BB30&gt;0),ROUNDDOWN(BB38/BB30,2),0)</f>
      </c>
      <c r="BD39">
        <f>IF(AND(BD6="The children's trust",BD30&gt;0),ROUNDDOWN(BD38/BD30,2),0)</f>
      </c>
      <c r="BE39">
        <f>IF(AND(BE6="The children's trust",BE30&gt;0),ROUNDDOWN(BE38/BE30,2),0)</f>
      </c>
      <c r="BF39">
        <f>IF(AND(BF6="The children's trust",BF30&gt;0),ROUNDDOWN(BF38/BF30,2),0)</f>
      </c>
      <c r="BG39">
        <f>IF(AND(BG6="The children's trust",BG30&gt;0),ROUNDDOWN(BG38/BG30,2),0)</f>
      </c>
      <c r="BH39">
        <f>IF(AND(BH6="The children's trust",BH30&gt;0),ROUNDDOWN(BH38/BH30,2),0)</f>
      </c>
      <c r="BI39">
        <f>IF(AND(BI6="The children's trust",BI30&gt;0),ROUNDDOWN(BI38/BI30,2),0)</f>
      </c>
      <c r="BJ39">
        <f>IF(AND(BJ6="The children's trust",BJ30&gt;0),ROUNDDOWN(BJ38/BJ30,2),0)</f>
      </c>
      <c r="BK39">
        <f>IF(AND(BK6="The children's trust",BK30&gt;0),ROUNDDOWN(BK38/BK30,2),0)</f>
      </c>
      <c r="BL39">
        <f>IF(AND(BL6="The children's trust",BL30&gt;0),ROUNDDOWN(BL38/BL30,2),0)</f>
      </c>
      <c r="BM39">
        <f>IF(AND(BM6="The children's trust",BM30&gt;0),ROUNDDOWN(BM38/BM30,2),0)</f>
      </c>
      <c r="BN39">
        <f>IF(AND(BN6="The children's trust",BN30&gt;0),ROUNDDOWN(BN38/BN30,2),0)</f>
      </c>
      <c r="BO39">
        <f>IF(AND(BO6="The children's trust",BO30&gt;0),ROUNDDOWN(BO38/BO30,2),0)</f>
      </c>
      <c r="BP39">
        <f>IF(AND(BP6="The children's trust",BP30&gt;0),ROUNDDOWN(BP38/BP30,2),0)</f>
      </c>
      <c r="BQ39">
        <f>IF(AND(BQ6="The children's trust",BQ30&gt;0),ROUNDDOWN(BQ38/BQ30,2),0)</f>
      </c>
      <c r="BR39">
        <f>IF(AND(BR6="The children's trust",BR30&gt;0),ROUNDDOWN(BR38/BR30,2),0)</f>
      </c>
      <c r="BS39">
        <f>IF(AND(BS6="The children's trust",BS30&gt;0),ROUNDDOWN(BS38/BS30,2),0)</f>
      </c>
    </row>
    <row r="40" spans="2:71" x14ac:dyDescent="0.25">
      <c r="B40" t="s">
        <v>359</v>
      </c>
      <c r="C40">
        <f>IF(AND(C6="The children's trust",C30&gt;0),ROUND(C38-C39*(C30-1),2),0)</f>
      </c>
      <c r="E40">
        <f>IF(AND(E6="The children's trust",E30&gt;0),ROUND(E38-E39*(E30-1),2),0)</f>
      </c>
      <c r="F40">
        <f>IF(AND(F6="The children's trust",F30&gt;0),ROUND(F38-F39*(F30-1),2),0)</f>
      </c>
      <c r="G40">
        <f>IF(AND(G6="The children's trust",G30&gt;0),ROUND(G38-G39*(G30-1),2),0)</f>
      </c>
      <c r="H40">
        <f>IF(AND(H6="The children's trust",H30&gt;0),ROUND(H38-H39*(H30-1),2),0)</f>
      </c>
      <c r="I40">
        <f>IF(AND(I6="The children's trust",I30&gt;0),ROUND(I38-I39*(I30-1),2),0)</f>
      </c>
      <c r="J40">
        <f>IF(AND(J6="The children's trust",J30&gt;0),ROUND(J38-J39*(J30-1),2),0)</f>
      </c>
      <c r="K40">
        <f>IF(AND(K6="The children's trust",K30&gt;0),ROUND(K38-K39*(K30-1),2),0)</f>
      </c>
      <c r="L40">
        <f>IF(AND(L6="The children's trust",L30&gt;0),ROUND(L38-L39*(L30-1),2),0)</f>
      </c>
      <c r="M40">
        <f>IF(AND(M6="The children's trust",M30&gt;0),ROUND(M38-M39*(M30-1),2),0)</f>
      </c>
      <c r="N40">
        <f>IF(AND(N6="The children's trust",N30&gt;0),ROUND(N38-N39*(N30-1),2),0)</f>
      </c>
      <c r="O40">
        <f>IF(AND(O6="The children's trust",O30&gt;0),ROUND(O38-O39*(O30-1),2),0)</f>
      </c>
      <c r="P40">
        <f>IF(AND(P6="The children's trust",P30&gt;0),ROUND(P38-P39*(P30-1),2),0)</f>
      </c>
      <c r="Q40">
        <f>IF(AND(Q6="The children's trust",Q30&gt;0),ROUND(Q38-Q39*(Q30-1),2),0)</f>
      </c>
      <c r="R40">
        <f>IF(AND(R6="The children's trust",R30&gt;0),ROUND(R38-R39*(R30-1),2),0)</f>
      </c>
      <c r="S40">
        <f>IF(AND(S6="The children's trust",S30&gt;0),ROUND(S38-S39*(S30-1),2),0)</f>
      </c>
      <c r="T40">
        <f>IF(AND(T6="The children's trust",T30&gt;0),ROUND(T38-T39*(T30-1),2),0)</f>
      </c>
      <c r="V40">
        <f>IF(AND(V6="The children's trust",V30&gt;0),ROUND(V38-V39*(V30-1),2),0)</f>
      </c>
      <c r="W40">
        <f>IF(AND(W6="The children's trust",W30&gt;0),ROUND(W38-W39*(W30-1),2),0)</f>
      </c>
      <c r="X40">
        <f>IF(AND(X6="The children's trust",X30&gt;0),ROUND(X38-X39*(X30-1),2),0)</f>
      </c>
      <c r="Y40">
        <f>IF(AND(Y6="The children's trust",Y30&gt;0),ROUND(Y38-Y39*(Y30-1),2),0)</f>
      </c>
      <c r="Z40">
        <f>IF(AND(Z6="The children's trust",Z30&gt;0),ROUND(Z38-Z39*(Z30-1),2),0)</f>
      </c>
      <c r="AA40">
        <f>IF(AND(AA6="The children's trust",AA30&gt;0),ROUND(AA38-AA39*(AA30-1),2),0)</f>
      </c>
      <c r="AB40">
        <f>IF(AND(AB6="The children's trust",AB30&gt;0),ROUND(AB38-AB39*(AB30-1),2),0)</f>
      </c>
      <c r="AC40">
        <f>IF(AND(AC6="The children's trust",AC30&gt;0),ROUND(AC38-AC39*(AC30-1),2),0)</f>
      </c>
      <c r="AD40">
        <f>IF(AND(AD6="The children's trust",AD30&gt;0),ROUND(AD38-AD39*(AD30-1),2),0)</f>
      </c>
      <c r="AE40">
        <f>IF(AND(AE6="The children's trust",AE30&gt;0),ROUND(AE38-AE39*(AE30-1),2),0)</f>
      </c>
      <c r="AF40">
        <f>IF(AND(AF6="The children's trust",AF30&gt;0),ROUND(AF38-AF39*(AF30-1),2),0)</f>
      </c>
      <c r="AG40">
        <f>IF(AND(AG6="The children's trust",AG30&gt;0),ROUND(AG38-AG39*(AG30-1),2),0)</f>
      </c>
      <c r="AH40">
        <f>IF(AND(AH6="The children's trust",AH30&gt;0),ROUND(AH38-AH39*(AH30-1),2),0)</f>
      </c>
      <c r="AI40">
        <f>IF(AND(AI6="The children's trust",AI30&gt;0),ROUND(AI38-AI39*(AI30-1),2),0)</f>
      </c>
      <c r="AJ40">
        <f>IF(AND(AJ6="The children's trust",AJ30&gt;0),ROUND(AJ38-AJ39*(AJ30-1),2),0)</f>
      </c>
      <c r="AK40">
        <f>IF(AND(AK6="The children's trust",AK30&gt;0),ROUND(AK38-AK39*(AK30-1),2),0)</f>
      </c>
      <c r="AM40">
        <f>IF(AND(AM6="The children's trust",AM30&gt;0),ROUND(AM38-AM39*(AM30-1),2),0)</f>
      </c>
      <c r="AN40">
        <f>IF(AND(AN6="The children's trust",AN30&gt;0),ROUND(AN38-AN39*(AN30-1),2),0)</f>
      </c>
      <c r="AO40">
        <f>IF(AND(AO6="The children's trust",AO30&gt;0),ROUND(AO38-AO39*(AO30-1),2),0)</f>
      </c>
      <c r="AP40">
        <f>IF(AND(AP6="The children's trust",AP30&gt;0),ROUND(AP38-AP39*(AP30-1),2),0)</f>
      </c>
      <c r="AQ40">
        <f>IF(AND(AQ6="The children's trust",AQ30&gt;0),ROUND(AQ38-AQ39*(AQ30-1),2),0)</f>
      </c>
      <c r="AR40">
        <f>IF(AND(AR6="The children's trust",AR30&gt;0),ROUND(AR38-AR39*(AR30-1),2),0)</f>
      </c>
      <c r="AS40">
        <f>IF(AND(AS6="The children's trust",AS30&gt;0),ROUND(AS38-AS39*(AS30-1),2),0)</f>
      </c>
      <c r="AT40">
        <f>IF(AND(AT6="The children's trust",AT30&gt;0),ROUND(AT38-AT39*(AT30-1),2),0)</f>
      </c>
      <c r="AU40">
        <f>IF(AND(AU6="The children's trust",AU30&gt;0),ROUND(AU38-AU39*(AU30-1),2),0)</f>
      </c>
      <c r="AV40">
        <f>IF(AND(AV6="The children's trust",AV30&gt;0),ROUND(AV38-AV39*(AV30-1),2),0)</f>
      </c>
      <c r="AW40">
        <f>IF(AND(AW6="The children's trust",AW30&gt;0),ROUND(AW38-AW39*(AW30-1),2),0)</f>
      </c>
      <c r="AX40">
        <f>IF(AND(AX6="The children's trust",AX30&gt;0),ROUND(AX38-AX39*(AX30-1),2),0)</f>
      </c>
      <c r="AY40">
        <f>IF(AND(AY6="The children's trust",AY30&gt;0),ROUND(AY38-AY39*(AY30-1),2),0)</f>
      </c>
      <c r="AZ40">
        <f>IF(AND(AZ6="The children's trust",AZ30&gt;0),ROUND(AZ38-AZ39*(AZ30-1),2),0)</f>
      </c>
      <c r="BA40">
        <f>IF(AND(BA6="The children's trust",BA30&gt;0),ROUND(BA38-BA39*(BA30-1),2),0)</f>
      </c>
      <c r="BB40">
        <f>IF(AND(BB6="The children's trust",BB30&gt;0),ROUND(BB38-BB39*(BB30-1),2),0)</f>
      </c>
      <c r="BD40">
        <f>IF(AND(BD6="The children's trust",BD30&gt;0),ROUND(BD38-BD39*(BD30-1),2),0)</f>
      </c>
      <c r="BE40">
        <f>IF(AND(BE6="The children's trust",BE30&gt;0),ROUND(BE38-BE39*(BE30-1),2),0)</f>
      </c>
      <c r="BF40">
        <f>IF(AND(BF6="The children's trust",BF30&gt;0),ROUND(BF38-BF39*(BF30-1),2),0)</f>
      </c>
      <c r="BG40">
        <f>IF(AND(BG6="The children's trust",BG30&gt;0),ROUND(BG38-BG39*(BG30-1),2),0)</f>
      </c>
      <c r="BH40">
        <f>IF(AND(BH6="The children's trust",BH30&gt;0),ROUND(BH38-BH39*(BH30-1),2),0)</f>
      </c>
      <c r="BI40">
        <f>IF(AND(BI6="The children's trust",BI30&gt;0),ROUND(BI38-BI39*(BI30-1),2),0)</f>
      </c>
      <c r="BJ40">
        <f>IF(AND(BJ6="The children's trust",BJ30&gt;0),ROUND(BJ38-BJ39*(BJ30-1),2),0)</f>
      </c>
      <c r="BK40">
        <f>IF(AND(BK6="The children's trust",BK30&gt;0),ROUND(BK38-BK39*(BK30-1),2),0)</f>
      </c>
      <c r="BL40">
        <f>IF(AND(BL6="The children's trust",BL30&gt;0),ROUND(BL38-BL39*(BL30-1),2),0)</f>
      </c>
      <c r="BM40">
        <f>IF(AND(BM6="The children's trust",BM30&gt;0),ROUND(BM38-BM39*(BM30-1),2),0)</f>
      </c>
      <c r="BN40">
        <f>IF(AND(BN6="The children's trust",BN30&gt;0),ROUND(BN38-BN39*(BN30-1),2),0)</f>
      </c>
      <c r="BO40">
        <f>IF(AND(BO6="The children's trust",BO30&gt;0),ROUND(BO38-BO39*(BO30-1),2),0)</f>
      </c>
      <c r="BP40">
        <f>IF(AND(BP6="The children's trust",BP30&gt;0),ROUND(BP38-BP39*(BP30-1),2),0)</f>
      </c>
      <c r="BQ40">
        <f>IF(AND(BQ6="The children's trust",BQ30&gt;0),ROUND(BQ38-BQ39*(BQ30-1),2),0)</f>
      </c>
      <c r="BR40">
        <f>IF(AND(BR6="The children's trust",BR30&gt;0),ROUND(BR38-BR39*(BR30-1),2),0)</f>
      </c>
      <c r="BS40">
        <f>IF(AND(BS6="The children's trust",BS30&gt;0),ROUND(BS38-BS39*(BS30-1),2),0)</f>
      </c>
    </row>
    <row r="41" spans="2:71" x14ac:dyDescent="0.25">
      <c r="B41" t="s">
        <v>360</v>
      </c>
      <c r="C41">
        <f>ROUND(C13-ROUND(C21*C13,2),2)</f>
      </c>
      <c r="E41">
        <f>ROUND(E13-ROUND(E21*E13,2),2)</f>
      </c>
      <c r="F41">
        <f>ROUND(F13-ROUND(F21*F13,2),2)</f>
      </c>
      <c r="G41">
        <f>ROUND(G13-ROUND(G21*G13,2),2)</f>
      </c>
      <c r="H41">
        <f>ROUND(H13-ROUND(H21*H13,2),2)</f>
      </c>
      <c r="I41">
        <f>ROUND(I13-ROUND(I21*I13,2),2)</f>
      </c>
      <c r="J41">
        <f>ROUND(J13-ROUND(J21*J13,2),2)</f>
      </c>
      <c r="K41">
        <f>ROUND(K13-ROUND(K21*K13,2),2)</f>
      </c>
      <c r="L41">
        <f>ROUND(L13-ROUND(L21*L13,2),2)</f>
      </c>
      <c r="M41">
        <f>ROUND(M13-ROUND(M21*M13,2),2)</f>
      </c>
      <c r="N41">
        <f>ROUND(N13-ROUND(N21*N13,2),2)</f>
      </c>
      <c r="O41">
        <f>ROUND(O13-ROUND(O21*O13,2),2)</f>
      </c>
      <c r="P41">
        <f>ROUND(P13-ROUND(P21*P13,2),2)</f>
      </c>
      <c r="Q41">
        <f>ROUND(Q13-ROUND(Q21*Q13,2),2)</f>
      </c>
      <c r="R41">
        <f>ROUND(R13-ROUND(R21*R13,2),2)</f>
      </c>
      <c r="S41">
        <f>ROUND(S13-ROUND(S21*S13,2),2)</f>
      </c>
      <c r="T41">
        <f>ROUND(T13-ROUND(T21*T13,2),2)</f>
      </c>
      <c r="V41">
        <f>ROUND(V13-ROUND(V21*V13,2),2)</f>
      </c>
      <c r="W41">
        <f>ROUND(W13-ROUND(W21*W13,2),2)</f>
      </c>
      <c r="X41">
        <f>ROUND(X13-ROUND(X21*X13,2),2)</f>
      </c>
      <c r="Y41">
        <f>ROUND(Y13-ROUND(Y21*Y13,2),2)</f>
      </c>
      <c r="Z41">
        <f>ROUND(Z13-ROUND(Z21*Z13,2),2)</f>
      </c>
      <c r="AA41">
        <f>ROUND(AA13-ROUND(AA21*AA13,2),2)</f>
      </c>
      <c r="AB41">
        <f>ROUND(AB13-ROUND(AB21*AB13,2),2)</f>
      </c>
      <c r="AC41">
        <f>ROUND(AC13-ROUND(AC21*AC13,2),2)</f>
      </c>
      <c r="AD41">
        <f>ROUND(AD13-ROUND(AD21*AD13,2),2)</f>
      </c>
      <c r="AE41">
        <f>ROUND(AE13-ROUND(AE21*AE13,2),2)</f>
      </c>
      <c r="AF41">
        <f>ROUND(AF13-ROUND(AF21*AF13,2),2)</f>
      </c>
      <c r="AG41">
        <f>ROUND(AG13-ROUND(AG21*AG13,2),2)</f>
      </c>
      <c r="AH41">
        <f>ROUND(AH13-ROUND(AH21*AH13,2),2)</f>
      </c>
      <c r="AI41">
        <f>ROUND(AI13-ROUND(AI21*AI13,2),2)</f>
      </c>
      <c r="AJ41">
        <f>ROUND(AJ13-ROUND(AJ21*AJ13,2),2)</f>
      </c>
      <c r="AK41">
        <f>ROUND(AK13-ROUND(AK21*AK13,2),2)</f>
      </c>
      <c r="AM41">
        <f>ROUND(AM13-ROUND(AM21*AM13,2),2)</f>
      </c>
      <c r="AN41">
        <f>ROUND(AN13-ROUND(AN21*AN13,2),2)</f>
      </c>
      <c r="AO41">
        <f>ROUND(AO13-ROUND(AO21*AO13,2),2)</f>
      </c>
      <c r="AP41">
        <f>ROUND(AP13-ROUND(AP21*AP13,2),2)</f>
      </c>
      <c r="AQ41">
        <f>ROUND(AQ13-ROUND(AQ21*AQ13,2),2)</f>
      </c>
      <c r="AR41">
        <f>ROUND(AR13-ROUND(AR21*AR13,2),2)</f>
      </c>
      <c r="AS41">
        <f>ROUND(AS13-ROUND(AS21*AS13,2),2)</f>
      </c>
      <c r="AT41">
        <f>ROUND(AT13-ROUND(AT21*AT13,2),2)</f>
      </c>
      <c r="AU41">
        <f>ROUND(AU13-ROUND(AU21*AU13,2),2)</f>
      </c>
      <c r="AV41">
        <f>ROUND(AV13-ROUND(AV21*AV13,2),2)</f>
      </c>
      <c r="AW41">
        <f>ROUND(AW13-ROUND(AW21*AW13,2),2)</f>
      </c>
      <c r="AX41">
        <f>ROUND(AX13-ROUND(AX21*AX13,2),2)</f>
      </c>
      <c r="AY41">
        <f>ROUND(AY13-ROUND(AY21*AY13,2),2)</f>
      </c>
      <c r="AZ41">
        <f>ROUND(AZ13-ROUND(AZ21*AZ13,2),2)</f>
      </c>
      <c r="BA41">
        <f>ROUND(BA13-ROUND(BA21*BA13,2),2)</f>
      </c>
      <c r="BB41">
        <f>ROUND(BB13-ROUND(BB21*BB13,2),2)</f>
      </c>
      <c r="BD41">
        <f>ROUND(BD13-ROUND(BD21*BD13,2),2)</f>
      </c>
      <c r="BE41">
        <f>ROUND(BE13-ROUND(BE21*BE13,2),2)</f>
      </c>
      <c r="BF41">
        <f>ROUND(BF13-ROUND(BF21*BF13,2),2)</f>
      </c>
      <c r="BG41">
        <f>ROUND(BG13-ROUND(BG21*BG13,2),2)</f>
      </c>
      <c r="BH41">
        <f>ROUND(BH13-ROUND(BH21*BH13,2),2)</f>
      </c>
      <c r="BI41">
        <f>ROUND(BI13-ROUND(BI21*BI13,2),2)</f>
      </c>
      <c r="BJ41">
        <f>ROUND(BJ13-ROUND(BJ21*BJ13,2),2)</f>
      </c>
      <c r="BK41">
        <f>ROUND(BK13-ROUND(BK21*BK13,2),2)</f>
      </c>
      <c r="BL41">
        <f>ROUND(BL13-ROUND(BL21*BL13,2),2)</f>
      </c>
      <c r="BM41">
        <f>ROUND(BM13-ROUND(BM21*BM13,2),2)</f>
      </c>
      <c r="BN41">
        <f>ROUND(BN13-ROUND(BN21*BN13,2),2)</f>
      </c>
      <c r="BO41">
        <f>ROUND(BO13-ROUND(BO21*BO13,2),2)</f>
      </c>
      <c r="BP41">
        <f>ROUND(BP13-ROUND(BP21*BP13,2),2)</f>
      </c>
      <c r="BQ41">
        <f>ROUND(BQ13-ROUND(BQ21*BQ13,2),2)</f>
      </c>
      <c r="BR41">
        <f>ROUND(BR13-ROUND(BR21*BR13,2),2)</f>
      </c>
      <c r="BS41">
        <f>ROUND(BS13-ROUND(BS21*BS13,2),2)</f>
      </c>
    </row>
    <row r="42" spans="2:71" x14ac:dyDescent="0.25">
      <c r="B42" t="s">
        <v>361</v>
      </c>
      <c r="C42">
        <f>IF(C30=0,0,ROUNDDOWN(C41/C30,2))</f>
      </c>
      <c r="E42">
        <f>IF(E30=0,0,ROUNDDOWN(E41/E30,2))</f>
      </c>
      <c r="F42">
        <f>IF(F30=0,0,ROUNDDOWN(F41/F30,2))</f>
      </c>
      <c r="G42">
        <f>IF(G30=0,0,ROUNDDOWN(G41/G30,2))</f>
      </c>
      <c r="H42">
        <f>IF(H30=0,0,ROUNDDOWN(H41/H30,2))</f>
      </c>
      <c r="I42">
        <f>IF(I30=0,0,ROUNDDOWN(I41/I30,2))</f>
      </c>
      <c r="J42">
        <f>IF(J30=0,0,ROUNDDOWN(J41/J30,2))</f>
      </c>
      <c r="K42">
        <f>IF(K30=0,0,ROUNDDOWN(K41/K30,2))</f>
      </c>
      <c r="L42">
        <f>IF(L30=0,0,ROUNDDOWN(L41/L30,2))</f>
      </c>
      <c r="M42">
        <f>IF(M30=0,0,ROUNDDOWN(M41/M30,2))</f>
      </c>
      <c r="N42">
        <f>IF(N30=0,0,ROUNDDOWN(N41/N30,2))</f>
      </c>
      <c r="O42">
        <f>IF(O30=0,0,ROUNDDOWN(O41/O30,2))</f>
      </c>
      <c r="P42">
        <f>IF(P30=0,0,ROUNDDOWN(P41/P30,2))</f>
      </c>
      <c r="Q42">
        <f>IF(Q30=0,0,ROUNDDOWN(Q41/Q30,2))</f>
      </c>
      <c r="R42">
        <f>IF(R30=0,0,ROUNDDOWN(R41/R30,2))</f>
      </c>
      <c r="S42">
        <f>IF(S30=0,0,ROUNDDOWN(S41/S30,2))</f>
      </c>
      <c r="T42">
        <f>IF(T30=0,0,ROUNDDOWN(T41/T30,2))</f>
      </c>
      <c r="V42">
        <f>IF(V30=0,0,ROUNDDOWN(V41/V30,2))</f>
      </c>
      <c r="W42">
        <f>IF(W30=0,0,ROUNDDOWN(W41/W30,2))</f>
      </c>
      <c r="X42">
        <f>IF(X30=0,0,ROUNDDOWN(X41/X30,2))</f>
      </c>
      <c r="Y42">
        <f>IF(Y30=0,0,ROUNDDOWN(Y41/Y30,2))</f>
      </c>
      <c r="Z42">
        <f>IF(Z30=0,0,ROUNDDOWN(Z41/Z30,2))</f>
      </c>
      <c r="AA42">
        <f>IF(AA30=0,0,ROUNDDOWN(AA41/AA30,2))</f>
      </c>
      <c r="AB42">
        <f>IF(AB30=0,0,ROUNDDOWN(AB41/AB30,2))</f>
      </c>
      <c r="AC42">
        <f>IF(AC30=0,0,ROUNDDOWN(AC41/AC30,2))</f>
      </c>
      <c r="AD42">
        <f>IF(AD30=0,0,ROUNDDOWN(AD41/AD30,2))</f>
      </c>
      <c r="AE42">
        <f>IF(AE30=0,0,ROUNDDOWN(AE41/AE30,2))</f>
      </c>
      <c r="AF42">
        <f>IF(AF30=0,0,ROUNDDOWN(AF41/AF30,2))</f>
      </c>
      <c r="AG42">
        <f>IF(AG30=0,0,ROUNDDOWN(AG41/AG30,2))</f>
      </c>
      <c r="AH42">
        <f>IF(AH30=0,0,ROUNDDOWN(AH41/AH30,2))</f>
      </c>
      <c r="AI42">
        <f>IF(AI30=0,0,ROUNDDOWN(AI41/AI30,2))</f>
      </c>
      <c r="AJ42">
        <f>IF(AJ30=0,0,ROUNDDOWN(AJ41/AJ30,2))</f>
      </c>
      <c r="AK42">
        <f>IF(AK30=0,0,ROUNDDOWN(AK41/AK30,2))</f>
      </c>
      <c r="AM42">
        <f>IF(AM30=0,0,ROUNDDOWN(AM41/AM30,2))</f>
      </c>
      <c r="AN42">
        <f>IF(AN30=0,0,ROUNDDOWN(AN41/AN30,2))</f>
      </c>
      <c r="AO42">
        <f>IF(AO30=0,0,ROUNDDOWN(AO41/AO30,2))</f>
      </c>
      <c r="AP42">
        <f>IF(AP30=0,0,ROUNDDOWN(AP41/AP30,2))</f>
      </c>
      <c r="AQ42">
        <f>IF(AQ30=0,0,ROUNDDOWN(AQ41/AQ30,2))</f>
      </c>
      <c r="AR42">
        <f>IF(AR30=0,0,ROUNDDOWN(AR41/AR30,2))</f>
      </c>
      <c r="AS42">
        <f>IF(AS30=0,0,ROUNDDOWN(AS41/AS30,2))</f>
      </c>
      <c r="AT42">
        <f>IF(AT30=0,0,ROUNDDOWN(AT41/AT30,2))</f>
      </c>
      <c r="AU42">
        <f>IF(AU30=0,0,ROUNDDOWN(AU41/AU30,2))</f>
      </c>
      <c r="AV42">
        <f>IF(AV30=0,0,ROUNDDOWN(AV41/AV30,2))</f>
      </c>
      <c r="AW42">
        <f>IF(AW30=0,0,ROUNDDOWN(AW41/AW30,2))</f>
      </c>
      <c r="AX42">
        <f>IF(AX30=0,0,ROUNDDOWN(AX41/AX30,2))</f>
      </c>
      <c r="AY42">
        <f>IF(AY30=0,0,ROUNDDOWN(AY41/AY30,2))</f>
      </c>
      <c r="AZ42">
        <f>IF(AZ30=0,0,ROUNDDOWN(AZ41/AZ30,2))</f>
      </c>
      <c r="BA42">
        <f>IF(BA30=0,0,ROUNDDOWN(BA41/BA30,2))</f>
      </c>
      <c r="BB42">
        <f>IF(BB30=0,0,ROUNDDOWN(BB41/BB30,2))</f>
      </c>
      <c r="BD42">
        <f>IF(BD30=0,0,ROUNDDOWN(BD41/BD30,2))</f>
      </c>
      <c r="BE42">
        <f>IF(BE30=0,0,ROUNDDOWN(BE41/BE30,2))</f>
      </c>
      <c r="BF42">
        <f>IF(BF30=0,0,ROUNDDOWN(BF41/BF30,2))</f>
      </c>
      <c r="BG42">
        <f>IF(BG30=0,0,ROUNDDOWN(BG41/BG30,2))</f>
      </c>
      <c r="BH42">
        <f>IF(BH30=0,0,ROUNDDOWN(BH41/BH30,2))</f>
      </c>
      <c r="BI42">
        <f>IF(BI30=0,0,ROUNDDOWN(BI41/BI30,2))</f>
      </c>
      <c r="BJ42">
        <f>IF(BJ30=0,0,ROUNDDOWN(BJ41/BJ30,2))</f>
      </c>
      <c r="BK42">
        <f>IF(BK30=0,0,ROUNDDOWN(BK41/BK30,2))</f>
      </c>
      <c r="BL42">
        <f>IF(BL30=0,0,ROUNDDOWN(BL41/BL30,2))</f>
      </c>
      <c r="BM42">
        <f>IF(BM30=0,0,ROUNDDOWN(BM41/BM30,2))</f>
      </c>
      <c r="BN42">
        <f>IF(BN30=0,0,ROUNDDOWN(BN41/BN30,2))</f>
      </c>
      <c r="BO42">
        <f>IF(BO30=0,0,ROUNDDOWN(BO41/BO30,2))</f>
      </c>
      <c r="BP42">
        <f>IF(BP30=0,0,ROUNDDOWN(BP41/BP30,2))</f>
      </c>
      <c r="BQ42">
        <f>IF(BQ30=0,0,ROUNDDOWN(BQ41/BQ30,2))</f>
      </c>
      <c r="BR42">
        <f>IF(BR30=0,0,ROUNDDOWN(BR41/BR30,2))</f>
      </c>
      <c r="BS42">
        <f>IF(BS30=0,0,ROUNDDOWN(BS41/BS30,2))</f>
      </c>
    </row>
    <row r="43" spans="2:71" x14ac:dyDescent="0.25">
      <c r="B43" t="s">
        <v>362</v>
      </c>
      <c r="C43">
        <f>IF(C30=0,0,ROUND(C41-C42*(C30-1),2))</f>
      </c>
      <c r="E43">
        <f>IF(E30=0,0,ROUND(E41-E42*(E30-1),2))</f>
      </c>
      <c r="F43">
        <f>IF(F30=0,0,ROUND(F41-F42*(F30-1),2))</f>
      </c>
      <c r="G43">
        <f>IF(G30=0,0,ROUND(G41-G42*(G30-1),2))</f>
      </c>
      <c r="H43">
        <f>IF(H30=0,0,ROUND(H41-H42*(H30-1),2))</f>
      </c>
      <c r="I43">
        <f>IF(I30=0,0,ROUND(I41-I42*(I30-1),2))</f>
      </c>
      <c r="J43">
        <f>IF(J30=0,0,ROUND(J41-J42*(J30-1),2))</f>
      </c>
      <c r="K43">
        <f>IF(K30=0,0,ROUND(K41-K42*(K30-1),2))</f>
      </c>
      <c r="L43">
        <f>IF(L30=0,0,ROUND(L41-L42*(L30-1),2))</f>
      </c>
      <c r="M43">
        <f>IF(M30=0,0,ROUND(M41-M42*(M30-1),2))</f>
      </c>
      <c r="N43">
        <f>IF(N30=0,0,ROUND(N41-N42*(N30-1),2))</f>
      </c>
      <c r="O43">
        <f>IF(O30=0,0,ROUND(O41-O42*(O30-1),2))</f>
      </c>
      <c r="P43">
        <f>IF(P30=0,0,ROUND(P41-P42*(P30-1),2))</f>
      </c>
      <c r="Q43">
        <f>IF(Q30=0,0,ROUND(Q41-Q42*(Q30-1),2))</f>
      </c>
      <c r="R43">
        <f>IF(R30=0,0,ROUND(R41-R42*(R30-1),2))</f>
      </c>
      <c r="S43">
        <f>IF(S30=0,0,ROUND(S41-S42*(S30-1),2))</f>
      </c>
      <c r="T43">
        <f>IF(T30=0,0,ROUND(T41-T42*(T30-1),2))</f>
      </c>
      <c r="V43">
        <f>IF(V30=0,0,ROUND(V41-V42*(V30-1),2))</f>
      </c>
      <c r="W43">
        <f>IF(W30=0,0,ROUND(W41-W42*(W30-1),2))</f>
      </c>
      <c r="X43">
        <f>IF(X30=0,0,ROUND(X41-X42*(X30-1),2))</f>
      </c>
      <c r="Y43">
        <f>IF(Y30=0,0,ROUND(Y41-Y42*(Y30-1),2))</f>
      </c>
      <c r="Z43">
        <f>IF(Z30=0,0,ROUND(Z41-Z42*(Z30-1),2))</f>
      </c>
      <c r="AA43">
        <f>IF(AA30=0,0,ROUND(AA41-AA42*(AA30-1),2))</f>
      </c>
      <c r="AB43">
        <f>IF(AB30=0,0,ROUND(AB41-AB42*(AB30-1),2))</f>
      </c>
      <c r="AC43">
        <f>IF(AC30=0,0,ROUND(AC41-AC42*(AC30-1),2))</f>
      </c>
      <c r="AD43">
        <f>IF(AD30=0,0,ROUND(AD41-AD42*(AD30-1),2))</f>
      </c>
      <c r="AE43">
        <f>IF(AE30=0,0,ROUND(AE41-AE42*(AE30-1),2))</f>
      </c>
      <c r="AF43">
        <f>IF(AF30=0,0,ROUND(AF41-AF42*(AF30-1),2))</f>
      </c>
      <c r="AG43">
        <f>IF(AG30=0,0,ROUND(AG41-AG42*(AG30-1),2))</f>
      </c>
      <c r="AH43">
        <f>IF(AH30=0,0,ROUND(AH41-AH42*(AH30-1),2))</f>
      </c>
      <c r="AI43">
        <f>IF(AI30=0,0,ROUND(AI41-AI42*(AI30-1),2))</f>
      </c>
      <c r="AJ43">
        <f>IF(AJ30=0,0,ROUND(AJ41-AJ42*(AJ30-1),2))</f>
      </c>
      <c r="AK43">
        <f>IF(AK30=0,0,ROUND(AK41-AK42*(AK30-1),2))</f>
      </c>
      <c r="AM43">
        <f>IF(AM30=0,0,ROUND(AM41-AM42*(AM30-1),2))</f>
      </c>
      <c r="AN43">
        <f>IF(AN30=0,0,ROUND(AN41-AN42*(AN30-1),2))</f>
      </c>
      <c r="AO43">
        <f>IF(AO30=0,0,ROUND(AO41-AO42*(AO30-1),2))</f>
      </c>
      <c r="AP43">
        <f>IF(AP30=0,0,ROUND(AP41-AP42*(AP30-1),2))</f>
      </c>
      <c r="AQ43">
        <f>IF(AQ30=0,0,ROUND(AQ41-AQ42*(AQ30-1),2))</f>
      </c>
      <c r="AR43">
        <f>IF(AR30=0,0,ROUND(AR41-AR42*(AR30-1),2))</f>
      </c>
      <c r="AS43">
        <f>IF(AS30=0,0,ROUND(AS41-AS42*(AS30-1),2))</f>
      </c>
      <c r="AT43">
        <f>IF(AT30=0,0,ROUND(AT41-AT42*(AT30-1),2))</f>
      </c>
      <c r="AU43">
        <f>IF(AU30=0,0,ROUND(AU41-AU42*(AU30-1),2))</f>
      </c>
      <c r="AV43">
        <f>IF(AV30=0,0,ROUND(AV41-AV42*(AV30-1),2))</f>
      </c>
      <c r="AW43">
        <f>IF(AW30=0,0,ROUND(AW41-AW42*(AW30-1),2))</f>
      </c>
      <c r="AX43">
        <f>IF(AX30=0,0,ROUND(AX41-AX42*(AX30-1),2))</f>
      </c>
      <c r="AY43">
        <f>IF(AY30=0,0,ROUND(AY41-AY42*(AY30-1),2))</f>
      </c>
      <c r="AZ43">
        <f>IF(AZ30=0,0,ROUND(AZ41-AZ42*(AZ30-1),2))</f>
      </c>
      <c r="BA43">
        <f>IF(BA30=0,0,ROUND(BA41-BA42*(BA30-1),2))</f>
      </c>
      <c r="BB43">
        <f>IF(BB30=0,0,ROUND(BB41-BB42*(BB30-1),2))</f>
      </c>
      <c r="BD43">
        <f>IF(BD30=0,0,ROUND(BD41-BD42*(BD30-1),2))</f>
      </c>
      <c r="BE43">
        <f>IF(BE30=0,0,ROUND(BE41-BE42*(BE30-1),2))</f>
      </c>
      <c r="BF43">
        <f>IF(BF30=0,0,ROUND(BF41-BF42*(BF30-1),2))</f>
      </c>
      <c r="BG43">
        <f>IF(BG30=0,0,ROUND(BG41-BG42*(BG30-1),2))</f>
      </c>
      <c r="BH43">
        <f>IF(BH30=0,0,ROUND(BH41-BH42*(BH30-1),2))</f>
      </c>
      <c r="BI43">
        <f>IF(BI30=0,0,ROUND(BI41-BI42*(BI30-1),2))</f>
      </c>
      <c r="BJ43">
        <f>IF(BJ30=0,0,ROUND(BJ41-BJ42*(BJ30-1),2))</f>
      </c>
      <c r="BK43">
        <f>IF(BK30=0,0,ROUND(BK41-BK42*(BK30-1),2))</f>
      </c>
      <c r="BL43">
        <f>IF(BL30=0,0,ROUND(BL41-BL42*(BL30-1),2))</f>
      </c>
      <c r="BM43">
        <f>IF(BM30=0,0,ROUND(BM41-BM42*(BM30-1),2))</f>
      </c>
      <c r="BN43">
        <f>IF(BN30=0,0,ROUND(BN41-BN42*(BN30-1),2))</f>
      </c>
      <c r="BO43">
        <f>IF(BO30=0,0,ROUND(BO41-BO42*(BO30-1),2))</f>
      </c>
      <c r="BP43">
        <f>IF(BP30=0,0,ROUND(BP41-BP42*(BP30-1),2))</f>
      </c>
      <c r="BQ43">
        <f>IF(BQ30=0,0,ROUND(BQ41-BQ42*(BQ30-1),2))</f>
      </c>
      <c r="BR43">
        <f>IF(BR30=0,0,ROUND(BR41-BR42*(BR30-1),2))</f>
      </c>
      <c r="BS43">
        <f>IF(BS30=0,0,ROUND(BS41-BS42*(BS30-1),2))</f>
      </c>
    </row>
    <row r="44" spans="2:71" x14ac:dyDescent="0.25">
      <c r="B44" t="s">
        <v>363</v>
      </c>
      <c r="C44">
        <f>SUMPRODUCT('Inputs'!$R$59:$R$70*('Inputs'!$F$59:$F$70=""),('Inputs'!$D$59:$D$70-('Inputs'!$P$59:$P$70=C5)*C14))</f>
      </c>
      <c r="E44">
        <f>SUMPRODUCT('Inputs'!$R$59:$R$70*('Inputs'!$F$59:$F$70=""),('Inputs'!$D$59:$D$70-('Inputs'!$P$59:$P$70=E5)*E14))</f>
      </c>
      <c r="F44">
        <f>SUMPRODUCT('Inputs'!$R$59:$R$70*('Inputs'!$F$59:$F$70=""),('Inputs'!$D$59:$D$70-('Inputs'!$P$59:$P$70=F5)*F14))</f>
      </c>
      <c r="G44">
        <f>SUMPRODUCT('Inputs'!$R$59:$R$70*('Inputs'!$F$59:$F$70=""),('Inputs'!$D$59:$D$70-('Inputs'!$P$59:$P$70=G5)*G14))</f>
      </c>
      <c r="H44">
        <f>SUMPRODUCT('Inputs'!$R$59:$R$70*('Inputs'!$F$59:$F$70=""),('Inputs'!$D$59:$D$70-('Inputs'!$P$59:$P$70=H5)*H14))</f>
      </c>
      <c r="I44">
        <f>SUMPRODUCT('Inputs'!$R$59:$R$70*('Inputs'!$F$59:$F$70=""),('Inputs'!$D$59:$D$70-('Inputs'!$P$59:$P$70=I5)*I14))</f>
      </c>
      <c r="J44">
        <f>SUMPRODUCT('Inputs'!$R$59:$R$70*('Inputs'!$F$59:$F$70=""),('Inputs'!$D$59:$D$70-('Inputs'!$P$59:$P$70=J5)*J14))</f>
      </c>
      <c r="K44">
        <f>SUMPRODUCT('Inputs'!$R$59:$R$70*('Inputs'!$F$59:$F$70=""),('Inputs'!$D$59:$D$70-('Inputs'!$P$59:$P$70=K5)*K14))</f>
      </c>
      <c r="L44">
        <f>SUMPRODUCT('Inputs'!$R$59:$R$70*('Inputs'!$F$59:$F$70=""),('Inputs'!$D$59:$D$70-('Inputs'!$P$59:$P$70=L5)*L14))</f>
      </c>
      <c r="M44">
        <f>SUMPRODUCT('Inputs'!$R$59:$R$70*('Inputs'!$F$59:$F$70=""),('Inputs'!$D$59:$D$70-('Inputs'!$P$59:$P$70=M5)*M14))</f>
      </c>
      <c r="N44">
        <f>SUMPRODUCT('Inputs'!$R$59:$R$70*('Inputs'!$F$59:$F$70=""),('Inputs'!$D$59:$D$70-('Inputs'!$P$59:$P$70=N5)*N14))</f>
      </c>
      <c r="O44">
        <f>SUMPRODUCT('Inputs'!$R$59:$R$70*('Inputs'!$F$59:$F$70=""),('Inputs'!$D$59:$D$70-('Inputs'!$P$59:$P$70=O5)*O14))</f>
      </c>
      <c r="P44">
        <f>SUMPRODUCT('Inputs'!$R$59:$R$70*('Inputs'!$F$59:$F$70=""),('Inputs'!$D$59:$D$70-('Inputs'!$P$59:$P$70=P5)*P14))</f>
      </c>
      <c r="Q44">
        <f>SUMPRODUCT('Inputs'!$R$59:$R$70*('Inputs'!$F$59:$F$70=""),('Inputs'!$D$59:$D$70-('Inputs'!$P$59:$P$70=Q5)*Q14))</f>
      </c>
      <c r="R44">
        <f>SUMPRODUCT('Inputs'!$R$59:$R$70*('Inputs'!$F$59:$F$70=""),('Inputs'!$D$59:$D$70-('Inputs'!$P$59:$P$70=R5)*R14))</f>
      </c>
      <c r="S44">
        <f>SUMPRODUCT('Inputs'!$R$59:$R$70*('Inputs'!$F$59:$F$70=""),('Inputs'!$D$59:$D$70-('Inputs'!$P$59:$P$70=S5)*S14))</f>
      </c>
      <c r="T44">
        <f>SUMPRODUCT('Inputs'!$R$59:$R$70*('Inputs'!$F$59:$F$70=""),('Inputs'!$D$59:$D$70-('Inputs'!$P$59:$P$70=T5)*T14))</f>
      </c>
      <c r="V44">
        <f>SUMPRODUCT('Inputs'!$R$59:$R$70*('Inputs'!$F$59:$F$70=""),('Inputs'!$D$59:$D$70-('Inputs'!$P$59:$P$70=V5)*V14))</f>
      </c>
      <c r="W44">
        <f>SUMPRODUCT('Inputs'!$R$59:$R$70*('Inputs'!$F$59:$F$70=""),('Inputs'!$D$59:$D$70-('Inputs'!$P$59:$P$70=W5)*W14))</f>
      </c>
      <c r="X44">
        <f>SUMPRODUCT('Inputs'!$R$59:$R$70*('Inputs'!$F$59:$F$70=""),('Inputs'!$D$59:$D$70-('Inputs'!$P$59:$P$70=X5)*X14))</f>
      </c>
      <c r="Y44">
        <f>SUMPRODUCT('Inputs'!$R$59:$R$70*('Inputs'!$F$59:$F$70=""),('Inputs'!$D$59:$D$70-('Inputs'!$P$59:$P$70=Y5)*Y14))</f>
      </c>
      <c r="Z44">
        <f>SUMPRODUCT('Inputs'!$R$59:$R$70*('Inputs'!$F$59:$F$70=""),('Inputs'!$D$59:$D$70-('Inputs'!$P$59:$P$70=Z5)*Z14))</f>
      </c>
      <c r="AA44">
        <f>SUMPRODUCT('Inputs'!$R$59:$R$70*('Inputs'!$F$59:$F$70=""),('Inputs'!$D$59:$D$70-('Inputs'!$P$59:$P$70=AA5)*AA14))</f>
      </c>
      <c r="AB44">
        <f>SUMPRODUCT('Inputs'!$R$59:$R$70*('Inputs'!$F$59:$F$70=""),('Inputs'!$D$59:$D$70-('Inputs'!$P$59:$P$70=AB5)*AB14))</f>
      </c>
      <c r="AC44">
        <f>SUMPRODUCT('Inputs'!$R$59:$R$70*('Inputs'!$F$59:$F$70=""),('Inputs'!$D$59:$D$70-('Inputs'!$P$59:$P$70=AC5)*AC14))</f>
      </c>
      <c r="AD44">
        <f>SUMPRODUCT('Inputs'!$R$59:$R$70*('Inputs'!$F$59:$F$70=""),('Inputs'!$D$59:$D$70-('Inputs'!$P$59:$P$70=AD5)*AD14))</f>
      </c>
      <c r="AE44">
        <f>SUMPRODUCT('Inputs'!$R$59:$R$70*('Inputs'!$F$59:$F$70=""),('Inputs'!$D$59:$D$70-('Inputs'!$P$59:$P$70=AE5)*AE14))</f>
      </c>
      <c r="AF44">
        <f>SUMPRODUCT('Inputs'!$R$59:$R$70*('Inputs'!$F$59:$F$70=""),('Inputs'!$D$59:$D$70-('Inputs'!$P$59:$P$70=AF5)*AF14))</f>
      </c>
      <c r="AG44">
        <f>SUMPRODUCT('Inputs'!$R$59:$R$70*('Inputs'!$F$59:$F$70=""),('Inputs'!$D$59:$D$70-('Inputs'!$P$59:$P$70=AG5)*AG14))</f>
      </c>
      <c r="AH44">
        <f>SUMPRODUCT('Inputs'!$R$59:$R$70*('Inputs'!$F$59:$F$70=""),('Inputs'!$D$59:$D$70-('Inputs'!$P$59:$P$70=AH5)*AH14))</f>
      </c>
      <c r="AI44">
        <f>SUMPRODUCT('Inputs'!$R$59:$R$70*('Inputs'!$F$59:$F$70=""),('Inputs'!$D$59:$D$70-('Inputs'!$P$59:$P$70=AI5)*AI14))</f>
      </c>
      <c r="AJ44">
        <f>SUMPRODUCT('Inputs'!$R$59:$R$70*('Inputs'!$F$59:$F$70=""),('Inputs'!$D$59:$D$70-('Inputs'!$P$59:$P$70=AJ5)*AJ14))</f>
      </c>
      <c r="AK44">
        <f>SUMPRODUCT('Inputs'!$R$59:$R$70*('Inputs'!$F$59:$F$70=""),('Inputs'!$D$59:$D$70-('Inputs'!$P$59:$P$70=AK5)*AK14))</f>
      </c>
      <c r="AM44">
        <f>SUMPRODUCT('Inputs'!$R$59:$R$70*('Inputs'!$F$59:$F$70=""),('Inputs'!$D$59:$D$70-('Inputs'!$P$59:$P$70=AM5)*AM14))</f>
      </c>
      <c r="AN44">
        <f>SUMPRODUCT('Inputs'!$R$59:$R$70*('Inputs'!$F$59:$F$70=""),('Inputs'!$D$59:$D$70-('Inputs'!$P$59:$P$70=AN5)*AN14))</f>
      </c>
      <c r="AO44">
        <f>SUMPRODUCT('Inputs'!$R$59:$R$70*('Inputs'!$F$59:$F$70=""),('Inputs'!$D$59:$D$70-('Inputs'!$P$59:$P$70=AO5)*AO14))</f>
      </c>
      <c r="AP44">
        <f>SUMPRODUCT('Inputs'!$R$59:$R$70*('Inputs'!$F$59:$F$70=""),('Inputs'!$D$59:$D$70-('Inputs'!$P$59:$P$70=AP5)*AP14))</f>
      </c>
      <c r="AQ44">
        <f>SUMPRODUCT('Inputs'!$R$59:$R$70*('Inputs'!$F$59:$F$70=""),('Inputs'!$D$59:$D$70-('Inputs'!$P$59:$P$70=AQ5)*AQ14))</f>
      </c>
      <c r="AR44">
        <f>SUMPRODUCT('Inputs'!$R$59:$R$70*('Inputs'!$F$59:$F$70=""),('Inputs'!$D$59:$D$70-('Inputs'!$P$59:$P$70=AR5)*AR14))</f>
      </c>
      <c r="AS44">
        <f>SUMPRODUCT('Inputs'!$R$59:$R$70*('Inputs'!$F$59:$F$70=""),('Inputs'!$D$59:$D$70-('Inputs'!$P$59:$P$70=AS5)*AS14))</f>
      </c>
      <c r="AT44">
        <f>SUMPRODUCT('Inputs'!$R$59:$R$70*('Inputs'!$F$59:$F$70=""),('Inputs'!$D$59:$D$70-('Inputs'!$P$59:$P$70=AT5)*AT14))</f>
      </c>
      <c r="AU44">
        <f>SUMPRODUCT('Inputs'!$R$59:$R$70*('Inputs'!$F$59:$F$70=""),('Inputs'!$D$59:$D$70-('Inputs'!$P$59:$P$70=AU5)*AU14))</f>
      </c>
      <c r="AV44">
        <f>SUMPRODUCT('Inputs'!$R$59:$R$70*('Inputs'!$F$59:$F$70=""),('Inputs'!$D$59:$D$70-('Inputs'!$P$59:$P$70=AV5)*AV14))</f>
      </c>
      <c r="AW44">
        <f>SUMPRODUCT('Inputs'!$R$59:$R$70*('Inputs'!$F$59:$F$70=""),('Inputs'!$D$59:$D$70-('Inputs'!$P$59:$P$70=AW5)*AW14))</f>
      </c>
      <c r="AX44">
        <f>SUMPRODUCT('Inputs'!$R$59:$R$70*('Inputs'!$F$59:$F$70=""),('Inputs'!$D$59:$D$70-('Inputs'!$P$59:$P$70=AX5)*AX14))</f>
      </c>
      <c r="AY44">
        <f>SUMPRODUCT('Inputs'!$R$59:$R$70*('Inputs'!$F$59:$F$70=""),('Inputs'!$D$59:$D$70-('Inputs'!$P$59:$P$70=AY5)*AY14))</f>
      </c>
      <c r="AZ44">
        <f>SUMPRODUCT('Inputs'!$R$59:$R$70*('Inputs'!$F$59:$F$70=""),('Inputs'!$D$59:$D$70-('Inputs'!$P$59:$P$70=AZ5)*AZ14))</f>
      </c>
      <c r="BA44">
        <f>SUMPRODUCT('Inputs'!$R$59:$R$70*('Inputs'!$F$59:$F$70=""),('Inputs'!$D$59:$D$70-('Inputs'!$P$59:$P$70=BA5)*BA14))</f>
      </c>
      <c r="BB44">
        <f>SUMPRODUCT('Inputs'!$R$59:$R$70*('Inputs'!$F$59:$F$70=""),('Inputs'!$D$59:$D$70-('Inputs'!$P$59:$P$70=BB5)*BB14))</f>
      </c>
      <c r="BD44">
        <f>SUMPRODUCT('Inputs'!$R$59:$R$70*('Inputs'!$F$59:$F$70=""),('Inputs'!$D$59:$D$70-('Inputs'!$P$59:$P$70=BD5)*BD14))</f>
      </c>
      <c r="BE44">
        <f>SUMPRODUCT('Inputs'!$R$59:$R$70*('Inputs'!$F$59:$F$70=""),('Inputs'!$D$59:$D$70-('Inputs'!$P$59:$P$70=BE5)*BE14))</f>
      </c>
      <c r="BF44">
        <f>SUMPRODUCT('Inputs'!$R$59:$R$70*('Inputs'!$F$59:$F$70=""),('Inputs'!$D$59:$D$70-('Inputs'!$P$59:$P$70=BF5)*BF14))</f>
      </c>
      <c r="BG44">
        <f>SUMPRODUCT('Inputs'!$R$59:$R$70*('Inputs'!$F$59:$F$70=""),('Inputs'!$D$59:$D$70-('Inputs'!$P$59:$P$70=BG5)*BG14))</f>
      </c>
      <c r="BH44">
        <f>SUMPRODUCT('Inputs'!$R$59:$R$70*('Inputs'!$F$59:$F$70=""),('Inputs'!$D$59:$D$70-('Inputs'!$P$59:$P$70=BH5)*BH14))</f>
      </c>
      <c r="BI44">
        <f>SUMPRODUCT('Inputs'!$R$59:$R$70*('Inputs'!$F$59:$F$70=""),('Inputs'!$D$59:$D$70-('Inputs'!$P$59:$P$70=BI5)*BI14))</f>
      </c>
      <c r="BJ44">
        <f>SUMPRODUCT('Inputs'!$R$59:$R$70*('Inputs'!$F$59:$F$70=""),('Inputs'!$D$59:$D$70-('Inputs'!$P$59:$P$70=BJ5)*BJ14))</f>
      </c>
      <c r="BK44">
        <f>SUMPRODUCT('Inputs'!$R$59:$R$70*('Inputs'!$F$59:$F$70=""),('Inputs'!$D$59:$D$70-('Inputs'!$P$59:$P$70=BK5)*BK14))</f>
      </c>
      <c r="BL44">
        <f>SUMPRODUCT('Inputs'!$R$59:$R$70*('Inputs'!$F$59:$F$70=""),('Inputs'!$D$59:$D$70-('Inputs'!$P$59:$P$70=BL5)*BL14))</f>
      </c>
      <c r="BM44">
        <f>SUMPRODUCT('Inputs'!$R$59:$R$70*('Inputs'!$F$59:$F$70=""),('Inputs'!$D$59:$D$70-('Inputs'!$P$59:$P$70=BM5)*BM14))</f>
      </c>
      <c r="BN44">
        <f>SUMPRODUCT('Inputs'!$R$59:$R$70*('Inputs'!$F$59:$F$70=""),('Inputs'!$D$59:$D$70-('Inputs'!$P$59:$P$70=BN5)*BN14))</f>
      </c>
      <c r="BO44">
        <f>SUMPRODUCT('Inputs'!$R$59:$R$70*('Inputs'!$F$59:$F$70=""),('Inputs'!$D$59:$D$70-('Inputs'!$P$59:$P$70=BO5)*BO14))</f>
      </c>
      <c r="BP44">
        <f>SUMPRODUCT('Inputs'!$R$59:$R$70*('Inputs'!$F$59:$F$70=""),('Inputs'!$D$59:$D$70-('Inputs'!$P$59:$P$70=BP5)*BP14))</f>
      </c>
      <c r="BQ44">
        <f>SUMPRODUCT('Inputs'!$R$59:$R$70*('Inputs'!$F$59:$F$70=""),('Inputs'!$D$59:$D$70-('Inputs'!$P$59:$P$70=BQ5)*BQ14))</f>
      </c>
      <c r="BR44">
        <f>SUMPRODUCT('Inputs'!$R$59:$R$70*('Inputs'!$F$59:$F$70=""),('Inputs'!$D$59:$D$70-('Inputs'!$P$59:$P$70=BR5)*BR14))</f>
      </c>
      <c r="BS44">
        <f>SUMPRODUCT('Inputs'!$R$59:$R$70*('Inputs'!$F$59:$F$70=""),('Inputs'!$D$59:$D$70-('Inputs'!$P$59:$P$70=BS5)*BS14))</f>
      </c>
    </row>
    <row r="45" spans="2:71" x14ac:dyDescent="0.25">
      <c r="B45" t="s">
        <v>364</v>
      </c>
      <c r="C45">
        <f>SUMPRODUCT('Inputs'!$R$59:$R$70*('Inputs'!$F$59:$F$70=""),ROUND(C21*('Inputs'!$D$59:$D$70-('Inputs'!$P$59:$P$70=C5)*C14),2))</f>
      </c>
      <c r="E45">
        <f>SUMPRODUCT('Inputs'!$R$59:$R$70*('Inputs'!$F$59:$F$70=""),ROUND(E21*('Inputs'!$D$59:$D$70-('Inputs'!$P$59:$P$70=E5)*E14),2))</f>
      </c>
      <c r="F45">
        <f>SUMPRODUCT('Inputs'!$R$59:$R$70*('Inputs'!$F$59:$F$70=""),ROUND(F21*('Inputs'!$D$59:$D$70-('Inputs'!$P$59:$P$70=F5)*F14),2))</f>
      </c>
      <c r="G45">
        <f>SUMPRODUCT('Inputs'!$R$59:$R$70*('Inputs'!$F$59:$F$70=""),ROUND(G21*('Inputs'!$D$59:$D$70-('Inputs'!$P$59:$P$70=G5)*G14),2))</f>
      </c>
      <c r="H45">
        <f>SUMPRODUCT('Inputs'!$R$59:$R$70*('Inputs'!$F$59:$F$70=""),ROUND(H21*('Inputs'!$D$59:$D$70-('Inputs'!$P$59:$P$70=H5)*H14),2))</f>
      </c>
      <c r="I45">
        <f>SUMPRODUCT('Inputs'!$R$59:$R$70*('Inputs'!$F$59:$F$70=""),ROUND(I21*('Inputs'!$D$59:$D$70-('Inputs'!$P$59:$P$70=I5)*I14),2))</f>
      </c>
      <c r="J45">
        <f>SUMPRODUCT('Inputs'!$R$59:$R$70*('Inputs'!$F$59:$F$70=""),ROUND(J21*('Inputs'!$D$59:$D$70-('Inputs'!$P$59:$P$70=J5)*J14),2))</f>
      </c>
      <c r="K45">
        <f>SUMPRODUCT('Inputs'!$R$59:$R$70*('Inputs'!$F$59:$F$70=""),ROUND(K21*('Inputs'!$D$59:$D$70-('Inputs'!$P$59:$P$70=K5)*K14),2))</f>
      </c>
      <c r="L45">
        <f>SUMPRODUCT('Inputs'!$R$59:$R$70*('Inputs'!$F$59:$F$70=""),ROUND(L21*('Inputs'!$D$59:$D$70-('Inputs'!$P$59:$P$70=L5)*L14),2))</f>
      </c>
      <c r="M45">
        <f>SUMPRODUCT('Inputs'!$R$59:$R$70*('Inputs'!$F$59:$F$70=""),ROUND(M21*('Inputs'!$D$59:$D$70-('Inputs'!$P$59:$P$70=M5)*M14),2))</f>
      </c>
      <c r="N45">
        <f>SUMPRODUCT('Inputs'!$R$59:$R$70*('Inputs'!$F$59:$F$70=""),ROUND(N21*('Inputs'!$D$59:$D$70-('Inputs'!$P$59:$P$70=N5)*N14),2))</f>
      </c>
      <c r="O45">
        <f>SUMPRODUCT('Inputs'!$R$59:$R$70*('Inputs'!$F$59:$F$70=""),ROUND(O21*('Inputs'!$D$59:$D$70-('Inputs'!$P$59:$P$70=O5)*O14),2))</f>
      </c>
      <c r="P45">
        <f>SUMPRODUCT('Inputs'!$R$59:$R$70*('Inputs'!$F$59:$F$70=""),ROUND(P21*('Inputs'!$D$59:$D$70-('Inputs'!$P$59:$P$70=P5)*P14),2))</f>
      </c>
      <c r="Q45">
        <f>SUMPRODUCT('Inputs'!$R$59:$R$70*('Inputs'!$F$59:$F$70=""),ROUND(Q21*('Inputs'!$D$59:$D$70-('Inputs'!$P$59:$P$70=Q5)*Q14),2))</f>
      </c>
      <c r="R45">
        <f>SUMPRODUCT('Inputs'!$R$59:$R$70*('Inputs'!$F$59:$F$70=""),ROUND(R21*('Inputs'!$D$59:$D$70-('Inputs'!$P$59:$P$70=R5)*R14),2))</f>
      </c>
      <c r="S45">
        <f>SUMPRODUCT('Inputs'!$R$59:$R$70*('Inputs'!$F$59:$F$70=""),ROUND(S21*('Inputs'!$D$59:$D$70-('Inputs'!$P$59:$P$70=S5)*S14),2))</f>
      </c>
      <c r="T45">
        <f>SUMPRODUCT('Inputs'!$R$59:$R$70*('Inputs'!$F$59:$F$70=""),ROUND(T21*('Inputs'!$D$59:$D$70-('Inputs'!$P$59:$P$70=T5)*T14),2))</f>
      </c>
      <c r="V45">
        <f>SUMPRODUCT('Inputs'!$R$59:$R$70*('Inputs'!$F$59:$F$70=""),ROUND(V21*('Inputs'!$D$59:$D$70-('Inputs'!$P$59:$P$70=V5)*V14),2))</f>
      </c>
      <c r="W45">
        <f>SUMPRODUCT('Inputs'!$R$59:$R$70*('Inputs'!$F$59:$F$70=""),ROUND(W21*('Inputs'!$D$59:$D$70-('Inputs'!$P$59:$P$70=W5)*W14),2))</f>
      </c>
      <c r="X45">
        <f>SUMPRODUCT('Inputs'!$R$59:$R$70*('Inputs'!$F$59:$F$70=""),ROUND(X21*('Inputs'!$D$59:$D$70-('Inputs'!$P$59:$P$70=X5)*X14),2))</f>
      </c>
      <c r="Y45">
        <f>SUMPRODUCT('Inputs'!$R$59:$R$70*('Inputs'!$F$59:$F$70=""),ROUND(Y21*('Inputs'!$D$59:$D$70-('Inputs'!$P$59:$P$70=Y5)*Y14),2))</f>
      </c>
      <c r="Z45">
        <f>SUMPRODUCT('Inputs'!$R$59:$R$70*('Inputs'!$F$59:$F$70=""),ROUND(Z21*('Inputs'!$D$59:$D$70-('Inputs'!$P$59:$P$70=Z5)*Z14),2))</f>
      </c>
      <c r="AA45">
        <f>SUMPRODUCT('Inputs'!$R$59:$R$70*('Inputs'!$F$59:$F$70=""),ROUND(AA21*('Inputs'!$D$59:$D$70-('Inputs'!$P$59:$P$70=AA5)*AA14),2))</f>
      </c>
      <c r="AB45">
        <f>SUMPRODUCT('Inputs'!$R$59:$R$70*('Inputs'!$F$59:$F$70=""),ROUND(AB21*('Inputs'!$D$59:$D$70-('Inputs'!$P$59:$P$70=AB5)*AB14),2))</f>
      </c>
      <c r="AC45">
        <f>SUMPRODUCT('Inputs'!$R$59:$R$70*('Inputs'!$F$59:$F$70=""),ROUND(AC21*('Inputs'!$D$59:$D$70-('Inputs'!$P$59:$P$70=AC5)*AC14),2))</f>
      </c>
      <c r="AD45">
        <f>SUMPRODUCT('Inputs'!$R$59:$R$70*('Inputs'!$F$59:$F$70=""),ROUND(AD21*('Inputs'!$D$59:$D$70-('Inputs'!$P$59:$P$70=AD5)*AD14),2))</f>
      </c>
      <c r="AE45">
        <f>SUMPRODUCT('Inputs'!$R$59:$R$70*('Inputs'!$F$59:$F$70=""),ROUND(AE21*('Inputs'!$D$59:$D$70-('Inputs'!$P$59:$P$70=AE5)*AE14),2))</f>
      </c>
      <c r="AF45">
        <f>SUMPRODUCT('Inputs'!$R$59:$R$70*('Inputs'!$F$59:$F$70=""),ROUND(AF21*('Inputs'!$D$59:$D$70-('Inputs'!$P$59:$P$70=AF5)*AF14),2))</f>
      </c>
      <c r="AG45">
        <f>SUMPRODUCT('Inputs'!$R$59:$R$70*('Inputs'!$F$59:$F$70=""),ROUND(AG21*('Inputs'!$D$59:$D$70-('Inputs'!$P$59:$P$70=AG5)*AG14),2))</f>
      </c>
      <c r="AH45">
        <f>SUMPRODUCT('Inputs'!$R$59:$R$70*('Inputs'!$F$59:$F$70=""),ROUND(AH21*('Inputs'!$D$59:$D$70-('Inputs'!$P$59:$P$70=AH5)*AH14),2))</f>
      </c>
      <c r="AI45">
        <f>SUMPRODUCT('Inputs'!$R$59:$R$70*('Inputs'!$F$59:$F$70=""),ROUND(AI21*('Inputs'!$D$59:$D$70-('Inputs'!$P$59:$P$70=AI5)*AI14),2))</f>
      </c>
      <c r="AJ45">
        <f>SUMPRODUCT('Inputs'!$R$59:$R$70*('Inputs'!$F$59:$F$70=""),ROUND(AJ21*('Inputs'!$D$59:$D$70-('Inputs'!$P$59:$P$70=AJ5)*AJ14),2))</f>
      </c>
      <c r="AK45">
        <f>SUMPRODUCT('Inputs'!$R$59:$R$70*('Inputs'!$F$59:$F$70=""),ROUND(AK21*('Inputs'!$D$59:$D$70-('Inputs'!$P$59:$P$70=AK5)*AK14),2))</f>
      </c>
      <c r="AM45">
        <f>SUMPRODUCT('Inputs'!$R$59:$R$70*('Inputs'!$F$59:$F$70=""),ROUND(AM21*('Inputs'!$D$59:$D$70-('Inputs'!$P$59:$P$70=AM5)*AM14),2))</f>
      </c>
      <c r="AN45">
        <f>SUMPRODUCT('Inputs'!$R$59:$R$70*('Inputs'!$F$59:$F$70=""),ROUND(AN21*('Inputs'!$D$59:$D$70-('Inputs'!$P$59:$P$70=AN5)*AN14),2))</f>
      </c>
      <c r="AO45">
        <f>SUMPRODUCT('Inputs'!$R$59:$R$70*('Inputs'!$F$59:$F$70=""),ROUND(AO21*('Inputs'!$D$59:$D$70-('Inputs'!$P$59:$P$70=AO5)*AO14),2))</f>
      </c>
      <c r="AP45">
        <f>SUMPRODUCT('Inputs'!$R$59:$R$70*('Inputs'!$F$59:$F$70=""),ROUND(AP21*('Inputs'!$D$59:$D$70-('Inputs'!$P$59:$P$70=AP5)*AP14),2))</f>
      </c>
      <c r="AQ45">
        <f>SUMPRODUCT('Inputs'!$R$59:$R$70*('Inputs'!$F$59:$F$70=""),ROUND(AQ21*('Inputs'!$D$59:$D$70-('Inputs'!$P$59:$P$70=AQ5)*AQ14),2))</f>
      </c>
      <c r="AR45">
        <f>SUMPRODUCT('Inputs'!$R$59:$R$70*('Inputs'!$F$59:$F$70=""),ROUND(AR21*('Inputs'!$D$59:$D$70-('Inputs'!$P$59:$P$70=AR5)*AR14),2))</f>
      </c>
      <c r="AS45">
        <f>SUMPRODUCT('Inputs'!$R$59:$R$70*('Inputs'!$F$59:$F$70=""),ROUND(AS21*('Inputs'!$D$59:$D$70-('Inputs'!$P$59:$P$70=AS5)*AS14),2))</f>
      </c>
      <c r="AT45">
        <f>SUMPRODUCT('Inputs'!$R$59:$R$70*('Inputs'!$F$59:$F$70=""),ROUND(AT21*('Inputs'!$D$59:$D$70-('Inputs'!$P$59:$P$70=AT5)*AT14),2))</f>
      </c>
      <c r="AU45">
        <f>SUMPRODUCT('Inputs'!$R$59:$R$70*('Inputs'!$F$59:$F$70=""),ROUND(AU21*('Inputs'!$D$59:$D$70-('Inputs'!$P$59:$P$70=AU5)*AU14),2))</f>
      </c>
      <c r="AV45">
        <f>SUMPRODUCT('Inputs'!$R$59:$R$70*('Inputs'!$F$59:$F$70=""),ROUND(AV21*('Inputs'!$D$59:$D$70-('Inputs'!$P$59:$P$70=AV5)*AV14),2))</f>
      </c>
      <c r="AW45">
        <f>SUMPRODUCT('Inputs'!$R$59:$R$70*('Inputs'!$F$59:$F$70=""),ROUND(AW21*('Inputs'!$D$59:$D$70-('Inputs'!$P$59:$P$70=AW5)*AW14),2))</f>
      </c>
      <c r="AX45">
        <f>SUMPRODUCT('Inputs'!$R$59:$R$70*('Inputs'!$F$59:$F$70=""),ROUND(AX21*('Inputs'!$D$59:$D$70-('Inputs'!$P$59:$P$70=AX5)*AX14),2))</f>
      </c>
      <c r="AY45">
        <f>SUMPRODUCT('Inputs'!$R$59:$R$70*('Inputs'!$F$59:$F$70=""),ROUND(AY21*('Inputs'!$D$59:$D$70-('Inputs'!$P$59:$P$70=AY5)*AY14),2))</f>
      </c>
      <c r="AZ45">
        <f>SUMPRODUCT('Inputs'!$R$59:$R$70*('Inputs'!$F$59:$F$70=""),ROUND(AZ21*('Inputs'!$D$59:$D$70-('Inputs'!$P$59:$P$70=AZ5)*AZ14),2))</f>
      </c>
      <c r="BA45">
        <f>SUMPRODUCT('Inputs'!$R$59:$R$70*('Inputs'!$F$59:$F$70=""),ROUND(BA21*('Inputs'!$D$59:$D$70-('Inputs'!$P$59:$P$70=BA5)*BA14),2))</f>
      </c>
      <c r="BB45">
        <f>SUMPRODUCT('Inputs'!$R$59:$R$70*('Inputs'!$F$59:$F$70=""),ROUND(BB21*('Inputs'!$D$59:$D$70-('Inputs'!$P$59:$P$70=BB5)*BB14),2))</f>
      </c>
      <c r="BD45">
        <f>SUMPRODUCT('Inputs'!$R$59:$R$70*('Inputs'!$F$59:$F$70=""),ROUND(BD21*('Inputs'!$D$59:$D$70-('Inputs'!$P$59:$P$70=BD5)*BD14),2))</f>
      </c>
      <c r="BE45">
        <f>SUMPRODUCT('Inputs'!$R$59:$R$70*('Inputs'!$F$59:$F$70=""),ROUND(BE21*('Inputs'!$D$59:$D$70-('Inputs'!$P$59:$P$70=BE5)*BE14),2))</f>
      </c>
      <c r="BF45">
        <f>SUMPRODUCT('Inputs'!$R$59:$R$70*('Inputs'!$F$59:$F$70=""),ROUND(BF21*('Inputs'!$D$59:$D$70-('Inputs'!$P$59:$P$70=BF5)*BF14),2))</f>
      </c>
      <c r="BG45">
        <f>SUMPRODUCT('Inputs'!$R$59:$R$70*('Inputs'!$F$59:$F$70=""),ROUND(BG21*('Inputs'!$D$59:$D$70-('Inputs'!$P$59:$P$70=BG5)*BG14),2))</f>
      </c>
      <c r="BH45">
        <f>SUMPRODUCT('Inputs'!$R$59:$R$70*('Inputs'!$F$59:$F$70=""),ROUND(BH21*('Inputs'!$D$59:$D$70-('Inputs'!$P$59:$P$70=BH5)*BH14),2))</f>
      </c>
      <c r="BI45">
        <f>SUMPRODUCT('Inputs'!$R$59:$R$70*('Inputs'!$F$59:$F$70=""),ROUND(BI21*('Inputs'!$D$59:$D$70-('Inputs'!$P$59:$P$70=BI5)*BI14),2))</f>
      </c>
      <c r="BJ45">
        <f>SUMPRODUCT('Inputs'!$R$59:$R$70*('Inputs'!$F$59:$F$70=""),ROUND(BJ21*('Inputs'!$D$59:$D$70-('Inputs'!$P$59:$P$70=BJ5)*BJ14),2))</f>
      </c>
      <c r="BK45">
        <f>SUMPRODUCT('Inputs'!$R$59:$R$70*('Inputs'!$F$59:$F$70=""),ROUND(BK21*('Inputs'!$D$59:$D$70-('Inputs'!$P$59:$P$70=BK5)*BK14),2))</f>
      </c>
      <c r="BL45">
        <f>SUMPRODUCT('Inputs'!$R$59:$R$70*('Inputs'!$F$59:$F$70=""),ROUND(BL21*('Inputs'!$D$59:$D$70-('Inputs'!$P$59:$P$70=BL5)*BL14),2))</f>
      </c>
      <c r="BM45">
        <f>SUMPRODUCT('Inputs'!$R$59:$R$70*('Inputs'!$F$59:$F$70=""),ROUND(BM21*('Inputs'!$D$59:$D$70-('Inputs'!$P$59:$P$70=BM5)*BM14),2))</f>
      </c>
      <c r="BN45">
        <f>SUMPRODUCT('Inputs'!$R$59:$R$70*('Inputs'!$F$59:$F$70=""),ROUND(BN21*('Inputs'!$D$59:$D$70-('Inputs'!$P$59:$P$70=BN5)*BN14),2))</f>
      </c>
      <c r="BO45">
        <f>SUMPRODUCT('Inputs'!$R$59:$R$70*('Inputs'!$F$59:$F$70=""),ROUND(BO21*('Inputs'!$D$59:$D$70-('Inputs'!$P$59:$P$70=BO5)*BO14),2))</f>
      </c>
      <c r="BP45">
        <f>SUMPRODUCT('Inputs'!$R$59:$R$70*('Inputs'!$F$59:$F$70=""),ROUND(BP21*('Inputs'!$D$59:$D$70-('Inputs'!$P$59:$P$70=BP5)*BP14),2))</f>
      </c>
      <c r="BQ45">
        <f>SUMPRODUCT('Inputs'!$R$59:$R$70*('Inputs'!$F$59:$F$70=""),ROUND(BQ21*('Inputs'!$D$59:$D$70-('Inputs'!$P$59:$P$70=BQ5)*BQ14),2))</f>
      </c>
      <c r="BR45">
        <f>SUMPRODUCT('Inputs'!$R$59:$R$70*('Inputs'!$F$59:$F$70=""),ROUND(BR21*('Inputs'!$D$59:$D$70-('Inputs'!$P$59:$P$70=BR5)*BR14),2))</f>
      </c>
      <c r="BS45">
        <f>SUMPRODUCT('Inputs'!$R$59:$R$70*('Inputs'!$F$59:$F$70=""),ROUND(BS21*('Inputs'!$D$59:$D$70-('Inputs'!$P$59:$P$70=BS5)*BS14),2))</f>
      </c>
    </row>
    <row r="46" spans="2:71" x14ac:dyDescent="0.25">
      <c r="B46" t="s">
        <v>365</v>
      </c>
      <c r="C46">
        <f>IF('Inputs'!$B$89="",0,ROUND(IF(C31="S",'Inputs'!$O$89*C28,IF(C31="K",'Inputs'!$L$89*IF('Inputs'!$N$89=1,C33,C32),0))+'Inputs'!$Q$89*IF('Inputs'!$S$89=1,C35+C37+C43+C40,C34+C36+C42+C39)+SUMPRODUCT(('Inputs'!$F$59:$F$70='Inputs'!$B$89)*('Inputs'!$C$59:$C$70&lt;&gt;"Estate")*('Inputs'!$C$59:$C$70&lt;&gt;""),(('Inputs'!$D$59:$D$70-('Inputs'!$P$59:$P$70=C5)*C14)-'Inputs'!$R$59:$R$70*ROUND(C21*('Inputs'!$D$59:$D$70-('Inputs'!$P$59:$P$70=C5)*C14),2)))+IF(OR(C3=1,C3=2),C7-ROUND(C21*C7,2),0)+IF(AND(C3=3,C6='Inputs'!$B$89),C38,0),2))</f>
      </c>
      <c r="E46">
        <f>IF('Inputs'!$B$89="",0,ROUND(IF(E31="S",'Inputs'!$O$89*E28,IF(E31="K",'Inputs'!$L$89*IF('Inputs'!$N$89=1,E33,E32),0))+'Inputs'!$Q$89*IF('Inputs'!$S$89=1,E35+E37+E43+E40,E34+E36+E42+E39)+SUMPRODUCT(('Inputs'!$F$59:$F$70='Inputs'!$B$89)*('Inputs'!$C$59:$C$70&lt;&gt;"Estate")*('Inputs'!$C$59:$C$70&lt;&gt;""),(('Inputs'!$D$59:$D$70-('Inputs'!$P$59:$P$70=E5)*E14)-'Inputs'!$R$59:$R$70*ROUND(E21*('Inputs'!$D$59:$D$70-('Inputs'!$P$59:$P$70=E5)*E14),2)))+IF(OR(E3=1,E3=2),E7-ROUND(E21*E7,2),0)+IF(AND(E3=3,E6='Inputs'!$B$89),E38,0),2))</f>
      </c>
      <c r="F46">
        <f>IF('Inputs'!$B$89="",0,ROUND(IF(F31="S",'Inputs'!$O$89*F28,IF(F31="K",'Inputs'!$L$89*IF('Inputs'!$N$89=1,F33,F32),0))+'Inputs'!$Q$89*IF('Inputs'!$S$89=1,F35+F37+F43+F40,F34+F36+F42+F39)+SUMPRODUCT(('Inputs'!$F$59:$F$70='Inputs'!$B$89)*('Inputs'!$C$59:$C$70&lt;&gt;"Estate")*('Inputs'!$C$59:$C$70&lt;&gt;""),(('Inputs'!$D$59:$D$70-('Inputs'!$P$59:$P$70=F5)*F14)-'Inputs'!$R$59:$R$70*ROUND(F21*('Inputs'!$D$59:$D$70-('Inputs'!$P$59:$P$70=F5)*F14),2)))+IF(OR(F3=1,F3=2),F7-ROUND(F21*F7,2),0)+IF(AND(F3=3,F6='Inputs'!$B$89),F38,0),2))</f>
      </c>
      <c r="G46">
        <f>IF('Inputs'!$B$89="",0,ROUND(IF(G31="S",'Inputs'!$O$89*G28,IF(G31="K",'Inputs'!$L$89*IF('Inputs'!$N$89=1,G33,G32),0))+'Inputs'!$Q$89*IF('Inputs'!$S$89=1,G35+G37+G43+G40,G34+G36+G42+G39)+SUMPRODUCT(('Inputs'!$F$59:$F$70='Inputs'!$B$89)*('Inputs'!$C$59:$C$70&lt;&gt;"Estate")*('Inputs'!$C$59:$C$70&lt;&gt;""),(('Inputs'!$D$59:$D$70-('Inputs'!$P$59:$P$70=G5)*G14)-'Inputs'!$R$59:$R$70*ROUND(G21*('Inputs'!$D$59:$D$70-('Inputs'!$P$59:$P$70=G5)*G14),2)))+IF(OR(G3=1,G3=2),G7-ROUND(G21*G7,2),0)+IF(AND(G3=3,G6='Inputs'!$B$89),G38,0),2))</f>
      </c>
      <c r="H46">
        <f>IF('Inputs'!$B$89="",0,ROUND(IF(H31="S",'Inputs'!$O$89*H28,IF(H31="K",'Inputs'!$L$89*IF('Inputs'!$N$89=1,H33,H32),0))+'Inputs'!$Q$89*IF('Inputs'!$S$89=1,H35+H37+H43+H40,H34+H36+H42+H39)+SUMPRODUCT(('Inputs'!$F$59:$F$70='Inputs'!$B$89)*('Inputs'!$C$59:$C$70&lt;&gt;"Estate")*('Inputs'!$C$59:$C$70&lt;&gt;""),(('Inputs'!$D$59:$D$70-('Inputs'!$P$59:$P$70=H5)*H14)-'Inputs'!$R$59:$R$70*ROUND(H21*('Inputs'!$D$59:$D$70-('Inputs'!$P$59:$P$70=H5)*H14),2)))+IF(OR(H3=1,H3=2),H7-ROUND(H21*H7,2),0)+IF(AND(H3=3,H6='Inputs'!$B$89),H38,0),2))</f>
      </c>
      <c r="I46">
        <f>IF('Inputs'!$B$89="",0,ROUND(IF(I31="S",'Inputs'!$O$89*I28,IF(I31="K",'Inputs'!$L$89*IF('Inputs'!$N$89=1,I33,I32),0))+'Inputs'!$Q$89*IF('Inputs'!$S$89=1,I35+I37+I43+I40,I34+I36+I42+I39)+SUMPRODUCT(('Inputs'!$F$59:$F$70='Inputs'!$B$89)*('Inputs'!$C$59:$C$70&lt;&gt;"Estate")*('Inputs'!$C$59:$C$70&lt;&gt;""),(('Inputs'!$D$59:$D$70-('Inputs'!$P$59:$P$70=I5)*I14)-'Inputs'!$R$59:$R$70*ROUND(I21*('Inputs'!$D$59:$D$70-('Inputs'!$P$59:$P$70=I5)*I14),2)))+IF(OR(I3=1,I3=2),I7-ROUND(I21*I7,2),0)+IF(AND(I3=3,I6='Inputs'!$B$89),I38,0),2))</f>
      </c>
      <c r="J46">
        <f>IF('Inputs'!$B$89="",0,ROUND(IF(J31="S",'Inputs'!$O$89*J28,IF(J31="K",'Inputs'!$L$89*IF('Inputs'!$N$89=1,J33,J32),0))+'Inputs'!$Q$89*IF('Inputs'!$S$89=1,J35+J37+J43+J40,J34+J36+J42+J39)+SUMPRODUCT(('Inputs'!$F$59:$F$70='Inputs'!$B$89)*('Inputs'!$C$59:$C$70&lt;&gt;"Estate")*('Inputs'!$C$59:$C$70&lt;&gt;""),(('Inputs'!$D$59:$D$70-('Inputs'!$P$59:$P$70=J5)*J14)-'Inputs'!$R$59:$R$70*ROUND(J21*('Inputs'!$D$59:$D$70-('Inputs'!$P$59:$P$70=J5)*J14),2)))+IF(OR(J3=1,J3=2),J7-ROUND(J21*J7,2),0)+IF(AND(J3=3,J6='Inputs'!$B$89),J38,0),2))</f>
      </c>
      <c r="K46">
        <f>IF('Inputs'!$B$89="",0,ROUND(IF(K31="S",'Inputs'!$O$89*K28,IF(K31="K",'Inputs'!$L$89*IF('Inputs'!$N$89=1,K33,K32),0))+'Inputs'!$Q$89*IF('Inputs'!$S$89=1,K35+K37+K43+K40,K34+K36+K42+K39)+SUMPRODUCT(('Inputs'!$F$59:$F$70='Inputs'!$B$89)*('Inputs'!$C$59:$C$70&lt;&gt;"Estate")*('Inputs'!$C$59:$C$70&lt;&gt;""),(('Inputs'!$D$59:$D$70-('Inputs'!$P$59:$P$70=K5)*K14)-'Inputs'!$R$59:$R$70*ROUND(K21*('Inputs'!$D$59:$D$70-('Inputs'!$P$59:$P$70=K5)*K14),2)))+IF(OR(K3=1,K3=2),K7-ROUND(K21*K7,2),0)+IF(AND(K3=3,K6='Inputs'!$B$89),K38,0),2))</f>
      </c>
      <c r="L46">
        <f>IF('Inputs'!$B$89="",0,ROUND(IF(L31="S",'Inputs'!$O$89*L28,IF(L31="K",'Inputs'!$L$89*IF('Inputs'!$N$89=1,L33,L32),0))+'Inputs'!$Q$89*IF('Inputs'!$S$89=1,L35+L37+L43+L40,L34+L36+L42+L39)+SUMPRODUCT(('Inputs'!$F$59:$F$70='Inputs'!$B$89)*('Inputs'!$C$59:$C$70&lt;&gt;"Estate")*('Inputs'!$C$59:$C$70&lt;&gt;""),(('Inputs'!$D$59:$D$70-('Inputs'!$P$59:$P$70=L5)*L14)-'Inputs'!$R$59:$R$70*ROUND(L21*('Inputs'!$D$59:$D$70-('Inputs'!$P$59:$P$70=L5)*L14),2)))+IF(OR(L3=1,L3=2),L7-ROUND(L21*L7,2),0)+IF(AND(L3=3,L6='Inputs'!$B$89),L38,0),2))</f>
      </c>
      <c r="M46">
        <f>IF('Inputs'!$B$89="",0,ROUND(IF(M31="S",'Inputs'!$O$89*M28,IF(M31="K",'Inputs'!$L$89*IF('Inputs'!$N$89=1,M33,M32),0))+'Inputs'!$Q$89*IF('Inputs'!$S$89=1,M35+M37+M43+M40,M34+M36+M42+M39)+SUMPRODUCT(('Inputs'!$F$59:$F$70='Inputs'!$B$89)*('Inputs'!$C$59:$C$70&lt;&gt;"Estate")*('Inputs'!$C$59:$C$70&lt;&gt;""),(('Inputs'!$D$59:$D$70-('Inputs'!$P$59:$P$70=M5)*M14)-'Inputs'!$R$59:$R$70*ROUND(M21*('Inputs'!$D$59:$D$70-('Inputs'!$P$59:$P$70=M5)*M14),2)))+IF(OR(M3=1,M3=2),M7-ROUND(M21*M7,2),0)+IF(AND(M3=3,M6='Inputs'!$B$89),M38,0),2))</f>
      </c>
      <c r="N46">
        <f>IF('Inputs'!$B$89="",0,ROUND(IF(N31="S",'Inputs'!$O$89*N28,IF(N31="K",'Inputs'!$L$89*IF('Inputs'!$N$89=1,N33,N32),0))+'Inputs'!$Q$89*IF('Inputs'!$S$89=1,N35+N37+N43+N40,N34+N36+N42+N39)+SUMPRODUCT(('Inputs'!$F$59:$F$70='Inputs'!$B$89)*('Inputs'!$C$59:$C$70&lt;&gt;"Estate")*('Inputs'!$C$59:$C$70&lt;&gt;""),(('Inputs'!$D$59:$D$70-('Inputs'!$P$59:$P$70=N5)*N14)-'Inputs'!$R$59:$R$70*ROUND(N21*('Inputs'!$D$59:$D$70-('Inputs'!$P$59:$P$70=N5)*N14),2)))+IF(OR(N3=1,N3=2),N7-ROUND(N21*N7,2),0)+IF(AND(N3=3,N6='Inputs'!$B$89),N38,0),2))</f>
      </c>
      <c r="O46">
        <f>IF('Inputs'!$B$89="",0,ROUND(IF(O31="S",'Inputs'!$O$89*O28,IF(O31="K",'Inputs'!$L$89*IF('Inputs'!$N$89=1,O33,O32),0))+'Inputs'!$Q$89*IF('Inputs'!$S$89=1,O35+O37+O43+O40,O34+O36+O42+O39)+SUMPRODUCT(('Inputs'!$F$59:$F$70='Inputs'!$B$89)*('Inputs'!$C$59:$C$70&lt;&gt;"Estate")*('Inputs'!$C$59:$C$70&lt;&gt;""),(('Inputs'!$D$59:$D$70-('Inputs'!$P$59:$P$70=O5)*O14)-'Inputs'!$R$59:$R$70*ROUND(O21*('Inputs'!$D$59:$D$70-('Inputs'!$P$59:$P$70=O5)*O14),2)))+IF(OR(O3=1,O3=2),O7-ROUND(O21*O7,2),0)+IF(AND(O3=3,O6='Inputs'!$B$89),O38,0),2))</f>
      </c>
      <c r="P46">
        <f>IF('Inputs'!$B$89="",0,ROUND(IF(P31="S",'Inputs'!$O$89*P28,IF(P31="K",'Inputs'!$L$89*IF('Inputs'!$N$89=1,P33,P32),0))+'Inputs'!$Q$89*IF('Inputs'!$S$89=1,P35+P37+P43+P40,P34+P36+P42+P39)+SUMPRODUCT(('Inputs'!$F$59:$F$70='Inputs'!$B$89)*('Inputs'!$C$59:$C$70&lt;&gt;"Estate")*('Inputs'!$C$59:$C$70&lt;&gt;""),(('Inputs'!$D$59:$D$70-('Inputs'!$P$59:$P$70=P5)*P14)-'Inputs'!$R$59:$R$70*ROUND(P21*('Inputs'!$D$59:$D$70-('Inputs'!$P$59:$P$70=P5)*P14),2)))+IF(OR(P3=1,P3=2),P7-ROUND(P21*P7,2),0)+IF(AND(P3=3,P6='Inputs'!$B$89),P38,0),2))</f>
      </c>
      <c r="Q46">
        <f>IF('Inputs'!$B$89="",0,ROUND(IF(Q31="S",'Inputs'!$O$89*Q28,IF(Q31="K",'Inputs'!$L$89*IF('Inputs'!$N$89=1,Q33,Q32),0))+'Inputs'!$Q$89*IF('Inputs'!$S$89=1,Q35+Q37+Q43+Q40,Q34+Q36+Q42+Q39)+SUMPRODUCT(('Inputs'!$F$59:$F$70='Inputs'!$B$89)*('Inputs'!$C$59:$C$70&lt;&gt;"Estate")*('Inputs'!$C$59:$C$70&lt;&gt;""),(('Inputs'!$D$59:$D$70-('Inputs'!$P$59:$P$70=Q5)*Q14)-'Inputs'!$R$59:$R$70*ROUND(Q21*('Inputs'!$D$59:$D$70-('Inputs'!$P$59:$P$70=Q5)*Q14),2)))+IF(OR(Q3=1,Q3=2),Q7-ROUND(Q21*Q7,2),0)+IF(AND(Q3=3,Q6='Inputs'!$B$89),Q38,0),2))</f>
      </c>
      <c r="R46">
        <f>IF('Inputs'!$B$89="",0,ROUND(IF(R31="S",'Inputs'!$O$89*R28,IF(R31="K",'Inputs'!$L$89*IF('Inputs'!$N$89=1,R33,R32),0))+'Inputs'!$Q$89*IF('Inputs'!$S$89=1,R35+R37+R43+R40,R34+R36+R42+R39)+SUMPRODUCT(('Inputs'!$F$59:$F$70='Inputs'!$B$89)*('Inputs'!$C$59:$C$70&lt;&gt;"Estate")*('Inputs'!$C$59:$C$70&lt;&gt;""),(('Inputs'!$D$59:$D$70-('Inputs'!$P$59:$P$70=R5)*R14)-'Inputs'!$R$59:$R$70*ROUND(R21*('Inputs'!$D$59:$D$70-('Inputs'!$P$59:$P$70=R5)*R14),2)))+IF(OR(R3=1,R3=2),R7-ROUND(R21*R7,2),0)+IF(AND(R3=3,R6='Inputs'!$B$89),R38,0),2))</f>
      </c>
      <c r="S46">
        <f>IF('Inputs'!$B$89="",0,ROUND(IF(S31="S",'Inputs'!$O$89*S28,IF(S31="K",'Inputs'!$L$89*IF('Inputs'!$N$89=1,S33,S32),0))+'Inputs'!$Q$89*IF('Inputs'!$S$89=1,S35+S37+S43+S40,S34+S36+S42+S39)+SUMPRODUCT(('Inputs'!$F$59:$F$70='Inputs'!$B$89)*('Inputs'!$C$59:$C$70&lt;&gt;"Estate")*('Inputs'!$C$59:$C$70&lt;&gt;""),(('Inputs'!$D$59:$D$70-('Inputs'!$P$59:$P$70=S5)*S14)-'Inputs'!$R$59:$R$70*ROUND(S21*('Inputs'!$D$59:$D$70-('Inputs'!$P$59:$P$70=S5)*S14),2)))+IF(OR(S3=1,S3=2),S7-ROUND(S21*S7,2),0)+IF(AND(S3=3,S6='Inputs'!$B$89),S38,0),2))</f>
      </c>
      <c r="T46">
        <f>IF('Inputs'!$B$89="",0,ROUND(IF(T31="S",'Inputs'!$O$89*T28,IF(T31="K",'Inputs'!$L$89*IF('Inputs'!$N$89=1,T33,T32),0))+'Inputs'!$Q$89*IF('Inputs'!$S$89=1,T35+T37+T43+T40,T34+T36+T42+T39)+SUMPRODUCT(('Inputs'!$F$59:$F$70='Inputs'!$B$89)*('Inputs'!$C$59:$C$70&lt;&gt;"Estate")*('Inputs'!$C$59:$C$70&lt;&gt;""),(('Inputs'!$D$59:$D$70-('Inputs'!$P$59:$P$70=T5)*T14)-'Inputs'!$R$59:$R$70*ROUND(T21*('Inputs'!$D$59:$D$70-('Inputs'!$P$59:$P$70=T5)*T14),2)))+IF(OR(T3=1,T3=2),T7-ROUND(T21*T7,2),0)+IF(AND(T3=3,T6='Inputs'!$B$89),T38,0),2))</f>
      </c>
      <c r="V46">
        <f>IF('Inputs'!$B$89="",0,ROUND(IF(V31="S",'Inputs'!$O$89*V28,IF(V31="K",'Inputs'!$L$89*IF('Inputs'!$N$89=1,V33,V32),0))+'Inputs'!$Q$89*IF('Inputs'!$S$89=1,V35+V37+V43+V40,V34+V36+V42+V39)+SUMPRODUCT(('Inputs'!$F$59:$F$70='Inputs'!$B$89)*('Inputs'!$C$59:$C$70&lt;&gt;"Estate")*('Inputs'!$C$59:$C$70&lt;&gt;""),(('Inputs'!$D$59:$D$70-('Inputs'!$P$59:$P$70=V5)*V14)-'Inputs'!$R$59:$R$70*ROUND(V21*('Inputs'!$D$59:$D$70-('Inputs'!$P$59:$P$70=V5)*V14),2)))+IF(OR(V3=1,V3=2),V7-ROUND(V21*V7,2),0)+IF(AND(V3=3,V6='Inputs'!$B$89),V38,0),2))</f>
      </c>
      <c r="W46">
        <f>IF('Inputs'!$B$89="",0,ROUND(IF(W31="S",'Inputs'!$O$89*W28,IF(W31="K",'Inputs'!$L$89*IF('Inputs'!$N$89=1,W33,W32),0))+'Inputs'!$Q$89*IF('Inputs'!$S$89=1,W35+W37+W43+W40,W34+W36+W42+W39)+SUMPRODUCT(('Inputs'!$F$59:$F$70='Inputs'!$B$89)*('Inputs'!$C$59:$C$70&lt;&gt;"Estate")*('Inputs'!$C$59:$C$70&lt;&gt;""),(('Inputs'!$D$59:$D$70-('Inputs'!$P$59:$P$70=W5)*W14)-'Inputs'!$R$59:$R$70*ROUND(W21*('Inputs'!$D$59:$D$70-('Inputs'!$P$59:$P$70=W5)*W14),2)))+IF(OR(W3=1,W3=2),W7-ROUND(W21*W7,2),0)+IF(AND(W3=3,W6='Inputs'!$B$89),W38,0),2))</f>
      </c>
      <c r="X46">
        <f>IF('Inputs'!$B$89="",0,ROUND(IF(X31="S",'Inputs'!$O$89*X28,IF(X31="K",'Inputs'!$L$89*IF('Inputs'!$N$89=1,X33,X32),0))+'Inputs'!$Q$89*IF('Inputs'!$S$89=1,X35+X37+X43+X40,X34+X36+X42+X39)+SUMPRODUCT(('Inputs'!$F$59:$F$70='Inputs'!$B$89)*('Inputs'!$C$59:$C$70&lt;&gt;"Estate")*('Inputs'!$C$59:$C$70&lt;&gt;""),(('Inputs'!$D$59:$D$70-('Inputs'!$P$59:$P$70=X5)*X14)-'Inputs'!$R$59:$R$70*ROUND(X21*('Inputs'!$D$59:$D$70-('Inputs'!$P$59:$P$70=X5)*X14),2)))+IF(OR(X3=1,X3=2),X7-ROUND(X21*X7,2),0)+IF(AND(X3=3,X6='Inputs'!$B$89),X38,0),2))</f>
      </c>
      <c r="Y46">
        <f>IF('Inputs'!$B$89="",0,ROUND(IF(Y31="S",'Inputs'!$O$89*Y28,IF(Y31="K",'Inputs'!$L$89*IF('Inputs'!$N$89=1,Y33,Y32),0))+'Inputs'!$Q$89*IF('Inputs'!$S$89=1,Y35+Y37+Y43+Y40,Y34+Y36+Y42+Y39)+SUMPRODUCT(('Inputs'!$F$59:$F$70='Inputs'!$B$89)*('Inputs'!$C$59:$C$70&lt;&gt;"Estate")*('Inputs'!$C$59:$C$70&lt;&gt;""),(('Inputs'!$D$59:$D$70-('Inputs'!$P$59:$P$70=Y5)*Y14)-'Inputs'!$R$59:$R$70*ROUND(Y21*('Inputs'!$D$59:$D$70-('Inputs'!$P$59:$P$70=Y5)*Y14),2)))+IF(OR(Y3=1,Y3=2),Y7-ROUND(Y21*Y7,2),0)+IF(AND(Y3=3,Y6='Inputs'!$B$89),Y38,0),2))</f>
      </c>
      <c r="Z46">
        <f>IF('Inputs'!$B$89="",0,ROUND(IF(Z31="S",'Inputs'!$O$89*Z28,IF(Z31="K",'Inputs'!$L$89*IF('Inputs'!$N$89=1,Z33,Z32),0))+'Inputs'!$Q$89*IF('Inputs'!$S$89=1,Z35+Z37+Z43+Z40,Z34+Z36+Z42+Z39)+SUMPRODUCT(('Inputs'!$F$59:$F$70='Inputs'!$B$89)*('Inputs'!$C$59:$C$70&lt;&gt;"Estate")*('Inputs'!$C$59:$C$70&lt;&gt;""),(('Inputs'!$D$59:$D$70-('Inputs'!$P$59:$P$70=Z5)*Z14)-'Inputs'!$R$59:$R$70*ROUND(Z21*('Inputs'!$D$59:$D$70-('Inputs'!$P$59:$P$70=Z5)*Z14),2)))+IF(OR(Z3=1,Z3=2),Z7-ROUND(Z21*Z7,2),0)+IF(AND(Z3=3,Z6='Inputs'!$B$89),Z38,0),2))</f>
      </c>
      <c r="AA46">
        <f>IF('Inputs'!$B$89="",0,ROUND(IF(AA31="S",'Inputs'!$O$89*AA28,IF(AA31="K",'Inputs'!$L$89*IF('Inputs'!$N$89=1,AA33,AA32),0))+'Inputs'!$Q$89*IF('Inputs'!$S$89=1,AA35+AA37+AA43+AA40,AA34+AA36+AA42+AA39)+SUMPRODUCT(('Inputs'!$F$59:$F$70='Inputs'!$B$89)*('Inputs'!$C$59:$C$70&lt;&gt;"Estate")*('Inputs'!$C$59:$C$70&lt;&gt;""),(('Inputs'!$D$59:$D$70-('Inputs'!$P$59:$P$70=AA5)*AA14)-'Inputs'!$R$59:$R$70*ROUND(AA21*('Inputs'!$D$59:$D$70-('Inputs'!$P$59:$P$70=AA5)*AA14),2)))+IF(OR(AA3=1,AA3=2),AA7-ROUND(AA21*AA7,2),0)+IF(AND(AA3=3,AA6='Inputs'!$B$89),AA38,0),2))</f>
      </c>
      <c r="AB46">
        <f>IF('Inputs'!$B$89="",0,ROUND(IF(AB31="S",'Inputs'!$O$89*AB28,IF(AB31="K",'Inputs'!$L$89*IF('Inputs'!$N$89=1,AB33,AB32),0))+'Inputs'!$Q$89*IF('Inputs'!$S$89=1,AB35+AB37+AB43+AB40,AB34+AB36+AB42+AB39)+SUMPRODUCT(('Inputs'!$F$59:$F$70='Inputs'!$B$89)*('Inputs'!$C$59:$C$70&lt;&gt;"Estate")*('Inputs'!$C$59:$C$70&lt;&gt;""),(('Inputs'!$D$59:$D$70-('Inputs'!$P$59:$P$70=AB5)*AB14)-'Inputs'!$R$59:$R$70*ROUND(AB21*('Inputs'!$D$59:$D$70-('Inputs'!$P$59:$P$70=AB5)*AB14),2)))+IF(OR(AB3=1,AB3=2),AB7-ROUND(AB21*AB7,2),0)+IF(AND(AB3=3,AB6='Inputs'!$B$89),AB38,0),2))</f>
      </c>
      <c r="AC46">
        <f>IF('Inputs'!$B$89="",0,ROUND(IF(AC31="S",'Inputs'!$O$89*AC28,IF(AC31="K",'Inputs'!$L$89*IF('Inputs'!$N$89=1,AC33,AC32),0))+'Inputs'!$Q$89*IF('Inputs'!$S$89=1,AC35+AC37+AC43+AC40,AC34+AC36+AC42+AC39)+SUMPRODUCT(('Inputs'!$F$59:$F$70='Inputs'!$B$89)*('Inputs'!$C$59:$C$70&lt;&gt;"Estate")*('Inputs'!$C$59:$C$70&lt;&gt;""),(('Inputs'!$D$59:$D$70-('Inputs'!$P$59:$P$70=AC5)*AC14)-'Inputs'!$R$59:$R$70*ROUND(AC21*('Inputs'!$D$59:$D$70-('Inputs'!$P$59:$P$70=AC5)*AC14),2)))+IF(OR(AC3=1,AC3=2),AC7-ROUND(AC21*AC7,2),0)+IF(AND(AC3=3,AC6='Inputs'!$B$89),AC38,0),2))</f>
      </c>
      <c r="AD46">
        <f>IF('Inputs'!$B$89="",0,ROUND(IF(AD31="S",'Inputs'!$O$89*AD28,IF(AD31="K",'Inputs'!$L$89*IF('Inputs'!$N$89=1,AD33,AD32),0))+'Inputs'!$Q$89*IF('Inputs'!$S$89=1,AD35+AD37+AD43+AD40,AD34+AD36+AD42+AD39)+SUMPRODUCT(('Inputs'!$F$59:$F$70='Inputs'!$B$89)*('Inputs'!$C$59:$C$70&lt;&gt;"Estate")*('Inputs'!$C$59:$C$70&lt;&gt;""),(('Inputs'!$D$59:$D$70-('Inputs'!$P$59:$P$70=AD5)*AD14)-'Inputs'!$R$59:$R$70*ROUND(AD21*('Inputs'!$D$59:$D$70-('Inputs'!$P$59:$P$70=AD5)*AD14),2)))+IF(OR(AD3=1,AD3=2),AD7-ROUND(AD21*AD7,2),0)+IF(AND(AD3=3,AD6='Inputs'!$B$89),AD38,0),2))</f>
      </c>
      <c r="AE46">
        <f>IF('Inputs'!$B$89="",0,ROUND(IF(AE31="S",'Inputs'!$O$89*AE28,IF(AE31="K",'Inputs'!$L$89*IF('Inputs'!$N$89=1,AE33,AE32),0))+'Inputs'!$Q$89*IF('Inputs'!$S$89=1,AE35+AE37+AE43+AE40,AE34+AE36+AE42+AE39)+SUMPRODUCT(('Inputs'!$F$59:$F$70='Inputs'!$B$89)*('Inputs'!$C$59:$C$70&lt;&gt;"Estate")*('Inputs'!$C$59:$C$70&lt;&gt;""),(('Inputs'!$D$59:$D$70-('Inputs'!$P$59:$P$70=AE5)*AE14)-'Inputs'!$R$59:$R$70*ROUND(AE21*('Inputs'!$D$59:$D$70-('Inputs'!$P$59:$P$70=AE5)*AE14),2)))+IF(OR(AE3=1,AE3=2),AE7-ROUND(AE21*AE7,2),0)+IF(AND(AE3=3,AE6='Inputs'!$B$89),AE38,0),2))</f>
      </c>
      <c r="AF46">
        <f>IF('Inputs'!$B$89="",0,ROUND(IF(AF31="S",'Inputs'!$O$89*AF28,IF(AF31="K",'Inputs'!$L$89*IF('Inputs'!$N$89=1,AF33,AF32),0))+'Inputs'!$Q$89*IF('Inputs'!$S$89=1,AF35+AF37+AF43+AF40,AF34+AF36+AF42+AF39)+SUMPRODUCT(('Inputs'!$F$59:$F$70='Inputs'!$B$89)*('Inputs'!$C$59:$C$70&lt;&gt;"Estate")*('Inputs'!$C$59:$C$70&lt;&gt;""),(('Inputs'!$D$59:$D$70-('Inputs'!$P$59:$P$70=AF5)*AF14)-'Inputs'!$R$59:$R$70*ROUND(AF21*('Inputs'!$D$59:$D$70-('Inputs'!$P$59:$P$70=AF5)*AF14),2)))+IF(OR(AF3=1,AF3=2),AF7-ROUND(AF21*AF7,2),0)+IF(AND(AF3=3,AF6='Inputs'!$B$89),AF38,0),2))</f>
      </c>
      <c r="AG46">
        <f>IF('Inputs'!$B$89="",0,ROUND(IF(AG31="S",'Inputs'!$O$89*AG28,IF(AG31="K",'Inputs'!$L$89*IF('Inputs'!$N$89=1,AG33,AG32),0))+'Inputs'!$Q$89*IF('Inputs'!$S$89=1,AG35+AG37+AG43+AG40,AG34+AG36+AG42+AG39)+SUMPRODUCT(('Inputs'!$F$59:$F$70='Inputs'!$B$89)*('Inputs'!$C$59:$C$70&lt;&gt;"Estate")*('Inputs'!$C$59:$C$70&lt;&gt;""),(('Inputs'!$D$59:$D$70-('Inputs'!$P$59:$P$70=AG5)*AG14)-'Inputs'!$R$59:$R$70*ROUND(AG21*('Inputs'!$D$59:$D$70-('Inputs'!$P$59:$P$70=AG5)*AG14),2)))+IF(OR(AG3=1,AG3=2),AG7-ROUND(AG21*AG7,2),0)+IF(AND(AG3=3,AG6='Inputs'!$B$89),AG38,0),2))</f>
      </c>
      <c r="AH46">
        <f>IF('Inputs'!$B$89="",0,ROUND(IF(AH31="S",'Inputs'!$O$89*AH28,IF(AH31="K",'Inputs'!$L$89*IF('Inputs'!$N$89=1,AH33,AH32),0))+'Inputs'!$Q$89*IF('Inputs'!$S$89=1,AH35+AH37+AH43+AH40,AH34+AH36+AH42+AH39)+SUMPRODUCT(('Inputs'!$F$59:$F$70='Inputs'!$B$89)*('Inputs'!$C$59:$C$70&lt;&gt;"Estate")*('Inputs'!$C$59:$C$70&lt;&gt;""),(('Inputs'!$D$59:$D$70-('Inputs'!$P$59:$P$70=AH5)*AH14)-'Inputs'!$R$59:$R$70*ROUND(AH21*('Inputs'!$D$59:$D$70-('Inputs'!$P$59:$P$70=AH5)*AH14),2)))+IF(OR(AH3=1,AH3=2),AH7-ROUND(AH21*AH7,2),0)+IF(AND(AH3=3,AH6='Inputs'!$B$89),AH38,0),2))</f>
      </c>
      <c r="AI46">
        <f>IF('Inputs'!$B$89="",0,ROUND(IF(AI31="S",'Inputs'!$O$89*AI28,IF(AI31="K",'Inputs'!$L$89*IF('Inputs'!$N$89=1,AI33,AI32),0))+'Inputs'!$Q$89*IF('Inputs'!$S$89=1,AI35+AI37+AI43+AI40,AI34+AI36+AI42+AI39)+SUMPRODUCT(('Inputs'!$F$59:$F$70='Inputs'!$B$89)*('Inputs'!$C$59:$C$70&lt;&gt;"Estate")*('Inputs'!$C$59:$C$70&lt;&gt;""),(('Inputs'!$D$59:$D$70-('Inputs'!$P$59:$P$70=AI5)*AI14)-'Inputs'!$R$59:$R$70*ROUND(AI21*('Inputs'!$D$59:$D$70-('Inputs'!$P$59:$P$70=AI5)*AI14),2)))+IF(OR(AI3=1,AI3=2),AI7-ROUND(AI21*AI7,2),0)+IF(AND(AI3=3,AI6='Inputs'!$B$89),AI38,0),2))</f>
      </c>
      <c r="AJ46">
        <f>IF('Inputs'!$B$89="",0,ROUND(IF(AJ31="S",'Inputs'!$O$89*AJ28,IF(AJ31="K",'Inputs'!$L$89*IF('Inputs'!$N$89=1,AJ33,AJ32),0))+'Inputs'!$Q$89*IF('Inputs'!$S$89=1,AJ35+AJ37+AJ43+AJ40,AJ34+AJ36+AJ42+AJ39)+SUMPRODUCT(('Inputs'!$F$59:$F$70='Inputs'!$B$89)*('Inputs'!$C$59:$C$70&lt;&gt;"Estate")*('Inputs'!$C$59:$C$70&lt;&gt;""),(('Inputs'!$D$59:$D$70-('Inputs'!$P$59:$P$70=AJ5)*AJ14)-'Inputs'!$R$59:$R$70*ROUND(AJ21*('Inputs'!$D$59:$D$70-('Inputs'!$P$59:$P$70=AJ5)*AJ14),2)))+IF(OR(AJ3=1,AJ3=2),AJ7-ROUND(AJ21*AJ7,2),0)+IF(AND(AJ3=3,AJ6='Inputs'!$B$89),AJ38,0),2))</f>
      </c>
      <c r="AK46">
        <f>IF('Inputs'!$B$89="",0,ROUND(IF(AK31="S",'Inputs'!$O$89*AK28,IF(AK31="K",'Inputs'!$L$89*IF('Inputs'!$N$89=1,AK33,AK32),0))+'Inputs'!$Q$89*IF('Inputs'!$S$89=1,AK35+AK37+AK43+AK40,AK34+AK36+AK42+AK39)+SUMPRODUCT(('Inputs'!$F$59:$F$70='Inputs'!$B$89)*('Inputs'!$C$59:$C$70&lt;&gt;"Estate")*('Inputs'!$C$59:$C$70&lt;&gt;""),(('Inputs'!$D$59:$D$70-('Inputs'!$P$59:$P$70=AK5)*AK14)-'Inputs'!$R$59:$R$70*ROUND(AK21*('Inputs'!$D$59:$D$70-('Inputs'!$P$59:$P$70=AK5)*AK14),2)))+IF(OR(AK3=1,AK3=2),AK7-ROUND(AK21*AK7,2),0)+IF(AND(AK3=3,AK6='Inputs'!$B$89),AK38,0),2))</f>
      </c>
      <c r="AM46">
        <f>IF('Inputs'!$B$89="",0,ROUND(IF(AM31="S",'Inputs'!$O$89*AM28,IF(AM31="K",'Inputs'!$L$89*IF('Inputs'!$N$89=1,AM33,AM32),0))+'Inputs'!$Q$89*IF('Inputs'!$S$89=1,AM35+AM37+AM43+AM40,AM34+AM36+AM42+AM39)+SUMPRODUCT(('Inputs'!$F$59:$F$70='Inputs'!$B$89)*('Inputs'!$C$59:$C$70&lt;&gt;"Estate")*('Inputs'!$C$59:$C$70&lt;&gt;""),(('Inputs'!$D$59:$D$70-('Inputs'!$P$59:$P$70=AM5)*AM14)-'Inputs'!$R$59:$R$70*ROUND(AM21*('Inputs'!$D$59:$D$70-('Inputs'!$P$59:$P$70=AM5)*AM14),2)))+IF(OR(AM3=1,AM3=2),AM7-ROUND(AM21*AM7,2),0)+IF(AND(AM3=3,AM6='Inputs'!$B$89),AM38,0),2))</f>
      </c>
      <c r="AN46">
        <f>IF('Inputs'!$B$89="",0,ROUND(IF(AN31="S",'Inputs'!$O$89*AN28,IF(AN31="K",'Inputs'!$L$89*IF('Inputs'!$N$89=1,AN33,AN32),0))+'Inputs'!$Q$89*IF('Inputs'!$S$89=1,AN35+AN37+AN43+AN40,AN34+AN36+AN42+AN39)+SUMPRODUCT(('Inputs'!$F$59:$F$70='Inputs'!$B$89)*('Inputs'!$C$59:$C$70&lt;&gt;"Estate")*('Inputs'!$C$59:$C$70&lt;&gt;""),(('Inputs'!$D$59:$D$70-('Inputs'!$P$59:$P$70=AN5)*AN14)-'Inputs'!$R$59:$R$70*ROUND(AN21*('Inputs'!$D$59:$D$70-('Inputs'!$P$59:$P$70=AN5)*AN14),2)))+IF(OR(AN3=1,AN3=2),AN7-ROUND(AN21*AN7,2),0)+IF(AND(AN3=3,AN6='Inputs'!$B$89),AN38,0),2))</f>
      </c>
      <c r="AO46">
        <f>IF('Inputs'!$B$89="",0,ROUND(IF(AO31="S",'Inputs'!$O$89*AO28,IF(AO31="K",'Inputs'!$L$89*IF('Inputs'!$N$89=1,AO33,AO32),0))+'Inputs'!$Q$89*IF('Inputs'!$S$89=1,AO35+AO37+AO43+AO40,AO34+AO36+AO42+AO39)+SUMPRODUCT(('Inputs'!$F$59:$F$70='Inputs'!$B$89)*('Inputs'!$C$59:$C$70&lt;&gt;"Estate")*('Inputs'!$C$59:$C$70&lt;&gt;""),(('Inputs'!$D$59:$D$70-('Inputs'!$P$59:$P$70=AO5)*AO14)-'Inputs'!$R$59:$R$70*ROUND(AO21*('Inputs'!$D$59:$D$70-('Inputs'!$P$59:$P$70=AO5)*AO14),2)))+IF(OR(AO3=1,AO3=2),AO7-ROUND(AO21*AO7,2),0)+IF(AND(AO3=3,AO6='Inputs'!$B$89),AO38,0),2))</f>
      </c>
      <c r="AP46">
        <f>IF('Inputs'!$B$89="",0,ROUND(IF(AP31="S",'Inputs'!$O$89*AP28,IF(AP31="K",'Inputs'!$L$89*IF('Inputs'!$N$89=1,AP33,AP32),0))+'Inputs'!$Q$89*IF('Inputs'!$S$89=1,AP35+AP37+AP43+AP40,AP34+AP36+AP42+AP39)+SUMPRODUCT(('Inputs'!$F$59:$F$70='Inputs'!$B$89)*('Inputs'!$C$59:$C$70&lt;&gt;"Estate")*('Inputs'!$C$59:$C$70&lt;&gt;""),(('Inputs'!$D$59:$D$70-('Inputs'!$P$59:$P$70=AP5)*AP14)-'Inputs'!$R$59:$R$70*ROUND(AP21*('Inputs'!$D$59:$D$70-('Inputs'!$P$59:$P$70=AP5)*AP14),2)))+IF(OR(AP3=1,AP3=2),AP7-ROUND(AP21*AP7,2),0)+IF(AND(AP3=3,AP6='Inputs'!$B$89),AP38,0),2))</f>
      </c>
      <c r="AQ46">
        <f>IF('Inputs'!$B$89="",0,ROUND(IF(AQ31="S",'Inputs'!$O$89*AQ28,IF(AQ31="K",'Inputs'!$L$89*IF('Inputs'!$N$89=1,AQ33,AQ32),0))+'Inputs'!$Q$89*IF('Inputs'!$S$89=1,AQ35+AQ37+AQ43+AQ40,AQ34+AQ36+AQ42+AQ39)+SUMPRODUCT(('Inputs'!$F$59:$F$70='Inputs'!$B$89)*('Inputs'!$C$59:$C$70&lt;&gt;"Estate")*('Inputs'!$C$59:$C$70&lt;&gt;""),(('Inputs'!$D$59:$D$70-('Inputs'!$P$59:$P$70=AQ5)*AQ14)-'Inputs'!$R$59:$R$70*ROUND(AQ21*('Inputs'!$D$59:$D$70-('Inputs'!$P$59:$P$70=AQ5)*AQ14),2)))+IF(OR(AQ3=1,AQ3=2),AQ7-ROUND(AQ21*AQ7,2),0)+IF(AND(AQ3=3,AQ6='Inputs'!$B$89),AQ38,0),2))</f>
      </c>
      <c r="AR46">
        <f>IF('Inputs'!$B$89="",0,ROUND(IF(AR31="S",'Inputs'!$O$89*AR28,IF(AR31="K",'Inputs'!$L$89*IF('Inputs'!$N$89=1,AR33,AR32),0))+'Inputs'!$Q$89*IF('Inputs'!$S$89=1,AR35+AR37+AR43+AR40,AR34+AR36+AR42+AR39)+SUMPRODUCT(('Inputs'!$F$59:$F$70='Inputs'!$B$89)*('Inputs'!$C$59:$C$70&lt;&gt;"Estate")*('Inputs'!$C$59:$C$70&lt;&gt;""),(('Inputs'!$D$59:$D$70-('Inputs'!$P$59:$P$70=AR5)*AR14)-'Inputs'!$R$59:$R$70*ROUND(AR21*('Inputs'!$D$59:$D$70-('Inputs'!$P$59:$P$70=AR5)*AR14),2)))+IF(OR(AR3=1,AR3=2),AR7-ROUND(AR21*AR7,2),0)+IF(AND(AR3=3,AR6='Inputs'!$B$89),AR38,0),2))</f>
      </c>
      <c r="AS46">
        <f>IF('Inputs'!$B$89="",0,ROUND(IF(AS31="S",'Inputs'!$O$89*AS28,IF(AS31="K",'Inputs'!$L$89*IF('Inputs'!$N$89=1,AS33,AS32),0))+'Inputs'!$Q$89*IF('Inputs'!$S$89=1,AS35+AS37+AS43+AS40,AS34+AS36+AS42+AS39)+SUMPRODUCT(('Inputs'!$F$59:$F$70='Inputs'!$B$89)*('Inputs'!$C$59:$C$70&lt;&gt;"Estate")*('Inputs'!$C$59:$C$70&lt;&gt;""),(('Inputs'!$D$59:$D$70-('Inputs'!$P$59:$P$70=AS5)*AS14)-'Inputs'!$R$59:$R$70*ROUND(AS21*('Inputs'!$D$59:$D$70-('Inputs'!$P$59:$P$70=AS5)*AS14),2)))+IF(OR(AS3=1,AS3=2),AS7-ROUND(AS21*AS7,2),0)+IF(AND(AS3=3,AS6='Inputs'!$B$89),AS38,0),2))</f>
      </c>
      <c r="AT46">
        <f>IF('Inputs'!$B$89="",0,ROUND(IF(AT31="S",'Inputs'!$O$89*AT28,IF(AT31="K",'Inputs'!$L$89*IF('Inputs'!$N$89=1,AT33,AT32),0))+'Inputs'!$Q$89*IF('Inputs'!$S$89=1,AT35+AT37+AT43+AT40,AT34+AT36+AT42+AT39)+SUMPRODUCT(('Inputs'!$F$59:$F$70='Inputs'!$B$89)*('Inputs'!$C$59:$C$70&lt;&gt;"Estate")*('Inputs'!$C$59:$C$70&lt;&gt;""),(('Inputs'!$D$59:$D$70-('Inputs'!$P$59:$P$70=AT5)*AT14)-'Inputs'!$R$59:$R$70*ROUND(AT21*('Inputs'!$D$59:$D$70-('Inputs'!$P$59:$P$70=AT5)*AT14),2)))+IF(OR(AT3=1,AT3=2),AT7-ROUND(AT21*AT7,2),0)+IF(AND(AT3=3,AT6='Inputs'!$B$89),AT38,0),2))</f>
      </c>
      <c r="AU46">
        <f>IF('Inputs'!$B$89="",0,ROUND(IF(AU31="S",'Inputs'!$O$89*AU28,IF(AU31="K",'Inputs'!$L$89*IF('Inputs'!$N$89=1,AU33,AU32),0))+'Inputs'!$Q$89*IF('Inputs'!$S$89=1,AU35+AU37+AU43+AU40,AU34+AU36+AU42+AU39)+SUMPRODUCT(('Inputs'!$F$59:$F$70='Inputs'!$B$89)*('Inputs'!$C$59:$C$70&lt;&gt;"Estate")*('Inputs'!$C$59:$C$70&lt;&gt;""),(('Inputs'!$D$59:$D$70-('Inputs'!$P$59:$P$70=AU5)*AU14)-'Inputs'!$R$59:$R$70*ROUND(AU21*('Inputs'!$D$59:$D$70-('Inputs'!$P$59:$P$70=AU5)*AU14),2)))+IF(OR(AU3=1,AU3=2),AU7-ROUND(AU21*AU7,2),0)+IF(AND(AU3=3,AU6='Inputs'!$B$89),AU38,0),2))</f>
      </c>
      <c r="AV46">
        <f>IF('Inputs'!$B$89="",0,ROUND(IF(AV31="S",'Inputs'!$O$89*AV28,IF(AV31="K",'Inputs'!$L$89*IF('Inputs'!$N$89=1,AV33,AV32),0))+'Inputs'!$Q$89*IF('Inputs'!$S$89=1,AV35+AV37+AV43+AV40,AV34+AV36+AV42+AV39)+SUMPRODUCT(('Inputs'!$F$59:$F$70='Inputs'!$B$89)*('Inputs'!$C$59:$C$70&lt;&gt;"Estate")*('Inputs'!$C$59:$C$70&lt;&gt;""),(('Inputs'!$D$59:$D$70-('Inputs'!$P$59:$P$70=AV5)*AV14)-'Inputs'!$R$59:$R$70*ROUND(AV21*('Inputs'!$D$59:$D$70-('Inputs'!$P$59:$P$70=AV5)*AV14),2)))+IF(OR(AV3=1,AV3=2),AV7-ROUND(AV21*AV7,2),0)+IF(AND(AV3=3,AV6='Inputs'!$B$89),AV38,0),2))</f>
      </c>
      <c r="AW46">
        <f>IF('Inputs'!$B$89="",0,ROUND(IF(AW31="S",'Inputs'!$O$89*AW28,IF(AW31="K",'Inputs'!$L$89*IF('Inputs'!$N$89=1,AW33,AW32),0))+'Inputs'!$Q$89*IF('Inputs'!$S$89=1,AW35+AW37+AW43+AW40,AW34+AW36+AW42+AW39)+SUMPRODUCT(('Inputs'!$F$59:$F$70='Inputs'!$B$89)*('Inputs'!$C$59:$C$70&lt;&gt;"Estate")*('Inputs'!$C$59:$C$70&lt;&gt;""),(('Inputs'!$D$59:$D$70-('Inputs'!$P$59:$P$70=AW5)*AW14)-'Inputs'!$R$59:$R$70*ROUND(AW21*('Inputs'!$D$59:$D$70-('Inputs'!$P$59:$P$70=AW5)*AW14),2)))+IF(OR(AW3=1,AW3=2),AW7-ROUND(AW21*AW7,2),0)+IF(AND(AW3=3,AW6='Inputs'!$B$89),AW38,0),2))</f>
      </c>
      <c r="AX46">
        <f>IF('Inputs'!$B$89="",0,ROUND(IF(AX31="S",'Inputs'!$O$89*AX28,IF(AX31="K",'Inputs'!$L$89*IF('Inputs'!$N$89=1,AX33,AX32),0))+'Inputs'!$Q$89*IF('Inputs'!$S$89=1,AX35+AX37+AX43+AX40,AX34+AX36+AX42+AX39)+SUMPRODUCT(('Inputs'!$F$59:$F$70='Inputs'!$B$89)*('Inputs'!$C$59:$C$70&lt;&gt;"Estate")*('Inputs'!$C$59:$C$70&lt;&gt;""),(('Inputs'!$D$59:$D$70-('Inputs'!$P$59:$P$70=AX5)*AX14)-'Inputs'!$R$59:$R$70*ROUND(AX21*('Inputs'!$D$59:$D$70-('Inputs'!$P$59:$P$70=AX5)*AX14),2)))+IF(OR(AX3=1,AX3=2),AX7-ROUND(AX21*AX7,2),0)+IF(AND(AX3=3,AX6='Inputs'!$B$89),AX38,0),2))</f>
      </c>
      <c r="AY46">
        <f>IF('Inputs'!$B$89="",0,ROUND(IF(AY31="S",'Inputs'!$O$89*AY28,IF(AY31="K",'Inputs'!$L$89*IF('Inputs'!$N$89=1,AY33,AY32),0))+'Inputs'!$Q$89*IF('Inputs'!$S$89=1,AY35+AY37+AY43+AY40,AY34+AY36+AY42+AY39)+SUMPRODUCT(('Inputs'!$F$59:$F$70='Inputs'!$B$89)*('Inputs'!$C$59:$C$70&lt;&gt;"Estate")*('Inputs'!$C$59:$C$70&lt;&gt;""),(('Inputs'!$D$59:$D$70-('Inputs'!$P$59:$P$70=AY5)*AY14)-'Inputs'!$R$59:$R$70*ROUND(AY21*('Inputs'!$D$59:$D$70-('Inputs'!$P$59:$P$70=AY5)*AY14),2)))+IF(OR(AY3=1,AY3=2),AY7-ROUND(AY21*AY7,2),0)+IF(AND(AY3=3,AY6='Inputs'!$B$89),AY38,0),2))</f>
      </c>
      <c r="AZ46">
        <f>IF('Inputs'!$B$89="",0,ROUND(IF(AZ31="S",'Inputs'!$O$89*AZ28,IF(AZ31="K",'Inputs'!$L$89*IF('Inputs'!$N$89=1,AZ33,AZ32),0))+'Inputs'!$Q$89*IF('Inputs'!$S$89=1,AZ35+AZ37+AZ43+AZ40,AZ34+AZ36+AZ42+AZ39)+SUMPRODUCT(('Inputs'!$F$59:$F$70='Inputs'!$B$89)*('Inputs'!$C$59:$C$70&lt;&gt;"Estate")*('Inputs'!$C$59:$C$70&lt;&gt;""),(('Inputs'!$D$59:$D$70-('Inputs'!$P$59:$P$70=AZ5)*AZ14)-'Inputs'!$R$59:$R$70*ROUND(AZ21*('Inputs'!$D$59:$D$70-('Inputs'!$P$59:$P$70=AZ5)*AZ14),2)))+IF(OR(AZ3=1,AZ3=2),AZ7-ROUND(AZ21*AZ7,2),0)+IF(AND(AZ3=3,AZ6='Inputs'!$B$89),AZ38,0),2))</f>
      </c>
      <c r="BA46">
        <f>IF('Inputs'!$B$89="",0,ROUND(IF(BA31="S",'Inputs'!$O$89*BA28,IF(BA31="K",'Inputs'!$L$89*IF('Inputs'!$N$89=1,BA33,BA32),0))+'Inputs'!$Q$89*IF('Inputs'!$S$89=1,BA35+BA37+BA43+BA40,BA34+BA36+BA42+BA39)+SUMPRODUCT(('Inputs'!$F$59:$F$70='Inputs'!$B$89)*('Inputs'!$C$59:$C$70&lt;&gt;"Estate")*('Inputs'!$C$59:$C$70&lt;&gt;""),(('Inputs'!$D$59:$D$70-('Inputs'!$P$59:$P$70=BA5)*BA14)-'Inputs'!$R$59:$R$70*ROUND(BA21*('Inputs'!$D$59:$D$70-('Inputs'!$P$59:$P$70=BA5)*BA14),2)))+IF(OR(BA3=1,BA3=2),BA7-ROUND(BA21*BA7,2),0)+IF(AND(BA3=3,BA6='Inputs'!$B$89),BA38,0),2))</f>
      </c>
      <c r="BB46">
        <f>IF('Inputs'!$B$89="",0,ROUND(IF(BB31="S",'Inputs'!$O$89*BB28,IF(BB31="K",'Inputs'!$L$89*IF('Inputs'!$N$89=1,BB33,BB32),0))+'Inputs'!$Q$89*IF('Inputs'!$S$89=1,BB35+BB37+BB43+BB40,BB34+BB36+BB42+BB39)+SUMPRODUCT(('Inputs'!$F$59:$F$70='Inputs'!$B$89)*('Inputs'!$C$59:$C$70&lt;&gt;"Estate")*('Inputs'!$C$59:$C$70&lt;&gt;""),(('Inputs'!$D$59:$D$70-('Inputs'!$P$59:$P$70=BB5)*BB14)-'Inputs'!$R$59:$R$70*ROUND(BB21*('Inputs'!$D$59:$D$70-('Inputs'!$P$59:$P$70=BB5)*BB14),2)))+IF(OR(BB3=1,BB3=2),BB7-ROUND(BB21*BB7,2),0)+IF(AND(BB3=3,BB6='Inputs'!$B$89),BB38,0),2))</f>
      </c>
      <c r="BD46">
        <f>IF('Inputs'!$B$89="",0,ROUND(IF(BD31="S",'Inputs'!$O$89*BD28,IF(BD31="K",'Inputs'!$L$89*IF('Inputs'!$N$89=1,BD33,BD32),0))+'Inputs'!$Q$89*IF('Inputs'!$S$89=1,BD35+BD37+BD43+BD40,BD34+BD36+BD42+BD39)+SUMPRODUCT(('Inputs'!$F$59:$F$70='Inputs'!$B$89)*('Inputs'!$C$59:$C$70&lt;&gt;"Estate")*('Inputs'!$C$59:$C$70&lt;&gt;""),(('Inputs'!$D$59:$D$70-('Inputs'!$P$59:$P$70=BD5)*BD14)-'Inputs'!$R$59:$R$70*ROUND(BD21*('Inputs'!$D$59:$D$70-('Inputs'!$P$59:$P$70=BD5)*BD14),2)))+IF(OR(BD3=1,BD3=2),BD7-ROUND(BD21*BD7,2),0)+IF(AND(BD3=3,BD6='Inputs'!$B$89),BD38,0),2))</f>
      </c>
      <c r="BE46">
        <f>IF('Inputs'!$B$89="",0,ROUND(IF(BE31="S",'Inputs'!$O$89*BE28,IF(BE31="K",'Inputs'!$L$89*IF('Inputs'!$N$89=1,BE33,BE32),0))+'Inputs'!$Q$89*IF('Inputs'!$S$89=1,BE35+BE37+BE43+BE40,BE34+BE36+BE42+BE39)+SUMPRODUCT(('Inputs'!$F$59:$F$70='Inputs'!$B$89)*('Inputs'!$C$59:$C$70&lt;&gt;"Estate")*('Inputs'!$C$59:$C$70&lt;&gt;""),(('Inputs'!$D$59:$D$70-('Inputs'!$P$59:$P$70=BE5)*BE14)-'Inputs'!$R$59:$R$70*ROUND(BE21*('Inputs'!$D$59:$D$70-('Inputs'!$P$59:$P$70=BE5)*BE14),2)))+IF(OR(BE3=1,BE3=2),BE7-ROUND(BE21*BE7,2),0)+IF(AND(BE3=3,BE6='Inputs'!$B$89),BE38,0),2))</f>
      </c>
      <c r="BF46">
        <f>IF('Inputs'!$B$89="",0,ROUND(IF(BF31="S",'Inputs'!$O$89*BF28,IF(BF31="K",'Inputs'!$L$89*IF('Inputs'!$N$89=1,BF33,BF32),0))+'Inputs'!$Q$89*IF('Inputs'!$S$89=1,BF35+BF37+BF43+BF40,BF34+BF36+BF42+BF39)+SUMPRODUCT(('Inputs'!$F$59:$F$70='Inputs'!$B$89)*('Inputs'!$C$59:$C$70&lt;&gt;"Estate")*('Inputs'!$C$59:$C$70&lt;&gt;""),(('Inputs'!$D$59:$D$70-('Inputs'!$P$59:$P$70=BF5)*BF14)-'Inputs'!$R$59:$R$70*ROUND(BF21*('Inputs'!$D$59:$D$70-('Inputs'!$P$59:$P$70=BF5)*BF14),2)))+IF(OR(BF3=1,BF3=2),BF7-ROUND(BF21*BF7,2),0)+IF(AND(BF3=3,BF6='Inputs'!$B$89),BF38,0),2))</f>
      </c>
      <c r="BG46">
        <f>IF('Inputs'!$B$89="",0,ROUND(IF(BG31="S",'Inputs'!$O$89*BG28,IF(BG31="K",'Inputs'!$L$89*IF('Inputs'!$N$89=1,BG33,BG32),0))+'Inputs'!$Q$89*IF('Inputs'!$S$89=1,BG35+BG37+BG43+BG40,BG34+BG36+BG42+BG39)+SUMPRODUCT(('Inputs'!$F$59:$F$70='Inputs'!$B$89)*('Inputs'!$C$59:$C$70&lt;&gt;"Estate")*('Inputs'!$C$59:$C$70&lt;&gt;""),(('Inputs'!$D$59:$D$70-('Inputs'!$P$59:$P$70=BG5)*BG14)-'Inputs'!$R$59:$R$70*ROUND(BG21*('Inputs'!$D$59:$D$70-('Inputs'!$P$59:$P$70=BG5)*BG14),2)))+IF(OR(BG3=1,BG3=2),BG7-ROUND(BG21*BG7,2),0)+IF(AND(BG3=3,BG6='Inputs'!$B$89),BG38,0),2))</f>
      </c>
      <c r="BH46">
        <f>IF('Inputs'!$B$89="",0,ROUND(IF(BH31="S",'Inputs'!$O$89*BH28,IF(BH31="K",'Inputs'!$L$89*IF('Inputs'!$N$89=1,BH33,BH32),0))+'Inputs'!$Q$89*IF('Inputs'!$S$89=1,BH35+BH37+BH43+BH40,BH34+BH36+BH42+BH39)+SUMPRODUCT(('Inputs'!$F$59:$F$70='Inputs'!$B$89)*('Inputs'!$C$59:$C$70&lt;&gt;"Estate")*('Inputs'!$C$59:$C$70&lt;&gt;""),(('Inputs'!$D$59:$D$70-('Inputs'!$P$59:$P$70=BH5)*BH14)-'Inputs'!$R$59:$R$70*ROUND(BH21*('Inputs'!$D$59:$D$70-('Inputs'!$P$59:$P$70=BH5)*BH14),2)))+IF(OR(BH3=1,BH3=2),BH7-ROUND(BH21*BH7,2),0)+IF(AND(BH3=3,BH6='Inputs'!$B$89),BH38,0),2))</f>
      </c>
      <c r="BI46">
        <f>IF('Inputs'!$B$89="",0,ROUND(IF(BI31="S",'Inputs'!$O$89*BI28,IF(BI31="K",'Inputs'!$L$89*IF('Inputs'!$N$89=1,BI33,BI32),0))+'Inputs'!$Q$89*IF('Inputs'!$S$89=1,BI35+BI37+BI43+BI40,BI34+BI36+BI42+BI39)+SUMPRODUCT(('Inputs'!$F$59:$F$70='Inputs'!$B$89)*('Inputs'!$C$59:$C$70&lt;&gt;"Estate")*('Inputs'!$C$59:$C$70&lt;&gt;""),(('Inputs'!$D$59:$D$70-('Inputs'!$P$59:$P$70=BI5)*BI14)-'Inputs'!$R$59:$R$70*ROUND(BI21*('Inputs'!$D$59:$D$70-('Inputs'!$P$59:$P$70=BI5)*BI14),2)))+IF(OR(BI3=1,BI3=2),BI7-ROUND(BI21*BI7,2),0)+IF(AND(BI3=3,BI6='Inputs'!$B$89),BI38,0),2))</f>
      </c>
      <c r="BJ46">
        <f>IF('Inputs'!$B$89="",0,ROUND(IF(BJ31="S",'Inputs'!$O$89*BJ28,IF(BJ31="K",'Inputs'!$L$89*IF('Inputs'!$N$89=1,BJ33,BJ32),0))+'Inputs'!$Q$89*IF('Inputs'!$S$89=1,BJ35+BJ37+BJ43+BJ40,BJ34+BJ36+BJ42+BJ39)+SUMPRODUCT(('Inputs'!$F$59:$F$70='Inputs'!$B$89)*('Inputs'!$C$59:$C$70&lt;&gt;"Estate")*('Inputs'!$C$59:$C$70&lt;&gt;""),(('Inputs'!$D$59:$D$70-('Inputs'!$P$59:$P$70=BJ5)*BJ14)-'Inputs'!$R$59:$R$70*ROUND(BJ21*('Inputs'!$D$59:$D$70-('Inputs'!$P$59:$P$70=BJ5)*BJ14),2)))+IF(OR(BJ3=1,BJ3=2),BJ7-ROUND(BJ21*BJ7,2),0)+IF(AND(BJ3=3,BJ6='Inputs'!$B$89),BJ38,0),2))</f>
      </c>
      <c r="BK46">
        <f>IF('Inputs'!$B$89="",0,ROUND(IF(BK31="S",'Inputs'!$O$89*BK28,IF(BK31="K",'Inputs'!$L$89*IF('Inputs'!$N$89=1,BK33,BK32),0))+'Inputs'!$Q$89*IF('Inputs'!$S$89=1,BK35+BK37+BK43+BK40,BK34+BK36+BK42+BK39)+SUMPRODUCT(('Inputs'!$F$59:$F$70='Inputs'!$B$89)*('Inputs'!$C$59:$C$70&lt;&gt;"Estate")*('Inputs'!$C$59:$C$70&lt;&gt;""),(('Inputs'!$D$59:$D$70-('Inputs'!$P$59:$P$70=BK5)*BK14)-'Inputs'!$R$59:$R$70*ROUND(BK21*('Inputs'!$D$59:$D$70-('Inputs'!$P$59:$P$70=BK5)*BK14),2)))+IF(OR(BK3=1,BK3=2),BK7-ROUND(BK21*BK7,2),0)+IF(AND(BK3=3,BK6='Inputs'!$B$89),BK38,0),2))</f>
      </c>
      <c r="BL46">
        <f>IF('Inputs'!$B$89="",0,ROUND(IF(BL31="S",'Inputs'!$O$89*BL28,IF(BL31="K",'Inputs'!$L$89*IF('Inputs'!$N$89=1,BL33,BL32),0))+'Inputs'!$Q$89*IF('Inputs'!$S$89=1,BL35+BL37+BL43+BL40,BL34+BL36+BL42+BL39)+SUMPRODUCT(('Inputs'!$F$59:$F$70='Inputs'!$B$89)*('Inputs'!$C$59:$C$70&lt;&gt;"Estate")*('Inputs'!$C$59:$C$70&lt;&gt;""),(('Inputs'!$D$59:$D$70-('Inputs'!$P$59:$P$70=BL5)*BL14)-'Inputs'!$R$59:$R$70*ROUND(BL21*('Inputs'!$D$59:$D$70-('Inputs'!$P$59:$P$70=BL5)*BL14),2)))+IF(OR(BL3=1,BL3=2),BL7-ROUND(BL21*BL7,2),0)+IF(AND(BL3=3,BL6='Inputs'!$B$89),BL38,0),2))</f>
      </c>
      <c r="BM46">
        <f>IF('Inputs'!$B$89="",0,ROUND(IF(BM31="S",'Inputs'!$O$89*BM28,IF(BM31="K",'Inputs'!$L$89*IF('Inputs'!$N$89=1,BM33,BM32),0))+'Inputs'!$Q$89*IF('Inputs'!$S$89=1,BM35+BM37+BM43+BM40,BM34+BM36+BM42+BM39)+SUMPRODUCT(('Inputs'!$F$59:$F$70='Inputs'!$B$89)*('Inputs'!$C$59:$C$70&lt;&gt;"Estate")*('Inputs'!$C$59:$C$70&lt;&gt;""),(('Inputs'!$D$59:$D$70-('Inputs'!$P$59:$P$70=BM5)*BM14)-'Inputs'!$R$59:$R$70*ROUND(BM21*('Inputs'!$D$59:$D$70-('Inputs'!$P$59:$P$70=BM5)*BM14),2)))+IF(OR(BM3=1,BM3=2),BM7-ROUND(BM21*BM7,2),0)+IF(AND(BM3=3,BM6='Inputs'!$B$89),BM38,0),2))</f>
      </c>
      <c r="BN46">
        <f>IF('Inputs'!$B$89="",0,ROUND(IF(BN31="S",'Inputs'!$O$89*BN28,IF(BN31="K",'Inputs'!$L$89*IF('Inputs'!$N$89=1,BN33,BN32),0))+'Inputs'!$Q$89*IF('Inputs'!$S$89=1,BN35+BN37+BN43+BN40,BN34+BN36+BN42+BN39)+SUMPRODUCT(('Inputs'!$F$59:$F$70='Inputs'!$B$89)*('Inputs'!$C$59:$C$70&lt;&gt;"Estate")*('Inputs'!$C$59:$C$70&lt;&gt;""),(('Inputs'!$D$59:$D$70-('Inputs'!$P$59:$P$70=BN5)*BN14)-'Inputs'!$R$59:$R$70*ROUND(BN21*('Inputs'!$D$59:$D$70-('Inputs'!$P$59:$P$70=BN5)*BN14),2)))+IF(OR(BN3=1,BN3=2),BN7-ROUND(BN21*BN7,2),0)+IF(AND(BN3=3,BN6='Inputs'!$B$89),BN38,0),2))</f>
      </c>
      <c r="BO46">
        <f>IF('Inputs'!$B$89="",0,ROUND(IF(BO31="S",'Inputs'!$O$89*BO28,IF(BO31="K",'Inputs'!$L$89*IF('Inputs'!$N$89=1,BO33,BO32),0))+'Inputs'!$Q$89*IF('Inputs'!$S$89=1,BO35+BO37+BO43+BO40,BO34+BO36+BO42+BO39)+SUMPRODUCT(('Inputs'!$F$59:$F$70='Inputs'!$B$89)*('Inputs'!$C$59:$C$70&lt;&gt;"Estate")*('Inputs'!$C$59:$C$70&lt;&gt;""),(('Inputs'!$D$59:$D$70-('Inputs'!$P$59:$P$70=BO5)*BO14)-'Inputs'!$R$59:$R$70*ROUND(BO21*('Inputs'!$D$59:$D$70-('Inputs'!$P$59:$P$70=BO5)*BO14),2)))+IF(OR(BO3=1,BO3=2),BO7-ROUND(BO21*BO7,2),0)+IF(AND(BO3=3,BO6='Inputs'!$B$89),BO38,0),2))</f>
      </c>
      <c r="BP46">
        <f>IF('Inputs'!$B$89="",0,ROUND(IF(BP31="S",'Inputs'!$O$89*BP28,IF(BP31="K",'Inputs'!$L$89*IF('Inputs'!$N$89=1,BP33,BP32),0))+'Inputs'!$Q$89*IF('Inputs'!$S$89=1,BP35+BP37+BP43+BP40,BP34+BP36+BP42+BP39)+SUMPRODUCT(('Inputs'!$F$59:$F$70='Inputs'!$B$89)*('Inputs'!$C$59:$C$70&lt;&gt;"Estate")*('Inputs'!$C$59:$C$70&lt;&gt;""),(('Inputs'!$D$59:$D$70-('Inputs'!$P$59:$P$70=BP5)*BP14)-'Inputs'!$R$59:$R$70*ROUND(BP21*('Inputs'!$D$59:$D$70-('Inputs'!$P$59:$P$70=BP5)*BP14),2)))+IF(OR(BP3=1,BP3=2),BP7-ROUND(BP21*BP7,2),0)+IF(AND(BP3=3,BP6='Inputs'!$B$89),BP38,0),2))</f>
      </c>
      <c r="BQ46">
        <f>IF('Inputs'!$B$89="",0,ROUND(IF(BQ31="S",'Inputs'!$O$89*BQ28,IF(BQ31="K",'Inputs'!$L$89*IF('Inputs'!$N$89=1,BQ33,BQ32),0))+'Inputs'!$Q$89*IF('Inputs'!$S$89=1,BQ35+BQ37+BQ43+BQ40,BQ34+BQ36+BQ42+BQ39)+SUMPRODUCT(('Inputs'!$F$59:$F$70='Inputs'!$B$89)*('Inputs'!$C$59:$C$70&lt;&gt;"Estate")*('Inputs'!$C$59:$C$70&lt;&gt;""),(('Inputs'!$D$59:$D$70-('Inputs'!$P$59:$P$70=BQ5)*BQ14)-'Inputs'!$R$59:$R$70*ROUND(BQ21*('Inputs'!$D$59:$D$70-('Inputs'!$P$59:$P$70=BQ5)*BQ14),2)))+IF(OR(BQ3=1,BQ3=2),BQ7-ROUND(BQ21*BQ7,2),0)+IF(AND(BQ3=3,BQ6='Inputs'!$B$89),BQ38,0),2))</f>
      </c>
      <c r="BR46">
        <f>IF('Inputs'!$B$89="",0,ROUND(IF(BR31="S",'Inputs'!$O$89*BR28,IF(BR31="K",'Inputs'!$L$89*IF('Inputs'!$N$89=1,BR33,BR32),0))+'Inputs'!$Q$89*IF('Inputs'!$S$89=1,BR35+BR37+BR43+BR40,BR34+BR36+BR42+BR39)+SUMPRODUCT(('Inputs'!$F$59:$F$70='Inputs'!$B$89)*('Inputs'!$C$59:$C$70&lt;&gt;"Estate")*('Inputs'!$C$59:$C$70&lt;&gt;""),(('Inputs'!$D$59:$D$70-('Inputs'!$P$59:$P$70=BR5)*BR14)-'Inputs'!$R$59:$R$70*ROUND(BR21*('Inputs'!$D$59:$D$70-('Inputs'!$P$59:$P$70=BR5)*BR14),2)))+IF(OR(BR3=1,BR3=2),BR7-ROUND(BR21*BR7,2),0)+IF(AND(BR3=3,BR6='Inputs'!$B$89),BR38,0),2))</f>
      </c>
      <c r="BS46">
        <f>IF('Inputs'!$B$89="",0,ROUND(IF(BS31="S",'Inputs'!$O$89*BS28,IF(BS31="K",'Inputs'!$L$89*IF('Inputs'!$N$89=1,BS33,BS32),0))+'Inputs'!$Q$89*IF('Inputs'!$S$89=1,BS35+BS37+BS43+BS40,BS34+BS36+BS42+BS39)+SUMPRODUCT(('Inputs'!$F$59:$F$70='Inputs'!$B$89)*('Inputs'!$C$59:$C$70&lt;&gt;"Estate")*('Inputs'!$C$59:$C$70&lt;&gt;""),(('Inputs'!$D$59:$D$70-('Inputs'!$P$59:$P$70=BS5)*BS14)-'Inputs'!$R$59:$R$70*ROUND(BS21*('Inputs'!$D$59:$D$70-('Inputs'!$P$59:$P$70=BS5)*BS14),2)))+IF(OR(BS3=1,BS3=2),BS7-ROUND(BS21*BS7,2),0)+IF(AND(BS3=3,BS6='Inputs'!$B$89),BS38,0),2))</f>
      </c>
    </row>
    <row r="47" spans="2:71" x14ac:dyDescent="0.25">
      <c r="B47" t="s">
        <v>366</v>
      </c>
      <c r="C47">
        <f>'Needs years'!$C$6+'Needs years'!$C$13+C46*('Inputs'!$C$122/100*('Inputs'!$H$110/100+'Inputs'!$C$120/100*'Inputs'!$H$112/100))</f>
      </c>
      <c r="E47">
        <f>'Needs years'!$C$6+'Needs years'!$C$13+E46*('Inputs'!$C$122/100*('Inputs'!$H$110/100+'Inputs'!$C$120/100*'Inputs'!$H$112/100))</f>
      </c>
      <c r="F47">
        <f>'Needs years'!$C$6+'Needs years'!$C$13+F46*('Inputs'!$C$122/100*('Inputs'!$H$110/100+'Inputs'!$C$120/100*'Inputs'!$H$112/100))</f>
      </c>
      <c r="G47">
        <f>'Needs years'!$C$6+'Needs years'!$C$13+G46*('Inputs'!$C$122/100*('Inputs'!$H$110/100+'Inputs'!$C$120/100*'Inputs'!$H$112/100))</f>
      </c>
      <c r="H47">
        <f>'Needs years'!$C$6+'Needs years'!$C$13+H46*('Inputs'!$C$122/100*('Inputs'!$H$110/100+'Inputs'!$C$120/100*'Inputs'!$H$112/100))</f>
      </c>
      <c r="I47">
        <f>'Needs years'!$C$6+'Needs years'!$C$13+I46*('Inputs'!$C$122/100*('Inputs'!$H$110/100+'Inputs'!$C$120/100*'Inputs'!$H$112/100))</f>
      </c>
      <c r="J47">
        <f>'Needs years'!$C$6+'Needs years'!$C$13+J46*('Inputs'!$C$122/100*('Inputs'!$H$110/100+'Inputs'!$C$120/100*'Inputs'!$H$112/100))</f>
      </c>
      <c r="K47">
        <f>'Needs years'!$C$6+'Needs years'!$C$13+K46*('Inputs'!$C$122/100*('Inputs'!$H$110/100+'Inputs'!$C$120/100*'Inputs'!$H$112/100))</f>
      </c>
      <c r="L47">
        <f>'Needs years'!$C$6+'Needs years'!$C$13+L46*('Inputs'!$C$122/100*('Inputs'!$H$110/100+'Inputs'!$C$120/100*'Inputs'!$H$112/100))</f>
      </c>
      <c r="M47">
        <f>'Needs years'!$C$6+'Needs years'!$C$13+M46*('Inputs'!$C$122/100*('Inputs'!$H$110/100+'Inputs'!$C$120/100*'Inputs'!$H$112/100))</f>
      </c>
      <c r="N47">
        <f>'Needs years'!$C$6+'Needs years'!$C$13+N46*('Inputs'!$C$122/100*('Inputs'!$H$110/100+'Inputs'!$C$120/100*'Inputs'!$H$112/100))</f>
      </c>
      <c r="O47">
        <f>'Needs years'!$C$6+'Needs years'!$C$13+O46*('Inputs'!$C$122/100*('Inputs'!$H$110/100+'Inputs'!$C$120/100*'Inputs'!$H$112/100))</f>
      </c>
      <c r="P47">
        <f>'Needs years'!$C$6+'Needs years'!$C$13+P46*('Inputs'!$C$122/100*('Inputs'!$H$110/100+'Inputs'!$C$120/100*'Inputs'!$H$112/100))</f>
      </c>
      <c r="Q47">
        <f>'Needs years'!$C$6+'Needs years'!$C$13+Q46*('Inputs'!$C$122/100*('Inputs'!$H$110/100+'Inputs'!$C$120/100*'Inputs'!$H$112/100))</f>
      </c>
      <c r="R47">
        <f>'Needs years'!$C$6+'Needs years'!$C$13+R46*('Inputs'!$C$122/100*('Inputs'!$H$110/100+'Inputs'!$C$120/100*'Inputs'!$H$112/100))</f>
      </c>
      <c r="S47">
        <f>'Needs years'!$C$6+'Needs years'!$C$13+S46*('Inputs'!$C$122/100*('Inputs'!$H$110/100+'Inputs'!$C$120/100*'Inputs'!$H$112/100))</f>
      </c>
      <c r="T47">
        <f>'Needs years'!$C$6+'Needs years'!$C$13+T46*('Inputs'!$C$122/100*('Inputs'!$H$110/100+'Inputs'!$C$120/100*'Inputs'!$H$112/100))</f>
      </c>
      <c r="V47">
        <f>'Needs years'!$C$6+'Needs years'!$C$13+V46*('Inputs'!$C$122/100*('Inputs'!$H$110/100+'Inputs'!$C$120/100*'Inputs'!$H$112/100))</f>
      </c>
      <c r="W47">
        <f>'Needs years'!$C$6+'Needs years'!$C$13+W46*('Inputs'!$C$122/100*('Inputs'!$H$110/100+'Inputs'!$C$120/100*'Inputs'!$H$112/100))</f>
      </c>
      <c r="X47">
        <f>'Needs years'!$C$6+'Needs years'!$C$13+X46*('Inputs'!$C$122/100*('Inputs'!$H$110/100+'Inputs'!$C$120/100*'Inputs'!$H$112/100))</f>
      </c>
      <c r="Y47">
        <f>'Needs years'!$C$6+'Needs years'!$C$13+Y46*('Inputs'!$C$122/100*('Inputs'!$H$110/100+'Inputs'!$C$120/100*'Inputs'!$H$112/100))</f>
      </c>
      <c r="Z47">
        <f>'Needs years'!$C$6+'Needs years'!$C$13+Z46*('Inputs'!$C$122/100*('Inputs'!$H$110/100+'Inputs'!$C$120/100*'Inputs'!$H$112/100))</f>
      </c>
      <c r="AA47">
        <f>'Needs years'!$C$6+'Needs years'!$C$13+AA46*('Inputs'!$C$122/100*('Inputs'!$H$110/100+'Inputs'!$C$120/100*'Inputs'!$H$112/100))</f>
      </c>
      <c r="AB47">
        <f>'Needs years'!$C$6+'Needs years'!$C$13+AB46*('Inputs'!$C$122/100*('Inputs'!$H$110/100+'Inputs'!$C$120/100*'Inputs'!$H$112/100))</f>
      </c>
      <c r="AC47">
        <f>'Needs years'!$C$6+'Needs years'!$C$13+AC46*('Inputs'!$C$122/100*('Inputs'!$H$110/100+'Inputs'!$C$120/100*'Inputs'!$H$112/100))</f>
      </c>
      <c r="AD47">
        <f>'Needs years'!$C$6+'Needs years'!$C$13+AD46*('Inputs'!$C$122/100*('Inputs'!$H$110/100+'Inputs'!$C$120/100*'Inputs'!$H$112/100))</f>
      </c>
      <c r="AE47">
        <f>'Needs years'!$C$6+'Needs years'!$C$13+AE46*('Inputs'!$C$122/100*('Inputs'!$H$110/100+'Inputs'!$C$120/100*'Inputs'!$H$112/100))</f>
      </c>
      <c r="AF47">
        <f>'Needs years'!$C$6+'Needs years'!$C$13+AF46*('Inputs'!$C$122/100*('Inputs'!$H$110/100+'Inputs'!$C$120/100*'Inputs'!$H$112/100))</f>
      </c>
      <c r="AG47">
        <f>'Needs years'!$C$6+'Needs years'!$C$13+AG46*('Inputs'!$C$122/100*('Inputs'!$H$110/100+'Inputs'!$C$120/100*'Inputs'!$H$112/100))</f>
      </c>
      <c r="AH47">
        <f>'Needs years'!$C$6+'Needs years'!$C$13+AH46*('Inputs'!$C$122/100*('Inputs'!$H$110/100+'Inputs'!$C$120/100*'Inputs'!$H$112/100))</f>
      </c>
      <c r="AI47">
        <f>'Needs years'!$C$6+'Needs years'!$C$13+AI46*('Inputs'!$C$122/100*('Inputs'!$H$110/100+'Inputs'!$C$120/100*'Inputs'!$H$112/100))</f>
      </c>
      <c r="AJ47">
        <f>'Needs years'!$C$6+'Needs years'!$C$13+AJ46*('Inputs'!$C$122/100*('Inputs'!$H$110/100+'Inputs'!$C$120/100*'Inputs'!$H$112/100))</f>
      </c>
      <c r="AK47">
        <f>'Needs years'!$C$6+'Needs years'!$C$13+AK46*('Inputs'!$C$122/100*('Inputs'!$H$110/100+'Inputs'!$C$120/100*'Inputs'!$H$112/100))</f>
      </c>
      <c r="AM47">
        <f>'Needs years'!$C$6+'Needs years'!$C$13+AM46*('Inputs'!$C$122/100*('Inputs'!$H$110/100+'Inputs'!$C$120/100*'Inputs'!$H$112/100))</f>
      </c>
      <c r="AN47">
        <f>'Needs years'!$C$6+'Needs years'!$C$13+AN46*('Inputs'!$C$122/100*('Inputs'!$H$110/100+'Inputs'!$C$120/100*'Inputs'!$H$112/100))</f>
      </c>
      <c r="AO47">
        <f>'Needs years'!$C$6+'Needs years'!$C$13+AO46*('Inputs'!$C$122/100*('Inputs'!$H$110/100+'Inputs'!$C$120/100*'Inputs'!$H$112/100))</f>
      </c>
      <c r="AP47">
        <f>'Needs years'!$C$6+'Needs years'!$C$13+AP46*('Inputs'!$C$122/100*('Inputs'!$H$110/100+'Inputs'!$C$120/100*'Inputs'!$H$112/100))</f>
      </c>
      <c r="AQ47">
        <f>'Needs years'!$C$6+'Needs years'!$C$13+AQ46*('Inputs'!$C$122/100*('Inputs'!$H$110/100+'Inputs'!$C$120/100*'Inputs'!$H$112/100))</f>
      </c>
      <c r="AR47">
        <f>'Needs years'!$C$6+'Needs years'!$C$13+AR46*('Inputs'!$C$122/100*('Inputs'!$H$110/100+'Inputs'!$C$120/100*'Inputs'!$H$112/100))</f>
      </c>
      <c r="AS47">
        <f>'Needs years'!$C$6+'Needs years'!$C$13+AS46*('Inputs'!$C$122/100*('Inputs'!$H$110/100+'Inputs'!$C$120/100*'Inputs'!$H$112/100))</f>
      </c>
      <c r="AT47">
        <f>'Needs years'!$C$6+'Needs years'!$C$13+AT46*('Inputs'!$C$122/100*('Inputs'!$H$110/100+'Inputs'!$C$120/100*'Inputs'!$H$112/100))</f>
      </c>
      <c r="AU47">
        <f>'Needs years'!$C$6+'Needs years'!$C$13+AU46*('Inputs'!$C$122/100*('Inputs'!$H$110/100+'Inputs'!$C$120/100*'Inputs'!$H$112/100))</f>
      </c>
      <c r="AV47">
        <f>'Needs years'!$C$6+'Needs years'!$C$13+AV46*('Inputs'!$C$122/100*('Inputs'!$H$110/100+'Inputs'!$C$120/100*'Inputs'!$H$112/100))</f>
      </c>
      <c r="AW47">
        <f>'Needs years'!$C$6+'Needs years'!$C$13+AW46*('Inputs'!$C$122/100*('Inputs'!$H$110/100+'Inputs'!$C$120/100*'Inputs'!$H$112/100))</f>
      </c>
      <c r="AX47">
        <f>'Needs years'!$C$6+'Needs years'!$C$13+AX46*('Inputs'!$C$122/100*('Inputs'!$H$110/100+'Inputs'!$C$120/100*'Inputs'!$H$112/100))</f>
      </c>
      <c r="AY47">
        <f>'Needs years'!$C$6+'Needs years'!$C$13+AY46*('Inputs'!$C$122/100*('Inputs'!$H$110/100+'Inputs'!$C$120/100*'Inputs'!$H$112/100))</f>
      </c>
      <c r="AZ47">
        <f>'Needs years'!$C$6+'Needs years'!$C$13+AZ46*('Inputs'!$C$122/100*('Inputs'!$H$110/100+'Inputs'!$C$120/100*'Inputs'!$H$112/100))</f>
      </c>
      <c r="BA47">
        <f>'Needs years'!$C$6+'Needs years'!$C$13+BA46*('Inputs'!$C$122/100*('Inputs'!$H$110/100+'Inputs'!$C$120/100*'Inputs'!$H$112/100))</f>
      </c>
      <c r="BB47">
        <f>'Needs years'!$C$6+'Needs years'!$C$13+BB46*('Inputs'!$C$122/100*('Inputs'!$H$110/100+'Inputs'!$C$120/100*'Inputs'!$H$112/100))</f>
      </c>
      <c r="BD47">
        <f>'Needs years'!$C$6+'Needs years'!$C$13+BD46*('Inputs'!$C$122/100*('Inputs'!$H$110/100+'Inputs'!$C$120/100*'Inputs'!$H$112/100))</f>
      </c>
      <c r="BE47">
        <f>'Needs years'!$C$6+'Needs years'!$C$13+BE46*('Inputs'!$C$122/100*('Inputs'!$H$110/100+'Inputs'!$C$120/100*'Inputs'!$H$112/100))</f>
      </c>
      <c r="BF47">
        <f>'Needs years'!$C$6+'Needs years'!$C$13+BF46*('Inputs'!$C$122/100*('Inputs'!$H$110/100+'Inputs'!$C$120/100*'Inputs'!$H$112/100))</f>
      </c>
      <c r="BG47">
        <f>'Needs years'!$C$6+'Needs years'!$C$13+BG46*('Inputs'!$C$122/100*('Inputs'!$H$110/100+'Inputs'!$C$120/100*'Inputs'!$H$112/100))</f>
      </c>
      <c r="BH47">
        <f>'Needs years'!$C$6+'Needs years'!$C$13+BH46*('Inputs'!$C$122/100*('Inputs'!$H$110/100+'Inputs'!$C$120/100*'Inputs'!$H$112/100))</f>
      </c>
      <c r="BI47">
        <f>'Needs years'!$C$6+'Needs years'!$C$13+BI46*('Inputs'!$C$122/100*('Inputs'!$H$110/100+'Inputs'!$C$120/100*'Inputs'!$H$112/100))</f>
      </c>
      <c r="BJ47">
        <f>'Needs years'!$C$6+'Needs years'!$C$13+BJ46*('Inputs'!$C$122/100*('Inputs'!$H$110/100+'Inputs'!$C$120/100*'Inputs'!$H$112/100))</f>
      </c>
      <c r="BK47">
        <f>'Needs years'!$C$6+'Needs years'!$C$13+BK46*('Inputs'!$C$122/100*('Inputs'!$H$110/100+'Inputs'!$C$120/100*'Inputs'!$H$112/100))</f>
      </c>
      <c r="BL47">
        <f>'Needs years'!$C$6+'Needs years'!$C$13+BL46*('Inputs'!$C$122/100*('Inputs'!$H$110/100+'Inputs'!$C$120/100*'Inputs'!$H$112/100))</f>
      </c>
      <c r="BM47">
        <f>'Needs years'!$C$6+'Needs years'!$C$13+BM46*('Inputs'!$C$122/100*('Inputs'!$H$110/100+'Inputs'!$C$120/100*'Inputs'!$H$112/100))</f>
      </c>
      <c r="BN47">
        <f>'Needs years'!$C$6+'Needs years'!$C$13+BN46*('Inputs'!$C$122/100*('Inputs'!$H$110/100+'Inputs'!$C$120/100*'Inputs'!$H$112/100))</f>
      </c>
      <c r="BO47">
        <f>'Needs years'!$C$6+'Needs years'!$C$13+BO46*('Inputs'!$C$122/100*('Inputs'!$H$110/100+'Inputs'!$C$120/100*'Inputs'!$H$112/100))</f>
      </c>
      <c r="BP47">
        <f>'Needs years'!$C$6+'Needs years'!$C$13+BP46*('Inputs'!$C$122/100*('Inputs'!$H$110/100+'Inputs'!$C$120/100*'Inputs'!$H$112/100))</f>
      </c>
      <c r="BQ47">
        <f>'Needs years'!$C$6+'Needs years'!$C$13+BQ46*('Inputs'!$C$122/100*('Inputs'!$H$110/100+'Inputs'!$C$120/100*'Inputs'!$H$112/100))</f>
      </c>
      <c r="BR47">
        <f>'Needs years'!$C$6+'Needs years'!$C$13+BR46*('Inputs'!$C$122/100*('Inputs'!$H$110/100+'Inputs'!$C$120/100*'Inputs'!$H$112/100))</f>
      </c>
      <c r="BS47">
        <f>'Needs years'!$C$6+'Needs years'!$C$13+BS46*('Inputs'!$C$122/100*('Inputs'!$H$110/100+'Inputs'!$C$120/100*'Inputs'!$H$112/100))</f>
      </c>
    </row>
    <row r="48" spans="2:71" x14ac:dyDescent="0.25">
      <c r="B48" t="s">
        <v>367</v>
      </c>
      <c r="C48">
        <f>IF(C47&lt;='Needs years'!$C$5,0,INDEX('Inputs'!$E$125:$E$131,MATCH(C47,'Inputs'!$C$125:$C$131,1)-IF(COUNTIF('Inputs'!$C$125:$C$131,C47)&gt;0,1,0))/100)</f>
      </c>
      <c r="E48">
        <f>IF(E47&lt;='Needs years'!$C$5,0,INDEX('Inputs'!$E$125:$E$131,MATCH(E47,'Inputs'!$C$125:$C$131,1)-IF(COUNTIF('Inputs'!$C$125:$C$131,E47)&gt;0,1,0))/100)</f>
      </c>
      <c r="F48">
        <f>IF(F47&lt;='Needs years'!$C$5,0,INDEX('Inputs'!$E$125:$E$131,MATCH(F47,'Inputs'!$C$125:$C$131,1)-IF(COUNTIF('Inputs'!$C$125:$C$131,F47)&gt;0,1,0))/100)</f>
      </c>
      <c r="G48">
        <f>IF(G47&lt;='Needs years'!$C$5,0,INDEX('Inputs'!$E$125:$E$131,MATCH(G47,'Inputs'!$C$125:$C$131,1)-IF(COUNTIF('Inputs'!$C$125:$C$131,G47)&gt;0,1,0))/100)</f>
      </c>
      <c r="H48">
        <f>IF(H47&lt;='Needs years'!$C$5,0,INDEX('Inputs'!$E$125:$E$131,MATCH(H47,'Inputs'!$C$125:$C$131,1)-IF(COUNTIF('Inputs'!$C$125:$C$131,H47)&gt;0,1,0))/100)</f>
      </c>
      <c r="I48">
        <f>IF(I47&lt;='Needs years'!$C$5,0,INDEX('Inputs'!$E$125:$E$131,MATCH(I47,'Inputs'!$C$125:$C$131,1)-IF(COUNTIF('Inputs'!$C$125:$C$131,I47)&gt;0,1,0))/100)</f>
      </c>
      <c r="J48">
        <f>IF(J47&lt;='Needs years'!$C$5,0,INDEX('Inputs'!$E$125:$E$131,MATCH(J47,'Inputs'!$C$125:$C$131,1)-IF(COUNTIF('Inputs'!$C$125:$C$131,J47)&gt;0,1,0))/100)</f>
      </c>
      <c r="K48">
        <f>IF(K47&lt;='Needs years'!$C$5,0,INDEX('Inputs'!$E$125:$E$131,MATCH(K47,'Inputs'!$C$125:$C$131,1)-IF(COUNTIF('Inputs'!$C$125:$C$131,K47)&gt;0,1,0))/100)</f>
      </c>
      <c r="L48">
        <f>IF(L47&lt;='Needs years'!$C$5,0,INDEX('Inputs'!$E$125:$E$131,MATCH(L47,'Inputs'!$C$125:$C$131,1)-IF(COUNTIF('Inputs'!$C$125:$C$131,L47)&gt;0,1,0))/100)</f>
      </c>
      <c r="M48">
        <f>IF(M47&lt;='Needs years'!$C$5,0,INDEX('Inputs'!$E$125:$E$131,MATCH(M47,'Inputs'!$C$125:$C$131,1)-IF(COUNTIF('Inputs'!$C$125:$C$131,M47)&gt;0,1,0))/100)</f>
      </c>
      <c r="N48">
        <f>IF(N47&lt;='Needs years'!$C$5,0,INDEX('Inputs'!$E$125:$E$131,MATCH(N47,'Inputs'!$C$125:$C$131,1)-IF(COUNTIF('Inputs'!$C$125:$C$131,N47)&gt;0,1,0))/100)</f>
      </c>
      <c r="O48">
        <f>IF(O47&lt;='Needs years'!$C$5,0,INDEX('Inputs'!$E$125:$E$131,MATCH(O47,'Inputs'!$C$125:$C$131,1)-IF(COUNTIF('Inputs'!$C$125:$C$131,O47)&gt;0,1,0))/100)</f>
      </c>
      <c r="P48">
        <f>IF(P47&lt;='Needs years'!$C$5,0,INDEX('Inputs'!$E$125:$E$131,MATCH(P47,'Inputs'!$C$125:$C$131,1)-IF(COUNTIF('Inputs'!$C$125:$C$131,P47)&gt;0,1,0))/100)</f>
      </c>
      <c r="Q48">
        <f>IF(Q47&lt;='Needs years'!$C$5,0,INDEX('Inputs'!$E$125:$E$131,MATCH(Q47,'Inputs'!$C$125:$C$131,1)-IF(COUNTIF('Inputs'!$C$125:$C$131,Q47)&gt;0,1,0))/100)</f>
      </c>
      <c r="R48">
        <f>IF(R47&lt;='Needs years'!$C$5,0,INDEX('Inputs'!$E$125:$E$131,MATCH(R47,'Inputs'!$C$125:$C$131,1)-IF(COUNTIF('Inputs'!$C$125:$C$131,R47)&gt;0,1,0))/100)</f>
      </c>
      <c r="S48">
        <f>IF(S47&lt;='Needs years'!$C$5,0,INDEX('Inputs'!$E$125:$E$131,MATCH(S47,'Inputs'!$C$125:$C$131,1)-IF(COUNTIF('Inputs'!$C$125:$C$131,S47)&gt;0,1,0))/100)</f>
      </c>
      <c r="T48">
        <f>IF(T47&lt;='Needs years'!$C$5,0,INDEX('Inputs'!$E$125:$E$131,MATCH(T47,'Inputs'!$C$125:$C$131,1)-IF(COUNTIF('Inputs'!$C$125:$C$131,T47)&gt;0,1,0))/100)</f>
      </c>
      <c r="V48">
        <f>IF(V47&lt;='Needs years'!$C$5,0,INDEX('Inputs'!$E$125:$E$131,MATCH(V47,'Inputs'!$C$125:$C$131,1)-IF(COUNTIF('Inputs'!$C$125:$C$131,V47)&gt;0,1,0))/100)</f>
      </c>
      <c r="W48">
        <f>IF(W47&lt;='Needs years'!$C$5,0,INDEX('Inputs'!$E$125:$E$131,MATCH(W47,'Inputs'!$C$125:$C$131,1)-IF(COUNTIF('Inputs'!$C$125:$C$131,W47)&gt;0,1,0))/100)</f>
      </c>
      <c r="X48">
        <f>IF(X47&lt;='Needs years'!$C$5,0,INDEX('Inputs'!$E$125:$E$131,MATCH(X47,'Inputs'!$C$125:$C$131,1)-IF(COUNTIF('Inputs'!$C$125:$C$131,X47)&gt;0,1,0))/100)</f>
      </c>
      <c r="Y48">
        <f>IF(Y47&lt;='Needs years'!$C$5,0,INDEX('Inputs'!$E$125:$E$131,MATCH(Y47,'Inputs'!$C$125:$C$131,1)-IF(COUNTIF('Inputs'!$C$125:$C$131,Y47)&gt;0,1,0))/100)</f>
      </c>
      <c r="Z48">
        <f>IF(Z47&lt;='Needs years'!$C$5,0,INDEX('Inputs'!$E$125:$E$131,MATCH(Z47,'Inputs'!$C$125:$C$131,1)-IF(COUNTIF('Inputs'!$C$125:$C$131,Z47)&gt;0,1,0))/100)</f>
      </c>
      <c r="AA48">
        <f>IF(AA47&lt;='Needs years'!$C$5,0,INDEX('Inputs'!$E$125:$E$131,MATCH(AA47,'Inputs'!$C$125:$C$131,1)-IF(COUNTIF('Inputs'!$C$125:$C$131,AA47)&gt;0,1,0))/100)</f>
      </c>
      <c r="AB48">
        <f>IF(AB47&lt;='Needs years'!$C$5,0,INDEX('Inputs'!$E$125:$E$131,MATCH(AB47,'Inputs'!$C$125:$C$131,1)-IF(COUNTIF('Inputs'!$C$125:$C$131,AB47)&gt;0,1,0))/100)</f>
      </c>
      <c r="AC48">
        <f>IF(AC47&lt;='Needs years'!$C$5,0,INDEX('Inputs'!$E$125:$E$131,MATCH(AC47,'Inputs'!$C$125:$C$131,1)-IF(COUNTIF('Inputs'!$C$125:$C$131,AC47)&gt;0,1,0))/100)</f>
      </c>
      <c r="AD48">
        <f>IF(AD47&lt;='Needs years'!$C$5,0,INDEX('Inputs'!$E$125:$E$131,MATCH(AD47,'Inputs'!$C$125:$C$131,1)-IF(COUNTIF('Inputs'!$C$125:$C$131,AD47)&gt;0,1,0))/100)</f>
      </c>
      <c r="AE48">
        <f>IF(AE47&lt;='Needs years'!$C$5,0,INDEX('Inputs'!$E$125:$E$131,MATCH(AE47,'Inputs'!$C$125:$C$131,1)-IF(COUNTIF('Inputs'!$C$125:$C$131,AE47)&gt;0,1,0))/100)</f>
      </c>
      <c r="AF48">
        <f>IF(AF47&lt;='Needs years'!$C$5,0,INDEX('Inputs'!$E$125:$E$131,MATCH(AF47,'Inputs'!$C$125:$C$131,1)-IF(COUNTIF('Inputs'!$C$125:$C$131,AF47)&gt;0,1,0))/100)</f>
      </c>
      <c r="AG48">
        <f>IF(AG47&lt;='Needs years'!$C$5,0,INDEX('Inputs'!$E$125:$E$131,MATCH(AG47,'Inputs'!$C$125:$C$131,1)-IF(COUNTIF('Inputs'!$C$125:$C$131,AG47)&gt;0,1,0))/100)</f>
      </c>
      <c r="AH48">
        <f>IF(AH47&lt;='Needs years'!$C$5,0,INDEX('Inputs'!$E$125:$E$131,MATCH(AH47,'Inputs'!$C$125:$C$131,1)-IF(COUNTIF('Inputs'!$C$125:$C$131,AH47)&gt;0,1,0))/100)</f>
      </c>
      <c r="AI48">
        <f>IF(AI47&lt;='Needs years'!$C$5,0,INDEX('Inputs'!$E$125:$E$131,MATCH(AI47,'Inputs'!$C$125:$C$131,1)-IF(COUNTIF('Inputs'!$C$125:$C$131,AI47)&gt;0,1,0))/100)</f>
      </c>
      <c r="AJ48">
        <f>IF(AJ47&lt;='Needs years'!$C$5,0,INDEX('Inputs'!$E$125:$E$131,MATCH(AJ47,'Inputs'!$C$125:$C$131,1)-IF(COUNTIF('Inputs'!$C$125:$C$131,AJ47)&gt;0,1,0))/100)</f>
      </c>
      <c r="AK48">
        <f>IF(AK47&lt;='Needs years'!$C$5,0,INDEX('Inputs'!$E$125:$E$131,MATCH(AK47,'Inputs'!$C$125:$C$131,1)-IF(COUNTIF('Inputs'!$C$125:$C$131,AK47)&gt;0,1,0))/100)</f>
      </c>
      <c r="AM48">
        <f>IF(AM47&lt;='Needs years'!$C$5,0,INDEX('Inputs'!$E$125:$E$131,MATCH(AM47,'Inputs'!$C$125:$C$131,1)-IF(COUNTIF('Inputs'!$C$125:$C$131,AM47)&gt;0,1,0))/100)</f>
      </c>
      <c r="AN48">
        <f>IF(AN47&lt;='Needs years'!$C$5,0,INDEX('Inputs'!$E$125:$E$131,MATCH(AN47,'Inputs'!$C$125:$C$131,1)-IF(COUNTIF('Inputs'!$C$125:$C$131,AN47)&gt;0,1,0))/100)</f>
      </c>
      <c r="AO48">
        <f>IF(AO47&lt;='Needs years'!$C$5,0,INDEX('Inputs'!$E$125:$E$131,MATCH(AO47,'Inputs'!$C$125:$C$131,1)-IF(COUNTIF('Inputs'!$C$125:$C$131,AO47)&gt;0,1,0))/100)</f>
      </c>
      <c r="AP48">
        <f>IF(AP47&lt;='Needs years'!$C$5,0,INDEX('Inputs'!$E$125:$E$131,MATCH(AP47,'Inputs'!$C$125:$C$131,1)-IF(COUNTIF('Inputs'!$C$125:$C$131,AP47)&gt;0,1,0))/100)</f>
      </c>
      <c r="AQ48">
        <f>IF(AQ47&lt;='Needs years'!$C$5,0,INDEX('Inputs'!$E$125:$E$131,MATCH(AQ47,'Inputs'!$C$125:$C$131,1)-IF(COUNTIF('Inputs'!$C$125:$C$131,AQ47)&gt;0,1,0))/100)</f>
      </c>
      <c r="AR48">
        <f>IF(AR47&lt;='Needs years'!$C$5,0,INDEX('Inputs'!$E$125:$E$131,MATCH(AR47,'Inputs'!$C$125:$C$131,1)-IF(COUNTIF('Inputs'!$C$125:$C$131,AR47)&gt;0,1,0))/100)</f>
      </c>
      <c r="AS48">
        <f>IF(AS47&lt;='Needs years'!$C$5,0,INDEX('Inputs'!$E$125:$E$131,MATCH(AS47,'Inputs'!$C$125:$C$131,1)-IF(COUNTIF('Inputs'!$C$125:$C$131,AS47)&gt;0,1,0))/100)</f>
      </c>
      <c r="AT48">
        <f>IF(AT47&lt;='Needs years'!$C$5,0,INDEX('Inputs'!$E$125:$E$131,MATCH(AT47,'Inputs'!$C$125:$C$131,1)-IF(COUNTIF('Inputs'!$C$125:$C$131,AT47)&gt;0,1,0))/100)</f>
      </c>
      <c r="AU48">
        <f>IF(AU47&lt;='Needs years'!$C$5,0,INDEX('Inputs'!$E$125:$E$131,MATCH(AU47,'Inputs'!$C$125:$C$131,1)-IF(COUNTIF('Inputs'!$C$125:$C$131,AU47)&gt;0,1,0))/100)</f>
      </c>
      <c r="AV48">
        <f>IF(AV47&lt;='Needs years'!$C$5,0,INDEX('Inputs'!$E$125:$E$131,MATCH(AV47,'Inputs'!$C$125:$C$131,1)-IF(COUNTIF('Inputs'!$C$125:$C$131,AV47)&gt;0,1,0))/100)</f>
      </c>
      <c r="AW48">
        <f>IF(AW47&lt;='Needs years'!$C$5,0,INDEX('Inputs'!$E$125:$E$131,MATCH(AW47,'Inputs'!$C$125:$C$131,1)-IF(COUNTIF('Inputs'!$C$125:$C$131,AW47)&gt;0,1,0))/100)</f>
      </c>
      <c r="AX48">
        <f>IF(AX47&lt;='Needs years'!$C$5,0,INDEX('Inputs'!$E$125:$E$131,MATCH(AX47,'Inputs'!$C$125:$C$131,1)-IF(COUNTIF('Inputs'!$C$125:$C$131,AX47)&gt;0,1,0))/100)</f>
      </c>
      <c r="AY48">
        <f>IF(AY47&lt;='Needs years'!$C$5,0,INDEX('Inputs'!$E$125:$E$131,MATCH(AY47,'Inputs'!$C$125:$C$131,1)-IF(COUNTIF('Inputs'!$C$125:$C$131,AY47)&gt;0,1,0))/100)</f>
      </c>
      <c r="AZ48">
        <f>IF(AZ47&lt;='Needs years'!$C$5,0,INDEX('Inputs'!$E$125:$E$131,MATCH(AZ47,'Inputs'!$C$125:$C$131,1)-IF(COUNTIF('Inputs'!$C$125:$C$131,AZ47)&gt;0,1,0))/100)</f>
      </c>
      <c r="BA48">
        <f>IF(BA47&lt;='Needs years'!$C$5,0,INDEX('Inputs'!$E$125:$E$131,MATCH(BA47,'Inputs'!$C$125:$C$131,1)-IF(COUNTIF('Inputs'!$C$125:$C$131,BA47)&gt;0,1,0))/100)</f>
      </c>
      <c r="BB48">
        <f>IF(BB47&lt;='Needs years'!$C$5,0,INDEX('Inputs'!$E$125:$E$131,MATCH(BB47,'Inputs'!$C$125:$C$131,1)-IF(COUNTIF('Inputs'!$C$125:$C$131,BB47)&gt;0,1,0))/100)</f>
      </c>
      <c r="BD48">
        <f>IF(BD47&lt;='Needs years'!$C$5,0,INDEX('Inputs'!$E$125:$E$131,MATCH(BD47,'Inputs'!$C$125:$C$131,1)-IF(COUNTIF('Inputs'!$C$125:$C$131,BD47)&gt;0,1,0))/100)</f>
      </c>
      <c r="BE48">
        <f>IF(BE47&lt;='Needs years'!$C$5,0,INDEX('Inputs'!$E$125:$E$131,MATCH(BE47,'Inputs'!$C$125:$C$131,1)-IF(COUNTIF('Inputs'!$C$125:$C$131,BE47)&gt;0,1,0))/100)</f>
      </c>
      <c r="BF48">
        <f>IF(BF47&lt;='Needs years'!$C$5,0,INDEX('Inputs'!$E$125:$E$131,MATCH(BF47,'Inputs'!$C$125:$C$131,1)-IF(COUNTIF('Inputs'!$C$125:$C$131,BF47)&gt;0,1,0))/100)</f>
      </c>
      <c r="BG48">
        <f>IF(BG47&lt;='Needs years'!$C$5,0,INDEX('Inputs'!$E$125:$E$131,MATCH(BG47,'Inputs'!$C$125:$C$131,1)-IF(COUNTIF('Inputs'!$C$125:$C$131,BG47)&gt;0,1,0))/100)</f>
      </c>
      <c r="BH48">
        <f>IF(BH47&lt;='Needs years'!$C$5,0,INDEX('Inputs'!$E$125:$E$131,MATCH(BH47,'Inputs'!$C$125:$C$131,1)-IF(COUNTIF('Inputs'!$C$125:$C$131,BH47)&gt;0,1,0))/100)</f>
      </c>
      <c r="BI48">
        <f>IF(BI47&lt;='Needs years'!$C$5,0,INDEX('Inputs'!$E$125:$E$131,MATCH(BI47,'Inputs'!$C$125:$C$131,1)-IF(COUNTIF('Inputs'!$C$125:$C$131,BI47)&gt;0,1,0))/100)</f>
      </c>
      <c r="BJ48">
        <f>IF(BJ47&lt;='Needs years'!$C$5,0,INDEX('Inputs'!$E$125:$E$131,MATCH(BJ47,'Inputs'!$C$125:$C$131,1)-IF(COUNTIF('Inputs'!$C$125:$C$131,BJ47)&gt;0,1,0))/100)</f>
      </c>
      <c r="BK48">
        <f>IF(BK47&lt;='Needs years'!$C$5,0,INDEX('Inputs'!$E$125:$E$131,MATCH(BK47,'Inputs'!$C$125:$C$131,1)-IF(COUNTIF('Inputs'!$C$125:$C$131,BK47)&gt;0,1,0))/100)</f>
      </c>
      <c r="BL48">
        <f>IF(BL47&lt;='Needs years'!$C$5,0,INDEX('Inputs'!$E$125:$E$131,MATCH(BL47,'Inputs'!$C$125:$C$131,1)-IF(COUNTIF('Inputs'!$C$125:$C$131,BL47)&gt;0,1,0))/100)</f>
      </c>
      <c r="BM48">
        <f>IF(BM47&lt;='Needs years'!$C$5,0,INDEX('Inputs'!$E$125:$E$131,MATCH(BM47,'Inputs'!$C$125:$C$131,1)-IF(COUNTIF('Inputs'!$C$125:$C$131,BM47)&gt;0,1,0))/100)</f>
      </c>
      <c r="BN48">
        <f>IF(BN47&lt;='Needs years'!$C$5,0,INDEX('Inputs'!$E$125:$E$131,MATCH(BN47,'Inputs'!$C$125:$C$131,1)-IF(COUNTIF('Inputs'!$C$125:$C$131,BN47)&gt;0,1,0))/100)</f>
      </c>
      <c r="BO48">
        <f>IF(BO47&lt;='Needs years'!$C$5,0,INDEX('Inputs'!$E$125:$E$131,MATCH(BO47,'Inputs'!$C$125:$C$131,1)-IF(COUNTIF('Inputs'!$C$125:$C$131,BO47)&gt;0,1,0))/100)</f>
      </c>
      <c r="BP48">
        <f>IF(BP47&lt;='Needs years'!$C$5,0,INDEX('Inputs'!$E$125:$E$131,MATCH(BP47,'Inputs'!$C$125:$C$131,1)-IF(COUNTIF('Inputs'!$C$125:$C$131,BP47)&gt;0,1,0))/100)</f>
      </c>
      <c r="BQ48">
        <f>IF(BQ47&lt;='Needs years'!$C$5,0,INDEX('Inputs'!$E$125:$E$131,MATCH(BQ47,'Inputs'!$C$125:$C$131,1)-IF(COUNTIF('Inputs'!$C$125:$C$131,BQ47)&gt;0,1,0))/100)</f>
      </c>
      <c r="BR48">
        <f>IF(BR47&lt;='Needs years'!$C$5,0,INDEX('Inputs'!$E$125:$E$131,MATCH(BR47,'Inputs'!$C$125:$C$131,1)-IF(COUNTIF('Inputs'!$C$125:$C$131,BR47)&gt;0,1,0))/100)</f>
      </c>
      <c r="BS48">
        <f>IF(BS47&lt;='Needs years'!$C$5,0,INDEX('Inputs'!$E$125:$E$131,MATCH(BS47,'Inputs'!$C$125:$C$131,1)-IF(COUNTIF('Inputs'!$C$125:$C$131,BS47)&gt;0,1,0))/100)</f>
      </c>
    </row>
    <row r="49" spans="2:71" x14ac:dyDescent="0.25">
      <c r="B49" t="s">
        <v>368</v>
      </c>
      <c r="C49">
        <f>('Inputs'!$C$122/100*(1-('Inputs'!$H$110/100*C48+'Inputs'!$H$111/100*'Inputs'!$H$113/100+'Inputs'!$H$112/100*'Inputs'!$C$120/100*C48))-IF('Needs years'!$C$11=1,'Inputs'!$H$108/100,0))</f>
      </c>
      <c r="E49">
        <f>('Inputs'!$C$122/100*(1-('Inputs'!$H$110/100*E48+'Inputs'!$H$111/100*'Inputs'!$H$113/100+'Inputs'!$H$112/100*'Inputs'!$C$120/100*E48))-IF('Needs years'!$C$11=1,'Inputs'!$H$108/100,0))</f>
      </c>
      <c r="F49">
        <f>('Inputs'!$C$122/100*(1-('Inputs'!$H$110/100*F48+'Inputs'!$H$111/100*'Inputs'!$H$113/100+'Inputs'!$H$112/100*'Inputs'!$C$120/100*F48))-IF('Needs years'!$C$11=1,'Inputs'!$H$108/100,0))</f>
      </c>
      <c r="G49">
        <f>('Inputs'!$C$122/100*(1-('Inputs'!$H$110/100*G48+'Inputs'!$H$111/100*'Inputs'!$H$113/100+'Inputs'!$H$112/100*'Inputs'!$C$120/100*G48))-IF('Needs years'!$C$11=1,'Inputs'!$H$108/100,0))</f>
      </c>
      <c r="H49">
        <f>('Inputs'!$C$122/100*(1-('Inputs'!$H$110/100*H48+'Inputs'!$H$111/100*'Inputs'!$H$113/100+'Inputs'!$H$112/100*'Inputs'!$C$120/100*H48))-IF('Needs years'!$C$11=1,'Inputs'!$H$108/100,0))</f>
      </c>
      <c r="I49">
        <f>('Inputs'!$C$122/100*(1-('Inputs'!$H$110/100*I48+'Inputs'!$H$111/100*'Inputs'!$H$113/100+'Inputs'!$H$112/100*'Inputs'!$C$120/100*I48))-IF('Needs years'!$C$11=1,'Inputs'!$H$108/100,0))</f>
      </c>
      <c r="J49">
        <f>('Inputs'!$C$122/100*(1-('Inputs'!$H$110/100*J48+'Inputs'!$H$111/100*'Inputs'!$H$113/100+'Inputs'!$H$112/100*'Inputs'!$C$120/100*J48))-IF('Needs years'!$C$11=1,'Inputs'!$H$108/100,0))</f>
      </c>
      <c r="K49">
        <f>('Inputs'!$C$122/100*(1-('Inputs'!$H$110/100*K48+'Inputs'!$H$111/100*'Inputs'!$H$113/100+'Inputs'!$H$112/100*'Inputs'!$C$120/100*K48))-IF('Needs years'!$C$11=1,'Inputs'!$H$108/100,0))</f>
      </c>
      <c r="L49">
        <f>('Inputs'!$C$122/100*(1-('Inputs'!$H$110/100*L48+'Inputs'!$H$111/100*'Inputs'!$H$113/100+'Inputs'!$H$112/100*'Inputs'!$C$120/100*L48))-IF('Needs years'!$C$11=1,'Inputs'!$H$108/100,0))</f>
      </c>
      <c r="M49">
        <f>('Inputs'!$C$122/100*(1-('Inputs'!$H$110/100*M48+'Inputs'!$H$111/100*'Inputs'!$H$113/100+'Inputs'!$H$112/100*'Inputs'!$C$120/100*M48))-IF('Needs years'!$C$11=1,'Inputs'!$H$108/100,0))</f>
      </c>
      <c r="N49">
        <f>('Inputs'!$C$122/100*(1-('Inputs'!$H$110/100*N48+'Inputs'!$H$111/100*'Inputs'!$H$113/100+'Inputs'!$H$112/100*'Inputs'!$C$120/100*N48))-IF('Needs years'!$C$11=1,'Inputs'!$H$108/100,0))</f>
      </c>
      <c r="O49">
        <f>('Inputs'!$C$122/100*(1-('Inputs'!$H$110/100*O48+'Inputs'!$H$111/100*'Inputs'!$H$113/100+'Inputs'!$H$112/100*'Inputs'!$C$120/100*O48))-IF('Needs years'!$C$11=1,'Inputs'!$H$108/100,0))</f>
      </c>
      <c r="P49">
        <f>('Inputs'!$C$122/100*(1-('Inputs'!$H$110/100*P48+'Inputs'!$H$111/100*'Inputs'!$H$113/100+'Inputs'!$H$112/100*'Inputs'!$C$120/100*P48))-IF('Needs years'!$C$11=1,'Inputs'!$H$108/100,0))</f>
      </c>
      <c r="Q49">
        <f>('Inputs'!$C$122/100*(1-('Inputs'!$H$110/100*Q48+'Inputs'!$H$111/100*'Inputs'!$H$113/100+'Inputs'!$H$112/100*'Inputs'!$C$120/100*Q48))-IF('Needs years'!$C$11=1,'Inputs'!$H$108/100,0))</f>
      </c>
      <c r="R49">
        <f>('Inputs'!$C$122/100*(1-('Inputs'!$H$110/100*R48+'Inputs'!$H$111/100*'Inputs'!$H$113/100+'Inputs'!$H$112/100*'Inputs'!$C$120/100*R48))-IF('Needs years'!$C$11=1,'Inputs'!$H$108/100,0))</f>
      </c>
      <c r="S49">
        <f>('Inputs'!$C$122/100*(1-('Inputs'!$H$110/100*S48+'Inputs'!$H$111/100*'Inputs'!$H$113/100+'Inputs'!$H$112/100*'Inputs'!$C$120/100*S48))-IF('Needs years'!$C$11=1,'Inputs'!$H$108/100,0))</f>
      </c>
      <c r="T49">
        <f>('Inputs'!$C$122/100*(1-('Inputs'!$H$110/100*T48+'Inputs'!$H$111/100*'Inputs'!$H$113/100+'Inputs'!$H$112/100*'Inputs'!$C$120/100*T48))-IF('Needs years'!$C$11=1,'Inputs'!$H$108/100,0))</f>
      </c>
      <c r="V49">
        <f>('Inputs'!$C$122/100*(1-('Inputs'!$H$110/100*V48+'Inputs'!$H$111/100*'Inputs'!$H$113/100+'Inputs'!$H$112/100*'Inputs'!$C$120/100*V48))-IF('Needs years'!$C$11=1,'Inputs'!$H$108/100,0))</f>
      </c>
      <c r="W49">
        <f>('Inputs'!$C$122/100*(1-('Inputs'!$H$110/100*W48+'Inputs'!$H$111/100*'Inputs'!$H$113/100+'Inputs'!$H$112/100*'Inputs'!$C$120/100*W48))-IF('Needs years'!$C$11=1,'Inputs'!$H$108/100,0))</f>
      </c>
      <c r="X49">
        <f>('Inputs'!$C$122/100*(1-('Inputs'!$H$110/100*X48+'Inputs'!$H$111/100*'Inputs'!$H$113/100+'Inputs'!$H$112/100*'Inputs'!$C$120/100*X48))-IF('Needs years'!$C$11=1,'Inputs'!$H$108/100,0))</f>
      </c>
      <c r="Y49">
        <f>('Inputs'!$C$122/100*(1-('Inputs'!$H$110/100*Y48+'Inputs'!$H$111/100*'Inputs'!$H$113/100+'Inputs'!$H$112/100*'Inputs'!$C$120/100*Y48))-IF('Needs years'!$C$11=1,'Inputs'!$H$108/100,0))</f>
      </c>
      <c r="Z49">
        <f>('Inputs'!$C$122/100*(1-('Inputs'!$H$110/100*Z48+'Inputs'!$H$111/100*'Inputs'!$H$113/100+'Inputs'!$H$112/100*'Inputs'!$C$120/100*Z48))-IF('Needs years'!$C$11=1,'Inputs'!$H$108/100,0))</f>
      </c>
      <c r="AA49">
        <f>('Inputs'!$C$122/100*(1-('Inputs'!$H$110/100*AA48+'Inputs'!$H$111/100*'Inputs'!$H$113/100+'Inputs'!$H$112/100*'Inputs'!$C$120/100*AA48))-IF('Needs years'!$C$11=1,'Inputs'!$H$108/100,0))</f>
      </c>
      <c r="AB49">
        <f>('Inputs'!$C$122/100*(1-('Inputs'!$H$110/100*AB48+'Inputs'!$H$111/100*'Inputs'!$H$113/100+'Inputs'!$H$112/100*'Inputs'!$C$120/100*AB48))-IF('Needs years'!$C$11=1,'Inputs'!$H$108/100,0))</f>
      </c>
      <c r="AC49">
        <f>('Inputs'!$C$122/100*(1-('Inputs'!$H$110/100*AC48+'Inputs'!$H$111/100*'Inputs'!$H$113/100+'Inputs'!$H$112/100*'Inputs'!$C$120/100*AC48))-IF('Needs years'!$C$11=1,'Inputs'!$H$108/100,0))</f>
      </c>
      <c r="AD49">
        <f>('Inputs'!$C$122/100*(1-('Inputs'!$H$110/100*AD48+'Inputs'!$H$111/100*'Inputs'!$H$113/100+'Inputs'!$H$112/100*'Inputs'!$C$120/100*AD48))-IF('Needs years'!$C$11=1,'Inputs'!$H$108/100,0))</f>
      </c>
      <c r="AE49">
        <f>('Inputs'!$C$122/100*(1-('Inputs'!$H$110/100*AE48+'Inputs'!$H$111/100*'Inputs'!$H$113/100+'Inputs'!$H$112/100*'Inputs'!$C$120/100*AE48))-IF('Needs years'!$C$11=1,'Inputs'!$H$108/100,0))</f>
      </c>
      <c r="AF49">
        <f>('Inputs'!$C$122/100*(1-('Inputs'!$H$110/100*AF48+'Inputs'!$H$111/100*'Inputs'!$H$113/100+'Inputs'!$H$112/100*'Inputs'!$C$120/100*AF48))-IF('Needs years'!$C$11=1,'Inputs'!$H$108/100,0))</f>
      </c>
      <c r="AG49">
        <f>('Inputs'!$C$122/100*(1-('Inputs'!$H$110/100*AG48+'Inputs'!$H$111/100*'Inputs'!$H$113/100+'Inputs'!$H$112/100*'Inputs'!$C$120/100*AG48))-IF('Needs years'!$C$11=1,'Inputs'!$H$108/100,0))</f>
      </c>
      <c r="AH49">
        <f>('Inputs'!$C$122/100*(1-('Inputs'!$H$110/100*AH48+'Inputs'!$H$111/100*'Inputs'!$H$113/100+'Inputs'!$H$112/100*'Inputs'!$C$120/100*AH48))-IF('Needs years'!$C$11=1,'Inputs'!$H$108/100,0))</f>
      </c>
      <c r="AI49">
        <f>('Inputs'!$C$122/100*(1-('Inputs'!$H$110/100*AI48+'Inputs'!$H$111/100*'Inputs'!$H$113/100+'Inputs'!$H$112/100*'Inputs'!$C$120/100*AI48))-IF('Needs years'!$C$11=1,'Inputs'!$H$108/100,0))</f>
      </c>
      <c r="AJ49">
        <f>('Inputs'!$C$122/100*(1-('Inputs'!$H$110/100*AJ48+'Inputs'!$H$111/100*'Inputs'!$H$113/100+'Inputs'!$H$112/100*'Inputs'!$C$120/100*AJ48))-IF('Needs years'!$C$11=1,'Inputs'!$H$108/100,0))</f>
      </c>
      <c r="AK49">
        <f>('Inputs'!$C$122/100*(1-('Inputs'!$H$110/100*AK48+'Inputs'!$H$111/100*'Inputs'!$H$113/100+'Inputs'!$H$112/100*'Inputs'!$C$120/100*AK48))-IF('Needs years'!$C$11=1,'Inputs'!$H$108/100,0))</f>
      </c>
      <c r="AM49">
        <f>('Inputs'!$C$122/100*(1-('Inputs'!$H$110/100*AM48+'Inputs'!$H$111/100*'Inputs'!$H$113/100+'Inputs'!$H$112/100*'Inputs'!$C$120/100*AM48))-IF('Needs years'!$C$11=1,'Inputs'!$H$108/100,0))</f>
      </c>
      <c r="AN49">
        <f>('Inputs'!$C$122/100*(1-('Inputs'!$H$110/100*AN48+'Inputs'!$H$111/100*'Inputs'!$H$113/100+'Inputs'!$H$112/100*'Inputs'!$C$120/100*AN48))-IF('Needs years'!$C$11=1,'Inputs'!$H$108/100,0))</f>
      </c>
      <c r="AO49">
        <f>('Inputs'!$C$122/100*(1-('Inputs'!$H$110/100*AO48+'Inputs'!$H$111/100*'Inputs'!$H$113/100+'Inputs'!$H$112/100*'Inputs'!$C$120/100*AO48))-IF('Needs years'!$C$11=1,'Inputs'!$H$108/100,0))</f>
      </c>
      <c r="AP49">
        <f>('Inputs'!$C$122/100*(1-('Inputs'!$H$110/100*AP48+'Inputs'!$H$111/100*'Inputs'!$H$113/100+'Inputs'!$H$112/100*'Inputs'!$C$120/100*AP48))-IF('Needs years'!$C$11=1,'Inputs'!$H$108/100,0))</f>
      </c>
      <c r="AQ49">
        <f>('Inputs'!$C$122/100*(1-('Inputs'!$H$110/100*AQ48+'Inputs'!$H$111/100*'Inputs'!$H$113/100+'Inputs'!$H$112/100*'Inputs'!$C$120/100*AQ48))-IF('Needs years'!$C$11=1,'Inputs'!$H$108/100,0))</f>
      </c>
      <c r="AR49">
        <f>('Inputs'!$C$122/100*(1-('Inputs'!$H$110/100*AR48+'Inputs'!$H$111/100*'Inputs'!$H$113/100+'Inputs'!$H$112/100*'Inputs'!$C$120/100*AR48))-IF('Needs years'!$C$11=1,'Inputs'!$H$108/100,0))</f>
      </c>
      <c r="AS49">
        <f>('Inputs'!$C$122/100*(1-('Inputs'!$H$110/100*AS48+'Inputs'!$H$111/100*'Inputs'!$H$113/100+'Inputs'!$H$112/100*'Inputs'!$C$120/100*AS48))-IF('Needs years'!$C$11=1,'Inputs'!$H$108/100,0))</f>
      </c>
      <c r="AT49">
        <f>('Inputs'!$C$122/100*(1-('Inputs'!$H$110/100*AT48+'Inputs'!$H$111/100*'Inputs'!$H$113/100+'Inputs'!$H$112/100*'Inputs'!$C$120/100*AT48))-IF('Needs years'!$C$11=1,'Inputs'!$H$108/100,0))</f>
      </c>
      <c r="AU49">
        <f>('Inputs'!$C$122/100*(1-('Inputs'!$H$110/100*AU48+'Inputs'!$H$111/100*'Inputs'!$H$113/100+'Inputs'!$H$112/100*'Inputs'!$C$120/100*AU48))-IF('Needs years'!$C$11=1,'Inputs'!$H$108/100,0))</f>
      </c>
      <c r="AV49">
        <f>('Inputs'!$C$122/100*(1-('Inputs'!$H$110/100*AV48+'Inputs'!$H$111/100*'Inputs'!$H$113/100+'Inputs'!$H$112/100*'Inputs'!$C$120/100*AV48))-IF('Needs years'!$C$11=1,'Inputs'!$H$108/100,0))</f>
      </c>
      <c r="AW49">
        <f>('Inputs'!$C$122/100*(1-('Inputs'!$H$110/100*AW48+'Inputs'!$H$111/100*'Inputs'!$H$113/100+'Inputs'!$H$112/100*'Inputs'!$C$120/100*AW48))-IF('Needs years'!$C$11=1,'Inputs'!$H$108/100,0))</f>
      </c>
      <c r="AX49">
        <f>('Inputs'!$C$122/100*(1-('Inputs'!$H$110/100*AX48+'Inputs'!$H$111/100*'Inputs'!$H$113/100+'Inputs'!$H$112/100*'Inputs'!$C$120/100*AX48))-IF('Needs years'!$C$11=1,'Inputs'!$H$108/100,0))</f>
      </c>
      <c r="AY49">
        <f>('Inputs'!$C$122/100*(1-('Inputs'!$H$110/100*AY48+'Inputs'!$H$111/100*'Inputs'!$H$113/100+'Inputs'!$H$112/100*'Inputs'!$C$120/100*AY48))-IF('Needs years'!$C$11=1,'Inputs'!$H$108/100,0))</f>
      </c>
      <c r="AZ49">
        <f>('Inputs'!$C$122/100*(1-('Inputs'!$H$110/100*AZ48+'Inputs'!$H$111/100*'Inputs'!$H$113/100+'Inputs'!$H$112/100*'Inputs'!$C$120/100*AZ48))-IF('Needs years'!$C$11=1,'Inputs'!$H$108/100,0))</f>
      </c>
      <c r="BA49">
        <f>('Inputs'!$C$122/100*(1-('Inputs'!$H$110/100*BA48+'Inputs'!$H$111/100*'Inputs'!$H$113/100+'Inputs'!$H$112/100*'Inputs'!$C$120/100*BA48))-IF('Needs years'!$C$11=1,'Inputs'!$H$108/100,0))</f>
      </c>
      <c r="BB49">
        <f>('Inputs'!$C$122/100*(1-('Inputs'!$H$110/100*BB48+'Inputs'!$H$111/100*'Inputs'!$H$113/100+'Inputs'!$H$112/100*'Inputs'!$C$120/100*BB48))-IF('Needs years'!$C$11=1,'Inputs'!$H$108/100,0))</f>
      </c>
      <c r="BD49">
        <f>('Inputs'!$C$122/100*(1-('Inputs'!$H$110/100*BD48+'Inputs'!$H$111/100*'Inputs'!$H$113/100+'Inputs'!$H$112/100*'Inputs'!$C$120/100*BD48))-IF('Needs years'!$C$11=1,'Inputs'!$H$108/100,0))</f>
      </c>
      <c r="BE49">
        <f>('Inputs'!$C$122/100*(1-('Inputs'!$H$110/100*BE48+'Inputs'!$H$111/100*'Inputs'!$H$113/100+'Inputs'!$H$112/100*'Inputs'!$C$120/100*BE48))-IF('Needs years'!$C$11=1,'Inputs'!$H$108/100,0))</f>
      </c>
      <c r="BF49">
        <f>('Inputs'!$C$122/100*(1-('Inputs'!$H$110/100*BF48+'Inputs'!$H$111/100*'Inputs'!$H$113/100+'Inputs'!$H$112/100*'Inputs'!$C$120/100*BF48))-IF('Needs years'!$C$11=1,'Inputs'!$H$108/100,0))</f>
      </c>
      <c r="BG49">
        <f>('Inputs'!$C$122/100*(1-('Inputs'!$H$110/100*BG48+'Inputs'!$H$111/100*'Inputs'!$H$113/100+'Inputs'!$H$112/100*'Inputs'!$C$120/100*BG48))-IF('Needs years'!$C$11=1,'Inputs'!$H$108/100,0))</f>
      </c>
      <c r="BH49">
        <f>('Inputs'!$C$122/100*(1-('Inputs'!$H$110/100*BH48+'Inputs'!$H$111/100*'Inputs'!$H$113/100+'Inputs'!$H$112/100*'Inputs'!$C$120/100*BH48))-IF('Needs years'!$C$11=1,'Inputs'!$H$108/100,0))</f>
      </c>
      <c r="BI49">
        <f>('Inputs'!$C$122/100*(1-('Inputs'!$H$110/100*BI48+'Inputs'!$H$111/100*'Inputs'!$H$113/100+'Inputs'!$H$112/100*'Inputs'!$C$120/100*BI48))-IF('Needs years'!$C$11=1,'Inputs'!$H$108/100,0))</f>
      </c>
      <c r="BJ49">
        <f>('Inputs'!$C$122/100*(1-('Inputs'!$H$110/100*BJ48+'Inputs'!$H$111/100*'Inputs'!$H$113/100+'Inputs'!$H$112/100*'Inputs'!$C$120/100*BJ48))-IF('Needs years'!$C$11=1,'Inputs'!$H$108/100,0))</f>
      </c>
      <c r="BK49">
        <f>('Inputs'!$C$122/100*(1-('Inputs'!$H$110/100*BK48+'Inputs'!$H$111/100*'Inputs'!$H$113/100+'Inputs'!$H$112/100*'Inputs'!$C$120/100*BK48))-IF('Needs years'!$C$11=1,'Inputs'!$H$108/100,0))</f>
      </c>
      <c r="BL49">
        <f>('Inputs'!$C$122/100*(1-('Inputs'!$H$110/100*BL48+'Inputs'!$H$111/100*'Inputs'!$H$113/100+'Inputs'!$H$112/100*'Inputs'!$C$120/100*BL48))-IF('Needs years'!$C$11=1,'Inputs'!$H$108/100,0))</f>
      </c>
      <c r="BM49">
        <f>('Inputs'!$C$122/100*(1-('Inputs'!$H$110/100*BM48+'Inputs'!$H$111/100*'Inputs'!$H$113/100+'Inputs'!$H$112/100*'Inputs'!$C$120/100*BM48))-IF('Needs years'!$C$11=1,'Inputs'!$H$108/100,0))</f>
      </c>
      <c r="BN49">
        <f>('Inputs'!$C$122/100*(1-('Inputs'!$H$110/100*BN48+'Inputs'!$H$111/100*'Inputs'!$H$113/100+'Inputs'!$H$112/100*'Inputs'!$C$120/100*BN48))-IF('Needs years'!$C$11=1,'Inputs'!$H$108/100,0))</f>
      </c>
      <c r="BO49">
        <f>('Inputs'!$C$122/100*(1-('Inputs'!$H$110/100*BO48+'Inputs'!$H$111/100*'Inputs'!$H$113/100+'Inputs'!$H$112/100*'Inputs'!$C$120/100*BO48))-IF('Needs years'!$C$11=1,'Inputs'!$H$108/100,0))</f>
      </c>
      <c r="BP49">
        <f>('Inputs'!$C$122/100*(1-('Inputs'!$H$110/100*BP48+'Inputs'!$H$111/100*'Inputs'!$H$113/100+'Inputs'!$H$112/100*'Inputs'!$C$120/100*BP48))-IF('Needs years'!$C$11=1,'Inputs'!$H$108/100,0))</f>
      </c>
      <c r="BQ49">
        <f>('Inputs'!$C$122/100*(1-('Inputs'!$H$110/100*BQ48+'Inputs'!$H$111/100*'Inputs'!$H$113/100+'Inputs'!$H$112/100*'Inputs'!$C$120/100*BQ48))-IF('Needs years'!$C$11=1,'Inputs'!$H$108/100,0))</f>
      </c>
      <c r="BR49">
        <f>('Inputs'!$C$122/100*(1-('Inputs'!$H$110/100*BR48+'Inputs'!$H$111/100*'Inputs'!$H$113/100+'Inputs'!$H$112/100*'Inputs'!$C$120/100*BR48))-IF('Needs years'!$C$11=1,'Inputs'!$H$108/100,0))</f>
      </c>
      <c r="BS49">
        <f>('Inputs'!$C$122/100*(1-('Inputs'!$H$110/100*BS48+'Inputs'!$H$111/100*'Inputs'!$H$113/100+'Inputs'!$H$112/100*'Inputs'!$C$120/100*BS48))-IF('Needs years'!$C$11=1,'Inputs'!$H$108/100,0))</f>
      </c>
    </row>
    <row r="50" spans="2:71" x14ac:dyDescent="0.25">
      <c r="B50" t="s">
        <v>369</v>
      </c>
      <c r="C50">
        <f>IF('Inputs'!$B$89="",0,IF(AND(C4=1,'Inputs'!$Q$89=1),'Needs years'!$C$14,ROUND(IF(C49=0,SUM('Needs years'!$O$4:$O$53),(1-(1+C49)^-1)/(1-(1+C49)^(-1/12))/12*SUMPRODUCT('Needs years'!$O$4:$O$53,(1+C49)^(-'Needs years'!$I$4:$I$53))),2)))</f>
      </c>
      <c r="E50">
        <f>IF('Inputs'!$B$89="",0,IF(AND(E4=1,'Inputs'!$Q$89=1),'Needs years'!$C$14,ROUND(IF(E49=0,SUM('Needs years'!$O$4:$O$53),(1-(1+E49)^-1)/(1-(1+E49)^(-1/12))/12*SUMPRODUCT('Needs years'!$O$4:$O$53,(1+E49)^(-'Needs years'!$I$4:$I$53))),2)))</f>
      </c>
      <c r="F50">
        <f>IF('Inputs'!$B$89="",0,IF(AND(F4=1,'Inputs'!$Q$89=1),'Needs years'!$C$14,ROUND(IF(F49=0,SUM('Needs years'!$O$4:$O$53),(1-(1+F49)^-1)/(1-(1+F49)^(-1/12))/12*SUMPRODUCT('Needs years'!$O$4:$O$53,(1+F49)^(-'Needs years'!$I$4:$I$53))),2)))</f>
      </c>
      <c r="G50">
        <f>IF('Inputs'!$B$89="",0,IF(AND(G4=1,'Inputs'!$Q$89=1),'Needs years'!$C$14,ROUND(IF(G49=0,SUM('Needs years'!$O$4:$O$53),(1-(1+G49)^-1)/(1-(1+G49)^(-1/12))/12*SUMPRODUCT('Needs years'!$O$4:$O$53,(1+G49)^(-'Needs years'!$I$4:$I$53))),2)))</f>
      </c>
      <c r="H50">
        <f>IF('Inputs'!$B$89="",0,IF(AND(H4=1,'Inputs'!$Q$89=1),'Needs years'!$C$14,ROUND(IF(H49=0,SUM('Needs years'!$O$4:$O$53),(1-(1+H49)^-1)/(1-(1+H49)^(-1/12))/12*SUMPRODUCT('Needs years'!$O$4:$O$53,(1+H49)^(-'Needs years'!$I$4:$I$53))),2)))</f>
      </c>
      <c r="I50">
        <f>IF('Inputs'!$B$89="",0,IF(AND(I4=1,'Inputs'!$Q$89=1),'Needs years'!$C$14,ROUND(IF(I49=0,SUM('Needs years'!$O$4:$O$53),(1-(1+I49)^-1)/(1-(1+I49)^(-1/12))/12*SUMPRODUCT('Needs years'!$O$4:$O$53,(1+I49)^(-'Needs years'!$I$4:$I$53))),2)))</f>
      </c>
      <c r="J50">
        <f>IF('Inputs'!$B$89="",0,IF(AND(J4=1,'Inputs'!$Q$89=1),'Needs years'!$C$14,ROUND(IF(J49=0,SUM('Needs years'!$O$4:$O$53),(1-(1+J49)^-1)/(1-(1+J49)^(-1/12))/12*SUMPRODUCT('Needs years'!$O$4:$O$53,(1+J49)^(-'Needs years'!$I$4:$I$53))),2)))</f>
      </c>
      <c r="K50">
        <f>IF('Inputs'!$B$89="",0,IF(AND(K4=1,'Inputs'!$Q$89=1),'Needs years'!$C$14,ROUND(IF(K49=0,SUM('Needs years'!$O$4:$O$53),(1-(1+K49)^-1)/(1-(1+K49)^(-1/12))/12*SUMPRODUCT('Needs years'!$O$4:$O$53,(1+K49)^(-'Needs years'!$I$4:$I$53))),2)))</f>
      </c>
      <c r="L50">
        <f>IF('Inputs'!$B$89="",0,IF(AND(L4=1,'Inputs'!$Q$89=1),'Needs years'!$C$14,ROUND(IF(L49=0,SUM('Needs years'!$O$4:$O$53),(1-(1+L49)^-1)/(1-(1+L49)^(-1/12))/12*SUMPRODUCT('Needs years'!$O$4:$O$53,(1+L49)^(-'Needs years'!$I$4:$I$53))),2)))</f>
      </c>
      <c r="M50">
        <f>IF('Inputs'!$B$89="",0,IF(AND(M4=1,'Inputs'!$Q$89=1),'Needs years'!$C$14,ROUND(IF(M49=0,SUM('Needs years'!$O$4:$O$53),(1-(1+M49)^-1)/(1-(1+M49)^(-1/12))/12*SUMPRODUCT('Needs years'!$O$4:$O$53,(1+M49)^(-'Needs years'!$I$4:$I$53))),2)))</f>
      </c>
      <c r="N50">
        <f>IF('Inputs'!$B$89="",0,IF(AND(N4=1,'Inputs'!$Q$89=1),'Needs years'!$C$14,ROUND(IF(N49=0,SUM('Needs years'!$O$4:$O$53),(1-(1+N49)^-1)/(1-(1+N49)^(-1/12))/12*SUMPRODUCT('Needs years'!$O$4:$O$53,(1+N49)^(-'Needs years'!$I$4:$I$53))),2)))</f>
      </c>
      <c r="O50">
        <f>IF('Inputs'!$B$89="",0,IF(AND(O4=1,'Inputs'!$Q$89=1),'Needs years'!$C$14,ROUND(IF(O49=0,SUM('Needs years'!$O$4:$O$53),(1-(1+O49)^-1)/(1-(1+O49)^(-1/12))/12*SUMPRODUCT('Needs years'!$O$4:$O$53,(1+O49)^(-'Needs years'!$I$4:$I$53))),2)))</f>
      </c>
      <c r="P50">
        <f>IF('Inputs'!$B$89="",0,IF(AND(P4=1,'Inputs'!$Q$89=1),'Needs years'!$C$14,ROUND(IF(P49=0,SUM('Needs years'!$O$4:$O$53),(1-(1+P49)^-1)/(1-(1+P49)^(-1/12))/12*SUMPRODUCT('Needs years'!$O$4:$O$53,(1+P49)^(-'Needs years'!$I$4:$I$53))),2)))</f>
      </c>
      <c r="Q50">
        <f>IF('Inputs'!$B$89="",0,IF(AND(Q4=1,'Inputs'!$Q$89=1),'Needs years'!$C$14,ROUND(IF(Q49=0,SUM('Needs years'!$O$4:$O$53),(1-(1+Q49)^-1)/(1-(1+Q49)^(-1/12))/12*SUMPRODUCT('Needs years'!$O$4:$O$53,(1+Q49)^(-'Needs years'!$I$4:$I$53))),2)))</f>
      </c>
      <c r="R50">
        <f>IF('Inputs'!$B$89="",0,IF(AND(R4=1,'Inputs'!$Q$89=1),'Needs years'!$C$14,ROUND(IF(R49=0,SUM('Needs years'!$O$4:$O$53),(1-(1+R49)^-1)/(1-(1+R49)^(-1/12))/12*SUMPRODUCT('Needs years'!$O$4:$O$53,(1+R49)^(-'Needs years'!$I$4:$I$53))),2)))</f>
      </c>
      <c r="S50">
        <f>IF('Inputs'!$B$89="",0,IF(AND(S4=1,'Inputs'!$Q$89=1),'Needs years'!$C$14,ROUND(IF(S49=0,SUM('Needs years'!$O$4:$O$53),(1-(1+S49)^-1)/(1-(1+S49)^(-1/12))/12*SUMPRODUCT('Needs years'!$O$4:$O$53,(1+S49)^(-'Needs years'!$I$4:$I$53))),2)))</f>
      </c>
      <c r="T50">
        <f>IF('Inputs'!$B$89="",0,IF(AND(T4=1,'Inputs'!$Q$89=1),'Needs years'!$C$14,ROUND(IF(T49=0,SUM('Needs years'!$O$4:$O$53),(1-(1+T49)^-1)/(1-(1+T49)^(-1/12))/12*SUMPRODUCT('Needs years'!$O$4:$O$53,(1+T49)^(-'Needs years'!$I$4:$I$53))),2)))</f>
      </c>
      <c r="V50">
        <f>IF('Inputs'!$B$89="",0,IF(AND(V4=1,'Inputs'!$Q$89=1),'Needs years'!$C$14,ROUND(IF(V49=0,SUM('Needs years'!$O$4:$O$53),(1-(1+V49)^-1)/(1-(1+V49)^(-1/12))/12*SUMPRODUCT('Needs years'!$O$4:$O$53,(1+V49)^(-'Needs years'!$I$4:$I$53))),2)))</f>
      </c>
      <c r="W50">
        <f>IF('Inputs'!$B$89="",0,IF(AND(W4=1,'Inputs'!$Q$89=1),'Needs years'!$C$14,ROUND(IF(W49=0,SUM('Needs years'!$O$4:$O$53),(1-(1+W49)^-1)/(1-(1+W49)^(-1/12))/12*SUMPRODUCT('Needs years'!$O$4:$O$53,(1+W49)^(-'Needs years'!$I$4:$I$53))),2)))</f>
      </c>
      <c r="X50">
        <f>IF('Inputs'!$B$89="",0,IF(AND(X4=1,'Inputs'!$Q$89=1),'Needs years'!$C$14,ROUND(IF(X49=0,SUM('Needs years'!$O$4:$O$53),(1-(1+X49)^-1)/(1-(1+X49)^(-1/12))/12*SUMPRODUCT('Needs years'!$O$4:$O$53,(1+X49)^(-'Needs years'!$I$4:$I$53))),2)))</f>
      </c>
      <c r="Y50">
        <f>IF('Inputs'!$B$89="",0,IF(AND(Y4=1,'Inputs'!$Q$89=1),'Needs years'!$C$14,ROUND(IF(Y49=0,SUM('Needs years'!$O$4:$O$53),(1-(1+Y49)^-1)/(1-(1+Y49)^(-1/12))/12*SUMPRODUCT('Needs years'!$O$4:$O$53,(1+Y49)^(-'Needs years'!$I$4:$I$53))),2)))</f>
      </c>
      <c r="Z50">
        <f>IF('Inputs'!$B$89="",0,IF(AND(Z4=1,'Inputs'!$Q$89=1),'Needs years'!$C$14,ROUND(IF(Z49=0,SUM('Needs years'!$O$4:$O$53),(1-(1+Z49)^-1)/(1-(1+Z49)^(-1/12))/12*SUMPRODUCT('Needs years'!$O$4:$O$53,(1+Z49)^(-'Needs years'!$I$4:$I$53))),2)))</f>
      </c>
      <c r="AA50">
        <f>IF('Inputs'!$B$89="",0,IF(AND(AA4=1,'Inputs'!$Q$89=1),'Needs years'!$C$14,ROUND(IF(AA49=0,SUM('Needs years'!$O$4:$O$53),(1-(1+AA49)^-1)/(1-(1+AA49)^(-1/12))/12*SUMPRODUCT('Needs years'!$O$4:$O$53,(1+AA49)^(-'Needs years'!$I$4:$I$53))),2)))</f>
      </c>
      <c r="AB50">
        <f>IF('Inputs'!$B$89="",0,IF(AND(AB4=1,'Inputs'!$Q$89=1),'Needs years'!$C$14,ROUND(IF(AB49=0,SUM('Needs years'!$O$4:$O$53),(1-(1+AB49)^-1)/(1-(1+AB49)^(-1/12))/12*SUMPRODUCT('Needs years'!$O$4:$O$53,(1+AB49)^(-'Needs years'!$I$4:$I$53))),2)))</f>
      </c>
      <c r="AC50">
        <f>IF('Inputs'!$B$89="",0,IF(AND(AC4=1,'Inputs'!$Q$89=1),'Needs years'!$C$14,ROUND(IF(AC49=0,SUM('Needs years'!$O$4:$O$53),(1-(1+AC49)^-1)/(1-(1+AC49)^(-1/12))/12*SUMPRODUCT('Needs years'!$O$4:$O$53,(1+AC49)^(-'Needs years'!$I$4:$I$53))),2)))</f>
      </c>
      <c r="AD50">
        <f>IF('Inputs'!$B$89="",0,IF(AND(AD4=1,'Inputs'!$Q$89=1),'Needs years'!$C$14,ROUND(IF(AD49=0,SUM('Needs years'!$O$4:$O$53),(1-(1+AD49)^-1)/(1-(1+AD49)^(-1/12))/12*SUMPRODUCT('Needs years'!$O$4:$O$53,(1+AD49)^(-'Needs years'!$I$4:$I$53))),2)))</f>
      </c>
      <c r="AE50">
        <f>IF('Inputs'!$B$89="",0,IF(AND(AE4=1,'Inputs'!$Q$89=1),'Needs years'!$C$14,ROUND(IF(AE49=0,SUM('Needs years'!$O$4:$O$53),(1-(1+AE49)^-1)/(1-(1+AE49)^(-1/12))/12*SUMPRODUCT('Needs years'!$O$4:$O$53,(1+AE49)^(-'Needs years'!$I$4:$I$53))),2)))</f>
      </c>
      <c r="AF50">
        <f>IF('Inputs'!$B$89="",0,IF(AND(AF4=1,'Inputs'!$Q$89=1),'Needs years'!$C$14,ROUND(IF(AF49=0,SUM('Needs years'!$O$4:$O$53),(1-(1+AF49)^-1)/(1-(1+AF49)^(-1/12))/12*SUMPRODUCT('Needs years'!$O$4:$O$53,(1+AF49)^(-'Needs years'!$I$4:$I$53))),2)))</f>
      </c>
      <c r="AG50">
        <f>IF('Inputs'!$B$89="",0,IF(AND(AG4=1,'Inputs'!$Q$89=1),'Needs years'!$C$14,ROUND(IF(AG49=0,SUM('Needs years'!$O$4:$O$53),(1-(1+AG49)^-1)/(1-(1+AG49)^(-1/12))/12*SUMPRODUCT('Needs years'!$O$4:$O$53,(1+AG49)^(-'Needs years'!$I$4:$I$53))),2)))</f>
      </c>
      <c r="AH50">
        <f>IF('Inputs'!$B$89="",0,IF(AND(AH4=1,'Inputs'!$Q$89=1),'Needs years'!$C$14,ROUND(IF(AH49=0,SUM('Needs years'!$O$4:$O$53),(1-(1+AH49)^-1)/(1-(1+AH49)^(-1/12))/12*SUMPRODUCT('Needs years'!$O$4:$O$53,(1+AH49)^(-'Needs years'!$I$4:$I$53))),2)))</f>
      </c>
      <c r="AI50">
        <f>IF('Inputs'!$B$89="",0,IF(AND(AI4=1,'Inputs'!$Q$89=1),'Needs years'!$C$14,ROUND(IF(AI49=0,SUM('Needs years'!$O$4:$O$53),(1-(1+AI49)^-1)/(1-(1+AI49)^(-1/12))/12*SUMPRODUCT('Needs years'!$O$4:$O$53,(1+AI49)^(-'Needs years'!$I$4:$I$53))),2)))</f>
      </c>
      <c r="AJ50">
        <f>IF('Inputs'!$B$89="",0,IF(AND(AJ4=1,'Inputs'!$Q$89=1),'Needs years'!$C$14,ROUND(IF(AJ49=0,SUM('Needs years'!$O$4:$O$53),(1-(1+AJ49)^-1)/(1-(1+AJ49)^(-1/12))/12*SUMPRODUCT('Needs years'!$O$4:$O$53,(1+AJ49)^(-'Needs years'!$I$4:$I$53))),2)))</f>
      </c>
      <c r="AK50">
        <f>IF('Inputs'!$B$89="",0,IF(AND(AK4=1,'Inputs'!$Q$89=1),'Needs years'!$C$14,ROUND(IF(AK49=0,SUM('Needs years'!$O$4:$O$53),(1-(1+AK49)^-1)/(1-(1+AK49)^(-1/12))/12*SUMPRODUCT('Needs years'!$O$4:$O$53,(1+AK49)^(-'Needs years'!$I$4:$I$53))),2)))</f>
      </c>
      <c r="AM50">
        <f>IF('Inputs'!$B$89="",0,IF(AND(AM4=1,'Inputs'!$Q$89=1),'Needs years'!$C$14,ROUND(IF(AM49=0,SUM('Needs years'!$O$4:$O$53),(1-(1+AM49)^-1)/(1-(1+AM49)^(-1/12))/12*SUMPRODUCT('Needs years'!$O$4:$O$53,(1+AM49)^(-'Needs years'!$I$4:$I$53))),2)))</f>
      </c>
      <c r="AN50">
        <f>IF('Inputs'!$B$89="",0,IF(AND(AN4=1,'Inputs'!$Q$89=1),'Needs years'!$C$14,ROUND(IF(AN49=0,SUM('Needs years'!$O$4:$O$53),(1-(1+AN49)^-1)/(1-(1+AN49)^(-1/12))/12*SUMPRODUCT('Needs years'!$O$4:$O$53,(1+AN49)^(-'Needs years'!$I$4:$I$53))),2)))</f>
      </c>
      <c r="AO50">
        <f>IF('Inputs'!$B$89="",0,IF(AND(AO4=1,'Inputs'!$Q$89=1),'Needs years'!$C$14,ROUND(IF(AO49=0,SUM('Needs years'!$O$4:$O$53),(1-(1+AO49)^-1)/(1-(1+AO49)^(-1/12))/12*SUMPRODUCT('Needs years'!$O$4:$O$53,(1+AO49)^(-'Needs years'!$I$4:$I$53))),2)))</f>
      </c>
      <c r="AP50">
        <f>IF('Inputs'!$B$89="",0,IF(AND(AP4=1,'Inputs'!$Q$89=1),'Needs years'!$C$14,ROUND(IF(AP49=0,SUM('Needs years'!$O$4:$O$53),(1-(1+AP49)^-1)/(1-(1+AP49)^(-1/12))/12*SUMPRODUCT('Needs years'!$O$4:$O$53,(1+AP49)^(-'Needs years'!$I$4:$I$53))),2)))</f>
      </c>
      <c r="AQ50">
        <f>IF('Inputs'!$B$89="",0,IF(AND(AQ4=1,'Inputs'!$Q$89=1),'Needs years'!$C$14,ROUND(IF(AQ49=0,SUM('Needs years'!$O$4:$O$53),(1-(1+AQ49)^-1)/(1-(1+AQ49)^(-1/12))/12*SUMPRODUCT('Needs years'!$O$4:$O$53,(1+AQ49)^(-'Needs years'!$I$4:$I$53))),2)))</f>
      </c>
      <c r="AR50">
        <f>IF('Inputs'!$B$89="",0,IF(AND(AR4=1,'Inputs'!$Q$89=1),'Needs years'!$C$14,ROUND(IF(AR49=0,SUM('Needs years'!$O$4:$O$53),(1-(1+AR49)^-1)/(1-(1+AR49)^(-1/12))/12*SUMPRODUCT('Needs years'!$O$4:$O$53,(1+AR49)^(-'Needs years'!$I$4:$I$53))),2)))</f>
      </c>
      <c r="AS50">
        <f>IF('Inputs'!$B$89="",0,IF(AND(AS4=1,'Inputs'!$Q$89=1),'Needs years'!$C$14,ROUND(IF(AS49=0,SUM('Needs years'!$O$4:$O$53),(1-(1+AS49)^-1)/(1-(1+AS49)^(-1/12))/12*SUMPRODUCT('Needs years'!$O$4:$O$53,(1+AS49)^(-'Needs years'!$I$4:$I$53))),2)))</f>
      </c>
      <c r="AT50">
        <f>IF('Inputs'!$B$89="",0,IF(AND(AT4=1,'Inputs'!$Q$89=1),'Needs years'!$C$14,ROUND(IF(AT49=0,SUM('Needs years'!$O$4:$O$53),(1-(1+AT49)^-1)/(1-(1+AT49)^(-1/12))/12*SUMPRODUCT('Needs years'!$O$4:$O$53,(1+AT49)^(-'Needs years'!$I$4:$I$53))),2)))</f>
      </c>
      <c r="AU50">
        <f>IF('Inputs'!$B$89="",0,IF(AND(AU4=1,'Inputs'!$Q$89=1),'Needs years'!$C$14,ROUND(IF(AU49=0,SUM('Needs years'!$O$4:$O$53),(1-(1+AU49)^-1)/(1-(1+AU49)^(-1/12))/12*SUMPRODUCT('Needs years'!$O$4:$O$53,(1+AU49)^(-'Needs years'!$I$4:$I$53))),2)))</f>
      </c>
      <c r="AV50">
        <f>IF('Inputs'!$B$89="",0,IF(AND(AV4=1,'Inputs'!$Q$89=1),'Needs years'!$C$14,ROUND(IF(AV49=0,SUM('Needs years'!$O$4:$O$53),(1-(1+AV49)^-1)/(1-(1+AV49)^(-1/12))/12*SUMPRODUCT('Needs years'!$O$4:$O$53,(1+AV49)^(-'Needs years'!$I$4:$I$53))),2)))</f>
      </c>
      <c r="AW50">
        <f>IF('Inputs'!$B$89="",0,IF(AND(AW4=1,'Inputs'!$Q$89=1),'Needs years'!$C$14,ROUND(IF(AW49=0,SUM('Needs years'!$O$4:$O$53),(1-(1+AW49)^-1)/(1-(1+AW49)^(-1/12))/12*SUMPRODUCT('Needs years'!$O$4:$O$53,(1+AW49)^(-'Needs years'!$I$4:$I$53))),2)))</f>
      </c>
      <c r="AX50">
        <f>IF('Inputs'!$B$89="",0,IF(AND(AX4=1,'Inputs'!$Q$89=1),'Needs years'!$C$14,ROUND(IF(AX49=0,SUM('Needs years'!$O$4:$O$53),(1-(1+AX49)^-1)/(1-(1+AX49)^(-1/12))/12*SUMPRODUCT('Needs years'!$O$4:$O$53,(1+AX49)^(-'Needs years'!$I$4:$I$53))),2)))</f>
      </c>
      <c r="AY50">
        <f>IF('Inputs'!$B$89="",0,IF(AND(AY4=1,'Inputs'!$Q$89=1),'Needs years'!$C$14,ROUND(IF(AY49=0,SUM('Needs years'!$O$4:$O$53),(1-(1+AY49)^-1)/(1-(1+AY49)^(-1/12))/12*SUMPRODUCT('Needs years'!$O$4:$O$53,(1+AY49)^(-'Needs years'!$I$4:$I$53))),2)))</f>
      </c>
      <c r="AZ50">
        <f>IF('Inputs'!$B$89="",0,IF(AND(AZ4=1,'Inputs'!$Q$89=1),'Needs years'!$C$14,ROUND(IF(AZ49=0,SUM('Needs years'!$O$4:$O$53),(1-(1+AZ49)^-1)/(1-(1+AZ49)^(-1/12))/12*SUMPRODUCT('Needs years'!$O$4:$O$53,(1+AZ49)^(-'Needs years'!$I$4:$I$53))),2)))</f>
      </c>
      <c r="BA50">
        <f>IF('Inputs'!$B$89="",0,IF(AND(BA4=1,'Inputs'!$Q$89=1),'Needs years'!$C$14,ROUND(IF(BA49=0,SUM('Needs years'!$O$4:$O$53),(1-(1+BA49)^-1)/(1-(1+BA49)^(-1/12))/12*SUMPRODUCT('Needs years'!$O$4:$O$53,(1+BA49)^(-'Needs years'!$I$4:$I$53))),2)))</f>
      </c>
      <c r="BB50">
        <f>IF('Inputs'!$B$89="",0,IF(AND(BB4=1,'Inputs'!$Q$89=1),'Needs years'!$C$14,ROUND(IF(BB49=0,SUM('Needs years'!$O$4:$O$53),(1-(1+BB49)^-1)/(1-(1+BB49)^(-1/12))/12*SUMPRODUCT('Needs years'!$O$4:$O$53,(1+BB49)^(-'Needs years'!$I$4:$I$53))),2)))</f>
      </c>
      <c r="BD50">
        <f>IF('Inputs'!$B$89="",0,IF(AND(BD4=1,'Inputs'!$Q$89=1),'Needs years'!$C$14,ROUND(IF(BD49=0,SUM('Needs years'!$O$4:$O$53),(1-(1+BD49)^-1)/(1-(1+BD49)^(-1/12))/12*SUMPRODUCT('Needs years'!$O$4:$O$53,(1+BD49)^(-'Needs years'!$I$4:$I$53))),2)))</f>
      </c>
      <c r="BE50">
        <f>IF('Inputs'!$B$89="",0,IF(AND(BE4=1,'Inputs'!$Q$89=1),'Needs years'!$C$14,ROUND(IF(BE49=0,SUM('Needs years'!$O$4:$O$53),(1-(1+BE49)^-1)/(1-(1+BE49)^(-1/12))/12*SUMPRODUCT('Needs years'!$O$4:$O$53,(1+BE49)^(-'Needs years'!$I$4:$I$53))),2)))</f>
      </c>
      <c r="BF50">
        <f>IF('Inputs'!$B$89="",0,IF(AND(BF4=1,'Inputs'!$Q$89=1),'Needs years'!$C$14,ROUND(IF(BF49=0,SUM('Needs years'!$O$4:$O$53),(1-(1+BF49)^-1)/(1-(1+BF49)^(-1/12))/12*SUMPRODUCT('Needs years'!$O$4:$O$53,(1+BF49)^(-'Needs years'!$I$4:$I$53))),2)))</f>
      </c>
      <c r="BG50">
        <f>IF('Inputs'!$B$89="",0,IF(AND(BG4=1,'Inputs'!$Q$89=1),'Needs years'!$C$14,ROUND(IF(BG49=0,SUM('Needs years'!$O$4:$O$53),(1-(1+BG49)^-1)/(1-(1+BG49)^(-1/12))/12*SUMPRODUCT('Needs years'!$O$4:$O$53,(1+BG49)^(-'Needs years'!$I$4:$I$53))),2)))</f>
      </c>
      <c r="BH50">
        <f>IF('Inputs'!$B$89="",0,IF(AND(BH4=1,'Inputs'!$Q$89=1),'Needs years'!$C$14,ROUND(IF(BH49=0,SUM('Needs years'!$O$4:$O$53),(1-(1+BH49)^-1)/(1-(1+BH49)^(-1/12))/12*SUMPRODUCT('Needs years'!$O$4:$O$53,(1+BH49)^(-'Needs years'!$I$4:$I$53))),2)))</f>
      </c>
      <c r="BI50">
        <f>IF('Inputs'!$B$89="",0,IF(AND(BI4=1,'Inputs'!$Q$89=1),'Needs years'!$C$14,ROUND(IF(BI49=0,SUM('Needs years'!$O$4:$O$53),(1-(1+BI49)^-1)/(1-(1+BI49)^(-1/12))/12*SUMPRODUCT('Needs years'!$O$4:$O$53,(1+BI49)^(-'Needs years'!$I$4:$I$53))),2)))</f>
      </c>
      <c r="BJ50">
        <f>IF('Inputs'!$B$89="",0,IF(AND(BJ4=1,'Inputs'!$Q$89=1),'Needs years'!$C$14,ROUND(IF(BJ49=0,SUM('Needs years'!$O$4:$O$53),(1-(1+BJ49)^-1)/(1-(1+BJ49)^(-1/12))/12*SUMPRODUCT('Needs years'!$O$4:$O$53,(1+BJ49)^(-'Needs years'!$I$4:$I$53))),2)))</f>
      </c>
      <c r="BK50">
        <f>IF('Inputs'!$B$89="",0,IF(AND(BK4=1,'Inputs'!$Q$89=1),'Needs years'!$C$14,ROUND(IF(BK49=0,SUM('Needs years'!$O$4:$O$53),(1-(1+BK49)^-1)/(1-(1+BK49)^(-1/12))/12*SUMPRODUCT('Needs years'!$O$4:$O$53,(1+BK49)^(-'Needs years'!$I$4:$I$53))),2)))</f>
      </c>
      <c r="BL50">
        <f>IF('Inputs'!$B$89="",0,IF(AND(BL4=1,'Inputs'!$Q$89=1),'Needs years'!$C$14,ROUND(IF(BL49=0,SUM('Needs years'!$O$4:$O$53),(1-(1+BL49)^-1)/(1-(1+BL49)^(-1/12))/12*SUMPRODUCT('Needs years'!$O$4:$O$53,(1+BL49)^(-'Needs years'!$I$4:$I$53))),2)))</f>
      </c>
      <c r="BM50">
        <f>IF('Inputs'!$B$89="",0,IF(AND(BM4=1,'Inputs'!$Q$89=1),'Needs years'!$C$14,ROUND(IF(BM49=0,SUM('Needs years'!$O$4:$O$53),(1-(1+BM49)^-1)/(1-(1+BM49)^(-1/12))/12*SUMPRODUCT('Needs years'!$O$4:$O$53,(1+BM49)^(-'Needs years'!$I$4:$I$53))),2)))</f>
      </c>
      <c r="BN50">
        <f>IF('Inputs'!$B$89="",0,IF(AND(BN4=1,'Inputs'!$Q$89=1),'Needs years'!$C$14,ROUND(IF(BN49=0,SUM('Needs years'!$O$4:$O$53),(1-(1+BN49)^-1)/(1-(1+BN49)^(-1/12))/12*SUMPRODUCT('Needs years'!$O$4:$O$53,(1+BN49)^(-'Needs years'!$I$4:$I$53))),2)))</f>
      </c>
      <c r="BO50">
        <f>IF('Inputs'!$B$89="",0,IF(AND(BO4=1,'Inputs'!$Q$89=1),'Needs years'!$C$14,ROUND(IF(BO49=0,SUM('Needs years'!$O$4:$O$53),(1-(1+BO49)^-1)/(1-(1+BO49)^(-1/12))/12*SUMPRODUCT('Needs years'!$O$4:$O$53,(1+BO49)^(-'Needs years'!$I$4:$I$53))),2)))</f>
      </c>
      <c r="BP50">
        <f>IF('Inputs'!$B$89="",0,IF(AND(BP4=1,'Inputs'!$Q$89=1),'Needs years'!$C$14,ROUND(IF(BP49=0,SUM('Needs years'!$O$4:$O$53),(1-(1+BP49)^-1)/(1-(1+BP49)^(-1/12))/12*SUMPRODUCT('Needs years'!$O$4:$O$53,(1+BP49)^(-'Needs years'!$I$4:$I$53))),2)))</f>
      </c>
      <c r="BQ50">
        <f>IF('Inputs'!$B$89="",0,IF(AND(BQ4=1,'Inputs'!$Q$89=1),'Needs years'!$C$14,ROUND(IF(BQ49=0,SUM('Needs years'!$O$4:$O$53),(1-(1+BQ49)^-1)/(1-(1+BQ49)^(-1/12))/12*SUMPRODUCT('Needs years'!$O$4:$O$53,(1+BQ49)^(-'Needs years'!$I$4:$I$53))),2)))</f>
      </c>
      <c r="BR50">
        <f>IF('Inputs'!$B$89="",0,IF(AND(BR4=1,'Inputs'!$Q$89=1),'Needs years'!$C$14,ROUND(IF(BR49=0,SUM('Needs years'!$O$4:$O$53),(1-(1+BR49)^-1)/(1-(1+BR49)^(-1/12))/12*SUMPRODUCT('Needs years'!$O$4:$O$53,(1+BR49)^(-'Needs years'!$I$4:$I$53))),2)))</f>
      </c>
      <c r="BS50">
        <f>IF('Inputs'!$B$89="",0,IF(AND(BS4=1,'Inputs'!$Q$89=1),'Needs years'!$C$14,ROUND(IF(BS49=0,SUM('Needs years'!$O$4:$O$53),(1-(1+BS49)^-1)/(1-(1+BS49)^(-1/12))/12*SUMPRODUCT('Needs years'!$O$4:$O$53,(1+BS49)^(-'Needs years'!$I$4:$I$53))),2)))</f>
      </c>
    </row>
    <row r="51" spans="2:71" x14ac:dyDescent="0.25">
      <c r="B51" t="s">
        <v>370</v>
      </c>
      <c r="C51">
        <f>IF(OR('Inputs'!$B$89="",AND(C4=1,'Inputs'!$Q$89=1)),0,ROUND(C50-C46,2))</f>
      </c>
      <c r="E51">
        <f>IF(OR('Inputs'!$B$89="",AND(E4=1,'Inputs'!$Q$89=1)),0,ROUND(E50-E46,2))</f>
      </c>
      <c r="F51">
        <f>IF(OR('Inputs'!$B$89="",AND(F4=1,'Inputs'!$Q$89=1)),0,ROUND(F50-F46,2))</f>
      </c>
      <c r="G51">
        <f>IF(OR('Inputs'!$B$89="",AND(G4=1,'Inputs'!$Q$89=1)),0,ROUND(G50-G46,2))</f>
      </c>
      <c r="H51">
        <f>IF(OR('Inputs'!$B$89="",AND(H4=1,'Inputs'!$Q$89=1)),0,ROUND(H50-H46,2))</f>
      </c>
      <c r="I51">
        <f>IF(OR('Inputs'!$B$89="",AND(I4=1,'Inputs'!$Q$89=1)),0,ROUND(I50-I46,2))</f>
      </c>
      <c r="J51">
        <f>IF(OR('Inputs'!$B$89="",AND(J4=1,'Inputs'!$Q$89=1)),0,ROUND(J50-J46,2))</f>
      </c>
      <c r="K51">
        <f>IF(OR('Inputs'!$B$89="",AND(K4=1,'Inputs'!$Q$89=1)),0,ROUND(K50-K46,2))</f>
      </c>
      <c r="L51">
        <f>IF(OR('Inputs'!$B$89="",AND(L4=1,'Inputs'!$Q$89=1)),0,ROUND(L50-L46,2))</f>
      </c>
      <c r="M51">
        <f>IF(OR('Inputs'!$B$89="",AND(M4=1,'Inputs'!$Q$89=1)),0,ROUND(M50-M46,2))</f>
      </c>
      <c r="N51">
        <f>IF(OR('Inputs'!$B$89="",AND(N4=1,'Inputs'!$Q$89=1)),0,ROUND(N50-N46,2))</f>
      </c>
      <c r="O51">
        <f>IF(OR('Inputs'!$B$89="",AND(O4=1,'Inputs'!$Q$89=1)),0,ROUND(O50-O46,2))</f>
      </c>
      <c r="P51">
        <f>IF(OR('Inputs'!$B$89="",AND(P4=1,'Inputs'!$Q$89=1)),0,ROUND(P50-P46,2))</f>
      </c>
      <c r="Q51">
        <f>IF(OR('Inputs'!$B$89="",AND(Q4=1,'Inputs'!$Q$89=1)),0,ROUND(Q50-Q46,2))</f>
      </c>
      <c r="R51">
        <f>IF(OR('Inputs'!$B$89="",AND(R4=1,'Inputs'!$Q$89=1)),0,ROUND(R50-R46,2))</f>
      </c>
      <c r="S51">
        <f>IF(OR('Inputs'!$B$89="",AND(S4=1,'Inputs'!$Q$89=1)),0,ROUND(S50-S46,2))</f>
      </c>
      <c r="T51">
        <f>IF(OR('Inputs'!$B$89="",AND(T4=1,'Inputs'!$Q$89=1)),0,ROUND(T50-T46,2))</f>
      </c>
      <c r="V51">
        <f>IF(OR('Inputs'!$B$89="",AND(V4=1,'Inputs'!$Q$89=1)),0,ROUND(V50-V46,2))</f>
      </c>
      <c r="W51">
        <f>IF(OR('Inputs'!$B$89="",AND(W4=1,'Inputs'!$Q$89=1)),0,ROUND(W50-W46,2))</f>
      </c>
      <c r="X51">
        <f>IF(OR('Inputs'!$B$89="",AND(X4=1,'Inputs'!$Q$89=1)),0,ROUND(X50-X46,2))</f>
      </c>
      <c r="Y51">
        <f>IF(OR('Inputs'!$B$89="",AND(Y4=1,'Inputs'!$Q$89=1)),0,ROUND(Y50-Y46,2))</f>
      </c>
      <c r="Z51">
        <f>IF(OR('Inputs'!$B$89="",AND(Z4=1,'Inputs'!$Q$89=1)),0,ROUND(Z50-Z46,2))</f>
      </c>
      <c r="AA51">
        <f>IF(OR('Inputs'!$B$89="",AND(AA4=1,'Inputs'!$Q$89=1)),0,ROUND(AA50-AA46,2))</f>
      </c>
      <c r="AB51">
        <f>IF(OR('Inputs'!$B$89="",AND(AB4=1,'Inputs'!$Q$89=1)),0,ROUND(AB50-AB46,2))</f>
      </c>
      <c r="AC51">
        <f>IF(OR('Inputs'!$B$89="",AND(AC4=1,'Inputs'!$Q$89=1)),0,ROUND(AC50-AC46,2))</f>
      </c>
      <c r="AD51">
        <f>IF(OR('Inputs'!$B$89="",AND(AD4=1,'Inputs'!$Q$89=1)),0,ROUND(AD50-AD46,2))</f>
      </c>
      <c r="AE51">
        <f>IF(OR('Inputs'!$B$89="",AND(AE4=1,'Inputs'!$Q$89=1)),0,ROUND(AE50-AE46,2))</f>
      </c>
      <c r="AF51">
        <f>IF(OR('Inputs'!$B$89="",AND(AF4=1,'Inputs'!$Q$89=1)),0,ROUND(AF50-AF46,2))</f>
      </c>
      <c r="AG51">
        <f>IF(OR('Inputs'!$B$89="",AND(AG4=1,'Inputs'!$Q$89=1)),0,ROUND(AG50-AG46,2))</f>
      </c>
      <c r="AH51">
        <f>IF(OR('Inputs'!$B$89="",AND(AH4=1,'Inputs'!$Q$89=1)),0,ROUND(AH50-AH46,2))</f>
      </c>
      <c r="AI51">
        <f>IF(OR('Inputs'!$B$89="",AND(AI4=1,'Inputs'!$Q$89=1)),0,ROUND(AI50-AI46,2))</f>
      </c>
      <c r="AJ51">
        <f>IF(OR('Inputs'!$B$89="",AND(AJ4=1,'Inputs'!$Q$89=1)),0,ROUND(AJ50-AJ46,2))</f>
      </c>
      <c r="AK51">
        <f>IF(OR('Inputs'!$B$89="",AND(AK4=1,'Inputs'!$Q$89=1)),0,ROUND(AK50-AK46,2))</f>
      </c>
      <c r="AM51">
        <f>IF(OR('Inputs'!$B$89="",AND(AM4=1,'Inputs'!$Q$89=1)),0,ROUND(AM50-AM46,2))</f>
      </c>
      <c r="AN51">
        <f>IF(OR('Inputs'!$B$89="",AND(AN4=1,'Inputs'!$Q$89=1)),0,ROUND(AN50-AN46,2))</f>
      </c>
      <c r="AO51">
        <f>IF(OR('Inputs'!$B$89="",AND(AO4=1,'Inputs'!$Q$89=1)),0,ROUND(AO50-AO46,2))</f>
      </c>
      <c r="AP51">
        <f>IF(OR('Inputs'!$B$89="",AND(AP4=1,'Inputs'!$Q$89=1)),0,ROUND(AP50-AP46,2))</f>
      </c>
      <c r="AQ51">
        <f>IF(OR('Inputs'!$B$89="",AND(AQ4=1,'Inputs'!$Q$89=1)),0,ROUND(AQ50-AQ46,2))</f>
      </c>
      <c r="AR51">
        <f>IF(OR('Inputs'!$B$89="",AND(AR4=1,'Inputs'!$Q$89=1)),0,ROUND(AR50-AR46,2))</f>
      </c>
      <c r="AS51">
        <f>IF(OR('Inputs'!$B$89="",AND(AS4=1,'Inputs'!$Q$89=1)),0,ROUND(AS50-AS46,2))</f>
      </c>
      <c r="AT51">
        <f>IF(OR('Inputs'!$B$89="",AND(AT4=1,'Inputs'!$Q$89=1)),0,ROUND(AT50-AT46,2))</f>
      </c>
      <c r="AU51">
        <f>IF(OR('Inputs'!$B$89="",AND(AU4=1,'Inputs'!$Q$89=1)),0,ROUND(AU50-AU46,2))</f>
      </c>
      <c r="AV51">
        <f>IF(OR('Inputs'!$B$89="",AND(AV4=1,'Inputs'!$Q$89=1)),0,ROUND(AV50-AV46,2))</f>
      </c>
      <c r="AW51">
        <f>IF(OR('Inputs'!$B$89="",AND(AW4=1,'Inputs'!$Q$89=1)),0,ROUND(AW50-AW46,2))</f>
      </c>
      <c r="AX51">
        <f>IF(OR('Inputs'!$B$89="",AND(AX4=1,'Inputs'!$Q$89=1)),0,ROUND(AX50-AX46,2))</f>
      </c>
      <c r="AY51">
        <f>IF(OR('Inputs'!$B$89="",AND(AY4=1,'Inputs'!$Q$89=1)),0,ROUND(AY50-AY46,2))</f>
      </c>
      <c r="AZ51">
        <f>IF(OR('Inputs'!$B$89="",AND(AZ4=1,'Inputs'!$Q$89=1)),0,ROUND(AZ50-AZ46,2))</f>
      </c>
      <c r="BA51">
        <f>IF(OR('Inputs'!$B$89="",AND(BA4=1,'Inputs'!$Q$89=1)),0,ROUND(BA50-BA46,2))</f>
      </c>
      <c r="BB51">
        <f>IF(OR('Inputs'!$B$89="",AND(BB4=1,'Inputs'!$Q$89=1)),0,ROUND(BB50-BB46,2))</f>
      </c>
      <c r="BD51">
        <f>IF(OR('Inputs'!$B$89="",AND(BD4=1,'Inputs'!$Q$89=1)),0,ROUND(BD50-BD46,2))</f>
      </c>
      <c r="BE51">
        <f>IF(OR('Inputs'!$B$89="",AND(BE4=1,'Inputs'!$Q$89=1)),0,ROUND(BE50-BE46,2))</f>
      </c>
      <c r="BF51">
        <f>IF(OR('Inputs'!$B$89="",AND(BF4=1,'Inputs'!$Q$89=1)),0,ROUND(BF50-BF46,2))</f>
      </c>
      <c r="BG51">
        <f>IF(OR('Inputs'!$B$89="",AND(BG4=1,'Inputs'!$Q$89=1)),0,ROUND(BG50-BG46,2))</f>
      </c>
      <c r="BH51">
        <f>IF(OR('Inputs'!$B$89="",AND(BH4=1,'Inputs'!$Q$89=1)),0,ROUND(BH50-BH46,2))</f>
      </c>
      <c r="BI51">
        <f>IF(OR('Inputs'!$B$89="",AND(BI4=1,'Inputs'!$Q$89=1)),0,ROUND(BI50-BI46,2))</f>
      </c>
      <c r="BJ51">
        <f>IF(OR('Inputs'!$B$89="",AND(BJ4=1,'Inputs'!$Q$89=1)),0,ROUND(BJ50-BJ46,2))</f>
      </c>
      <c r="BK51">
        <f>IF(OR('Inputs'!$B$89="",AND(BK4=1,'Inputs'!$Q$89=1)),0,ROUND(BK50-BK46,2))</f>
      </c>
      <c r="BL51">
        <f>IF(OR('Inputs'!$B$89="",AND(BL4=1,'Inputs'!$Q$89=1)),0,ROUND(BL50-BL46,2))</f>
      </c>
      <c r="BM51">
        <f>IF(OR('Inputs'!$B$89="",AND(BM4=1,'Inputs'!$Q$89=1)),0,ROUND(BM50-BM46,2))</f>
      </c>
      <c r="BN51">
        <f>IF(OR('Inputs'!$B$89="",AND(BN4=1,'Inputs'!$Q$89=1)),0,ROUND(BN50-BN46,2))</f>
      </c>
      <c r="BO51">
        <f>IF(OR('Inputs'!$B$89="",AND(BO4=1,'Inputs'!$Q$89=1)),0,ROUND(BO50-BO46,2))</f>
      </c>
      <c r="BP51">
        <f>IF(OR('Inputs'!$B$89="",AND(BP4=1,'Inputs'!$Q$89=1)),0,ROUND(BP50-BP46,2))</f>
      </c>
      <c r="BQ51">
        <f>IF(OR('Inputs'!$B$89="",AND(BQ4=1,'Inputs'!$Q$89=1)),0,ROUND(BQ50-BQ46,2))</f>
      </c>
      <c r="BR51">
        <f>IF(OR('Inputs'!$B$89="",AND(BR4=1,'Inputs'!$Q$89=1)),0,ROUND(BR50-BR46,2))</f>
      </c>
      <c r="BS51">
        <f>IF(OR('Inputs'!$B$89="",AND(BS4=1,'Inputs'!$Q$89=1)),0,ROUND(BS50-BS46,2))</f>
      </c>
    </row>
    <row r="52" spans="2:71" x14ac:dyDescent="0.25">
      <c r="B52" t="s">
        <v>371</v>
      </c>
      <c r="C52">
        <f>IF('Inputs'!$B$89="",0,IF(AND(C4=1,'Inputs'!$Q$89=1),'Inputs'!$E$89,'Needs years'!$C$15/12+IF(C50&gt;0,C46/C50*'Needs years'!$C$16/12,0)))</f>
      </c>
      <c r="E52">
        <f>IF('Inputs'!$B$89="",0,IF(AND(E4=1,'Inputs'!$Q$89=1),'Inputs'!$E$89,'Needs years'!$C$15/12+IF(E50&gt;0,E46/E50*'Needs years'!$C$16/12,0)))</f>
      </c>
      <c r="F52">
        <f>IF('Inputs'!$B$89="",0,IF(AND(F4=1,'Inputs'!$Q$89=1),'Inputs'!$E$89,'Needs years'!$C$15/12+IF(F50&gt;0,F46/F50*'Needs years'!$C$16/12,0)))</f>
      </c>
      <c r="G52">
        <f>IF('Inputs'!$B$89="",0,IF(AND(G4=1,'Inputs'!$Q$89=1),'Inputs'!$E$89,'Needs years'!$C$15/12+IF(G50&gt;0,G46/G50*'Needs years'!$C$16/12,0)))</f>
      </c>
      <c r="H52">
        <f>IF('Inputs'!$B$89="",0,IF(AND(H4=1,'Inputs'!$Q$89=1),'Inputs'!$E$89,'Needs years'!$C$15/12+IF(H50&gt;0,H46/H50*'Needs years'!$C$16/12,0)))</f>
      </c>
      <c r="I52">
        <f>IF('Inputs'!$B$89="",0,IF(AND(I4=1,'Inputs'!$Q$89=1),'Inputs'!$E$89,'Needs years'!$C$15/12+IF(I50&gt;0,I46/I50*'Needs years'!$C$16/12,0)))</f>
      </c>
      <c r="J52">
        <f>IF('Inputs'!$B$89="",0,IF(AND(J4=1,'Inputs'!$Q$89=1),'Inputs'!$E$89,'Needs years'!$C$15/12+IF(J50&gt;0,J46/J50*'Needs years'!$C$16/12,0)))</f>
      </c>
      <c r="K52">
        <f>IF('Inputs'!$B$89="",0,IF(AND(K4=1,'Inputs'!$Q$89=1),'Inputs'!$E$89,'Needs years'!$C$15/12+IF(K50&gt;0,K46/K50*'Needs years'!$C$16/12,0)))</f>
      </c>
      <c r="L52">
        <f>IF('Inputs'!$B$89="",0,IF(AND(L4=1,'Inputs'!$Q$89=1),'Inputs'!$E$89,'Needs years'!$C$15/12+IF(L50&gt;0,L46/L50*'Needs years'!$C$16/12,0)))</f>
      </c>
      <c r="M52">
        <f>IF('Inputs'!$B$89="",0,IF(AND(M4=1,'Inputs'!$Q$89=1),'Inputs'!$E$89,'Needs years'!$C$15/12+IF(M50&gt;0,M46/M50*'Needs years'!$C$16/12,0)))</f>
      </c>
      <c r="N52">
        <f>IF('Inputs'!$B$89="",0,IF(AND(N4=1,'Inputs'!$Q$89=1),'Inputs'!$E$89,'Needs years'!$C$15/12+IF(N50&gt;0,N46/N50*'Needs years'!$C$16/12,0)))</f>
      </c>
      <c r="O52">
        <f>IF('Inputs'!$B$89="",0,IF(AND(O4=1,'Inputs'!$Q$89=1),'Inputs'!$E$89,'Needs years'!$C$15/12+IF(O50&gt;0,O46/O50*'Needs years'!$C$16/12,0)))</f>
      </c>
      <c r="P52">
        <f>IF('Inputs'!$B$89="",0,IF(AND(P4=1,'Inputs'!$Q$89=1),'Inputs'!$E$89,'Needs years'!$C$15/12+IF(P50&gt;0,P46/P50*'Needs years'!$C$16/12,0)))</f>
      </c>
      <c r="Q52">
        <f>IF('Inputs'!$B$89="",0,IF(AND(Q4=1,'Inputs'!$Q$89=1),'Inputs'!$E$89,'Needs years'!$C$15/12+IF(Q50&gt;0,Q46/Q50*'Needs years'!$C$16/12,0)))</f>
      </c>
      <c r="R52">
        <f>IF('Inputs'!$B$89="",0,IF(AND(R4=1,'Inputs'!$Q$89=1),'Inputs'!$E$89,'Needs years'!$C$15/12+IF(R50&gt;0,R46/R50*'Needs years'!$C$16/12,0)))</f>
      </c>
      <c r="S52">
        <f>IF('Inputs'!$B$89="",0,IF(AND(S4=1,'Inputs'!$Q$89=1),'Inputs'!$E$89,'Needs years'!$C$15/12+IF(S50&gt;0,S46/S50*'Needs years'!$C$16/12,0)))</f>
      </c>
      <c r="T52">
        <f>IF('Inputs'!$B$89="",0,IF(AND(T4=1,'Inputs'!$Q$89=1),'Inputs'!$E$89,'Needs years'!$C$15/12+IF(T50&gt;0,T46/T50*'Needs years'!$C$16/12,0)))</f>
      </c>
      <c r="V52">
        <f>IF('Inputs'!$B$89="",0,IF(AND(V4=1,'Inputs'!$Q$89=1),'Inputs'!$E$89,'Needs years'!$C$15/12+IF(V50&gt;0,V46/V50*'Needs years'!$C$16/12,0)))</f>
      </c>
      <c r="W52">
        <f>IF('Inputs'!$B$89="",0,IF(AND(W4=1,'Inputs'!$Q$89=1),'Inputs'!$E$89,'Needs years'!$C$15/12+IF(W50&gt;0,W46/W50*'Needs years'!$C$16/12,0)))</f>
      </c>
      <c r="X52">
        <f>IF('Inputs'!$B$89="",0,IF(AND(X4=1,'Inputs'!$Q$89=1),'Inputs'!$E$89,'Needs years'!$C$15/12+IF(X50&gt;0,X46/X50*'Needs years'!$C$16/12,0)))</f>
      </c>
      <c r="Y52">
        <f>IF('Inputs'!$B$89="",0,IF(AND(Y4=1,'Inputs'!$Q$89=1),'Inputs'!$E$89,'Needs years'!$C$15/12+IF(Y50&gt;0,Y46/Y50*'Needs years'!$C$16/12,0)))</f>
      </c>
      <c r="Z52">
        <f>IF('Inputs'!$B$89="",0,IF(AND(Z4=1,'Inputs'!$Q$89=1),'Inputs'!$E$89,'Needs years'!$C$15/12+IF(Z50&gt;0,Z46/Z50*'Needs years'!$C$16/12,0)))</f>
      </c>
      <c r="AA52">
        <f>IF('Inputs'!$B$89="",0,IF(AND(AA4=1,'Inputs'!$Q$89=1),'Inputs'!$E$89,'Needs years'!$C$15/12+IF(AA50&gt;0,AA46/AA50*'Needs years'!$C$16/12,0)))</f>
      </c>
      <c r="AB52">
        <f>IF('Inputs'!$B$89="",0,IF(AND(AB4=1,'Inputs'!$Q$89=1),'Inputs'!$E$89,'Needs years'!$C$15/12+IF(AB50&gt;0,AB46/AB50*'Needs years'!$C$16/12,0)))</f>
      </c>
      <c r="AC52">
        <f>IF('Inputs'!$B$89="",0,IF(AND(AC4=1,'Inputs'!$Q$89=1),'Inputs'!$E$89,'Needs years'!$C$15/12+IF(AC50&gt;0,AC46/AC50*'Needs years'!$C$16/12,0)))</f>
      </c>
      <c r="AD52">
        <f>IF('Inputs'!$B$89="",0,IF(AND(AD4=1,'Inputs'!$Q$89=1),'Inputs'!$E$89,'Needs years'!$C$15/12+IF(AD50&gt;0,AD46/AD50*'Needs years'!$C$16/12,0)))</f>
      </c>
      <c r="AE52">
        <f>IF('Inputs'!$B$89="",0,IF(AND(AE4=1,'Inputs'!$Q$89=1),'Inputs'!$E$89,'Needs years'!$C$15/12+IF(AE50&gt;0,AE46/AE50*'Needs years'!$C$16/12,0)))</f>
      </c>
      <c r="AF52">
        <f>IF('Inputs'!$B$89="",0,IF(AND(AF4=1,'Inputs'!$Q$89=1),'Inputs'!$E$89,'Needs years'!$C$15/12+IF(AF50&gt;0,AF46/AF50*'Needs years'!$C$16/12,0)))</f>
      </c>
      <c r="AG52">
        <f>IF('Inputs'!$B$89="",0,IF(AND(AG4=1,'Inputs'!$Q$89=1),'Inputs'!$E$89,'Needs years'!$C$15/12+IF(AG50&gt;0,AG46/AG50*'Needs years'!$C$16/12,0)))</f>
      </c>
      <c r="AH52">
        <f>IF('Inputs'!$B$89="",0,IF(AND(AH4=1,'Inputs'!$Q$89=1),'Inputs'!$E$89,'Needs years'!$C$15/12+IF(AH50&gt;0,AH46/AH50*'Needs years'!$C$16/12,0)))</f>
      </c>
      <c r="AI52">
        <f>IF('Inputs'!$B$89="",0,IF(AND(AI4=1,'Inputs'!$Q$89=1),'Inputs'!$E$89,'Needs years'!$C$15/12+IF(AI50&gt;0,AI46/AI50*'Needs years'!$C$16/12,0)))</f>
      </c>
      <c r="AJ52">
        <f>IF('Inputs'!$B$89="",0,IF(AND(AJ4=1,'Inputs'!$Q$89=1),'Inputs'!$E$89,'Needs years'!$C$15/12+IF(AJ50&gt;0,AJ46/AJ50*'Needs years'!$C$16/12,0)))</f>
      </c>
      <c r="AK52">
        <f>IF('Inputs'!$B$89="",0,IF(AND(AK4=1,'Inputs'!$Q$89=1),'Inputs'!$E$89,'Needs years'!$C$15/12+IF(AK50&gt;0,AK46/AK50*'Needs years'!$C$16/12,0)))</f>
      </c>
      <c r="AM52">
        <f>IF('Inputs'!$B$89="",0,IF(AND(AM4=1,'Inputs'!$Q$89=1),'Inputs'!$E$89,'Needs years'!$C$15/12+IF(AM50&gt;0,AM46/AM50*'Needs years'!$C$16/12,0)))</f>
      </c>
      <c r="AN52">
        <f>IF('Inputs'!$B$89="",0,IF(AND(AN4=1,'Inputs'!$Q$89=1),'Inputs'!$E$89,'Needs years'!$C$15/12+IF(AN50&gt;0,AN46/AN50*'Needs years'!$C$16/12,0)))</f>
      </c>
      <c r="AO52">
        <f>IF('Inputs'!$B$89="",0,IF(AND(AO4=1,'Inputs'!$Q$89=1),'Inputs'!$E$89,'Needs years'!$C$15/12+IF(AO50&gt;0,AO46/AO50*'Needs years'!$C$16/12,0)))</f>
      </c>
      <c r="AP52">
        <f>IF('Inputs'!$B$89="",0,IF(AND(AP4=1,'Inputs'!$Q$89=1),'Inputs'!$E$89,'Needs years'!$C$15/12+IF(AP50&gt;0,AP46/AP50*'Needs years'!$C$16/12,0)))</f>
      </c>
      <c r="AQ52">
        <f>IF('Inputs'!$B$89="",0,IF(AND(AQ4=1,'Inputs'!$Q$89=1),'Inputs'!$E$89,'Needs years'!$C$15/12+IF(AQ50&gt;0,AQ46/AQ50*'Needs years'!$C$16/12,0)))</f>
      </c>
      <c r="AR52">
        <f>IF('Inputs'!$B$89="",0,IF(AND(AR4=1,'Inputs'!$Q$89=1),'Inputs'!$E$89,'Needs years'!$C$15/12+IF(AR50&gt;0,AR46/AR50*'Needs years'!$C$16/12,0)))</f>
      </c>
      <c r="AS52">
        <f>IF('Inputs'!$B$89="",0,IF(AND(AS4=1,'Inputs'!$Q$89=1),'Inputs'!$E$89,'Needs years'!$C$15/12+IF(AS50&gt;0,AS46/AS50*'Needs years'!$C$16/12,0)))</f>
      </c>
      <c r="AT52">
        <f>IF('Inputs'!$B$89="",0,IF(AND(AT4=1,'Inputs'!$Q$89=1),'Inputs'!$E$89,'Needs years'!$C$15/12+IF(AT50&gt;0,AT46/AT50*'Needs years'!$C$16/12,0)))</f>
      </c>
      <c r="AU52">
        <f>IF('Inputs'!$B$89="",0,IF(AND(AU4=1,'Inputs'!$Q$89=1),'Inputs'!$E$89,'Needs years'!$C$15/12+IF(AU50&gt;0,AU46/AU50*'Needs years'!$C$16/12,0)))</f>
      </c>
      <c r="AV52">
        <f>IF('Inputs'!$B$89="",0,IF(AND(AV4=1,'Inputs'!$Q$89=1),'Inputs'!$E$89,'Needs years'!$C$15/12+IF(AV50&gt;0,AV46/AV50*'Needs years'!$C$16/12,0)))</f>
      </c>
      <c r="AW52">
        <f>IF('Inputs'!$B$89="",0,IF(AND(AW4=1,'Inputs'!$Q$89=1),'Inputs'!$E$89,'Needs years'!$C$15/12+IF(AW50&gt;0,AW46/AW50*'Needs years'!$C$16/12,0)))</f>
      </c>
      <c r="AX52">
        <f>IF('Inputs'!$B$89="",0,IF(AND(AX4=1,'Inputs'!$Q$89=1),'Inputs'!$E$89,'Needs years'!$C$15/12+IF(AX50&gt;0,AX46/AX50*'Needs years'!$C$16/12,0)))</f>
      </c>
      <c r="AY52">
        <f>IF('Inputs'!$B$89="",0,IF(AND(AY4=1,'Inputs'!$Q$89=1),'Inputs'!$E$89,'Needs years'!$C$15/12+IF(AY50&gt;0,AY46/AY50*'Needs years'!$C$16/12,0)))</f>
      </c>
      <c r="AZ52">
        <f>IF('Inputs'!$B$89="",0,IF(AND(AZ4=1,'Inputs'!$Q$89=1),'Inputs'!$E$89,'Needs years'!$C$15/12+IF(AZ50&gt;0,AZ46/AZ50*'Needs years'!$C$16/12,0)))</f>
      </c>
      <c r="BA52">
        <f>IF('Inputs'!$B$89="",0,IF(AND(BA4=1,'Inputs'!$Q$89=1),'Inputs'!$E$89,'Needs years'!$C$15/12+IF(BA50&gt;0,BA46/BA50*'Needs years'!$C$16/12,0)))</f>
      </c>
      <c r="BB52">
        <f>IF('Inputs'!$B$89="",0,IF(AND(BB4=1,'Inputs'!$Q$89=1),'Inputs'!$E$89,'Needs years'!$C$15/12+IF(BB50&gt;0,BB46/BB50*'Needs years'!$C$16/12,0)))</f>
      </c>
      <c r="BD52">
        <f>IF('Inputs'!$B$89="",0,IF(AND(BD4=1,'Inputs'!$Q$89=1),'Inputs'!$E$89,'Needs years'!$C$15/12+IF(BD50&gt;0,BD46/BD50*'Needs years'!$C$16/12,0)))</f>
      </c>
      <c r="BE52">
        <f>IF('Inputs'!$B$89="",0,IF(AND(BE4=1,'Inputs'!$Q$89=1),'Inputs'!$E$89,'Needs years'!$C$15/12+IF(BE50&gt;0,BE46/BE50*'Needs years'!$C$16/12,0)))</f>
      </c>
      <c r="BF52">
        <f>IF('Inputs'!$B$89="",0,IF(AND(BF4=1,'Inputs'!$Q$89=1),'Inputs'!$E$89,'Needs years'!$C$15/12+IF(BF50&gt;0,BF46/BF50*'Needs years'!$C$16/12,0)))</f>
      </c>
      <c r="BG52">
        <f>IF('Inputs'!$B$89="",0,IF(AND(BG4=1,'Inputs'!$Q$89=1),'Inputs'!$E$89,'Needs years'!$C$15/12+IF(BG50&gt;0,BG46/BG50*'Needs years'!$C$16/12,0)))</f>
      </c>
      <c r="BH52">
        <f>IF('Inputs'!$B$89="",0,IF(AND(BH4=1,'Inputs'!$Q$89=1),'Inputs'!$E$89,'Needs years'!$C$15/12+IF(BH50&gt;0,BH46/BH50*'Needs years'!$C$16/12,0)))</f>
      </c>
      <c r="BI52">
        <f>IF('Inputs'!$B$89="",0,IF(AND(BI4=1,'Inputs'!$Q$89=1),'Inputs'!$E$89,'Needs years'!$C$15/12+IF(BI50&gt;0,BI46/BI50*'Needs years'!$C$16/12,0)))</f>
      </c>
      <c r="BJ52">
        <f>IF('Inputs'!$B$89="",0,IF(AND(BJ4=1,'Inputs'!$Q$89=1),'Inputs'!$E$89,'Needs years'!$C$15/12+IF(BJ50&gt;0,BJ46/BJ50*'Needs years'!$C$16/12,0)))</f>
      </c>
      <c r="BK52">
        <f>IF('Inputs'!$B$89="",0,IF(AND(BK4=1,'Inputs'!$Q$89=1),'Inputs'!$E$89,'Needs years'!$C$15/12+IF(BK50&gt;0,BK46/BK50*'Needs years'!$C$16/12,0)))</f>
      </c>
      <c r="BL52">
        <f>IF('Inputs'!$B$89="",0,IF(AND(BL4=1,'Inputs'!$Q$89=1),'Inputs'!$E$89,'Needs years'!$C$15/12+IF(BL50&gt;0,BL46/BL50*'Needs years'!$C$16/12,0)))</f>
      </c>
      <c r="BM52">
        <f>IF('Inputs'!$B$89="",0,IF(AND(BM4=1,'Inputs'!$Q$89=1),'Inputs'!$E$89,'Needs years'!$C$15/12+IF(BM50&gt;0,BM46/BM50*'Needs years'!$C$16/12,0)))</f>
      </c>
      <c r="BN52">
        <f>IF('Inputs'!$B$89="",0,IF(AND(BN4=1,'Inputs'!$Q$89=1),'Inputs'!$E$89,'Needs years'!$C$15/12+IF(BN50&gt;0,BN46/BN50*'Needs years'!$C$16/12,0)))</f>
      </c>
      <c r="BO52">
        <f>IF('Inputs'!$B$89="",0,IF(AND(BO4=1,'Inputs'!$Q$89=1),'Inputs'!$E$89,'Needs years'!$C$15/12+IF(BO50&gt;0,BO46/BO50*'Needs years'!$C$16/12,0)))</f>
      </c>
      <c r="BP52">
        <f>IF('Inputs'!$B$89="",0,IF(AND(BP4=1,'Inputs'!$Q$89=1),'Inputs'!$E$89,'Needs years'!$C$15/12+IF(BP50&gt;0,BP46/BP50*'Needs years'!$C$16/12,0)))</f>
      </c>
      <c r="BQ52">
        <f>IF('Inputs'!$B$89="",0,IF(AND(BQ4=1,'Inputs'!$Q$89=1),'Inputs'!$E$89,'Needs years'!$C$15/12+IF(BQ50&gt;0,BQ46/BQ50*'Needs years'!$C$16/12,0)))</f>
      </c>
      <c r="BR52">
        <f>IF('Inputs'!$B$89="",0,IF(AND(BR4=1,'Inputs'!$Q$89=1),'Inputs'!$E$89,'Needs years'!$C$15/12+IF(BR50&gt;0,BR46/BR50*'Needs years'!$C$16/12,0)))</f>
      </c>
      <c r="BS52">
        <f>IF('Inputs'!$B$89="",0,IF(AND(BS4=1,'Inputs'!$Q$89=1),'Inputs'!$E$89,'Needs years'!$C$15/12+IF(BS50&gt;0,BS46/BS50*'Needs years'!$C$16/12,0)))</f>
      </c>
    </row>
    <row r="53" spans="2:71" x14ac:dyDescent="0.25">
      <c r="B53" t="s">
        <v>372</v>
      </c>
      <c r="C53">
        <f>IF('Inputs'!$B$90="",0,ROUND(IF(C31="S",'Inputs'!$O$90*C28,IF(C31="K",'Inputs'!$L$90*IF('Inputs'!$N$90=1,C33,C32),0))+'Inputs'!$Q$90*IF('Inputs'!$S$90=1,C35+C37+C43+C40,C34+C36+C42+C39)+SUMPRODUCT(('Inputs'!$F$59:$F$70='Inputs'!$B$90)*('Inputs'!$C$59:$C$70&lt;&gt;"Estate")*('Inputs'!$C$59:$C$70&lt;&gt;""),(('Inputs'!$D$59:$D$70-('Inputs'!$P$59:$P$70=C5)*C14)-'Inputs'!$R$59:$R$70*ROUND(C21*('Inputs'!$D$59:$D$70-('Inputs'!$P$59:$P$70=C5)*C14),2)))+IF(OR(C3=1,C3=2),C8-ROUND(C21*C8,2),0)+IF(AND(C3=3,C6='Inputs'!$B$90),C38,0),2))</f>
      </c>
      <c r="E53">
        <f>IF('Inputs'!$B$90="",0,ROUND(IF(E31="S",'Inputs'!$O$90*E28,IF(E31="K",'Inputs'!$L$90*IF('Inputs'!$N$90=1,E33,E32),0))+'Inputs'!$Q$90*IF('Inputs'!$S$90=1,E35+E37+E43+E40,E34+E36+E42+E39)+SUMPRODUCT(('Inputs'!$F$59:$F$70='Inputs'!$B$90)*('Inputs'!$C$59:$C$70&lt;&gt;"Estate")*('Inputs'!$C$59:$C$70&lt;&gt;""),(('Inputs'!$D$59:$D$70-('Inputs'!$P$59:$P$70=E5)*E14)-'Inputs'!$R$59:$R$70*ROUND(E21*('Inputs'!$D$59:$D$70-('Inputs'!$P$59:$P$70=E5)*E14),2)))+IF(OR(E3=1,E3=2),E8-ROUND(E21*E8,2),0)+IF(AND(E3=3,E6='Inputs'!$B$90),E38,0),2))</f>
      </c>
      <c r="F53">
        <f>IF('Inputs'!$B$90="",0,ROUND(IF(F31="S",'Inputs'!$O$90*F28,IF(F31="K",'Inputs'!$L$90*IF('Inputs'!$N$90=1,F33,F32),0))+'Inputs'!$Q$90*IF('Inputs'!$S$90=1,F35+F37+F43+F40,F34+F36+F42+F39)+SUMPRODUCT(('Inputs'!$F$59:$F$70='Inputs'!$B$90)*('Inputs'!$C$59:$C$70&lt;&gt;"Estate")*('Inputs'!$C$59:$C$70&lt;&gt;""),(('Inputs'!$D$59:$D$70-('Inputs'!$P$59:$P$70=F5)*F14)-'Inputs'!$R$59:$R$70*ROUND(F21*('Inputs'!$D$59:$D$70-('Inputs'!$P$59:$P$70=F5)*F14),2)))+IF(OR(F3=1,F3=2),F8-ROUND(F21*F8,2),0)+IF(AND(F3=3,F6='Inputs'!$B$90),F38,0),2))</f>
      </c>
      <c r="G53">
        <f>IF('Inputs'!$B$90="",0,ROUND(IF(G31="S",'Inputs'!$O$90*G28,IF(G31="K",'Inputs'!$L$90*IF('Inputs'!$N$90=1,G33,G32),0))+'Inputs'!$Q$90*IF('Inputs'!$S$90=1,G35+G37+G43+G40,G34+G36+G42+G39)+SUMPRODUCT(('Inputs'!$F$59:$F$70='Inputs'!$B$90)*('Inputs'!$C$59:$C$70&lt;&gt;"Estate")*('Inputs'!$C$59:$C$70&lt;&gt;""),(('Inputs'!$D$59:$D$70-('Inputs'!$P$59:$P$70=G5)*G14)-'Inputs'!$R$59:$R$70*ROUND(G21*('Inputs'!$D$59:$D$70-('Inputs'!$P$59:$P$70=G5)*G14),2)))+IF(OR(G3=1,G3=2),G8-ROUND(G21*G8,2),0)+IF(AND(G3=3,G6='Inputs'!$B$90),G38,0),2))</f>
      </c>
      <c r="H53">
        <f>IF('Inputs'!$B$90="",0,ROUND(IF(H31="S",'Inputs'!$O$90*H28,IF(H31="K",'Inputs'!$L$90*IF('Inputs'!$N$90=1,H33,H32),0))+'Inputs'!$Q$90*IF('Inputs'!$S$90=1,H35+H37+H43+H40,H34+H36+H42+H39)+SUMPRODUCT(('Inputs'!$F$59:$F$70='Inputs'!$B$90)*('Inputs'!$C$59:$C$70&lt;&gt;"Estate")*('Inputs'!$C$59:$C$70&lt;&gt;""),(('Inputs'!$D$59:$D$70-('Inputs'!$P$59:$P$70=H5)*H14)-'Inputs'!$R$59:$R$70*ROUND(H21*('Inputs'!$D$59:$D$70-('Inputs'!$P$59:$P$70=H5)*H14),2)))+IF(OR(H3=1,H3=2),H8-ROUND(H21*H8,2),0)+IF(AND(H3=3,H6='Inputs'!$B$90),H38,0),2))</f>
      </c>
      <c r="I53">
        <f>IF('Inputs'!$B$90="",0,ROUND(IF(I31="S",'Inputs'!$O$90*I28,IF(I31="K",'Inputs'!$L$90*IF('Inputs'!$N$90=1,I33,I32),0))+'Inputs'!$Q$90*IF('Inputs'!$S$90=1,I35+I37+I43+I40,I34+I36+I42+I39)+SUMPRODUCT(('Inputs'!$F$59:$F$70='Inputs'!$B$90)*('Inputs'!$C$59:$C$70&lt;&gt;"Estate")*('Inputs'!$C$59:$C$70&lt;&gt;""),(('Inputs'!$D$59:$D$70-('Inputs'!$P$59:$P$70=I5)*I14)-'Inputs'!$R$59:$R$70*ROUND(I21*('Inputs'!$D$59:$D$70-('Inputs'!$P$59:$P$70=I5)*I14),2)))+IF(OR(I3=1,I3=2),I8-ROUND(I21*I8,2),0)+IF(AND(I3=3,I6='Inputs'!$B$90),I38,0),2))</f>
      </c>
      <c r="J53">
        <f>IF('Inputs'!$B$90="",0,ROUND(IF(J31="S",'Inputs'!$O$90*J28,IF(J31="K",'Inputs'!$L$90*IF('Inputs'!$N$90=1,J33,J32),0))+'Inputs'!$Q$90*IF('Inputs'!$S$90=1,J35+J37+J43+J40,J34+J36+J42+J39)+SUMPRODUCT(('Inputs'!$F$59:$F$70='Inputs'!$B$90)*('Inputs'!$C$59:$C$70&lt;&gt;"Estate")*('Inputs'!$C$59:$C$70&lt;&gt;""),(('Inputs'!$D$59:$D$70-('Inputs'!$P$59:$P$70=J5)*J14)-'Inputs'!$R$59:$R$70*ROUND(J21*('Inputs'!$D$59:$D$70-('Inputs'!$P$59:$P$70=J5)*J14),2)))+IF(OR(J3=1,J3=2),J8-ROUND(J21*J8,2),0)+IF(AND(J3=3,J6='Inputs'!$B$90),J38,0),2))</f>
      </c>
      <c r="K53">
        <f>IF('Inputs'!$B$90="",0,ROUND(IF(K31="S",'Inputs'!$O$90*K28,IF(K31="K",'Inputs'!$L$90*IF('Inputs'!$N$90=1,K33,K32),0))+'Inputs'!$Q$90*IF('Inputs'!$S$90=1,K35+K37+K43+K40,K34+K36+K42+K39)+SUMPRODUCT(('Inputs'!$F$59:$F$70='Inputs'!$B$90)*('Inputs'!$C$59:$C$70&lt;&gt;"Estate")*('Inputs'!$C$59:$C$70&lt;&gt;""),(('Inputs'!$D$59:$D$70-('Inputs'!$P$59:$P$70=K5)*K14)-'Inputs'!$R$59:$R$70*ROUND(K21*('Inputs'!$D$59:$D$70-('Inputs'!$P$59:$P$70=K5)*K14),2)))+IF(OR(K3=1,K3=2),K8-ROUND(K21*K8,2),0)+IF(AND(K3=3,K6='Inputs'!$B$90),K38,0),2))</f>
      </c>
      <c r="L53">
        <f>IF('Inputs'!$B$90="",0,ROUND(IF(L31="S",'Inputs'!$O$90*L28,IF(L31="K",'Inputs'!$L$90*IF('Inputs'!$N$90=1,L33,L32),0))+'Inputs'!$Q$90*IF('Inputs'!$S$90=1,L35+L37+L43+L40,L34+L36+L42+L39)+SUMPRODUCT(('Inputs'!$F$59:$F$70='Inputs'!$B$90)*('Inputs'!$C$59:$C$70&lt;&gt;"Estate")*('Inputs'!$C$59:$C$70&lt;&gt;""),(('Inputs'!$D$59:$D$70-('Inputs'!$P$59:$P$70=L5)*L14)-'Inputs'!$R$59:$R$70*ROUND(L21*('Inputs'!$D$59:$D$70-('Inputs'!$P$59:$P$70=L5)*L14),2)))+IF(OR(L3=1,L3=2),L8-ROUND(L21*L8,2),0)+IF(AND(L3=3,L6='Inputs'!$B$90),L38,0),2))</f>
      </c>
      <c r="M53">
        <f>IF('Inputs'!$B$90="",0,ROUND(IF(M31="S",'Inputs'!$O$90*M28,IF(M31="K",'Inputs'!$L$90*IF('Inputs'!$N$90=1,M33,M32),0))+'Inputs'!$Q$90*IF('Inputs'!$S$90=1,M35+M37+M43+M40,M34+M36+M42+M39)+SUMPRODUCT(('Inputs'!$F$59:$F$70='Inputs'!$B$90)*('Inputs'!$C$59:$C$70&lt;&gt;"Estate")*('Inputs'!$C$59:$C$70&lt;&gt;""),(('Inputs'!$D$59:$D$70-('Inputs'!$P$59:$P$70=M5)*M14)-'Inputs'!$R$59:$R$70*ROUND(M21*('Inputs'!$D$59:$D$70-('Inputs'!$P$59:$P$70=M5)*M14),2)))+IF(OR(M3=1,M3=2),M8-ROUND(M21*M8,2),0)+IF(AND(M3=3,M6='Inputs'!$B$90),M38,0),2))</f>
      </c>
      <c r="N53">
        <f>IF('Inputs'!$B$90="",0,ROUND(IF(N31="S",'Inputs'!$O$90*N28,IF(N31="K",'Inputs'!$L$90*IF('Inputs'!$N$90=1,N33,N32),0))+'Inputs'!$Q$90*IF('Inputs'!$S$90=1,N35+N37+N43+N40,N34+N36+N42+N39)+SUMPRODUCT(('Inputs'!$F$59:$F$70='Inputs'!$B$90)*('Inputs'!$C$59:$C$70&lt;&gt;"Estate")*('Inputs'!$C$59:$C$70&lt;&gt;""),(('Inputs'!$D$59:$D$70-('Inputs'!$P$59:$P$70=N5)*N14)-'Inputs'!$R$59:$R$70*ROUND(N21*('Inputs'!$D$59:$D$70-('Inputs'!$P$59:$P$70=N5)*N14),2)))+IF(OR(N3=1,N3=2),N8-ROUND(N21*N8,2),0)+IF(AND(N3=3,N6='Inputs'!$B$90),N38,0),2))</f>
      </c>
      <c r="O53">
        <f>IF('Inputs'!$B$90="",0,ROUND(IF(O31="S",'Inputs'!$O$90*O28,IF(O31="K",'Inputs'!$L$90*IF('Inputs'!$N$90=1,O33,O32),0))+'Inputs'!$Q$90*IF('Inputs'!$S$90=1,O35+O37+O43+O40,O34+O36+O42+O39)+SUMPRODUCT(('Inputs'!$F$59:$F$70='Inputs'!$B$90)*('Inputs'!$C$59:$C$70&lt;&gt;"Estate")*('Inputs'!$C$59:$C$70&lt;&gt;""),(('Inputs'!$D$59:$D$70-('Inputs'!$P$59:$P$70=O5)*O14)-'Inputs'!$R$59:$R$70*ROUND(O21*('Inputs'!$D$59:$D$70-('Inputs'!$P$59:$P$70=O5)*O14),2)))+IF(OR(O3=1,O3=2),O8-ROUND(O21*O8,2),0)+IF(AND(O3=3,O6='Inputs'!$B$90),O38,0),2))</f>
      </c>
      <c r="P53">
        <f>IF('Inputs'!$B$90="",0,ROUND(IF(P31="S",'Inputs'!$O$90*P28,IF(P31="K",'Inputs'!$L$90*IF('Inputs'!$N$90=1,P33,P32),0))+'Inputs'!$Q$90*IF('Inputs'!$S$90=1,P35+P37+P43+P40,P34+P36+P42+P39)+SUMPRODUCT(('Inputs'!$F$59:$F$70='Inputs'!$B$90)*('Inputs'!$C$59:$C$70&lt;&gt;"Estate")*('Inputs'!$C$59:$C$70&lt;&gt;""),(('Inputs'!$D$59:$D$70-('Inputs'!$P$59:$P$70=P5)*P14)-'Inputs'!$R$59:$R$70*ROUND(P21*('Inputs'!$D$59:$D$70-('Inputs'!$P$59:$P$70=P5)*P14),2)))+IF(OR(P3=1,P3=2),P8-ROUND(P21*P8,2),0)+IF(AND(P3=3,P6='Inputs'!$B$90),P38,0),2))</f>
      </c>
      <c r="Q53">
        <f>IF('Inputs'!$B$90="",0,ROUND(IF(Q31="S",'Inputs'!$O$90*Q28,IF(Q31="K",'Inputs'!$L$90*IF('Inputs'!$N$90=1,Q33,Q32),0))+'Inputs'!$Q$90*IF('Inputs'!$S$90=1,Q35+Q37+Q43+Q40,Q34+Q36+Q42+Q39)+SUMPRODUCT(('Inputs'!$F$59:$F$70='Inputs'!$B$90)*('Inputs'!$C$59:$C$70&lt;&gt;"Estate")*('Inputs'!$C$59:$C$70&lt;&gt;""),(('Inputs'!$D$59:$D$70-('Inputs'!$P$59:$P$70=Q5)*Q14)-'Inputs'!$R$59:$R$70*ROUND(Q21*('Inputs'!$D$59:$D$70-('Inputs'!$P$59:$P$70=Q5)*Q14),2)))+IF(OR(Q3=1,Q3=2),Q8-ROUND(Q21*Q8,2),0)+IF(AND(Q3=3,Q6='Inputs'!$B$90),Q38,0),2))</f>
      </c>
      <c r="R53">
        <f>IF('Inputs'!$B$90="",0,ROUND(IF(R31="S",'Inputs'!$O$90*R28,IF(R31="K",'Inputs'!$L$90*IF('Inputs'!$N$90=1,R33,R32),0))+'Inputs'!$Q$90*IF('Inputs'!$S$90=1,R35+R37+R43+R40,R34+R36+R42+R39)+SUMPRODUCT(('Inputs'!$F$59:$F$70='Inputs'!$B$90)*('Inputs'!$C$59:$C$70&lt;&gt;"Estate")*('Inputs'!$C$59:$C$70&lt;&gt;""),(('Inputs'!$D$59:$D$70-('Inputs'!$P$59:$P$70=R5)*R14)-'Inputs'!$R$59:$R$70*ROUND(R21*('Inputs'!$D$59:$D$70-('Inputs'!$P$59:$P$70=R5)*R14),2)))+IF(OR(R3=1,R3=2),R8-ROUND(R21*R8,2),0)+IF(AND(R3=3,R6='Inputs'!$B$90),R38,0),2))</f>
      </c>
      <c r="S53">
        <f>IF('Inputs'!$B$90="",0,ROUND(IF(S31="S",'Inputs'!$O$90*S28,IF(S31="K",'Inputs'!$L$90*IF('Inputs'!$N$90=1,S33,S32),0))+'Inputs'!$Q$90*IF('Inputs'!$S$90=1,S35+S37+S43+S40,S34+S36+S42+S39)+SUMPRODUCT(('Inputs'!$F$59:$F$70='Inputs'!$B$90)*('Inputs'!$C$59:$C$70&lt;&gt;"Estate")*('Inputs'!$C$59:$C$70&lt;&gt;""),(('Inputs'!$D$59:$D$70-('Inputs'!$P$59:$P$70=S5)*S14)-'Inputs'!$R$59:$R$70*ROUND(S21*('Inputs'!$D$59:$D$70-('Inputs'!$P$59:$P$70=S5)*S14),2)))+IF(OR(S3=1,S3=2),S8-ROUND(S21*S8,2),0)+IF(AND(S3=3,S6='Inputs'!$B$90),S38,0),2))</f>
      </c>
      <c r="T53">
        <f>IF('Inputs'!$B$90="",0,ROUND(IF(T31="S",'Inputs'!$O$90*T28,IF(T31="K",'Inputs'!$L$90*IF('Inputs'!$N$90=1,T33,T32),0))+'Inputs'!$Q$90*IF('Inputs'!$S$90=1,T35+T37+T43+T40,T34+T36+T42+T39)+SUMPRODUCT(('Inputs'!$F$59:$F$70='Inputs'!$B$90)*('Inputs'!$C$59:$C$70&lt;&gt;"Estate")*('Inputs'!$C$59:$C$70&lt;&gt;""),(('Inputs'!$D$59:$D$70-('Inputs'!$P$59:$P$70=T5)*T14)-'Inputs'!$R$59:$R$70*ROUND(T21*('Inputs'!$D$59:$D$70-('Inputs'!$P$59:$P$70=T5)*T14),2)))+IF(OR(T3=1,T3=2),T8-ROUND(T21*T8,2),0)+IF(AND(T3=3,T6='Inputs'!$B$90),T38,0),2))</f>
      </c>
      <c r="V53">
        <f>IF('Inputs'!$B$90="",0,ROUND(IF(V31="S",'Inputs'!$O$90*V28,IF(V31="K",'Inputs'!$L$90*IF('Inputs'!$N$90=1,V33,V32),0))+'Inputs'!$Q$90*IF('Inputs'!$S$90=1,V35+V37+V43+V40,V34+V36+V42+V39)+SUMPRODUCT(('Inputs'!$F$59:$F$70='Inputs'!$B$90)*('Inputs'!$C$59:$C$70&lt;&gt;"Estate")*('Inputs'!$C$59:$C$70&lt;&gt;""),(('Inputs'!$D$59:$D$70-('Inputs'!$P$59:$P$70=V5)*V14)-'Inputs'!$R$59:$R$70*ROUND(V21*('Inputs'!$D$59:$D$70-('Inputs'!$P$59:$P$70=V5)*V14),2)))+IF(OR(V3=1,V3=2),V8-ROUND(V21*V8,2),0)+IF(AND(V3=3,V6='Inputs'!$B$90),V38,0),2))</f>
      </c>
      <c r="W53">
        <f>IF('Inputs'!$B$90="",0,ROUND(IF(W31="S",'Inputs'!$O$90*W28,IF(W31="K",'Inputs'!$L$90*IF('Inputs'!$N$90=1,W33,W32),0))+'Inputs'!$Q$90*IF('Inputs'!$S$90=1,W35+W37+W43+W40,W34+W36+W42+W39)+SUMPRODUCT(('Inputs'!$F$59:$F$70='Inputs'!$B$90)*('Inputs'!$C$59:$C$70&lt;&gt;"Estate")*('Inputs'!$C$59:$C$70&lt;&gt;""),(('Inputs'!$D$59:$D$70-('Inputs'!$P$59:$P$70=W5)*W14)-'Inputs'!$R$59:$R$70*ROUND(W21*('Inputs'!$D$59:$D$70-('Inputs'!$P$59:$P$70=W5)*W14),2)))+IF(OR(W3=1,W3=2),W8-ROUND(W21*W8,2),0)+IF(AND(W3=3,W6='Inputs'!$B$90),W38,0),2))</f>
      </c>
      <c r="X53">
        <f>IF('Inputs'!$B$90="",0,ROUND(IF(X31="S",'Inputs'!$O$90*X28,IF(X31="K",'Inputs'!$L$90*IF('Inputs'!$N$90=1,X33,X32),0))+'Inputs'!$Q$90*IF('Inputs'!$S$90=1,X35+X37+X43+X40,X34+X36+X42+X39)+SUMPRODUCT(('Inputs'!$F$59:$F$70='Inputs'!$B$90)*('Inputs'!$C$59:$C$70&lt;&gt;"Estate")*('Inputs'!$C$59:$C$70&lt;&gt;""),(('Inputs'!$D$59:$D$70-('Inputs'!$P$59:$P$70=X5)*X14)-'Inputs'!$R$59:$R$70*ROUND(X21*('Inputs'!$D$59:$D$70-('Inputs'!$P$59:$P$70=X5)*X14),2)))+IF(OR(X3=1,X3=2),X8-ROUND(X21*X8,2),0)+IF(AND(X3=3,X6='Inputs'!$B$90),X38,0),2))</f>
      </c>
      <c r="Y53">
        <f>IF('Inputs'!$B$90="",0,ROUND(IF(Y31="S",'Inputs'!$O$90*Y28,IF(Y31="K",'Inputs'!$L$90*IF('Inputs'!$N$90=1,Y33,Y32),0))+'Inputs'!$Q$90*IF('Inputs'!$S$90=1,Y35+Y37+Y43+Y40,Y34+Y36+Y42+Y39)+SUMPRODUCT(('Inputs'!$F$59:$F$70='Inputs'!$B$90)*('Inputs'!$C$59:$C$70&lt;&gt;"Estate")*('Inputs'!$C$59:$C$70&lt;&gt;""),(('Inputs'!$D$59:$D$70-('Inputs'!$P$59:$P$70=Y5)*Y14)-'Inputs'!$R$59:$R$70*ROUND(Y21*('Inputs'!$D$59:$D$70-('Inputs'!$P$59:$P$70=Y5)*Y14),2)))+IF(OR(Y3=1,Y3=2),Y8-ROUND(Y21*Y8,2),0)+IF(AND(Y3=3,Y6='Inputs'!$B$90),Y38,0),2))</f>
      </c>
      <c r="Z53">
        <f>IF('Inputs'!$B$90="",0,ROUND(IF(Z31="S",'Inputs'!$O$90*Z28,IF(Z31="K",'Inputs'!$L$90*IF('Inputs'!$N$90=1,Z33,Z32),0))+'Inputs'!$Q$90*IF('Inputs'!$S$90=1,Z35+Z37+Z43+Z40,Z34+Z36+Z42+Z39)+SUMPRODUCT(('Inputs'!$F$59:$F$70='Inputs'!$B$90)*('Inputs'!$C$59:$C$70&lt;&gt;"Estate")*('Inputs'!$C$59:$C$70&lt;&gt;""),(('Inputs'!$D$59:$D$70-('Inputs'!$P$59:$P$70=Z5)*Z14)-'Inputs'!$R$59:$R$70*ROUND(Z21*('Inputs'!$D$59:$D$70-('Inputs'!$P$59:$P$70=Z5)*Z14),2)))+IF(OR(Z3=1,Z3=2),Z8-ROUND(Z21*Z8,2),0)+IF(AND(Z3=3,Z6='Inputs'!$B$90),Z38,0),2))</f>
      </c>
      <c r="AA53">
        <f>IF('Inputs'!$B$90="",0,ROUND(IF(AA31="S",'Inputs'!$O$90*AA28,IF(AA31="K",'Inputs'!$L$90*IF('Inputs'!$N$90=1,AA33,AA32),0))+'Inputs'!$Q$90*IF('Inputs'!$S$90=1,AA35+AA37+AA43+AA40,AA34+AA36+AA42+AA39)+SUMPRODUCT(('Inputs'!$F$59:$F$70='Inputs'!$B$90)*('Inputs'!$C$59:$C$70&lt;&gt;"Estate")*('Inputs'!$C$59:$C$70&lt;&gt;""),(('Inputs'!$D$59:$D$70-('Inputs'!$P$59:$P$70=AA5)*AA14)-'Inputs'!$R$59:$R$70*ROUND(AA21*('Inputs'!$D$59:$D$70-('Inputs'!$P$59:$P$70=AA5)*AA14),2)))+IF(OR(AA3=1,AA3=2),AA8-ROUND(AA21*AA8,2),0)+IF(AND(AA3=3,AA6='Inputs'!$B$90),AA38,0),2))</f>
      </c>
      <c r="AB53">
        <f>IF('Inputs'!$B$90="",0,ROUND(IF(AB31="S",'Inputs'!$O$90*AB28,IF(AB31="K",'Inputs'!$L$90*IF('Inputs'!$N$90=1,AB33,AB32),0))+'Inputs'!$Q$90*IF('Inputs'!$S$90=1,AB35+AB37+AB43+AB40,AB34+AB36+AB42+AB39)+SUMPRODUCT(('Inputs'!$F$59:$F$70='Inputs'!$B$90)*('Inputs'!$C$59:$C$70&lt;&gt;"Estate")*('Inputs'!$C$59:$C$70&lt;&gt;""),(('Inputs'!$D$59:$D$70-('Inputs'!$P$59:$P$70=AB5)*AB14)-'Inputs'!$R$59:$R$70*ROUND(AB21*('Inputs'!$D$59:$D$70-('Inputs'!$P$59:$P$70=AB5)*AB14),2)))+IF(OR(AB3=1,AB3=2),AB8-ROUND(AB21*AB8,2),0)+IF(AND(AB3=3,AB6='Inputs'!$B$90),AB38,0),2))</f>
      </c>
      <c r="AC53">
        <f>IF('Inputs'!$B$90="",0,ROUND(IF(AC31="S",'Inputs'!$O$90*AC28,IF(AC31="K",'Inputs'!$L$90*IF('Inputs'!$N$90=1,AC33,AC32),0))+'Inputs'!$Q$90*IF('Inputs'!$S$90=1,AC35+AC37+AC43+AC40,AC34+AC36+AC42+AC39)+SUMPRODUCT(('Inputs'!$F$59:$F$70='Inputs'!$B$90)*('Inputs'!$C$59:$C$70&lt;&gt;"Estate")*('Inputs'!$C$59:$C$70&lt;&gt;""),(('Inputs'!$D$59:$D$70-('Inputs'!$P$59:$P$70=AC5)*AC14)-'Inputs'!$R$59:$R$70*ROUND(AC21*('Inputs'!$D$59:$D$70-('Inputs'!$P$59:$P$70=AC5)*AC14),2)))+IF(OR(AC3=1,AC3=2),AC8-ROUND(AC21*AC8,2),0)+IF(AND(AC3=3,AC6='Inputs'!$B$90),AC38,0),2))</f>
      </c>
      <c r="AD53">
        <f>IF('Inputs'!$B$90="",0,ROUND(IF(AD31="S",'Inputs'!$O$90*AD28,IF(AD31="K",'Inputs'!$L$90*IF('Inputs'!$N$90=1,AD33,AD32),0))+'Inputs'!$Q$90*IF('Inputs'!$S$90=1,AD35+AD37+AD43+AD40,AD34+AD36+AD42+AD39)+SUMPRODUCT(('Inputs'!$F$59:$F$70='Inputs'!$B$90)*('Inputs'!$C$59:$C$70&lt;&gt;"Estate")*('Inputs'!$C$59:$C$70&lt;&gt;""),(('Inputs'!$D$59:$D$70-('Inputs'!$P$59:$P$70=AD5)*AD14)-'Inputs'!$R$59:$R$70*ROUND(AD21*('Inputs'!$D$59:$D$70-('Inputs'!$P$59:$P$70=AD5)*AD14),2)))+IF(OR(AD3=1,AD3=2),AD8-ROUND(AD21*AD8,2),0)+IF(AND(AD3=3,AD6='Inputs'!$B$90),AD38,0),2))</f>
      </c>
      <c r="AE53">
        <f>IF('Inputs'!$B$90="",0,ROUND(IF(AE31="S",'Inputs'!$O$90*AE28,IF(AE31="K",'Inputs'!$L$90*IF('Inputs'!$N$90=1,AE33,AE32),0))+'Inputs'!$Q$90*IF('Inputs'!$S$90=1,AE35+AE37+AE43+AE40,AE34+AE36+AE42+AE39)+SUMPRODUCT(('Inputs'!$F$59:$F$70='Inputs'!$B$90)*('Inputs'!$C$59:$C$70&lt;&gt;"Estate")*('Inputs'!$C$59:$C$70&lt;&gt;""),(('Inputs'!$D$59:$D$70-('Inputs'!$P$59:$P$70=AE5)*AE14)-'Inputs'!$R$59:$R$70*ROUND(AE21*('Inputs'!$D$59:$D$70-('Inputs'!$P$59:$P$70=AE5)*AE14),2)))+IF(OR(AE3=1,AE3=2),AE8-ROUND(AE21*AE8,2),0)+IF(AND(AE3=3,AE6='Inputs'!$B$90),AE38,0),2))</f>
      </c>
      <c r="AF53">
        <f>IF('Inputs'!$B$90="",0,ROUND(IF(AF31="S",'Inputs'!$O$90*AF28,IF(AF31="K",'Inputs'!$L$90*IF('Inputs'!$N$90=1,AF33,AF32),0))+'Inputs'!$Q$90*IF('Inputs'!$S$90=1,AF35+AF37+AF43+AF40,AF34+AF36+AF42+AF39)+SUMPRODUCT(('Inputs'!$F$59:$F$70='Inputs'!$B$90)*('Inputs'!$C$59:$C$70&lt;&gt;"Estate")*('Inputs'!$C$59:$C$70&lt;&gt;""),(('Inputs'!$D$59:$D$70-('Inputs'!$P$59:$P$70=AF5)*AF14)-'Inputs'!$R$59:$R$70*ROUND(AF21*('Inputs'!$D$59:$D$70-('Inputs'!$P$59:$P$70=AF5)*AF14),2)))+IF(OR(AF3=1,AF3=2),AF8-ROUND(AF21*AF8,2),0)+IF(AND(AF3=3,AF6='Inputs'!$B$90),AF38,0),2))</f>
      </c>
      <c r="AG53">
        <f>IF('Inputs'!$B$90="",0,ROUND(IF(AG31="S",'Inputs'!$O$90*AG28,IF(AG31="K",'Inputs'!$L$90*IF('Inputs'!$N$90=1,AG33,AG32),0))+'Inputs'!$Q$90*IF('Inputs'!$S$90=1,AG35+AG37+AG43+AG40,AG34+AG36+AG42+AG39)+SUMPRODUCT(('Inputs'!$F$59:$F$70='Inputs'!$B$90)*('Inputs'!$C$59:$C$70&lt;&gt;"Estate")*('Inputs'!$C$59:$C$70&lt;&gt;""),(('Inputs'!$D$59:$D$70-('Inputs'!$P$59:$P$70=AG5)*AG14)-'Inputs'!$R$59:$R$70*ROUND(AG21*('Inputs'!$D$59:$D$70-('Inputs'!$P$59:$P$70=AG5)*AG14),2)))+IF(OR(AG3=1,AG3=2),AG8-ROUND(AG21*AG8,2),0)+IF(AND(AG3=3,AG6='Inputs'!$B$90),AG38,0),2))</f>
      </c>
      <c r="AH53">
        <f>IF('Inputs'!$B$90="",0,ROUND(IF(AH31="S",'Inputs'!$O$90*AH28,IF(AH31="K",'Inputs'!$L$90*IF('Inputs'!$N$90=1,AH33,AH32),0))+'Inputs'!$Q$90*IF('Inputs'!$S$90=1,AH35+AH37+AH43+AH40,AH34+AH36+AH42+AH39)+SUMPRODUCT(('Inputs'!$F$59:$F$70='Inputs'!$B$90)*('Inputs'!$C$59:$C$70&lt;&gt;"Estate")*('Inputs'!$C$59:$C$70&lt;&gt;""),(('Inputs'!$D$59:$D$70-('Inputs'!$P$59:$P$70=AH5)*AH14)-'Inputs'!$R$59:$R$70*ROUND(AH21*('Inputs'!$D$59:$D$70-('Inputs'!$P$59:$P$70=AH5)*AH14),2)))+IF(OR(AH3=1,AH3=2),AH8-ROUND(AH21*AH8,2),0)+IF(AND(AH3=3,AH6='Inputs'!$B$90),AH38,0),2))</f>
      </c>
      <c r="AI53">
        <f>IF('Inputs'!$B$90="",0,ROUND(IF(AI31="S",'Inputs'!$O$90*AI28,IF(AI31="K",'Inputs'!$L$90*IF('Inputs'!$N$90=1,AI33,AI32),0))+'Inputs'!$Q$90*IF('Inputs'!$S$90=1,AI35+AI37+AI43+AI40,AI34+AI36+AI42+AI39)+SUMPRODUCT(('Inputs'!$F$59:$F$70='Inputs'!$B$90)*('Inputs'!$C$59:$C$70&lt;&gt;"Estate")*('Inputs'!$C$59:$C$70&lt;&gt;""),(('Inputs'!$D$59:$D$70-('Inputs'!$P$59:$P$70=AI5)*AI14)-'Inputs'!$R$59:$R$70*ROUND(AI21*('Inputs'!$D$59:$D$70-('Inputs'!$P$59:$P$70=AI5)*AI14),2)))+IF(OR(AI3=1,AI3=2),AI8-ROUND(AI21*AI8,2),0)+IF(AND(AI3=3,AI6='Inputs'!$B$90),AI38,0),2))</f>
      </c>
      <c r="AJ53">
        <f>IF('Inputs'!$B$90="",0,ROUND(IF(AJ31="S",'Inputs'!$O$90*AJ28,IF(AJ31="K",'Inputs'!$L$90*IF('Inputs'!$N$90=1,AJ33,AJ32),0))+'Inputs'!$Q$90*IF('Inputs'!$S$90=1,AJ35+AJ37+AJ43+AJ40,AJ34+AJ36+AJ42+AJ39)+SUMPRODUCT(('Inputs'!$F$59:$F$70='Inputs'!$B$90)*('Inputs'!$C$59:$C$70&lt;&gt;"Estate")*('Inputs'!$C$59:$C$70&lt;&gt;""),(('Inputs'!$D$59:$D$70-('Inputs'!$P$59:$P$70=AJ5)*AJ14)-'Inputs'!$R$59:$R$70*ROUND(AJ21*('Inputs'!$D$59:$D$70-('Inputs'!$P$59:$P$70=AJ5)*AJ14),2)))+IF(OR(AJ3=1,AJ3=2),AJ8-ROUND(AJ21*AJ8,2),0)+IF(AND(AJ3=3,AJ6='Inputs'!$B$90),AJ38,0),2))</f>
      </c>
      <c r="AK53">
        <f>IF('Inputs'!$B$90="",0,ROUND(IF(AK31="S",'Inputs'!$O$90*AK28,IF(AK31="K",'Inputs'!$L$90*IF('Inputs'!$N$90=1,AK33,AK32),0))+'Inputs'!$Q$90*IF('Inputs'!$S$90=1,AK35+AK37+AK43+AK40,AK34+AK36+AK42+AK39)+SUMPRODUCT(('Inputs'!$F$59:$F$70='Inputs'!$B$90)*('Inputs'!$C$59:$C$70&lt;&gt;"Estate")*('Inputs'!$C$59:$C$70&lt;&gt;""),(('Inputs'!$D$59:$D$70-('Inputs'!$P$59:$P$70=AK5)*AK14)-'Inputs'!$R$59:$R$70*ROUND(AK21*('Inputs'!$D$59:$D$70-('Inputs'!$P$59:$P$70=AK5)*AK14),2)))+IF(OR(AK3=1,AK3=2),AK8-ROUND(AK21*AK8,2),0)+IF(AND(AK3=3,AK6='Inputs'!$B$90),AK38,0),2))</f>
      </c>
      <c r="AM53">
        <f>IF('Inputs'!$B$90="",0,ROUND(IF(AM31="S",'Inputs'!$O$90*AM28,IF(AM31="K",'Inputs'!$L$90*IF('Inputs'!$N$90=1,AM33,AM32),0))+'Inputs'!$Q$90*IF('Inputs'!$S$90=1,AM35+AM37+AM43+AM40,AM34+AM36+AM42+AM39)+SUMPRODUCT(('Inputs'!$F$59:$F$70='Inputs'!$B$90)*('Inputs'!$C$59:$C$70&lt;&gt;"Estate")*('Inputs'!$C$59:$C$70&lt;&gt;""),(('Inputs'!$D$59:$D$70-('Inputs'!$P$59:$P$70=AM5)*AM14)-'Inputs'!$R$59:$R$70*ROUND(AM21*('Inputs'!$D$59:$D$70-('Inputs'!$P$59:$P$70=AM5)*AM14),2)))+IF(OR(AM3=1,AM3=2),AM8-ROUND(AM21*AM8,2),0)+IF(AND(AM3=3,AM6='Inputs'!$B$90),AM38,0),2))</f>
      </c>
      <c r="AN53">
        <f>IF('Inputs'!$B$90="",0,ROUND(IF(AN31="S",'Inputs'!$O$90*AN28,IF(AN31="K",'Inputs'!$L$90*IF('Inputs'!$N$90=1,AN33,AN32),0))+'Inputs'!$Q$90*IF('Inputs'!$S$90=1,AN35+AN37+AN43+AN40,AN34+AN36+AN42+AN39)+SUMPRODUCT(('Inputs'!$F$59:$F$70='Inputs'!$B$90)*('Inputs'!$C$59:$C$70&lt;&gt;"Estate")*('Inputs'!$C$59:$C$70&lt;&gt;""),(('Inputs'!$D$59:$D$70-('Inputs'!$P$59:$P$70=AN5)*AN14)-'Inputs'!$R$59:$R$70*ROUND(AN21*('Inputs'!$D$59:$D$70-('Inputs'!$P$59:$P$70=AN5)*AN14),2)))+IF(OR(AN3=1,AN3=2),AN8-ROUND(AN21*AN8,2),0)+IF(AND(AN3=3,AN6='Inputs'!$B$90),AN38,0),2))</f>
      </c>
      <c r="AO53">
        <f>IF('Inputs'!$B$90="",0,ROUND(IF(AO31="S",'Inputs'!$O$90*AO28,IF(AO31="K",'Inputs'!$L$90*IF('Inputs'!$N$90=1,AO33,AO32),0))+'Inputs'!$Q$90*IF('Inputs'!$S$90=1,AO35+AO37+AO43+AO40,AO34+AO36+AO42+AO39)+SUMPRODUCT(('Inputs'!$F$59:$F$70='Inputs'!$B$90)*('Inputs'!$C$59:$C$70&lt;&gt;"Estate")*('Inputs'!$C$59:$C$70&lt;&gt;""),(('Inputs'!$D$59:$D$70-('Inputs'!$P$59:$P$70=AO5)*AO14)-'Inputs'!$R$59:$R$70*ROUND(AO21*('Inputs'!$D$59:$D$70-('Inputs'!$P$59:$P$70=AO5)*AO14),2)))+IF(OR(AO3=1,AO3=2),AO8-ROUND(AO21*AO8,2),0)+IF(AND(AO3=3,AO6='Inputs'!$B$90),AO38,0),2))</f>
      </c>
      <c r="AP53">
        <f>IF('Inputs'!$B$90="",0,ROUND(IF(AP31="S",'Inputs'!$O$90*AP28,IF(AP31="K",'Inputs'!$L$90*IF('Inputs'!$N$90=1,AP33,AP32),0))+'Inputs'!$Q$90*IF('Inputs'!$S$90=1,AP35+AP37+AP43+AP40,AP34+AP36+AP42+AP39)+SUMPRODUCT(('Inputs'!$F$59:$F$70='Inputs'!$B$90)*('Inputs'!$C$59:$C$70&lt;&gt;"Estate")*('Inputs'!$C$59:$C$70&lt;&gt;""),(('Inputs'!$D$59:$D$70-('Inputs'!$P$59:$P$70=AP5)*AP14)-'Inputs'!$R$59:$R$70*ROUND(AP21*('Inputs'!$D$59:$D$70-('Inputs'!$P$59:$P$70=AP5)*AP14),2)))+IF(OR(AP3=1,AP3=2),AP8-ROUND(AP21*AP8,2),0)+IF(AND(AP3=3,AP6='Inputs'!$B$90),AP38,0),2))</f>
      </c>
      <c r="AQ53">
        <f>IF('Inputs'!$B$90="",0,ROUND(IF(AQ31="S",'Inputs'!$O$90*AQ28,IF(AQ31="K",'Inputs'!$L$90*IF('Inputs'!$N$90=1,AQ33,AQ32),0))+'Inputs'!$Q$90*IF('Inputs'!$S$90=1,AQ35+AQ37+AQ43+AQ40,AQ34+AQ36+AQ42+AQ39)+SUMPRODUCT(('Inputs'!$F$59:$F$70='Inputs'!$B$90)*('Inputs'!$C$59:$C$70&lt;&gt;"Estate")*('Inputs'!$C$59:$C$70&lt;&gt;""),(('Inputs'!$D$59:$D$70-('Inputs'!$P$59:$P$70=AQ5)*AQ14)-'Inputs'!$R$59:$R$70*ROUND(AQ21*('Inputs'!$D$59:$D$70-('Inputs'!$P$59:$P$70=AQ5)*AQ14),2)))+IF(OR(AQ3=1,AQ3=2),AQ8-ROUND(AQ21*AQ8,2),0)+IF(AND(AQ3=3,AQ6='Inputs'!$B$90),AQ38,0),2))</f>
      </c>
      <c r="AR53">
        <f>IF('Inputs'!$B$90="",0,ROUND(IF(AR31="S",'Inputs'!$O$90*AR28,IF(AR31="K",'Inputs'!$L$90*IF('Inputs'!$N$90=1,AR33,AR32),0))+'Inputs'!$Q$90*IF('Inputs'!$S$90=1,AR35+AR37+AR43+AR40,AR34+AR36+AR42+AR39)+SUMPRODUCT(('Inputs'!$F$59:$F$70='Inputs'!$B$90)*('Inputs'!$C$59:$C$70&lt;&gt;"Estate")*('Inputs'!$C$59:$C$70&lt;&gt;""),(('Inputs'!$D$59:$D$70-('Inputs'!$P$59:$P$70=AR5)*AR14)-'Inputs'!$R$59:$R$70*ROUND(AR21*('Inputs'!$D$59:$D$70-('Inputs'!$P$59:$P$70=AR5)*AR14),2)))+IF(OR(AR3=1,AR3=2),AR8-ROUND(AR21*AR8,2),0)+IF(AND(AR3=3,AR6='Inputs'!$B$90),AR38,0),2))</f>
      </c>
      <c r="AS53">
        <f>IF('Inputs'!$B$90="",0,ROUND(IF(AS31="S",'Inputs'!$O$90*AS28,IF(AS31="K",'Inputs'!$L$90*IF('Inputs'!$N$90=1,AS33,AS32),0))+'Inputs'!$Q$90*IF('Inputs'!$S$90=1,AS35+AS37+AS43+AS40,AS34+AS36+AS42+AS39)+SUMPRODUCT(('Inputs'!$F$59:$F$70='Inputs'!$B$90)*('Inputs'!$C$59:$C$70&lt;&gt;"Estate")*('Inputs'!$C$59:$C$70&lt;&gt;""),(('Inputs'!$D$59:$D$70-('Inputs'!$P$59:$P$70=AS5)*AS14)-'Inputs'!$R$59:$R$70*ROUND(AS21*('Inputs'!$D$59:$D$70-('Inputs'!$P$59:$P$70=AS5)*AS14),2)))+IF(OR(AS3=1,AS3=2),AS8-ROUND(AS21*AS8,2),0)+IF(AND(AS3=3,AS6='Inputs'!$B$90),AS38,0),2))</f>
      </c>
      <c r="AT53">
        <f>IF('Inputs'!$B$90="",0,ROUND(IF(AT31="S",'Inputs'!$O$90*AT28,IF(AT31="K",'Inputs'!$L$90*IF('Inputs'!$N$90=1,AT33,AT32),0))+'Inputs'!$Q$90*IF('Inputs'!$S$90=1,AT35+AT37+AT43+AT40,AT34+AT36+AT42+AT39)+SUMPRODUCT(('Inputs'!$F$59:$F$70='Inputs'!$B$90)*('Inputs'!$C$59:$C$70&lt;&gt;"Estate")*('Inputs'!$C$59:$C$70&lt;&gt;""),(('Inputs'!$D$59:$D$70-('Inputs'!$P$59:$P$70=AT5)*AT14)-'Inputs'!$R$59:$R$70*ROUND(AT21*('Inputs'!$D$59:$D$70-('Inputs'!$P$59:$P$70=AT5)*AT14),2)))+IF(OR(AT3=1,AT3=2),AT8-ROUND(AT21*AT8,2),0)+IF(AND(AT3=3,AT6='Inputs'!$B$90),AT38,0),2))</f>
      </c>
      <c r="AU53">
        <f>IF('Inputs'!$B$90="",0,ROUND(IF(AU31="S",'Inputs'!$O$90*AU28,IF(AU31="K",'Inputs'!$L$90*IF('Inputs'!$N$90=1,AU33,AU32),0))+'Inputs'!$Q$90*IF('Inputs'!$S$90=1,AU35+AU37+AU43+AU40,AU34+AU36+AU42+AU39)+SUMPRODUCT(('Inputs'!$F$59:$F$70='Inputs'!$B$90)*('Inputs'!$C$59:$C$70&lt;&gt;"Estate")*('Inputs'!$C$59:$C$70&lt;&gt;""),(('Inputs'!$D$59:$D$70-('Inputs'!$P$59:$P$70=AU5)*AU14)-'Inputs'!$R$59:$R$70*ROUND(AU21*('Inputs'!$D$59:$D$70-('Inputs'!$P$59:$P$70=AU5)*AU14),2)))+IF(OR(AU3=1,AU3=2),AU8-ROUND(AU21*AU8,2),0)+IF(AND(AU3=3,AU6='Inputs'!$B$90),AU38,0),2))</f>
      </c>
      <c r="AV53">
        <f>IF('Inputs'!$B$90="",0,ROUND(IF(AV31="S",'Inputs'!$O$90*AV28,IF(AV31="K",'Inputs'!$L$90*IF('Inputs'!$N$90=1,AV33,AV32),0))+'Inputs'!$Q$90*IF('Inputs'!$S$90=1,AV35+AV37+AV43+AV40,AV34+AV36+AV42+AV39)+SUMPRODUCT(('Inputs'!$F$59:$F$70='Inputs'!$B$90)*('Inputs'!$C$59:$C$70&lt;&gt;"Estate")*('Inputs'!$C$59:$C$70&lt;&gt;""),(('Inputs'!$D$59:$D$70-('Inputs'!$P$59:$P$70=AV5)*AV14)-'Inputs'!$R$59:$R$70*ROUND(AV21*('Inputs'!$D$59:$D$70-('Inputs'!$P$59:$P$70=AV5)*AV14),2)))+IF(OR(AV3=1,AV3=2),AV8-ROUND(AV21*AV8,2),0)+IF(AND(AV3=3,AV6='Inputs'!$B$90),AV38,0),2))</f>
      </c>
      <c r="AW53">
        <f>IF('Inputs'!$B$90="",0,ROUND(IF(AW31="S",'Inputs'!$O$90*AW28,IF(AW31="K",'Inputs'!$L$90*IF('Inputs'!$N$90=1,AW33,AW32),0))+'Inputs'!$Q$90*IF('Inputs'!$S$90=1,AW35+AW37+AW43+AW40,AW34+AW36+AW42+AW39)+SUMPRODUCT(('Inputs'!$F$59:$F$70='Inputs'!$B$90)*('Inputs'!$C$59:$C$70&lt;&gt;"Estate")*('Inputs'!$C$59:$C$70&lt;&gt;""),(('Inputs'!$D$59:$D$70-('Inputs'!$P$59:$P$70=AW5)*AW14)-'Inputs'!$R$59:$R$70*ROUND(AW21*('Inputs'!$D$59:$D$70-('Inputs'!$P$59:$P$70=AW5)*AW14),2)))+IF(OR(AW3=1,AW3=2),AW8-ROUND(AW21*AW8,2),0)+IF(AND(AW3=3,AW6='Inputs'!$B$90),AW38,0),2))</f>
      </c>
      <c r="AX53">
        <f>IF('Inputs'!$B$90="",0,ROUND(IF(AX31="S",'Inputs'!$O$90*AX28,IF(AX31="K",'Inputs'!$L$90*IF('Inputs'!$N$90=1,AX33,AX32),0))+'Inputs'!$Q$90*IF('Inputs'!$S$90=1,AX35+AX37+AX43+AX40,AX34+AX36+AX42+AX39)+SUMPRODUCT(('Inputs'!$F$59:$F$70='Inputs'!$B$90)*('Inputs'!$C$59:$C$70&lt;&gt;"Estate")*('Inputs'!$C$59:$C$70&lt;&gt;""),(('Inputs'!$D$59:$D$70-('Inputs'!$P$59:$P$70=AX5)*AX14)-'Inputs'!$R$59:$R$70*ROUND(AX21*('Inputs'!$D$59:$D$70-('Inputs'!$P$59:$P$70=AX5)*AX14),2)))+IF(OR(AX3=1,AX3=2),AX8-ROUND(AX21*AX8,2),0)+IF(AND(AX3=3,AX6='Inputs'!$B$90),AX38,0),2))</f>
      </c>
      <c r="AY53">
        <f>IF('Inputs'!$B$90="",0,ROUND(IF(AY31="S",'Inputs'!$O$90*AY28,IF(AY31="K",'Inputs'!$L$90*IF('Inputs'!$N$90=1,AY33,AY32),0))+'Inputs'!$Q$90*IF('Inputs'!$S$90=1,AY35+AY37+AY43+AY40,AY34+AY36+AY42+AY39)+SUMPRODUCT(('Inputs'!$F$59:$F$70='Inputs'!$B$90)*('Inputs'!$C$59:$C$70&lt;&gt;"Estate")*('Inputs'!$C$59:$C$70&lt;&gt;""),(('Inputs'!$D$59:$D$70-('Inputs'!$P$59:$P$70=AY5)*AY14)-'Inputs'!$R$59:$R$70*ROUND(AY21*('Inputs'!$D$59:$D$70-('Inputs'!$P$59:$P$70=AY5)*AY14),2)))+IF(OR(AY3=1,AY3=2),AY8-ROUND(AY21*AY8,2),0)+IF(AND(AY3=3,AY6='Inputs'!$B$90),AY38,0),2))</f>
      </c>
      <c r="AZ53">
        <f>IF('Inputs'!$B$90="",0,ROUND(IF(AZ31="S",'Inputs'!$O$90*AZ28,IF(AZ31="K",'Inputs'!$L$90*IF('Inputs'!$N$90=1,AZ33,AZ32),0))+'Inputs'!$Q$90*IF('Inputs'!$S$90=1,AZ35+AZ37+AZ43+AZ40,AZ34+AZ36+AZ42+AZ39)+SUMPRODUCT(('Inputs'!$F$59:$F$70='Inputs'!$B$90)*('Inputs'!$C$59:$C$70&lt;&gt;"Estate")*('Inputs'!$C$59:$C$70&lt;&gt;""),(('Inputs'!$D$59:$D$70-('Inputs'!$P$59:$P$70=AZ5)*AZ14)-'Inputs'!$R$59:$R$70*ROUND(AZ21*('Inputs'!$D$59:$D$70-('Inputs'!$P$59:$P$70=AZ5)*AZ14),2)))+IF(OR(AZ3=1,AZ3=2),AZ8-ROUND(AZ21*AZ8,2),0)+IF(AND(AZ3=3,AZ6='Inputs'!$B$90),AZ38,0),2))</f>
      </c>
      <c r="BA53">
        <f>IF('Inputs'!$B$90="",0,ROUND(IF(BA31="S",'Inputs'!$O$90*BA28,IF(BA31="K",'Inputs'!$L$90*IF('Inputs'!$N$90=1,BA33,BA32),0))+'Inputs'!$Q$90*IF('Inputs'!$S$90=1,BA35+BA37+BA43+BA40,BA34+BA36+BA42+BA39)+SUMPRODUCT(('Inputs'!$F$59:$F$70='Inputs'!$B$90)*('Inputs'!$C$59:$C$70&lt;&gt;"Estate")*('Inputs'!$C$59:$C$70&lt;&gt;""),(('Inputs'!$D$59:$D$70-('Inputs'!$P$59:$P$70=BA5)*BA14)-'Inputs'!$R$59:$R$70*ROUND(BA21*('Inputs'!$D$59:$D$70-('Inputs'!$P$59:$P$70=BA5)*BA14),2)))+IF(OR(BA3=1,BA3=2),BA8-ROUND(BA21*BA8,2),0)+IF(AND(BA3=3,BA6='Inputs'!$B$90),BA38,0),2))</f>
      </c>
      <c r="BB53">
        <f>IF('Inputs'!$B$90="",0,ROUND(IF(BB31="S",'Inputs'!$O$90*BB28,IF(BB31="K",'Inputs'!$L$90*IF('Inputs'!$N$90=1,BB33,BB32),0))+'Inputs'!$Q$90*IF('Inputs'!$S$90=1,BB35+BB37+BB43+BB40,BB34+BB36+BB42+BB39)+SUMPRODUCT(('Inputs'!$F$59:$F$70='Inputs'!$B$90)*('Inputs'!$C$59:$C$70&lt;&gt;"Estate")*('Inputs'!$C$59:$C$70&lt;&gt;""),(('Inputs'!$D$59:$D$70-('Inputs'!$P$59:$P$70=BB5)*BB14)-'Inputs'!$R$59:$R$70*ROUND(BB21*('Inputs'!$D$59:$D$70-('Inputs'!$P$59:$P$70=BB5)*BB14),2)))+IF(OR(BB3=1,BB3=2),BB8-ROUND(BB21*BB8,2),0)+IF(AND(BB3=3,BB6='Inputs'!$B$90),BB38,0),2))</f>
      </c>
      <c r="BD53">
        <f>IF('Inputs'!$B$90="",0,ROUND(IF(BD31="S",'Inputs'!$O$90*BD28,IF(BD31="K",'Inputs'!$L$90*IF('Inputs'!$N$90=1,BD33,BD32),0))+'Inputs'!$Q$90*IF('Inputs'!$S$90=1,BD35+BD37+BD43+BD40,BD34+BD36+BD42+BD39)+SUMPRODUCT(('Inputs'!$F$59:$F$70='Inputs'!$B$90)*('Inputs'!$C$59:$C$70&lt;&gt;"Estate")*('Inputs'!$C$59:$C$70&lt;&gt;""),(('Inputs'!$D$59:$D$70-('Inputs'!$P$59:$P$70=BD5)*BD14)-'Inputs'!$R$59:$R$70*ROUND(BD21*('Inputs'!$D$59:$D$70-('Inputs'!$P$59:$P$70=BD5)*BD14),2)))+IF(OR(BD3=1,BD3=2),BD8-ROUND(BD21*BD8,2),0)+IF(AND(BD3=3,BD6='Inputs'!$B$90),BD38,0),2))</f>
      </c>
      <c r="BE53">
        <f>IF('Inputs'!$B$90="",0,ROUND(IF(BE31="S",'Inputs'!$O$90*BE28,IF(BE31="K",'Inputs'!$L$90*IF('Inputs'!$N$90=1,BE33,BE32),0))+'Inputs'!$Q$90*IF('Inputs'!$S$90=1,BE35+BE37+BE43+BE40,BE34+BE36+BE42+BE39)+SUMPRODUCT(('Inputs'!$F$59:$F$70='Inputs'!$B$90)*('Inputs'!$C$59:$C$70&lt;&gt;"Estate")*('Inputs'!$C$59:$C$70&lt;&gt;""),(('Inputs'!$D$59:$D$70-('Inputs'!$P$59:$P$70=BE5)*BE14)-'Inputs'!$R$59:$R$70*ROUND(BE21*('Inputs'!$D$59:$D$70-('Inputs'!$P$59:$P$70=BE5)*BE14),2)))+IF(OR(BE3=1,BE3=2),BE8-ROUND(BE21*BE8,2),0)+IF(AND(BE3=3,BE6='Inputs'!$B$90),BE38,0),2))</f>
      </c>
      <c r="BF53">
        <f>IF('Inputs'!$B$90="",0,ROUND(IF(BF31="S",'Inputs'!$O$90*BF28,IF(BF31="K",'Inputs'!$L$90*IF('Inputs'!$N$90=1,BF33,BF32),0))+'Inputs'!$Q$90*IF('Inputs'!$S$90=1,BF35+BF37+BF43+BF40,BF34+BF36+BF42+BF39)+SUMPRODUCT(('Inputs'!$F$59:$F$70='Inputs'!$B$90)*('Inputs'!$C$59:$C$70&lt;&gt;"Estate")*('Inputs'!$C$59:$C$70&lt;&gt;""),(('Inputs'!$D$59:$D$70-('Inputs'!$P$59:$P$70=BF5)*BF14)-'Inputs'!$R$59:$R$70*ROUND(BF21*('Inputs'!$D$59:$D$70-('Inputs'!$P$59:$P$70=BF5)*BF14),2)))+IF(OR(BF3=1,BF3=2),BF8-ROUND(BF21*BF8,2),0)+IF(AND(BF3=3,BF6='Inputs'!$B$90),BF38,0),2))</f>
      </c>
      <c r="BG53">
        <f>IF('Inputs'!$B$90="",0,ROUND(IF(BG31="S",'Inputs'!$O$90*BG28,IF(BG31="K",'Inputs'!$L$90*IF('Inputs'!$N$90=1,BG33,BG32),0))+'Inputs'!$Q$90*IF('Inputs'!$S$90=1,BG35+BG37+BG43+BG40,BG34+BG36+BG42+BG39)+SUMPRODUCT(('Inputs'!$F$59:$F$70='Inputs'!$B$90)*('Inputs'!$C$59:$C$70&lt;&gt;"Estate")*('Inputs'!$C$59:$C$70&lt;&gt;""),(('Inputs'!$D$59:$D$70-('Inputs'!$P$59:$P$70=BG5)*BG14)-'Inputs'!$R$59:$R$70*ROUND(BG21*('Inputs'!$D$59:$D$70-('Inputs'!$P$59:$P$70=BG5)*BG14),2)))+IF(OR(BG3=1,BG3=2),BG8-ROUND(BG21*BG8,2),0)+IF(AND(BG3=3,BG6='Inputs'!$B$90),BG38,0),2))</f>
      </c>
      <c r="BH53">
        <f>IF('Inputs'!$B$90="",0,ROUND(IF(BH31="S",'Inputs'!$O$90*BH28,IF(BH31="K",'Inputs'!$L$90*IF('Inputs'!$N$90=1,BH33,BH32),0))+'Inputs'!$Q$90*IF('Inputs'!$S$90=1,BH35+BH37+BH43+BH40,BH34+BH36+BH42+BH39)+SUMPRODUCT(('Inputs'!$F$59:$F$70='Inputs'!$B$90)*('Inputs'!$C$59:$C$70&lt;&gt;"Estate")*('Inputs'!$C$59:$C$70&lt;&gt;""),(('Inputs'!$D$59:$D$70-('Inputs'!$P$59:$P$70=BH5)*BH14)-'Inputs'!$R$59:$R$70*ROUND(BH21*('Inputs'!$D$59:$D$70-('Inputs'!$P$59:$P$70=BH5)*BH14),2)))+IF(OR(BH3=1,BH3=2),BH8-ROUND(BH21*BH8,2),0)+IF(AND(BH3=3,BH6='Inputs'!$B$90),BH38,0),2))</f>
      </c>
      <c r="BI53">
        <f>IF('Inputs'!$B$90="",0,ROUND(IF(BI31="S",'Inputs'!$O$90*BI28,IF(BI31="K",'Inputs'!$L$90*IF('Inputs'!$N$90=1,BI33,BI32),0))+'Inputs'!$Q$90*IF('Inputs'!$S$90=1,BI35+BI37+BI43+BI40,BI34+BI36+BI42+BI39)+SUMPRODUCT(('Inputs'!$F$59:$F$70='Inputs'!$B$90)*('Inputs'!$C$59:$C$70&lt;&gt;"Estate")*('Inputs'!$C$59:$C$70&lt;&gt;""),(('Inputs'!$D$59:$D$70-('Inputs'!$P$59:$P$70=BI5)*BI14)-'Inputs'!$R$59:$R$70*ROUND(BI21*('Inputs'!$D$59:$D$70-('Inputs'!$P$59:$P$70=BI5)*BI14),2)))+IF(OR(BI3=1,BI3=2),BI8-ROUND(BI21*BI8,2),0)+IF(AND(BI3=3,BI6='Inputs'!$B$90),BI38,0),2))</f>
      </c>
      <c r="BJ53">
        <f>IF('Inputs'!$B$90="",0,ROUND(IF(BJ31="S",'Inputs'!$O$90*BJ28,IF(BJ31="K",'Inputs'!$L$90*IF('Inputs'!$N$90=1,BJ33,BJ32),0))+'Inputs'!$Q$90*IF('Inputs'!$S$90=1,BJ35+BJ37+BJ43+BJ40,BJ34+BJ36+BJ42+BJ39)+SUMPRODUCT(('Inputs'!$F$59:$F$70='Inputs'!$B$90)*('Inputs'!$C$59:$C$70&lt;&gt;"Estate")*('Inputs'!$C$59:$C$70&lt;&gt;""),(('Inputs'!$D$59:$D$70-('Inputs'!$P$59:$P$70=BJ5)*BJ14)-'Inputs'!$R$59:$R$70*ROUND(BJ21*('Inputs'!$D$59:$D$70-('Inputs'!$P$59:$P$70=BJ5)*BJ14),2)))+IF(OR(BJ3=1,BJ3=2),BJ8-ROUND(BJ21*BJ8,2),0)+IF(AND(BJ3=3,BJ6='Inputs'!$B$90),BJ38,0),2))</f>
      </c>
      <c r="BK53">
        <f>IF('Inputs'!$B$90="",0,ROUND(IF(BK31="S",'Inputs'!$O$90*BK28,IF(BK31="K",'Inputs'!$L$90*IF('Inputs'!$N$90=1,BK33,BK32),0))+'Inputs'!$Q$90*IF('Inputs'!$S$90=1,BK35+BK37+BK43+BK40,BK34+BK36+BK42+BK39)+SUMPRODUCT(('Inputs'!$F$59:$F$70='Inputs'!$B$90)*('Inputs'!$C$59:$C$70&lt;&gt;"Estate")*('Inputs'!$C$59:$C$70&lt;&gt;""),(('Inputs'!$D$59:$D$70-('Inputs'!$P$59:$P$70=BK5)*BK14)-'Inputs'!$R$59:$R$70*ROUND(BK21*('Inputs'!$D$59:$D$70-('Inputs'!$P$59:$P$70=BK5)*BK14),2)))+IF(OR(BK3=1,BK3=2),BK8-ROUND(BK21*BK8,2),0)+IF(AND(BK3=3,BK6='Inputs'!$B$90),BK38,0),2))</f>
      </c>
      <c r="BL53">
        <f>IF('Inputs'!$B$90="",0,ROUND(IF(BL31="S",'Inputs'!$O$90*BL28,IF(BL31="K",'Inputs'!$L$90*IF('Inputs'!$N$90=1,BL33,BL32),0))+'Inputs'!$Q$90*IF('Inputs'!$S$90=1,BL35+BL37+BL43+BL40,BL34+BL36+BL42+BL39)+SUMPRODUCT(('Inputs'!$F$59:$F$70='Inputs'!$B$90)*('Inputs'!$C$59:$C$70&lt;&gt;"Estate")*('Inputs'!$C$59:$C$70&lt;&gt;""),(('Inputs'!$D$59:$D$70-('Inputs'!$P$59:$P$70=BL5)*BL14)-'Inputs'!$R$59:$R$70*ROUND(BL21*('Inputs'!$D$59:$D$70-('Inputs'!$P$59:$P$70=BL5)*BL14),2)))+IF(OR(BL3=1,BL3=2),BL8-ROUND(BL21*BL8,2),0)+IF(AND(BL3=3,BL6='Inputs'!$B$90),BL38,0),2))</f>
      </c>
      <c r="BM53">
        <f>IF('Inputs'!$B$90="",0,ROUND(IF(BM31="S",'Inputs'!$O$90*BM28,IF(BM31="K",'Inputs'!$L$90*IF('Inputs'!$N$90=1,BM33,BM32),0))+'Inputs'!$Q$90*IF('Inputs'!$S$90=1,BM35+BM37+BM43+BM40,BM34+BM36+BM42+BM39)+SUMPRODUCT(('Inputs'!$F$59:$F$70='Inputs'!$B$90)*('Inputs'!$C$59:$C$70&lt;&gt;"Estate")*('Inputs'!$C$59:$C$70&lt;&gt;""),(('Inputs'!$D$59:$D$70-('Inputs'!$P$59:$P$70=BM5)*BM14)-'Inputs'!$R$59:$R$70*ROUND(BM21*('Inputs'!$D$59:$D$70-('Inputs'!$P$59:$P$70=BM5)*BM14),2)))+IF(OR(BM3=1,BM3=2),BM8-ROUND(BM21*BM8,2),0)+IF(AND(BM3=3,BM6='Inputs'!$B$90),BM38,0),2))</f>
      </c>
      <c r="BN53">
        <f>IF('Inputs'!$B$90="",0,ROUND(IF(BN31="S",'Inputs'!$O$90*BN28,IF(BN31="K",'Inputs'!$L$90*IF('Inputs'!$N$90=1,BN33,BN32),0))+'Inputs'!$Q$90*IF('Inputs'!$S$90=1,BN35+BN37+BN43+BN40,BN34+BN36+BN42+BN39)+SUMPRODUCT(('Inputs'!$F$59:$F$70='Inputs'!$B$90)*('Inputs'!$C$59:$C$70&lt;&gt;"Estate")*('Inputs'!$C$59:$C$70&lt;&gt;""),(('Inputs'!$D$59:$D$70-('Inputs'!$P$59:$P$70=BN5)*BN14)-'Inputs'!$R$59:$R$70*ROUND(BN21*('Inputs'!$D$59:$D$70-('Inputs'!$P$59:$P$70=BN5)*BN14),2)))+IF(OR(BN3=1,BN3=2),BN8-ROUND(BN21*BN8,2),0)+IF(AND(BN3=3,BN6='Inputs'!$B$90),BN38,0),2))</f>
      </c>
      <c r="BO53">
        <f>IF('Inputs'!$B$90="",0,ROUND(IF(BO31="S",'Inputs'!$O$90*BO28,IF(BO31="K",'Inputs'!$L$90*IF('Inputs'!$N$90=1,BO33,BO32),0))+'Inputs'!$Q$90*IF('Inputs'!$S$90=1,BO35+BO37+BO43+BO40,BO34+BO36+BO42+BO39)+SUMPRODUCT(('Inputs'!$F$59:$F$70='Inputs'!$B$90)*('Inputs'!$C$59:$C$70&lt;&gt;"Estate")*('Inputs'!$C$59:$C$70&lt;&gt;""),(('Inputs'!$D$59:$D$70-('Inputs'!$P$59:$P$70=BO5)*BO14)-'Inputs'!$R$59:$R$70*ROUND(BO21*('Inputs'!$D$59:$D$70-('Inputs'!$P$59:$P$70=BO5)*BO14),2)))+IF(OR(BO3=1,BO3=2),BO8-ROUND(BO21*BO8,2),0)+IF(AND(BO3=3,BO6='Inputs'!$B$90),BO38,0),2))</f>
      </c>
      <c r="BP53">
        <f>IF('Inputs'!$B$90="",0,ROUND(IF(BP31="S",'Inputs'!$O$90*BP28,IF(BP31="K",'Inputs'!$L$90*IF('Inputs'!$N$90=1,BP33,BP32),0))+'Inputs'!$Q$90*IF('Inputs'!$S$90=1,BP35+BP37+BP43+BP40,BP34+BP36+BP42+BP39)+SUMPRODUCT(('Inputs'!$F$59:$F$70='Inputs'!$B$90)*('Inputs'!$C$59:$C$70&lt;&gt;"Estate")*('Inputs'!$C$59:$C$70&lt;&gt;""),(('Inputs'!$D$59:$D$70-('Inputs'!$P$59:$P$70=BP5)*BP14)-'Inputs'!$R$59:$R$70*ROUND(BP21*('Inputs'!$D$59:$D$70-('Inputs'!$P$59:$P$70=BP5)*BP14),2)))+IF(OR(BP3=1,BP3=2),BP8-ROUND(BP21*BP8,2),0)+IF(AND(BP3=3,BP6='Inputs'!$B$90),BP38,0),2))</f>
      </c>
      <c r="BQ53">
        <f>IF('Inputs'!$B$90="",0,ROUND(IF(BQ31="S",'Inputs'!$O$90*BQ28,IF(BQ31="K",'Inputs'!$L$90*IF('Inputs'!$N$90=1,BQ33,BQ32),0))+'Inputs'!$Q$90*IF('Inputs'!$S$90=1,BQ35+BQ37+BQ43+BQ40,BQ34+BQ36+BQ42+BQ39)+SUMPRODUCT(('Inputs'!$F$59:$F$70='Inputs'!$B$90)*('Inputs'!$C$59:$C$70&lt;&gt;"Estate")*('Inputs'!$C$59:$C$70&lt;&gt;""),(('Inputs'!$D$59:$D$70-('Inputs'!$P$59:$P$70=BQ5)*BQ14)-'Inputs'!$R$59:$R$70*ROUND(BQ21*('Inputs'!$D$59:$D$70-('Inputs'!$P$59:$P$70=BQ5)*BQ14),2)))+IF(OR(BQ3=1,BQ3=2),BQ8-ROUND(BQ21*BQ8,2),0)+IF(AND(BQ3=3,BQ6='Inputs'!$B$90),BQ38,0),2))</f>
      </c>
      <c r="BR53">
        <f>IF('Inputs'!$B$90="",0,ROUND(IF(BR31="S",'Inputs'!$O$90*BR28,IF(BR31="K",'Inputs'!$L$90*IF('Inputs'!$N$90=1,BR33,BR32),0))+'Inputs'!$Q$90*IF('Inputs'!$S$90=1,BR35+BR37+BR43+BR40,BR34+BR36+BR42+BR39)+SUMPRODUCT(('Inputs'!$F$59:$F$70='Inputs'!$B$90)*('Inputs'!$C$59:$C$70&lt;&gt;"Estate")*('Inputs'!$C$59:$C$70&lt;&gt;""),(('Inputs'!$D$59:$D$70-('Inputs'!$P$59:$P$70=BR5)*BR14)-'Inputs'!$R$59:$R$70*ROUND(BR21*('Inputs'!$D$59:$D$70-('Inputs'!$P$59:$P$70=BR5)*BR14),2)))+IF(OR(BR3=1,BR3=2),BR8-ROUND(BR21*BR8,2),0)+IF(AND(BR3=3,BR6='Inputs'!$B$90),BR38,0),2))</f>
      </c>
      <c r="BS53">
        <f>IF('Inputs'!$B$90="",0,ROUND(IF(BS31="S",'Inputs'!$O$90*BS28,IF(BS31="K",'Inputs'!$L$90*IF('Inputs'!$N$90=1,BS33,BS32),0))+'Inputs'!$Q$90*IF('Inputs'!$S$90=1,BS35+BS37+BS43+BS40,BS34+BS36+BS42+BS39)+SUMPRODUCT(('Inputs'!$F$59:$F$70='Inputs'!$B$90)*('Inputs'!$C$59:$C$70&lt;&gt;"Estate")*('Inputs'!$C$59:$C$70&lt;&gt;""),(('Inputs'!$D$59:$D$70-('Inputs'!$P$59:$P$70=BS5)*BS14)-'Inputs'!$R$59:$R$70*ROUND(BS21*('Inputs'!$D$59:$D$70-('Inputs'!$P$59:$P$70=BS5)*BS14),2)))+IF(OR(BS3=1,BS3=2),BS8-ROUND(BS21*BS8,2),0)+IF(AND(BS3=3,BS6='Inputs'!$B$90),BS38,0),2))</f>
      </c>
    </row>
    <row r="54" spans="2:71" x14ac:dyDescent="0.25">
      <c r="B54" t="s">
        <v>373</v>
      </c>
      <c r="C54">
        <f>'Needs years'!$C$62+'Needs years'!$C$69+C53*('Inputs'!$C$122/100*('Inputs'!$H$110/100+'Inputs'!$C$120/100*'Inputs'!$H$112/100))</f>
      </c>
      <c r="E54">
        <f>'Needs years'!$C$62+'Needs years'!$C$69+E53*('Inputs'!$C$122/100*('Inputs'!$H$110/100+'Inputs'!$C$120/100*'Inputs'!$H$112/100))</f>
      </c>
      <c r="F54">
        <f>'Needs years'!$C$62+'Needs years'!$C$69+F53*('Inputs'!$C$122/100*('Inputs'!$H$110/100+'Inputs'!$C$120/100*'Inputs'!$H$112/100))</f>
      </c>
      <c r="G54">
        <f>'Needs years'!$C$62+'Needs years'!$C$69+G53*('Inputs'!$C$122/100*('Inputs'!$H$110/100+'Inputs'!$C$120/100*'Inputs'!$H$112/100))</f>
      </c>
      <c r="H54">
        <f>'Needs years'!$C$62+'Needs years'!$C$69+H53*('Inputs'!$C$122/100*('Inputs'!$H$110/100+'Inputs'!$C$120/100*'Inputs'!$H$112/100))</f>
      </c>
      <c r="I54">
        <f>'Needs years'!$C$62+'Needs years'!$C$69+I53*('Inputs'!$C$122/100*('Inputs'!$H$110/100+'Inputs'!$C$120/100*'Inputs'!$H$112/100))</f>
      </c>
      <c r="J54">
        <f>'Needs years'!$C$62+'Needs years'!$C$69+J53*('Inputs'!$C$122/100*('Inputs'!$H$110/100+'Inputs'!$C$120/100*'Inputs'!$H$112/100))</f>
      </c>
      <c r="K54">
        <f>'Needs years'!$C$62+'Needs years'!$C$69+K53*('Inputs'!$C$122/100*('Inputs'!$H$110/100+'Inputs'!$C$120/100*'Inputs'!$H$112/100))</f>
      </c>
      <c r="L54">
        <f>'Needs years'!$C$62+'Needs years'!$C$69+L53*('Inputs'!$C$122/100*('Inputs'!$H$110/100+'Inputs'!$C$120/100*'Inputs'!$H$112/100))</f>
      </c>
      <c r="M54">
        <f>'Needs years'!$C$62+'Needs years'!$C$69+M53*('Inputs'!$C$122/100*('Inputs'!$H$110/100+'Inputs'!$C$120/100*'Inputs'!$H$112/100))</f>
      </c>
      <c r="N54">
        <f>'Needs years'!$C$62+'Needs years'!$C$69+N53*('Inputs'!$C$122/100*('Inputs'!$H$110/100+'Inputs'!$C$120/100*'Inputs'!$H$112/100))</f>
      </c>
      <c r="O54">
        <f>'Needs years'!$C$62+'Needs years'!$C$69+O53*('Inputs'!$C$122/100*('Inputs'!$H$110/100+'Inputs'!$C$120/100*'Inputs'!$H$112/100))</f>
      </c>
      <c r="P54">
        <f>'Needs years'!$C$62+'Needs years'!$C$69+P53*('Inputs'!$C$122/100*('Inputs'!$H$110/100+'Inputs'!$C$120/100*'Inputs'!$H$112/100))</f>
      </c>
      <c r="Q54">
        <f>'Needs years'!$C$62+'Needs years'!$C$69+Q53*('Inputs'!$C$122/100*('Inputs'!$H$110/100+'Inputs'!$C$120/100*'Inputs'!$H$112/100))</f>
      </c>
      <c r="R54">
        <f>'Needs years'!$C$62+'Needs years'!$C$69+R53*('Inputs'!$C$122/100*('Inputs'!$H$110/100+'Inputs'!$C$120/100*'Inputs'!$H$112/100))</f>
      </c>
      <c r="S54">
        <f>'Needs years'!$C$62+'Needs years'!$C$69+S53*('Inputs'!$C$122/100*('Inputs'!$H$110/100+'Inputs'!$C$120/100*'Inputs'!$H$112/100))</f>
      </c>
      <c r="T54">
        <f>'Needs years'!$C$62+'Needs years'!$C$69+T53*('Inputs'!$C$122/100*('Inputs'!$H$110/100+'Inputs'!$C$120/100*'Inputs'!$H$112/100))</f>
      </c>
      <c r="V54">
        <f>'Needs years'!$C$62+'Needs years'!$C$69+V53*('Inputs'!$C$122/100*('Inputs'!$H$110/100+'Inputs'!$C$120/100*'Inputs'!$H$112/100))</f>
      </c>
      <c r="W54">
        <f>'Needs years'!$C$62+'Needs years'!$C$69+W53*('Inputs'!$C$122/100*('Inputs'!$H$110/100+'Inputs'!$C$120/100*'Inputs'!$H$112/100))</f>
      </c>
      <c r="X54">
        <f>'Needs years'!$C$62+'Needs years'!$C$69+X53*('Inputs'!$C$122/100*('Inputs'!$H$110/100+'Inputs'!$C$120/100*'Inputs'!$H$112/100))</f>
      </c>
      <c r="Y54">
        <f>'Needs years'!$C$62+'Needs years'!$C$69+Y53*('Inputs'!$C$122/100*('Inputs'!$H$110/100+'Inputs'!$C$120/100*'Inputs'!$H$112/100))</f>
      </c>
      <c r="Z54">
        <f>'Needs years'!$C$62+'Needs years'!$C$69+Z53*('Inputs'!$C$122/100*('Inputs'!$H$110/100+'Inputs'!$C$120/100*'Inputs'!$H$112/100))</f>
      </c>
      <c r="AA54">
        <f>'Needs years'!$C$62+'Needs years'!$C$69+AA53*('Inputs'!$C$122/100*('Inputs'!$H$110/100+'Inputs'!$C$120/100*'Inputs'!$H$112/100))</f>
      </c>
      <c r="AB54">
        <f>'Needs years'!$C$62+'Needs years'!$C$69+AB53*('Inputs'!$C$122/100*('Inputs'!$H$110/100+'Inputs'!$C$120/100*'Inputs'!$H$112/100))</f>
      </c>
      <c r="AC54">
        <f>'Needs years'!$C$62+'Needs years'!$C$69+AC53*('Inputs'!$C$122/100*('Inputs'!$H$110/100+'Inputs'!$C$120/100*'Inputs'!$H$112/100))</f>
      </c>
      <c r="AD54">
        <f>'Needs years'!$C$62+'Needs years'!$C$69+AD53*('Inputs'!$C$122/100*('Inputs'!$H$110/100+'Inputs'!$C$120/100*'Inputs'!$H$112/100))</f>
      </c>
      <c r="AE54">
        <f>'Needs years'!$C$62+'Needs years'!$C$69+AE53*('Inputs'!$C$122/100*('Inputs'!$H$110/100+'Inputs'!$C$120/100*'Inputs'!$H$112/100))</f>
      </c>
      <c r="AF54">
        <f>'Needs years'!$C$62+'Needs years'!$C$69+AF53*('Inputs'!$C$122/100*('Inputs'!$H$110/100+'Inputs'!$C$120/100*'Inputs'!$H$112/100))</f>
      </c>
      <c r="AG54">
        <f>'Needs years'!$C$62+'Needs years'!$C$69+AG53*('Inputs'!$C$122/100*('Inputs'!$H$110/100+'Inputs'!$C$120/100*'Inputs'!$H$112/100))</f>
      </c>
      <c r="AH54">
        <f>'Needs years'!$C$62+'Needs years'!$C$69+AH53*('Inputs'!$C$122/100*('Inputs'!$H$110/100+'Inputs'!$C$120/100*'Inputs'!$H$112/100))</f>
      </c>
      <c r="AI54">
        <f>'Needs years'!$C$62+'Needs years'!$C$69+AI53*('Inputs'!$C$122/100*('Inputs'!$H$110/100+'Inputs'!$C$120/100*'Inputs'!$H$112/100))</f>
      </c>
      <c r="AJ54">
        <f>'Needs years'!$C$62+'Needs years'!$C$69+AJ53*('Inputs'!$C$122/100*('Inputs'!$H$110/100+'Inputs'!$C$120/100*'Inputs'!$H$112/100))</f>
      </c>
      <c r="AK54">
        <f>'Needs years'!$C$62+'Needs years'!$C$69+AK53*('Inputs'!$C$122/100*('Inputs'!$H$110/100+'Inputs'!$C$120/100*'Inputs'!$H$112/100))</f>
      </c>
      <c r="AM54">
        <f>'Needs years'!$C$62+'Needs years'!$C$69+AM53*('Inputs'!$C$122/100*('Inputs'!$H$110/100+'Inputs'!$C$120/100*'Inputs'!$H$112/100))</f>
      </c>
      <c r="AN54">
        <f>'Needs years'!$C$62+'Needs years'!$C$69+AN53*('Inputs'!$C$122/100*('Inputs'!$H$110/100+'Inputs'!$C$120/100*'Inputs'!$H$112/100))</f>
      </c>
      <c r="AO54">
        <f>'Needs years'!$C$62+'Needs years'!$C$69+AO53*('Inputs'!$C$122/100*('Inputs'!$H$110/100+'Inputs'!$C$120/100*'Inputs'!$H$112/100))</f>
      </c>
      <c r="AP54">
        <f>'Needs years'!$C$62+'Needs years'!$C$69+AP53*('Inputs'!$C$122/100*('Inputs'!$H$110/100+'Inputs'!$C$120/100*'Inputs'!$H$112/100))</f>
      </c>
      <c r="AQ54">
        <f>'Needs years'!$C$62+'Needs years'!$C$69+AQ53*('Inputs'!$C$122/100*('Inputs'!$H$110/100+'Inputs'!$C$120/100*'Inputs'!$H$112/100))</f>
      </c>
      <c r="AR54">
        <f>'Needs years'!$C$62+'Needs years'!$C$69+AR53*('Inputs'!$C$122/100*('Inputs'!$H$110/100+'Inputs'!$C$120/100*'Inputs'!$H$112/100))</f>
      </c>
      <c r="AS54">
        <f>'Needs years'!$C$62+'Needs years'!$C$69+AS53*('Inputs'!$C$122/100*('Inputs'!$H$110/100+'Inputs'!$C$120/100*'Inputs'!$H$112/100))</f>
      </c>
      <c r="AT54">
        <f>'Needs years'!$C$62+'Needs years'!$C$69+AT53*('Inputs'!$C$122/100*('Inputs'!$H$110/100+'Inputs'!$C$120/100*'Inputs'!$H$112/100))</f>
      </c>
      <c r="AU54">
        <f>'Needs years'!$C$62+'Needs years'!$C$69+AU53*('Inputs'!$C$122/100*('Inputs'!$H$110/100+'Inputs'!$C$120/100*'Inputs'!$H$112/100))</f>
      </c>
      <c r="AV54">
        <f>'Needs years'!$C$62+'Needs years'!$C$69+AV53*('Inputs'!$C$122/100*('Inputs'!$H$110/100+'Inputs'!$C$120/100*'Inputs'!$H$112/100))</f>
      </c>
      <c r="AW54">
        <f>'Needs years'!$C$62+'Needs years'!$C$69+AW53*('Inputs'!$C$122/100*('Inputs'!$H$110/100+'Inputs'!$C$120/100*'Inputs'!$H$112/100))</f>
      </c>
      <c r="AX54">
        <f>'Needs years'!$C$62+'Needs years'!$C$69+AX53*('Inputs'!$C$122/100*('Inputs'!$H$110/100+'Inputs'!$C$120/100*'Inputs'!$H$112/100))</f>
      </c>
      <c r="AY54">
        <f>'Needs years'!$C$62+'Needs years'!$C$69+AY53*('Inputs'!$C$122/100*('Inputs'!$H$110/100+'Inputs'!$C$120/100*'Inputs'!$H$112/100))</f>
      </c>
      <c r="AZ54">
        <f>'Needs years'!$C$62+'Needs years'!$C$69+AZ53*('Inputs'!$C$122/100*('Inputs'!$H$110/100+'Inputs'!$C$120/100*'Inputs'!$H$112/100))</f>
      </c>
      <c r="BA54">
        <f>'Needs years'!$C$62+'Needs years'!$C$69+BA53*('Inputs'!$C$122/100*('Inputs'!$H$110/100+'Inputs'!$C$120/100*'Inputs'!$H$112/100))</f>
      </c>
      <c r="BB54">
        <f>'Needs years'!$C$62+'Needs years'!$C$69+BB53*('Inputs'!$C$122/100*('Inputs'!$H$110/100+'Inputs'!$C$120/100*'Inputs'!$H$112/100))</f>
      </c>
      <c r="BD54">
        <f>'Needs years'!$C$62+'Needs years'!$C$69+BD53*('Inputs'!$C$122/100*('Inputs'!$H$110/100+'Inputs'!$C$120/100*'Inputs'!$H$112/100))</f>
      </c>
      <c r="BE54">
        <f>'Needs years'!$C$62+'Needs years'!$C$69+BE53*('Inputs'!$C$122/100*('Inputs'!$H$110/100+'Inputs'!$C$120/100*'Inputs'!$H$112/100))</f>
      </c>
      <c r="BF54">
        <f>'Needs years'!$C$62+'Needs years'!$C$69+BF53*('Inputs'!$C$122/100*('Inputs'!$H$110/100+'Inputs'!$C$120/100*'Inputs'!$H$112/100))</f>
      </c>
      <c r="BG54">
        <f>'Needs years'!$C$62+'Needs years'!$C$69+BG53*('Inputs'!$C$122/100*('Inputs'!$H$110/100+'Inputs'!$C$120/100*'Inputs'!$H$112/100))</f>
      </c>
      <c r="BH54">
        <f>'Needs years'!$C$62+'Needs years'!$C$69+BH53*('Inputs'!$C$122/100*('Inputs'!$H$110/100+'Inputs'!$C$120/100*'Inputs'!$H$112/100))</f>
      </c>
      <c r="BI54">
        <f>'Needs years'!$C$62+'Needs years'!$C$69+BI53*('Inputs'!$C$122/100*('Inputs'!$H$110/100+'Inputs'!$C$120/100*'Inputs'!$H$112/100))</f>
      </c>
      <c r="BJ54">
        <f>'Needs years'!$C$62+'Needs years'!$C$69+BJ53*('Inputs'!$C$122/100*('Inputs'!$H$110/100+'Inputs'!$C$120/100*'Inputs'!$H$112/100))</f>
      </c>
      <c r="BK54">
        <f>'Needs years'!$C$62+'Needs years'!$C$69+BK53*('Inputs'!$C$122/100*('Inputs'!$H$110/100+'Inputs'!$C$120/100*'Inputs'!$H$112/100))</f>
      </c>
      <c r="BL54">
        <f>'Needs years'!$C$62+'Needs years'!$C$69+BL53*('Inputs'!$C$122/100*('Inputs'!$H$110/100+'Inputs'!$C$120/100*'Inputs'!$H$112/100))</f>
      </c>
      <c r="BM54">
        <f>'Needs years'!$C$62+'Needs years'!$C$69+BM53*('Inputs'!$C$122/100*('Inputs'!$H$110/100+'Inputs'!$C$120/100*'Inputs'!$H$112/100))</f>
      </c>
      <c r="BN54">
        <f>'Needs years'!$C$62+'Needs years'!$C$69+BN53*('Inputs'!$C$122/100*('Inputs'!$H$110/100+'Inputs'!$C$120/100*'Inputs'!$H$112/100))</f>
      </c>
      <c r="BO54">
        <f>'Needs years'!$C$62+'Needs years'!$C$69+BO53*('Inputs'!$C$122/100*('Inputs'!$H$110/100+'Inputs'!$C$120/100*'Inputs'!$H$112/100))</f>
      </c>
      <c r="BP54">
        <f>'Needs years'!$C$62+'Needs years'!$C$69+BP53*('Inputs'!$C$122/100*('Inputs'!$H$110/100+'Inputs'!$C$120/100*'Inputs'!$H$112/100))</f>
      </c>
      <c r="BQ54">
        <f>'Needs years'!$C$62+'Needs years'!$C$69+BQ53*('Inputs'!$C$122/100*('Inputs'!$H$110/100+'Inputs'!$C$120/100*'Inputs'!$H$112/100))</f>
      </c>
      <c r="BR54">
        <f>'Needs years'!$C$62+'Needs years'!$C$69+BR53*('Inputs'!$C$122/100*('Inputs'!$H$110/100+'Inputs'!$C$120/100*'Inputs'!$H$112/100))</f>
      </c>
      <c r="BS54">
        <f>'Needs years'!$C$62+'Needs years'!$C$69+BS53*('Inputs'!$C$122/100*('Inputs'!$H$110/100+'Inputs'!$C$120/100*'Inputs'!$H$112/100))</f>
      </c>
    </row>
    <row r="55" spans="2:71" x14ac:dyDescent="0.25">
      <c r="B55" t="s">
        <v>374</v>
      </c>
      <c r="C55">
        <f>IF(C54&lt;='Needs years'!$C$61,0,INDEX('Inputs'!$E$125:$E$131,MATCH(C54,'Inputs'!$C$125:$C$131,1)-IF(COUNTIF('Inputs'!$C$125:$C$131,C54)&gt;0,1,0))/100)</f>
      </c>
      <c r="E55">
        <f>IF(E54&lt;='Needs years'!$C$61,0,INDEX('Inputs'!$E$125:$E$131,MATCH(E54,'Inputs'!$C$125:$C$131,1)-IF(COUNTIF('Inputs'!$C$125:$C$131,E54)&gt;0,1,0))/100)</f>
      </c>
      <c r="F55">
        <f>IF(F54&lt;='Needs years'!$C$61,0,INDEX('Inputs'!$E$125:$E$131,MATCH(F54,'Inputs'!$C$125:$C$131,1)-IF(COUNTIF('Inputs'!$C$125:$C$131,F54)&gt;0,1,0))/100)</f>
      </c>
      <c r="G55">
        <f>IF(G54&lt;='Needs years'!$C$61,0,INDEX('Inputs'!$E$125:$E$131,MATCH(G54,'Inputs'!$C$125:$C$131,1)-IF(COUNTIF('Inputs'!$C$125:$C$131,G54)&gt;0,1,0))/100)</f>
      </c>
      <c r="H55">
        <f>IF(H54&lt;='Needs years'!$C$61,0,INDEX('Inputs'!$E$125:$E$131,MATCH(H54,'Inputs'!$C$125:$C$131,1)-IF(COUNTIF('Inputs'!$C$125:$C$131,H54)&gt;0,1,0))/100)</f>
      </c>
      <c r="I55">
        <f>IF(I54&lt;='Needs years'!$C$61,0,INDEX('Inputs'!$E$125:$E$131,MATCH(I54,'Inputs'!$C$125:$C$131,1)-IF(COUNTIF('Inputs'!$C$125:$C$131,I54)&gt;0,1,0))/100)</f>
      </c>
      <c r="J55">
        <f>IF(J54&lt;='Needs years'!$C$61,0,INDEX('Inputs'!$E$125:$E$131,MATCH(J54,'Inputs'!$C$125:$C$131,1)-IF(COUNTIF('Inputs'!$C$125:$C$131,J54)&gt;0,1,0))/100)</f>
      </c>
      <c r="K55">
        <f>IF(K54&lt;='Needs years'!$C$61,0,INDEX('Inputs'!$E$125:$E$131,MATCH(K54,'Inputs'!$C$125:$C$131,1)-IF(COUNTIF('Inputs'!$C$125:$C$131,K54)&gt;0,1,0))/100)</f>
      </c>
      <c r="L55">
        <f>IF(L54&lt;='Needs years'!$C$61,0,INDEX('Inputs'!$E$125:$E$131,MATCH(L54,'Inputs'!$C$125:$C$131,1)-IF(COUNTIF('Inputs'!$C$125:$C$131,L54)&gt;0,1,0))/100)</f>
      </c>
      <c r="M55">
        <f>IF(M54&lt;='Needs years'!$C$61,0,INDEX('Inputs'!$E$125:$E$131,MATCH(M54,'Inputs'!$C$125:$C$131,1)-IF(COUNTIF('Inputs'!$C$125:$C$131,M54)&gt;0,1,0))/100)</f>
      </c>
      <c r="N55">
        <f>IF(N54&lt;='Needs years'!$C$61,0,INDEX('Inputs'!$E$125:$E$131,MATCH(N54,'Inputs'!$C$125:$C$131,1)-IF(COUNTIF('Inputs'!$C$125:$C$131,N54)&gt;0,1,0))/100)</f>
      </c>
      <c r="O55">
        <f>IF(O54&lt;='Needs years'!$C$61,0,INDEX('Inputs'!$E$125:$E$131,MATCH(O54,'Inputs'!$C$125:$C$131,1)-IF(COUNTIF('Inputs'!$C$125:$C$131,O54)&gt;0,1,0))/100)</f>
      </c>
      <c r="P55">
        <f>IF(P54&lt;='Needs years'!$C$61,0,INDEX('Inputs'!$E$125:$E$131,MATCH(P54,'Inputs'!$C$125:$C$131,1)-IF(COUNTIF('Inputs'!$C$125:$C$131,P54)&gt;0,1,0))/100)</f>
      </c>
      <c r="Q55">
        <f>IF(Q54&lt;='Needs years'!$C$61,0,INDEX('Inputs'!$E$125:$E$131,MATCH(Q54,'Inputs'!$C$125:$C$131,1)-IF(COUNTIF('Inputs'!$C$125:$C$131,Q54)&gt;0,1,0))/100)</f>
      </c>
      <c r="R55">
        <f>IF(R54&lt;='Needs years'!$C$61,0,INDEX('Inputs'!$E$125:$E$131,MATCH(R54,'Inputs'!$C$125:$C$131,1)-IF(COUNTIF('Inputs'!$C$125:$C$131,R54)&gt;0,1,0))/100)</f>
      </c>
      <c r="S55">
        <f>IF(S54&lt;='Needs years'!$C$61,0,INDEX('Inputs'!$E$125:$E$131,MATCH(S54,'Inputs'!$C$125:$C$131,1)-IF(COUNTIF('Inputs'!$C$125:$C$131,S54)&gt;0,1,0))/100)</f>
      </c>
      <c r="T55">
        <f>IF(T54&lt;='Needs years'!$C$61,0,INDEX('Inputs'!$E$125:$E$131,MATCH(T54,'Inputs'!$C$125:$C$131,1)-IF(COUNTIF('Inputs'!$C$125:$C$131,T54)&gt;0,1,0))/100)</f>
      </c>
      <c r="V55">
        <f>IF(V54&lt;='Needs years'!$C$61,0,INDEX('Inputs'!$E$125:$E$131,MATCH(V54,'Inputs'!$C$125:$C$131,1)-IF(COUNTIF('Inputs'!$C$125:$C$131,V54)&gt;0,1,0))/100)</f>
      </c>
      <c r="W55">
        <f>IF(W54&lt;='Needs years'!$C$61,0,INDEX('Inputs'!$E$125:$E$131,MATCH(W54,'Inputs'!$C$125:$C$131,1)-IF(COUNTIF('Inputs'!$C$125:$C$131,W54)&gt;0,1,0))/100)</f>
      </c>
      <c r="X55">
        <f>IF(X54&lt;='Needs years'!$C$61,0,INDEX('Inputs'!$E$125:$E$131,MATCH(X54,'Inputs'!$C$125:$C$131,1)-IF(COUNTIF('Inputs'!$C$125:$C$131,X54)&gt;0,1,0))/100)</f>
      </c>
      <c r="Y55">
        <f>IF(Y54&lt;='Needs years'!$C$61,0,INDEX('Inputs'!$E$125:$E$131,MATCH(Y54,'Inputs'!$C$125:$C$131,1)-IF(COUNTIF('Inputs'!$C$125:$C$131,Y54)&gt;0,1,0))/100)</f>
      </c>
      <c r="Z55">
        <f>IF(Z54&lt;='Needs years'!$C$61,0,INDEX('Inputs'!$E$125:$E$131,MATCH(Z54,'Inputs'!$C$125:$C$131,1)-IF(COUNTIF('Inputs'!$C$125:$C$131,Z54)&gt;0,1,0))/100)</f>
      </c>
      <c r="AA55">
        <f>IF(AA54&lt;='Needs years'!$C$61,0,INDEX('Inputs'!$E$125:$E$131,MATCH(AA54,'Inputs'!$C$125:$C$131,1)-IF(COUNTIF('Inputs'!$C$125:$C$131,AA54)&gt;0,1,0))/100)</f>
      </c>
      <c r="AB55">
        <f>IF(AB54&lt;='Needs years'!$C$61,0,INDEX('Inputs'!$E$125:$E$131,MATCH(AB54,'Inputs'!$C$125:$C$131,1)-IF(COUNTIF('Inputs'!$C$125:$C$131,AB54)&gt;0,1,0))/100)</f>
      </c>
      <c r="AC55">
        <f>IF(AC54&lt;='Needs years'!$C$61,0,INDEX('Inputs'!$E$125:$E$131,MATCH(AC54,'Inputs'!$C$125:$C$131,1)-IF(COUNTIF('Inputs'!$C$125:$C$131,AC54)&gt;0,1,0))/100)</f>
      </c>
      <c r="AD55">
        <f>IF(AD54&lt;='Needs years'!$C$61,0,INDEX('Inputs'!$E$125:$E$131,MATCH(AD54,'Inputs'!$C$125:$C$131,1)-IF(COUNTIF('Inputs'!$C$125:$C$131,AD54)&gt;0,1,0))/100)</f>
      </c>
      <c r="AE55">
        <f>IF(AE54&lt;='Needs years'!$C$61,0,INDEX('Inputs'!$E$125:$E$131,MATCH(AE54,'Inputs'!$C$125:$C$131,1)-IF(COUNTIF('Inputs'!$C$125:$C$131,AE54)&gt;0,1,0))/100)</f>
      </c>
      <c r="AF55">
        <f>IF(AF54&lt;='Needs years'!$C$61,0,INDEX('Inputs'!$E$125:$E$131,MATCH(AF54,'Inputs'!$C$125:$C$131,1)-IF(COUNTIF('Inputs'!$C$125:$C$131,AF54)&gt;0,1,0))/100)</f>
      </c>
      <c r="AG55">
        <f>IF(AG54&lt;='Needs years'!$C$61,0,INDEX('Inputs'!$E$125:$E$131,MATCH(AG54,'Inputs'!$C$125:$C$131,1)-IF(COUNTIF('Inputs'!$C$125:$C$131,AG54)&gt;0,1,0))/100)</f>
      </c>
      <c r="AH55">
        <f>IF(AH54&lt;='Needs years'!$C$61,0,INDEX('Inputs'!$E$125:$E$131,MATCH(AH54,'Inputs'!$C$125:$C$131,1)-IF(COUNTIF('Inputs'!$C$125:$C$131,AH54)&gt;0,1,0))/100)</f>
      </c>
      <c r="AI55">
        <f>IF(AI54&lt;='Needs years'!$C$61,0,INDEX('Inputs'!$E$125:$E$131,MATCH(AI54,'Inputs'!$C$125:$C$131,1)-IF(COUNTIF('Inputs'!$C$125:$C$131,AI54)&gt;0,1,0))/100)</f>
      </c>
      <c r="AJ55">
        <f>IF(AJ54&lt;='Needs years'!$C$61,0,INDEX('Inputs'!$E$125:$E$131,MATCH(AJ54,'Inputs'!$C$125:$C$131,1)-IF(COUNTIF('Inputs'!$C$125:$C$131,AJ54)&gt;0,1,0))/100)</f>
      </c>
      <c r="AK55">
        <f>IF(AK54&lt;='Needs years'!$C$61,0,INDEX('Inputs'!$E$125:$E$131,MATCH(AK54,'Inputs'!$C$125:$C$131,1)-IF(COUNTIF('Inputs'!$C$125:$C$131,AK54)&gt;0,1,0))/100)</f>
      </c>
      <c r="AM55">
        <f>IF(AM54&lt;='Needs years'!$C$61,0,INDEX('Inputs'!$E$125:$E$131,MATCH(AM54,'Inputs'!$C$125:$C$131,1)-IF(COUNTIF('Inputs'!$C$125:$C$131,AM54)&gt;0,1,0))/100)</f>
      </c>
      <c r="AN55">
        <f>IF(AN54&lt;='Needs years'!$C$61,0,INDEX('Inputs'!$E$125:$E$131,MATCH(AN54,'Inputs'!$C$125:$C$131,1)-IF(COUNTIF('Inputs'!$C$125:$C$131,AN54)&gt;0,1,0))/100)</f>
      </c>
      <c r="AO55">
        <f>IF(AO54&lt;='Needs years'!$C$61,0,INDEX('Inputs'!$E$125:$E$131,MATCH(AO54,'Inputs'!$C$125:$C$131,1)-IF(COUNTIF('Inputs'!$C$125:$C$131,AO54)&gt;0,1,0))/100)</f>
      </c>
      <c r="AP55">
        <f>IF(AP54&lt;='Needs years'!$C$61,0,INDEX('Inputs'!$E$125:$E$131,MATCH(AP54,'Inputs'!$C$125:$C$131,1)-IF(COUNTIF('Inputs'!$C$125:$C$131,AP54)&gt;0,1,0))/100)</f>
      </c>
      <c r="AQ55">
        <f>IF(AQ54&lt;='Needs years'!$C$61,0,INDEX('Inputs'!$E$125:$E$131,MATCH(AQ54,'Inputs'!$C$125:$C$131,1)-IF(COUNTIF('Inputs'!$C$125:$C$131,AQ54)&gt;0,1,0))/100)</f>
      </c>
      <c r="AR55">
        <f>IF(AR54&lt;='Needs years'!$C$61,0,INDEX('Inputs'!$E$125:$E$131,MATCH(AR54,'Inputs'!$C$125:$C$131,1)-IF(COUNTIF('Inputs'!$C$125:$C$131,AR54)&gt;0,1,0))/100)</f>
      </c>
      <c r="AS55">
        <f>IF(AS54&lt;='Needs years'!$C$61,0,INDEX('Inputs'!$E$125:$E$131,MATCH(AS54,'Inputs'!$C$125:$C$131,1)-IF(COUNTIF('Inputs'!$C$125:$C$131,AS54)&gt;0,1,0))/100)</f>
      </c>
      <c r="AT55">
        <f>IF(AT54&lt;='Needs years'!$C$61,0,INDEX('Inputs'!$E$125:$E$131,MATCH(AT54,'Inputs'!$C$125:$C$131,1)-IF(COUNTIF('Inputs'!$C$125:$C$131,AT54)&gt;0,1,0))/100)</f>
      </c>
      <c r="AU55">
        <f>IF(AU54&lt;='Needs years'!$C$61,0,INDEX('Inputs'!$E$125:$E$131,MATCH(AU54,'Inputs'!$C$125:$C$131,1)-IF(COUNTIF('Inputs'!$C$125:$C$131,AU54)&gt;0,1,0))/100)</f>
      </c>
      <c r="AV55">
        <f>IF(AV54&lt;='Needs years'!$C$61,0,INDEX('Inputs'!$E$125:$E$131,MATCH(AV54,'Inputs'!$C$125:$C$131,1)-IF(COUNTIF('Inputs'!$C$125:$C$131,AV54)&gt;0,1,0))/100)</f>
      </c>
      <c r="AW55">
        <f>IF(AW54&lt;='Needs years'!$C$61,0,INDEX('Inputs'!$E$125:$E$131,MATCH(AW54,'Inputs'!$C$125:$C$131,1)-IF(COUNTIF('Inputs'!$C$125:$C$131,AW54)&gt;0,1,0))/100)</f>
      </c>
      <c r="AX55">
        <f>IF(AX54&lt;='Needs years'!$C$61,0,INDEX('Inputs'!$E$125:$E$131,MATCH(AX54,'Inputs'!$C$125:$C$131,1)-IF(COUNTIF('Inputs'!$C$125:$C$131,AX54)&gt;0,1,0))/100)</f>
      </c>
      <c r="AY55">
        <f>IF(AY54&lt;='Needs years'!$C$61,0,INDEX('Inputs'!$E$125:$E$131,MATCH(AY54,'Inputs'!$C$125:$C$131,1)-IF(COUNTIF('Inputs'!$C$125:$C$131,AY54)&gt;0,1,0))/100)</f>
      </c>
      <c r="AZ55">
        <f>IF(AZ54&lt;='Needs years'!$C$61,0,INDEX('Inputs'!$E$125:$E$131,MATCH(AZ54,'Inputs'!$C$125:$C$131,1)-IF(COUNTIF('Inputs'!$C$125:$C$131,AZ54)&gt;0,1,0))/100)</f>
      </c>
      <c r="BA55">
        <f>IF(BA54&lt;='Needs years'!$C$61,0,INDEX('Inputs'!$E$125:$E$131,MATCH(BA54,'Inputs'!$C$125:$C$131,1)-IF(COUNTIF('Inputs'!$C$125:$C$131,BA54)&gt;0,1,0))/100)</f>
      </c>
      <c r="BB55">
        <f>IF(BB54&lt;='Needs years'!$C$61,0,INDEX('Inputs'!$E$125:$E$131,MATCH(BB54,'Inputs'!$C$125:$C$131,1)-IF(COUNTIF('Inputs'!$C$125:$C$131,BB54)&gt;0,1,0))/100)</f>
      </c>
      <c r="BD55">
        <f>IF(BD54&lt;='Needs years'!$C$61,0,INDEX('Inputs'!$E$125:$E$131,MATCH(BD54,'Inputs'!$C$125:$C$131,1)-IF(COUNTIF('Inputs'!$C$125:$C$131,BD54)&gt;0,1,0))/100)</f>
      </c>
      <c r="BE55">
        <f>IF(BE54&lt;='Needs years'!$C$61,0,INDEX('Inputs'!$E$125:$E$131,MATCH(BE54,'Inputs'!$C$125:$C$131,1)-IF(COUNTIF('Inputs'!$C$125:$C$131,BE54)&gt;0,1,0))/100)</f>
      </c>
      <c r="BF55">
        <f>IF(BF54&lt;='Needs years'!$C$61,0,INDEX('Inputs'!$E$125:$E$131,MATCH(BF54,'Inputs'!$C$125:$C$131,1)-IF(COUNTIF('Inputs'!$C$125:$C$131,BF54)&gt;0,1,0))/100)</f>
      </c>
      <c r="BG55">
        <f>IF(BG54&lt;='Needs years'!$C$61,0,INDEX('Inputs'!$E$125:$E$131,MATCH(BG54,'Inputs'!$C$125:$C$131,1)-IF(COUNTIF('Inputs'!$C$125:$C$131,BG54)&gt;0,1,0))/100)</f>
      </c>
      <c r="BH55">
        <f>IF(BH54&lt;='Needs years'!$C$61,0,INDEX('Inputs'!$E$125:$E$131,MATCH(BH54,'Inputs'!$C$125:$C$131,1)-IF(COUNTIF('Inputs'!$C$125:$C$131,BH54)&gt;0,1,0))/100)</f>
      </c>
      <c r="BI55">
        <f>IF(BI54&lt;='Needs years'!$C$61,0,INDEX('Inputs'!$E$125:$E$131,MATCH(BI54,'Inputs'!$C$125:$C$131,1)-IF(COUNTIF('Inputs'!$C$125:$C$131,BI54)&gt;0,1,0))/100)</f>
      </c>
      <c r="BJ55">
        <f>IF(BJ54&lt;='Needs years'!$C$61,0,INDEX('Inputs'!$E$125:$E$131,MATCH(BJ54,'Inputs'!$C$125:$C$131,1)-IF(COUNTIF('Inputs'!$C$125:$C$131,BJ54)&gt;0,1,0))/100)</f>
      </c>
      <c r="BK55">
        <f>IF(BK54&lt;='Needs years'!$C$61,0,INDEX('Inputs'!$E$125:$E$131,MATCH(BK54,'Inputs'!$C$125:$C$131,1)-IF(COUNTIF('Inputs'!$C$125:$C$131,BK54)&gt;0,1,0))/100)</f>
      </c>
      <c r="BL55">
        <f>IF(BL54&lt;='Needs years'!$C$61,0,INDEX('Inputs'!$E$125:$E$131,MATCH(BL54,'Inputs'!$C$125:$C$131,1)-IF(COUNTIF('Inputs'!$C$125:$C$131,BL54)&gt;0,1,0))/100)</f>
      </c>
      <c r="BM55">
        <f>IF(BM54&lt;='Needs years'!$C$61,0,INDEX('Inputs'!$E$125:$E$131,MATCH(BM54,'Inputs'!$C$125:$C$131,1)-IF(COUNTIF('Inputs'!$C$125:$C$131,BM54)&gt;0,1,0))/100)</f>
      </c>
      <c r="BN55">
        <f>IF(BN54&lt;='Needs years'!$C$61,0,INDEX('Inputs'!$E$125:$E$131,MATCH(BN54,'Inputs'!$C$125:$C$131,1)-IF(COUNTIF('Inputs'!$C$125:$C$131,BN54)&gt;0,1,0))/100)</f>
      </c>
      <c r="BO55">
        <f>IF(BO54&lt;='Needs years'!$C$61,0,INDEX('Inputs'!$E$125:$E$131,MATCH(BO54,'Inputs'!$C$125:$C$131,1)-IF(COUNTIF('Inputs'!$C$125:$C$131,BO54)&gt;0,1,0))/100)</f>
      </c>
      <c r="BP55">
        <f>IF(BP54&lt;='Needs years'!$C$61,0,INDEX('Inputs'!$E$125:$E$131,MATCH(BP54,'Inputs'!$C$125:$C$131,1)-IF(COUNTIF('Inputs'!$C$125:$C$131,BP54)&gt;0,1,0))/100)</f>
      </c>
      <c r="BQ55">
        <f>IF(BQ54&lt;='Needs years'!$C$61,0,INDEX('Inputs'!$E$125:$E$131,MATCH(BQ54,'Inputs'!$C$125:$C$131,1)-IF(COUNTIF('Inputs'!$C$125:$C$131,BQ54)&gt;0,1,0))/100)</f>
      </c>
      <c r="BR55">
        <f>IF(BR54&lt;='Needs years'!$C$61,0,INDEX('Inputs'!$E$125:$E$131,MATCH(BR54,'Inputs'!$C$125:$C$131,1)-IF(COUNTIF('Inputs'!$C$125:$C$131,BR54)&gt;0,1,0))/100)</f>
      </c>
      <c r="BS55">
        <f>IF(BS54&lt;='Needs years'!$C$61,0,INDEX('Inputs'!$E$125:$E$131,MATCH(BS54,'Inputs'!$C$125:$C$131,1)-IF(COUNTIF('Inputs'!$C$125:$C$131,BS54)&gt;0,1,0))/100)</f>
      </c>
    </row>
    <row r="56" spans="2:71" x14ac:dyDescent="0.25">
      <c r="B56" t="s">
        <v>375</v>
      </c>
      <c r="C56">
        <f>('Inputs'!$C$122/100*(1-('Inputs'!$H$110/100*C55+'Inputs'!$H$111/100*'Inputs'!$H$113/100+'Inputs'!$H$112/100*'Inputs'!$C$120/100*C55))-IF('Needs years'!$C$67=1,'Inputs'!$H$108/100,0))</f>
      </c>
      <c r="E56">
        <f>('Inputs'!$C$122/100*(1-('Inputs'!$H$110/100*E55+'Inputs'!$H$111/100*'Inputs'!$H$113/100+'Inputs'!$H$112/100*'Inputs'!$C$120/100*E55))-IF('Needs years'!$C$67=1,'Inputs'!$H$108/100,0))</f>
      </c>
      <c r="F56">
        <f>('Inputs'!$C$122/100*(1-('Inputs'!$H$110/100*F55+'Inputs'!$H$111/100*'Inputs'!$H$113/100+'Inputs'!$H$112/100*'Inputs'!$C$120/100*F55))-IF('Needs years'!$C$67=1,'Inputs'!$H$108/100,0))</f>
      </c>
      <c r="G56">
        <f>('Inputs'!$C$122/100*(1-('Inputs'!$H$110/100*G55+'Inputs'!$H$111/100*'Inputs'!$H$113/100+'Inputs'!$H$112/100*'Inputs'!$C$120/100*G55))-IF('Needs years'!$C$67=1,'Inputs'!$H$108/100,0))</f>
      </c>
      <c r="H56">
        <f>('Inputs'!$C$122/100*(1-('Inputs'!$H$110/100*H55+'Inputs'!$H$111/100*'Inputs'!$H$113/100+'Inputs'!$H$112/100*'Inputs'!$C$120/100*H55))-IF('Needs years'!$C$67=1,'Inputs'!$H$108/100,0))</f>
      </c>
      <c r="I56">
        <f>('Inputs'!$C$122/100*(1-('Inputs'!$H$110/100*I55+'Inputs'!$H$111/100*'Inputs'!$H$113/100+'Inputs'!$H$112/100*'Inputs'!$C$120/100*I55))-IF('Needs years'!$C$67=1,'Inputs'!$H$108/100,0))</f>
      </c>
      <c r="J56">
        <f>('Inputs'!$C$122/100*(1-('Inputs'!$H$110/100*J55+'Inputs'!$H$111/100*'Inputs'!$H$113/100+'Inputs'!$H$112/100*'Inputs'!$C$120/100*J55))-IF('Needs years'!$C$67=1,'Inputs'!$H$108/100,0))</f>
      </c>
      <c r="K56">
        <f>('Inputs'!$C$122/100*(1-('Inputs'!$H$110/100*K55+'Inputs'!$H$111/100*'Inputs'!$H$113/100+'Inputs'!$H$112/100*'Inputs'!$C$120/100*K55))-IF('Needs years'!$C$67=1,'Inputs'!$H$108/100,0))</f>
      </c>
      <c r="L56">
        <f>('Inputs'!$C$122/100*(1-('Inputs'!$H$110/100*L55+'Inputs'!$H$111/100*'Inputs'!$H$113/100+'Inputs'!$H$112/100*'Inputs'!$C$120/100*L55))-IF('Needs years'!$C$67=1,'Inputs'!$H$108/100,0))</f>
      </c>
      <c r="M56">
        <f>('Inputs'!$C$122/100*(1-('Inputs'!$H$110/100*M55+'Inputs'!$H$111/100*'Inputs'!$H$113/100+'Inputs'!$H$112/100*'Inputs'!$C$120/100*M55))-IF('Needs years'!$C$67=1,'Inputs'!$H$108/100,0))</f>
      </c>
      <c r="N56">
        <f>('Inputs'!$C$122/100*(1-('Inputs'!$H$110/100*N55+'Inputs'!$H$111/100*'Inputs'!$H$113/100+'Inputs'!$H$112/100*'Inputs'!$C$120/100*N55))-IF('Needs years'!$C$67=1,'Inputs'!$H$108/100,0))</f>
      </c>
      <c r="O56">
        <f>('Inputs'!$C$122/100*(1-('Inputs'!$H$110/100*O55+'Inputs'!$H$111/100*'Inputs'!$H$113/100+'Inputs'!$H$112/100*'Inputs'!$C$120/100*O55))-IF('Needs years'!$C$67=1,'Inputs'!$H$108/100,0))</f>
      </c>
      <c r="P56">
        <f>('Inputs'!$C$122/100*(1-('Inputs'!$H$110/100*P55+'Inputs'!$H$111/100*'Inputs'!$H$113/100+'Inputs'!$H$112/100*'Inputs'!$C$120/100*P55))-IF('Needs years'!$C$67=1,'Inputs'!$H$108/100,0))</f>
      </c>
      <c r="Q56">
        <f>('Inputs'!$C$122/100*(1-('Inputs'!$H$110/100*Q55+'Inputs'!$H$111/100*'Inputs'!$H$113/100+'Inputs'!$H$112/100*'Inputs'!$C$120/100*Q55))-IF('Needs years'!$C$67=1,'Inputs'!$H$108/100,0))</f>
      </c>
      <c r="R56">
        <f>('Inputs'!$C$122/100*(1-('Inputs'!$H$110/100*R55+'Inputs'!$H$111/100*'Inputs'!$H$113/100+'Inputs'!$H$112/100*'Inputs'!$C$120/100*R55))-IF('Needs years'!$C$67=1,'Inputs'!$H$108/100,0))</f>
      </c>
      <c r="S56">
        <f>('Inputs'!$C$122/100*(1-('Inputs'!$H$110/100*S55+'Inputs'!$H$111/100*'Inputs'!$H$113/100+'Inputs'!$H$112/100*'Inputs'!$C$120/100*S55))-IF('Needs years'!$C$67=1,'Inputs'!$H$108/100,0))</f>
      </c>
      <c r="T56">
        <f>('Inputs'!$C$122/100*(1-('Inputs'!$H$110/100*T55+'Inputs'!$H$111/100*'Inputs'!$H$113/100+'Inputs'!$H$112/100*'Inputs'!$C$120/100*T55))-IF('Needs years'!$C$67=1,'Inputs'!$H$108/100,0))</f>
      </c>
      <c r="V56">
        <f>('Inputs'!$C$122/100*(1-('Inputs'!$H$110/100*V55+'Inputs'!$H$111/100*'Inputs'!$H$113/100+'Inputs'!$H$112/100*'Inputs'!$C$120/100*V55))-IF('Needs years'!$C$67=1,'Inputs'!$H$108/100,0))</f>
      </c>
      <c r="W56">
        <f>('Inputs'!$C$122/100*(1-('Inputs'!$H$110/100*W55+'Inputs'!$H$111/100*'Inputs'!$H$113/100+'Inputs'!$H$112/100*'Inputs'!$C$120/100*W55))-IF('Needs years'!$C$67=1,'Inputs'!$H$108/100,0))</f>
      </c>
      <c r="X56">
        <f>('Inputs'!$C$122/100*(1-('Inputs'!$H$110/100*X55+'Inputs'!$H$111/100*'Inputs'!$H$113/100+'Inputs'!$H$112/100*'Inputs'!$C$120/100*X55))-IF('Needs years'!$C$67=1,'Inputs'!$H$108/100,0))</f>
      </c>
      <c r="Y56">
        <f>('Inputs'!$C$122/100*(1-('Inputs'!$H$110/100*Y55+'Inputs'!$H$111/100*'Inputs'!$H$113/100+'Inputs'!$H$112/100*'Inputs'!$C$120/100*Y55))-IF('Needs years'!$C$67=1,'Inputs'!$H$108/100,0))</f>
      </c>
      <c r="Z56">
        <f>('Inputs'!$C$122/100*(1-('Inputs'!$H$110/100*Z55+'Inputs'!$H$111/100*'Inputs'!$H$113/100+'Inputs'!$H$112/100*'Inputs'!$C$120/100*Z55))-IF('Needs years'!$C$67=1,'Inputs'!$H$108/100,0))</f>
      </c>
      <c r="AA56">
        <f>('Inputs'!$C$122/100*(1-('Inputs'!$H$110/100*AA55+'Inputs'!$H$111/100*'Inputs'!$H$113/100+'Inputs'!$H$112/100*'Inputs'!$C$120/100*AA55))-IF('Needs years'!$C$67=1,'Inputs'!$H$108/100,0))</f>
      </c>
      <c r="AB56">
        <f>('Inputs'!$C$122/100*(1-('Inputs'!$H$110/100*AB55+'Inputs'!$H$111/100*'Inputs'!$H$113/100+'Inputs'!$H$112/100*'Inputs'!$C$120/100*AB55))-IF('Needs years'!$C$67=1,'Inputs'!$H$108/100,0))</f>
      </c>
      <c r="AC56">
        <f>('Inputs'!$C$122/100*(1-('Inputs'!$H$110/100*AC55+'Inputs'!$H$111/100*'Inputs'!$H$113/100+'Inputs'!$H$112/100*'Inputs'!$C$120/100*AC55))-IF('Needs years'!$C$67=1,'Inputs'!$H$108/100,0))</f>
      </c>
      <c r="AD56">
        <f>('Inputs'!$C$122/100*(1-('Inputs'!$H$110/100*AD55+'Inputs'!$H$111/100*'Inputs'!$H$113/100+'Inputs'!$H$112/100*'Inputs'!$C$120/100*AD55))-IF('Needs years'!$C$67=1,'Inputs'!$H$108/100,0))</f>
      </c>
      <c r="AE56">
        <f>('Inputs'!$C$122/100*(1-('Inputs'!$H$110/100*AE55+'Inputs'!$H$111/100*'Inputs'!$H$113/100+'Inputs'!$H$112/100*'Inputs'!$C$120/100*AE55))-IF('Needs years'!$C$67=1,'Inputs'!$H$108/100,0))</f>
      </c>
      <c r="AF56">
        <f>('Inputs'!$C$122/100*(1-('Inputs'!$H$110/100*AF55+'Inputs'!$H$111/100*'Inputs'!$H$113/100+'Inputs'!$H$112/100*'Inputs'!$C$120/100*AF55))-IF('Needs years'!$C$67=1,'Inputs'!$H$108/100,0))</f>
      </c>
      <c r="AG56">
        <f>('Inputs'!$C$122/100*(1-('Inputs'!$H$110/100*AG55+'Inputs'!$H$111/100*'Inputs'!$H$113/100+'Inputs'!$H$112/100*'Inputs'!$C$120/100*AG55))-IF('Needs years'!$C$67=1,'Inputs'!$H$108/100,0))</f>
      </c>
      <c r="AH56">
        <f>('Inputs'!$C$122/100*(1-('Inputs'!$H$110/100*AH55+'Inputs'!$H$111/100*'Inputs'!$H$113/100+'Inputs'!$H$112/100*'Inputs'!$C$120/100*AH55))-IF('Needs years'!$C$67=1,'Inputs'!$H$108/100,0))</f>
      </c>
      <c r="AI56">
        <f>('Inputs'!$C$122/100*(1-('Inputs'!$H$110/100*AI55+'Inputs'!$H$111/100*'Inputs'!$H$113/100+'Inputs'!$H$112/100*'Inputs'!$C$120/100*AI55))-IF('Needs years'!$C$67=1,'Inputs'!$H$108/100,0))</f>
      </c>
      <c r="AJ56">
        <f>('Inputs'!$C$122/100*(1-('Inputs'!$H$110/100*AJ55+'Inputs'!$H$111/100*'Inputs'!$H$113/100+'Inputs'!$H$112/100*'Inputs'!$C$120/100*AJ55))-IF('Needs years'!$C$67=1,'Inputs'!$H$108/100,0))</f>
      </c>
      <c r="AK56">
        <f>('Inputs'!$C$122/100*(1-('Inputs'!$H$110/100*AK55+'Inputs'!$H$111/100*'Inputs'!$H$113/100+'Inputs'!$H$112/100*'Inputs'!$C$120/100*AK55))-IF('Needs years'!$C$67=1,'Inputs'!$H$108/100,0))</f>
      </c>
      <c r="AM56">
        <f>('Inputs'!$C$122/100*(1-('Inputs'!$H$110/100*AM55+'Inputs'!$H$111/100*'Inputs'!$H$113/100+'Inputs'!$H$112/100*'Inputs'!$C$120/100*AM55))-IF('Needs years'!$C$67=1,'Inputs'!$H$108/100,0))</f>
      </c>
      <c r="AN56">
        <f>('Inputs'!$C$122/100*(1-('Inputs'!$H$110/100*AN55+'Inputs'!$H$111/100*'Inputs'!$H$113/100+'Inputs'!$H$112/100*'Inputs'!$C$120/100*AN55))-IF('Needs years'!$C$67=1,'Inputs'!$H$108/100,0))</f>
      </c>
      <c r="AO56">
        <f>('Inputs'!$C$122/100*(1-('Inputs'!$H$110/100*AO55+'Inputs'!$H$111/100*'Inputs'!$H$113/100+'Inputs'!$H$112/100*'Inputs'!$C$120/100*AO55))-IF('Needs years'!$C$67=1,'Inputs'!$H$108/100,0))</f>
      </c>
      <c r="AP56">
        <f>('Inputs'!$C$122/100*(1-('Inputs'!$H$110/100*AP55+'Inputs'!$H$111/100*'Inputs'!$H$113/100+'Inputs'!$H$112/100*'Inputs'!$C$120/100*AP55))-IF('Needs years'!$C$67=1,'Inputs'!$H$108/100,0))</f>
      </c>
      <c r="AQ56">
        <f>('Inputs'!$C$122/100*(1-('Inputs'!$H$110/100*AQ55+'Inputs'!$H$111/100*'Inputs'!$H$113/100+'Inputs'!$H$112/100*'Inputs'!$C$120/100*AQ55))-IF('Needs years'!$C$67=1,'Inputs'!$H$108/100,0))</f>
      </c>
      <c r="AR56">
        <f>('Inputs'!$C$122/100*(1-('Inputs'!$H$110/100*AR55+'Inputs'!$H$111/100*'Inputs'!$H$113/100+'Inputs'!$H$112/100*'Inputs'!$C$120/100*AR55))-IF('Needs years'!$C$67=1,'Inputs'!$H$108/100,0))</f>
      </c>
      <c r="AS56">
        <f>('Inputs'!$C$122/100*(1-('Inputs'!$H$110/100*AS55+'Inputs'!$H$111/100*'Inputs'!$H$113/100+'Inputs'!$H$112/100*'Inputs'!$C$120/100*AS55))-IF('Needs years'!$C$67=1,'Inputs'!$H$108/100,0))</f>
      </c>
      <c r="AT56">
        <f>('Inputs'!$C$122/100*(1-('Inputs'!$H$110/100*AT55+'Inputs'!$H$111/100*'Inputs'!$H$113/100+'Inputs'!$H$112/100*'Inputs'!$C$120/100*AT55))-IF('Needs years'!$C$67=1,'Inputs'!$H$108/100,0))</f>
      </c>
      <c r="AU56">
        <f>('Inputs'!$C$122/100*(1-('Inputs'!$H$110/100*AU55+'Inputs'!$H$111/100*'Inputs'!$H$113/100+'Inputs'!$H$112/100*'Inputs'!$C$120/100*AU55))-IF('Needs years'!$C$67=1,'Inputs'!$H$108/100,0))</f>
      </c>
      <c r="AV56">
        <f>('Inputs'!$C$122/100*(1-('Inputs'!$H$110/100*AV55+'Inputs'!$H$111/100*'Inputs'!$H$113/100+'Inputs'!$H$112/100*'Inputs'!$C$120/100*AV55))-IF('Needs years'!$C$67=1,'Inputs'!$H$108/100,0))</f>
      </c>
      <c r="AW56">
        <f>('Inputs'!$C$122/100*(1-('Inputs'!$H$110/100*AW55+'Inputs'!$H$111/100*'Inputs'!$H$113/100+'Inputs'!$H$112/100*'Inputs'!$C$120/100*AW55))-IF('Needs years'!$C$67=1,'Inputs'!$H$108/100,0))</f>
      </c>
      <c r="AX56">
        <f>('Inputs'!$C$122/100*(1-('Inputs'!$H$110/100*AX55+'Inputs'!$H$111/100*'Inputs'!$H$113/100+'Inputs'!$H$112/100*'Inputs'!$C$120/100*AX55))-IF('Needs years'!$C$67=1,'Inputs'!$H$108/100,0))</f>
      </c>
      <c r="AY56">
        <f>('Inputs'!$C$122/100*(1-('Inputs'!$H$110/100*AY55+'Inputs'!$H$111/100*'Inputs'!$H$113/100+'Inputs'!$H$112/100*'Inputs'!$C$120/100*AY55))-IF('Needs years'!$C$67=1,'Inputs'!$H$108/100,0))</f>
      </c>
      <c r="AZ56">
        <f>('Inputs'!$C$122/100*(1-('Inputs'!$H$110/100*AZ55+'Inputs'!$H$111/100*'Inputs'!$H$113/100+'Inputs'!$H$112/100*'Inputs'!$C$120/100*AZ55))-IF('Needs years'!$C$67=1,'Inputs'!$H$108/100,0))</f>
      </c>
      <c r="BA56">
        <f>('Inputs'!$C$122/100*(1-('Inputs'!$H$110/100*BA55+'Inputs'!$H$111/100*'Inputs'!$H$113/100+'Inputs'!$H$112/100*'Inputs'!$C$120/100*BA55))-IF('Needs years'!$C$67=1,'Inputs'!$H$108/100,0))</f>
      </c>
      <c r="BB56">
        <f>('Inputs'!$C$122/100*(1-('Inputs'!$H$110/100*BB55+'Inputs'!$H$111/100*'Inputs'!$H$113/100+'Inputs'!$H$112/100*'Inputs'!$C$120/100*BB55))-IF('Needs years'!$C$67=1,'Inputs'!$H$108/100,0))</f>
      </c>
      <c r="BD56">
        <f>('Inputs'!$C$122/100*(1-('Inputs'!$H$110/100*BD55+'Inputs'!$H$111/100*'Inputs'!$H$113/100+'Inputs'!$H$112/100*'Inputs'!$C$120/100*BD55))-IF('Needs years'!$C$67=1,'Inputs'!$H$108/100,0))</f>
      </c>
      <c r="BE56">
        <f>('Inputs'!$C$122/100*(1-('Inputs'!$H$110/100*BE55+'Inputs'!$H$111/100*'Inputs'!$H$113/100+'Inputs'!$H$112/100*'Inputs'!$C$120/100*BE55))-IF('Needs years'!$C$67=1,'Inputs'!$H$108/100,0))</f>
      </c>
      <c r="BF56">
        <f>('Inputs'!$C$122/100*(1-('Inputs'!$H$110/100*BF55+'Inputs'!$H$111/100*'Inputs'!$H$113/100+'Inputs'!$H$112/100*'Inputs'!$C$120/100*BF55))-IF('Needs years'!$C$67=1,'Inputs'!$H$108/100,0))</f>
      </c>
      <c r="BG56">
        <f>('Inputs'!$C$122/100*(1-('Inputs'!$H$110/100*BG55+'Inputs'!$H$111/100*'Inputs'!$H$113/100+'Inputs'!$H$112/100*'Inputs'!$C$120/100*BG55))-IF('Needs years'!$C$67=1,'Inputs'!$H$108/100,0))</f>
      </c>
      <c r="BH56">
        <f>('Inputs'!$C$122/100*(1-('Inputs'!$H$110/100*BH55+'Inputs'!$H$111/100*'Inputs'!$H$113/100+'Inputs'!$H$112/100*'Inputs'!$C$120/100*BH55))-IF('Needs years'!$C$67=1,'Inputs'!$H$108/100,0))</f>
      </c>
      <c r="BI56">
        <f>('Inputs'!$C$122/100*(1-('Inputs'!$H$110/100*BI55+'Inputs'!$H$111/100*'Inputs'!$H$113/100+'Inputs'!$H$112/100*'Inputs'!$C$120/100*BI55))-IF('Needs years'!$C$67=1,'Inputs'!$H$108/100,0))</f>
      </c>
      <c r="BJ56">
        <f>('Inputs'!$C$122/100*(1-('Inputs'!$H$110/100*BJ55+'Inputs'!$H$111/100*'Inputs'!$H$113/100+'Inputs'!$H$112/100*'Inputs'!$C$120/100*BJ55))-IF('Needs years'!$C$67=1,'Inputs'!$H$108/100,0))</f>
      </c>
      <c r="BK56">
        <f>('Inputs'!$C$122/100*(1-('Inputs'!$H$110/100*BK55+'Inputs'!$H$111/100*'Inputs'!$H$113/100+'Inputs'!$H$112/100*'Inputs'!$C$120/100*BK55))-IF('Needs years'!$C$67=1,'Inputs'!$H$108/100,0))</f>
      </c>
      <c r="BL56">
        <f>('Inputs'!$C$122/100*(1-('Inputs'!$H$110/100*BL55+'Inputs'!$H$111/100*'Inputs'!$H$113/100+'Inputs'!$H$112/100*'Inputs'!$C$120/100*BL55))-IF('Needs years'!$C$67=1,'Inputs'!$H$108/100,0))</f>
      </c>
      <c r="BM56">
        <f>('Inputs'!$C$122/100*(1-('Inputs'!$H$110/100*BM55+'Inputs'!$H$111/100*'Inputs'!$H$113/100+'Inputs'!$H$112/100*'Inputs'!$C$120/100*BM55))-IF('Needs years'!$C$67=1,'Inputs'!$H$108/100,0))</f>
      </c>
      <c r="BN56">
        <f>('Inputs'!$C$122/100*(1-('Inputs'!$H$110/100*BN55+'Inputs'!$H$111/100*'Inputs'!$H$113/100+'Inputs'!$H$112/100*'Inputs'!$C$120/100*BN55))-IF('Needs years'!$C$67=1,'Inputs'!$H$108/100,0))</f>
      </c>
      <c r="BO56">
        <f>('Inputs'!$C$122/100*(1-('Inputs'!$H$110/100*BO55+'Inputs'!$H$111/100*'Inputs'!$H$113/100+'Inputs'!$H$112/100*'Inputs'!$C$120/100*BO55))-IF('Needs years'!$C$67=1,'Inputs'!$H$108/100,0))</f>
      </c>
      <c r="BP56">
        <f>('Inputs'!$C$122/100*(1-('Inputs'!$H$110/100*BP55+'Inputs'!$H$111/100*'Inputs'!$H$113/100+'Inputs'!$H$112/100*'Inputs'!$C$120/100*BP55))-IF('Needs years'!$C$67=1,'Inputs'!$H$108/100,0))</f>
      </c>
      <c r="BQ56">
        <f>('Inputs'!$C$122/100*(1-('Inputs'!$H$110/100*BQ55+'Inputs'!$H$111/100*'Inputs'!$H$113/100+'Inputs'!$H$112/100*'Inputs'!$C$120/100*BQ55))-IF('Needs years'!$C$67=1,'Inputs'!$H$108/100,0))</f>
      </c>
      <c r="BR56">
        <f>('Inputs'!$C$122/100*(1-('Inputs'!$H$110/100*BR55+'Inputs'!$H$111/100*'Inputs'!$H$113/100+'Inputs'!$H$112/100*'Inputs'!$C$120/100*BR55))-IF('Needs years'!$C$67=1,'Inputs'!$H$108/100,0))</f>
      </c>
      <c r="BS56">
        <f>('Inputs'!$C$122/100*(1-('Inputs'!$H$110/100*BS55+'Inputs'!$H$111/100*'Inputs'!$H$113/100+'Inputs'!$H$112/100*'Inputs'!$C$120/100*BS55))-IF('Needs years'!$C$67=1,'Inputs'!$H$108/100,0))</f>
      </c>
    </row>
    <row r="57" spans="2:71" x14ac:dyDescent="0.25">
      <c r="B57" t="s">
        <v>376</v>
      </c>
      <c r="C57">
        <f>IF('Inputs'!$B$90="",0,IF(AND(C4=1,'Inputs'!$Q$90=1),'Needs years'!$C$70,ROUND(IF(C56=0,SUM('Needs years'!$O$60:$O$109),(1-(1+C56)^-1)/(1-(1+C56)^(-1/12))/12*SUMPRODUCT('Needs years'!$O$60:$O$109,(1+C56)^(-'Needs years'!$I$60:$I$109))),2)))</f>
      </c>
      <c r="E57">
        <f>IF('Inputs'!$B$90="",0,IF(AND(E4=1,'Inputs'!$Q$90=1),'Needs years'!$C$70,ROUND(IF(E56=0,SUM('Needs years'!$O$60:$O$109),(1-(1+E56)^-1)/(1-(1+E56)^(-1/12))/12*SUMPRODUCT('Needs years'!$O$60:$O$109,(1+E56)^(-'Needs years'!$I$60:$I$109))),2)))</f>
      </c>
      <c r="F57">
        <f>IF('Inputs'!$B$90="",0,IF(AND(F4=1,'Inputs'!$Q$90=1),'Needs years'!$C$70,ROUND(IF(F56=0,SUM('Needs years'!$O$60:$O$109),(1-(1+F56)^-1)/(1-(1+F56)^(-1/12))/12*SUMPRODUCT('Needs years'!$O$60:$O$109,(1+F56)^(-'Needs years'!$I$60:$I$109))),2)))</f>
      </c>
      <c r="G57">
        <f>IF('Inputs'!$B$90="",0,IF(AND(G4=1,'Inputs'!$Q$90=1),'Needs years'!$C$70,ROUND(IF(G56=0,SUM('Needs years'!$O$60:$O$109),(1-(1+G56)^-1)/(1-(1+G56)^(-1/12))/12*SUMPRODUCT('Needs years'!$O$60:$O$109,(1+G56)^(-'Needs years'!$I$60:$I$109))),2)))</f>
      </c>
      <c r="H57">
        <f>IF('Inputs'!$B$90="",0,IF(AND(H4=1,'Inputs'!$Q$90=1),'Needs years'!$C$70,ROUND(IF(H56=0,SUM('Needs years'!$O$60:$O$109),(1-(1+H56)^-1)/(1-(1+H56)^(-1/12))/12*SUMPRODUCT('Needs years'!$O$60:$O$109,(1+H56)^(-'Needs years'!$I$60:$I$109))),2)))</f>
      </c>
      <c r="I57">
        <f>IF('Inputs'!$B$90="",0,IF(AND(I4=1,'Inputs'!$Q$90=1),'Needs years'!$C$70,ROUND(IF(I56=0,SUM('Needs years'!$O$60:$O$109),(1-(1+I56)^-1)/(1-(1+I56)^(-1/12))/12*SUMPRODUCT('Needs years'!$O$60:$O$109,(1+I56)^(-'Needs years'!$I$60:$I$109))),2)))</f>
      </c>
      <c r="J57">
        <f>IF('Inputs'!$B$90="",0,IF(AND(J4=1,'Inputs'!$Q$90=1),'Needs years'!$C$70,ROUND(IF(J56=0,SUM('Needs years'!$O$60:$O$109),(1-(1+J56)^-1)/(1-(1+J56)^(-1/12))/12*SUMPRODUCT('Needs years'!$O$60:$O$109,(1+J56)^(-'Needs years'!$I$60:$I$109))),2)))</f>
      </c>
      <c r="K57">
        <f>IF('Inputs'!$B$90="",0,IF(AND(K4=1,'Inputs'!$Q$90=1),'Needs years'!$C$70,ROUND(IF(K56=0,SUM('Needs years'!$O$60:$O$109),(1-(1+K56)^-1)/(1-(1+K56)^(-1/12))/12*SUMPRODUCT('Needs years'!$O$60:$O$109,(1+K56)^(-'Needs years'!$I$60:$I$109))),2)))</f>
      </c>
      <c r="L57">
        <f>IF('Inputs'!$B$90="",0,IF(AND(L4=1,'Inputs'!$Q$90=1),'Needs years'!$C$70,ROUND(IF(L56=0,SUM('Needs years'!$O$60:$O$109),(1-(1+L56)^-1)/(1-(1+L56)^(-1/12))/12*SUMPRODUCT('Needs years'!$O$60:$O$109,(1+L56)^(-'Needs years'!$I$60:$I$109))),2)))</f>
      </c>
      <c r="M57">
        <f>IF('Inputs'!$B$90="",0,IF(AND(M4=1,'Inputs'!$Q$90=1),'Needs years'!$C$70,ROUND(IF(M56=0,SUM('Needs years'!$O$60:$O$109),(1-(1+M56)^-1)/(1-(1+M56)^(-1/12))/12*SUMPRODUCT('Needs years'!$O$60:$O$109,(1+M56)^(-'Needs years'!$I$60:$I$109))),2)))</f>
      </c>
      <c r="N57">
        <f>IF('Inputs'!$B$90="",0,IF(AND(N4=1,'Inputs'!$Q$90=1),'Needs years'!$C$70,ROUND(IF(N56=0,SUM('Needs years'!$O$60:$O$109),(1-(1+N56)^-1)/(1-(1+N56)^(-1/12))/12*SUMPRODUCT('Needs years'!$O$60:$O$109,(1+N56)^(-'Needs years'!$I$60:$I$109))),2)))</f>
      </c>
      <c r="O57">
        <f>IF('Inputs'!$B$90="",0,IF(AND(O4=1,'Inputs'!$Q$90=1),'Needs years'!$C$70,ROUND(IF(O56=0,SUM('Needs years'!$O$60:$O$109),(1-(1+O56)^-1)/(1-(1+O56)^(-1/12))/12*SUMPRODUCT('Needs years'!$O$60:$O$109,(1+O56)^(-'Needs years'!$I$60:$I$109))),2)))</f>
      </c>
      <c r="P57">
        <f>IF('Inputs'!$B$90="",0,IF(AND(P4=1,'Inputs'!$Q$90=1),'Needs years'!$C$70,ROUND(IF(P56=0,SUM('Needs years'!$O$60:$O$109),(1-(1+P56)^-1)/(1-(1+P56)^(-1/12))/12*SUMPRODUCT('Needs years'!$O$60:$O$109,(1+P56)^(-'Needs years'!$I$60:$I$109))),2)))</f>
      </c>
      <c r="Q57">
        <f>IF('Inputs'!$B$90="",0,IF(AND(Q4=1,'Inputs'!$Q$90=1),'Needs years'!$C$70,ROUND(IF(Q56=0,SUM('Needs years'!$O$60:$O$109),(1-(1+Q56)^-1)/(1-(1+Q56)^(-1/12))/12*SUMPRODUCT('Needs years'!$O$60:$O$109,(1+Q56)^(-'Needs years'!$I$60:$I$109))),2)))</f>
      </c>
      <c r="R57">
        <f>IF('Inputs'!$B$90="",0,IF(AND(R4=1,'Inputs'!$Q$90=1),'Needs years'!$C$70,ROUND(IF(R56=0,SUM('Needs years'!$O$60:$O$109),(1-(1+R56)^-1)/(1-(1+R56)^(-1/12))/12*SUMPRODUCT('Needs years'!$O$60:$O$109,(1+R56)^(-'Needs years'!$I$60:$I$109))),2)))</f>
      </c>
      <c r="S57">
        <f>IF('Inputs'!$B$90="",0,IF(AND(S4=1,'Inputs'!$Q$90=1),'Needs years'!$C$70,ROUND(IF(S56=0,SUM('Needs years'!$O$60:$O$109),(1-(1+S56)^-1)/(1-(1+S56)^(-1/12))/12*SUMPRODUCT('Needs years'!$O$60:$O$109,(1+S56)^(-'Needs years'!$I$60:$I$109))),2)))</f>
      </c>
      <c r="T57">
        <f>IF('Inputs'!$B$90="",0,IF(AND(T4=1,'Inputs'!$Q$90=1),'Needs years'!$C$70,ROUND(IF(T56=0,SUM('Needs years'!$O$60:$O$109),(1-(1+T56)^-1)/(1-(1+T56)^(-1/12))/12*SUMPRODUCT('Needs years'!$O$60:$O$109,(1+T56)^(-'Needs years'!$I$60:$I$109))),2)))</f>
      </c>
      <c r="V57">
        <f>IF('Inputs'!$B$90="",0,IF(AND(V4=1,'Inputs'!$Q$90=1),'Needs years'!$C$70,ROUND(IF(V56=0,SUM('Needs years'!$O$60:$O$109),(1-(1+V56)^-1)/(1-(1+V56)^(-1/12))/12*SUMPRODUCT('Needs years'!$O$60:$O$109,(1+V56)^(-'Needs years'!$I$60:$I$109))),2)))</f>
      </c>
      <c r="W57">
        <f>IF('Inputs'!$B$90="",0,IF(AND(W4=1,'Inputs'!$Q$90=1),'Needs years'!$C$70,ROUND(IF(W56=0,SUM('Needs years'!$O$60:$O$109),(1-(1+W56)^-1)/(1-(1+W56)^(-1/12))/12*SUMPRODUCT('Needs years'!$O$60:$O$109,(1+W56)^(-'Needs years'!$I$60:$I$109))),2)))</f>
      </c>
      <c r="X57">
        <f>IF('Inputs'!$B$90="",0,IF(AND(X4=1,'Inputs'!$Q$90=1),'Needs years'!$C$70,ROUND(IF(X56=0,SUM('Needs years'!$O$60:$O$109),(1-(1+X56)^-1)/(1-(1+X56)^(-1/12))/12*SUMPRODUCT('Needs years'!$O$60:$O$109,(1+X56)^(-'Needs years'!$I$60:$I$109))),2)))</f>
      </c>
      <c r="Y57">
        <f>IF('Inputs'!$B$90="",0,IF(AND(Y4=1,'Inputs'!$Q$90=1),'Needs years'!$C$70,ROUND(IF(Y56=0,SUM('Needs years'!$O$60:$O$109),(1-(1+Y56)^-1)/(1-(1+Y56)^(-1/12))/12*SUMPRODUCT('Needs years'!$O$60:$O$109,(1+Y56)^(-'Needs years'!$I$60:$I$109))),2)))</f>
      </c>
      <c r="Z57">
        <f>IF('Inputs'!$B$90="",0,IF(AND(Z4=1,'Inputs'!$Q$90=1),'Needs years'!$C$70,ROUND(IF(Z56=0,SUM('Needs years'!$O$60:$O$109),(1-(1+Z56)^-1)/(1-(1+Z56)^(-1/12))/12*SUMPRODUCT('Needs years'!$O$60:$O$109,(1+Z56)^(-'Needs years'!$I$60:$I$109))),2)))</f>
      </c>
      <c r="AA57">
        <f>IF('Inputs'!$B$90="",0,IF(AND(AA4=1,'Inputs'!$Q$90=1),'Needs years'!$C$70,ROUND(IF(AA56=0,SUM('Needs years'!$O$60:$O$109),(1-(1+AA56)^-1)/(1-(1+AA56)^(-1/12))/12*SUMPRODUCT('Needs years'!$O$60:$O$109,(1+AA56)^(-'Needs years'!$I$60:$I$109))),2)))</f>
      </c>
      <c r="AB57">
        <f>IF('Inputs'!$B$90="",0,IF(AND(AB4=1,'Inputs'!$Q$90=1),'Needs years'!$C$70,ROUND(IF(AB56=0,SUM('Needs years'!$O$60:$O$109),(1-(1+AB56)^-1)/(1-(1+AB56)^(-1/12))/12*SUMPRODUCT('Needs years'!$O$60:$O$109,(1+AB56)^(-'Needs years'!$I$60:$I$109))),2)))</f>
      </c>
      <c r="AC57">
        <f>IF('Inputs'!$B$90="",0,IF(AND(AC4=1,'Inputs'!$Q$90=1),'Needs years'!$C$70,ROUND(IF(AC56=0,SUM('Needs years'!$O$60:$O$109),(1-(1+AC56)^-1)/(1-(1+AC56)^(-1/12))/12*SUMPRODUCT('Needs years'!$O$60:$O$109,(1+AC56)^(-'Needs years'!$I$60:$I$109))),2)))</f>
      </c>
      <c r="AD57">
        <f>IF('Inputs'!$B$90="",0,IF(AND(AD4=1,'Inputs'!$Q$90=1),'Needs years'!$C$70,ROUND(IF(AD56=0,SUM('Needs years'!$O$60:$O$109),(1-(1+AD56)^-1)/(1-(1+AD56)^(-1/12))/12*SUMPRODUCT('Needs years'!$O$60:$O$109,(1+AD56)^(-'Needs years'!$I$60:$I$109))),2)))</f>
      </c>
      <c r="AE57">
        <f>IF('Inputs'!$B$90="",0,IF(AND(AE4=1,'Inputs'!$Q$90=1),'Needs years'!$C$70,ROUND(IF(AE56=0,SUM('Needs years'!$O$60:$O$109),(1-(1+AE56)^-1)/(1-(1+AE56)^(-1/12))/12*SUMPRODUCT('Needs years'!$O$60:$O$109,(1+AE56)^(-'Needs years'!$I$60:$I$109))),2)))</f>
      </c>
      <c r="AF57">
        <f>IF('Inputs'!$B$90="",0,IF(AND(AF4=1,'Inputs'!$Q$90=1),'Needs years'!$C$70,ROUND(IF(AF56=0,SUM('Needs years'!$O$60:$O$109),(1-(1+AF56)^-1)/(1-(1+AF56)^(-1/12))/12*SUMPRODUCT('Needs years'!$O$60:$O$109,(1+AF56)^(-'Needs years'!$I$60:$I$109))),2)))</f>
      </c>
      <c r="AG57">
        <f>IF('Inputs'!$B$90="",0,IF(AND(AG4=1,'Inputs'!$Q$90=1),'Needs years'!$C$70,ROUND(IF(AG56=0,SUM('Needs years'!$O$60:$O$109),(1-(1+AG56)^-1)/(1-(1+AG56)^(-1/12))/12*SUMPRODUCT('Needs years'!$O$60:$O$109,(1+AG56)^(-'Needs years'!$I$60:$I$109))),2)))</f>
      </c>
      <c r="AH57">
        <f>IF('Inputs'!$B$90="",0,IF(AND(AH4=1,'Inputs'!$Q$90=1),'Needs years'!$C$70,ROUND(IF(AH56=0,SUM('Needs years'!$O$60:$O$109),(1-(1+AH56)^-1)/(1-(1+AH56)^(-1/12))/12*SUMPRODUCT('Needs years'!$O$60:$O$109,(1+AH56)^(-'Needs years'!$I$60:$I$109))),2)))</f>
      </c>
      <c r="AI57">
        <f>IF('Inputs'!$B$90="",0,IF(AND(AI4=1,'Inputs'!$Q$90=1),'Needs years'!$C$70,ROUND(IF(AI56=0,SUM('Needs years'!$O$60:$O$109),(1-(1+AI56)^-1)/(1-(1+AI56)^(-1/12))/12*SUMPRODUCT('Needs years'!$O$60:$O$109,(1+AI56)^(-'Needs years'!$I$60:$I$109))),2)))</f>
      </c>
      <c r="AJ57">
        <f>IF('Inputs'!$B$90="",0,IF(AND(AJ4=1,'Inputs'!$Q$90=1),'Needs years'!$C$70,ROUND(IF(AJ56=0,SUM('Needs years'!$O$60:$O$109),(1-(1+AJ56)^-1)/(1-(1+AJ56)^(-1/12))/12*SUMPRODUCT('Needs years'!$O$60:$O$109,(1+AJ56)^(-'Needs years'!$I$60:$I$109))),2)))</f>
      </c>
      <c r="AK57">
        <f>IF('Inputs'!$B$90="",0,IF(AND(AK4=1,'Inputs'!$Q$90=1),'Needs years'!$C$70,ROUND(IF(AK56=0,SUM('Needs years'!$O$60:$O$109),(1-(1+AK56)^-1)/(1-(1+AK56)^(-1/12))/12*SUMPRODUCT('Needs years'!$O$60:$O$109,(1+AK56)^(-'Needs years'!$I$60:$I$109))),2)))</f>
      </c>
      <c r="AM57">
        <f>IF('Inputs'!$B$90="",0,IF(AND(AM4=1,'Inputs'!$Q$90=1),'Needs years'!$C$70,ROUND(IF(AM56=0,SUM('Needs years'!$O$60:$O$109),(1-(1+AM56)^-1)/(1-(1+AM56)^(-1/12))/12*SUMPRODUCT('Needs years'!$O$60:$O$109,(1+AM56)^(-'Needs years'!$I$60:$I$109))),2)))</f>
      </c>
      <c r="AN57">
        <f>IF('Inputs'!$B$90="",0,IF(AND(AN4=1,'Inputs'!$Q$90=1),'Needs years'!$C$70,ROUND(IF(AN56=0,SUM('Needs years'!$O$60:$O$109),(1-(1+AN56)^-1)/(1-(1+AN56)^(-1/12))/12*SUMPRODUCT('Needs years'!$O$60:$O$109,(1+AN56)^(-'Needs years'!$I$60:$I$109))),2)))</f>
      </c>
      <c r="AO57">
        <f>IF('Inputs'!$B$90="",0,IF(AND(AO4=1,'Inputs'!$Q$90=1),'Needs years'!$C$70,ROUND(IF(AO56=0,SUM('Needs years'!$O$60:$O$109),(1-(1+AO56)^-1)/(1-(1+AO56)^(-1/12))/12*SUMPRODUCT('Needs years'!$O$60:$O$109,(1+AO56)^(-'Needs years'!$I$60:$I$109))),2)))</f>
      </c>
      <c r="AP57">
        <f>IF('Inputs'!$B$90="",0,IF(AND(AP4=1,'Inputs'!$Q$90=1),'Needs years'!$C$70,ROUND(IF(AP56=0,SUM('Needs years'!$O$60:$O$109),(1-(1+AP56)^-1)/(1-(1+AP56)^(-1/12))/12*SUMPRODUCT('Needs years'!$O$60:$O$109,(1+AP56)^(-'Needs years'!$I$60:$I$109))),2)))</f>
      </c>
      <c r="AQ57">
        <f>IF('Inputs'!$B$90="",0,IF(AND(AQ4=1,'Inputs'!$Q$90=1),'Needs years'!$C$70,ROUND(IF(AQ56=0,SUM('Needs years'!$O$60:$O$109),(1-(1+AQ56)^-1)/(1-(1+AQ56)^(-1/12))/12*SUMPRODUCT('Needs years'!$O$60:$O$109,(1+AQ56)^(-'Needs years'!$I$60:$I$109))),2)))</f>
      </c>
      <c r="AR57">
        <f>IF('Inputs'!$B$90="",0,IF(AND(AR4=1,'Inputs'!$Q$90=1),'Needs years'!$C$70,ROUND(IF(AR56=0,SUM('Needs years'!$O$60:$O$109),(1-(1+AR56)^-1)/(1-(1+AR56)^(-1/12))/12*SUMPRODUCT('Needs years'!$O$60:$O$109,(1+AR56)^(-'Needs years'!$I$60:$I$109))),2)))</f>
      </c>
      <c r="AS57">
        <f>IF('Inputs'!$B$90="",0,IF(AND(AS4=1,'Inputs'!$Q$90=1),'Needs years'!$C$70,ROUND(IF(AS56=0,SUM('Needs years'!$O$60:$O$109),(1-(1+AS56)^-1)/(1-(1+AS56)^(-1/12))/12*SUMPRODUCT('Needs years'!$O$60:$O$109,(1+AS56)^(-'Needs years'!$I$60:$I$109))),2)))</f>
      </c>
      <c r="AT57">
        <f>IF('Inputs'!$B$90="",0,IF(AND(AT4=1,'Inputs'!$Q$90=1),'Needs years'!$C$70,ROUND(IF(AT56=0,SUM('Needs years'!$O$60:$O$109),(1-(1+AT56)^-1)/(1-(1+AT56)^(-1/12))/12*SUMPRODUCT('Needs years'!$O$60:$O$109,(1+AT56)^(-'Needs years'!$I$60:$I$109))),2)))</f>
      </c>
      <c r="AU57">
        <f>IF('Inputs'!$B$90="",0,IF(AND(AU4=1,'Inputs'!$Q$90=1),'Needs years'!$C$70,ROUND(IF(AU56=0,SUM('Needs years'!$O$60:$O$109),(1-(1+AU56)^-1)/(1-(1+AU56)^(-1/12))/12*SUMPRODUCT('Needs years'!$O$60:$O$109,(1+AU56)^(-'Needs years'!$I$60:$I$109))),2)))</f>
      </c>
      <c r="AV57">
        <f>IF('Inputs'!$B$90="",0,IF(AND(AV4=1,'Inputs'!$Q$90=1),'Needs years'!$C$70,ROUND(IF(AV56=0,SUM('Needs years'!$O$60:$O$109),(1-(1+AV56)^-1)/(1-(1+AV56)^(-1/12))/12*SUMPRODUCT('Needs years'!$O$60:$O$109,(1+AV56)^(-'Needs years'!$I$60:$I$109))),2)))</f>
      </c>
      <c r="AW57">
        <f>IF('Inputs'!$B$90="",0,IF(AND(AW4=1,'Inputs'!$Q$90=1),'Needs years'!$C$70,ROUND(IF(AW56=0,SUM('Needs years'!$O$60:$O$109),(1-(1+AW56)^-1)/(1-(1+AW56)^(-1/12))/12*SUMPRODUCT('Needs years'!$O$60:$O$109,(1+AW56)^(-'Needs years'!$I$60:$I$109))),2)))</f>
      </c>
      <c r="AX57">
        <f>IF('Inputs'!$B$90="",0,IF(AND(AX4=1,'Inputs'!$Q$90=1),'Needs years'!$C$70,ROUND(IF(AX56=0,SUM('Needs years'!$O$60:$O$109),(1-(1+AX56)^-1)/(1-(1+AX56)^(-1/12))/12*SUMPRODUCT('Needs years'!$O$60:$O$109,(1+AX56)^(-'Needs years'!$I$60:$I$109))),2)))</f>
      </c>
      <c r="AY57">
        <f>IF('Inputs'!$B$90="",0,IF(AND(AY4=1,'Inputs'!$Q$90=1),'Needs years'!$C$70,ROUND(IF(AY56=0,SUM('Needs years'!$O$60:$O$109),(1-(1+AY56)^-1)/(1-(1+AY56)^(-1/12))/12*SUMPRODUCT('Needs years'!$O$60:$O$109,(1+AY56)^(-'Needs years'!$I$60:$I$109))),2)))</f>
      </c>
      <c r="AZ57">
        <f>IF('Inputs'!$B$90="",0,IF(AND(AZ4=1,'Inputs'!$Q$90=1),'Needs years'!$C$70,ROUND(IF(AZ56=0,SUM('Needs years'!$O$60:$O$109),(1-(1+AZ56)^-1)/(1-(1+AZ56)^(-1/12))/12*SUMPRODUCT('Needs years'!$O$60:$O$109,(1+AZ56)^(-'Needs years'!$I$60:$I$109))),2)))</f>
      </c>
      <c r="BA57">
        <f>IF('Inputs'!$B$90="",0,IF(AND(BA4=1,'Inputs'!$Q$90=1),'Needs years'!$C$70,ROUND(IF(BA56=0,SUM('Needs years'!$O$60:$O$109),(1-(1+BA56)^-1)/(1-(1+BA56)^(-1/12))/12*SUMPRODUCT('Needs years'!$O$60:$O$109,(1+BA56)^(-'Needs years'!$I$60:$I$109))),2)))</f>
      </c>
      <c r="BB57">
        <f>IF('Inputs'!$B$90="",0,IF(AND(BB4=1,'Inputs'!$Q$90=1),'Needs years'!$C$70,ROUND(IF(BB56=0,SUM('Needs years'!$O$60:$O$109),(1-(1+BB56)^-1)/(1-(1+BB56)^(-1/12))/12*SUMPRODUCT('Needs years'!$O$60:$O$109,(1+BB56)^(-'Needs years'!$I$60:$I$109))),2)))</f>
      </c>
      <c r="BD57">
        <f>IF('Inputs'!$B$90="",0,IF(AND(BD4=1,'Inputs'!$Q$90=1),'Needs years'!$C$70,ROUND(IF(BD56=0,SUM('Needs years'!$O$60:$O$109),(1-(1+BD56)^-1)/(1-(1+BD56)^(-1/12))/12*SUMPRODUCT('Needs years'!$O$60:$O$109,(1+BD56)^(-'Needs years'!$I$60:$I$109))),2)))</f>
      </c>
      <c r="BE57">
        <f>IF('Inputs'!$B$90="",0,IF(AND(BE4=1,'Inputs'!$Q$90=1),'Needs years'!$C$70,ROUND(IF(BE56=0,SUM('Needs years'!$O$60:$O$109),(1-(1+BE56)^-1)/(1-(1+BE56)^(-1/12))/12*SUMPRODUCT('Needs years'!$O$60:$O$109,(1+BE56)^(-'Needs years'!$I$60:$I$109))),2)))</f>
      </c>
      <c r="BF57">
        <f>IF('Inputs'!$B$90="",0,IF(AND(BF4=1,'Inputs'!$Q$90=1),'Needs years'!$C$70,ROUND(IF(BF56=0,SUM('Needs years'!$O$60:$O$109),(1-(1+BF56)^-1)/(1-(1+BF56)^(-1/12))/12*SUMPRODUCT('Needs years'!$O$60:$O$109,(1+BF56)^(-'Needs years'!$I$60:$I$109))),2)))</f>
      </c>
      <c r="BG57">
        <f>IF('Inputs'!$B$90="",0,IF(AND(BG4=1,'Inputs'!$Q$90=1),'Needs years'!$C$70,ROUND(IF(BG56=0,SUM('Needs years'!$O$60:$O$109),(1-(1+BG56)^-1)/(1-(1+BG56)^(-1/12))/12*SUMPRODUCT('Needs years'!$O$60:$O$109,(1+BG56)^(-'Needs years'!$I$60:$I$109))),2)))</f>
      </c>
      <c r="BH57">
        <f>IF('Inputs'!$B$90="",0,IF(AND(BH4=1,'Inputs'!$Q$90=1),'Needs years'!$C$70,ROUND(IF(BH56=0,SUM('Needs years'!$O$60:$O$109),(1-(1+BH56)^-1)/(1-(1+BH56)^(-1/12))/12*SUMPRODUCT('Needs years'!$O$60:$O$109,(1+BH56)^(-'Needs years'!$I$60:$I$109))),2)))</f>
      </c>
      <c r="BI57">
        <f>IF('Inputs'!$B$90="",0,IF(AND(BI4=1,'Inputs'!$Q$90=1),'Needs years'!$C$70,ROUND(IF(BI56=0,SUM('Needs years'!$O$60:$O$109),(1-(1+BI56)^-1)/(1-(1+BI56)^(-1/12))/12*SUMPRODUCT('Needs years'!$O$60:$O$109,(1+BI56)^(-'Needs years'!$I$60:$I$109))),2)))</f>
      </c>
      <c r="BJ57">
        <f>IF('Inputs'!$B$90="",0,IF(AND(BJ4=1,'Inputs'!$Q$90=1),'Needs years'!$C$70,ROUND(IF(BJ56=0,SUM('Needs years'!$O$60:$O$109),(1-(1+BJ56)^-1)/(1-(1+BJ56)^(-1/12))/12*SUMPRODUCT('Needs years'!$O$60:$O$109,(1+BJ56)^(-'Needs years'!$I$60:$I$109))),2)))</f>
      </c>
      <c r="BK57">
        <f>IF('Inputs'!$B$90="",0,IF(AND(BK4=1,'Inputs'!$Q$90=1),'Needs years'!$C$70,ROUND(IF(BK56=0,SUM('Needs years'!$O$60:$O$109),(1-(1+BK56)^-1)/(1-(1+BK56)^(-1/12))/12*SUMPRODUCT('Needs years'!$O$60:$O$109,(1+BK56)^(-'Needs years'!$I$60:$I$109))),2)))</f>
      </c>
      <c r="BL57">
        <f>IF('Inputs'!$B$90="",0,IF(AND(BL4=1,'Inputs'!$Q$90=1),'Needs years'!$C$70,ROUND(IF(BL56=0,SUM('Needs years'!$O$60:$O$109),(1-(1+BL56)^-1)/(1-(1+BL56)^(-1/12))/12*SUMPRODUCT('Needs years'!$O$60:$O$109,(1+BL56)^(-'Needs years'!$I$60:$I$109))),2)))</f>
      </c>
      <c r="BM57">
        <f>IF('Inputs'!$B$90="",0,IF(AND(BM4=1,'Inputs'!$Q$90=1),'Needs years'!$C$70,ROUND(IF(BM56=0,SUM('Needs years'!$O$60:$O$109),(1-(1+BM56)^-1)/(1-(1+BM56)^(-1/12))/12*SUMPRODUCT('Needs years'!$O$60:$O$109,(1+BM56)^(-'Needs years'!$I$60:$I$109))),2)))</f>
      </c>
      <c r="BN57">
        <f>IF('Inputs'!$B$90="",0,IF(AND(BN4=1,'Inputs'!$Q$90=1),'Needs years'!$C$70,ROUND(IF(BN56=0,SUM('Needs years'!$O$60:$O$109),(1-(1+BN56)^-1)/(1-(1+BN56)^(-1/12))/12*SUMPRODUCT('Needs years'!$O$60:$O$109,(1+BN56)^(-'Needs years'!$I$60:$I$109))),2)))</f>
      </c>
      <c r="BO57">
        <f>IF('Inputs'!$B$90="",0,IF(AND(BO4=1,'Inputs'!$Q$90=1),'Needs years'!$C$70,ROUND(IF(BO56=0,SUM('Needs years'!$O$60:$O$109),(1-(1+BO56)^-1)/(1-(1+BO56)^(-1/12))/12*SUMPRODUCT('Needs years'!$O$60:$O$109,(1+BO56)^(-'Needs years'!$I$60:$I$109))),2)))</f>
      </c>
      <c r="BP57">
        <f>IF('Inputs'!$B$90="",0,IF(AND(BP4=1,'Inputs'!$Q$90=1),'Needs years'!$C$70,ROUND(IF(BP56=0,SUM('Needs years'!$O$60:$O$109),(1-(1+BP56)^-1)/(1-(1+BP56)^(-1/12))/12*SUMPRODUCT('Needs years'!$O$60:$O$109,(1+BP56)^(-'Needs years'!$I$60:$I$109))),2)))</f>
      </c>
      <c r="BQ57">
        <f>IF('Inputs'!$B$90="",0,IF(AND(BQ4=1,'Inputs'!$Q$90=1),'Needs years'!$C$70,ROUND(IF(BQ56=0,SUM('Needs years'!$O$60:$O$109),(1-(1+BQ56)^-1)/(1-(1+BQ56)^(-1/12))/12*SUMPRODUCT('Needs years'!$O$60:$O$109,(1+BQ56)^(-'Needs years'!$I$60:$I$109))),2)))</f>
      </c>
      <c r="BR57">
        <f>IF('Inputs'!$B$90="",0,IF(AND(BR4=1,'Inputs'!$Q$90=1),'Needs years'!$C$70,ROUND(IF(BR56=0,SUM('Needs years'!$O$60:$O$109),(1-(1+BR56)^-1)/(1-(1+BR56)^(-1/12))/12*SUMPRODUCT('Needs years'!$O$60:$O$109,(1+BR56)^(-'Needs years'!$I$60:$I$109))),2)))</f>
      </c>
      <c r="BS57">
        <f>IF('Inputs'!$B$90="",0,IF(AND(BS4=1,'Inputs'!$Q$90=1),'Needs years'!$C$70,ROUND(IF(BS56=0,SUM('Needs years'!$O$60:$O$109),(1-(1+BS56)^-1)/(1-(1+BS56)^(-1/12))/12*SUMPRODUCT('Needs years'!$O$60:$O$109,(1+BS56)^(-'Needs years'!$I$60:$I$109))),2)))</f>
      </c>
    </row>
    <row r="58" spans="2:71" x14ac:dyDescent="0.25">
      <c r="B58" t="s">
        <v>377</v>
      </c>
      <c r="C58">
        <f>IF(OR('Inputs'!$B$90="",AND(C4=1,'Inputs'!$Q$90=1)),0,ROUND(C57-C53,2))</f>
      </c>
      <c r="E58">
        <f>IF(OR('Inputs'!$B$90="",AND(E4=1,'Inputs'!$Q$90=1)),0,ROUND(E57-E53,2))</f>
      </c>
      <c r="F58">
        <f>IF(OR('Inputs'!$B$90="",AND(F4=1,'Inputs'!$Q$90=1)),0,ROUND(F57-F53,2))</f>
      </c>
      <c r="G58">
        <f>IF(OR('Inputs'!$B$90="",AND(G4=1,'Inputs'!$Q$90=1)),0,ROUND(G57-G53,2))</f>
      </c>
      <c r="H58">
        <f>IF(OR('Inputs'!$B$90="",AND(H4=1,'Inputs'!$Q$90=1)),0,ROUND(H57-H53,2))</f>
      </c>
      <c r="I58">
        <f>IF(OR('Inputs'!$B$90="",AND(I4=1,'Inputs'!$Q$90=1)),0,ROUND(I57-I53,2))</f>
      </c>
      <c r="J58">
        <f>IF(OR('Inputs'!$B$90="",AND(J4=1,'Inputs'!$Q$90=1)),0,ROUND(J57-J53,2))</f>
      </c>
      <c r="K58">
        <f>IF(OR('Inputs'!$B$90="",AND(K4=1,'Inputs'!$Q$90=1)),0,ROUND(K57-K53,2))</f>
      </c>
      <c r="L58">
        <f>IF(OR('Inputs'!$B$90="",AND(L4=1,'Inputs'!$Q$90=1)),0,ROUND(L57-L53,2))</f>
      </c>
      <c r="M58">
        <f>IF(OR('Inputs'!$B$90="",AND(M4=1,'Inputs'!$Q$90=1)),0,ROUND(M57-M53,2))</f>
      </c>
      <c r="N58">
        <f>IF(OR('Inputs'!$B$90="",AND(N4=1,'Inputs'!$Q$90=1)),0,ROUND(N57-N53,2))</f>
      </c>
      <c r="O58">
        <f>IF(OR('Inputs'!$B$90="",AND(O4=1,'Inputs'!$Q$90=1)),0,ROUND(O57-O53,2))</f>
      </c>
      <c r="P58">
        <f>IF(OR('Inputs'!$B$90="",AND(P4=1,'Inputs'!$Q$90=1)),0,ROUND(P57-P53,2))</f>
      </c>
      <c r="Q58">
        <f>IF(OR('Inputs'!$B$90="",AND(Q4=1,'Inputs'!$Q$90=1)),0,ROUND(Q57-Q53,2))</f>
      </c>
      <c r="R58">
        <f>IF(OR('Inputs'!$B$90="",AND(R4=1,'Inputs'!$Q$90=1)),0,ROUND(R57-R53,2))</f>
      </c>
      <c r="S58">
        <f>IF(OR('Inputs'!$B$90="",AND(S4=1,'Inputs'!$Q$90=1)),0,ROUND(S57-S53,2))</f>
      </c>
      <c r="T58">
        <f>IF(OR('Inputs'!$B$90="",AND(T4=1,'Inputs'!$Q$90=1)),0,ROUND(T57-T53,2))</f>
      </c>
      <c r="V58">
        <f>IF(OR('Inputs'!$B$90="",AND(V4=1,'Inputs'!$Q$90=1)),0,ROUND(V57-V53,2))</f>
      </c>
      <c r="W58">
        <f>IF(OR('Inputs'!$B$90="",AND(W4=1,'Inputs'!$Q$90=1)),0,ROUND(W57-W53,2))</f>
      </c>
      <c r="X58">
        <f>IF(OR('Inputs'!$B$90="",AND(X4=1,'Inputs'!$Q$90=1)),0,ROUND(X57-X53,2))</f>
      </c>
      <c r="Y58">
        <f>IF(OR('Inputs'!$B$90="",AND(Y4=1,'Inputs'!$Q$90=1)),0,ROUND(Y57-Y53,2))</f>
      </c>
      <c r="Z58">
        <f>IF(OR('Inputs'!$B$90="",AND(Z4=1,'Inputs'!$Q$90=1)),0,ROUND(Z57-Z53,2))</f>
      </c>
      <c r="AA58">
        <f>IF(OR('Inputs'!$B$90="",AND(AA4=1,'Inputs'!$Q$90=1)),0,ROUND(AA57-AA53,2))</f>
      </c>
      <c r="AB58">
        <f>IF(OR('Inputs'!$B$90="",AND(AB4=1,'Inputs'!$Q$90=1)),0,ROUND(AB57-AB53,2))</f>
      </c>
      <c r="AC58">
        <f>IF(OR('Inputs'!$B$90="",AND(AC4=1,'Inputs'!$Q$90=1)),0,ROUND(AC57-AC53,2))</f>
      </c>
      <c r="AD58">
        <f>IF(OR('Inputs'!$B$90="",AND(AD4=1,'Inputs'!$Q$90=1)),0,ROUND(AD57-AD53,2))</f>
      </c>
      <c r="AE58">
        <f>IF(OR('Inputs'!$B$90="",AND(AE4=1,'Inputs'!$Q$90=1)),0,ROUND(AE57-AE53,2))</f>
      </c>
      <c r="AF58">
        <f>IF(OR('Inputs'!$B$90="",AND(AF4=1,'Inputs'!$Q$90=1)),0,ROUND(AF57-AF53,2))</f>
      </c>
      <c r="AG58">
        <f>IF(OR('Inputs'!$B$90="",AND(AG4=1,'Inputs'!$Q$90=1)),0,ROUND(AG57-AG53,2))</f>
      </c>
      <c r="AH58">
        <f>IF(OR('Inputs'!$B$90="",AND(AH4=1,'Inputs'!$Q$90=1)),0,ROUND(AH57-AH53,2))</f>
      </c>
      <c r="AI58">
        <f>IF(OR('Inputs'!$B$90="",AND(AI4=1,'Inputs'!$Q$90=1)),0,ROUND(AI57-AI53,2))</f>
      </c>
      <c r="AJ58">
        <f>IF(OR('Inputs'!$B$90="",AND(AJ4=1,'Inputs'!$Q$90=1)),0,ROUND(AJ57-AJ53,2))</f>
      </c>
      <c r="AK58">
        <f>IF(OR('Inputs'!$B$90="",AND(AK4=1,'Inputs'!$Q$90=1)),0,ROUND(AK57-AK53,2))</f>
      </c>
      <c r="AM58">
        <f>IF(OR('Inputs'!$B$90="",AND(AM4=1,'Inputs'!$Q$90=1)),0,ROUND(AM57-AM53,2))</f>
      </c>
      <c r="AN58">
        <f>IF(OR('Inputs'!$B$90="",AND(AN4=1,'Inputs'!$Q$90=1)),0,ROUND(AN57-AN53,2))</f>
      </c>
      <c r="AO58">
        <f>IF(OR('Inputs'!$B$90="",AND(AO4=1,'Inputs'!$Q$90=1)),0,ROUND(AO57-AO53,2))</f>
      </c>
      <c r="AP58">
        <f>IF(OR('Inputs'!$B$90="",AND(AP4=1,'Inputs'!$Q$90=1)),0,ROUND(AP57-AP53,2))</f>
      </c>
      <c r="AQ58">
        <f>IF(OR('Inputs'!$B$90="",AND(AQ4=1,'Inputs'!$Q$90=1)),0,ROUND(AQ57-AQ53,2))</f>
      </c>
      <c r="AR58">
        <f>IF(OR('Inputs'!$B$90="",AND(AR4=1,'Inputs'!$Q$90=1)),0,ROUND(AR57-AR53,2))</f>
      </c>
      <c r="AS58">
        <f>IF(OR('Inputs'!$B$90="",AND(AS4=1,'Inputs'!$Q$90=1)),0,ROUND(AS57-AS53,2))</f>
      </c>
      <c r="AT58">
        <f>IF(OR('Inputs'!$B$90="",AND(AT4=1,'Inputs'!$Q$90=1)),0,ROUND(AT57-AT53,2))</f>
      </c>
      <c r="AU58">
        <f>IF(OR('Inputs'!$B$90="",AND(AU4=1,'Inputs'!$Q$90=1)),0,ROUND(AU57-AU53,2))</f>
      </c>
      <c r="AV58">
        <f>IF(OR('Inputs'!$B$90="",AND(AV4=1,'Inputs'!$Q$90=1)),0,ROUND(AV57-AV53,2))</f>
      </c>
      <c r="AW58">
        <f>IF(OR('Inputs'!$B$90="",AND(AW4=1,'Inputs'!$Q$90=1)),0,ROUND(AW57-AW53,2))</f>
      </c>
      <c r="AX58">
        <f>IF(OR('Inputs'!$B$90="",AND(AX4=1,'Inputs'!$Q$90=1)),0,ROUND(AX57-AX53,2))</f>
      </c>
      <c r="AY58">
        <f>IF(OR('Inputs'!$B$90="",AND(AY4=1,'Inputs'!$Q$90=1)),0,ROUND(AY57-AY53,2))</f>
      </c>
      <c r="AZ58">
        <f>IF(OR('Inputs'!$B$90="",AND(AZ4=1,'Inputs'!$Q$90=1)),0,ROUND(AZ57-AZ53,2))</f>
      </c>
      <c r="BA58">
        <f>IF(OR('Inputs'!$B$90="",AND(BA4=1,'Inputs'!$Q$90=1)),0,ROUND(BA57-BA53,2))</f>
      </c>
      <c r="BB58">
        <f>IF(OR('Inputs'!$B$90="",AND(BB4=1,'Inputs'!$Q$90=1)),0,ROUND(BB57-BB53,2))</f>
      </c>
      <c r="BD58">
        <f>IF(OR('Inputs'!$B$90="",AND(BD4=1,'Inputs'!$Q$90=1)),0,ROUND(BD57-BD53,2))</f>
      </c>
      <c r="BE58">
        <f>IF(OR('Inputs'!$B$90="",AND(BE4=1,'Inputs'!$Q$90=1)),0,ROUND(BE57-BE53,2))</f>
      </c>
      <c r="BF58">
        <f>IF(OR('Inputs'!$B$90="",AND(BF4=1,'Inputs'!$Q$90=1)),0,ROUND(BF57-BF53,2))</f>
      </c>
      <c r="BG58">
        <f>IF(OR('Inputs'!$B$90="",AND(BG4=1,'Inputs'!$Q$90=1)),0,ROUND(BG57-BG53,2))</f>
      </c>
      <c r="BH58">
        <f>IF(OR('Inputs'!$B$90="",AND(BH4=1,'Inputs'!$Q$90=1)),0,ROUND(BH57-BH53,2))</f>
      </c>
      <c r="BI58">
        <f>IF(OR('Inputs'!$B$90="",AND(BI4=1,'Inputs'!$Q$90=1)),0,ROUND(BI57-BI53,2))</f>
      </c>
      <c r="BJ58">
        <f>IF(OR('Inputs'!$B$90="",AND(BJ4=1,'Inputs'!$Q$90=1)),0,ROUND(BJ57-BJ53,2))</f>
      </c>
      <c r="BK58">
        <f>IF(OR('Inputs'!$B$90="",AND(BK4=1,'Inputs'!$Q$90=1)),0,ROUND(BK57-BK53,2))</f>
      </c>
      <c r="BL58">
        <f>IF(OR('Inputs'!$B$90="",AND(BL4=1,'Inputs'!$Q$90=1)),0,ROUND(BL57-BL53,2))</f>
      </c>
      <c r="BM58">
        <f>IF(OR('Inputs'!$B$90="",AND(BM4=1,'Inputs'!$Q$90=1)),0,ROUND(BM57-BM53,2))</f>
      </c>
      <c r="BN58">
        <f>IF(OR('Inputs'!$B$90="",AND(BN4=1,'Inputs'!$Q$90=1)),0,ROUND(BN57-BN53,2))</f>
      </c>
      <c r="BO58">
        <f>IF(OR('Inputs'!$B$90="",AND(BO4=1,'Inputs'!$Q$90=1)),0,ROUND(BO57-BO53,2))</f>
      </c>
      <c r="BP58">
        <f>IF(OR('Inputs'!$B$90="",AND(BP4=1,'Inputs'!$Q$90=1)),0,ROUND(BP57-BP53,2))</f>
      </c>
      <c r="BQ58">
        <f>IF(OR('Inputs'!$B$90="",AND(BQ4=1,'Inputs'!$Q$90=1)),0,ROUND(BQ57-BQ53,2))</f>
      </c>
      <c r="BR58">
        <f>IF(OR('Inputs'!$B$90="",AND(BR4=1,'Inputs'!$Q$90=1)),0,ROUND(BR57-BR53,2))</f>
      </c>
      <c r="BS58">
        <f>IF(OR('Inputs'!$B$90="",AND(BS4=1,'Inputs'!$Q$90=1)),0,ROUND(BS57-BS53,2))</f>
      </c>
    </row>
    <row r="59" spans="2:71" x14ac:dyDescent="0.25">
      <c r="B59" t="s">
        <v>378</v>
      </c>
      <c r="C59">
        <f>IF('Inputs'!$B$90="",0,IF(AND(C4=1,'Inputs'!$Q$90=1),'Inputs'!$E$90,'Needs years'!$C$71/12+IF(C57&gt;0,C53/C57*'Needs years'!$C$72/12,0)))</f>
      </c>
      <c r="E59">
        <f>IF('Inputs'!$B$90="",0,IF(AND(E4=1,'Inputs'!$Q$90=1),'Inputs'!$E$90,'Needs years'!$C$71/12+IF(E57&gt;0,E53/E57*'Needs years'!$C$72/12,0)))</f>
      </c>
      <c r="F59">
        <f>IF('Inputs'!$B$90="",0,IF(AND(F4=1,'Inputs'!$Q$90=1),'Inputs'!$E$90,'Needs years'!$C$71/12+IF(F57&gt;0,F53/F57*'Needs years'!$C$72/12,0)))</f>
      </c>
      <c r="G59">
        <f>IF('Inputs'!$B$90="",0,IF(AND(G4=1,'Inputs'!$Q$90=1),'Inputs'!$E$90,'Needs years'!$C$71/12+IF(G57&gt;0,G53/G57*'Needs years'!$C$72/12,0)))</f>
      </c>
      <c r="H59">
        <f>IF('Inputs'!$B$90="",0,IF(AND(H4=1,'Inputs'!$Q$90=1),'Inputs'!$E$90,'Needs years'!$C$71/12+IF(H57&gt;0,H53/H57*'Needs years'!$C$72/12,0)))</f>
      </c>
      <c r="I59">
        <f>IF('Inputs'!$B$90="",0,IF(AND(I4=1,'Inputs'!$Q$90=1),'Inputs'!$E$90,'Needs years'!$C$71/12+IF(I57&gt;0,I53/I57*'Needs years'!$C$72/12,0)))</f>
      </c>
      <c r="J59">
        <f>IF('Inputs'!$B$90="",0,IF(AND(J4=1,'Inputs'!$Q$90=1),'Inputs'!$E$90,'Needs years'!$C$71/12+IF(J57&gt;0,J53/J57*'Needs years'!$C$72/12,0)))</f>
      </c>
      <c r="K59">
        <f>IF('Inputs'!$B$90="",0,IF(AND(K4=1,'Inputs'!$Q$90=1),'Inputs'!$E$90,'Needs years'!$C$71/12+IF(K57&gt;0,K53/K57*'Needs years'!$C$72/12,0)))</f>
      </c>
      <c r="L59">
        <f>IF('Inputs'!$B$90="",0,IF(AND(L4=1,'Inputs'!$Q$90=1),'Inputs'!$E$90,'Needs years'!$C$71/12+IF(L57&gt;0,L53/L57*'Needs years'!$C$72/12,0)))</f>
      </c>
      <c r="M59">
        <f>IF('Inputs'!$B$90="",0,IF(AND(M4=1,'Inputs'!$Q$90=1),'Inputs'!$E$90,'Needs years'!$C$71/12+IF(M57&gt;0,M53/M57*'Needs years'!$C$72/12,0)))</f>
      </c>
      <c r="N59">
        <f>IF('Inputs'!$B$90="",0,IF(AND(N4=1,'Inputs'!$Q$90=1),'Inputs'!$E$90,'Needs years'!$C$71/12+IF(N57&gt;0,N53/N57*'Needs years'!$C$72/12,0)))</f>
      </c>
      <c r="O59">
        <f>IF('Inputs'!$B$90="",0,IF(AND(O4=1,'Inputs'!$Q$90=1),'Inputs'!$E$90,'Needs years'!$C$71/12+IF(O57&gt;0,O53/O57*'Needs years'!$C$72/12,0)))</f>
      </c>
      <c r="P59">
        <f>IF('Inputs'!$B$90="",0,IF(AND(P4=1,'Inputs'!$Q$90=1),'Inputs'!$E$90,'Needs years'!$C$71/12+IF(P57&gt;0,P53/P57*'Needs years'!$C$72/12,0)))</f>
      </c>
      <c r="Q59">
        <f>IF('Inputs'!$B$90="",0,IF(AND(Q4=1,'Inputs'!$Q$90=1),'Inputs'!$E$90,'Needs years'!$C$71/12+IF(Q57&gt;0,Q53/Q57*'Needs years'!$C$72/12,0)))</f>
      </c>
      <c r="R59">
        <f>IF('Inputs'!$B$90="",0,IF(AND(R4=1,'Inputs'!$Q$90=1),'Inputs'!$E$90,'Needs years'!$C$71/12+IF(R57&gt;0,R53/R57*'Needs years'!$C$72/12,0)))</f>
      </c>
      <c r="S59">
        <f>IF('Inputs'!$B$90="",0,IF(AND(S4=1,'Inputs'!$Q$90=1),'Inputs'!$E$90,'Needs years'!$C$71/12+IF(S57&gt;0,S53/S57*'Needs years'!$C$72/12,0)))</f>
      </c>
      <c r="T59">
        <f>IF('Inputs'!$B$90="",0,IF(AND(T4=1,'Inputs'!$Q$90=1),'Inputs'!$E$90,'Needs years'!$C$71/12+IF(T57&gt;0,T53/T57*'Needs years'!$C$72/12,0)))</f>
      </c>
      <c r="V59">
        <f>IF('Inputs'!$B$90="",0,IF(AND(V4=1,'Inputs'!$Q$90=1),'Inputs'!$E$90,'Needs years'!$C$71/12+IF(V57&gt;0,V53/V57*'Needs years'!$C$72/12,0)))</f>
      </c>
      <c r="W59">
        <f>IF('Inputs'!$B$90="",0,IF(AND(W4=1,'Inputs'!$Q$90=1),'Inputs'!$E$90,'Needs years'!$C$71/12+IF(W57&gt;0,W53/W57*'Needs years'!$C$72/12,0)))</f>
      </c>
      <c r="X59">
        <f>IF('Inputs'!$B$90="",0,IF(AND(X4=1,'Inputs'!$Q$90=1),'Inputs'!$E$90,'Needs years'!$C$71/12+IF(X57&gt;0,X53/X57*'Needs years'!$C$72/12,0)))</f>
      </c>
      <c r="Y59">
        <f>IF('Inputs'!$B$90="",0,IF(AND(Y4=1,'Inputs'!$Q$90=1),'Inputs'!$E$90,'Needs years'!$C$71/12+IF(Y57&gt;0,Y53/Y57*'Needs years'!$C$72/12,0)))</f>
      </c>
      <c r="Z59">
        <f>IF('Inputs'!$B$90="",0,IF(AND(Z4=1,'Inputs'!$Q$90=1),'Inputs'!$E$90,'Needs years'!$C$71/12+IF(Z57&gt;0,Z53/Z57*'Needs years'!$C$72/12,0)))</f>
      </c>
      <c r="AA59">
        <f>IF('Inputs'!$B$90="",0,IF(AND(AA4=1,'Inputs'!$Q$90=1),'Inputs'!$E$90,'Needs years'!$C$71/12+IF(AA57&gt;0,AA53/AA57*'Needs years'!$C$72/12,0)))</f>
      </c>
      <c r="AB59">
        <f>IF('Inputs'!$B$90="",0,IF(AND(AB4=1,'Inputs'!$Q$90=1),'Inputs'!$E$90,'Needs years'!$C$71/12+IF(AB57&gt;0,AB53/AB57*'Needs years'!$C$72/12,0)))</f>
      </c>
      <c r="AC59">
        <f>IF('Inputs'!$B$90="",0,IF(AND(AC4=1,'Inputs'!$Q$90=1),'Inputs'!$E$90,'Needs years'!$C$71/12+IF(AC57&gt;0,AC53/AC57*'Needs years'!$C$72/12,0)))</f>
      </c>
      <c r="AD59">
        <f>IF('Inputs'!$B$90="",0,IF(AND(AD4=1,'Inputs'!$Q$90=1),'Inputs'!$E$90,'Needs years'!$C$71/12+IF(AD57&gt;0,AD53/AD57*'Needs years'!$C$72/12,0)))</f>
      </c>
      <c r="AE59">
        <f>IF('Inputs'!$B$90="",0,IF(AND(AE4=1,'Inputs'!$Q$90=1),'Inputs'!$E$90,'Needs years'!$C$71/12+IF(AE57&gt;0,AE53/AE57*'Needs years'!$C$72/12,0)))</f>
      </c>
      <c r="AF59">
        <f>IF('Inputs'!$B$90="",0,IF(AND(AF4=1,'Inputs'!$Q$90=1),'Inputs'!$E$90,'Needs years'!$C$71/12+IF(AF57&gt;0,AF53/AF57*'Needs years'!$C$72/12,0)))</f>
      </c>
      <c r="AG59">
        <f>IF('Inputs'!$B$90="",0,IF(AND(AG4=1,'Inputs'!$Q$90=1),'Inputs'!$E$90,'Needs years'!$C$71/12+IF(AG57&gt;0,AG53/AG57*'Needs years'!$C$72/12,0)))</f>
      </c>
      <c r="AH59">
        <f>IF('Inputs'!$B$90="",0,IF(AND(AH4=1,'Inputs'!$Q$90=1),'Inputs'!$E$90,'Needs years'!$C$71/12+IF(AH57&gt;0,AH53/AH57*'Needs years'!$C$72/12,0)))</f>
      </c>
      <c r="AI59">
        <f>IF('Inputs'!$B$90="",0,IF(AND(AI4=1,'Inputs'!$Q$90=1),'Inputs'!$E$90,'Needs years'!$C$71/12+IF(AI57&gt;0,AI53/AI57*'Needs years'!$C$72/12,0)))</f>
      </c>
      <c r="AJ59">
        <f>IF('Inputs'!$B$90="",0,IF(AND(AJ4=1,'Inputs'!$Q$90=1),'Inputs'!$E$90,'Needs years'!$C$71/12+IF(AJ57&gt;0,AJ53/AJ57*'Needs years'!$C$72/12,0)))</f>
      </c>
      <c r="AK59">
        <f>IF('Inputs'!$B$90="",0,IF(AND(AK4=1,'Inputs'!$Q$90=1),'Inputs'!$E$90,'Needs years'!$C$71/12+IF(AK57&gt;0,AK53/AK57*'Needs years'!$C$72/12,0)))</f>
      </c>
      <c r="AM59">
        <f>IF('Inputs'!$B$90="",0,IF(AND(AM4=1,'Inputs'!$Q$90=1),'Inputs'!$E$90,'Needs years'!$C$71/12+IF(AM57&gt;0,AM53/AM57*'Needs years'!$C$72/12,0)))</f>
      </c>
      <c r="AN59">
        <f>IF('Inputs'!$B$90="",0,IF(AND(AN4=1,'Inputs'!$Q$90=1),'Inputs'!$E$90,'Needs years'!$C$71/12+IF(AN57&gt;0,AN53/AN57*'Needs years'!$C$72/12,0)))</f>
      </c>
      <c r="AO59">
        <f>IF('Inputs'!$B$90="",0,IF(AND(AO4=1,'Inputs'!$Q$90=1),'Inputs'!$E$90,'Needs years'!$C$71/12+IF(AO57&gt;0,AO53/AO57*'Needs years'!$C$72/12,0)))</f>
      </c>
      <c r="AP59">
        <f>IF('Inputs'!$B$90="",0,IF(AND(AP4=1,'Inputs'!$Q$90=1),'Inputs'!$E$90,'Needs years'!$C$71/12+IF(AP57&gt;0,AP53/AP57*'Needs years'!$C$72/12,0)))</f>
      </c>
      <c r="AQ59">
        <f>IF('Inputs'!$B$90="",0,IF(AND(AQ4=1,'Inputs'!$Q$90=1),'Inputs'!$E$90,'Needs years'!$C$71/12+IF(AQ57&gt;0,AQ53/AQ57*'Needs years'!$C$72/12,0)))</f>
      </c>
      <c r="AR59">
        <f>IF('Inputs'!$B$90="",0,IF(AND(AR4=1,'Inputs'!$Q$90=1),'Inputs'!$E$90,'Needs years'!$C$71/12+IF(AR57&gt;0,AR53/AR57*'Needs years'!$C$72/12,0)))</f>
      </c>
      <c r="AS59">
        <f>IF('Inputs'!$B$90="",0,IF(AND(AS4=1,'Inputs'!$Q$90=1),'Inputs'!$E$90,'Needs years'!$C$71/12+IF(AS57&gt;0,AS53/AS57*'Needs years'!$C$72/12,0)))</f>
      </c>
      <c r="AT59">
        <f>IF('Inputs'!$B$90="",0,IF(AND(AT4=1,'Inputs'!$Q$90=1),'Inputs'!$E$90,'Needs years'!$C$71/12+IF(AT57&gt;0,AT53/AT57*'Needs years'!$C$72/12,0)))</f>
      </c>
      <c r="AU59">
        <f>IF('Inputs'!$B$90="",0,IF(AND(AU4=1,'Inputs'!$Q$90=1),'Inputs'!$E$90,'Needs years'!$C$71/12+IF(AU57&gt;0,AU53/AU57*'Needs years'!$C$72/12,0)))</f>
      </c>
      <c r="AV59">
        <f>IF('Inputs'!$B$90="",0,IF(AND(AV4=1,'Inputs'!$Q$90=1),'Inputs'!$E$90,'Needs years'!$C$71/12+IF(AV57&gt;0,AV53/AV57*'Needs years'!$C$72/12,0)))</f>
      </c>
      <c r="AW59">
        <f>IF('Inputs'!$B$90="",0,IF(AND(AW4=1,'Inputs'!$Q$90=1),'Inputs'!$E$90,'Needs years'!$C$71/12+IF(AW57&gt;0,AW53/AW57*'Needs years'!$C$72/12,0)))</f>
      </c>
      <c r="AX59">
        <f>IF('Inputs'!$B$90="",0,IF(AND(AX4=1,'Inputs'!$Q$90=1),'Inputs'!$E$90,'Needs years'!$C$71/12+IF(AX57&gt;0,AX53/AX57*'Needs years'!$C$72/12,0)))</f>
      </c>
      <c r="AY59">
        <f>IF('Inputs'!$B$90="",0,IF(AND(AY4=1,'Inputs'!$Q$90=1),'Inputs'!$E$90,'Needs years'!$C$71/12+IF(AY57&gt;0,AY53/AY57*'Needs years'!$C$72/12,0)))</f>
      </c>
      <c r="AZ59">
        <f>IF('Inputs'!$B$90="",0,IF(AND(AZ4=1,'Inputs'!$Q$90=1),'Inputs'!$E$90,'Needs years'!$C$71/12+IF(AZ57&gt;0,AZ53/AZ57*'Needs years'!$C$72/12,0)))</f>
      </c>
      <c r="BA59">
        <f>IF('Inputs'!$B$90="",0,IF(AND(BA4=1,'Inputs'!$Q$90=1),'Inputs'!$E$90,'Needs years'!$C$71/12+IF(BA57&gt;0,BA53/BA57*'Needs years'!$C$72/12,0)))</f>
      </c>
      <c r="BB59">
        <f>IF('Inputs'!$B$90="",0,IF(AND(BB4=1,'Inputs'!$Q$90=1),'Inputs'!$E$90,'Needs years'!$C$71/12+IF(BB57&gt;0,BB53/BB57*'Needs years'!$C$72/12,0)))</f>
      </c>
      <c r="BD59">
        <f>IF('Inputs'!$B$90="",0,IF(AND(BD4=1,'Inputs'!$Q$90=1),'Inputs'!$E$90,'Needs years'!$C$71/12+IF(BD57&gt;0,BD53/BD57*'Needs years'!$C$72/12,0)))</f>
      </c>
      <c r="BE59">
        <f>IF('Inputs'!$B$90="",0,IF(AND(BE4=1,'Inputs'!$Q$90=1),'Inputs'!$E$90,'Needs years'!$C$71/12+IF(BE57&gt;0,BE53/BE57*'Needs years'!$C$72/12,0)))</f>
      </c>
      <c r="BF59">
        <f>IF('Inputs'!$B$90="",0,IF(AND(BF4=1,'Inputs'!$Q$90=1),'Inputs'!$E$90,'Needs years'!$C$71/12+IF(BF57&gt;0,BF53/BF57*'Needs years'!$C$72/12,0)))</f>
      </c>
      <c r="BG59">
        <f>IF('Inputs'!$B$90="",0,IF(AND(BG4=1,'Inputs'!$Q$90=1),'Inputs'!$E$90,'Needs years'!$C$71/12+IF(BG57&gt;0,BG53/BG57*'Needs years'!$C$72/12,0)))</f>
      </c>
      <c r="BH59">
        <f>IF('Inputs'!$B$90="",0,IF(AND(BH4=1,'Inputs'!$Q$90=1),'Inputs'!$E$90,'Needs years'!$C$71/12+IF(BH57&gt;0,BH53/BH57*'Needs years'!$C$72/12,0)))</f>
      </c>
      <c r="BI59">
        <f>IF('Inputs'!$B$90="",0,IF(AND(BI4=1,'Inputs'!$Q$90=1),'Inputs'!$E$90,'Needs years'!$C$71/12+IF(BI57&gt;0,BI53/BI57*'Needs years'!$C$72/12,0)))</f>
      </c>
      <c r="BJ59">
        <f>IF('Inputs'!$B$90="",0,IF(AND(BJ4=1,'Inputs'!$Q$90=1),'Inputs'!$E$90,'Needs years'!$C$71/12+IF(BJ57&gt;0,BJ53/BJ57*'Needs years'!$C$72/12,0)))</f>
      </c>
      <c r="BK59">
        <f>IF('Inputs'!$B$90="",0,IF(AND(BK4=1,'Inputs'!$Q$90=1),'Inputs'!$E$90,'Needs years'!$C$71/12+IF(BK57&gt;0,BK53/BK57*'Needs years'!$C$72/12,0)))</f>
      </c>
      <c r="BL59">
        <f>IF('Inputs'!$B$90="",0,IF(AND(BL4=1,'Inputs'!$Q$90=1),'Inputs'!$E$90,'Needs years'!$C$71/12+IF(BL57&gt;0,BL53/BL57*'Needs years'!$C$72/12,0)))</f>
      </c>
      <c r="BM59">
        <f>IF('Inputs'!$B$90="",0,IF(AND(BM4=1,'Inputs'!$Q$90=1),'Inputs'!$E$90,'Needs years'!$C$71/12+IF(BM57&gt;0,BM53/BM57*'Needs years'!$C$72/12,0)))</f>
      </c>
      <c r="BN59">
        <f>IF('Inputs'!$B$90="",0,IF(AND(BN4=1,'Inputs'!$Q$90=1),'Inputs'!$E$90,'Needs years'!$C$71/12+IF(BN57&gt;0,BN53/BN57*'Needs years'!$C$72/12,0)))</f>
      </c>
      <c r="BO59">
        <f>IF('Inputs'!$B$90="",0,IF(AND(BO4=1,'Inputs'!$Q$90=1),'Inputs'!$E$90,'Needs years'!$C$71/12+IF(BO57&gt;0,BO53/BO57*'Needs years'!$C$72/12,0)))</f>
      </c>
      <c r="BP59">
        <f>IF('Inputs'!$B$90="",0,IF(AND(BP4=1,'Inputs'!$Q$90=1),'Inputs'!$E$90,'Needs years'!$C$71/12+IF(BP57&gt;0,BP53/BP57*'Needs years'!$C$72/12,0)))</f>
      </c>
      <c r="BQ59">
        <f>IF('Inputs'!$B$90="",0,IF(AND(BQ4=1,'Inputs'!$Q$90=1),'Inputs'!$E$90,'Needs years'!$C$71/12+IF(BQ57&gt;0,BQ53/BQ57*'Needs years'!$C$72/12,0)))</f>
      </c>
      <c r="BR59">
        <f>IF('Inputs'!$B$90="",0,IF(AND(BR4=1,'Inputs'!$Q$90=1),'Inputs'!$E$90,'Needs years'!$C$71/12+IF(BR57&gt;0,BR53/BR57*'Needs years'!$C$72/12,0)))</f>
      </c>
      <c r="BS59">
        <f>IF('Inputs'!$B$90="",0,IF(AND(BS4=1,'Inputs'!$Q$90=1),'Inputs'!$E$90,'Needs years'!$C$71/12+IF(BS57&gt;0,BS53/BS57*'Needs years'!$C$72/12,0)))</f>
      </c>
    </row>
    <row r="60" spans="2:71" x14ac:dyDescent="0.25">
      <c r="B60" t="s">
        <v>379</v>
      </c>
      <c r="C60">
        <f>IF('Inputs'!$B$91="",0,ROUND(IF(C31="S",'Inputs'!$O$91*C28,IF(C31="K",'Inputs'!$L$91*IF('Inputs'!$N$91=1,C33,C32),0))+'Inputs'!$Q$91*IF('Inputs'!$S$91=1,C35+C37+C43+C40,C34+C36+C42+C39)+SUMPRODUCT(('Inputs'!$F$59:$F$70='Inputs'!$B$91)*('Inputs'!$C$59:$C$70&lt;&gt;"Estate")*('Inputs'!$C$59:$C$70&lt;&gt;""),(('Inputs'!$D$59:$D$70-('Inputs'!$P$59:$P$70=C5)*C14)-'Inputs'!$R$59:$R$70*ROUND(C21*('Inputs'!$D$59:$D$70-('Inputs'!$P$59:$P$70=C5)*C14),2)))+IF(OR(C3=1,C3=2),C9-ROUND(C21*C9,2),0)+IF(AND(C3=3,C6='Inputs'!$B$91),C38,0),2))</f>
      </c>
      <c r="E60">
        <f>IF('Inputs'!$B$91="",0,ROUND(IF(E31="S",'Inputs'!$O$91*E28,IF(E31="K",'Inputs'!$L$91*IF('Inputs'!$N$91=1,E33,E32),0))+'Inputs'!$Q$91*IF('Inputs'!$S$91=1,E35+E37+E43+E40,E34+E36+E42+E39)+SUMPRODUCT(('Inputs'!$F$59:$F$70='Inputs'!$B$91)*('Inputs'!$C$59:$C$70&lt;&gt;"Estate")*('Inputs'!$C$59:$C$70&lt;&gt;""),(('Inputs'!$D$59:$D$70-('Inputs'!$P$59:$P$70=E5)*E14)-'Inputs'!$R$59:$R$70*ROUND(E21*('Inputs'!$D$59:$D$70-('Inputs'!$P$59:$P$70=E5)*E14),2)))+IF(OR(E3=1,E3=2),E9-ROUND(E21*E9,2),0)+IF(AND(E3=3,E6='Inputs'!$B$91),E38,0),2))</f>
      </c>
      <c r="F60">
        <f>IF('Inputs'!$B$91="",0,ROUND(IF(F31="S",'Inputs'!$O$91*F28,IF(F31="K",'Inputs'!$L$91*IF('Inputs'!$N$91=1,F33,F32),0))+'Inputs'!$Q$91*IF('Inputs'!$S$91=1,F35+F37+F43+F40,F34+F36+F42+F39)+SUMPRODUCT(('Inputs'!$F$59:$F$70='Inputs'!$B$91)*('Inputs'!$C$59:$C$70&lt;&gt;"Estate")*('Inputs'!$C$59:$C$70&lt;&gt;""),(('Inputs'!$D$59:$D$70-('Inputs'!$P$59:$P$70=F5)*F14)-'Inputs'!$R$59:$R$70*ROUND(F21*('Inputs'!$D$59:$D$70-('Inputs'!$P$59:$P$70=F5)*F14),2)))+IF(OR(F3=1,F3=2),F9-ROUND(F21*F9,2),0)+IF(AND(F3=3,F6='Inputs'!$B$91),F38,0),2))</f>
      </c>
      <c r="G60">
        <f>IF('Inputs'!$B$91="",0,ROUND(IF(G31="S",'Inputs'!$O$91*G28,IF(G31="K",'Inputs'!$L$91*IF('Inputs'!$N$91=1,G33,G32),0))+'Inputs'!$Q$91*IF('Inputs'!$S$91=1,G35+G37+G43+G40,G34+G36+G42+G39)+SUMPRODUCT(('Inputs'!$F$59:$F$70='Inputs'!$B$91)*('Inputs'!$C$59:$C$70&lt;&gt;"Estate")*('Inputs'!$C$59:$C$70&lt;&gt;""),(('Inputs'!$D$59:$D$70-('Inputs'!$P$59:$P$70=G5)*G14)-'Inputs'!$R$59:$R$70*ROUND(G21*('Inputs'!$D$59:$D$70-('Inputs'!$P$59:$P$70=G5)*G14),2)))+IF(OR(G3=1,G3=2),G9-ROUND(G21*G9,2),0)+IF(AND(G3=3,G6='Inputs'!$B$91),G38,0),2))</f>
      </c>
      <c r="H60">
        <f>IF('Inputs'!$B$91="",0,ROUND(IF(H31="S",'Inputs'!$O$91*H28,IF(H31="K",'Inputs'!$L$91*IF('Inputs'!$N$91=1,H33,H32),0))+'Inputs'!$Q$91*IF('Inputs'!$S$91=1,H35+H37+H43+H40,H34+H36+H42+H39)+SUMPRODUCT(('Inputs'!$F$59:$F$70='Inputs'!$B$91)*('Inputs'!$C$59:$C$70&lt;&gt;"Estate")*('Inputs'!$C$59:$C$70&lt;&gt;""),(('Inputs'!$D$59:$D$70-('Inputs'!$P$59:$P$70=H5)*H14)-'Inputs'!$R$59:$R$70*ROUND(H21*('Inputs'!$D$59:$D$70-('Inputs'!$P$59:$P$70=H5)*H14),2)))+IF(OR(H3=1,H3=2),H9-ROUND(H21*H9,2),0)+IF(AND(H3=3,H6='Inputs'!$B$91),H38,0),2))</f>
      </c>
      <c r="I60">
        <f>IF('Inputs'!$B$91="",0,ROUND(IF(I31="S",'Inputs'!$O$91*I28,IF(I31="K",'Inputs'!$L$91*IF('Inputs'!$N$91=1,I33,I32),0))+'Inputs'!$Q$91*IF('Inputs'!$S$91=1,I35+I37+I43+I40,I34+I36+I42+I39)+SUMPRODUCT(('Inputs'!$F$59:$F$70='Inputs'!$B$91)*('Inputs'!$C$59:$C$70&lt;&gt;"Estate")*('Inputs'!$C$59:$C$70&lt;&gt;""),(('Inputs'!$D$59:$D$70-('Inputs'!$P$59:$P$70=I5)*I14)-'Inputs'!$R$59:$R$70*ROUND(I21*('Inputs'!$D$59:$D$70-('Inputs'!$P$59:$P$70=I5)*I14),2)))+IF(OR(I3=1,I3=2),I9-ROUND(I21*I9,2),0)+IF(AND(I3=3,I6='Inputs'!$B$91),I38,0),2))</f>
      </c>
      <c r="J60">
        <f>IF('Inputs'!$B$91="",0,ROUND(IF(J31="S",'Inputs'!$O$91*J28,IF(J31="K",'Inputs'!$L$91*IF('Inputs'!$N$91=1,J33,J32),0))+'Inputs'!$Q$91*IF('Inputs'!$S$91=1,J35+J37+J43+J40,J34+J36+J42+J39)+SUMPRODUCT(('Inputs'!$F$59:$F$70='Inputs'!$B$91)*('Inputs'!$C$59:$C$70&lt;&gt;"Estate")*('Inputs'!$C$59:$C$70&lt;&gt;""),(('Inputs'!$D$59:$D$70-('Inputs'!$P$59:$P$70=J5)*J14)-'Inputs'!$R$59:$R$70*ROUND(J21*('Inputs'!$D$59:$D$70-('Inputs'!$P$59:$P$70=J5)*J14),2)))+IF(OR(J3=1,J3=2),J9-ROUND(J21*J9,2),0)+IF(AND(J3=3,J6='Inputs'!$B$91),J38,0),2))</f>
      </c>
      <c r="K60">
        <f>IF('Inputs'!$B$91="",0,ROUND(IF(K31="S",'Inputs'!$O$91*K28,IF(K31="K",'Inputs'!$L$91*IF('Inputs'!$N$91=1,K33,K32),0))+'Inputs'!$Q$91*IF('Inputs'!$S$91=1,K35+K37+K43+K40,K34+K36+K42+K39)+SUMPRODUCT(('Inputs'!$F$59:$F$70='Inputs'!$B$91)*('Inputs'!$C$59:$C$70&lt;&gt;"Estate")*('Inputs'!$C$59:$C$70&lt;&gt;""),(('Inputs'!$D$59:$D$70-('Inputs'!$P$59:$P$70=K5)*K14)-'Inputs'!$R$59:$R$70*ROUND(K21*('Inputs'!$D$59:$D$70-('Inputs'!$P$59:$P$70=K5)*K14),2)))+IF(OR(K3=1,K3=2),K9-ROUND(K21*K9,2),0)+IF(AND(K3=3,K6='Inputs'!$B$91),K38,0),2))</f>
      </c>
      <c r="L60">
        <f>IF('Inputs'!$B$91="",0,ROUND(IF(L31="S",'Inputs'!$O$91*L28,IF(L31="K",'Inputs'!$L$91*IF('Inputs'!$N$91=1,L33,L32),0))+'Inputs'!$Q$91*IF('Inputs'!$S$91=1,L35+L37+L43+L40,L34+L36+L42+L39)+SUMPRODUCT(('Inputs'!$F$59:$F$70='Inputs'!$B$91)*('Inputs'!$C$59:$C$70&lt;&gt;"Estate")*('Inputs'!$C$59:$C$70&lt;&gt;""),(('Inputs'!$D$59:$D$70-('Inputs'!$P$59:$P$70=L5)*L14)-'Inputs'!$R$59:$R$70*ROUND(L21*('Inputs'!$D$59:$D$70-('Inputs'!$P$59:$P$70=L5)*L14),2)))+IF(OR(L3=1,L3=2),L9-ROUND(L21*L9,2),0)+IF(AND(L3=3,L6='Inputs'!$B$91),L38,0),2))</f>
      </c>
      <c r="M60">
        <f>IF('Inputs'!$B$91="",0,ROUND(IF(M31="S",'Inputs'!$O$91*M28,IF(M31="K",'Inputs'!$L$91*IF('Inputs'!$N$91=1,M33,M32),0))+'Inputs'!$Q$91*IF('Inputs'!$S$91=1,M35+M37+M43+M40,M34+M36+M42+M39)+SUMPRODUCT(('Inputs'!$F$59:$F$70='Inputs'!$B$91)*('Inputs'!$C$59:$C$70&lt;&gt;"Estate")*('Inputs'!$C$59:$C$70&lt;&gt;""),(('Inputs'!$D$59:$D$70-('Inputs'!$P$59:$P$70=M5)*M14)-'Inputs'!$R$59:$R$70*ROUND(M21*('Inputs'!$D$59:$D$70-('Inputs'!$P$59:$P$70=M5)*M14),2)))+IF(OR(M3=1,M3=2),M9-ROUND(M21*M9,2),0)+IF(AND(M3=3,M6='Inputs'!$B$91),M38,0),2))</f>
      </c>
      <c r="N60">
        <f>IF('Inputs'!$B$91="",0,ROUND(IF(N31="S",'Inputs'!$O$91*N28,IF(N31="K",'Inputs'!$L$91*IF('Inputs'!$N$91=1,N33,N32),0))+'Inputs'!$Q$91*IF('Inputs'!$S$91=1,N35+N37+N43+N40,N34+N36+N42+N39)+SUMPRODUCT(('Inputs'!$F$59:$F$70='Inputs'!$B$91)*('Inputs'!$C$59:$C$70&lt;&gt;"Estate")*('Inputs'!$C$59:$C$70&lt;&gt;""),(('Inputs'!$D$59:$D$70-('Inputs'!$P$59:$P$70=N5)*N14)-'Inputs'!$R$59:$R$70*ROUND(N21*('Inputs'!$D$59:$D$70-('Inputs'!$P$59:$P$70=N5)*N14),2)))+IF(OR(N3=1,N3=2),N9-ROUND(N21*N9,2),0)+IF(AND(N3=3,N6='Inputs'!$B$91),N38,0),2))</f>
      </c>
      <c r="O60">
        <f>IF('Inputs'!$B$91="",0,ROUND(IF(O31="S",'Inputs'!$O$91*O28,IF(O31="K",'Inputs'!$L$91*IF('Inputs'!$N$91=1,O33,O32),0))+'Inputs'!$Q$91*IF('Inputs'!$S$91=1,O35+O37+O43+O40,O34+O36+O42+O39)+SUMPRODUCT(('Inputs'!$F$59:$F$70='Inputs'!$B$91)*('Inputs'!$C$59:$C$70&lt;&gt;"Estate")*('Inputs'!$C$59:$C$70&lt;&gt;""),(('Inputs'!$D$59:$D$70-('Inputs'!$P$59:$P$70=O5)*O14)-'Inputs'!$R$59:$R$70*ROUND(O21*('Inputs'!$D$59:$D$70-('Inputs'!$P$59:$P$70=O5)*O14),2)))+IF(OR(O3=1,O3=2),O9-ROUND(O21*O9,2),0)+IF(AND(O3=3,O6='Inputs'!$B$91),O38,0),2))</f>
      </c>
      <c r="P60">
        <f>IF('Inputs'!$B$91="",0,ROUND(IF(P31="S",'Inputs'!$O$91*P28,IF(P31="K",'Inputs'!$L$91*IF('Inputs'!$N$91=1,P33,P32),0))+'Inputs'!$Q$91*IF('Inputs'!$S$91=1,P35+P37+P43+P40,P34+P36+P42+P39)+SUMPRODUCT(('Inputs'!$F$59:$F$70='Inputs'!$B$91)*('Inputs'!$C$59:$C$70&lt;&gt;"Estate")*('Inputs'!$C$59:$C$70&lt;&gt;""),(('Inputs'!$D$59:$D$70-('Inputs'!$P$59:$P$70=P5)*P14)-'Inputs'!$R$59:$R$70*ROUND(P21*('Inputs'!$D$59:$D$70-('Inputs'!$P$59:$P$70=P5)*P14),2)))+IF(OR(P3=1,P3=2),P9-ROUND(P21*P9,2),0)+IF(AND(P3=3,P6='Inputs'!$B$91),P38,0),2))</f>
      </c>
      <c r="Q60">
        <f>IF('Inputs'!$B$91="",0,ROUND(IF(Q31="S",'Inputs'!$O$91*Q28,IF(Q31="K",'Inputs'!$L$91*IF('Inputs'!$N$91=1,Q33,Q32),0))+'Inputs'!$Q$91*IF('Inputs'!$S$91=1,Q35+Q37+Q43+Q40,Q34+Q36+Q42+Q39)+SUMPRODUCT(('Inputs'!$F$59:$F$70='Inputs'!$B$91)*('Inputs'!$C$59:$C$70&lt;&gt;"Estate")*('Inputs'!$C$59:$C$70&lt;&gt;""),(('Inputs'!$D$59:$D$70-('Inputs'!$P$59:$P$70=Q5)*Q14)-'Inputs'!$R$59:$R$70*ROUND(Q21*('Inputs'!$D$59:$D$70-('Inputs'!$P$59:$P$70=Q5)*Q14),2)))+IF(OR(Q3=1,Q3=2),Q9-ROUND(Q21*Q9,2),0)+IF(AND(Q3=3,Q6='Inputs'!$B$91),Q38,0),2))</f>
      </c>
      <c r="R60">
        <f>IF('Inputs'!$B$91="",0,ROUND(IF(R31="S",'Inputs'!$O$91*R28,IF(R31="K",'Inputs'!$L$91*IF('Inputs'!$N$91=1,R33,R32),0))+'Inputs'!$Q$91*IF('Inputs'!$S$91=1,R35+R37+R43+R40,R34+R36+R42+R39)+SUMPRODUCT(('Inputs'!$F$59:$F$70='Inputs'!$B$91)*('Inputs'!$C$59:$C$70&lt;&gt;"Estate")*('Inputs'!$C$59:$C$70&lt;&gt;""),(('Inputs'!$D$59:$D$70-('Inputs'!$P$59:$P$70=R5)*R14)-'Inputs'!$R$59:$R$70*ROUND(R21*('Inputs'!$D$59:$D$70-('Inputs'!$P$59:$P$70=R5)*R14),2)))+IF(OR(R3=1,R3=2),R9-ROUND(R21*R9,2),0)+IF(AND(R3=3,R6='Inputs'!$B$91),R38,0),2))</f>
      </c>
      <c r="S60">
        <f>IF('Inputs'!$B$91="",0,ROUND(IF(S31="S",'Inputs'!$O$91*S28,IF(S31="K",'Inputs'!$L$91*IF('Inputs'!$N$91=1,S33,S32),0))+'Inputs'!$Q$91*IF('Inputs'!$S$91=1,S35+S37+S43+S40,S34+S36+S42+S39)+SUMPRODUCT(('Inputs'!$F$59:$F$70='Inputs'!$B$91)*('Inputs'!$C$59:$C$70&lt;&gt;"Estate")*('Inputs'!$C$59:$C$70&lt;&gt;""),(('Inputs'!$D$59:$D$70-('Inputs'!$P$59:$P$70=S5)*S14)-'Inputs'!$R$59:$R$70*ROUND(S21*('Inputs'!$D$59:$D$70-('Inputs'!$P$59:$P$70=S5)*S14),2)))+IF(OR(S3=1,S3=2),S9-ROUND(S21*S9,2),0)+IF(AND(S3=3,S6='Inputs'!$B$91),S38,0),2))</f>
      </c>
      <c r="T60">
        <f>IF('Inputs'!$B$91="",0,ROUND(IF(T31="S",'Inputs'!$O$91*T28,IF(T31="K",'Inputs'!$L$91*IF('Inputs'!$N$91=1,T33,T32),0))+'Inputs'!$Q$91*IF('Inputs'!$S$91=1,T35+T37+T43+T40,T34+T36+T42+T39)+SUMPRODUCT(('Inputs'!$F$59:$F$70='Inputs'!$B$91)*('Inputs'!$C$59:$C$70&lt;&gt;"Estate")*('Inputs'!$C$59:$C$70&lt;&gt;""),(('Inputs'!$D$59:$D$70-('Inputs'!$P$59:$P$70=T5)*T14)-'Inputs'!$R$59:$R$70*ROUND(T21*('Inputs'!$D$59:$D$70-('Inputs'!$P$59:$P$70=T5)*T14),2)))+IF(OR(T3=1,T3=2),T9-ROUND(T21*T9,2),0)+IF(AND(T3=3,T6='Inputs'!$B$91),T38,0),2))</f>
      </c>
      <c r="V60">
        <f>IF('Inputs'!$B$91="",0,ROUND(IF(V31="S",'Inputs'!$O$91*V28,IF(V31="K",'Inputs'!$L$91*IF('Inputs'!$N$91=1,V33,V32),0))+'Inputs'!$Q$91*IF('Inputs'!$S$91=1,V35+V37+V43+V40,V34+V36+V42+V39)+SUMPRODUCT(('Inputs'!$F$59:$F$70='Inputs'!$B$91)*('Inputs'!$C$59:$C$70&lt;&gt;"Estate")*('Inputs'!$C$59:$C$70&lt;&gt;""),(('Inputs'!$D$59:$D$70-('Inputs'!$P$59:$P$70=V5)*V14)-'Inputs'!$R$59:$R$70*ROUND(V21*('Inputs'!$D$59:$D$70-('Inputs'!$P$59:$P$70=V5)*V14),2)))+IF(OR(V3=1,V3=2),V9-ROUND(V21*V9,2),0)+IF(AND(V3=3,V6='Inputs'!$B$91),V38,0),2))</f>
      </c>
      <c r="W60">
        <f>IF('Inputs'!$B$91="",0,ROUND(IF(W31="S",'Inputs'!$O$91*W28,IF(W31="K",'Inputs'!$L$91*IF('Inputs'!$N$91=1,W33,W32),0))+'Inputs'!$Q$91*IF('Inputs'!$S$91=1,W35+W37+W43+W40,W34+W36+W42+W39)+SUMPRODUCT(('Inputs'!$F$59:$F$70='Inputs'!$B$91)*('Inputs'!$C$59:$C$70&lt;&gt;"Estate")*('Inputs'!$C$59:$C$70&lt;&gt;""),(('Inputs'!$D$59:$D$70-('Inputs'!$P$59:$P$70=W5)*W14)-'Inputs'!$R$59:$R$70*ROUND(W21*('Inputs'!$D$59:$D$70-('Inputs'!$P$59:$P$70=W5)*W14),2)))+IF(OR(W3=1,W3=2),W9-ROUND(W21*W9,2),0)+IF(AND(W3=3,W6='Inputs'!$B$91),W38,0),2))</f>
      </c>
      <c r="X60">
        <f>IF('Inputs'!$B$91="",0,ROUND(IF(X31="S",'Inputs'!$O$91*X28,IF(X31="K",'Inputs'!$L$91*IF('Inputs'!$N$91=1,X33,X32),0))+'Inputs'!$Q$91*IF('Inputs'!$S$91=1,X35+X37+X43+X40,X34+X36+X42+X39)+SUMPRODUCT(('Inputs'!$F$59:$F$70='Inputs'!$B$91)*('Inputs'!$C$59:$C$70&lt;&gt;"Estate")*('Inputs'!$C$59:$C$70&lt;&gt;""),(('Inputs'!$D$59:$D$70-('Inputs'!$P$59:$P$70=X5)*X14)-'Inputs'!$R$59:$R$70*ROUND(X21*('Inputs'!$D$59:$D$70-('Inputs'!$P$59:$P$70=X5)*X14),2)))+IF(OR(X3=1,X3=2),X9-ROUND(X21*X9,2),0)+IF(AND(X3=3,X6='Inputs'!$B$91),X38,0),2))</f>
      </c>
      <c r="Y60">
        <f>IF('Inputs'!$B$91="",0,ROUND(IF(Y31="S",'Inputs'!$O$91*Y28,IF(Y31="K",'Inputs'!$L$91*IF('Inputs'!$N$91=1,Y33,Y32),0))+'Inputs'!$Q$91*IF('Inputs'!$S$91=1,Y35+Y37+Y43+Y40,Y34+Y36+Y42+Y39)+SUMPRODUCT(('Inputs'!$F$59:$F$70='Inputs'!$B$91)*('Inputs'!$C$59:$C$70&lt;&gt;"Estate")*('Inputs'!$C$59:$C$70&lt;&gt;""),(('Inputs'!$D$59:$D$70-('Inputs'!$P$59:$P$70=Y5)*Y14)-'Inputs'!$R$59:$R$70*ROUND(Y21*('Inputs'!$D$59:$D$70-('Inputs'!$P$59:$P$70=Y5)*Y14),2)))+IF(OR(Y3=1,Y3=2),Y9-ROUND(Y21*Y9,2),0)+IF(AND(Y3=3,Y6='Inputs'!$B$91),Y38,0),2))</f>
      </c>
      <c r="Z60">
        <f>IF('Inputs'!$B$91="",0,ROUND(IF(Z31="S",'Inputs'!$O$91*Z28,IF(Z31="K",'Inputs'!$L$91*IF('Inputs'!$N$91=1,Z33,Z32),0))+'Inputs'!$Q$91*IF('Inputs'!$S$91=1,Z35+Z37+Z43+Z40,Z34+Z36+Z42+Z39)+SUMPRODUCT(('Inputs'!$F$59:$F$70='Inputs'!$B$91)*('Inputs'!$C$59:$C$70&lt;&gt;"Estate")*('Inputs'!$C$59:$C$70&lt;&gt;""),(('Inputs'!$D$59:$D$70-('Inputs'!$P$59:$P$70=Z5)*Z14)-'Inputs'!$R$59:$R$70*ROUND(Z21*('Inputs'!$D$59:$D$70-('Inputs'!$P$59:$P$70=Z5)*Z14),2)))+IF(OR(Z3=1,Z3=2),Z9-ROUND(Z21*Z9,2),0)+IF(AND(Z3=3,Z6='Inputs'!$B$91),Z38,0),2))</f>
      </c>
      <c r="AA60">
        <f>IF('Inputs'!$B$91="",0,ROUND(IF(AA31="S",'Inputs'!$O$91*AA28,IF(AA31="K",'Inputs'!$L$91*IF('Inputs'!$N$91=1,AA33,AA32),0))+'Inputs'!$Q$91*IF('Inputs'!$S$91=1,AA35+AA37+AA43+AA40,AA34+AA36+AA42+AA39)+SUMPRODUCT(('Inputs'!$F$59:$F$70='Inputs'!$B$91)*('Inputs'!$C$59:$C$70&lt;&gt;"Estate")*('Inputs'!$C$59:$C$70&lt;&gt;""),(('Inputs'!$D$59:$D$70-('Inputs'!$P$59:$P$70=AA5)*AA14)-'Inputs'!$R$59:$R$70*ROUND(AA21*('Inputs'!$D$59:$D$70-('Inputs'!$P$59:$P$70=AA5)*AA14),2)))+IF(OR(AA3=1,AA3=2),AA9-ROUND(AA21*AA9,2),0)+IF(AND(AA3=3,AA6='Inputs'!$B$91),AA38,0),2))</f>
      </c>
      <c r="AB60">
        <f>IF('Inputs'!$B$91="",0,ROUND(IF(AB31="S",'Inputs'!$O$91*AB28,IF(AB31="K",'Inputs'!$L$91*IF('Inputs'!$N$91=1,AB33,AB32),0))+'Inputs'!$Q$91*IF('Inputs'!$S$91=1,AB35+AB37+AB43+AB40,AB34+AB36+AB42+AB39)+SUMPRODUCT(('Inputs'!$F$59:$F$70='Inputs'!$B$91)*('Inputs'!$C$59:$C$70&lt;&gt;"Estate")*('Inputs'!$C$59:$C$70&lt;&gt;""),(('Inputs'!$D$59:$D$70-('Inputs'!$P$59:$P$70=AB5)*AB14)-'Inputs'!$R$59:$R$70*ROUND(AB21*('Inputs'!$D$59:$D$70-('Inputs'!$P$59:$P$70=AB5)*AB14),2)))+IF(OR(AB3=1,AB3=2),AB9-ROUND(AB21*AB9,2),0)+IF(AND(AB3=3,AB6='Inputs'!$B$91),AB38,0),2))</f>
      </c>
      <c r="AC60">
        <f>IF('Inputs'!$B$91="",0,ROUND(IF(AC31="S",'Inputs'!$O$91*AC28,IF(AC31="K",'Inputs'!$L$91*IF('Inputs'!$N$91=1,AC33,AC32),0))+'Inputs'!$Q$91*IF('Inputs'!$S$91=1,AC35+AC37+AC43+AC40,AC34+AC36+AC42+AC39)+SUMPRODUCT(('Inputs'!$F$59:$F$70='Inputs'!$B$91)*('Inputs'!$C$59:$C$70&lt;&gt;"Estate")*('Inputs'!$C$59:$C$70&lt;&gt;""),(('Inputs'!$D$59:$D$70-('Inputs'!$P$59:$P$70=AC5)*AC14)-'Inputs'!$R$59:$R$70*ROUND(AC21*('Inputs'!$D$59:$D$70-('Inputs'!$P$59:$P$70=AC5)*AC14),2)))+IF(OR(AC3=1,AC3=2),AC9-ROUND(AC21*AC9,2),0)+IF(AND(AC3=3,AC6='Inputs'!$B$91),AC38,0),2))</f>
      </c>
      <c r="AD60">
        <f>IF('Inputs'!$B$91="",0,ROUND(IF(AD31="S",'Inputs'!$O$91*AD28,IF(AD31="K",'Inputs'!$L$91*IF('Inputs'!$N$91=1,AD33,AD32),0))+'Inputs'!$Q$91*IF('Inputs'!$S$91=1,AD35+AD37+AD43+AD40,AD34+AD36+AD42+AD39)+SUMPRODUCT(('Inputs'!$F$59:$F$70='Inputs'!$B$91)*('Inputs'!$C$59:$C$70&lt;&gt;"Estate")*('Inputs'!$C$59:$C$70&lt;&gt;""),(('Inputs'!$D$59:$D$70-('Inputs'!$P$59:$P$70=AD5)*AD14)-'Inputs'!$R$59:$R$70*ROUND(AD21*('Inputs'!$D$59:$D$70-('Inputs'!$P$59:$P$70=AD5)*AD14),2)))+IF(OR(AD3=1,AD3=2),AD9-ROUND(AD21*AD9,2),0)+IF(AND(AD3=3,AD6='Inputs'!$B$91),AD38,0),2))</f>
      </c>
      <c r="AE60">
        <f>IF('Inputs'!$B$91="",0,ROUND(IF(AE31="S",'Inputs'!$O$91*AE28,IF(AE31="K",'Inputs'!$L$91*IF('Inputs'!$N$91=1,AE33,AE32),0))+'Inputs'!$Q$91*IF('Inputs'!$S$91=1,AE35+AE37+AE43+AE40,AE34+AE36+AE42+AE39)+SUMPRODUCT(('Inputs'!$F$59:$F$70='Inputs'!$B$91)*('Inputs'!$C$59:$C$70&lt;&gt;"Estate")*('Inputs'!$C$59:$C$70&lt;&gt;""),(('Inputs'!$D$59:$D$70-('Inputs'!$P$59:$P$70=AE5)*AE14)-'Inputs'!$R$59:$R$70*ROUND(AE21*('Inputs'!$D$59:$D$70-('Inputs'!$P$59:$P$70=AE5)*AE14),2)))+IF(OR(AE3=1,AE3=2),AE9-ROUND(AE21*AE9,2),0)+IF(AND(AE3=3,AE6='Inputs'!$B$91),AE38,0),2))</f>
      </c>
      <c r="AF60">
        <f>IF('Inputs'!$B$91="",0,ROUND(IF(AF31="S",'Inputs'!$O$91*AF28,IF(AF31="K",'Inputs'!$L$91*IF('Inputs'!$N$91=1,AF33,AF32),0))+'Inputs'!$Q$91*IF('Inputs'!$S$91=1,AF35+AF37+AF43+AF40,AF34+AF36+AF42+AF39)+SUMPRODUCT(('Inputs'!$F$59:$F$70='Inputs'!$B$91)*('Inputs'!$C$59:$C$70&lt;&gt;"Estate")*('Inputs'!$C$59:$C$70&lt;&gt;""),(('Inputs'!$D$59:$D$70-('Inputs'!$P$59:$P$70=AF5)*AF14)-'Inputs'!$R$59:$R$70*ROUND(AF21*('Inputs'!$D$59:$D$70-('Inputs'!$P$59:$P$70=AF5)*AF14),2)))+IF(OR(AF3=1,AF3=2),AF9-ROUND(AF21*AF9,2),0)+IF(AND(AF3=3,AF6='Inputs'!$B$91),AF38,0),2))</f>
      </c>
      <c r="AG60">
        <f>IF('Inputs'!$B$91="",0,ROUND(IF(AG31="S",'Inputs'!$O$91*AG28,IF(AG31="K",'Inputs'!$L$91*IF('Inputs'!$N$91=1,AG33,AG32),0))+'Inputs'!$Q$91*IF('Inputs'!$S$91=1,AG35+AG37+AG43+AG40,AG34+AG36+AG42+AG39)+SUMPRODUCT(('Inputs'!$F$59:$F$70='Inputs'!$B$91)*('Inputs'!$C$59:$C$70&lt;&gt;"Estate")*('Inputs'!$C$59:$C$70&lt;&gt;""),(('Inputs'!$D$59:$D$70-('Inputs'!$P$59:$P$70=AG5)*AG14)-'Inputs'!$R$59:$R$70*ROUND(AG21*('Inputs'!$D$59:$D$70-('Inputs'!$P$59:$P$70=AG5)*AG14),2)))+IF(OR(AG3=1,AG3=2),AG9-ROUND(AG21*AG9,2),0)+IF(AND(AG3=3,AG6='Inputs'!$B$91),AG38,0),2))</f>
      </c>
      <c r="AH60">
        <f>IF('Inputs'!$B$91="",0,ROUND(IF(AH31="S",'Inputs'!$O$91*AH28,IF(AH31="K",'Inputs'!$L$91*IF('Inputs'!$N$91=1,AH33,AH32),0))+'Inputs'!$Q$91*IF('Inputs'!$S$91=1,AH35+AH37+AH43+AH40,AH34+AH36+AH42+AH39)+SUMPRODUCT(('Inputs'!$F$59:$F$70='Inputs'!$B$91)*('Inputs'!$C$59:$C$70&lt;&gt;"Estate")*('Inputs'!$C$59:$C$70&lt;&gt;""),(('Inputs'!$D$59:$D$70-('Inputs'!$P$59:$P$70=AH5)*AH14)-'Inputs'!$R$59:$R$70*ROUND(AH21*('Inputs'!$D$59:$D$70-('Inputs'!$P$59:$P$70=AH5)*AH14),2)))+IF(OR(AH3=1,AH3=2),AH9-ROUND(AH21*AH9,2),0)+IF(AND(AH3=3,AH6='Inputs'!$B$91),AH38,0),2))</f>
      </c>
      <c r="AI60">
        <f>IF('Inputs'!$B$91="",0,ROUND(IF(AI31="S",'Inputs'!$O$91*AI28,IF(AI31="K",'Inputs'!$L$91*IF('Inputs'!$N$91=1,AI33,AI32),0))+'Inputs'!$Q$91*IF('Inputs'!$S$91=1,AI35+AI37+AI43+AI40,AI34+AI36+AI42+AI39)+SUMPRODUCT(('Inputs'!$F$59:$F$70='Inputs'!$B$91)*('Inputs'!$C$59:$C$70&lt;&gt;"Estate")*('Inputs'!$C$59:$C$70&lt;&gt;""),(('Inputs'!$D$59:$D$70-('Inputs'!$P$59:$P$70=AI5)*AI14)-'Inputs'!$R$59:$R$70*ROUND(AI21*('Inputs'!$D$59:$D$70-('Inputs'!$P$59:$P$70=AI5)*AI14),2)))+IF(OR(AI3=1,AI3=2),AI9-ROUND(AI21*AI9,2),0)+IF(AND(AI3=3,AI6='Inputs'!$B$91),AI38,0),2))</f>
      </c>
      <c r="AJ60">
        <f>IF('Inputs'!$B$91="",0,ROUND(IF(AJ31="S",'Inputs'!$O$91*AJ28,IF(AJ31="K",'Inputs'!$L$91*IF('Inputs'!$N$91=1,AJ33,AJ32),0))+'Inputs'!$Q$91*IF('Inputs'!$S$91=1,AJ35+AJ37+AJ43+AJ40,AJ34+AJ36+AJ42+AJ39)+SUMPRODUCT(('Inputs'!$F$59:$F$70='Inputs'!$B$91)*('Inputs'!$C$59:$C$70&lt;&gt;"Estate")*('Inputs'!$C$59:$C$70&lt;&gt;""),(('Inputs'!$D$59:$D$70-('Inputs'!$P$59:$P$70=AJ5)*AJ14)-'Inputs'!$R$59:$R$70*ROUND(AJ21*('Inputs'!$D$59:$D$70-('Inputs'!$P$59:$P$70=AJ5)*AJ14),2)))+IF(OR(AJ3=1,AJ3=2),AJ9-ROUND(AJ21*AJ9,2),0)+IF(AND(AJ3=3,AJ6='Inputs'!$B$91),AJ38,0),2))</f>
      </c>
      <c r="AK60">
        <f>IF('Inputs'!$B$91="",0,ROUND(IF(AK31="S",'Inputs'!$O$91*AK28,IF(AK31="K",'Inputs'!$L$91*IF('Inputs'!$N$91=1,AK33,AK32),0))+'Inputs'!$Q$91*IF('Inputs'!$S$91=1,AK35+AK37+AK43+AK40,AK34+AK36+AK42+AK39)+SUMPRODUCT(('Inputs'!$F$59:$F$70='Inputs'!$B$91)*('Inputs'!$C$59:$C$70&lt;&gt;"Estate")*('Inputs'!$C$59:$C$70&lt;&gt;""),(('Inputs'!$D$59:$D$70-('Inputs'!$P$59:$P$70=AK5)*AK14)-'Inputs'!$R$59:$R$70*ROUND(AK21*('Inputs'!$D$59:$D$70-('Inputs'!$P$59:$P$70=AK5)*AK14),2)))+IF(OR(AK3=1,AK3=2),AK9-ROUND(AK21*AK9,2),0)+IF(AND(AK3=3,AK6='Inputs'!$B$91),AK38,0),2))</f>
      </c>
      <c r="AM60">
        <f>IF('Inputs'!$B$91="",0,ROUND(IF(AM31="S",'Inputs'!$O$91*AM28,IF(AM31="K",'Inputs'!$L$91*IF('Inputs'!$N$91=1,AM33,AM32),0))+'Inputs'!$Q$91*IF('Inputs'!$S$91=1,AM35+AM37+AM43+AM40,AM34+AM36+AM42+AM39)+SUMPRODUCT(('Inputs'!$F$59:$F$70='Inputs'!$B$91)*('Inputs'!$C$59:$C$70&lt;&gt;"Estate")*('Inputs'!$C$59:$C$70&lt;&gt;""),(('Inputs'!$D$59:$D$70-('Inputs'!$P$59:$P$70=AM5)*AM14)-'Inputs'!$R$59:$R$70*ROUND(AM21*('Inputs'!$D$59:$D$70-('Inputs'!$P$59:$P$70=AM5)*AM14),2)))+IF(OR(AM3=1,AM3=2),AM9-ROUND(AM21*AM9,2),0)+IF(AND(AM3=3,AM6='Inputs'!$B$91),AM38,0),2))</f>
      </c>
      <c r="AN60">
        <f>IF('Inputs'!$B$91="",0,ROUND(IF(AN31="S",'Inputs'!$O$91*AN28,IF(AN31="K",'Inputs'!$L$91*IF('Inputs'!$N$91=1,AN33,AN32),0))+'Inputs'!$Q$91*IF('Inputs'!$S$91=1,AN35+AN37+AN43+AN40,AN34+AN36+AN42+AN39)+SUMPRODUCT(('Inputs'!$F$59:$F$70='Inputs'!$B$91)*('Inputs'!$C$59:$C$70&lt;&gt;"Estate")*('Inputs'!$C$59:$C$70&lt;&gt;""),(('Inputs'!$D$59:$D$70-('Inputs'!$P$59:$P$70=AN5)*AN14)-'Inputs'!$R$59:$R$70*ROUND(AN21*('Inputs'!$D$59:$D$70-('Inputs'!$P$59:$P$70=AN5)*AN14),2)))+IF(OR(AN3=1,AN3=2),AN9-ROUND(AN21*AN9,2),0)+IF(AND(AN3=3,AN6='Inputs'!$B$91),AN38,0),2))</f>
      </c>
      <c r="AO60">
        <f>IF('Inputs'!$B$91="",0,ROUND(IF(AO31="S",'Inputs'!$O$91*AO28,IF(AO31="K",'Inputs'!$L$91*IF('Inputs'!$N$91=1,AO33,AO32),0))+'Inputs'!$Q$91*IF('Inputs'!$S$91=1,AO35+AO37+AO43+AO40,AO34+AO36+AO42+AO39)+SUMPRODUCT(('Inputs'!$F$59:$F$70='Inputs'!$B$91)*('Inputs'!$C$59:$C$70&lt;&gt;"Estate")*('Inputs'!$C$59:$C$70&lt;&gt;""),(('Inputs'!$D$59:$D$70-('Inputs'!$P$59:$P$70=AO5)*AO14)-'Inputs'!$R$59:$R$70*ROUND(AO21*('Inputs'!$D$59:$D$70-('Inputs'!$P$59:$P$70=AO5)*AO14),2)))+IF(OR(AO3=1,AO3=2),AO9-ROUND(AO21*AO9,2),0)+IF(AND(AO3=3,AO6='Inputs'!$B$91),AO38,0),2))</f>
      </c>
      <c r="AP60">
        <f>IF('Inputs'!$B$91="",0,ROUND(IF(AP31="S",'Inputs'!$O$91*AP28,IF(AP31="K",'Inputs'!$L$91*IF('Inputs'!$N$91=1,AP33,AP32),0))+'Inputs'!$Q$91*IF('Inputs'!$S$91=1,AP35+AP37+AP43+AP40,AP34+AP36+AP42+AP39)+SUMPRODUCT(('Inputs'!$F$59:$F$70='Inputs'!$B$91)*('Inputs'!$C$59:$C$70&lt;&gt;"Estate")*('Inputs'!$C$59:$C$70&lt;&gt;""),(('Inputs'!$D$59:$D$70-('Inputs'!$P$59:$P$70=AP5)*AP14)-'Inputs'!$R$59:$R$70*ROUND(AP21*('Inputs'!$D$59:$D$70-('Inputs'!$P$59:$P$70=AP5)*AP14),2)))+IF(OR(AP3=1,AP3=2),AP9-ROUND(AP21*AP9,2),0)+IF(AND(AP3=3,AP6='Inputs'!$B$91),AP38,0),2))</f>
      </c>
      <c r="AQ60">
        <f>IF('Inputs'!$B$91="",0,ROUND(IF(AQ31="S",'Inputs'!$O$91*AQ28,IF(AQ31="K",'Inputs'!$L$91*IF('Inputs'!$N$91=1,AQ33,AQ32),0))+'Inputs'!$Q$91*IF('Inputs'!$S$91=1,AQ35+AQ37+AQ43+AQ40,AQ34+AQ36+AQ42+AQ39)+SUMPRODUCT(('Inputs'!$F$59:$F$70='Inputs'!$B$91)*('Inputs'!$C$59:$C$70&lt;&gt;"Estate")*('Inputs'!$C$59:$C$70&lt;&gt;""),(('Inputs'!$D$59:$D$70-('Inputs'!$P$59:$P$70=AQ5)*AQ14)-'Inputs'!$R$59:$R$70*ROUND(AQ21*('Inputs'!$D$59:$D$70-('Inputs'!$P$59:$P$70=AQ5)*AQ14),2)))+IF(OR(AQ3=1,AQ3=2),AQ9-ROUND(AQ21*AQ9,2),0)+IF(AND(AQ3=3,AQ6='Inputs'!$B$91),AQ38,0),2))</f>
      </c>
      <c r="AR60">
        <f>IF('Inputs'!$B$91="",0,ROUND(IF(AR31="S",'Inputs'!$O$91*AR28,IF(AR31="K",'Inputs'!$L$91*IF('Inputs'!$N$91=1,AR33,AR32),0))+'Inputs'!$Q$91*IF('Inputs'!$S$91=1,AR35+AR37+AR43+AR40,AR34+AR36+AR42+AR39)+SUMPRODUCT(('Inputs'!$F$59:$F$70='Inputs'!$B$91)*('Inputs'!$C$59:$C$70&lt;&gt;"Estate")*('Inputs'!$C$59:$C$70&lt;&gt;""),(('Inputs'!$D$59:$D$70-('Inputs'!$P$59:$P$70=AR5)*AR14)-'Inputs'!$R$59:$R$70*ROUND(AR21*('Inputs'!$D$59:$D$70-('Inputs'!$P$59:$P$70=AR5)*AR14),2)))+IF(OR(AR3=1,AR3=2),AR9-ROUND(AR21*AR9,2),0)+IF(AND(AR3=3,AR6='Inputs'!$B$91),AR38,0),2))</f>
      </c>
      <c r="AS60">
        <f>IF('Inputs'!$B$91="",0,ROUND(IF(AS31="S",'Inputs'!$O$91*AS28,IF(AS31="K",'Inputs'!$L$91*IF('Inputs'!$N$91=1,AS33,AS32),0))+'Inputs'!$Q$91*IF('Inputs'!$S$91=1,AS35+AS37+AS43+AS40,AS34+AS36+AS42+AS39)+SUMPRODUCT(('Inputs'!$F$59:$F$70='Inputs'!$B$91)*('Inputs'!$C$59:$C$70&lt;&gt;"Estate")*('Inputs'!$C$59:$C$70&lt;&gt;""),(('Inputs'!$D$59:$D$70-('Inputs'!$P$59:$P$70=AS5)*AS14)-'Inputs'!$R$59:$R$70*ROUND(AS21*('Inputs'!$D$59:$D$70-('Inputs'!$P$59:$P$70=AS5)*AS14),2)))+IF(OR(AS3=1,AS3=2),AS9-ROUND(AS21*AS9,2),0)+IF(AND(AS3=3,AS6='Inputs'!$B$91),AS38,0),2))</f>
      </c>
      <c r="AT60">
        <f>IF('Inputs'!$B$91="",0,ROUND(IF(AT31="S",'Inputs'!$O$91*AT28,IF(AT31="K",'Inputs'!$L$91*IF('Inputs'!$N$91=1,AT33,AT32),0))+'Inputs'!$Q$91*IF('Inputs'!$S$91=1,AT35+AT37+AT43+AT40,AT34+AT36+AT42+AT39)+SUMPRODUCT(('Inputs'!$F$59:$F$70='Inputs'!$B$91)*('Inputs'!$C$59:$C$70&lt;&gt;"Estate")*('Inputs'!$C$59:$C$70&lt;&gt;""),(('Inputs'!$D$59:$D$70-('Inputs'!$P$59:$P$70=AT5)*AT14)-'Inputs'!$R$59:$R$70*ROUND(AT21*('Inputs'!$D$59:$D$70-('Inputs'!$P$59:$P$70=AT5)*AT14),2)))+IF(OR(AT3=1,AT3=2),AT9-ROUND(AT21*AT9,2),0)+IF(AND(AT3=3,AT6='Inputs'!$B$91),AT38,0),2))</f>
      </c>
      <c r="AU60">
        <f>IF('Inputs'!$B$91="",0,ROUND(IF(AU31="S",'Inputs'!$O$91*AU28,IF(AU31="K",'Inputs'!$L$91*IF('Inputs'!$N$91=1,AU33,AU32),0))+'Inputs'!$Q$91*IF('Inputs'!$S$91=1,AU35+AU37+AU43+AU40,AU34+AU36+AU42+AU39)+SUMPRODUCT(('Inputs'!$F$59:$F$70='Inputs'!$B$91)*('Inputs'!$C$59:$C$70&lt;&gt;"Estate")*('Inputs'!$C$59:$C$70&lt;&gt;""),(('Inputs'!$D$59:$D$70-('Inputs'!$P$59:$P$70=AU5)*AU14)-'Inputs'!$R$59:$R$70*ROUND(AU21*('Inputs'!$D$59:$D$70-('Inputs'!$P$59:$P$70=AU5)*AU14),2)))+IF(OR(AU3=1,AU3=2),AU9-ROUND(AU21*AU9,2),0)+IF(AND(AU3=3,AU6='Inputs'!$B$91),AU38,0),2))</f>
      </c>
      <c r="AV60">
        <f>IF('Inputs'!$B$91="",0,ROUND(IF(AV31="S",'Inputs'!$O$91*AV28,IF(AV31="K",'Inputs'!$L$91*IF('Inputs'!$N$91=1,AV33,AV32),0))+'Inputs'!$Q$91*IF('Inputs'!$S$91=1,AV35+AV37+AV43+AV40,AV34+AV36+AV42+AV39)+SUMPRODUCT(('Inputs'!$F$59:$F$70='Inputs'!$B$91)*('Inputs'!$C$59:$C$70&lt;&gt;"Estate")*('Inputs'!$C$59:$C$70&lt;&gt;""),(('Inputs'!$D$59:$D$70-('Inputs'!$P$59:$P$70=AV5)*AV14)-'Inputs'!$R$59:$R$70*ROUND(AV21*('Inputs'!$D$59:$D$70-('Inputs'!$P$59:$P$70=AV5)*AV14),2)))+IF(OR(AV3=1,AV3=2),AV9-ROUND(AV21*AV9,2),0)+IF(AND(AV3=3,AV6='Inputs'!$B$91),AV38,0),2))</f>
      </c>
      <c r="AW60">
        <f>IF('Inputs'!$B$91="",0,ROUND(IF(AW31="S",'Inputs'!$O$91*AW28,IF(AW31="K",'Inputs'!$L$91*IF('Inputs'!$N$91=1,AW33,AW32),0))+'Inputs'!$Q$91*IF('Inputs'!$S$91=1,AW35+AW37+AW43+AW40,AW34+AW36+AW42+AW39)+SUMPRODUCT(('Inputs'!$F$59:$F$70='Inputs'!$B$91)*('Inputs'!$C$59:$C$70&lt;&gt;"Estate")*('Inputs'!$C$59:$C$70&lt;&gt;""),(('Inputs'!$D$59:$D$70-('Inputs'!$P$59:$P$70=AW5)*AW14)-'Inputs'!$R$59:$R$70*ROUND(AW21*('Inputs'!$D$59:$D$70-('Inputs'!$P$59:$P$70=AW5)*AW14),2)))+IF(OR(AW3=1,AW3=2),AW9-ROUND(AW21*AW9,2),0)+IF(AND(AW3=3,AW6='Inputs'!$B$91),AW38,0),2))</f>
      </c>
      <c r="AX60">
        <f>IF('Inputs'!$B$91="",0,ROUND(IF(AX31="S",'Inputs'!$O$91*AX28,IF(AX31="K",'Inputs'!$L$91*IF('Inputs'!$N$91=1,AX33,AX32),0))+'Inputs'!$Q$91*IF('Inputs'!$S$91=1,AX35+AX37+AX43+AX40,AX34+AX36+AX42+AX39)+SUMPRODUCT(('Inputs'!$F$59:$F$70='Inputs'!$B$91)*('Inputs'!$C$59:$C$70&lt;&gt;"Estate")*('Inputs'!$C$59:$C$70&lt;&gt;""),(('Inputs'!$D$59:$D$70-('Inputs'!$P$59:$P$70=AX5)*AX14)-'Inputs'!$R$59:$R$70*ROUND(AX21*('Inputs'!$D$59:$D$70-('Inputs'!$P$59:$P$70=AX5)*AX14),2)))+IF(OR(AX3=1,AX3=2),AX9-ROUND(AX21*AX9,2),0)+IF(AND(AX3=3,AX6='Inputs'!$B$91),AX38,0),2))</f>
      </c>
      <c r="AY60">
        <f>IF('Inputs'!$B$91="",0,ROUND(IF(AY31="S",'Inputs'!$O$91*AY28,IF(AY31="K",'Inputs'!$L$91*IF('Inputs'!$N$91=1,AY33,AY32),0))+'Inputs'!$Q$91*IF('Inputs'!$S$91=1,AY35+AY37+AY43+AY40,AY34+AY36+AY42+AY39)+SUMPRODUCT(('Inputs'!$F$59:$F$70='Inputs'!$B$91)*('Inputs'!$C$59:$C$70&lt;&gt;"Estate")*('Inputs'!$C$59:$C$70&lt;&gt;""),(('Inputs'!$D$59:$D$70-('Inputs'!$P$59:$P$70=AY5)*AY14)-'Inputs'!$R$59:$R$70*ROUND(AY21*('Inputs'!$D$59:$D$70-('Inputs'!$P$59:$P$70=AY5)*AY14),2)))+IF(OR(AY3=1,AY3=2),AY9-ROUND(AY21*AY9,2),0)+IF(AND(AY3=3,AY6='Inputs'!$B$91),AY38,0),2))</f>
      </c>
      <c r="AZ60">
        <f>IF('Inputs'!$B$91="",0,ROUND(IF(AZ31="S",'Inputs'!$O$91*AZ28,IF(AZ31="K",'Inputs'!$L$91*IF('Inputs'!$N$91=1,AZ33,AZ32),0))+'Inputs'!$Q$91*IF('Inputs'!$S$91=1,AZ35+AZ37+AZ43+AZ40,AZ34+AZ36+AZ42+AZ39)+SUMPRODUCT(('Inputs'!$F$59:$F$70='Inputs'!$B$91)*('Inputs'!$C$59:$C$70&lt;&gt;"Estate")*('Inputs'!$C$59:$C$70&lt;&gt;""),(('Inputs'!$D$59:$D$70-('Inputs'!$P$59:$P$70=AZ5)*AZ14)-'Inputs'!$R$59:$R$70*ROUND(AZ21*('Inputs'!$D$59:$D$70-('Inputs'!$P$59:$P$70=AZ5)*AZ14),2)))+IF(OR(AZ3=1,AZ3=2),AZ9-ROUND(AZ21*AZ9,2),0)+IF(AND(AZ3=3,AZ6='Inputs'!$B$91),AZ38,0),2))</f>
      </c>
      <c r="BA60">
        <f>IF('Inputs'!$B$91="",0,ROUND(IF(BA31="S",'Inputs'!$O$91*BA28,IF(BA31="K",'Inputs'!$L$91*IF('Inputs'!$N$91=1,BA33,BA32),0))+'Inputs'!$Q$91*IF('Inputs'!$S$91=1,BA35+BA37+BA43+BA40,BA34+BA36+BA42+BA39)+SUMPRODUCT(('Inputs'!$F$59:$F$70='Inputs'!$B$91)*('Inputs'!$C$59:$C$70&lt;&gt;"Estate")*('Inputs'!$C$59:$C$70&lt;&gt;""),(('Inputs'!$D$59:$D$70-('Inputs'!$P$59:$P$70=BA5)*BA14)-'Inputs'!$R$59:$R$70*ROUND(BA21*('Inputs'!$D$59:$D$70-('Inputs'!$P$59:$P$70=BA5)*BA14),2)))+IF(OR(BA3=1,BA3=2),BA9-ROUND(BA21*BA9,2),0)+IF(AND(BA3=3,BA6='Inputs'!$B$91),BA38,0),2))</f>
      </c>
      <c r="BB60">
        <f>IF('Inputs'!$B$91="",0,ROUND(IF(BB31="S",'Inputs'!$O$91*BB28,IF(BB31="K",'Inputs'!$L$91*IF('Inputs'!$N$91=1,BB33,BB32),0))+'Inputs'!$Q$91*IF('Inputs'!$S$91=1,BB35+BB37+BB43+BB40,BB34+BB36+BB42+BB39)+SUMPRODUCT(('Inputs'!$F$59:$F$70='Inputs'!$B$91)*('Inputs'!$C$59:$C$70&lt;&gt;"Estate")*('Inputs'!$C$59:$C$70&lt;&gt;""),(('Inputs'!$D$59:$D$70-('Inputs'!$P$59:$P$70=BB5)*BB14)-'Inputs'!$R$59:$R$70*ROUND(BB21*('Inputs'!$D$59:$D$70-('Inputs'!$P$59:$P$70=BB5)*BB14),2)))+IF(OR(BB3=1,BB3=2),BB9-ROUND(BB21*BB9,2),0)+IF(AND(BB3=3,BB6='Inputs'!$B$91),BB38,0),2))</f>
      </c>
      <c r="BD60">
        <f>IF('Inputs'!$B$91="",0,ROUND(IF(BD31="S",'Inputs'!$O$91*BD28,IF(BD31="K",'Inputs'!$L$91*IF('Inputs'!$N$91=1,BD33,BD32),0))+'Inputs'!$Q$91*IF('Inputs'!$S$91=1,BD35+BD37+BD43+BD40,BD34+BD36+BD42+BD39)+SUMPRODUCT(('Inputs'!$F$59:$F$70='Inputs'!$B$91)*('Inputs'!$C$59:$C$70&lt;&gt;"Estate")*('Inputs'!$C$59:$C$70&lt;&gt;""),(('Inputs'!$D$59:$D$70-('Inputs'!$P$59:$P$70=BD5)*BD14)-'Inputs'!$R$59:$R$70*ROUND(BD21*('Inputs'!$D$59:$D$70-('Inputs'!$P$59:$P$70=BD5)*BD14),2)))+IF(OR(BD3=1,BD3=2),BD9-ROUND(BD21*BD9,2),0)+IF(AND(BD3=3,BD6='Inputs'!$B$91),BD38,0),2))</f>
      </c>
      <c r="BE60">
        <f>IF('Inputs'!$B$91="",0,ROUND(IF(BE31="S",'Inputs'!$O$91*BE28,IF(BE31="K",'Inputs'!$L$91*IF('Inputs'!$N$91=1,BE33,BE32),0))+'Inputs'!$Q$91*IF('Inputs'!$S$91=1,BE35+BE37+BE43+BE40,BE34+BE36+BE42+BE39)+SUMPRODUCT(('Inputs'!$F$59:$F$70='Inputs'!$B$91)*('Inputs'!$C$59:$C$70&lt;&gt;"Estate")*('Inputs'!$C$59:$C$70&lt;&gt;""),(('Inputs'!$D$59:$D$70-('Inputs'!$P$59:$P$70=BE5)*BE14)-'Inputs'!$R$59:$R$70*ROUND(BE21*('Inputs'!$D$59:$D$70-('Inputs'!$P$59:$P$70=BE5)*BE14),2)))+IF(OR(BE3=1,BE3=2),BE9-ROUND(BE21*BE9,2),0)+IF(AND(BE3=3,BE6='Inputs'!$B$91),BE38,0),2))</f>
      </c>
      <c r="BF60">
        <f>IF('Inputs'!$B$91="",0,ROUND(IF(BF31="S",'Inputs'!$O$91*BF28,IF(BF31="K",'Inputs'!$L$91*IF('Inputs'!$N$91=1,BF33,BF32),0))+'Inputs'!$Q$91*IF('Inputs'!$S$91=1,BF35+BF37+BF43+BF40,BF34+BF36+BF42+BF39)+SUMPRODUCT(('Inputs'!$F$59:$F$70='Inputs'!$B$91)*('Inputs'!$C$59:$C$70&lt;&gt;"Estate")*('Inputs'!$C$59:$C$70&lt;&gt;""),(('Inputs'!$D$59:$D$70-('Inputs'!$P$59:$P$70=BF5)*BF14)-'Inputs'!$R$59:$R$70*ROUND(BF21*('Inputs'!$D$59:$D$70-('Inputs'!$P$59:$P$70=BF5)*BF14),2)))+IF(OR(BF3=1,BF3=2),BF9-ROUND(BF21*BF9,2),0)+IF(AND(BF3=3,BF6='Inputs'!$B$91),BF38,0),2))</f>
      </c>
      <c r="BG60">
        <f>IF('Inputs'!$B$91="",0,ROUND(IF(BG31="S",'Inputs'!$O$91*BG28,IF(BG31="K",'Inputs'!$L$91*IF('Inputs'!$N$91=1,BG33,BG32),0))+'Inputs'!$Q$91*IF('Inputs'!$S$91=1,BG35+BG37+BG43+BG40,BG34+BG36+BG42+BG39)+SUMPRODUCT(('Inputs'!$F$59:$F$70='Inputs'!$B$91)*('Inputs'!$C$59:$C$70&lt;&gt;"Estate")*('Inputs'!$C$59:$C$70&lt;&gt;""),(('Inputs'!$D$59:$D$70-('Inputs'!$P$59:$P$70=BG5)*BG14)-'Inputs'!$R$59:$R$70*ROUND(BG21*('Inputs'!$D$59:$D$70-('Inputs'!$P$59:$P$70=BG5)*BG14),2)))+IF(OR(BG3=1,BG3=2),BG9-ROUND(BG21*BG9,2),0)+IF(AND(BG3=3,BG6='Inputs'!$B$91),BG38,0),2))</f>
      </c>
      <c r="BH60">
        <f>IF('Inputs'!$B$91="",0,ROUND(IF(BH31="S",'Inputs'!$O$91*BH28,IF(BH31="K",'Inputs'!$L$91*IF('Inputs'!$N$91=1,BH33,BH32),0))+'Inputs'!$Q$91*IF('Inputs'!$S$91=1,BH35+BH37+BH43+BH40,BH34+BH36+BH42+BH39)+SUMPRODUCT(('Inputs'!$F$59:$F$70='Inputs'!$B$91)*('Inputs'!$C$59:$C$70&lt;&gt;"Estate")*('Inputs'!$C$59:$C$70&lt;&gt;""),(('Inputs'!$D$59:$D$70-('Inputs'!$P$59:$P$70=BH5)*BH14)-'Inputs'!$R$59:$R$70*ROUND(BH21*('Inputs'!$D$59:$D$70-('Inputs'!$P$59:$P$70=BH5)*BH14),2)))+IF(OR(BH3=1,BH3=2),BH9-ROUND(BH21*BH9,2),0)+IF(AND(BH3=3,BH6='Inputs'!$B$91),BH38,0),2))</f>
      </c>
      <c r="BI60">
        <f>IF('Inputs'!$B$91="",0,ROUND(IF(BI31="S",'Inputs'!$O$91*BI28,IF(BI31="K",'Inputs'!$L$91*IF('Inputs'!$N$91=1,BI33,BI32),0))+'Inputs'!$Q$91*IF('Inputs'!$S$91=1,BI35+BI37+BI43+BI40,BI34+BI36+BI42+BI39)+SUMPRODUCT(('Inputs'!$F$59:$F$70='Inputs'!$B$91)*('Inputs'!$C$59:$C$70&lt;&gt;"Estate")*('Inputs'!$C$59:$C$70&lt;&gt;""),(('Inputs'!$D$59:$D$70-('Inputs'!$P$59:$P$70=BI5)*BI14)-'Inputs'!$R$59:$R$70*ROUND(BI21*('Inputs'!$D$59:$D$70-('Inputs'!$P$59:$P$70=BI5)*BI14),2)))+IF(OR(BI3=1,BI3=2),BI9-ROUND(BI21*BI9,2),0)+IF(AND(BI3=3,BI6='Inputs'!$B$91),BI38,0),2))</f>
      </c>
      <c r="BJ60">
        <f>IF('Inputs'!$B$91="",0,ROUND(IF(BJ31="S",'Inputs'!$O$91*BJ28,IF(BJ31="K",'Inputs'!$L$91*IF('Inputs'!$N$91=1,BJ33,BJ32),0))+'Inputs'!$Q$91*IF('Inputs'!$S$91=1,BJ35+BJ37+BJ43+BJ40,BJ34+BJ36+BJ42+BJ39)+SUMPRODUCT(('Inputs'!$F$59:$F$70='Inputs'!$B$91)*('Inputs'!$C$59:$C$70&lt;&gt;"Estate")*('Inputs'!$C$59:$C$70&lt;&gt;""),(('Inputs'!$D$59:$D$70-('Inputs'!$P$59:$P$70=BJ5)*BJ14)-'Inputs'!$R$59:$R$70*ROUND(BJ21*('Inputs'!$D$59:$D$70-('Inputs'!$P$59:$P$70=BJ5)*BJ14),2)))+IF(OR(BJ3=1,BJ3=2),BJ9-ROUND(BJ21*BJ9,2),0)+IF(AND(BJ3=3,BJ6='Inputs'!$B$91),BJ38,0),2))</f>
      </c>
      <c r="BK60">
        <f>IF('Inputs'!$B$91="",0,ROUND(IF(BK31="S",'Inputs'!$O$91*BK28,IF(BK31="K",'Inputs'!$L$91*IF('Inputs'!$N$91=1,BK33,BK32),0))+'Inputs'!$Q$91*IF('Inputs'!$S$91=1,BK35+BK37+BK43+BK40,BK34+BK36+BK42+BK39)+SUMPRODUCT(('Inputs'!$F$59:$F$70='Inputs'!$B$91)*('Inputs'!$C$59:$C$70&lt;&gt;"Estate")*('Inputs'!$C$59:$C$70&lt;&gt;""),(('Inputs'!$D$59:$D$70-('Inputs'!$P$59:$P$70=BK5)*BK14)-'Inputs'!$R$59:$R$70*ROUND(BK21*('Inputs'!$D$59:$D$70-('Inputs'!$P$59:$P$70=BK5)*BK14),2)))+IF(OR(BK3=1,BK3=2),BK9-ROUND(BK21*BK9,2),0)+IF(AND(BK3=3,BK6='Inputs'!$B$91),BK38,0),2))</f>
      </c>
      <c r="BL60">
        <f>IF('Inputs'!$B$91="",0,ROUND(IF(BL31="S",'Inputs'!$O$91*BL28,IF(BL31="K",'Inputs'!$L$91*IF('Inputs'!$N$91=1,BL33,BL32),0))+'Inputs'!$Q$91*IF('Inputs'!$S$91=1,BL35+BL37+BL43+BL40,BL34+BL36+BL42+BL39)+SUMPRODUCT(('Inputs'!$F$59:$F$70='Inputs'!$B$91)*('Inputs'!$C$59:$C$70&lt;&gt;"Estate")*('Inputs'!$C$59:$C$70&lt;&gt;""),(('Inputs'!$D$59:$D$70-('Inputs'!$P$59:$P$70=BL5)*BL14)-'Inputs'!$R$59:$R$70*ROUND(BL21*('Inputs'!$D$59:$D$70-('Inputs'!$P$59:$P$70=BL5)*BL14),2)))+IF(OR(BL3=1,BL3=2),BL9-ROUND(BL21*BL9,2),0)+IF(AND(BL3=3,BL6='Inputs'!$B$91),BL38,0),2))</f>
      </c>
      <c r="BM60">
        <f>IF('Inputs'!$B$91="",0,ROUND(IF(BM31="S",'Inputs'!$O$91*BM28,IF(BM31="K",'Inputs'!$L$91*IF('Inputs'!$N$91=1,BM33,BM32),0))+'Inputs'!$Q$91*IF('Inputs'!$S$91=1,BM35+BM37+BM43+BM40,BM34+BM36+BM42+BM39)+SUMPRODUCT(('Inputs'!$F$59:$F$70='Inputs'!$B$91)*('Inputs'!$C$59:$C$70&lt;&gt;"Estate")*('Inputs'!$C$59:$C$70&lt;&gt;""),(('Inputs'!$D$59:$D$70-('Inputs'!$P$59:$P$70=BM5)*BM14)-'Inputs'!$R$59:$R$70*ROUND(BM21*('Inputs'!$D$59:$D$70-('Inputs'!$P$59:$P$70=BM5)*BM14),2)))+IF(OR(BM3=1,BM3=2),BM9-ROUND(BM21*BM9,2),0)+IF(AND(BM3=3,BM6='Inputs'!$B$91),BM38,0),2))</f>
      </c>
      <c r="BN60">
        <f>IF('Inputs'!$B$91="",0,ROUND(IF(BN31="S",'Inputs'!$O$91*BN28,IF(BN31="K",'Inputs'!$L$91*IF('Inputs'!$N$91=1,BN33,BN32),0))+'Inputs'!$Q$91*IF('Inputs'!$S$91=1,BN35+BN37+BN43+BN40,BN34+BN36+BN42+BN39)+SUMPRODUCT(('Inputs'!$F$59:$F$70='Inputs'!$B$91)*('Inputs'!$C$59:$C$70&lt;&gt;"Estate")*('Inputs'!$C$59:$C$70&lt;&gt;""),(('Inputs'!$D$59:$D$70-('Inputs'!$P$59:$P$70=BN5)*BN14)-'Inputs'!$R$59:$R$70*ROUND(BN21*('Inputs'!$D$59:$D$70-('Inputs'!$P$59:$P$70=BN5)*BN14),2)))+IF(OR(BN3=1,BN3=2),BN9-ROUND(BN21*BN9,2),0)+IF(AND(BN3=3,BN6='Inputs'!$B$91),BN38,0),2))</f>
      </c>
      <c r="BO60">
        <f>IF('Inputs'!$B$91="",0,ROUND(IF(BO31="S",'Inputs'!$O$91*BO28,IF(BO31="K",'Inputs'!$L$91*IF('Inputs'!$N$91=1,BO33,BO32),0))+'Inputs'!$Q$91*IF('Inputs'!$S$91=1,BO35+BO37+BO43+BO40,BO34+BO36+BO42+BO39)+SUMPRODUCT(('Inputs'!$F$59:$F$70='Inputs'!$B$91)*('Inputs'!$C$59:$C$70&lt;&gt;"Estate")*('Inputs'!$C$59:$C$70&lt;&gt;""),(('Inputs'!$D$59:$D$70-('Inputs'!$P$59:$P$70=BO5)*BO14)-'Inputs'!$R$59:$R$70*ROUND(BO21*('Inputs'!$D$59:$D$70-('Inputs'!$P$59:$P$70=BO5)*BO14),2)))+IF(OR(BO3=1,BO3=2),BO9-ROUND(BO21*BO9,2),0)+IF(AND(BO3=3,BO6='Inputs'!$B$91),BO38,0),2))</f>
      </c>
      <c r="BP60">
        <f>IF('Inputs'!$B$91="",0,ROUND(IF(BP31="S",'Inputs'!$O$91*BP28,IF(BP31="K",'Inputs'!$L$91*IF('Inputs'!$N$91=1,BP33,BP32),0))+'Inputs'!$Q$91*IF('Inputs'!$S$91=1,BP35+BP37+BP43+BP40,BP34+BP36+BP42+BP39)+SUMPRODUCT(('Inputs'!$F$59:$F$70='Inputs'!$B$91)*('Inputs'!$C$59:$C$70&lt;&gt;"Estate")*('Inputs'!$C$59:$C$70&lt;&gt;""),(('Inputs'!$D$59:$D$70-('Inputs'!$P$59:$P$70=BP5)*BP14)-'Inputs'!$R$59:$R$70*ROUND(BP21*('Inputs'!$D$59:$D$70-('Inputs'!$P$59:$P$70=BP5)*BP14),2)))+IF(OR(BP3=1,BP3=2),BP9-ROUND(BP21*BP9,2),0)+IF(AND(BP3=3,BP6='Inputs'!$B$91),BP38,0),2))</f>
      </c>
      <c r="BQ60">
        <f>IF('Inputs'!$B$91="",0,ROUND(IF(BQ31="S",'Inputs'!$O$91*BQ28,IF(BQ31="K",'Inputs'!$L$91*IF('Inputs'!$N$91=1,BQ33,BQ32),0))+'Inputs'!$Q$91*IF('Inputs'!$S$91=1,BQ35+BQ37+BQ43+BQ40,BQ34+BQ36+BQ42+BQ39)+SUMPRODUCT(('Inputs'!$F$59:$F$70='Inputs'!$B$91)*('Inputs'!$C$59:$C$70&lt;&gt;"Estate")*('Inputs'!$C$59:$C$70&lt;&gt;""),(('Inputs'!$D$59:$D$70-('Inputs'!$P$59:$P$70=BQ5)*BQ14)-'Inputs'!$R$59:$R$70*ROUND(BQ21*('Inputs'!$D$59:$D$70-('Inputs'!$P$59:$P$70=BQ5)*BQ14),2)))+IF(OR(BQ3=1,BQ3=2),BQ9-ROUND(BQ21*BQ9,2),0)+IF(AND(BQ3=3,BQ6='Inputs'!$B$91),BQ38,0),2))</f>
      </c>
      <c r="BR60">
        <f>IF('Inputs'!$B$91="",0,ROUND(IF(BR31="S",'Inputs'!$O$91*BR28,IF(BR31="K",'Inputs'!$L$91*IF('Inputs'!$N$91=1,BR33,BR32),0))+'Inputs'!$Q$91*IF('Inputs'!$S$91=1,BR35+BR37+BR43+BR40,BR34+BR36+BR42+BR39)+SUMPRODUCT(('Inputs'!$F$59:$F$70='Inputs'!$B$91)*('Inputs'!$C$59:$C$70&lt;&gt;"Estate")*('Inputs'!$C$59:$C$70&lt;&gt;""),(('Inputs'!$D$59:$D$70-('Inputs'!$P$59:$P$70=BR5)*BR14)-'Inputs'!$R$59:$R$70*ROUND(BR21*('Inputs'!$D$59:$D$70-('Inputs'!$P$59:$P$70=BR5)*BR14),2)))+IF(OR(BR3=1,BR3=2),BR9-ROUND(BR21*BR9,2),0)+IF(AND(BR3=3,BR6='Inputs'!$B$91),BR38,0),2))</f>
      </c>
      <c r="BS60">
        <f>IF('Inputs'!$B$91="",0,ROUND(IF(BS31="S",'Inputs'!$O$91*BS28,IF(BS31="K",'Inputs'!$L$91*IF('Inputs'!$N$91=1,BS33,BS32),0))+'Inputs'!$Q$91*IF('Inputs'!$S$91=1,BS35+BS37+BS43+BS40,BS34+BS36+BS42+BS39)+SUMPRODUCT(('Inputs'!$F$59:$F$70='Inputs'!$B$91)*('Inputs'!$C$59:$C$70&lt;&gt;"Estate")*('Inputs'!$C$59:$C$70&lt;&gt;""),(('Inputs'!$D$59:$D$70-('Inputs'!$P$59:$P$70=BS5)*BS14)-'Inputs'!$R$59:$R$70*ROUND(BS21*('Inputs'!$D$59:$D$70-('Inputs'!$P$59:$P$70=BS5)*BS14),2)))+IF(OR(BS3=1,BS3=2),BS9-ROUND(BS21*BS9,2),0)+IF(AND(BS3=3,BS6='Inputs'!$B$91),BS38,0),2))</f>
      </c>
    </row>
    <row r="61" spans="2:71" x14ac:dyDescent="0.25">
      <c r="B61" t="s">
        <v>380</v>
      </c>
      <c r="C61">
        <f>'Needs years'!$C$118+'Needs years'!$C$125+C60*('Inputs'!$C$122/100*('Inputs'!$H$110/100+'Inputs'!$C$120/100*'Inputs'!$H$112/100))</f>
      </c>
      <c r="E61">
        <f>'Needs years'!$C$118+'Needs years'!$C$125+E60*('Inputs'!$C$122/100*('Inputs'!$H$110/100+'Inputs'!$C$120/100*'Inputs'!$H$112/100))</f>
      </c>
      <c r="F61">
        <f>'Needs years'!$C$118+'Needs years'!$C$125+F60*('Inputs'!$C$122/100*('Inputs'!$H$110/100+'Inputs'!$C$120/100*'Inputs'!$H$112/100))</f>
      </c>
      <c r="G61">
        <f>'Needs years'!$C$118+'Needs years'!$C$125+G60*('Inputs'!$C$122/100*('Inputs'!$H$110/100+'Inputs'!$C$120/100*'Inputs'!$H$112/100))</f>
      </c>
      <c r="H61">
        <f>'Needs years'!$C$118+'Needs years'!$C$125+H60*('Inputs'!$C$122/100*('Inputs'!$H$110/100+'Inputs'!$C$120/100*'Inputs'!$H$112/100))</f>
      </c>
      <c r="I61">
        <f>'Needs years'!$C$118+'Needs years'!$C$125+I60*('Inputs'!$C$122/100*('Inputs'!$H$110/100+'Inputs'!$C$120/100*'Inputs'!$H$112/100))</f>
      </c>
      <c r="J61">
        <f>'Needs years'!$C$118+'Needs years'!$C$125+J60*('Inputs'!$C$122/100*('Inputs'!$H$110/100+'Inputs'!$C$120/100*'Inputs'!$H$112/100))</f>
      </c>
      <c r="K61">
        <f>'Needs years'!$C$118+'Needs years'!$C$125+K60*('Inputs'!$C$122/100*('Inputs'!$H$110/100+'Inputs'!$C$120/100*'Inputs'!$H$112/100))</f>
      </c>
      <c r="L61">
        <f>'Needs years'!$C$118+'Needs years'!$C$125+L60*('Inputs'!$C$122/100*('Inputs'!$H$110/100+'Inputs'!$C$120/100*'Inputs'!$H$112/100))</f>
      </c>
      <c r="M61">
        <f>'Needs years'!$C$118+'Needs years'!$C$125+M60*('Inputs'!$C$122/100*('Inputs'!$H$110/100+'Inputs'!$C$120/100*'Inputs'!$H$112/100))</f>
      </c>
      <c r="N61">
        <f>'Needs years'!$C$118+'Needs years'!$C$125+N60*('Inputs'!$C$122/100*('Inputs'!$H$110/100+'Inputs'!$C$120/100*'Inputs'!$H$112/100))</f>
      </c>
      <c r="O61">
        <f>'Needs years'!$C$118+'Needs years'!$C$125+O60*('Inputs'!$C$122/100*('Inputs'!$H$110/100+'Inputs'!$C$120/100*'Inputs'!$H$112/100))</f>
      </c>
      <c r="P61">
        <f>'Needs years'!$C$118+'Needs years'!$C$125+P60*('Inputs'!$C$122/100*('Inputs'!$H$110/100+'Inputs'!$C$120/100*'Inputs'!$H$112/100))</f>
      </c>
      <c r="Q61">
        <f>'Needs years'!$C$118+'Needs years'!$C$125+Q60*('Inputs'!$C$122/100*('Inputs'!$H$110/100+'Inputs'!$C$120/100*'Inputs'!$H$112/100))</f>
      </c>
      <c r="R61">
        <f>'Needs years'!$C$118+'Needs years'!$C$125+R60*('Inputs'!$C$122/100*('Inputs'!$H$110/100+'Inputs'!$C$120/100*'Inputs'!$H$112/100))</f>
      </c>
      <c r="S61">
        <f>'Needs years'!$C$118+'Needs years'!$C$125+S60*('Inputs'!$C$122/100*('Inputs'!$H$110/100+'Inputs'!$C$120/100*'Inputs'!$H$112/100))</f>
      </c>
      <c r="T61">
        <f>'Needs years'!$C$118+'Needs years'!$C$125+T60*('Inputs'!$C$122/100*('Inputs'!$H$110/100+'Inputs'!$C$120/100*'Inputs'!$H$112/100))</f>
      </c>
      <c r="V61">
        <f>'Needs years'!$C$118+'Needs years'!$C$125+V60*('Inputs'!$C$122/100*('Inputs'!$H$110/100+'Inputs'!$C$120/100*'Inputs'!$H$112/100))</f>
      </c>
      <c r="W61">
        <f>'Needs years'!$C$118+'Needs years'!$C$125+W60*('Inputs'!$C$122/100*('Inputs'!$H$110/100+'Inputs'!$C$120/100*'Inputs'!$H$112/100))</f>
      </c>
      <c r="X61">
        <f>'Needs years'!$C$118+'Needs years'!$C$125+X60*('Inputs'!$C$122/100*('Inputs'!$H$110/100+'Inputs'!$C$120/100*'Inputs'!$H$112/100))</f>
      </c>
      <c r="Y61">
        <f>'Needs years'!$C$118+'Needs years'!$C$125+Y60*('Inputs'!$C$122/100*('Inputs'!$H$110/100+'Inputs'!$C$120/100*'Inputs'!$H$112/100))</f>
      </c>
      <c r="Z61">
        <f>'Needs years'!$C$118+'Needs years'!$C$125+Z60*('Inputs'!$C$122/100*('Inputs'!$H$110/100+'Inputs'!$C$120/100*'Inputs'!$H$112/100))</f>
      </c>
      <c r="AA61">
        <f>'Needs years'!$C$118+'Needs years'!$C$125+AA60*('Inputs'!$C$122/100*('Inputs'!$H$110/100+'Inputs'!$C$120/100*'Inputs'!$H$112/100))</f>
      </c>
      <c r="AB61">
        <f>'Needs years'!$C$118+'Needs years'!$C$125+AB60*('Inputs'!$C$122/100*('Inputs'!$H$110/100+'Inputs'!$C$120/100*'Inputs'!$H$112/100))</f>
      </c>
      <c r="AC61">
        <f>'Needs years'!$C$118+'Needs years'!$C$125+AC60*('Inputs'!$C$122/100*('Inputs'!$H$110/100+'Inputs'!$C$120/100*'Inputs'!$H$112/100))</f>
      </c>
      <c r="AD61">
        <f>'Needs years'!$C$118+'Needs years'!$C$125+AD60*('Inputs'!$C$122/100*('Inputs'!$H$110/100+'Inputs'!$C$120/100*'Inputs'!$H$112/100))</f>
      </c>
      <c r="AE61">
        <f>'Needs years'!$C$118+'Needs years'!$C$125+AE60*('Inputs'!$C$122/100*('Inputs'!$H$110/100+'Inputs'!$C$120/100*'Inputs'!$H$112/100))</f>
      </c>
      <c r="AF61">
        <f>'Needs years'!$C$118+'Needs years'!$C$125+AF60*('Inputs'!$C$122/100*('Inputs'!$H$110/100+'Inputs'!$C$120/100*'Inputs'!$H$112/100))</f>
      </c>
      <c r="AG61">
        <f>'Needs years'!$C$118+'Needs years'!$C$125+AG60*('Inputs'!$C$122/100*('Inputs'!$H$110/100+'Inputs'!$C$120/100*'Inputs'!$H$112/100))</f>
      </c>
      <c r="AH61">
        <f>'Needs years'!$C$118+'Needs years'!$C$125+AH60*('Inputs'!$C$122/100*('Inputs'!$H$110/100+'Inputs'!$C$120/100*'Inputs'!$H$112/100))</f>
      </c>
      <c r="AI61">
        <f>'Needs years'!$C$118+'Needs years'!$C$125+AI60*('Inputs'!$C$122/100*('Inputs'!$H$110/100+'Inputs'!$C$120/100*'Inputs'!$H$112/100))</f>
      </c>
      <c r="AJ61">
        <f>'Needs years'!$C$118+'Needs years'!$C$125+AJ60*('Inputs'!$C$122/100*('Inputs'!$H$110/100+'Inputs'!$C$120/100*'Inputs'!$H$112/100))</f>
      </c>
      <c r="AK61">
        <f>'Needs years'!$C$118+'Needs years'!$C$125+AK60*('Inputs'!$C$122/100*('Inputs'!$H$110/100+'Inputs'!$C$120/100*'Inputs'!$H$112/100))</f>
      </c>
      <c r="AM61">
        <f>'Needs years'!$C$118+'Needs years'!$C$125+AM60*('Inputs'!$C$122/100*('Inputs'!$H$110/100+'Inputs'!$C$120/100*'Inputs'!$H$112/100))</f>
      </c>
      <c r="AN61">
        <f>'Needs years'!$C$118+'Needs years'!$C$125+AN60*('Inputs'!$C$122/100*('Inputs'!$H$110/100+'Inputs'!$C$120/100*'Inputs'!$H$112/100))</f>
      </c>
      <c r="AO61">
        <f>'Needs years'!$C$118+'Needs years'!$C$125+AO60*('Inputs'!$C$122/100*('Inputs'!$H$110/100+'Inputs'!$C$120/100*'Inputs'!$H$112/100))</f>
      </c>
      <c r="AP61">
        <f>'Needs years'!$C$118+'Needs years'!$C$125+AP60*('Inputs'!$C$122/100*('Inputs'!$H$110/100+'Inputs'!$C$120/100*'Inputs'!$H$112/100))</f>
      </c>
      <c r="AQ61">
        <f>'Needs years'!$C$118+'Needs years'!$C$125+AQ60*('Inputs'!$C$122/100*('Inputs'!$H$110/100+'Inputs'!$C$120/100*'Inputs'!$H$112/100))</f>
      </c>
      <c r="AR61">
        <f>'Needs years'!$C$118+'Needs years'!$C$125+AR60*('Inputs'!$C$122/100*('Inputs'!$H$110/100+'Inputs'!$C$120/100*'Inputs'!$H$112/100))</f>
      </c>
      <c r="AS61">
        <f>'Needs years'!$C$118+'Needs years'!$C$125+AS60*('Inputs'!$C$122/100*('Inputs'!$H$110/100+'Inputs'!$C$120/100*'Inputs'!$H$112/100))</f>
      </c>
      <c r="AT61">
        <f>'Needs years'!$C$118+'Needs years'!$C$125+AT60*('Inputs'!$C$122/100*('Inputs'!$H$110/100+'Inputs'!$C$120/100*'Inputs'!$H$112/100))</f>
      </c>
      <c r="AU61">
        <f>'Needs years'!$C$118+'Needs years'!$C$125+AU60*('Inputs'!$C$122/100*('Inputs'!$H$110/100+'Inputs'!$C$120/100*'Inputs'!$H$112/100))</f>
      </c>
      <c r="AV61">
        <f>'Needs years'!$C$118+'Needs years'!$C$125+AV60*('Inputs'!$C$122/100*('Inputs'!$H$110/100+'Inputs'!$C$120/100*'Inputs'!$H$112/100))</f>
      </c>
      <c r="AW61">
        <f>'Needs years'!$C$118+'Needs years'!$C$125+AW60*('Inputs'!$C$122/100*('Inputs'!$H$110/100+'Inputs'!$C$120/100*'Inputs'!$H$112/100))</f>
      </c>
      <c r="AX61">
        <f>'Needs years'!$C$118+'Needs years'!$C$125+AX60*('Inputs'!$C$122/100*('Inputs'!$H$110/100+'Inputs'!$C$120/100*'Inputs'!$H$112/100))</f>
      </c>
      <c r="AY61">
        <f>'Needs years'!$C$118+'Needs years'!$C$125+AY60*('Inputs'!$C$122/100*('Inputs'!$H$110/100+'Inputs'!$C$120/100*'Inputs'!$H$112/100))</f>
      </c>
      <c r="AZ61">
        <f>'Needs years'!$C$118+'Needs years'!$C$125+AZ60*('Inputs'!$C$122/100*('Inputs'!$H$110/100+'Inputs'!$C$120/100*'Inputs'!$H$112/100))</f>
      </c>
      <c r="BA61">
        <f>'Needs years'!$C$118+'Needs years'!$C$125+BA60*('Inputs'!$C$122/100*('Inputs'!$H$110/100+'Inputs'!$C$120/100*'Inputs'!$H$112/100))</f>
      </c>
      <c r="BB61">
        <f>'Needs years'!$C$118+'Needs years'!$C$125+BB60*('Inputs'!$C$122/100*('Inputs'!$H$110/100+'Inputs'!$C$120/100*'Inputs'!$H$112/100))</f>
      </c>
      <c r="BD61">
        <f>'Needs years'!$C$118+'Needs years'!$C$125+BD60*('Inputs'!$C$122/100*('Inputs'!$H$110/100+'Inputs'!$C$120/100*'Inputs'!$H$112/100))</f>
      </c>
      <c r="BE61">
        <f>'Needs years'!$C$118+'Needs years'!$C$125+BE60*('Inputs'!$C$122/100*('Inputs'!$H$110/100+'Inputs'!$C$120/100*'Inputs'!$H$112/100))</f>
      </c>
      <c r="BF61">
        <f>'Needs years'!$C$118+'Needs years'!$C$125+BF60*('Inputs'!$C$122/100*('Inputs'!$H$110/100+'Inputs'!$C$120/100*'Inputs'!$H$112/100))</f>
      </c>
      <c r="BG61">
        <f>'Needs years'!$C$118+'Needs years'!$C$125+BG60*('Inputs'!$C$122/100*('Inputs'!$H$110/100+'Inputs'!$C$120/100*'Inputs'!$H$112/100))</f>
      </c>
      <c r="BH61">
        <f>'Needs years'!$C$118+'Needs years'!$C$125+BH60*('Inputs'!$C$122/100*('Inputs'!$H$110/100+'Inputs'!$C$120/100*'Inputs'!$H$112/100))</f>
      </c>
      <c r="BI61">
        <f>'Needs years'!$C$118+'Needs years'!$C$125+BI60*('Inputs'!$C$122/100*('Inputs'!$H$110/100+'Inputs'!$C$120/100*'Inputs'!$H$112/100))</f>
      </c>
      <c r="BJ61">
        <f>'Needs years'!$C$118+'Needs years'!$C$125+BJ60*('Inputs'!$C$122/100*('Inputs'!$H$110/100+'Inputs'!$C$120/100*'Inputs'!$H$112/100))</f>
      </c>
      <c r="BK61">
        <f>'Needs years'!$C$118+'Needs years'!$C$125+BK60*('Inputs'!$C$122/100*('Inputs'!$H$110/100+'Inputs'!$C$120/100*'Inputs'!$H$112/100))</f>
      </c>
      <c r="BL61">
        <f>'Needs years'!$C$118+'Needs years'!$C$125+BL60*('Inputs'!$C$122/100*('Inputs'!$H$110/100+'Inputs'!$C$120/100*'Inputs'!$H$112/100))</f>
      </c>
      <c r="BM61">
        <f>'Needs years'!$C$118+'Needs years'!$C$125+BM60*('Inputs'!$C$122/100*('Inputs'!$H$110/100+'Inputs'!$C$120/100*'Inputs'!$H$112/100))</f>
      </c>
      <c r="BN61">
        <f>'Needs years'!$C$118+'Needs years'!$C$125+BN60*('Inputs'!$C$122/100*('Inputs'!$H$110/100+'Inputs'!$C$120/100*'Inputs'!$H$112/100))</f>
      </c>
      <c r="BO61">
        <f>'Needs years'!$C$118+'Needs years'!$C$125+BO60*('Inputs'!$C$122/100*('Inputs'!$H$110/100+'Inputs'!$C$120/100*'Inputs'!$H$112/100))</f>
      </c>
      <c r="BP61">
        <f>'Needs years'!$C$118+'Needs years'!$C$125+BP60*('Inputs'!$C$122/100*('Inputs'!$H$110/100+'Inputs'!$C$120/100*'Inputs'!$H$112/100))</f>
      </c>
      <c r="BQ61">
        <f>'Needs years'!$C$118+'Needs years'!$C$125+BQ60*('Inputs'!$C$122/100*('Inputs'!$H$110/100+'Inputs'!$C$120/100*'Inputs'!$H$112/100))</f>
      </c>
      <c r="BR61">
        <f>'Needs years'!$C$118+'Needs years'!$C$125+BR60*('Inputs'!$C$122/100*('Inputs'!$H$110/100+'Inputs'!$C$120/100*'Inputs'!$H$112/100))</f>
      </c>
      <c r="BS61">
        <f>'Needs years'!$C$118+'Needs years'!$C$125+BS60*('Inputs'!$C$122/100*('Inputs'!$H$110/100+'Inputs'!$C$120/100*'Inputs'!$H$112/100))</f>
      </c>
    </row>
    <row r="62" spans="2:71" x14ac:dyDescent="0.25">
      <c r="B62" t="s">
        <v>381</v>
      </c>
      <c r="C62">
        <f>IF(C61&lt;='Needs years'!$C$117,0,INDEX('Inputs'!$E$125:$E$131,MATCH(C61,'Inputs'!$C$125:$C$131,1)-IF(COUNTIF('Inputs'!$C$125:$C$131,C61)&gt;0,1,0))/100)</f>
      </c>
      <c r="E62">
        <f>IF(E61&lt;='Needs years'!$C$117,0,INDEX('Inputs'!$E$125:$E$131,MATCH(E61,'Inputs'!$C$125:$C$131,1)-IF(COUNTIF('Inputs'!$C$125:$C$131,E61)&gt;0,1,0))/100)</f>
      </c>
      <c r="F62">
        <f>IF(F61&lt;='Needs years'!$C$117,0,INDEX('Inputs'!$E$125:$E$131,MATCH(F61,'Inputs'!$C$125:$C$131,1)-IF(COUNTIF('Inputs'!$C$125:$C$131,F61)&gt;0,1,0))/100)</f>
      </c>
      <c r="G62">
        <f>IF(G61&lt;='Needs years'!$C$117,0,INDEX('Inputs'!$E$125:$E$131,MATCH(G61,'Inputs'!$C$125:$C$131,1)-IF(COUNTIF('Inputs'!$C$125:$C$131,G61)&gt;0,1,0))/100)</f>
      </c>
      <c r="H62">
        <f>IF(H61&lt;='Needs years'!$C$117,0,INDEX('Inputs'!$E$125:$E$131,MATCH(H61,'Inputs'!$C$125:$C$131,1)-IF(COUNTIF('Inputs'!$C$125:$C$131,H61)&gt;0,1,0))/100)</f>
      </c>
      <c r="I62">
        <f>IF(I61&lt;='Needs years'!$C$117,0,INDEX('Inputs'!$E$125:$E$131,MATCH(I61,'Inputs'!$C$125:$C$131,1)-IF(COUNTIF('Inputs'!$C$125:$C$131,I61)&gt;0,1,0))/100)</f>
      </c>
      <c r="J62">
        <f>IF(J61&lt;='Needs years'!$C$117,0,INDEX('Inputs'!$E$125:$E$131,MATCH(J61,'Inputs'!$C$125:$C$131,1)-IF(COUNTIF('Inputs'!$C$125:$C$131,J61)&gt;0,1,0))/100)</f>
      </c>
      <c r="K62">
        <f>IF(K61&lt;='Needs years'!$C$117,0,INDEX('Inputs'!$E$125:$E$131,MATCH(K61,'Inputs'!$C$125:$C$131,1)-IF(COUNTIF('Inputs'!$C$125:$C$131,K61)&gt;0,1,0))/100)</f>
      </c>
      <c r="L62">
        <f>IF(L61&lt;='Needs years'!$C$117,0,INDEX('Inputs'!$E$125:$E$131,MATCH(L61,'Inputs'!$C$125:$C$131,1)-IF(COUNTIF('Inputs'!$C$125:$C$131,L61)&gt;0,1,0))/100)</f>
      </c>
      <c r="M62">
        <f>IF(M61&lt;='Needs years'!$C$117,0,INDEX('Inputs'!$E$125:$E$131,MATCH(M61,'Inputs'!$C$125:$C$131,1)-IF(COUNTIF('Inputs'!$C$125:$C$131,M61)&gt;0,1,0))/100)</f>
      </c>
      <c r="N62">
        <f>IF(N61&lt;='Needs years'!$C$117,0,INDEX('Inputs'!$E$125:$E$131,MATCH(N61,'Inputs'!$C$125:$C$131,1)-IF(COUNTIF('Inputs'!$C$125:$C$131,N61)&gt;0,1,0))/100)</f>
      </c>
      <c r="O62">
        <f>IF(O61&lt;='Needs years'!$C$117,0,INDEX('Inputs'!$E$125:$E$131,MATCH(O61,'Inputs'!$C$125:$C$131,1)-IF(COUNTIF('Inputs'!$C$125:$C$131,O61)&gt;0,1,0))/100)</f>
      </c>
      <c r="P62">
        <f>IF(P61&lt;='Needs years'!$C$117,0,INDEX('Inputs'!$E$125:$E$131,MATCH(P61,'Inputs'!$C$125:$C$131,1)-IF(COUNTIF('Inputs'!$C$125:$C$131,P61)&gt;0,1,0))/100)</f>
      </c>
      <c r="Q62">
        <f>IF(Q61&lt;='Needs years'!$C$117,0,INDEX('Inputs'!$E$125:$E$131,MATCH(Q61,'Inputs'!$C$125:$C$131,1)-IF(COUNTIF('Inputs'!$C$125:$C$131,Q61)&gt;0,1,0))/100)</f>
      </c>
      <c r="R62">
        <f>IF(R61&lt;='Needs years'!$C$117,0,INDEX('Inputs'!$E$125:$E$131,MATCH(R61,'Inputs'!$C$125:$C$131,1)-IF(COUNTIF('Inputs'!$C$125:$C$131,R61)&gt;0,1,0))/100)</f>
      </c>
      <c r="S62">
        <f>IF(S61&lt;='Needs years'!$C$117,0,INDEX('Inputs'!$E$125:$E$131,MATCH(S61,'Inputs'!$C$125:$C$131,1)-IF(COUNTIF('Inputs'!$C$125:$C$131,S61)&gt;0,1,0))/100)</f>
      </c>
      <c r="T62">
        <f>IF(T61&lt;='Needs years'!$C$117,0,INDEX('Inputs'!$E$125:$E$131,MATCH(T61,'Inputs'!$C$125:$C$131,1)-IF(COUNTIF('Inputs'!$C$125:$C$131,T61)&gt;0,1,0))/100)</f>
      </c>
      <c r="V62">
        <f>IF(V61&lt;='Needs years'!$C$117,0,INDEX('Inputs'!$E$125:$E$131,MATCH(V61,'Inputs'!$C$125:$C$131,1)-IF(COUNTIF('Inputs'!$C$125:$C$131,V61)&gt;0,1,0))/100)</f>
      </c>
      <c r="W62">
        <f>IF(W61&lt;='Needs years'!$C$117,0,INDEX('Inputs'!$E$125:$E$131,MATCH(W61,'Inputs'!$C$125:$C$131,1)-IF(COUNTIF('Inputs'!$C$125:$C$131,W61)&gt;0,1,0))/100)</f>
      </c>
      <c r="X62">
        <f>IF(X61&lt;='Needs years'!$C$117,0,INDEX('Inputs'!$E$125:$E$131,MATCH(X61,'Inputs'!$C$125:$C$131,1)-IF(COUNTIF('Inputs'!$C$125:$C$131,X61)&gt;0,1,0))/100)</f>
      </c>
      <c r="Y62">
        <f>IF(Y61&lt;='Needs years'!$C$117,0,INDEX('Inputs'!$E$125:$E$131,MATCH(Y61,'Inputs'!$C$125:$C$131,1)-IF(COUNTIF('Inputs'!$C$125:$C$131,Y61)&gt;0,1,0))/100)</f>
      </c>
      <c r="Z62">
        <f>IF(Z61&lt;='Needs years'!$C$117,0,INDEX('Inputs'!$E$125:$E$131,MATCH(Z61,'Inputs'!$C$125:$C$131,1)-IF(COUNTIF('Inputs'!$C$125:$C$131,Z61)&gt;0,1,0))/100)</f>
      </c>
      <c r="AA62">
        <f>IF(AA61&lt;='Needs years'!$C$117,0,INDEX('Inputs'!$E$125:$E$131,MATCH(AA61,'Inputs'!$C$125:$C$131,1)-IF(COUNTIF('Inputs'!$C$125:$C$131,AA61)&gt;0,1,0))/100)</f>
      </c>
      <c r="AB62">
        <f>IF(AB61&lt;='Needs years'!$C$117,0,INDEX('Inputs'!$E$125:$E$131,MATCH(AB61,'Inputs'!$C$125:$C$131,1)-IF(COUNTIF('Inputs'!$C$125:$C$131,AB61)&gt;0,1,0))/100)</f>
      </c>
      <c r="AC62">
        <f>IF(AC61&lt;='Needs years'!$C$117,0,INDEX('Inputs'!$E$125:$E$131,MATCH(AC61,'Inputs'!$C$125:$C$131,1)-IF(COUNTIF('Inputs'!$C$125:$C$131,AC61)&gt;0,1,0))/100)</f>
      </c>
      <c r="AD62">
        <f>IF(AD61&lt;='Needs years'!$C$117,0,INDEX('Inputs'!$E$125:$E$131,MATCH(AD61,'Inputs'!$C$125:$C$131,1)-IF(COUNTIF('Inputs'!$C$125:$C$131,AD61)&gt;0,1,0))/100)</f>
      </c>
      <c r="AE62">
        <f>IF(AE61&lt;='Needs years'!$C$117,0,INDEX('Inputs'!$E$125:$E$131,MATCH(AE61,'Inputs'!$C$125:$C$131,1)-IF(COUNTIF('Inputs'!$C$125:$C$131,AE61)&gt;0,1,0))/100)</f>
      </c>
      <c r="AF62">
        <f>IF(AF61&lt;='Needs years'!$C$117,0,INDEX('Inputs'!$E$125:$E$131,MATCH(AF61,'Inputs'!$C$125:$C$131,1)-IF(COUNTIF('Inputs'!$C$125:$C$131,AF61)&gt;0,1,0))/100)</f>
      </c>
      <c r="AG62">
        <f>IF(AG61&lt;='Needs years'!$C$117,0,INDEX('Inputs'!$E$125:$E$131,MATCH(AG61,'Inputs'!$C$125:$C$131,1)-IF(COUNTIF('Inputs'!$C$125:$C$131,AG61)&gt;0,1,0))/100)</f>
      </c>
      <c r="AH62">
        <f>IF(AH61&lt;='Needs years'!$C$117,0,INDEX('Inputs'!$E$125:$E$131,MATCH(AH61,'Inputs'!$C$125:$C$131,1)-IF(COUNTIF('Inputs'!$C$125:$C$131,AH61)&gt;0,1,0))/100)</f>
      </c>
      <c r="AI62">
        <f>IF(AI61&lt;='Needs years'!$C$117,0,INDEX('Inputs'!$E$125:$E$131,MATCH(AI61,'Inputs'!$C$125:$C$131,1)-IF(COUNTIF('Inputs'!$C$125:$C$131,AI61)&gt;0,1,0))/100)</f>
      </c>
      <c r="AJ62">
        <f>IF(AJ61&lt;='Needs years'!$C$117,0,INDEX('Inputs'!$E$125:$E$131,MATCH(AJ61,'Inputs'!$C$125:$C$131,1)-IF(COUNTIF('Inputs'!$C$125:$C$131,AJ61)&gt;0,1,0))/100)</f>
      </c>
      <c r="AK62">
        <f>IF(AK61&lt;='Needs years'!$C$117,0,INDEX('Inputs'!$E$125:$E$131,MATCH(AK61,'Inputs'!$C$125:$C$131,1)-IF(COUNTIF('Inputs'!$C$125:$C$131,AK61)&gt;0,1,0))/100)</f>
      </c>
      <c r="AM62">
        <f>IF(AM61&lt;='Needs years'!$C$117,0,INDEX('Inputs'!$E$125:$E$131,MATCH(AM61,'Inputs'!$C$125:$C$131,1)-IF(COUNTIF('Inputs'!$C$125:$C$131,AM61)&gt;0,1,0))/100)</f>
      </c>
      <c r="AN62">
        <f>IF(AN61&lt;='Needs years'!$C$117,0,INDEX('Inputs'!$E$125:$E$131,MATCH(AN61,'Inputs'!$C$125:$C$131,1)-IF(COUNTIF('Inputs'!$C$125:$C$131,AN61)&gt;0,1,0))/100)</f>
      </c>
      <c r="AO62">
        <f>IF(AO61&lt;='Needs years'!$C$117,0,INDEX('Inputs'!$E$125:$E$131,MATCH(AO61,'Inputs'!$C$125:$C$131,1)-IF(COUNTIF('Inputs'!$C$125:$C$131,AO61)&gt;0,1,0))/100)</f>
      </c>
      <c r="AP62">
        <f>IF(AP61&lt;='Needs years'!$C$117,0,INDEX('Inputs'!$E$125:$E$131,MATCH(AP61,'Inputs'!$C$125:$C$131,1)-IF(COUNTIF('Inputs'!$C$125:$C$131,AP61)&gt;0,1,0))/100)</f>
      </c>
      <c r="AQ62">
        <f>IF(AQ61&lt;='Needs years'!$C$117,0,INDEX('Inputs'!$E$125:$E$131,MATCH(AQ61,'Inputs'!$C$125:$C$131,1)-IF(COUNTIF('Inputs'!$C$125:$C$131,AQ61)&gt;0,1,0))/100)</f>
      </c>
      <c r="AR62">
        <f>IF(AR61&lt;='Needs years'!$C$117,0,INDEX('Inputs'!$E$125:$E$131,MATCH(AR61,'Inputs'!$C$125:$C$131,1)-IF(COUNTIF('Inputs'!$C$125:$C$131,AR61)&gt;0,1,0))/100)</f>
      </c>
      <c r="AS62">
        <f>IF(AS61&lt;='Needs years'!$C$117,0,INDEX('Inputs'!$E$125:$E$131,MATCH(AS61,'Inputs'!$C$125:$C$131,1)-IF(COUNTIF('Inputs'!$C$125:$C$131,AS61)&gt;0,1,0))/100)</f>
      </c>
      <c r="AT62">
        <f>IF(AT61&lt;='Needs years'!$C$117,0,INDEX('Inputs'!$E$125:$E$131,MATCH(AT61,'Inputs'!$C$125:$C$131,1)-IF(COUNTIF('Inputs'!$C$125:$C$131,AT61)&gt;0,1,0))/100)</f>
      </c>
      <c r="AU62">
        <f>IF(AU61&lt;='Needs years'!$C$117,0,INDEX('Inputs'!$E$125:$E$131,MATCH(AU61,'Inputs'!$C$125:$C$131,1)-IF(COUNTIF('Inputs'!$C$125:$C$131,AU61)&gt;0,1,0))/100)</f>
      </c>
      <c r="AV62">
        <f>IF(AV61&lt;='Needs years'!$C$117,0,INDEX('Inputs'!$E$125:$E$131,MATCH(AV61,'Inputs'!$C$125:$C$131,1)-IF(COUNTIF('Inputs'!$C$125:$C$131,AV61)&gt;0,1,0))/100)</f>
      </c>
      <c r="AW62">
        <f>IF(AW61&lt;='Needs years'!$C$117,0,INDEX('Inputs'!$E$125:$E$131,MATCH(AW61,'Inputs'!$C$125:$C$131,1)-IF(COUNTIF('Inputs'!$C$125:$C$131,AW61)&gt;0,1,0))/100)</f>
      </c>
      <c r="AX62">
        <f>IF(AX61&lt;='Needs years'!$C$117,0,INDEX('Inputs'!$E$125:$E$131,MATCH(AX61,'Inputs'!$C$125:$C$131,1)-IF(COUNTIF('Inputs'!$C$125:$C$131,AX61)&gt;0,1,0))/100)</f>
      </c>
      <c r="AY62">
        <f>IF(AY61&lt;='Needs years'!$C$117,0,INDEX('Inputs'!$E$125:$E$131,MATCH(AY61,'Inputs'!$C$125:$C$131,1)-IF(COUNTIF('Inputs'!$C$125:$C$131,AY61)&gt;0,1,0))/100)</f>
      </c>
      <c r="AZ62">
        <f>IF(AZ61&lt;='Needs years'!$C$117,0,INDEX('Inputs'!$E$125:$E$131,MATCH(AZ61,'Inputs'!$C$125:$C$131,1)-IF(COUNTIF('Inputs'!$C$125:$C$131,AZ61)&gt;0,1,0))/100)</f>
      </c>
      <c r="BA62">
        <f>IF(BA61&lt;='Needs years'!$C$117,0,INDEX('Inputs'!$E$125:$E$131,MATCH(BA61,'Inputs'!$C$125:$C$131,1)-IF(COUNTIF('Inputs'!$C$125:$C$131,BA61)&gt;0,1,0))/100)</f>
      </c>
      <c r="BB62">
        <f>IF(BB61&lt;='Needs years'!$C$117,0,INDEX('Inputs'!$E$125:$E$131,MATCH(BB61,'Inputs'!$C$125:$C$131,1)-IF(COUNTIF('Inputs'!$C$125:$C$131,BB61)&gt;0,1,0))/100)</f>
      </c>
      <c r="BD62">
        <f>IF(BD61&lt;='Needs years'!$C$117,0,INDEX('Inputs'!$E$125:$E$131,MATCH(BD61,'Inputs'!$C$125:$C$131,1)-IF(COUNTIF('Inputs'!$C$125:$C$131,BD61)&gt;0,1,0))/100)</f>
      </c>
      <c r="BE62">
        <f>IF(BE61&lt;='Needs years'!$C$117,0,INDEX('Inputs'!$E$125:$E$131,MATCH(BE61,'Inputs'!$C$125:$C$131,1)-IF(COUNTIF('Inputs'!$C$125:$C$131,BE61)&gt;0,1,0))/100)</f>
      </c>
      <c r="BF62">
        <f>IF(BF61&lt;='Needs years'!$C$117,0,INDEX('Inputs'!$E$125:$E$131,MATCH(BF61,'Inputs'!$C$125:$C$131,1)-IF(COUNTIF('Inputs'!$C$125:$C$131,BF61)&gt;0,1,0))/100)</f>
      </c>
      <c r="BG62">
        <f>IF(BG61&lt;='Needs years'!$C$117,0,INDEX('Inputs'!$E$125:$E$131,MATCH(BG61,'Inputs'!$C$125:$C$131,1)-IF(COUNTIF('Inputs'!$C$125:$C$131,BG61)&gt;0,1,0))/100)</f>
      </c>
      <c r="BH62">
        <f>IF(BH61&lt;='Needs years'!$C$117,0,INDEX('Inputs'!$E$125:$E$131,MATCH(BH61,'Inputs'!$C$125:$C$131,1)-IF(COUNTIF('Inputs'!$C$125:$C$131,BH61)&gt;0,1,0))/100)</f>
      </c>
      <c r="BI62">
        <f>IF(BI61&lt;='Needs years'!$C$117,0,INDEX('Inputs'!$E$125:$E$131,MATCH(BI61,'Inputs'!$C$125:$C$131,1)-IF(COUNTIF('Inputs'!$C$125:$C$131,BI61)&gt;0,1,0))/100)</f>
      </c>
      <c r="BJ62">
        <f>IF(BJ61&lt;='Needs years'!$C$117,0,INDEX('Inputs'!$E$125:$E$131,MATCH(BJ61,'Inputs'!$C$125:$C$131,1)-IF(COUNTIF('Inputs'!$C$125:$C$131,BJ61)&gt;0,1,0))/100)</f>
      </c>
      <c r="BK62">
        <f>IF(BK61&lt;='Needs years'!$C$117,0,INDEX('Inputs'!$E$125:$E$131,MATCH(BK61,'Inputs'!$C$125:$C$131,1)-IF(COUNTIF('Inputs'!$C$125:$C$131,BK61)&gt;0,1,0))/100)</f>
      </c>
      <c r="BL62">
        <f>IF(BL61&lt;='Needs years'!$C$117,0,INDEX('Inputs'!$E$125:$E$131,MATCH(BL61,'Inputs'!$C$125:$C$131,1)-IF(COUNTIF('Inputs'!$C$125:$C$131,BL61)&gt;0,1,0))/100)</f>
      </c>
      <c r="BM62">
        <f>IF(BM61&lt;='Needs years'!$C$117,0,INDEX('Inputs'!$E$125:$E$131,MATCH(BM61,'Inputs'!$C$125:$C$131,1)-IF(COUNTIF('Inputs'!$C$125:$C$131,BM61)&gt;0,1,0))/100)</f>
      </c>
      <c r="BN62">
        <f>IF(BN61&lt;='Needs years'!$C$117,0,INDEX('Inputs'!$E$125:$E$131,MATCH(BN61,'Inputs'!$C$125:$C$131,1)-IF(COUNTIF('Inputs'!$C$125:$C$131,BN61)&gt;0,1,0))/100)</f>
      </c>
      <c r="BO62">
        <f>IF(BO61&lt;='Needs years'!$C$117,0,INDEX('Inputs'!$E$125:$E$131,MATCH(BO61,'Inputs'!$C$125:$C$131,1)-IF(COUNTIF('Inputs'!$C$125:$C$131,BO61)&gt;0,1,0))/100)</f>
      </c>
      <c r="BP62">
        <f>IF(BP61&lt;='Needs years'!$C$117,0,INDEX('Inputs'!$E$125:$E$131,MATCH(BP61,'Inputs'!$C$125:$C$131,1)-IF(COUNTIF('Inputs'!$C$125:$C$131,BP61)&gt;0,1,0))/100)</f>
      </c>
      <c r="BQ62">
        <f>IF(BQ61&lt;='Needs years'!$C$117,0,INDEX('Inputs'!$E$125:$E$131,MATCH(BQ61,'Inputs'!$C$125:$C$131,1)-IF(COUNTIF('Inputs'!$C$125:$C$131,BQ61)&gt;0,1,0))/100)</f>
      </c>
      <c r="BR62">
        <f>IF(BR61&lt;='Needs years'!$C$117,0,INDEX('Inputs'!$E$125:$E$131,MATCH(BR61,'Inputs'!$C$125:$C$131,1)-IF(COUNTIF('Inputs'!$C$125:$C$131,BR61)&gt;0,1,0))/100)</f>
      </c>
      <c r="BS62">
        <f>IF(BS61&lt;='Needs years'!$C$117,0,INDEX('Inputs'!$E$125:$E$131,MATCH(BS61,'Inputs'!$C$125:$C$131,1)-IF(COUNTIF('Inputs'!$C$125:$C$131,BS61)&gt;0,1,0))/100)</f>
      </c>
    </row>
    <row r="63" spans="2:71" x14ac:dyDescent="0.25">
      <c r="B63" t="s">
        <v>382</v>
      </c>
      <c r="C63">
        <f>('Inputs'!$C$122/100*(1-('Inputs'!$H$110/100*C62+'Inputs'!$H$111/100*'Inputs'!$H$113/100+'Inputs'!$H$112/100*'Inputs'!$C$120/100*C62))-IF('Needs years'!$C$123=1,'Inputs'!$H$108/100,0))</f>
      </c>
      <c r="E63">
        <f>('Inputs'!$C$122/100*(1-('Inputs'!$H$110/100*E62+'Inputs'!$H$111/100*'Inputs'!$H$113/100+'Inputs'!$H$112/100*'Inputs'!$C$120/100*E62))-IF('Needs years'!$C$123=1,'Inputs'!$H$108/100,0))</f>
      </c>
      <c r="F63">
        <f>('Inputs'!$C$122/100*(1-('Inputs'!$H$110/100*F62+'Inputs'!$H$111/100*'Inputs'!$H$113/100+'Inputs'!$H$112/100*'Inputs'!$C$120/100*F62))-IF('Needs years'!$C$123=1,'Inputs'!$H$108/100,0))</f>
      </c>
      <c r="G63">
        <f>('Inputs'!$C$122/100*(1-('Inputs'!$H$110/100*G62+'Inputs'!$H$111/100*'Inputs'!$H$113/100+'Inputs'!$H$112/100*'Inputs'!$C$120/100*G62))-IF('Needs years'!$C$123=1,'Inputs'!$H$108/100,0))</f>
      </c>
      <c r="H63">
        <f>('Inputs'!$C$122/100*(1-('Inputs'!$H$110/100*H62+'Inputs'!$H$111/100*'Inputs'!$H$113/100+'Inputs'!$H$112/100*'Inputs'!$C$120/100*H62))-IF('Needs years'!$C$123=1,'Inputs'!$H$108/100,0))</f>
      </c>
      <c r="I63">
        <f>('Inputs'!$C$122/100*(1-('Inputs'!$H$110/100*I62+'Inputs'!$H$111/100*'Inputs'!$H$113/100+'Inputs'!$H$112/100*'Inputs'!$C$120/100*I62))-IF('Needs years'!$C$123=1,'Inputs'!$H$108/100,0))</f>
      </c>
      <c r="J63">
        <f>('Inputs'!$C$122/100*(1-('Inputs'!$H$110/100*J62+'Inputs'!$H$111/100*'Inputs'!$H$113/100+'Inputs'!$H$112/100*'Inputs'!$C$120/100*J62))-IF('Needs years'!$C$123=1,'Inputs'!$H$108/100,0))</f>
      </c>
      <c r="K63">
        <f>('Inputs'!$C$122/100*(1-('Inputs'!$H$110/100*K62+'Inputs'!$H$111/100*'Inputs'!$H$113/100+'Inputs'!$H$112/100*'Inputs'!$C$120/100*K62))-IF('Needs years'!$C$123=1,'Inputs'!$H$108/100,0))</f>
      </c>
      <c r="L63">
        <f>('Inputs'!$C$122/100*(1-('Inputs'!$H$110/100*L62+'Inputs'!$H$111/100*'Inputs'!$H$113/100+'Inputs'!$H$112/100*'Inputs'!$C$120/100*L62))-IF('Needs years'!$C$123=1,'Inputs'!$H$108/100,0))</f>
      </c>
      <c r="M63">
        <f>('Inputs'!$C$122/100*(1-('Inputs'!$H$110/100*M62+'Inputs'!$H$111/100*'Inputs'!$H$113/100+'Inputs'!$H$112/100*'Inputs'!$C$120/100*M62))-IF('Needs years'!$C$123=1,'Inputs'!$H$108/100,0))</f>
      </c>
      <c r="N63">
        <f>('Inputs'!$C$122/100*(1-('Inputs'!$H$110/100*N62+'Inputs'!$H$111/100*'Inputs'!$H$113/100+'Inputs'!$H$112/100*'Inputs'!$C$120/100*N62))-IF('Needs years'!$C$123=1,'Inputs'!$H$108/100,0))</f>
      </c>
      <c r="O63">
        <f>('Inputs'!$C$122/100*(1-('Inputs'!$H$110/100*O62+'Inputs'!$H$111/100*'Inputs'!$H$113/100+'Inputs'!$H$112/100*'Inputs'!$C$120/100*O62))-IF('Needs years'!$C$123=1,'Inputs'!$H$108/100,0))</f>
      </c>
      <c r="P63">
        <f>('Inputs'!$C$122/100*(1-('Inputs'!$H$110/100*P62+'Inputs'!$H$111/100*'Inputs'!$H$113/100+'Inputs'!$H$112/100*'Inputs'!$C$120/100*P62))-IF('Needs years'!$C$123=1,'Inputs'!$H$108/100,0))</f>
      </c>
      <c r="Q63">
        <f>('Inputs'!$C$122/100*(1-('Inputs'!$H$110/100*Q62+'Inputs'!$H$111/100*'Inputs'!$H$113/100+'Inputs'!$H$112/100*'Inputs'!$C$120/100*Q62))-IF('Needs years'!$C$123=1,'Inputs'!$H$108/100,0))</f>
      </c>
      <c r="R63">
        <f>('Inputs'!$C$122/100*(1-('Inputs'!$H$110/100*R62+'Inputs'!$H$111/100*'Inputs'!$H$113/100+'Inputs'!$H$112/100*'Inputs'!$C$120/100*R62))-IF('Needs years'!$C$123=1,'Inputs'!$H$108/100,0))</f>
      </c>
      <c r="S63">
        <f>('Inputs'!$C$122/100*(1-('Inputs'!$H$110/100*S62+'Inputs'!$H$111/100*'Inputs'!$H$113/100+'Inputs'!$H$112/100*'Inputs'!$C$120/100*S62))-IF('Needs years'!$C$123=1,'Inputs'!$H$108/100,0))</f>
      </c>
      <c r="T63">
        <f>('Inputs'!$C$122/100*(1-('Inputs'!$H$110/100*T62+'Inputs'!$H$111/100*'Inputs'!$H$113/100+'Inputs'!$H$112/100*'Inputs'!$C$120/100*T62))-IF('Needs years'!$C$123=1,'Inputs'!$H$108/100,0))</f>
      </c>
      <c r="V63">
        <f>('Inputs'!$C$122/100*(1-('Inputs'!$H$110/100*V62+'Inputs'!$H$111/100*'Inputs'!$H$113/100+'Inputs'!$H$112/100*'Inputs'!$C$120/100*V62))-IF('Needs years'!$C$123=1,'Inputs'!$H$108/100,0))</f>
      </c>
      <c r="W63">
        <f>('Inputs'!$C$122/100*(1-('Inputs'!$H$110/100*W62+'Inputs'!$H$111/100*'Inputs'!$H$113/100+'Inputs'!$H$112/100*'Inputs'!$C$120/100*W62))-IF('Needs years'!$C$123=1,'Inputs'!$H$108/100,0))</f>
      </c>
      <c r="X63">
        <f>('Inputs'!$C$122/100*(1-('Inputs'!$H$110/100*X62+'Inputs'!$H$111/100*'Inputs'!$H$113/100+'Inputs'!$H$112/100*'Inputs'!$C$120/100*X62))-IF('Needs years'!$C$123=1,'Inputs'!$H$108/100,0))</f>
      </c>
      <c r="Y63">
        <f>('Inputs'!$C$122/100*(1-('Inputs'!$H$110/100*Y62+'Inputs'!$H$111/100*'Inputs'!$H$113/100+'Inputs'!$H$112/100*'Inputs'!$C$120/100*Y62))-IF('Needs years'!$C$123=1,'Inputs'!$H$108/100,0))</f>
      </c>
      <c r="Z63">
        <f>('Inputs'!$C$122/100*(1-('Inputs'!$H$110/100*Z62+'Inputs'!$H$111/100*'Inputs'!$H$113/100+'Inputs'!$H$112/100*'Inputs'!$C$120/100*Z62))-IF('Needs years'!$C$123=1,'Inputs'!$H$108/100,0))</f>
      </c>
      <c r="AA63">
        <f>('Inputs'!$C$122/100*(1-('Inputs'!$H$110/100*AA62+'Inputs'!$H$111/100*'Inputs'!$H$113/100+'Inputs'!$H$112/100*'Inputs'!$C$120/100*AA62))-IF('Needs years'!$C$123=1,'Inputs'!$H$108/100,0))</f>
      </c>
      <c r="AB63">
        <f>('Inputs'!$C$122/100*(1-('Inputs'!$H$110/100*AB62+'Inputs'!$H$111/100*'Inputs'!$H$113/100+'Inputs'!$H$112/100*'Inputs'!$C$120/100*AB62))-IF('Needs years'!$C$123=1,'Inputs'!$H$108/100,0))</f>
      </c>
      <c r="AC63">
        <f>('Inputs'!$C$122/100*(1-('Inputs'!$H$110/100*AC62+'Inputs'!$H$111/100*'Inputs'!$H$113/100+'Inputs'!$H$112/100*'Inputs'!$C$120/100*AC62))-IF('Needs years'!$C$123=1,'Inputs'!$H$108/100,0))</f>
      </c>
      <c r="AD63">
        <f>('Inputs'!$C$122/100*(1-('Inputs'!$H$110/100*AD62+'Inputs'!$H$111/100*'Inputs'!$H$113/100+'Inputs'!$H$112/100*'Inputs'!$C$120/100*AD62))-IF('Needs years'!$C$123=1,'Inputs'!$H$108/100,0))</f>
      </c>
      <c r="AE63">
        <f>('Inputs'!$C$122/100*(1-('Inputs'!$H$110/100*AE62+'Inputs'!$H$111/100*'Inputs'!$H$113/100+'Inputs'!$H$112/100*'Inputs'!$C$120/100*AE62))-IF('Needs years'!$C$123=1,'Inputs'!$H$108/100,0))</f>
      </c>
      <c r="AF63">
        <f>('Inputs'!$C$122/100*(1-('Inputs'!$H$110/100*AF62+'Inputs'!$H$111/100*'Inputs'!$H$113/100+'Inputs'!$H$112/100*'Inputs'!$C$120/100*AF62))-IF('Needs years'!$C$123=1,'Inputs'!$H$108/100,0))</f>
      </c>
      <c r="AG63">
        <f>('Inputs'!$C$122/100*(1-('Inputs'!$H$110/100*AG62+'Inputs'!$H$111/100*'Inputs'!$H$113/100+'Inputs'!$H$112/100*'Inputs'!$C$120/100*AG62))-IF('Needs years'!$C$123=1,'Inputs'!$H$108/100,0))</f>
      </c>
      <c r="AH63">
        <f>('Inputs'!$C$122/100*(1-('Inputs'!$H$110/100*AH62+'Inputs'!$H$111/100*'Inputs'!$H$113/100+'Inputs'!$H$112/100*'Inputs'!$C$120/100*AH62))-IF('Needs years'!$C$123=1,'Inputs'!$H$108/100,0))</f>
      </c>
      <c r="AI63">
        <f>('Inputs'!$C$122/100*(1-('Inputs'!$H$110/100*AI62+'Inputs'!$H$111/100*'Inputs'!$H$113/100+'Inputs'!$H$112/100*'Inputs'!$C$120/100*AI62))-IF('Needs years'!$C$123=1,'Inputs'!$H$108/100,0))</f>
      </c>
      <c r="AJ63">
        <f>('Inputs'!$C$122/100*(1-('Inputs'!$H$110/100*AJ62+'Inputs'!$H$111/100*'Inputs'!$H$113/100+'Inputs'!$H$112/100*'Inputs'!$C$120/100*AJ62))-IF('Needs years'!$C$123=1,'Inputs'!$H$108/100,0))</f>
      </c>
      <c r="AK63">
        <f>('Inputs'!$C$122/100*(1-('Inputs'!$H$110/100*AK62+'Inputs'!$H$111/100*'Inputs'!$H$113/100+'Inputs'!$H$112/100*'Inputs'!$C$120/100*AK62))-IF('Needs years'!$C$123=1,'Inputs'!$H$108/100,0))</f>
      </c>
      <c r="AM63">
        <f>('Inputs'!$C$122/100*(1-('Inputs'!$H$110/100*AM62+'Inputs'!$H$111/100*'Inputs'!$H$113/100+'Inputs'!$H$112/100*'Inputs'!$C$120/100*AM62))-IF('Needs years'!$C$123=1,'Inputs'!$H$108/100,0))</f>
      </c>
      <c r="AN63">
        <f>('Inputs'!$C$122/100*(1-('Inputs'!$H$110/100*AN62+'Inputs'!$H$111/100*'Inputs'!$H$113/100+'Inputs'!$H$112/100*'Inputs'!$C$120/100*AN62))-IF('Needs years'!$C$123=1,'Inputs'!$H$108/100,0))</f>
      </c>
      <c r="AO63">
        <f>('Inputs'!$C$122/100*(1-('Inputs'!$H$110/100*AO62+'Inputs'!$H$111/100*'Inputs'!$H$113/100+'Inputs'!$H$112/100*'Inputs'!$C$120/100*AO62))-IF('Needs years'!$C$123=1,'Inputs'!$H$108/100,0))</f>
      </c>
      <c r="AP63">
        <f>('Inputs'!$C$122/100*(1-('Inputs'!$H$110/100*AP62+'Inputs'!$H$111/100*'Inputs'!$H$113/100+'Inputs'!$H$112/100*'Inputs'!$C$120/100*AP62))-IF('Needs years'!$C$123=1,'Inputs'!$H$108/100,0))</f>
      </c>
      <c r="AQ63">
        <f>('Inputs'!$C$122/100*(1-('Inputs'!$H$110/100*AQ62+'Inputs'!$H$111/100*'Inputs'!$H$113/100+'Inputs'!$H$112/100*'Inputs'!$C$120/100*AQ62))-IF('Needs years'!$C$123=1,'Inputs'!$H$108/100,0))</f>
      </c>
      <c r="AR63">
        <f>('Inputs'!$C$122/100*(1-('Inputs'!$H$110/100*AR62+'Inputs'!$H$111/100*'Inputs'!$H$113/100+'Inputs'!$H$112/100*'Inputs'!$C$120/100*AR62))-IF('Needs years'!$C$123=1,'Inputs'!$H$108/100,0))</f>
      </c>
      <c r="AS63">
        <f>('Inputs'!$C$122/100*(1-('Inputs'!$H$110/100*AS62+'Inputs'!$H$111/100*'Inputs'!$H$113/100+'Inputs'!$H$112/100*'Inputs'!$C$120/100*AS62))-IF('Needs years'!$C$123=1,'Inputs'!$H$108/100,0))</f>
      </c>
      <c r="AT63">
        <f>('Inputs'!$C$122/100*(1-('Inputs'!$H$110/100*AT62+'Inputs'!$H$111/100*'Inputs'!$H$113/100+'Inputs'!$H$112/100*'Inputs'!$C$120/100*AT62))-IF('Needs years'!$C$123=1,'Inputs'!$H$108/100,0))</f>
      </c>
      <c r="AU63">
        <f>('Inputs'!$C$122/100*(1-('Inputs'!$H$110/100*AU62+'Inputs'!$H$111/100*'Inputs'!$H$113/100+'Inputs'!$H$112/100*'Inputs'!$C$120/100*AU62))-IF('Needs years'!$C$123=1,'Inputs'!$H$108/100,0))</f>
      </c>
      <c r="AV63">
        <f>('Inputs'!$C$122/100*(1-('Inputs'!$H$110/100*AV62+'Inputs'!$H$111/100*'Inputs'!$H$113/100+'Inputs'!$H$112/100*'Inputs'!$C$120/100*AV62))-IF('Needs years'!$C$123=1,'Inputs'!$H$108/100,0))</f>
      </c>
      <c r="AW63">
        <f>('Inputs'!$C$122/100*(1-('Inputs'!$H$110/100*AW62+'Inputs'!$H$111/100*'Inputs'!$H$113/100+'Inputs'!$H$112/100*'Inputs'!$C$120/100*AW62))-IF('Needs years'!$C$123=1,'Inputs'!$H$108/100,0))</f>
      </c>
      <c r="AX63">
        <f>('Inputs'!$C$122/100*(1-('Inputs'!$H$110/100*AX62+'Inputs'!$H$111/100*'Inputs'!$H$113/100+'Inputs'!$H$112/100*'Inputs'!$C$120/100*AX62))-IF('Needs years'!$C$123=1,'Inputs'!$H$108/100,0))</f>
      </c>
      <c r="AY63">
        <f>('Inputs'!$C$122/100*(1-('Inputs'!$H$110/100*AY62+'Inputs'!$H$111/100*'Inputs'!$H$113/100+'Inputs'!$H$112/100*'Inputs'!$C$120/100*AY62))-IF('Needs years'!$C$123=1,'Inputs'!$H$108/100,0))</f>
      </c>
      <c r="AZ63">
        <f>('Inputs'!$C$122/100*(1-('Inputs'!$H$110/100*AZ62+'Inputs'!$H$111/100*'Inputs'!$H$113/100+'Inputs'!$H$112/100*'Inputs'!$C$120/100*AZ62))-IF('Needs years'!$C$123=1,'Inputs'!$H$108/100,0))</f>
      </c>
      <c r="BA63">
        <f>('Inputs'!$C$122/100*(1-('Inputs'!$H$110/100*BA62+'Inputs'!$H$111/100*'Inputs'!$H$113/100+'Inputs'!$H$112/100*'Inputs'!$C$120/100*BA62))-IF('Needs years'!$C$123=1,'Inputs'!$H$108/100,0))</f>
      </c>
      <c r="BB63">
        <f>('Inputs'!$C$122/100*(1-('Inputs'!$H$110/100*BB62+'Inputs'!$H$111/100*'Inputs'!$H$113/100+'Inputs'!$H$112/100*'Inputs'!$C$120/100*BB62))-IF('Needs years'!$C$123=1,'Inputs'!$H$108/100,0))</f>
      </c>
      <c r="BD63">
        <f>('Inputs'!$C$122/100*(1-('Inputs'!$H$110/100*BD62+'Inputs'!$H$111/100*'Inputs'!$H$113/100+'Inputs'!$H$112/100*'Inputs'!$C$120/100*BD62))-IF('Needs years'!$C$123=1,'Inputs'!$H$108/100,0))</f>
      </c>
      <c r="BE63">
        <f>('Inputs'!$C$122/100*(1-('Inputs'!$H$110/100*BE62+'Inputs'!$H$111/100*'Inputs'!$H$113/100+'Inputs'!$H$112/100*'Inputs'!$C$120/100*BE62))-IF('Needs years'!$C$123=1,'Inputs'!$H$108/100,0))</f>
      </c>
      <c r="BF63">
        <f>('Inputs'!$C$122/100*(1-('Inputs'!$H$110/100*BF62+'Inputs'!$H$111/100*'Inputs'!$H$113/100+'Inputs'!$H$112/100*'Inputs'!$C$120/100*BF62))-IF('Needs years'!$C$123=1,'Inputs'!$H$108/100,0))</f>
      </c>
      <c r="BG63">
        <f>('Inputs'!$C$122/100*(1-('Inputs'!$H$110/100*BG62+'Inputs'!$H$111/100*'Inputs'!$H$113/100+'Inputs'!$H$112/100*'Inputs'!$C$120/100*BG62))-IF('Needs years'!$C$123=1,'Inputs'!$H$108/100,0))</f>
      </c>
      <c r="BH63">
        <f>('Inputs'!$C$122/100*(1-('Inputs'!$H$110/100*BH62+'Inputs'!$H$111/100*'Inputs'!$H$113/100+'Inputs'!$H$112/100*'Inputs'!$C$120/100*BH62))-IF('Needs years'!$C$123=1,'Inputs'!$H$108/100,0))</f>
      </c>
      <c r="BI63">
        <f>('Inputs'!$C$122/100*(1-('Inputs'!$H$110/100*BI62+'Inputs'!$H$111/100*'Inputs'!$H$113/100+'Inputs'!$H$112/100*'Inputs'!$C$120/100*BI62))-IF('Needs years'!$C$123=1,'Inputs'!$H$108/100,0))</f>
      </c>
      <c r="BJ63">
        <f>('Inputs'!$C$122/100*(1-('Inputs'!$H$110/100*BJ62+'Inputs'!$H$111/100*'Inputs'!$H$113/100+'Inputs'!$H$112/100*'Inputs'!$C$120/100*BJ62))-IF('Needs years'!$C$123=1,'Inputs'!$H$108/100,0))</f>
      </c>
      <c r="BK63">
        <f>('Inputs'!$C$122/100*(1-('Inputs'!$H$110/100*BK62+'Inputs'!$H$111/100*'Inputs'!$H$113/100+'Inputs'!$H$112/100*'Inputs'!$C$120/100*BK62))-IF('Needs years'!$C$123=1,'Inputs'!$H$108/100,0))</f>
      </c>
      <c r="BL63">
        <f>('Inputs'!$C$122/100*(1-('Inputs'!$H$110/100*BL62+'Inputs'!$H$111/100*'Inputs'!$H$113/100+'Inputs'!$H$112/100*'Inputs'!$C$120/100*BL62))-IF('Needs years'!$C$123=1,'Inputs'!$H$108/100,0))</f>
      </c>
      <c r="BM63">
        <f>('Inputs'!$C$122/100*(1-('Inputs'!$H$110/100*BM62+'Inputs'!$H$111/100*'Inputs'!$H$113/100+'Inputs'!$H$112/100*'Inputs'!$C$120/100*BM62))-IF('Needs years'!$C$123=1,'Inputs'!$H$108/100,0))</f>
      </c>
      <c r="BN63">
        <f>('Inputs'!$C$122/100*(1-('Inputs'!$H$110/100*BN62+'Inputs'!$H$111/100*'Inputs'!$H$113/100+'Inputs'!$H$112/100*'Inputs'!$C$120/100*BN62))-IF('Needs years'!$C$123=1,'Inputs'!$H$108/100,0))</f>
      </c>
      <c r="BO63">
        <f>('Inputs'!$C$122/100*(1-('Inputs'!$H$110/100*BO62+'Inputs'!$H$111/100*'Inputs'!$H$113/100+'Inputs'!$H$112/100*'Inputs'!$C$120/100*BO62))-IF('Needs years'!$C$123=1,'Inputs'!$H$108/100,0))</f>
      </c>
      <c r="BP63">
        <f>('Inputs'!$C$122/100*(1-('Inputs'!$H$110/100*BP62+'Inputs'!$H$111/100*'Inputs'!$H$113/100+'Inputs'!$H$112/100*'Inputs'!$C$120/100*BP62))-IF('Needs years'!$C$123=1,'Inputs'!$H$108/100,0))</f>
      </c>
      <c r="BQ63">
        <f>('Inputs'!$C$122/100*(1-('Inputs'!$H$110/100*BQ62+'Inputs'!$H$111/100*'Inputs'!$H$113/100+'Inputs'!$H$112/100*'Inputs'!$C$120/100*BQ62))-IF('Needs years'!$C$123=1,'Inputs'!$H$108/100,0))</f>
      </c>
      <c r="BR63">
        <f>('Inputs'!$C$122/100*(1-('Inputs'!$H$110/100*BR62+'Inputs'!$H$111/100*'Inputs'!$H$113/100+'Inputs'!$H$112/100*'Inputs'!$C$120/100*BR62))-IF('Needs years'!$C$123=1,'Inputs'!$H$108/100,0))</f>
      </c>
      <c r="BS63">
        <f>('Inputs'!$C$122/100*(1-('Inputs'!$H$110/100*BS62+'Inputs'!$H$111/100*'Inputs'!$H$113/100+'Inputs'!$H$112/100*'Inputs'!$C$120/100*BS62))-IF('Needs years'!$C$123=1,'Inputs'!$H$108/100,0))</f>
      </c>
    </row>
    <row r="64" spans="2:71" x14ac:dyDescent="0.25">
      <c r="B64" t="s">
        <v>383</v>
      </c>
      <c r="C64">
        <f>IF('Inputs'!$B$91="",0,IF(AND(C4=1,'Inputs'!$Q$91=1),'Needs years'!$C$126,ROUND(IF(C63=0,SUM('Needs years'!$O$116:$O$165),(1-(1+C63)^-1)/(1-(1+C63)^(-1/12))/12*SUMPRODUCT('Needs years'!$O$116:$O$165,(1+C63)^(-'Needs years'!$I$116:$I$165))),2)))</f>
      </c>
      <c r="E64">
        <f>IF('Inputs'!$B$91="",0,IF(AND(E4=1,'Inputs'!$Q$91=1),'Needs years'!$C$126,ROUND(IF(E63=0,SUM('Needs years'!$O$116:$O$165),(1-(1+E63)^-1)/(1-(1+E63)^(-1/12))/12*SUMPRODUCT('Needs years'!$O$116:$O$165,(1+E63)^(-'Needs years'!$I$116:$I$165))),2)))</f>
      </c>
      <c r="F64">
        <f>IF('Inputs'!$B$91="",0,IF(AND(F4=1,'Inputs'!$Q$91=1),'Needs years'!$C$126,ROUND(IF(F63=0,SUM('Needs years'!$O$116:$O$165),(1-(1+F63)^-1)/(1-(1+F63)^(-1/12))/12*SUMPRODUCT('Needs years'!$O$116:$O$165,(1+F63)^(-'Needs years'!$I$116:$I$165))),2)))</f>
      </c>
      <c r="G64">
        <f>IF('Inputs'!$B$91="",0,IF(AND(G4=1,'Inputs'!$Q$91=1),'Needs years'!$C$126,ROUND(IF(G63=0,SUM('Needs years'!$O$116:$O$165),(1-(1+G63)^-1)/(1-(1+G63)^(-1/12))/12*SUMPRODUCT('Needs years'!$O$116:$O$165,(1+G63)^(-'Needs years'!$I$116:$I$165))),2)))</f>
      </c>
      <c r="H64">
        <f>IF('Inputs'!$B$91="",0,IF(AND(H4=1,'Inputs'!$Q$91=1),'Needs years'!$C$126,ROUND(IF(H63=0,SUM('Needs years'!$O$116:$O$165),(1-(1+H63)^-1)/(1-(1+H63)^(-1/12))/12*SUMPRODUCT('Needs years'!$O$116:$O$165,(1+H63)^(-'Needs years'!$I$116:$I$165))),2)))</f>
      </c>
      <c r="I64">
        <f>IF('Inputs'!$B$91="",0,IF(AND(I4=1,'Inputs'!$Q$91=1),'Needs years'!$C$126,ROUND(IF(I63=0,SUM('Needs years'!$O$116:$O$165),(1-(1+I63)^-1)/(1-(1+I63)^(-1/12))/12*SUMPRODUCT('Needs years'!$O$116:$O$165,(1+I63)^(-'Needs years'!$I$116:$I$165))),2)))</f>
      </c>
      <c r="J64">
        <f>IF('Inputs'!$B$91="",0,IF(AND(J4=1,'Inputs'!$Q$91=1),'Needs years'!$C$126,ROUND(IF(J63=0,SUM('Needs years'!$O$116:$O$165),(1-(1+J63)^-1)/(1-(1+J63)^(-1/12))/12*SUMPRODUCT('Needs years'!$O$116:$O$165,(1+J63)^(-'Needs years'!$I$116:$I$165))),2)))</f>
      </c>
      <c r="K64">
        <f>IF('Inputs'!$B$91="",0,IF(AND(K4=1,'Inputs'!$Q$91=1),'Needs years'!$C$126,ROUND(IF(K63=0,SUM('Needs years'!$O$116:$O$165),(1-(1+K63)^-1)/(1-(1+K63)^(-1/12))/12*SUMPRODUCT('Needs years'!$O$116:$O$165,(1+K63)^(-'Needs years'!$I$116:$I$165))),2)))</f>
      </c>
      <c r="L64">
        <f>IF('Inputs'!$B$91="",0,IF(AND(L4=1,'Inputs'!$Q$91=1),'Needs years'!$C$126,ROUND(IF(L63=0,SUM('Needs years'!$O$116:$O$165),(1-(1+L63)^-1)/(1-(1+L63)^(-1/12))/12*SUMPRODUCT('Needs years'!$O$116:$O$165,(1+L63)^(-'Needs years'!$I$116:$I$165))),2)))</f>
      </c>
      <c r="M64">
        <f>IF('Inputs'!$B$91="",0,IF(AND(M4=1,'Inputs'!$Q$91=1),'Needs years'!$C$126,ROUND(IF(M63=0,SUM('Needs years'!$O$116:$O$165),(1-(1+M63)^-1)/(1-(1+M63)^(-1/12))/12*SUMPRODUCT('Needs years'!$O$116:$O$165,(1+M63)^(-'Needs years'!$I$116:$I$165))),2)))</f>
      </c>
      <c r="N64">
        <f>IF('Inputs'!$B$91="",0,IF(AND(N4=1,'Inputs'!$Q$91=1),'Needs years'!$C$126,ROUND(IF(N63=0,SUM('Needs years'!$O$116:$O$165),(1-(1+N63)^-1)/(1-(1+N63)^(-1/12))/12*SUMPRODUCT('Needs years'!$O$116:$O$165,(1+N63)^(-'Needs years'!$I$116:$I$165))),2)))</f>
      </c>
      <c r="O64">
        <f>IF('Inputs'!$B$91="",0,IF(AND(O4=1,'Inputs'!$Q$91=1),'Needs years'!$C$126,ROUND(IF(O63=0,SUM('Needs years'!$O$116:$O$165),(1-(1+O63)^-1)/(1-(1+O63)^(-1/12))/12*SUMPRODUCT('Needs years'!$O$116:$O$165,(1+O63)^(-'Needs years'!$I$116:$I$165))),2)))</f>
      </c>
      <c r="P64">
        <f>IF('Inputs'!$B$91="",0,IF(AND(P4=1,'Inputs'!$Q$91=1),'Needs years'!$C$126,ROUND(IF(P63=0,SUM('Needs years'!$O$116:$O$165),(1-(1+P63)^-1)/(1-(1+P63)^(-1/12))/12*SUMPRODUCT('Needs years'!$O$116:$O$165,(1+P63)^(-'Needs years'!$I$116:$I$165))),2)))</f>
      </c>
      <c r="Q64">
        <f>IF('Inputs'!$B$91="",0,IF(AND(Q4=1,'Inputs'!$Q$91=1),'Needs years'!$C$126,ROUND(IF(Q63=0,SUM('Needs years'!$O$116:$O$165),(1-(1+Q63)^-1)/(1-(1+Q63)^(-1/12))/12*SUMPRODUCT('Needs years'!$O$116:$O$165,(1+Q63)^(-'Needs years'!$I$116:$I$165))),2)))</f>
      </c>
      <c r="R64">
        <f>IF('Inputs'!$B$91="",0,IF(AND(R4=1,'Inputs'!$Q$91=1),'Needs years'!$C$126,ROUND(IF(R63=0,SUM('Needs years'!$O$116:$O$165),(1-(1+R63)^-1)/(1-(1+R63)^(-1/12))/12*SUMPRODUCT('Needs years'!$O$116:$O$165,(1+R63)^(-'Needs years'!$I$116:$I$165))),2)))</f>
      </c>
      <c r="S64">
        <f>IF('Inputs'!$B$91="",0,IF(AND(S4=1,'Inputs'!$Q$91=1),'Needs years'!$C$126,ROUND(IF(S63=0,SUM('Needs years'!$O$116:$O$165),(1-(1+S63)^-1)/(1-(1+S63)^(-1/12))/12*SUMPRODUCT('Needs years'!$O$116:$O$165,(1+S63)^(-'Needs years'!$I$116:$I$165))),2)))</f>
      </c>
      <c r="T64">
        <f>IF('Inputs'!$B$91="",0,IF(AND(T4=1,'Inputs'!$Q$91=1),'Needs years'!$C$126,ROUND(IF(T63=0,SUM('Needs years'!$O$116:$O$165),(1-(1+T63)^-1)/(1-(1+T63)^(-1/12))/12*SUMPRODUCT('Needs years'!$O$116:$O$165,(1+T63)^(-'Needs years'!$I$116:$I$165))),2)))</f>
      </c>
      <c r="V64">
        <f>IF('Inputs'!$B$91="",0,IF(AND(V4=1,'Inputs'!$Q$91=1),'Needs years'!$C$126,ROUND(IF(V63=0,SUM('Needs years'!$O$116:$O$165),(1-(1+V63)^-1)/(1-(1+V63)^(-1/12))/12*SUMPRODUCT('Needs years'!$O$116:$O$165,(1+V63)^(-'Needs years'!$I$116:$I$165))),2)))</f>
      </c>
      <c r="W64">
        <f>IF('Inputs'!$B$91="",0,IF(AND(W4=1,'Inputs'!$Q$91=1),'Needs years'!$C$126,ROUND(IF(W63=0,SUM('Needs years'!$O$116:$O$165),(1-(1+W63)^-1)/(1-(1+W63)^(-1/12))/12*SUMPRODUCT('Needs years'!$O$116:$O$165,(1+W63)^(-'Needs years'!$I$116:$I$165))),2)))</f>
      </c>
      <c r="X64">
        <f>IF('Inputs'!$B$91="",0,IF(AND(X4=1,'Inputs'!$Q$91=1),'Needs years'!$C$126,ROUND(IF(X63=0,SUM('Needs years'!$O$116:$O$165),(1-(1+X63)^-1)/(1-(1+X63)^(-1/12))/12*SUMPRODUCT('Needs years'!$O$116:$O$165,(1+X63)^(-'Needs years'!$I$116:$I$165))),2)))</f>
      </c>
      <c r="Y64">
        <f>IF('Inputs'!$B$91="",0,IF(AND(Y4=1,'Inputs'!$Q$91=1),'Needs years'!$C$126,ROUND(IF(Y63=0,SUM('Needs years'!$O$116:$O$165),(1-(1+Y63)^-1)/(1-(1+Y63)^(-1/12))/12*SUMPRODUCT('Needs years'!$O$116:$O$165,(1+Y63)^(-'Needs years'!$I$116:$I$165))),2)))</f>
      </c>
      <c r="Z64">
        <f>IF('Inputs'!$B$91="",0,IF(AND(Z4=1,'Inputs'!$Q$91=1),'Needs years'!$C$126,ROUND(IF(Z63=0,SUM('Needs years'!$O$116:$O$165),(1-(1+Z63)^-1)/(1-(1+Z63)^(-1/12))/12*SUMPRODUCT('Needs years'!$O$116:$O$165,(1+Z63)^(-'Needs years'!$I$116:$I$165))),2)))</f>
      </c>
      <c r="AA64">
        <f>IF('Inputs'!$B$91="",0,IF(AND(AA4=1,'Inputs'!$Q$91=1),'Needs years'!$C$126,ROUND(IF(AA63=0,SUM('Needs years'!$O$116:$O$165),(1-(1+AA63)^-1)/(1-(1+AA63)^(-1/12))/12*SUMPRODUCT('Needs years'!$O$116:$O$165,(1+AA63)^(-'Needs years'!$I$116:$I$165))),2)))</f>
      </c>
      <c r="AB64">
        <f>IF('Inputs'!$B$91="",0,IF(AND(AB4=1,'Inputs'!$Q$91=1),'Needs years'!$C$126,ROUND(IF(AB63=0,SUM('Needs years'!$O$116:$O$165),(1-(1+AB63)^-1)/(1-(1+AB63)^(-1/12))/12*SUMPRODUCT('Needs years'!$O$116:$O$165,(1+AB63)^(-'Needs years'!$I$116:$I$165))),2)))</f>
      </c>
      <c r="AC64">
        <f>IF('Inputs'!$B$91="",0,IF(AND(AC4=1,'Inputs'!$Q$91=1),'Needs years'!$C$126,ROUND(IF(AC63=0,SUM('Needs years'!$O$116:$O$165),(1-(1+AC63)^-1)/(1-(1+AC63)^(-1/12))/12*SUMPRODUCT('Needs years'!$O$116:$O$165,(1+AC63)^(-'Needs years'!$I$116:$I$165))),2)))</f>
      </c>
      <c r="AD64">
        <f>IF('Inputs'!$B$91="",0,IF(AND(AD4=1,'Inputs'!$Q$91=1),'Needs years'!$C$126,ROUND(IF(AD63=0,SUM('Needs years'!$O$116:$O$165),(1-(1+AD63)^-1)/(1-(1+AD63)^(-1/12))/12*SUMPRODUCT('Needs years'!$O$116:$O$165,(1+AD63)^(-'Needs years'!$I$116:$I$165))),2)))</f>
      </c>
      <c r="AE64">
        <f>IF('Inputs'!$B$91="",0,IF(AND(AE4=1,'Inputs'!$Q$91=1),'Needs years'!$C$126,ROUND(IF(AE63=0,SUM('Needs years'!$O$116:$O$165),(1-(1+AE63)^-1)/(1-(1+AE63)^(-1/12))/12*SUMPRODUCT('Needs years'!$O$116:$O$165,(1+AE63)^(-'Needs years'!$I$116:$I$165))),2)))</f>
      </c>
      <c r="AF64">
        <f>IF('Inputs'!$B$91="",0,IF(AND(AF4=1,'Inputs'!$Q$91=1),'Needs years'!$C$126,ROUND(IF(AF63=0,SUM('Needs years'!$O$116:$O$165),(1-(1+AF63)^-1)/(1-(1+AF63)^(-1/12))/12*SUMPRODUCT('Needs years'!$O$116:$O$165,(1+AF63)^(-'Needs years'!$I$116:$I$165))),2)))</f>
      </c>
      <c r="AG64">
        <f>IF('Inputs'!$B$91="",0,IF(AND(AG4=1,'Inputs'!$Q$91=1),'Needs years'!$C$126,ROUND(IF(AG63=0,SUM('Needs years'!$O$116:$O$165),(1-(1+AG63)^-1)/(1-(1+AG63)^(-1/12))/12*SUMPRODUCT('Needs years'!$O$116:$O$165,(1+AG63)^(-'Needs years'!$I$116:$I$165))),2)))</f>
      </c>
      <c r="AH64">
        <f>IF('Inputs'!$B$91="",0,IF(AND(AH4=1,'Inputs'!$Q$91=1),'Needs years'!$C$126,ROUND(IF(AH63=0,SUM('Needs years'!$O$116:$O$165),(1-(1+AH63)^-1)/(1-(1+AH63)^(-1/12))/12*SUMPRODUCT('Needs years'!$O$116:$O$165,(1+AH63)^(-'Needs years'!$I$116:$I$165))),2)))</f>
      </c>
      <c r="AI64">
        <f>IF('Inputs'!$B$91="",0,IF(AND(AI4=1,'Inputs'!$Q$91=1),'Needs years'!$C$126,ROUND(IF(AI63=0,SUM('Needs years'!$O$116:$O$165),(1-(1+AI63)^-1)/(1-(1+AI63)^(-1/12))/12*SUMPRODUCT('Needs years'!$O$116:$O$165,(1+AI63)^(-'Needs years'!$I$116:$I$165))),2)))</f>
      </c>
      <c r="AJ64">
        <f>IF('Inputs'!$B$91="",0,IF(AND(AJ4=1,'Inputs'!$Q$91=1),'Needs years'!$C$126,ROUND(IF(AJ63=0,SUM('Needs years'!$O$116:$O$165),(1-(1+AJ63)^-1)/(1-(1+AJ63)^(-1/12))/12*SUMPRODUCT('Needs years'!$O$116:$O$165,(1+AJ63)^(-'Needs years'!$I$116:$I$165))),2)))</f>
      </c>
      <c r="AK64">
        <f>IF('Inputs'!$B$91="",0,IF(AND(AK4=1,'Inputs'!$Q$91=1),'Needs years'!$C$126,ROUND(IF(AK63=0,SUM('Needs years'!$O$116:$O$165),(1-(1+AK63)^-1)/(1-(1+AK63)^(-1/12))/12*SUMPRODUCT('Needs years'!$O$116:$O$165,(1+AK63)^(-'Needs years'!$I$116:$I$165))),2)))</f>
      </c>
      <c r="AM64">
        <f>IF('Inputs'!$B$91="",0,IF(AND(AM4=1,'Inputs'!$Q$91=1),'Needs years'!$C$126,ROUND(IF(AM63=0,SUM('Needs years'!$O$116:$O$165),(1-(1+AM63)^-1)/(1-(1+AM63)^(-1/12))/12*SUMPRODUCT('Needs years'!$O$116:$O$165,(1+AM63)^(-'Needs years'!$I$116:$I$165))),2)))</f>
      </c>
      <c r="AN64">
        <f>IF('Inputs'!$B$91="",0,IF(AND(AN4=1,'Inputs'!$Q$91=1),'Needs years'!$C$126,ROUND(IF(AN63=0,SUM('Needs years'!$O$116:$O$165),(1-(1+AN63)^-1)/(1-(1+AN63)^(-1/12))/12*SUMPRODUCT('Needs years'!$O$116:$O$165,(1+AN63)^(-'Needs years'!$I$116:$I$165))),2)))</f>
      </c>
      <c r="AO64">
        <f>IF('Inputs'!$B$91="",0,IF(AND(AO4=1,'Inputs'!$Q$91=1),'Needs years'!$C$126,ROUND(IF(AO63=0,SUM('Needs years'!$O$116:$O$165),(1-(1+AO63)^-1)/(1-(1+AO63)^(-1/12))/12*SUMPRODUCT('Needs years'!$O$116:$O$165,(1+AO63)^(-'Needs years'!$I$116:$I$165))),2)))</f>
      </c>
      <c r="AP64">
        <f>IF('Inputs'!$B$91="",0,IF(AND(AP4=1,'Inputs'!$Q$91=1),'Needs years'!$C$126,ROUND(IF(AP63=0,SUM('Needs years'!$O$116:$O$165),(1-(1+AP63)^-1)/(1-(1+AP63)^(-1/12))/12*SUMPRODUCT('Needs years'!$O$116:$O$165,(1+AP63)^(-'Needs years'!$I$116:$I$165))),2)))</f>
      </c>
      <c r="AQ64">
        <f>IF('Inputs'!$B$91="",0,IF(AND(AQ4=1,'Inputs'!$Q$91=1),'Needs years'!$C$126,ROUND(IF(AQ63=0,SUM('Needs years'!$O$116:$O$165),(1-(1+AQ63)^-1)/(1-(1+AQ63)^(-1/12))/12*SUMPRODUCT('Needs years'!$O$116:$O$165,(1+AQ63)^(-'Needs years'!$I$116:$I$165))),2)))</f>
      </c>
      <c r="AR64">
        <f>IF('Inputs'!$B$91="",0,IF(AND(AR4=1,'Inputs'!$Q$91=1),'Needs years'!$C$126,ROUND(IF(AR63=0,SUM('Needs years'!$O$116:$O$165),(1-(1+AR63)^-1)/(1-(1+AR63)^(-1/12))/12*SUMPRODUCT('Needs years'!$O$116:$O$165,(1+AR63)^(-'Needs years'!$I$116:$I$165))),2)))</f>
      </c>
      <c r="AS64">
        <f>IF('Inputs'!$B$91="",0,IF(AND(AS4=1,'Inputs'!$Q$91=1),'Needs years'!$C$126,ROUND(IF(AS63=0,SUM('Needs years'!$O$116:$O$165),(1-(1+AS63)^-1)/(1-(1+AS63)^(-1/12))/12*SUMPRODUCT('Needs years'!$O$116:$O$165,(1+AS63)^(-'Needs years'!$I$116:$I$165))),2)))</f>
      </c>
      <c r="AT64">
        <f>IF('Inputs'!$B$91="",0,IF(AND(AT4=1,'Inputs'!$Q$91=1),'Needs years'!$C$126,ROUND(IF(AT63=0,SUM('Needs years'!$O$116:$O$165),(1-(1+AT63)^-1)/(1-(1+AT63)^(-1/12))/12*SUMPRODUCT('Needs years'!$O$116:$O$165,(1+AT63)^(-'Needs years'!$I$116:$I$165))),2)))</f>
      </c>
      <c r="AU64">
        <f>IF('Inputs'!$B$91="",0,IF(AND(AU4=1,'Inputs'!$Q$91=1),'Needs years'!$C$126,ROUND(IF(AU63=0,SUM('Needs years'!$O$116:$O$165),(1-(1+AU63)^-1)/(1-(1+AU63)^(-1/12))/12*SUMPRODUCT('Needs years'!$O$116:$O$165,(1+AU63)^(-'Needs years'!$I$116:$I$165))),2)))</f>
      </c>
      <c r="AV64">
        <f>IF('Inputs'!$B$91="",0,IF(AND(AV4=1,'Inputs'!$Q$91=1),'Needs years'!$C$126,ROUND(IF(AV63=0,SUM('Needs years'!$O$116:$O$165),(1-(1+AV63)^-1)/(1-(1+AV63)^(-1/12))/12*SUMPRODUCT('Needs years'!$O$116:$O$165,(1+AV63)^(-'Needs years'!$I$116:$I$165))),2)))</f>
      </c>
      <c r="AW64">
        <f>IF('Inputs'!$B$91="",0,IF(AND(AW4=1,'Inputs'!$Q$91=1),'Needs years'!$C$126,ROUND(IF(AW63=0,SUM('Needs years'!$O$116:$O$165),(1-(1+AW63)^-1)/(1-(1+AW63)^(-1/12))/12*SUMPRODUCT('Needs years'!$O$116:$O$165,(1+AW63)^(-'Needs years'!$I$116:$I$165))),2)))</f>
      </c>
      <c r="AX64">
        <f>IF('Inputs'!$B$91="",0,IF(AND(AX4=1,'Inputs'!$Q$91=1),'Needs years'!$C$126,ROUND(IF(AX63=0,SUM('Needs years'!$O$116:$O$165),(1-(1+AX63)^-1)/(1-(1+AX63)^(-1/12))/12*SUMPRODUCT('Needs years'!$O$116:$O$165,(1+AX63)^(-'Needs years'!$I$116:$I$165))),2)))</f>
      </c>
      <c r="AY64">
        <f>IF('Inputs'!$B$91="",0,IF(AND(AY4=1,'Inputs'!$Q$91=1),'Needs years'!$C$126,ROUND(IF(AY63=0,SUM('Needs years'!$O$116:$O$165),(1-(1+AY63)^-1)/(1-(1+AY63)^(-1/12))/12*SUMPRODUCT('Needs years'!$O$116:$O$165,(1+AY63)^(-'Needs years'!$I$116:$I$165))),2)))</f>
      </c>
      <c r="AZ64">
        <f>IF('Inputs'!$B$91="",0,IF(AND(AZ4=1,'Inputs'!$Q$91=1),'Needs years'!$C$126,ROUND(IF(AZ63=0,SUM('Needs years'!$O$116:$O$165),(1-(1+AZ63)^-1)/(1-(1+AZ63)^(-1/12))/12*SUMPRODUCT('Needs years'!$O$116:$O$165,(1+AZ63)^(-'Needs years'!$I$116:$I$165))),2)))</f>
      </c>
      <c r="BA64">
        <f>IF('Inputs'!$B$91="",0,IF(AND(BA4=1,'Inputs'!$Q$91=1),'Needs years'!$C$126,ROUND(IF(BA63=0,SUM('Needs years'!$O$116:$O$165),(1-(1+BA63)^-1)/(1-(1+BA63)^(-1/12))/12*SUMPRODUCT('Needs years'!$O$116:$O$165,(1+BA63)^(-'Needs years'!$I$116:$I$165))),2)))</f>
      </c>
      <c r="BB64">
        <f>IF('Inputs'!$B$91="",0,IF(AND(BB4=1,'Inputs'!$Q$91=1),'Needs years'!$C$126,ROUND(IF(BB63=0,SUM('Needs years'!$O$116:$O$165),(1-(1+BB63)^-1)/(1-(1+BB63)^(-1/12))/12*SUMPRODUCT('Needs years'!$O$116:$O$165,(1+BB63)^(-'Needs years'!$I$116:$I$165))),2)))</f>
      </c>
      <c r="BD64">
        <f>IF('Inputs'!$B$91="",0,IF(AND(BD4=1,'Inputs'!$Q$91=1),'Needs years'!$C$126,ROUND(IF(BD63=0,SUM('Needs years'!$O$116:$O$165),(1-(1+BD63)^-1)/(1-(1+BD63)^(-1/12))/12*SUMPRODUCT('Needs years'!$O$116:$O$165,(1+BD63)^(-'Needs years'!$I$116:$I$165))),2)))</f>
      </c>
      <c r="BE64">
        <f>IF('Inputs'!$B$91="",0,IF(AND(BE4=1,'Inputs'!$Q$91=1),'Needs years'!$C$126,ROUND(IF(BE63=0,SUM('Needs years'!$O$116:$O$165),(1-(1+BE63)^-1)/(1-(1+BE63)^(-1/12))/12*SUMPRODUCT('Needs years'!$O$116:$O$165,(1+BE63)^(-'Needs years'!$I$116:$I$165))),2)))</f>
      </c>
      <c r="BF64">
        <f>IF('Inputs'!$B$91="",0,IF(AND(BF4=1,'Inputs'!$Q$91=1),'Needs years'!$C$126,ROUND(IF(BF63=0,SUM('Needs years'!$O$116:$O$165),(1-(1+BF63)^-1)/(1-(1+BF63)^(-1/12))/12*SUMPRODUCT('Needs years'!$O$116:$O$165,(1+BF63)^(-'Needs years'!$I$116:$I$165))),2)))</f>
      </c>
      <c r="BG64">
        <f>IF('Inputs'!$B$91="",0,IF(AND(BG4=1,'Inputs'!$Q$91=1),'Needs years'!$C$126,ROUND(IF(BG63=0,SUM('Needs years'!$O$116:$O$165),(1-(1+BG63)^-1)/(1-(1+BG63)^(-1/12))/12*SUMPRODUCT('Needs years'!$O$116:$O$165,(1+BG63)^(-'Needs years'!$I$116:$I$165))),2)))</f>
      </c>
      <c r="BH64">
        <f>IF('Inputs'!$B$91="",0,IF(AND(BH4=1,'Inputs'!$Q$91=1),'Needs years'!$C$126,ROUND(IF(BH63=0,SUM('Needs years'!$O$116:$O$165),(1-(1+BH63)^-1)/(1-(1+BH63)^(-1/12))/12*SUMPRODUCT('Needs years'!$O$116:$O$165,(1+BH63)^(-'Needs years'!$I$116:$I$165))),2)))</f>
      </c>
      <c r="BI64">
        <f>IF('Inputs'!$B$91="",0,IF(AND(BI4=1,'Inputs'!$Q$91=1),'Needs years'!$C$126,ROUND(IF(BI63=0,SUM('Needs years'!$O$116:$O$165),(1-(1+BI63)^-1)/(1-(1+BI63)^(-1/12))/12*SUMPRODUCT('Needs years'!$O$116:$O$165,(1+BI63)^(-'Needs years'!$I$116:$I$165))),2)))</f>
      </c>
      <c r="BJ64">
        <f>IF('Inputs'!$B$91="",0,IF(AND(BJ4=1,'Inputs'!$Q$91=1),'Needs years'!$C$126,ROUND(IF(BJ63=0,SUM('Needs years'!$O$116:$O$165),(1-(1+BJ63)^-1)/(1-(1+BJ63)^(-1/12))/12*SUMPRODUCT('Needs years'!$O$116:$O$165,(1+BJ63)^(-'Needs years'!$I$116:$I$165))),2)))</f>
      </c>
      <c r="BK64">
        <f>IF('Inputs'!$B$91="",0,IF(AND(BK4=1,'Inputs'!$Q$91=1),'Needs years'!$C$126,ROUND(IF(BK63=0,SUM('Needs years'!$O$116:$O$165),(1-(1+BK63)^-1)/(1-(1+BK63)^(-1/12))/12*SUMPRODUCT('Needs years'!$O$116:$O$165,(1+BK63)^(-'Needs years'!$I$116:$I$165))),2)))</f>
      </c>
      <c r="BL64">
        <f>IF('Inputs'!$B$91="",0,IF(AND(BL4=1,'Inputs'!$Q$91=1),'Needs years'!$C$126,ROUND(IF(BL63=0,SUM('Needs years'!$O$116:$O$165),(1-(1+BL63)^-1)/(1-(1+BL63)^(-1/12))/12*SUMPRODUCT('Needs years'!$O$116:$O$165,(1+BL63)^(-'Needs years'!$I$116:$I$165))),2)))</f>
      </c>
      <c r="BM64">
        <f>IF('Inputs'!$B$91="",0,IF(AND(BM4=1,'Inputs'!$Q$91=1),'Needs years'!$C$126,ROUND(IF(BM63=0,SUM('Needs years'!$O$116:$O$165),(1-(1+BM63)^-1)/(1-(1+BM63)^(-1/12))/12*SUMPRODUCT('Needs years'!$O$116:$O$165,(1+BM63)^(-'Needs years'!$I$116:$I$165))),2)))</f>
      </c>
      <c r="BN64">
        <f>IF('Inputs'!$B$91="",0,IF(AND(BN4=1,'Inputs'!$Q$91=1),'Needs years'!$C$126,ROUND(IF(BN63=0,SUM('Needs years'!$O$116:$O$165),(1-(1+BN63)^-1)/(1-(1+BN63)^(-1/12))/12*SUMPRODUCT('Needs years'!$O$116:$O$165,(1+BN63)^(-'Needs years'!$I$116:$I$165))),2)))</f>
      </c>
      <c r="BO64">
        <f>IF('Inputs'!$B$91="",0,IF(AND(BO4=1,'Inputs'!$Q$91=1),'Needs years'!$C$126,ROUND(IF(BO63=0,SUM('Needs years'!$O$116:$O$165),(1-(1+BO63)^-1)/(1-(1+BO63)^(-1/12))/12*SUMPRODUCT('Needs years'!$O$116:$O$165,(1+BO63)^(-'Needs years'!$I$116:$I$165))),2)))</f>
      </c>
      <c r="BP64">
        <f>IF('Inputs'!$B$91="",0,IF(AND(BP4=1,'Inputs'!$Q$91=1),'Needs years'!$C$126,ROUND(IF(BP63=0,SUM('Needs years'!$O$116:$O$165),(1-(1+BP63)^-1)/(1-(1+BP63)^(-1/12))/12*SUMPRODUCT('Needs years'!$O$116:$O$165,(1+BP63)^(-'Needs years'!$I$116:$I$165))),2)))</f>
      </c>
      <c r="BQ64">
        <f>IF('Inputs'!$B$91="",0,IF(AND(BQ4=1,'Inputs'!$Q$91=1),'Needs years'!$C$126,ROUND(IF(BQ63=0,SUM('Needs years'!$O$116:$O$165),(1-(1+BQ63)^-1)/(1-(1+BQ63)^(-1/12))/12*SUMPRODUCT('Needs years'!$O$116:$O$165,(1+BQ63)^(-'Needs years'!$I$116:$I$165))),2)))</f>
      </c>
      <c r="BR64">
        <f>IF('Inputs'!$B$91="",0,IF(AND(BR4=1,'Inputs'!$Q$91=1),'Needs years'!$C$126,ROUND(IF(BR63=0,SUM('Needs years'!$O$116:$O$165),(1-(1+BR63)^-1)/(1-(1+BR63)^(-1/12))/12*SUMPRODUCT('Needs years'!$O$116:$O$165,(1+BR63)^(-'Needs years'!$I$116:$I$165))),2)))</f>
      </c>
      <c r="BS64">
        <f>IF('Inputs'!$B$91="",0,IF(AND(BS4=1,'Inputs'!$Q$91=1),'Needs years'!$C$126,ROUND(IF(BS63=0,SUM('Needs years'!$O$116:$O$165),(1-(1+BS63)^-1)/(1-(1+BS63)^(-1/12))/12*SUMPRODUCT('Needs years'!$O$116:$O$165,(1+BS63)^(-'Needs years'!$I$116:$I$165))),2)))</f>
      </c>
    </row>
    <row r="65" spans="2:71" x14ac:dyDescent="0.25">
      <c r="B65" t="s">
        <v>384</v>
      </c>
      <c r="C65">
        <f>IF(OR('Inputs'!$B$91="",AND(C4=1,'Inputs'!$Q$91=1)),0,ROUND(C64-C60,2))</f>
      </c>
      <c r="E65">
        <f>IF(OR('Inputs'!$B$91="",AND(E4=1,'Inputs'!$Q$91=1)),0,ROUND(E64-E60,2))</f>
      </c>
      <c r="F65">
        <f>IF(OR('Inputs'!$B$91="",AND(F4=1,'Inputs'!$Q$91=1)),0,ROUND(F64-F60,2))</f>
      </c>
      <c r="G65">
        <f>IF(OR('Inputs'!$B$91="",AND(G4=1,'Inputs'!$Q$91=1)),0,ROUND(G64-G60,2))</f>
      </c>
      <c r="H65">
        <f>IF(OR('Inputs'!$B$91="",AND(H4=1,'Inputs'!$Q$91=1)),0,ROUND(H64-H60,2))</f>
      </c>
      <c r="I65">
        <f>IF(OR('Inputs'!$B$91="",AND(I4=1,'Inputs'!$Q$91=1)),0,ROUND(I64-I60,2))</f>
      </c>
      <c r="J65">
        <f>IF(OR('Inputs'!$B$91="",AND(J4=1,'Inputs'!$Q$91=1)),0,ROUND(J64-J60,2))</f>
      </c>
      <c r="K65">
        <f>IF(OR('Inputs'!$B$91="",AND(K4=1,'Inputs'!$Q$91=1)),0,ROUND(K64-K60,2))</f>
      </c>
      <c r="L65">
        <f>IF(OR('Inputs'!$B$91="",AND(L4=1,'Inputs'!$Q$91=1)),0,ROUND(L64-L60,2))</f>
      </c>
      <c r="M65">
        <f>IF(OR('Inputs'!$B$91="",AND(M4=1,'Inputs'!$Q$91=1)),0,ROUND(M64-M60,2))</f>
      </c>
      <c r="N65">
        <f>IF(OR('Inputs'!$B$91="",AND(N4=1,'Inputs'!$Q$91=1)),0,ROUND(N64-N60,2))</f>
      </c>
      <c r="O65">
        <f>IF(OR('Inputs'!$B$91="",AND(O4=1,'Inputs'!$Q$91=1)),0,ROUND(O64-O60,2))</f>
      </c>
      <c r="P65">
        <f>IF(OR('Inputs'!$B$91="",AND(P4=1,'Inputs'!$Q$91=1)),0,ROUND(P64-P60,2))</f>
      </c>
      <c r="Q65">
        <f>IF(OR('Inputs'!$B$91="",AND(Q4=1,'Inputs'!$Q$91=1)),0,ROUND(Q64-Q60,2))</f>
      </c>
      <c r="R65">
        <f>IF(OR('Inputs'!$B$91="",AND(R4=1,'Inputs'!$Q$91=1)),0,ROUND(R64-R60,2))</f>
      </c>
      <c r="S65">
        <f>IF(OR('Inputs'!$B$91="",AND(S4=1,'Inputs'!$Q$91=1)),0,ROUND(S64-S60,2))</f>
      </c>
      <c r="T65">
        <f>IF(OR('Inputs'!$B$91="",AND(T4=1,'Inputs'!$Q$91=1)),0,ROUND(T64-T60,2))</f>
      </c>
      <c r="V65">
        <f>IF(OR('Inputs'!$B$91="",AND(V4=1,'Inputs'!$Q$91=1)),0,ROUND(V64-V60,2))</f>
      </c>
      <c r="W65">
        <f>IF(OR('Inputs'!$B$91="",AND(W4=1,'Inputs'!$Q$91=1)),0,ROUND(W64-W60,2))</f>
      </c>
      <c r="X65">
        <f>IF(OR('Inputs'!$B$91="",AND(X4=1,'Inputs'!$Q$91=1)),0,ROUND(X64-X60,2))</f>
      </c>
      <c r="Y65">
        <f>IF(OR('Inputs'!$B$91="",AND(Y4=1,'Inputs'!$Q$91=1)),0,ROUND(Y64-Y60,2))</f>
      </c>
      <c r="Z65">
        <f>IF(OR('Inputs'!$B$91="",AND(Z4=1,'Inputs'!$Q$91=1)),0,ROUND(Z64-Z60,2))</f>
      </c>
      <c r="AA65">
        <f>IF(OR('Inputs'!$B$91="",AND(AA4=1,'Inputs'!$Q$91=1)),0,ROUND(AA64-AA60,2))</f>
      </c>
      <c r="AB65">
        <f>IF(OR('Inputs'!$B$91="",AND(AB4=1,'Inputs'!$Q$91=1)),0,ROUND(AB64-AB60,2))</f>
      </c>
      <c r="AC65">
        <f>IF(OR('Inputs'!$B$91="",AND(AC4=1,'Inputs'!$Q$91=1)),0,ROUND(AC64-AC60,2))</f>
      </c>
      <c r="AD65">
        <f>IF(OR('Inputs'!$B$91="",AND(AD4=1,'Inputs'!$Q$91=1)),0,ROUND(AD64-AD60,2))</f>
      </c>
      <c r="AE65">
        <f>IF(OR('Inputs'!$B$91="",AND(AE4=1,'Inputs'!$Q$91=1)),0,ROUND(AE64-AE60,2))</f>
      </c>
      <c r="AF65">
        <f>IF(OR('Inputs'!$B$91="",AND(AF4=1,'Inputs'!$Q$91=1)),0,ROUND(AF64-AF60,2))</f>
      </c>
      <c r="AG65">
        <f>IF(OR('Inputs'!$B$91="",AND(AG4=1,'Inputs'!$Q$91=1)),0,ROUND(AG64-AG60,2))</f>
      </c>
      <c r="AH65">
        <f>IF(OR('Inputs'!$B$91="",AND(AH4=1,'Inputs'!$Q$91=1)),0,ROUND(AH64-AH60,2))</f>
      </c>
      <c r="AI65">
        <f>IF(OR('Inputs'!$B$91="",AND(AI4=1,'Inputs'!$Q$91=1)),0,ROUND(AI64-AI60,2))</f>
      </c>
      <c r="AJ65">
        <f>IF(OR('Inputs'!$B$91="",AND(AJ4=1,'Inputs'!$Q$91=1)),0,ROUND(AJ64-AJ60,2))</f>
      </c>
      <c r="AK65">
        <f>IF(OR('Inputs'!$B$91="",AND(AK4=1,'Inputs'!$Q$91=1)),0,ROUND(AK64-AK60,2))</f>
      </c>
      <c r="AM65">
        <f>IF(OR('Inputs'!$B$91="",AND(AM4=1,'Inputs'!$Q$91=1)),0,ROUND(AM64-AM60,2))</f>
      </c>
      <c r="AN65">
        <f>IF(OR('Inputs'!$B$91="",AND(AN4=1,'Inputs'!$Q$91=1)),0,ROUND(AN64-AN60,2))</f>
      </c>
      <c r="AO65">
        <f>IF(OR('Inputs'!$B$91="",AND(AO4=1,'Inputs'!$Q$91=1)),0,ROUND(AO64-AO60,2))</f>
      </c>
      <c r="AP65">
        <f>IF(OR('Inputs'!$B$91="",AND(AP4=1,'Inputs'!$Q$91=1)),0,ROUND(AP64-AP60,2))</f>
      </c>
      <c r="AQ65">
        <f>IF(OR('Inputs'!$B$91="",AND(AQ4=1,'Inputs'!$Q$91=1)),0,ROUND(AQ64-AQ60,2))</f>
      </c>
      <c r="AR65">
        <f>IF(OR('Inputs'!$B$91="",AND(AR4=1,'Inputs'!$Q$91=1)),0,ROUND(AR64-AR60,2))</f>
      </c>
      <c r="AS65">
        <f>IF(OR('Inputs'!$B$91="",AND(AS4=1,'Inputs'!$Q$91=1)),0,ROUND(AS64-AS60,2))</f>
      </c>
      <c r="AT65">
        <f>IF(OR('Inputs'!$B$91="",AND(AT4=1,'Inputs'!$Q$91=1)),0,ROUND(AT64-AT60,2))</f>
      </c>
      <c r="AU65">
        <f>IF(OR('Inputs'!$B$91="",AND(AU4=1,'Inputs'!$Q$91=1)),0,ROUND(AU64-AU60,2))</f>
      </c>
      <c r="AV65">
        <f>IF(OR('Inputs'!$B$91="",AND(AV4=1,'Inputs'!$Q$91=1)),0,ROUND(AV64-AV60,2))</f>
      </c>
      <c r="AW65">
        <f>IF(OR('Inputs'!$B$91="",AND(AW4=1,'Inputs'!$Q$91=1)),0,ROUND(AW64-AW60,2))</f>
      </c>
      <c r="AX65">
        <f>IF(OR('Inputs'!$B$91="",AND(AX4=1,'Inputs'!$Q$91=1)),0,ROUND(AX64-AX60,2))</f>
      </c>
      <c r="AY65">
        <f>IF(OR('Inputs'!$B$91="",AND(AY4=1,'Inputs'!$Q$91=1)),0,ROUND(AY64-AY60,2))</f>
      </c>
      <c r="AZ65">
        <f>IF(OR('Inputs'!$B$91="",AND(AZ4=1,'Inputs'!$Q$91=1)),0,ROUND(AZ64-AZ60,2))</f>
      </c>
      <c r="BA65">
        <f>IF(OR('Inputs'!$B$91="",AND(BA4=1,'Inputs'!$Q$91=1)),0,ROUND(BA64-BA60,2))</f>
      </c>
      <c r="BB65">
        <f>IF(OR('Inputs'!$B$91="",AND(BB4=1,'Inputs'!$Q$91=1)),0,ROUND(BB64-BB60,2))</f>
      </c>
      <c r="BD65">
        <f>IF(OR('Inputs'!$B$91="",AND(BD4=1,'Inputs'!$Q$91=1)),0,ROUND(BD64-BD60,2))</f>
      </c>
      <c r="BE65">
        <f>IF(OR('Inputs'!$B$91="",AND(BE4=1,'Inputs'!$Q$91=1)),0,ROUND(BE64-BE60,2))</f>
      </c>
      <c r="BF65">
        <f>IF(OR('Inputs'!$B$91="",AND(BF4=1,'Inputs'!$Q$91=1)),0,ROUND(BF64-BF60,2))</f>
      </c>
      <c r="BG65">
        <f>IF(OR('Inputs'!$B$91="",AND(BG4=1,'Inputs'!$Q$91=1)),0,ROUND(BG64-BG60,2))</f>
      </c>
      <c r="BH65">
        <f>IF(OR('Inputs'!$B$91="",AND(BH4=1,'Inputs'!$Q$91=1)),0,ROUND(BH64-BH60,2))</f>
      </c>
      <c r="BI65">
        <f>IF(OR('Inputs'!$B$91="",AND(BI4=1,'Inputs'!$Q$91=1)),0,ROUND(BI64-BI60,2))</f>
      </c>
      <c r="BJ65">
        <f>IF(OR('Inputs'!$B$91="",AND(BJ4=1,'Inputs'!$Q$91=1)),0,ROUND(BJ64-BJ60,2))</f>
      </c>
      <c r="BK65">
        <f>IF(OR('Inputs'!$B$91="",AND(BK4=1,'Inputs'!$Q$91=1)),0,ROUND(BK64-BK60,2))</f>
      </c>
      <c r="BL65">
        <f>IF(OR('Inputs'!$B$91="",AND(BL4=1,'Inputs'!$Q$91=1)),0,ROUND(BL64-BL60,2))</f>
      </c>
      <c r="BM65">
        <f>IF(OR('Inputs'!$B$91="",AND(BM4=1,'Inputs'!$Q$91=1)),0,ROUND(BM64-BM60,2))</f>
      </c>
      <c r="BN65">
        <f>IF(OR('Inputs'!$B$91="",AND(BN4=1,'Inputs'!$Q$91=1)),0,ROUND(BN64-BN60,2))</f>
      </c>
      <c r="BO65">
        <f>IF(OR('Inputs'!$B$91="",AND(BO4=1,'Inputs'!$Q$91=1)),0,ROUND(BO64-BO60,2))</f>
      </c>
      <c r="BP65">
        <f>IF(OR('Inputs'!$B$91="",AND(BP4=1,'Inputs'!$Q$91=1)),0,ROUND(BP64-BP60,2))</f>
      </c>
      <c r="BQ65">
        <f>IF(OR('Inputs'!$B$91="",AND(BQ4=1,'Inputs'!$Q$91=1)),0,ROUND(BQ64-BQ60,2))</f>
      </c>
      <c r="BR65">
        <f>IF(OR('Inputs'!$B$91="",AND(BR4=1,'Inputs'!$Q$91=1)),0,ROUND(BR64-BR60,2))</f>
      </c>
      <c r="BS65">
        <f>IF(OR('Inputs'!$B$91="",AND(BS4=1,'Inputs'!$Q$91=1)),0,ROUND(BS64-BS60,2))</f>
      </c>
    </row>
    <row r="66" spans="2:71" x14ac:dyDescent="0.25">
      <c r="B66" t="s">
        <v>385</v>
      </c>
      <c r="C66">
        <f>IF('Inputs'!$B$91="",0,IF(AND(C4=1,'Inputs'!$Q$91=1),'Inputs'!$E$91,'Needs years'!$C$127/12+IF(C64&gt;0,C60/C64*'Needs years'!$C$128/12,0)))</f>
      </c>
      <c r="E66">
        <f>IF('Inputs'!$B$91="",0,IF(AND(E4=1,'Inputs'!$Q$91=1),'Inputs'!$E$91,'Needs years'!$C$127/12+IF(E64&gt;0,E60/E64*'Needs years'!$C$128/12,0)))</f>
      </c>
      <c r="F66">
        <f>IF('Inputs'!$B$91="",0,IF(AND(F4=1,'Inputs'!$Q$91=1),'Inputs'!$E$91,'Needs years'!$C$127/12+IF(F64&gt;0,F60/F64*'Needs years'!$C$128/12,0)))</f>
      </c>
      <c r="G66">
        <f>IF('Inputs'!$B$91="",0,IF(AND(G4=1,'Inputs'!$Q$91=1),'Inputs'!$E$91,'Needs years'!$C$127/12+IF(G64&gt;0,G60/G64*'Needs years'!$C$128/12,0)))</f>
      </c>
      <c r="H66">
        <f>IF('Inputs'!$B$91="",0,IF(AND(H4=1,'Inputs'!$Q$91=1),'Inputs'!$E$91,'Needs years'!$C$127/12+IF(H64&gt;0,H60/H64*'Needs years'!$C$128/12,0)))</f>
      </c>
      <c r="I66">
        <f>IF('Inputs'!$B$91="",0,IF(AND(I4=1,'Inputs'!$Q$91=1),'Inputs'!$E$91,'Needs years'!$C$127/12+IF(I64&gt;0,I60/I64*'Needs years'!$C$128/12,0)))</f>
      </c>
      <c r="J66">
        <f>IF('Inputs'!$B$91="",0,IF(AND(J4=1,'Inputs'!$Q$91=1),'Inputs'!$E$91,'Needs years'!$C$127/12+IF(J64&gt;0,J60/J64*'Needs years'!$C$128/12,0)))</f>
      </c>
      <c r="K66">
        <f>IF('Inputs'!$B$91="",0,IF(AND(K4=1,'Inputs'!$Q$91=1),'Inputs'!$E$91,'Needs years'!$C$127/12+IF(K64&gt;0,K60/K64*'Needs years'!$C$128/12,0)))</f>
      </c>
      <c r="L66">
        <f>IF('Inputs'!$B$91="",0,IF(AND(L4=1,'Inputs'!$Q$91=1),'Inputs'!$E$91,'Needs years'!$C$127/12+IF(L64&gt;0,L60/L64*'Needs years'!$C$128/12,0)))</f>
      </c>
      <c r="M66">
        <f>IF('Inputs'!$B$91="",0,IF(AND(M4=1,'Inputs'!$Q$91=1),'Inputs'!$E$91,'Needs years'!$C$127/12+IF(M64&gt;0,M60/M64*'Needs years'!$C$128/12,0)))</f>
      </c>
      <c r="N66">
        <f>IF('Inputs'!$B$91="",0,IF(AND(N4=1,'Inputs'!$Q$91=1),'Inputs'!$E$91,'Needs years'!$C$127/12+IF(N64&gt;0,N60/N64*'Needs years'!$C$128/12,0)))</f>
      </c>
      <c r="O66">
        <f>IF('Inputs'!$B$91="",0,IF(AND(O4=1,'Inputs'!$Q$91=1),'Inputs'!$E$91,'Needs years'!$C$127/12+IF(O64&gt;0,O60/O64*'Needs years'!$C$128/12,0)))</f>
      </c>
      <c r="P66">
        <f>IF('Inputs'!$B$91="",0,IF(AND(P4=1,'Inputs'!$Q$91=1),'Inputs'!$E$91,'Needs years'!$C$127/12+IF(P64&gt;0,P60/P64*'Needs years'!$C$128/12,0)))</f>
      </c>
      <c r="Q66">
        <f>IF('Inputs'!$B$91="",0,IF(AND(Q4=1,'Inputs'!$Q$91=1),'Inputs'!$E$91,'Needs years'!$C$127/12+IF(Q64&gt;0,Q60/Q64*'Needs years'!$C$128/12,0)))</f>
      </c>
      <c r="R66">
        <f>IF('Inputs'!$B$91="",0,IF(AND(R4=1,'Inputs'!$Q$91=1),'Inputs'!$E$91,'Needs years'!$C$127/12+IF(R64&gt;0,R60/R64*'Needs years'!$C$128/12,0)))</f>
      </c>
      <c r="S66">
        <f>IF('Inputs'!$B$91="",0,IF(AND(S4=1,'Inputs'!$Q$91=1),'Inputs'!$E$91,'Needs years'!$C$127/12+IF(S64&gt;0,S60/S64*'Needs years'!$C$128/12,0)))</f>
      </c>
      <c r="T66">
        <f>IF('Inputs'!$B$91="",0,IF(AND(T4=1,'Inputs'!$Q$91=1),'Inputs'!$E$91,'Needs years'!$C$127/12+IF(T64&gt;0,T60/T64*'Needs years'!$C$128/12,0)))</f>
      </c>
      <c r="V66">
        <f>IF('Inputs'!$B$91="",0,IF(AND(V4=1,'Inputs'!$Q$91=1),'Inputs'!$E$91,'Needs years'!$C$127/12+IF(V64&gt;0,V60/V64*'Needs years'!$C$128/12,0)))</f>
      </c>
      <c r="W66">
        <f>IF('Inputs'!$B$91="",0,IF(AND(W4=1,'Inputs'!$Q$91=1),'Inputs'!$E$91,'Needs years'!$C$127/12+IF(W64&gt;0,W60/W64*'Needs years'!$C$128/12,0)))</f>
      </c>
      <c r="X66">
        <f>IF('Inputs'!$B$91="",0,IF(AND(X4=1,'Inputs'!$Q$91=1),'Inputs'!$E$91,'Needs years'!$C$127/12+IF(X64&gt;0,X60/X64*'Needs years'!$C$128/12,0)))</f>
      </c>
      <c r="Y66">
        <f>IF('Inputs'!$B$91="",0,IF(AND(Y4=1,'Inputs'!$Q$91=1),'Inputs'!$E$91,'Needs years'!$C$127/12+IF(Y64&gt;0,Y60/Y64*'Needs years'!$C$128/12,0)))</f>
      </c>
      <c r="Z66">
        <f>IF('Inputs'!$B$91="",0,IF(AND(Z4=1,'Inputs'!$Q$91=1),'Inputs'!$E$91,'Needs years'!$C$127/12+IF(Z64&gt;0,Z60/Z64*'Needs years'!$C$128/12,0)))</f>
      </c>
      <c r="AA66">
        <f>IF('Inputs'!$B$91="",0,IF(AND(AA4=1,'Inputs'!$Q$91=1),'Inputs'!$E$91,'Needs years'!$C$127/12+IF(AA64&gt;0,AA60/AA64*'Needs years'!$C$128/12,0)))</f>
      </c>
      <c r="AB66">
        <f>IF('Inputs'!$B$91="",0,IF(AND(AB4=1,'Inputs'!$Q$91=1),'Inputs'!$E$91,'Needs years'!$C$127/12+IF(AB64&gt;0,AB60/AB64*'Needs years'!$C$128/12,0)))</f>
      </c>
      <c r="AC66">
        <f>IF('Inputs'!$B$91="",0,IF(AND(AC4=1,'Inputs'!$Q$91=1),'Inputs'!$E$91,'Needs years'!$C$127/12+IF(AC64&gt;0,AC60/AC64*'Needs years'!$C$128/12,0)))</f>
      </c>
      <c r="AD66">
        <f>IF('Inputs'!$B$91="",0,IF(AND(AD4=1,'Inputs'!$Q$91=1),'Inputs'!$E$91,'Needs years'!$C$127/12+IF(AD64&gt;0,AD60/AD64*'Needs years'!$C$128/12,0)))</f>
      </c>
      <c r="AE66">
        <f>IF('Inputs'!$B$91="",0,IF(AND(AE4=1,'Inputs'!$Q$91=1),'Inputs'!$E$91,'Needs years'!$C$127/12+IF(AE64&gt;0,AE60/AE64*'Needs years'!$C$128/12,0)))</f>
      </c>
      <c r="AF66">
        <f>IF('Inputs'!$B$91="",0,IF(AND(AF4=1,'Inputs'!$Q$91=1),'Inputs'!$E$91,'Needs years'!$C$127/12+IF(AF64&gt;0,AF60/AF64*'Needs years'!$C$128/12,0)))</f>
      </c>
      <c r="AG66">
        <f>IF('Inputs'!$B$91="",0,IF(AND(AG4=1,'Inputs'!$Q$91=1),'Inputs'!$E$91,'Needs years'!$C$127/12+IF(AG64&gt;0,AG60/AG64*'Needs years'!$C$128/12,0)))</f>
      </c>
      <c r="AH66">
        <f>IF('Inputs'!$B$91="",0,IF(AND(AH4=1,'Inputs'!$Q$91=1),'Inputs'!$E$91,'Needs years'!$C$127/12+IF(AH64&gt;0,AH60/AH64*'Needs years'!$C$128/12,0)))</f>
      </c>
      <c r="AI66">
        <f>IF('Inputs'!$B$91="",0,IF(AND(AI4=1,'Inputs'!$Q$91=1),'Inputs'!$E$91,'Needs years'!$C$127/12+IF(AI64&gt;0,AI60/AI64*'Needs years'!$C$128/12,0)))</f>
      </c>
      <c r="AJ66">
        <f>IF('Inputs'!$B$91="",0,IF(AND(AJ4=1,'Inputs'!$Q$91=1),'Inputs'!$E$91,'Needs years'!$C$127/12+IF(AJ64&gt;0,AJ60/AJ64*'Needs years'!$C$128/12,0)))</f>
      </c>
      <c r="AK66">
        <f>IF('Inputs'!$B$91="",0,IF(AND(AK4=1,'Inputs'!$Q$91=1),'Inputs'!$E$91,'Needs years'!$C$127/12+IF(AK64&gt;0,AK60/AK64*'Needs years'!$C$128/12,0)))</f>
      </c>
      <c r="AM66">
        <f>IF('Inputs'!$B$91="",0,IF(AND(AM4=1,'Inputs'!$Q$91=1),'Inputs'!$E$91,'Needs years'!$C$127/12+IF(AM64&gt;0,AM60/AM64*'Needs years'!$C$128/12,0)))</f>
      </c>
      <c r="AN66">
        <f>IF('Inputs'!$B$91="",0,IF(AND(AN4=1,'Inputs'!$Q$91=1),'Inputs'!$E$91,'Needs years'!$C$127/12+IF(AN64&gt;0,AN60/AN64*'Needs years'!$C$128/12,0)))</f>
      </c>
      <c r="AO66">
        <f>IF('Inputs'!$B$91="",0,IF(AND(AO4=1,'Inputs'!$Q$91=1),'Inputs'!$E$91,'Needs years'!$C$127/12+IF(AO64&gt;0,AO60/AO64*'Needs years'!$C$128/12,0)))</f>
      </c>
      <c r="AP66">
        <f>IF('Inputs'!$B$91="",0,IF(AND(AP4=1,'Inputs'!$Q$91=1),'Inputs'!$E$91,'Needs years'!$C$127/12+IF(AP64&gt;0,AP60/AP64*'Needs years'!$C$128/12,0)))</f>
      </c>
      <c r="AQ66">
        <f>IF('Inputs'!$B$91="",0,IF(AND(AQ4=1,'Inputs'!$Q$91=1),'Inputs'!$E$91,'Needs years'!$C$127/12+IF(AQ64&gt;0,AQ60/AQ64*'Needs years'!$C$128/12,0)))</f>
      </c>
      <c r="AR66">
        <f>IF('Inputs'!$B$91="",0,IF(AND(AR4=1,'Inputs'!$Q$91=1),'Inputs'!$E$91,'Needs years'!$C$127/12+IF(AR64&gt;0,AR60/AR64*'Needs years'!$C$128/12,0)))</f>
      </c>
      <c r="AS66">
        <f>IF('Inputs'!$B$91="",0,IF(AND(AS4=1,'Inputs'!$Q$91=1),'Inputs'!$E$91,'Needs years'!$C$127/12+IF(AS64&gt;0,AS60/AS64*'Needs years'!$C$128/12,0)))</f>
      </c>
      <c r="AT66">
        <f>IF('Inputs'!$B$91="",0,IF(AND(AT4=1,'Inputs'!$Q$91=1),'Inputs'!$E$91,'Needs years'!$C$127/12+IF(AT64&gt;0,AT60/AT64*'Needs years'!$C$128/12,0)))</f>
      </c>
      <c r="AU66">
        <f>IF('Inputs'!$B$91="",0,IF(AND(AU4=1,'Inputs'!$Q$91=1),'Inputs'!$E$91,'Needs years'!$C$127/12+IF(AU64&gt;0,AU60/AU64*'Needs years'!$C$128/12,0)))</f>
      </c>
      <c r="AV66">
        <f>IF('Inputs'!$B$91="",0,IF(AND(AV4=1,'Inputs'!$Q$91=1),'Inputs'!$E$91,'Needs years'!$C$127/12+IF(AV64&gt;0,AV60/AV64*'Needs years'!$C$128/12,0)))</f>
      </c>
      <c r="AW66">
        <f>IF('Inputs'!$B$91="",0,IF(AND(AW4=1,'Inputs'!$Q$91=1),'Inputs'!$E$91,'Needs years'!$C$127/12+IF(AW64&gt;0,AW60/AW64*'Needs years'!$C$128/12,0)))</f>
      </c>
      <c r="AX66">
        <f>IF('Inputs'!$B$91="",0,IF(AND(AX4=1,'Inputs'!$Q$91=1),'Inputs'!$E$91,'Needs years'!$C$127/12+IF(AX64&gt;0,AX60/AX64*'Needs years'!$C$128/12,0)))</f>
      </c>
      <c r="AY66">
        <f>IF('Inputs'!$B$91="",0,IF(AND(AY4=1,'Inputs'!$Q$91=1),'Inputs'!$E$91,'Needs years'!$C$127/12+IF(AY64&gt;0,AY60/AY64*'Needs years'!$C$128/12,0)))</f>
      </c>
      <c r="AZ66">
        <f>IF('Inputs'!$B$91="",0,IF(AND(AZ4=1,'Inputs'!$Q$91=1),'Inputs'!$E$91,'Needs years'!$C$127/12+IF(AZ64&gt;0,AZ60/AZ64*'Needs years'!$C$128/12,0)))</f>
      </c>
      <c r="BA66">
        <f>IF('Inputs'!$B$91="",0,IF(AND(BA4=1,'Inputs'!$Q$91=1),'Inputs'!$E$91,'Needs years'!$C$127/12+IF(BA64&gt;0,BA60/BA64*'Needs years'!$C$128/12,0)))</f>
      </c>
      <c r="BB66">
        <f>IF('Inputs'!$B$91="",0,IF(AND(BB4=1,'Inputs'!$Q$91=1),'Inputs'!$E$91,'Needs years'!$C$127/12+IF(BB64&gt;0,BB60/BB64*'Needs years'!$C$128/12,0)))</f>
      </c>
      <c r="BD66">
        <f>IF('Inputs'!$B$91="",0,IF(AND(BD4=1,'Inputs'!$Q$91=1),'Inputs'!$E$91,'Needs years'!$C$127/12+IF(BD64&gt;0,BD60/BD64*'Needs years'!$C$128/12,0)))</f>
      </c>
      <c r="BE66">
        <f>IF('Inputs'!$B$91="",0,IF(AND(BE4=1,'Inputs'!$Q$91=1),'Inputs'!$E$91,'Needs years'!$C$127/12+IF(BE64&gt;0,BE60/BE64*'Needs years'!$C$128/12,0)))</f>
      </c>
      <c r="BF66">
        <f>IF('Inputs'!$B$91="",0,IF(AND(BF4=1,'Inputs'!$Q$91=1),'Inputs'!$E$91,'Needs years'!$C$127/12+IF(BF64&gt;0,BF60/BF64*'Needs years'!$C$128/12,0)))</f>
      </c>
      <c r="BG66">
        <f>IF('Inputs'!$B$91="",0,IF(AND(BG4=1,'Inputs'!$Q$91=1),'Inputs'!$E$91,'Needs years'!$C$127/12+IF(BG64&gt;0,BG60/BG64*'Needs years'!$C$128/12,0)))</f>
      </c>
      <c r="BH66">
        <f>IF('Inputs'!$B$91="",0,IF(AND(BH4=1,'Inputs'!$Q$91=1),'Inputs'!$E$91,'Needs years'!$C$127/12+IF(BH64&gt;0,BH60/BH64*'Needs years'!$C$128/12,0)))</f>
      </c>
      <c r="BI66">
        <f>IF('Inputs'!$B$91="",0,IF(AND(BI4=1,'Inputs'!$Q$91=1),'Inputs'!$E$91,'Needs years'!$C$127/12+IF(BI64&gt;0,BI60/BI64*'Needs years'!$C$128/12,0)))</f>
      </c>
      <c r="BJ66">
        <f>IF('Inputs'!$B$91="",0,IF(AND(BJ4=1,'Inputs'!$Q$91=1),'Inputs'!$E$91,'Needs years'!$C$127/12+IF(BJ64&gt;0,BJ60/BJ64*'Needs years'!$C$128/12,0)))</f>
      </c>
      <c r="BK66">
        <f>IF('Inputs'!$B$91="",0,IF(AND(BK4=1,'Inputs'!$Q$91=1),'Inputs'!$E$91,'Needs years'!$C$127/12+IF(BK64&gt;0,BK60/BK64*'Needs years'!$C$128/12,0)))</f>
      </c>
      <c r="BL66">
        <f>IF('Inputs'!$B$91="",0,IF(AND(BL4=1,'Inputs'!$Q$91=1),'Inputs'!$E$91,'Needs years'!$C$127/12+IF(BL64&gt;0,BL60/BL64*'Needs years'!$C$128/12,0)))</f>
      </c>
      <c r="BM66">
        <f>IF('Inputs'!$B$91="",0,IF(AND(BM4=1,'Inputs'!$Q$91=1),'Inputs'!$E$91,'Needs years'!$C$127/12+IF(BM64&gt;0,BM60/BM64*'Needs years'!$C$128/12,0)))</f>
      </c>
      <c r="BN66">
        <f>IF('Inputs'!$B$91="",0,IF(AND(BN4=1,'Inputs'!$Q$91=1),'Inputs'!$E$91,'Needs years'!$C$127/12+IF(BN64&gt;0,BN60/BN64*'Needs years'!$C$128/12,0)))</f>
      </c>
      <c r="BO66">
        <f>IF('Inputs'!$B$91="",0,IF(AND(BO4=1,'Inputs'!$Q$91=1),'Inputs'!$E$91,'Needs years'!$C$127/12+IF(BO64&gt;0,BO60/BO64*'Needs years'!$C$128/12,0)))</f>
      </c>
      <c r="BP66">
        <f>IF('Inputs'!$B$91="",0,IF(AND(BP4=1,'Inputs'!$Q$91=1),'Inputs'!$E$91,'Needs years'!$C$127/12+IF(BP64&gt;0,BP60/BP64*'Needs years'!$C$128/12,0)))</f>
      </c>
      <c r="BQ66">
        <f>IF('Inputs'!$B$91="",0,IF(AND(BQ4=1,'Inputs'!$Q$91=1),'Inputs'!$E$91,'Needs years'!$C$127/12+IF(BQ64&gt;0,BQ60/BQ64*'Needs years'!$C$128/12,0)))</f>
      </c>
      <c r="BR66">
        <f>IF('Inputs'!$B$91="",0,IF(AND(BR4=1,'Inputs'!$Q$91=1),'Inputs'!$E$91,'Needs years'!$C$127/12+IF(BR64&gt;0,BR60/BR64*'Needs years'!$C$128/12,0)))</f>
      </c>
      <c r="BS66">
        <f>IF('Inputs'!$B$91="",0,IF(AND(BS4=1,'Inputs'!$Q$91=1),'Inputs'!$E$91,'Needs years'!$C$127/12+IF(BS64&gt;0,BS60/BS64*'Needs years'!$C$128/12,0)))</f>
      </c>
    </row>
    <row r="67" spans="2:71" x14ac:dyDescent="0.25">
      <c r="B67" t="s">
        <v>386</v>
      </c>
      <c r="C67">
        <f>IF('Inputs'!$B$92="",0,ROUND(IF(C31="S",'Inputs'!$O$92*C28,IF(C31="K",'Inputs'!$L$92*IF('Inputs'!$N$92=1,C33,C32),0))+'Inputs'!$Q$92*IF('Inputs'!$S$92=1,C35+C37+C43+C40,C34+C36+C42+C39)+SUMPRODUCT(('Inputs'!$F$59:$F$70='Inputs'!$B$92)*('Inputs'!$C$59:$C$70&lt;&gt;"Estate")*('Inputs'!$C$59:$C$70&lt;&gt;""),(('Inputs'!$D$59:$D$70-('Inputs'!$P$59:$P$70=C5)*C14)-'Inputs'!$R$59:$R$70*ROUND(C21*('Inputs'!$D$59:$D$70-('Inputs'!$P$59:$P$70=C5)*C14),2)))+IF(OR(C3=1,C3=2),C10-ROUND(C21*C10,2),0)+IF(AND(C3=3,C6='Inputs'!$B$92),C38,0),2))</f>
      </c>
      <c r="E67">
        <f>IF('Inputs'!$B$92="",0,ROUND(IF(E31="S",'Inputs'!$O$92*E28,IF(E31="K",'Inputs'!$L$92*IF('Inputs'!$N$92=1,E33,E32),0))+'Inputs'!$Q$92*IF('Inputs'!$S$92=1,E35+E37+E43+E40,E34+E36+E42+E39)+SUMPRODUCT(('Inputs'!$F$59:$F$70='Inputs'!$B$92)*('Inputs'!$C$59:$C$70&lt;&gt;"Estate")*('Inputs'!$C$59:$C$70&lt;&gt;""),(('Inputs'!$D$59:$D$70-('Inputs'!$P$59:$P$70=E5)*E14)-'Inputs'!$R$59:$R$70*ROUND(E21*('Inputs'!$D$59:$D$70-('Inputs'!$P$59:$P$70=E5)*E14),2)))+IF(OR(E3=1,E3=2),E10-ROUND(E21*E10,2),0)+IF(AND(E3=3,E6='Inputs'!$B$92),E38,0),2))</f>
      </c>
      <c r="F67">
        <f>IF('Inputs'!$B$92="",0,ROUND(IF(F31="S",'Inputs'!$O$92*F28,IF(F31="K",'Inputs'!$L$92*IF('Inputs'!$N$92=1,F33,F32),0))+'Inputs'!$Q$92*IF('Inputs'!$S$92=1,F35+F37+F43+F40,F34+F36+F42+F39)+SUMPRODUCT(('Inputs'!$F$59:$F$70='Inputs'!$B$92)*('Inputs'!$C$59:$C$70&lt;&gt;"Estate")*('Inputs'!$C$59:$C$70&lt;&gt;""),(('Inputs'!$D$59:$D$70-('Inputs'!$P$59:$P$70=F5)*F14)-'Inputs'!$R$59:$R$70*ROUND(F21*('Inputs'!$D$59:$D$70-('Inputs'!$P$59:$P$70=F5)*F14),2)))+IF(OR(F3=1,F3=2),F10-ROUND(F21*F10,2),0)+IF(AND(F3=3,F6='Inputs'!$B$92),F38,0),2))</f>
      </c>
      <c r="G67">
        <f>IF('Inputs'!$B$92="",0,ROUND(IF(G31="S",'Inputs'!$O$92*G28,IF(G31="K",'Inputs'!$L$92*IF('Inputs'!$N$92=1,G33,G32),0))+'Inputs'!$Q$92*IF('Inputs'!$S$92=1,G35+G37+G43+G40,G34+G36+G42+G39)+SUMPRODUCT(('Inputs'!$F$59:$F$70='Inputs'!$B$92)*('Inputs'!$C$59:$C$70&lt;&gt;"Estate")*('Inputs'!$C$59:$C$70&lt;&gt;""),(('Inputs'!$D$59:$D$70-('Inputs'!$P$59:$P$70=G5)*G14)-'Inputs'!$R$59:$R$70*ROUND(G21*('Inputs'!$D$59:$D$70-('Inputs'!$P$59:$P$70=G5)*G14),2)))+IF(OR(G3=1,G3=2),G10-ROUND(G21*G10,2),0)+IF(AND(G3=3,G6='Inputs'!$B$92),G38,0),2))</f>
      </c>
      <c r="H67">
        <f>IF('Inputs'!$B$92="",0,ROUND(IF(H31="S",'Inputs'!$O$92*H28,IF(H31="K",'Inputs'!$L$92*IF('Inputs'!$N$92=1,H33,H32),0))+'Inputs'!$Q$92*IF('Inputs'!$S$92=1,H35+H37+H43+H40,H34+H36+H42+H39)+SUMPRODUCT(('Inputs'!$F$59:$F$70='Inputs'!$B$92)*('Inputs'!$C$59:$C$70&lt;&gt;"Estate")*('Inputs'!$C$59:$C$70&lt;&gt;""),(('Inputs'!$D$59:$D$70-('Inputs'!$P$59:$P$70=H5)*H14)-'Inputs'!$R$59:$R$70*ROUND(H21*('Inputs'!$D$59:$D$70-('Inputs'!$P$59:$P$70=H5)*H14),2)))+IF(OR(H3=1,H3=2),H10-ROUND(H21*H10,2),0)+IF(AND(H3=3,H6='Inputs'!$B$92),H38,0),2))</f>
      </c>
      <c r="I67">
        <f>IF('Inputs'!$B$92="",0,ROUND(IF(I31="S",'Inputs'!$O$92*I28,IF(I31="K",'Inputs'!$L$92*IF('Inputs'!$N$92=1,I33,I32),0))+'Inputs'!$Q$92*IF('Inputs'!$S$92=1,I35+I37+I43+I40,I34+I36+I42+I39)+SUMPRODUCT(('Inputs'!$F$59:$F$70='Inputs'!$B$92)*('Inputs'!$C$59:$C$70&lt;&gt;"Estate")*('Inputs'!$C$59:$C$70&lt;&gt;""),(('Inputs'!$D$59:$D$70-('Inputs'!$P$59:$P$70=I5)*I14)-'Inputs'!$R$59:$R$70*ROUND(I21*('Inputs'!$D$59:$D$70-('Inputs'!$P$59:$P$70=I5)*I14),2)))+IF(OR(I3=1,I3=2),I10-ROUND(I21*I10,2),0)+IF(AND(I3=3,I6='Inputs'!$B$92),I38,0),2))</f>
      </c>
      <c r="J67">
        <f>IF('Inputs'!$B$92="",0,ROUND(IF(J31="S",'Inputs'!$O$92*J28,IF(J31="K",'Inputs'!$L$92*IF('Inputs'!$N$92=1,J33,J32),0))+'Inputs'!$Q$92*IF('Inputs'!$S$92=1,J35+J37+J43+J40,J34+J36+J42+J39)+SUMPRODUCT(('Inputs'!$F$59:$F$70='Inputs'!$B$92)*('Inputs'!$C$59:$C$70&lt;&gt;"Estate")*('Inputs'!$C$59:$C$70&lt;&gt;""),(('Inputs'!$D$59:$D$70-('Inputs'!$P$59:$P$70=J5)*J14)-'Inputs'!$R$59:$R$70*ROUND(J21*('Inputs'!$D$59:$D$70-('Inputs'!$P$59:$P$70=J5)*J14),2)))+IF(OR(J3=1,J3=2),J10-ROUND(J21*J10,2),0)+IF(AND(J3=3,J6='Inputs'!$B$92),J38,0),2))</f>
      </c>
      <c r="K67">
        <f>IF('Inputs'!$B$92="",0,ROUND(IF(K31="S",'Inputs'!$O$92*K28,IF(K31="K",'Inputs'!$L$92*IF('Inputs'!$N$92=1,K33,K32),0))+'Inputs'!$Q$92*IF('Inputs'!$S$92=1,K35+K37+K43+K40,K34+K36+K42+K39)+SUMPRODUCT(('Inputs'!$F$59:$F$70='Inputs'!$B$92)*('Inputs'!$C$59:$C$70&lt;&gt;"Estate")*('Inputs'!$C$59:$C$70&lt;&gt;""),(('Inputs'!$D$59:$D$70-('Inputs'!$P$59:$P$70=K5)*K14)-'Inputs'!$R$59:$R$70*ROUND(K21*('Inputs'!$D$59:$D$70-('Inputs'!$P$59:$P$70=K5)*K14),2)))+IF(OR(K3=1,K3=2),K10-ROUND(K21*K10,2),0)+IF(AND(K3=3,K6='Inputs'!$B$92),K38,0),2))</f>
      </c>
      <c r="L67">
        <f>IF('Inputs'!$B$92="",0,ROUND(IF(L31="S",'Inputs'!$O$92*L28,IF(L31="K",'Inputs'!$L$92*IF('Inputs'!$N$92=1,L33,L32),0))+'Inputs'!$Q$92*IF('Inputs'!$S$92=1,L35+L37+L43+L40,L34+L36+L42+L39)+SUMPRODUCT(('Inputs'!$F$59:$F$70='Inputs'!$B$92)*('Inputs'!$C$59:$C$70&lt;&gt;"Estate")*('Inputs'!$C$59:$C$70&lt;&gt;""),(('Inputs'!$D$59:$D$70-('Inputs'!$P$59:$P$70=L5)*L14)-'Inputs'!$R$59:$R$70*ROUND(L21*('Inputs'!$D$59:$D$70-('Inputs'!$P$59:$P$70=L5)*L14),2)))+IF(OR(L3=1,L3=2),L10-ROUND(L21*L10,2),0)+IF(AND(L3=3,L6='Inputs'!$B$92),L38,0),2))</f>
      </c>
      <c r="M67">
        <f>IF('Inputs'!$B$92="",0,ROUND(IF(M31="S",'Inputs'!$O$92*M28,IF(M31="K",'Inputs'!$L$92*IF('Inputs'!$N$92=1,M33,M32),0))+'Inputs'!$Q$92*IF('Inputs'!$S$92=1,M35+M37+M43+M40,M34+M36+M42+M39)+SUMPRODUCT(('Inputs'!$F$59:$F$70='Inputs'!$B$92)*('Inputs'!$C$59:$C$70&lt;&gt;"Estate")*('Inputs'!$C$59:$C$70&lt;&gt;""),(('Inputs'!$D$59:$D$70-('Inputs'!$P$59:$P$70=M5)*M14)-'Inputs'!$R$59:$R$70*ROUND(M21*('Inputs'!$D$59:$D$70-('Inputs'!$P$59:$P$70=M5)*M14),2)))+IF(OR(M3=1,M3=2),M10-ROUND(M21*M10,2),0)+IF(AND(M3=3,M6='Inputs'!$B$92),M38,0),2))</f>
      </c>
      <c r="N67">
        <f>IF('Inputs'!$B$92="",0,ROUND(IF(N31="S",'Inputs'!$O$92*N28,IF(N31="K",'Inputs'!$L$92*IF('Inputs'!$N$92=1,N33,N32),0))+'Inputs'!$Q$92*IF('Inputs'!$S$92=1,N35+N37+N43+N40,N34+N36+N42+N39)+SUMPRODUCT(('Inputs'!$F$59:$F$70='Inputs'!$B$92)*('Inputs'!$C$59:$C$70&lt;&gt;"Estate")*('Inputs'!$C$59:$C$70&lt;&gt;""),(('Inputs'!$D$59:$D$70-('Inputs'!$P$59:$P$70=N5)*N14)-'Inputs'!$R$59:$R$70*ROUND(N21*('Inputs'!$D$59:$D$70-('Inputs'!$P$59:$P$70=N5)*N14),2)))+IF(OR(N3=1,N3=2),N10-ROUND(N21*N10,2),0)+IF(AND(N3=3,N6='Inputs'!$B$92),N38,0),2))</f>
      </c>
      <c r="O67">
        <f>IF('Inputs'!$B$92="",0,ROUND(IF(O31="S",'Inputs'!$O$92*O28,IF(O31="K",'Inputs'!$L$92*IF('Inputs'!$N$92=1,O33,O32),0))+'Inputs'!$Q$92*IF('Inputs'!$S$92=1,O35+O37+O43+O40,O34+O36+O42+O39)+SUMPRODUCT(('Inputs'!$F$59:$F$70='Inputs'!$B$92)*('Inputs'!$C$59:$C$70&lt;&gt;"Estate")*('Inputs'!$C$59:$C$70&lt;&gt;""),(('Inputs'!$D$59:$D$70-('Inputs'!$P$59:$P$70=O5)*O14)-'Inputs'!$R$59:$R$70*ROUND(O21*('Inputs'!$D$59:$D$70-('Inputs'!$P$59:$P$70=O5)*O14),2)))+IF(OR(O3=1,O3=2),O10-ROUND(O21*O10,2),0)+IF(AND(O3=3,O6='Inputs'!$B$92),O38,0),2))</f>
      </c>
      <c r="P67">
        <f>IF('Inputs'!$B$92="",0,ROUND(IF(P31="S",'Inputs'!$O$92*P28,IF(P31="K",'Inputs'!$L$92*IF('Inputs'!$N$92=1,P33,P32),0))+'Inputs'!$Q$92*IF('Inputs'!$S$92=1,P35+P37+P43+P40,P34+P36+P42+P39)+SUMPRODUCT(('Inputs'!$F$59:$F$70='Inputs'!$B$92)*('Inputs'!$C$59:$C$70&lt;&gt;"Estate")*('Inputs'!$C$59:$C$70&lt;&gt;""),(('Inputs'!$D$59:$D$70-('Inputs'!$P$59:$P$70=P5)*P14)-'Inputs'!$R$59:$R$70*ROUND(P21*('Inputs'!$D$59:$D$70-('Inputs'!$P$59:$P$70=P5)*P14),2)))+IF(OR(P3=1,P3=2),P10-ROUND(P21*P10,2),0)+IF(AND(P3=3,P6='Inputs'!$B$92),P38,0),2))</f>
      </c>
      <c r="Q67">
        <f>IF('Inputs'!$B$92="",0,ROUND(IF(Q31="S",'Inputs'!$O$92*Q28,IF(Q31="K",'Inputs'!$L$92*IF('Inputs'!$N$92=1,Q33,Q32),0))+'Inputs'!$Q$92*IF('Inputs'!$S$92=1,Q35+Q37+Q43+Q40,Q34+Q36+Q42+Q39)+SUMPRODUCT(('Inputs'!$F$59:$F$70='Inputs'!$B$92)*('Inputs'!$C$59:$C$70&lt;&gt;"Estate")*('Inputs'!$C$59:$C$70&lt;&gt;""),(('Inputs'!$D$59:$D$70-('Inputs'!$P$59:$P$70=Q5)*Q14)-'Inputs'!$R$59:$R$70*ROUND(Q21*('Inputs'!$D$59:$D$70-('Inputs'!$P$59:$P$70=Q5)*Q14),2)))+IF(OR(Q3=1,Q3=2),Q10-ROUND(Q21*Q10,2),0)+IF(AND(Q3=3,Q6='Inputs'!$B$92),Q38,0),2))</f>
      </c>
      <c r="R67">
        <f>IF('Inputs'!$B$92="",0,ROUND(IF(R31="S",'Inputs'!$O$92*R28,IF(R31="K",'Inputs'!$L$92*IF('Inputs'!$N$92=1,R33,R32),0))+'Inputs'!$Q$92*IF('Inputs'!$S$92=1,R35+R37+R43+R40,R34+R36+R42+R39)+SUMPRODUCT(('Inputs'!$F$59:$F$70='Inputs'!$B$92)*('Inputs'!$C$59:$C$70&lt;&gt;"Estate")*('Inputs'!$C$59:$C$70&lt;&gt;""),(('Inputs'!$D$59:$D$70-('Inputs'!$P$59:$P$70=R5)*R14)-'Inputs'!$R$59:$R$70*ROUND(R21*('Inputs'!$D$59:$D$70-('Inputs'!$P$59:$P$70=R5)*R14),2)))+IF(OR(R3=1,R3=2),R10-ROUND(R21*R10,2),0)+IF(AND(R3=3,R6='Inputs'!$B$92),R38,0),2))</f>
      </c>
      <c r="S67">
        <f>IF('Inputs'!$B$92="",0,ROUND(IF(S31="S",'Inputs'!$O$92*S28,IF(S31="K",'Inputs'!$L$92*IF('Inputs'!$N$92=1,S33,S32),0))+'Inputs'!$Q$92*IF('Inputs'!$S$92=1,S35+S37+S43+S40,S34+S36+S42+S39)+SUMPRODUCT(('Inputs'!$F$59:$F$70='Inputs'!$B$92)*('Inputs'!$C$59:$C$70&lt;&gt;"Estate")*('Inputs'!$C$59:$C$70&lt;&gt;""),(('Inputs'!$D$59:$D$70-('Inputs'!$P$59:$P$70=S5)*S14)-'Inputs'!$R$59:$R$70*ROUND(S21*('Inputs'!$D$59:$D$70-('Inputs'!$P$59:$P$70=S5)*S14),2)))+IF(OR(S3=1,S3=2),S10-ROUND(S21*S10,2),0)+IF(AND(S3=3,S6='Inputs'!$B$92),S38,0),2))</f>
      </c>
      <c r="T67">
        <f>IF('Inputs'!$B$92="",0,ROUND(IF(T31="S",'Inputs'!$O$92*T28,IF(T31="K",'Inputs'!$L$92*IF('Inputs'!$N$92=1,T33,T32),0))+'Inputs'!$Q$92*IF('Inputs'!$S$92=1,T35+T37+T43+T40,T34+T36+T42+T39)+SUMPRODUCT(('Inputs'!$F$59:$F$70='Inputs'!$B$92)*('Inputs'!$C$59:$C$70&lt;&gt;"Estate")*('Inputs'!$C$59:$C$70&lt;&gt;""),(('Inputs'!$D$59:$D$70-('Inputs'!$P$59:$P$70=T5)*T14)-'Inputs'!$R$59:$R$70*ROUND(T21*('Inputs'!$D$59:$D$70-('Inputs'!$P$59:$P$70=T5)*T14),2)))+IF(OR(T3=1,T3=2),T10-ROUND(T21*T10,2),0)+IF(AND(T3=3,T6='Inputs'!$B$92),T38,0),2))</f>
      </c>
      <c r="V67">
        <f>IF('Inputs'!$B$92="",0,ROUND(IF(V31="S",'Inputs'!$O$92*V28,IF(V31="K",'Inputs'!$L$92*IF('Inputs'!$N$92=1,V33,V32),0))+'Inputs'!$Q$92*IF('Inputs'!$S$92=1,V35+V37+V43+V40,V34+V36+V42+V39)+SUMPRODUCT(('Inputs'!$F$59:$F$70='Inputs'!$B$92)*('Inputs'!$C$59:$C$70&lt;&gt;"Estate")*('Inputs'!$C$59:$C$70&lt;&gt;""),(('Inputs'!$D$59:$D$70-('Inputs'!$P$59:$P$70=V5)*V14)-'Inputs'!$R$59:$R$70*ROUND(V21*('Inputs'!$D$59:$D$70-('Inputs'!$P$59:$P$70=V5)*V14),2)))+IF(OR(V3=1,V3=2),V10-ROUND(V21*V10,2),0)+IF(AND(V3=3,V6='Inputs'!$B$92),V38,0),2))</f>
      </c>
      <c r="W67">
        <f>IF('Inputs'!$B$92="",0,ROUND(IF(W31="S",'Inputs'!$O$92*W28,IF(W31="K",'Inputs'!$L$92*IF('Inputs'!$N$92=1,W33,W32),0))+'Inputs'!$Q$92*IF('Inputs'!$S$92=1,W35+W37+W43+W40,W34+W36+W42+W39)+SUMPRODUCT(('Inputs'!$F$59:$F$70='Inputs'!$B$92)*('Inputs'!$C$59:$C$70&lt;&gt;"Estate")*('Inputs'!$C$59:$C$70&lt;&gt;""),(('Inputs'!$D$59:$D$70-('Inputs'!$P$59:$P$70=W5)*W14)-'Inputs'!$R$59:$R$70*ROUND(W21*('Inputs'!$D$59:$D$70-('Inputs'!$P$59:$P$70=W5)*W14),2)))+IF(OR(W3=1,W3=2),W10-ROUND(W21*W10,2),0)+IF(AND(W3=3,W6='Inputs'!$B$92),W38,0),2))</f>
      </c>
      <c r="X67">
        <f>IF('Inputs'!$B$92="",0,ROUND(IF(X31="S",'Inputs'!$O$92*X28,IF(X31="K",'Inputs'!$L$92*IF('Inputs'!$N$92=1,X33,X32),0))+'Inputs'!$Q$92*IF('Inputs'!$S$92=1,X35+X37+X43+X40,X34+X36+X42+X39)+SUMPRODUCT(('Inputs'!$F$59:$F$70='Inputs'!$B$92)*('Inputs'!$C$59:$C$70&lt;&gt;"Estate")*('Inputs'!$C$59:$C$70&lt;&gt;""),(('Inputs'!$D$59:$D$70-('Inputs'!$P$59:$P$70=X5)*X14)-'Inputs'!$R$59:$R$70*ROUND(X21*('Inputs'!$D$59:$D$70-('Inputs'!$P$59:$P$70=X5)*X14),2)))+IF(OR(X3=1,X3=2),X10-ROUND(X21*X10,2),0)+IF(AND(X3=3,X6='Inputs'!$B$92),X38,0),2))</f>
      </c>
      <c r="Y67">
        <f>IF('Inputs'!$B$92="",0,ROUND(IF(Y31="S",'Inputs'!$O$92*Y28,IF(Y31="K",'Inputs'!$L$92*IF('Inputs'!$N$92=1,Y33,Y32),0))+'Inputs'!$Q$92*IF('Inputs'!$S$92=1,Y35+Y37+Y43+Y40,Y34+Y36+Y42+Y39)+SUMPRODUCT(('Inputs'!$F$59:$F$70='Inputs'!$B$92)*('Inputs'!$C$59:$C$70&lt;&gt;"Estate")*('Inputs'!$C$59:$C$70&lt;&gt;""),(('Inputs'!$D$59:$D$70-('Inputs'!$P$59:$P$70=Y5)*Y14)-'Inputs'!$R$59:$R$70*ROUND(Y21*('Inputs'!$D$59:$D$70-('Inputs'!$P$59:$P$70=Y5)*Y14),2)))+IF(OR(Y3=1,Y3=2),Y10-ROUND(Y21*Y10,2),0)+IF(AND(Y3=3,Y6='Inputs'!$B$92),Y38,0),2))</f>
      </c>
      <c r="Z67">
        <f>IF('Inputs'!$B$92="",0,ROUND(IF(Z31="S",'Inputs'!$O$92*Z28,IF(Z31="K",'Inputs'!$L$92*IF('Inputs'!$N$92=1,Z33,Z32),0))+'Inputs'!$Q$92*IF('Inputs'!$S$92=1,Z35+Z37+Z43+Z40,Z34+Z36+Z42+Z39)+SUMPRODUCT(('Inputs'!$F$59:$F$70='Inputs'!$B$92)*('Inputs'!$C$59:$C$70&lt;&gt;"Estate")*('Inputs'!$C$59:$C$70&lt;&gt;""),(('Inputs'!$D$59:$D$70-('Inputs'!$P$59:$P$70=Z5)*Z14)-'Inputs'!$R$59:$R$70*ROUND(Z21*('Inputs'!$D$59:$D$70-('Inputs'!$P$59:$P$70=Z5)*Z14),2)))+IF(OR(Z3=1,Z3=2),Z10-ROUND(Z21*Z10,2),0)+IF(AND(Z3=3,Z6='Inputs'!$B$92),Z38,0),2))</f>
      </c>
      <c r="AA67">
        <f>IF('Inputs'!$B$92="",0,ROUND(IF(AA31="S",'Inputs'!$O$92*AA28,IF(AA31="K",'Inputs'!$L$92*IF('Inputs'!$N$92=1,AA33,AA32),0))+'Inputs'!$Q$92*IF('Inputs'!$S$92=1,AA35+AA37+AA43+AA40,AA34+AA36+AA42+AA39)+SUMPRODUCT(('Inputs'!$F$59:$F$70='Inputs'!$B$92)*('Inputs'!$C$59:$C$70&lt;&gt;"Estate")*('Inputs'!$C$59:$C$70&lt;&gt;""),(('Inputs'!$D$59:$D$70-('Inputs'!$P$59:$P$70=AA5)*AA14)-'Inputs'!$R$59:$R$70*ROUND(AA21*('Inputs'!$D$59:$D$70-('Inputs'!$P$59:$P$70=AA5)*AA14),2)))+IF(OR(AA3=1,AA3=2),AA10-ROUND(AA21*AA10,2),0)+IF(AND(AA3=3,AA6='Inputs'!$B$92),AA38,0),2))</f>
      </c>
      <c r="AB67">
        <f>IF('Inputs'!$B$92="",0,ROUND(IF(AB31="S",'Inputs'!$O$92*AB28,IF(AB31="K",'Inputs'!$L$92*IF('Inputs'!$N$92=1,AB33,AB32),0))+'Inputs'!$Q$92*IF('Inputs'!$S$92=1,AB35+AB37+AB43+AB40,AB34+AB36+AB42+AB39)+SUMPRODUCT(('Inputs'!$F$59:$F$70='Inputs'!$B$92)*('Inputs'!$C$59:$C$70&lt;&gt;"Estate")*('Inputs'!$C$59:$C$70&lt;&gt;""),(('Inputs'!$D$59:$D$70-('Inputs'!$P$59:$P$70=AB5)*AB14)-'Inputs'!$R$59:$R$70*ROUND(AB21*('Inputs'!$D$59:$D$70-('Inputs'!$P$59:$P$70=AB5)*AB14),2)))+IF(OR(AB3=1,AB3=2),AB10-ROUND(AB21*AB10,2),0)+IF(AND(AB3=3,AB6='Inputs'!$B$92),AB38,0),2))</f>
      </c>
      <c r="AC67">
        <f>IF('Inputs'!$B$92="",0,ROUND(IF(AC31="S",'Inputs'!$O$92*AC28,IF(AC31="K",'Inputs'!$L$92*IF('Inputs'!$N$92=1,AC33,AC32),0))+'Inputs'!$Q$92*IF('Inputs'!$S$92=1,AC35+AC37+AC43+AC40,AC34+AC36+AC42+AC39)+SUMPRODUCT(('Inputs'!$F$59:$F$70='Inputs'!$B$92)*('Inputs'!$C$59:$C$70&lt;&gt;"Estate")*('Inputs'!$C$59:$C$70&lt;&gt;""),(('Inputs'!$D$59:$D$70-('Inputs'!$P$59:$P$70=AC5)*AC14)-'Inputs'!$R$59:$R$70*ROUND(AC21*('Inputs'!$D$59:$D$70-('Inputs'!$P$59:$P$70=AC5)*AC14),2)))+IF(OR(AC3=1,AC3=2),AC10-ROUND(AC21*AC10,2),0)+IF(AND(AC3=3,AC6='Inputs'!$B$92),AC38,0),2))</f>
      </c>
      <c r="AD67">
        <f>IF('Inputs'!$B$92="",0,ROUND(IF(AD31="S",'Inputs'!$O$92*AD28,IF(AD31="K",'Inputs'!$L$92*IF('Inputs'!$N$92=1,AD33,AD32),0))+'Inputs'!$Q$92*IF('Inputs'!$S$92=1,AD35+AD37+AD43+AD40,AD34+AD36+AD42+AD39)+SUMPRODUCT(('Inputs'!$F$59:$F$70='Inputs'!$B$92)*('Inputs'!$C$59:$C$70&lt;&gt;"Estate")*('Inputs'!$C$59:$C$70&lt;&gt;""),(('Inputs'!$D$59:$D$70-('Inputs'!$P$59:$P$70=AD5)*AD14)-'Inputs'!$R$59:$R$70*ROUND(AD21*('Inputs'!$D$59:$D$70-('Inputs'!$P$59:$P$70=AD5)*AD14),2)))+IF(OR(AD3=1,AD3=2),AD10-ROUND(AD21*AD10,2),0)+IF(AND(AD3=3,AD6='Inputs'!$B$92),AD38,0),2))</f>
      </c>
      <c r="AE67">
        <f>IF('Inputs'!$B$92="",0,ROUND(IF(AE31="S",'Inputs'!$O$92*AE28,IF(AE31="K",'Inputs'!$L$92*IF('Inputs'!$N$92=1,AE33,AE32),0))+'Inputs'!$Q$92*IF('Inputs'!$S$92=1,AE35+AE37+AE43+AE40,AE34+AE36+AE42+AE39)+SUMPRODUCT(('Inputs'!$F$59:$F$70='Inputs'!$B$92)*('Inputs'!$C$59:$C$70&lt;&gt;"Estate")*('Inputs'!$C$59:$C$70&lt;&gt;""),(('Inputs'!$D$59:$D$70-('Inputs'!$P$59:$P$70=AE5)*AE14)-'Inputs'!$R$59:$R$70*ROUND(AE21*('Inputs'!$D$59:$D$70-('Inputs'!$P$59:$P$70=AE5)*AE14),2)))+IF(OR(AE3=1,AE3=2),AE10-ROUND(AE21*AE10,2),0)+IF(AND(AE3=3,AE6='Inputs'!$B$92),AE38,0),2))</f>
      </c>
      <c r="AF67">
        <f>IF('Inputs'!$B$92="",0,ROUND(IF(AF31="S",'Inputs'!$O$92*AF28,IF(AF31="K",'Inputs'!$L$92*IF('Inputs'!$N$92=1,AF33,AF32),0))+'Inputs'!$Q$92*IF('Inputs'!$S$92=1,AF35+AF37+AF43+AF40,AF34+AF36+AF42+AF39)+SUMPRODUCT(('Inputs'!$F$59:$F$70='Inputs'!$B$92)*('Inputs'!$C$59:$C$70&lt;&gt;"Estate")*('Inputs'!$C$59:$C$70&lt;&gt;""),(('Inputs'!$D$59:$D$70-('Inputs'!$P$59:$P$70=AF5)*AF14)-'Inputs'!$R$59:$R$70*ROUND(AF21*('Inputs'!$D$59:$D$70-('Inputs'!$P$59:$P$70=AF5)*AF14),2)))+IF(OR(AF3=1,AF3=2),AF10-ROUND(AF21*AF10,2),0)+IF(AND(AF3=3,AF6='Inputs'!$B$92),AF38,0),2))</f>
      </c>
      <c r="AG67">
        <f>IF('Inputs'!$B$92="",0,ROUND(IF(AG31="S",'Inputs'!$O$92*AG28,IF(AG31="K",'Inputs'!$L$92*IF('Inputs'!$N$92=1,AG33,AG32),0))+'Inputs'!$Q$92*IF('Inputs'!$S$92=1,AG35+AG37+AG43+AG40,AG34+AG36+AG42+AG39)+SUMPRODUCT(('Inputs'!$F$59:$F$70='Inputs'!$B$92)*('Inputs'!$C$59:$C$70&lt;&gt;"Estate")*('Inputs'!$C$59:$C$70&lt;&gt;""),(('Inputs'!$D$59:$D$70-('Inputs'!$P$59:$P$70=AG5)*AG14)-'Inputs'!$R$59:$R$70*ROUND(AG21*('Inputs'!$D$59:$D$70-('Inputs'!$P$59:$P$70=AG5)*AG14),2)))+IF(OR(AG3=1,AG3=2),AG10-ROUND(AG21*AG10,2),0)+IF(AND(AG3=3,AG6='Inputs'!$B$92),AG38,0),2))</f>
      </c>
      <c r="AH67">
        <f>IF('Inputs'!$B$92="",0,ROUND(IF(AH31="S",'Inputs'!$O$92*AH28,IF(AH31="K",'Inputs'!$L$92*IF('Inputs'!$N$92=1,AH33,AH32),0))+'Inputs'!$Q$92*IF('Inputs'!$S$92=1,AH35+AH37+AH43+AH40,AH34+AH36+AH42+AH39)+SUMPRODUCT(('Inputs'!$F$59:$F$70='Inputs'!$B$92)*('Inputs'!$C$59:$C$70&lt;&gt;"Estate")*('Inputs'!$C$59:$C$70&lt;&gt;""),(('Inputs'!$D$59:$D$70-('Inputs'!$P$59:$P$70=AH5)*AH14)-'Inputs'!$R$59:$R$70*ROUND(AH21*('Inputs'!$D$59:$D$70-('Inputs'!$P$59:$P$70=AH5)*AH14),2)))+IF(OR(AH3=1,AH3=2),AH10-ROUND(AH21*AH10,2),0)+IF(AND(AH3=3,AH6='Inputs'!$B$92),AH38,0),2))</f>
      </c>
      <c r="AI67">
        <f>IF('Inputs'!$B$92="",0,ROUND(IF(AI31="S",'Inputs'!$O$92*AI28,IF(AI31="K",'Inputs'!$L$92*IF('Inputs'!$N$92=1,AI33,AI32),0))+'Inputs'!$Q$92*IF('Inputs'!$S$92=1,AI35+AI37+AI43+AI40,AI34+AI36+AI42+AI39)+SUMPRODUCT(('Inputs'!$F$59:$F$70='Inputs'!$B$92)*('Inputs'!$C$59:$C$70&lt;&gt;"Estate")*('Inputs'!$C$59:$C$70&lt;&gt;""),(('Inputs'!$D$59:$D$70-('Inputs'!$P$59:$P$70=AI5)*AI14)-'Inputs'!$R$59:$R$70*ROUND(AI21*('Inputs'!$D$59:$D$70-('Inputs'!$P$59:$P$70=AI5)*AI14),2)))+IF(OR(AI3=1,AI3=2),AI10-ROUND(AI21*AI10,2),0)+IF(AND(AI3=3,AI6='Inputs'!$B$92),AI38,0),2))</f>
      </c>
      <c r="AJ67">
        <f>IF('Inputs'!$B$92="",0,ROUND(IF(AJ31="S",'Inputs'!$O$92*AJ28,IF(AJ31="K",'Inputs'!$L$92*IF('Inputs'!$N$92=1,AJ33,AJ32),0))+'Inputs'!$Q$92*IF('Inputs'!$S$92=1,AJ35+AJ37+AJ43+AJ40,AJ34+AJ36+AJ42+AJ39)+SUMPRODUCT(('Inputs'!$F$59:$F$70='Inputs'!$B$92)*('Inputs'!$C$59:$C$70&lt;&gt;"Estate")*('Inputs'!$C$59:$C$70&lt;&gt;""),(('Inputs'!$D$59:$D$70-('Inputs'!$P$59:$P$70=AJ5)*AJ14)-'Inputs'!$R$59:$R$70*ROUND(AJ21*('Inputs'!$D$59:$D$70-('Inputs'!$P$59:$P$70=AJ5)*AJ14),2)))+IF(OR(AJ3=1,AJ3=2),AJ10-ROUND(AJ21*AJ10,2),0)+IF(AND(AJ3=3,AJ6='Inputs'!$B$92),AJ38,0),2))</f>
      </c>
      <c r="AK67">
        <f>IF('Inputs'!$B$92="",0,ROUND(IF(AK31="S",'Inputs'!$O$92*AK28,IF(AK31="K",'Inputs'!$L$92*IF('Inputs'!$N$92=1,AK33,AK32),0))+'Inputs'!$Q$92*IF('Inputs'!$S$92=1,AK35+AK37+AK43+AK40,AK34+AK36+AK42+AK39)+SUMPRODUCT(('Inputs'!$F$59:$F$70='Inputs'!$B$92)*('Inputs'!$C$59:$C$70&lt;&gt;"Estate")*('Inputs'!$C$59:$C$70&lt;&gt;""),(('Inputs'!$D$59:$D$70-('Inputs'!$P$59:$P$70=AK5)*AK14)-'Inputs'!$R$59:$R$70*ROUND(AK21*('Inputs'!$D$59:$D$70-('Inputs'!$P$59:$P$70=AK5)*AK14),2)))+IF(OR(AK3=1,AK3=2),AK10-ROUND(AK21*AK10,2),0)+IF(AND(AK3=3,AK6='Inputs'!$B$92),AK38,0),2))</f>
      </c>
      <c r="AM67">
        <f>IF('Inputs'!$B$92="",0,ROUND(IF(AM31="S",'Inputs'!$O$92*AM28,IF(AM31="K",'Inputs'!$L$92*IF('Inputs'!$N$92=1,AM33,AM32),0))+'Inputs'!$Q$92*IF('Inputs'!$S$92=1,AM35+AM37+AM43+AM40,AM34+AM36+AM42+AM39)+SUMPRODUCT(('Inputs'!$F$59:$F$70='Inputs'!$B$92)*('Inputs'!$C$59:$C$70&lt;&gt;"Estate")*('Inputs'!$C$59:$C$70&lt;&gt;""),(('Inputs'!$D$59:$D$70-('Inputs'!$P$59:$P$70=AM5)*AM14)-'Inputs'!$R$59:$R$70*ROUND(AM21*('Inputs'!$D$59:$D$70-('Inputs'!$P$59:$P$70=AM5)*AM14),2)))+IF(OR(AM3=1,AM3=2),AM10-ROUND(AM21*AM10,2),0)+IF(AND(AM3=3,AM6='Inputs'!$B$92),AM38,0),2))</f>
      </c>
      <c r="AN67">
        <f>IF('Inputs'!$B$92="",0,ROUND(IF(AN31="S",'Inputs'!$O$92*AN28,IF(AN31="K",'Inputs'!$L$92*IF('Inputs'!$N$92=1,AN33,AN32),0))+'Inputs'!$Q$92*IF('Inputs'!$S$92=1,AN35+AN37+AN43+AN40,AN34+AN36+AN42+AN39)+SUMPRODUCT(('Inputs'!$F$59:$F$70='Inputs'!$B$92)*('Inputs'!$C$59:$C$70&lt;&gt;"Estate")*('Inputs'!$C$59:$C$70&lt;&gt;""),(('Inputs'!$D$59:$D$70-('Inputs'!$P$59:$P$70=AN5)*AN14)-'Inputs'!$R$59:$R$70*ROUND(AN21*('Inputs'!$D$59:$D$70-('Inputs'!$P$59:$P$70=AN5)*AN14),2)))+IF(OR(AN3=1,AN3=2),AN10-ROUND(AN21*AN10,2),0)+IF(AND(AN3=3,AN6='Inputs'!$B$92),AN38,0),2))</f>
      </c>
      <c r="AO67">
        <f>IF('Inputs'!$B$92="",0,ROUND(IF(AO31="S",'Inputs'!$O$92*AO28,IF(AO31="K",'Inputs'!$L$92*IF('Inputs'!$N$92=1,AO33,AO32),0))+'Inputs'!$Q$92*IF('Inputs'!$S$92=1,AO35+AO37+AO43+AO40,AO34+AO36+AO42+AO39)+SUMPRODUCT(('Inputs'!$F$59:$F$70='Inputs'!$B$92)*('Inputs'!$C$59:$C$70&lt;&gt;"Estate")*('Inputs'!$C$59:$C$70&lt;&gt;""),(('Inputs'!$D$59:$D$70-('Inputs'!$P$59:$P$70=AO5)*AO14)-'Inputs'!$R$59:$R$70*ROUND(AO21*('Inputs'!$D$59:$D$70-('Inputs'!$P$59:$P$70=AO5)*AO14),2)))+IF(OR(AO3=1,AO3=2),AO10-ROUND(AO21*AO10,2),0)+IF(AND(AO3=3,AO6='Inputs'!$B$92),AO38,0),2))</f>
      </c>
      <c r="AP67">
        <f>IF('Inputs'!$B$92="",0,ROUND(IF(AP31="S",'Inputs'!$O$92*AP28,IF(AP31="K",'Inputs'!$L$92*IF('Inputs'!$N$92=1,AP33,AP32),0))+'Inputs'!$Q$92*IF('Inputs'!$S$92=1,AP35+AP37+AP43+AP40,AP34+AP36+AP42+AP39)+SUMPRODUCT(('Inputs'!$F$59:$F$70='Inputs'!$B$92)*('Inputs'!$C$59:$C$70&lt;&gt;"Estate")*('Inputs'!$C$59:$C$70&lt;&gt;""),(('Inputs'!$D$59:$D$70-('Inputs'!$P$59:$P$70=AP5)*AP14)-'Inputs'!$R$59:$R$70*ROUND(AP21*('Inputs'!$D$59:$D$70-('Inputs'!$P$59:$P$70=AP5)*AP14),2)))+IF(OR(AP3=1,AP3=2),AP10-ROUND(AP21*AP10,2),0)+IF(AND(AP3=3,AP6='Inputs'!$B$92),AP38,0),2))</f>
      </c>
      <c r="AQ67">
        <f>IF('Inputs'!$B$92="",0,ROUND(IF(AQ31="S",'Inputs'!$O$92*AQ28,IF(AQ31="K",'Inputs'!$L$92*IF('Inputs'!$N$92=1,AQ33,AQ32),0))+'Inputs'!$Q$92*IF('Inputs'!$S$92=1,AQ35+AQ37+AQ43+AQ40,AQ34+AQ36+AQ42+AQ39)+SUMPRODUCT(('Inputs'!$F$59:$F$70='Inputs'!$B$92)*('Inputs'!$C$59:$C$70&lt;&gt;"Estate")*('Inputs'!$C$59:$C$70&lt;&gt;""),(('Inputs'!$D$59:$D$70-('Inputs'!$P$59:$P$70=AQ5)*AQ14)-'Inputs'!$R$59:$R$70*ROUND(AQ21*('Inputs'!$D$59:$D$70-('Inputs'!$P$59:$P$70=AQ5)*AQ14),2)))+IF(OR(AQ3=1,AQ3=2),AQ10-ROUND(AQ21*AQ10,2),0)+IF(AND(AQ3=3,AQ6='Inputs'!$B$92),AQ38,0),2))</f>
      </c>
      <c r="AR67">
        <f>IF('Inputs'!$B$92="",0,ROUND(IF(AR31="S",'Inputs'!$O$92*AR28,IF(AR31="K",'Inputs'!$L$92*IF('Inputs'!$N$92=1,AR33,AR32),0))+'Inputs'!$Q$92*IF('Inputs'!$S$92=1,AR35+AR37+AR43+AR40,AR34+AR36+AR42+AR39)+SUMPRODUCT(('Inputs'!$F$59:$F$70='Inputs'!$B$92)*('Inputs'!$C$59:$C$70&lt;&gt;"Estate")*('Inputs'!$C$59:$C$70&lt;&gt;""),(('Inputs'!$D$59:$D$70-('Inputs'!$P$59:$P$70=AR5)*AR14)-'Inputs'!$R$59:$R$70*ROUND(AR21*('Inputs'!$D$59:$D$70-('Inputs'!$P$59:$P$70=AR5)*AR14),2)))+IF(OR(AR3=1,AR3=2),AR10-ROUND(AR21*AR10,2),0)+IF(AND(AR3=3,AR6='Inputs'!$B$92),AR38,0),2))</f>
      </c>
      <c r="AS67">
        <f>IF('Inputs'!$B$92="",0,ROUND(IF(AS31="S",'Inputs'!$O$92*AS28,IF(AS31="K",'Inputs'!$L$92*IF('Inputs'!$N$92=1,AS33,AS32),0))+'Inputs'!$Q$92*IF('Inputs'!$S$92=1,AS35+AS37+AS43+AS40,AS34+AS36+AS42+AS39)+SUMPRODUCT(('Inputs'!$F$59:$F$70='Inputs'!$B$92)*('Inputs'!$C$59:$C$70&lt;&gt;"Estate")*('Inputs'!$C$59:$C$70&lt;&gt;""),(('Inputs'!$D$59:$D$70-('Inputs'!$P$59:$P$70=AS5)*AS14)-'Inputs'!$R$59:$R$70*ROUND(AS21*('Inputs'!$D$59:$D$70-('Inputs'!$P$59:$P$70=AS5)*AS14),2)))+IF(OR(AS3=1,AS3=2),AS10-ROUND(AS21*AS10,2),0)+IF(AND(AS3=3,AS6='Inputs'!$B$92),AS38,0),2))</f>
      </c>
      <c r="AT67">
        <f>IF('Inputs'!$B$92="",0,ROUND(IF(AT31="S",'Inputs'!$O$92*AT28,IF(AT31="K",'Inputs'!$L$92*IF('Inputs'!$N$92=1,AT33,AT32),0))+'Inputs'!$Q$92*IF('Inputs'!$S$92=1,AT35+AT37+AT43+AT40,AT34+AT36+AT42+AT39)+SUMPRODUCT(('Inputs'!$F$59:$F$70='Inputs'!$B$92)*('Inputs'!$C$59:$C$70&lt;&gt;"Estate")*('Inputs'!$C$59:$C$70&lt;&gt;""),(('Inputs'!$D$59:$D$70-('Inputs'!$P$59:$P$70=AT5)*AT14)-'Inputs'!$R$59:$R$70*ROUND(AT21*('Inputs'!$D$59:$D$70-('Inputs'!$P$59:$P$70=AT5)*AT14),2)))+IF(OR(AT3=1,AT3=2),AT10-ROUND(AT21*AT10,2),0)+IF(AND(AT3=3,AT6='Inputs'!$B$92),AT38,0),2))</f>
      </c>
      <c r="AU67">
        <f>IF('Inputs'!$B$92="",0,ROUND(IF(AU31="S",'Inputs'!$O$92*AU28,IF(AU31="K",'Inputs'!$L$92*IF('Inputs'!$N$92=1,AU33,AU32),0))+'Inputs'!$Q$92*IF('Inputs'!$S$92=1,AU35+AU37+AU43+AU40,AU34+AU36+AU42+AU39)+SUMPRODUCT(('Inputs'!$F$59:$F$70='Inputs'!$B$92)*('Inputs'!$C$59:$C$70&lt;&gt;"Estate")*('Inputs'!$C$59:$C$70&lt;&gt;""),(('Inputs'!$D$59:$D$70-('Inputs'!$P$59:$P$70=AU5)*AU14)-'Inputs'!$R$59:$R$70*ROUND(AU21*('Inputs'!$D$59:$D$70-('Inputs'!$P$59:$P$70=AU5)*AU14),2)))+IF(OR(AU3=1,AU3=2),AU10-ROUND(AU21*AU10,2),0)+IF(AND(AU3=3,AU6='Inputs'!$B$92),AU38,0),2))</f>
      </c>
      <c r="AV67">
        <f>IF('Inputs'!$B$92="",0,ROUND(IF(AV31="S",'Inputs'!$O$92*AV28,IF(AV31="K",'Inputs'!$L$92*IF('Inputs'!$N$92=1,AV33,AV32),0))+'Inputs'!$Q$92*IF('Inputs'!$S$92=1,AV35+AV37+AV43+AV40,AV34+AV36+AV42+AV39)+SUMPRODUCT(('Inputs'!$F$59:$F$70='Inputs'!$B$92)*('Inputs'!$C$59:$C$70&lt;&gt;"Estate")*('Inputs'!$C$59:$C$70&lt;&gt;""),(('Inputs'!$D$59:$D$70-('Inputs'!$P$59:$P$70=AV5)*AV14)-'Inputs'!$R$59:$R$70*ROUND(AV21*('Inputs'!$D$59:$D$70-('Inputs'!$P$59:$P$70=AV5)*AV14),2)))+IF(OR(AV3=1,AV3=2),AV10-ROUND(AV21*AV10,2),0)+IF(AND(AV3=3,AV6='Inputs'!$B$92),AV38,0),2))</f>
      </c>
      <c r="AW67">
        <f>IF('Inputs'!$B$92="",0,ROUND(IF(AW31="S",'Inputs'!$O$92*AW28,IF(AW31="K",'Inputs'!$L$92*IF('Inputs'!$N$92=1,AW33,AW32),0))+'Inputs'!$Q$92*IF('Inputs'!$S$92=1,AW35+AW37+AW43+AW40,AW34+AW36+AW42+AW39)+SUMPRODUCT(('Inputs'!$F$59:$F$70='Inputs'!$B$92)*('Inputs'!$C$59:$C$70&lt;&gt;"Estate")*('Inputs'!$C$59:$C$70&lt;&gt;""),(('Inputs'!$D$59:$D$70-('Inputs'!$P$59:$P$70=AW5)*AW14)-'Inputs'!$R$59:$R$70*ROUND(AW21*('Inputs'!$D$59:$D$70-('Inputs'!$P$59:$P$70=AW5)*AW14),2)))+IF(OR(AW3=1,AW3=2),AW10-ROUND(AW21*AW10,2),0)+IF(AND(AW3=3,AW6='Inputs'!$B$92),AW38,0),2))</f>
      </c>
      <c r="AX67">
        <f>IF('Inputs'!$B$92="",0,ROUND(IF(AX31="S",'Inputs'!$O$92*AX28,IF(AX31="K",'Inputs'!$L$92*IF('Inputs'!$N$92=1,AX33,AX32),0))+'Inputs'!$Q$92*IF('Inputs'!$S$92=1,AX35+AX37+AX43+AX40,AX34+AX36+AX42+AX39)+SUMPRODUCT(('Inputs'!$F$59:$F$70='Inputs'!$B$92)*('Inputs'!$C$59:$C$70&lt;&gt;"Estate")*('Inputs'!$C$59:$C$70&lt;&gt;""),(('Inputs'!$D$59:$D$70-('Inputs'!$P$59:$P$70=AX5)*AX14)-'Inputs'!$R$59:$R$70*ROUND(AX21*('Inputs'!$D$59:$D$70-('Inputs'!$P$59:$P$70=AX5)*AX14),2)))+IF(OR(AX3=1,AX3=2),AX10-ROUND(AX21*AX10,2),0)+IF(AND(AX3=3,AX6='Inputs'!$B$92),AX38,0),2))</f>
      </c>
      <c r="AY67">
        <f>IF('Inputs'!$B$92="",0,ROUND(IF(AY31="S",'Inputs'!$O$92*AY28,IF(AY31="K",'Inputs'!$L$92*IF('Inputs'!$N$92=1,AY33,AY32),0))+'Inputs'!$Q$92*IF('Inputs'!$S$92=1,AY35+AY37+AY43+AY40,AY34+AY36+AY42+AY39)+SUMPRODUCT(('Inputs'!$F$59:$F$70='Inputs'!$B$92)*('Inputs'!$C$59:$C$70&lt;&gt;"Estate")*('Inputs'!$C$59:$C$70&lt;&gt;""),(('Inputs'!$D$59:$D$70-('Inputs'!$P$59:$P$70=AY5)*AY14)-'Inputs'!$R$59:$R$70*ROUND(AY21*('Inputs'!$D$59:$D$70-('Inputs'!$P$59:$P$70=AY5)*AY14),2)))+IF(OR(AY3=1,AY3=2),AY10-ROUND(AY21*AY10,2),0)+IF(AND(AY3=3,AY6='Inputs'!$B$92),AY38,0),2))</f>
      </c>
      <c r="AZ67">
        <f>IF('Inputs'!$B$92="",0,ROUND(IF(AZ31="S",'Inputs'!$O$92*AZ28,IF(AZ31="K",'Inputs'!$L$92*IF('Inputs'!$N$92=1,AZ33,AZ32),0))+'Inputs'!$Q$92*IF('Inputs'!$S$92=1,AZ35+AZ37+AZ43+AZ40,AZ34+AZ36+AZ42+AZ39)+SUMPRODUCT(('Inputs'!$F$59:$F$70='Inputs'!$B$92)*('Inputs'!$C$59:$C$70&lt;&gt;"Estate")*('Inputs'!$C$59:$C$70&lt;&gt;""),(('Inputs'!$D$59:$D$70-('Inputs'!$P$59:$P$70=AZ5)*AZ14)-'Inputs'!$R$59:$R$70*ROUND(AZ21*('Inputs'!$D$59:$D$70-('Inputs'!$P$59:$P$70=AZ5)*AZ14),2)))+IF(OR(AZ3=1,AZ3=2),AZ10-ROUND(AZ21*AZ10,2),0)+IF(AND(AZ3=3,AZ6='Inputs'!$B$92),AZ38,0),2))</f>
      </c>
      <c r="BA67">
        <f>IF('Inputs'!$B$92="",0,ROUND(IF(BA31="S",'Inputs'!$O$92*BA28,IF(BA31="K",'Inputs'!$L$92*IF('Inputs'!$N$92=1,BA33,BA32),0))+'Inputs'!$Q$92*IF('Inputs'!$S$92=1,BA35+BA37+BA43+BA40,BA34+BA36+BA42+BA39)+SUMPRODUCT(('Inputs'!$F$59:$F$70='Inputs'!$B$92)*('Inputs'!$C$59:$C$70&lt;&gt;"Estate")*('Inputs'!$C$59:$C$70&lt;&gt;""),(('Inputs'!$D$59:$D$70-('Inputs'!$P$59:$P$70=BA5)*BA14)-'Inputs'!$R$59:$R$70*ROUND(BA21*('Inputs'!$D$59:$D$70-('Inputs'!$P$59:$P$70=BA5)*BA14),2)))+IF(OR(BA3=1,BA3=2),BA10-ROUND(BA21*BA10,2),0)+IF(AND(BA3=3,BA6='Inputs'!$B$92),BA38,0),2))</f>
      </c>
      <c r="BB67">
        <f>IF('Inputs'!$B$92="",0,ROUND(IF(BB31="S",'Inputs'!$O$92*BB28,IF(BB31="K",'Inputs'!$L$92*IF('Inputs'!$N$92=1,BB33,BB32),0))+'Inputs'!$Q$92*IF('Inputs'!$S$92=1,BB35+BB37+BB43+BB40,BB34+BB36+BB42+BB39)+SUMPRODUCT(('Inputs'!$F$59:$F$70='Inputs'!$B$92)*('Inputs'!$C$59:$C$70&lt;&gt;"Estate")*('Inputs'!$C$59:$C$70&lt;&gt;""),(('Inputs'!$D$59:$D$70-('Inputs'!$P$59:$P$70=BB5)*BB14)-'Inputs'!$R$59:$R$70*ROUND(BB21*('Inputs'!$D$59:$D$70-('Inputs'!$P$59:$P$70=BB5)*BB14),2)))+IF(OR(BB3=1,BB3=2),BB10-ROUND(BB21*BB10,2),0)+IF(AND(BB3=3,BB6='Inputs'!$B$92),BB38,0),2))</f>
      </c>
      <c r="BD67">
        <f>IF('Inputs'!$B$92="",0,ROUND(IF(BD31="S",'Inputs'!$O$92*BD28,IF(BD31="K",'Inputs'!$L$92*IF('Inputs'!$N$92=1,BD33,BD32),0))+'Inputs'!$Q$92*IF('Inputs'!$S$92=1,BD35+BD37+BD43+BD40,BD34+BD36+BD42+BD39)+SUMPRODUCT(('Inputs'!$F$59:$F$70='Inputs'!$B$92)*('Inputs'!$C$59:$C$70&lt;&gt;"Estate")*('Inputs'!$C$59:$C$70&lt;&gt;""),(('Inputs'!$D$59:$D$70-('Inputs'!$P$59:$P$70=BD5)*BD14)-'Inputs'!$R$59:$R$70*ROUND(BD21*('Inputs'!$D$59:$D$70-('Inputs'!$P$59:$P$70=BD5)*BD14),2)))+IF(OR(BD3=1,BD3=2),BD10-ROUND(BD21*BD10,2),0)+IF(AND(BD3=3,BD6='Inputs'!$B$92),BD38,0),2))</f>
      </c>
      <c r="BE67">
        <f>IF('Inputs'!$B$92="",0,ROUND(IF(BE31="S",'Inputs'!$O$92*BE28,IF(BE31="K",'Inputs'!$L$92*IF('Inputs'!$N$92=1,BE33,BE32),0))+'Inputs'!$Q$92*IF('Inputs'!$S$92=1,BE35+BE37+BE43+BE40,BE34+BE36+BE42+BE39)+SUMPRODUCT(('Inputs'!$F$59:$F$70='Inputs'!$B$92)*('Inputs'!$C$59:$C$70&lt;&gt;"Estate")*('Inputs'!$C$59:$C$70&lt;&gt;""),(('Inputs'!$D$59:$D$70-('Inputs'!$P$59:$P$70=BE5)*BE14)-'Inputs'!$R$59:$R$70*ROUND(BE21*('Inputs'!$D$59:$D$70-('Inputs'!$P$59:$P$70=BE5)*BE14),2)))+IF(OR(BE3=1,BE3=2),BE10-ROUND(BE21*BE10,2),0)+IF(AND(BE3=3,BE6='Inputs'!$B$92),BE38,0),2))</f>
      </c>
      <c r="BF67">
        <f>IF('Inputs'!$B$92="",0,ROUND(IF(BF31="S",'Inputs'!$O$92*BF28,IF(BF31="K",'Inputs'!$L$92*IF('Inputs'!$N$92=1,BF33,BF32),0))+'Inputs'!$Q$92*IF('Inputs'!$S$92=1,BF35+BF37+BF43+BF40,BF34+BF36+BF42+BF39)+SUMPRODUCT(('Inputs'!$F$59:$F$70='Inputs'!$B$92)*('Inputs'!$C$59:$C$70&lt;&gt;"Estate")*('Inputs'!$C$59:$C$70&lt;&gt;""),(('Inputs'!$D$59:$D$70-('Inputs'!$P$59:$P$70=BF5)*BF14)-'Inputs'!$R$59:$R$70*ROUND(BF21*('Inputs'!$D$59:$D$70-('Inputs'!$P$59:$P$70=BF5)*BF14),2)))+IF(OR(BF3=1,BF3=2),BF10-ROUND(BF21*BF10,2),0)+IF(AND(BF3=3,BF6='Inputs'!$B$92),BF38,0),2))</f>
      </c>
      <c r="BG67">
        <f>IF('Inputs'!$B$92="",0,ROUND(IF(BG31="S",'Inputs'!$O$92*BG28,IF(BG31="K",'Inputs'!$L$92*IF('Inputs'!$N$92=1,BG33,BG32),0))+'Inputs'!$Q$92*IF('Inputs'!$S$92=1,BG35+BG37+BG43+BG40,BG34+BG36+BG42+BG39)+SUMPRODUCT(('Inputs'!$F$59:$F$70='Inputs'!$B$92)*('Inputs'!$C$59:$C$70&lt;&gt;"Estate")*('Inputs'!$C$59:$C$70&lt;&gt;""),(('Inputs'!$D$59:$D$70-('Inputs'!$P$59:$P$70=BG5)*BG14)-'Inputs'!$R$59:$R$70*ROUND(BG21*('Inputs'!$D$59:$D$70-('Inputs'!$P$59:$P$70=BG5)*BG14),2)))+IF(OR(BG3=1,BG3=2),BG10-ROUND(BG21*BG10,2),0)+IF(AND(BG3=3,BG6='Inputs'!$B$92),BG38,0),2))</f>
      </c>
      <c r="BH67">
        <f>IF('Inputs'!$B$92="",0,ROUND(IF(BH31="S",'Inputs'!$O$92*BH28,IF(BH31="K",'Inputs'!$L$92*IF('Inputs'!$N$92=1,BH33,BH32),0))+'Inputs'!$Q$92*IF('Inputs'!$S$92=1,BH35+BH37+BH43+BH40,BH34+BH36+BH42+BH39)+SUMPRODUCT(('Inputs'!$F$59:$F$70='Inputs'!$B$92)*('Inputs'!$C$59:$C$70&lt;&gt;"Estate")*('Inputs'!$C$59:$C$70&lt;&gt;""),(('Inputs'!$D$59:$D$70-('Inputs'!$P$59:$P$70=BH5)*BH14)-'Inputs'!$R$59:$R$70*ROUND(BH21*('Inputs'!$D$59:$D$70-('Inputs'!$P$59:$P$70=BH5)*BH14),2)))+IF(OR(BH3=1,BH3=2),BH10-ROUND(BH21*BH10,2),0)+IF(AND(BH3=3,BH6='Inputs'!$B$92),BH38,0),2))</f>
      </c>
      <c r="BI67">
        <f>IF('Inputs'!$B$92="",0,ROUND(IF(BI31="S",'Inputs'!$O$92*BI28,IF(BI31="K",'Inputs'!$L$92*IF('Inputs'!$N$92=1,BI33,BI32),0))+'Inputs'!$Q$92*IF('Inputs'!$S$92=1,BI35+BI37+BI43+BI40,BI34+BI36+BI42+BI39)+SUMPRODUCT(('Inputs'!$F$59:$F$70='Inputs'!$B$92)*('Inputs'!$C$59:$C$70&lt;&gt;"Estate")*('Inputs'!$C$59:$C$70&lt;&gt;""),(('Inputs'!$D$59:$D$70-('Inputs'!$P$59:$P$70=BI5)*BI14)-'Inputs'!$R$59:$R$70*ROUND(BI21*('Inputs'!$D$59:$D$70-('Inputs'!$P$59:$P$70=BI5)*BI14),2)))+IF(OR(BI3=1,BI3=2),BI10-ROUND(BI21*BI10,2),0)+IF(AND(BI3=3,BI6='Inputs'!$B$92),BI38,0),2))</f>
      </c>
      <c r="BJ67">
        <f>IF('Inputs'!$B$92="",0,ROUND(IF(BJ31="S",'Inputs'!$O$92*BJ28,IF(BJ31="K",'Inputs'!$L$92*IF('Inputs'!$N$92=1,BJ33,BJ32),0))+'Inputs'!$Q$92*IF('Inputs'!$S$92=1,BJ35+BJ37+BJ43+BJ40,BJ34+BJ36+BJ42+BJ39)+SUMPRODUCT(('Inputs'!$F$59:$F$70='Inputs'!$B$92)*('Inputs'!$C$59:$C$70&lt;&gt;"Estate")*('Inputs'!$C$59:$C$70&lt;&gt;""),(('Inputs'!$D$59:$D$70-('Inputs'!$P$59:$P$70=BJ5)*BJ14)-'Inputs'!$R$59:$R$70*ROUND(BJ21*('Inputs'!$D$59:$D$70-('Inputs'!$P$59:$P$70=BJ5)*BJ14),2)))+IF(OR(BJ3=1,BJ3=2),BJ10-ROUND(BJ21*BJ10,2),0)+IF(AND(BJ3=3,BJ6='Inputs'!$B$92),BJ38,0),2))</f>
      </c>
      <c r="BK67">
        <f>IF('Inputs'!$B$92="",0,ROUND(IF(BK31="S",'Inputs'!$O$92*BK28,IF(BK31="K",'Inputs'!$L$92*IF('Inputs'!$N$92=1,BK33,BK32),0))+'Inputs'!$Q$92*IF('Inputs'!$S$92=1,BK35+BK37+BK43+BK40,BK34+BK36+BK42+BK39)+SUMPRODUCT(('Inputs'!$F$59:$F$70='Inputs'!$B$92)*('Inputs'!$C$59:$C$70&lt;&gt;"Estate")*('Inputs'!$C$59:$C$70&lt;&gt;""),(('Inputs'!$D$59:$D$70-('Inputs'!$P$59:$P$70=BK5)*BK14)-'Inputs'!$R$59:$R$70*ROUND(BK21*('Inputs'!$D$59:$D$70-('Inputs'!$P$59:$P$70=BK5)*BK14),2)))+IF(OR(BK3=1,BK3=2),BK10-ROUND(BK21*BK10,2),0)+IF(AND(BK3=3,BK6='Inputs'!$B$92),BK38,0),2))</f>
      </c>
      <c r="BL67">
        <f>IF('Inputs'!$B$92="",0,ROUND(IF(BL31="S",'Inputs'!$O$92*BL28,IF(BL31="K",'Inputs'!$L$92*IF('Inputs'!$N$92=1,BL33,BL32),0))+'Inputs'!$Q$92*IF('Inputs'!$S$92=1,BL35+BL37+BL43+BL40,BL34+BL36+BL42+BL39)+SUMPRODUCT(('Inputs'!$F$59:$F$70='Inputs'!$B$92)*('Inputs'!$C$59:$C$70&lt;&gt;"Estate")*('Inputs'!$C$59:$C$70&lt;&gt;""),(('Inputs'!$D$59:$D$70-('Inputs'!$P$59:$P$70=BL5)*BL14)-'Inputs'!$R$59:$R$70*ROUND(BL21*('Inputs'!$D$59:$D$70-('Inputs'!$P$59:$P$70=BL5)*BL14),2)))+IF(OR(BL3=1,BL3=2),BL10-ROUND(BL21*BL10,2),0)+IF(AND(BL3=3,BL6='Inputs'!$B$92),BL38,0),2))</f>
      </c>
      <c r="BM67">
        <f>IF('Inputs'!$B$92="",0,ROUND(IF(BM31="S",'Inputs'!$O$92*BM28,IF(BM31="K",'Inputs'!$L$92*IF('Inputs'!$N$92=1,BM33,BM32),0))+'Inputs'!$Q$92*IF('Inputs'!$S$92=1,BM35+BM37+BM43+BM40,BM34+BM36+BM42+BM39)+SUMPRODUCT(('Inputs'!$F$59:$F$70='Inputs'!$B$92)*('Inputs'!$C$59:$C$70&lt;&gt;"Estate")*('Inputs'!$C$59:$C$70&lt;&gt;""),(('Inputs'!$D$59:$D$70-('Inputs'!$P$59:$P$70=BM5)*BM14)-'Inputs'!$R$59:$R$70*ROUND(BM21*('Inputs'!$D$59:$D$70-('Inputs'!$P$59:$P$70=BM5)*BM14),2)))+IF(OR(BM3=1,BM3=2),BM10-ROUND(BM21*BM10,2),0)+IF(AND(BM3=3,BM6='Inputs'!$B$92),BM38,0),2))</f>
      </c>
      <c r="BN67">
        <f>IF('Inputs'!$B$92="",0,ROUND(IF(BN31="S",'Inputs'!$O$92*BN28,IF(BN31="K",'Inputs'!$L$92*IF('Inputs'!$N$92=1,BN33,BN32),0))+'Inputs'!$Q$92*IF('Inputs'!$S$92=1,BN35+BN37+BN43+BN40,BN34+BN36+BN42+BN39)+SUMPRODUCT(('Inputs'!$F$59:$F$70='Inputs'!$B$92)*('Inputs'!$C$59:$C$70&lt;&gt;"Estate")*('Inputs'!$C$59:$C$70&lt;&gt;""),(('Inputs'!$D$59:$D$70-('Inputs'!$P$59:$P$70=BN5)*BN14)-'Inputs'!$R$59:$R$70*ROUND(BN21*('Inputs'!$D$59:$D$70-('Inputs'!$P$59:$P$70=BN5)*BN14),2)))+IF(OR(BN3=1,BN3=2),BN10-ROUND(BN21*BN10,2),0)+IF(AND(BN3=3,BN6='Inputs'!$B$92),BN38,0),2))</f>
      </c>
      <c r="BO67">
        <f>IF('Inputs'!$B$92="",0,ROUND(IF(BO31="S",'Inputs'!$O$92*BO28,IF(BO31="K",'Inputs'!$L$92*IF('Inputs'!$N$92=1,BO33,BO32),0))+'Inputs'!$Q$92*IF('Inputs'!$S$92=1,BO35+BO37+BO43+BO40,BO34+BO36+BO42+BO39)+SUMPRODUCT(('Inputs'!$F$59:$F$70='Inputs'!$B$92)*('Inputs'!$C$59:$C$70&lt;&gt;"Estate")*('Inputs'!$C$59:$C$70&lt;&gt;""),(('Inputs'!$D$59:$D$70-('Inputs'!$P$59:$P$70=BO5)*BO14)-'Inputs'!$R$59:$R$70*ROUND(BO21*('Inputs'!$D$59:$D$70-('Inputs'!$P$59:$P$70=BO5)*BO14),2)))+IF(OR(BO3=1,BO3=2),BO10-ROUND(BO21*BO10,2),0)+IF(AND(BO3=3,BO6='Inputs'!$B$92),BO38,0),2))</f>
      </c>
      <c r="BP67">
        <f>IF('Inputs'!$B$92="",0,ROUND(IF(BP31="S",'Inputs'!$O$92*BP28,IF(BP31="K",'Inputs'!$L$92*IF('Inputs'!$N$92=1,BP33,BP32),0))+'Inputs'!$Q$92*IF('Inputs'!$S$92=1,BP35+BP37+BP43+BP40,BP34+BP36+BP42+BP39)+SUMPRODUCT(('Inputs'!$F$59:$F$70='Inputs'!$B$92)*('Inputs'!$C$59:$C$70&lt;&gt;"Estate")*('Inputs'!$C$59:$C$70&lt;&gt;""),(('Inputs'!$D$59:$D$70-('Inputs'!$P$59:$P$70=BP5)*BP14)-'Inputs'!$R$59:$R$70*ROUND(BP21*('Inputs'!$D$59:$D$70-('Inputs'!$P$59:$P$70=BP5)*BP14),2)))+IF(OR(BP3=1,BP3=2),BP10-ROUND(BP21*BP10,2),0)+IF(AND(BP3=3,BP6='Inputs'!$B$92),BP38,0),2))</f>
      </c>
      <c r="BQ67">
        <f>IF('Inputs'!$B$92="",0,ROUND(IF(BQ31="S",'Inputs'!$O$92*BQ28,IF(BQ31="K",'Inputs'!$L$92*IF('Inputs'!$N$92=1,BQ33,BQ32),0))+'Inputs'!$Q$92*IF('Inputs'!$S$92=1,BQ35+BQ37+BQ43+BQ40,BQ34+BQ36+BQ42+BQ39)+SUMPRODUCT(('Inputs'!$F$59:$F$70='Inputs'!$B$92)*('Inputs'!$C$59:$C$70&lt;&gt;"Estate")*('Inputs'!$C$59:$C$70&lt;&gt;""),(('Inputs'!$D$59:$D$70-('Inputs'!$P$59:$P$70=BQ5)*BQ14)-'Inputs'!$R$59:$R$70*ROUND(BQ21*('Inputs'!$D$59:$D$70-('Inputs'!$P$59:$P$70=BQ5)*BQ14),2)))+IF(OR(BQ3=1,BQ3=2),BQ10-ROUND(BQ21*BQ10,2),0)+IF(AND(BQ3=3,BQ6='Inputs'!$B$92),BQ38,0),2))</f>
      </c>
      <c r="BR67">
        <f>IF('Inputs'!$B$92="",0,ROUND(IF(BR31="S",'Inputs'!$O$92*BR28,IF(BR31="K",'Inputs'!$L$92*IF('Inputs'!$N$92=1,BR33,BR32),0))+'Inputs'!$Q$92*IF('Inputs'!$S$92=1,BR35+BR37+BR43+BR40,BR34+BR36+BR42+BR39)+SUMPRODUCT(('Inputs'!$F$59:$F$70='Inputs'!$B$92)*('Inputs'!$C$59:$C$70&lt;&gt;"Estate")*('Inputs'!$C$59:$C$70&lt;&gt;""),(('Inputs'!$D$59:$D$70-('Inputs'!$P$59:$P$70=BR5)*BR14)-'Inputs'!$R$59:$R$70*ROUND(BR21*('Inputs'!$D$59:$D$70-('Inputs'!$P$59:$P$70=BR5)*BR14),2)))+IF(OR(BR3=1,BR3=2),BR10-ROUND(BR21*BR10,2),0)+IF(AND(BR3=3,BR6='Inputs'!$B$92),BR38,0),2))</f>
      </c>
      <c r="BS67">
        <f>IF('Inputs'!$B$92="",0,ROUND(IF(BS31="S",'Inputs'!$O$92*BS28,IF(BS31="K",'Inputs'!$L$92*IF('Inputs'!$N$92=1,BS33,BS32),0))+'Inputs'!$Q$92*IF('Inputs'!$S$92=1,BS35+BS37+BS43+BS40,BS34+BS36+BS42+BS39)+SUMPRODUCT(('Inputs'!$F$59:$F$70='Inputs'!$B$92)*('Inputs'!$C$59:$C$70&lt;&gt;"Estate")*('Inputs'!$C$59:$C$70&lt;&gt;""),(('Inputs'!$D$59:$D$70-('Inputs'!$P$59:$P$70=BS5)*BS14)-'Inputs'!$R$59:$R$70*ROUND(BS21*('Inputs'!$D$59:$D$70-('Inputs'!$P$59:$P$70=BS5)*BS14),2)))+IF(OR(BS3=1,BS3=2),BS10-ROUND(BS21*BS10,2),0)+IF(AND(BS3=3,BS6='Inputs'!$B$92),BS38,0),2))</f>
      </c>
    </row>
    <row r="68" spans="2:71" x14ac:dyDescent="0.25">
      <c r="B68" t="s">
        <v>387</v>
      </c>
      <c r="C68">
        <f>'Needs years'!$C$174+'Needs years'!$C$181+C67*('Inputs'!$C$122/100*('Inputs'!$H$110/100+'Inputs'!$C$120/100*'Inputs'!$H$112/100))</f>
      </c>
      <c r="E68">
        <f>'Needs years'!$C$174+'Needs years'!$C$181+E67*('Inputs'!$C$122/100*('Inputs'!$H$110/100+'Inputs'!$C$120/100*'Inputs'!$H$112/100))</f>
      </c>
      <c r="F68">
        <f>'Needs years'!$C$174+'Needs years'!$C$181+F67*('Inputs'!$C$122/100*('Inputs'!$H$110/100+'Inputs'!$C$120/100*'Inputs'!$H$112/100))</f>
      </c>
      <c r="G68">
        <f>'Needs years'!$C$174+'Needs years'!$C$181+G67*('Inputs'!$C$122/100*('Inputs'!$H$110/100+'Inputs'!$C$120/100*'Inputs'!$H$112/100))</f>
      </c>
      <c r="H68">
        <f>'Needs years'!$C$174+'Needs years'!$C$181+H67*('Inputs'!$C$122/100*('Inputs'!$H$110/100+'Inputs'!$C$120/100*'Inputs'!$H$112/100))</f>
      </c>
      <c r="I68">
        <f>'Needs years'!$C$174+'Needs years'!$C$181+I67*('Inputs'!$C$122/100*('Inputs'!$H$110/100+'Inputs'!$C$120/100*'Inputs'!$H$112/100))</f>
      </c>
      <c r="J68">
        <f>'Needs years'!$C$174+'Needs years'!$C$181+J67*('Inputs'!$C$122/100*('Inputs'!$H$110/100+'Inputs'!$C$120/100*'Inputs'!$H$112/100))</f>
      </c>
      <c r="K68">
        <f>'Needs years'!$C$174+'Needs years'!$C$181+K67*('Inputs'!$C$122/100*('Inputs'!$H$110/100+'Inputs'!$C$120/100*'Inputs'!$H$112/100))</f>
      </c>
      <c r="L68">
        <f>'Needs years'!$C$174+'Needs years'!$C$181+L67*('Inputs'!$C$122/100*('Inputs'!$H$110/100+'Inputs'!$C$120/100*'Inputs'!$H$112/100))</f>
      </c>
      <c r="M68">
        <f>'Needs years'!$C$174+'Needs years'!$C$181+M67*('Inputs'!$C$122/100*('Inputs'!$H$110/100+'Inputs'!$C$120/100*'Inputs'!$H$112/100))</f>
      </c>
      <c r="N68">
        <f>'Needs years'!$C$174+'Needs years'!$C$181+N67*('Inputs'!$C$122/100*('Inputs'!$H$110/100+'Inputs'!$C$120/100*'Inputs'!$H$112/100))</f>
      </c>
      <c r="O68">
        <f>'Needs years'!$C$174+'Needs years'!$C$181+O67*('Inputs'!$C$122/100*('Inputs'!$H$110/100+'Inputs'!$C$120/100*'Inputs'!$H$112/100))</f>
      </c>
      <c r="P68">
        <f>'Needs years'!$C$174+'Needs years'!$C$181+P67*('Inputs'!$C$122/100*('Inputs'!$H$110/100+'Inputs'!$C$120/100*'Inputs'!$H$112/100))</f>
      </c>
      <c r="Q68">
        <f>'Needs years'!$C$174+'Needs years'!$C$181+Q67*('Inputs'!$C$122/100*('Inputs'!$H$110/100+'Inputs'!$C$120/100*'Inputs'!$H$112/100))</f>
      </c>
      <c r="R68">
        <f>'Needs years'!$C$174+'Needs years'!$C$181+R67*('Inputs'!$C$122/100*('Inputs'!$H$110/100+'Inputs'!$C$120/100*'Inputs'!$H$112/100))</f>
      </c>
      <c r="S68">
        <f>'Needs years'!$C$174+'Needs years'!$C$181+S67*('Inputs'!$C$122/100*('Inputs'!$H$110/100+'Inputs'!$C$120/100*'Inputs'!$H$112/100))</f>
      </c>
      <c r="T68">
        <f>'Needs years'!$C$174+'Needs years'!$C$181+T67*('Inputs'!$C$122/100*('Inputs'!$H$110/100+'Inputs'!$C$120/100*'Inputs'!$H$112/100))</f>
      </c>
      <c r="V68">
        <f>'Needs years'!$C$174+'Needs years'!$C$181+V67*('Inputs'!$C$122/100*('Inputs'!$H$110/100+'Inputs'!$C$120/100*'Inputs'!$H$112/100))</f>
      </c>
      <c r="W68">
        <f>'Needs years'!$C$174+'Needs years'!$C$181+W67*('Inputs'!$C$122/100*('Inputs'!$H$110/100+'Inputs'!$C$120/100*'Inputs'!$H$112/100))</f>
      </c>
      <c r="X68">
        <f>'Needs years'!$C$174+'Needs years'!$C$181+X67*('Inputs'!$C$122/100*('Inputs'!$H$110/100+'Inputs'!$C$120/100*'Inputs'!$H$112/100))</f>
      </c>
      <c r="Y68">
        <f>'Needs years'!$C$174+'Needs years'!$C$181+Y67*('Inputs'!$C$122/100*('Inputs'!$H$110/100+'Inputs'!$C$120/100*'Inputs'!$H$112/100))</f>
      </c>
      <c r="Z68">
        <f>'Needs years'!$C$174+'Needs years'!$C$181+Z67*('Inputs'!$C$122/100*('Inputs'!$H$110/100+'Inputs'!$C$120/100*'Inputs'!$H$112/100))</f>
      </c>
      <c r="AA68">
        <f>'Needs years'!$C$174+'Needs years'!$C$181+AA67*('Inputs'!$C$122/100*('Inputs'!$H$110/100+'Inputs'!$C$120/100*'Inputs'!$H$112/100))</f>
      </c>
      <c r="AB68">
        <f>'Needs years'!$C$174+'Needs years'!$C$181+AB67*('Inputs'!$C$122/100*('Inputs'!$H$110/100+'Inputs'!$C$120/100*'Inputs'!$H$112/100))</f>
      </c>
      <c r="AC68">
        <f>'Needs years'!$C$174+'Needs years'!$C$181+AC67*('Inputs'!$C$122/100*('Inputs'!$H$110/100+'Inputs'!$C$120/100*'Inputs'!$H$112/100))</f>
      </c>
      <c r="AD68">
        <f>'Needs years'!$C$174+'Needs years'!$C$181+AD67*('Inputs'!$C$122/100*('Inputs'!$H$110/100+'Inputs'!$C$120/100*'Inputs'!$H$112/100))</f>
      </c>
      <c r="AE68">
        <f>'Needs years'!$C$174+'Needs years'!$C$181+AE67*('Inputs'!$C$122/100*('Inputs'!$H$110/100+'Inputs'!$C$120/100*'Inputs'!$H$112/100))</f>
      </c>
      <c r="AF68">
        <f>'Needs years'!$C$174+'Needs years'!$C$181+AF67*('Inputs'!$C$122/100*('Inputs'!$H$110/100+'Inputs'!$C$120/100*'Inputs'!$H$112/100))</f>
      </c>
      <c r="AG68">
        <f>'Needs years'!$C$174+'Needs years'!$C$181+AG67*('Inputs'!$C$122/100*('Inputs'!$H$110/100+'Inputs'!$C$120/100*'Inputs'!$H$112/100))</f>
      </c>
      <c r="AH68">
        <f>'Needs years'!$C$174+'Needs years'!$C$181+AH67*('Inputs'!$C$122/100*('Inputs'!$H$110/100+'Inputs'!$C$120/100*'Inputs'!$H$112/100))</f>
      </c>
      <c r="AI68">
        <f>'Needs years'!$C$174+'Needs years'!$C$181+AI67*('Inputs'!$C$122/100*('Inputs'!$H$110/100+'Inputs'!$C$120/100*'Inputs'!$H$112/100))</f>
      </c>
      <c r="AJ68">
        <f>'Needs years'!$C$174+'Needs years'!$C$181+AJ67*('Inputs'!$C$122/100*('Inputs'!$H$110/100+'Inputs'!$C$120/100*'Inputs'!$H$112/100))</f>
      </c>
      <c r="AK68">
        <f>'Needs years'!$C$174+'Needs years'!$C$181+AK67*('Inputs'!$C$122/100*('Inputs'!$H$110/100+'Inputs'!$C$120/100*'Inputs'!$H$112/100))</f>
      </c>
      <c r="AM68">
        <f>'Needs years'!$C$174+'Needs years'!$C$181+AM67*('Inputs'!$C$122/100*('Inputs'!$H$110/100+'Inputs'!$C$120/100*'Inputs'!$H$112/100))</f>
      </c>
      <c r="AN68">
        <f>'Needs years'!$C$174+'Needs years'!$C$181+AN67*('Inputs'!$C$122/100*('Inputs'!$H$110/100+'Inputs'!$C$120/100*'Inputs'!$H$112/100))</f>
      </c>
      <c r="AO68">
        <f>'Needs years'!$C$174+'Needs years'!$C$181+AO67*('Inputs'!$C$122/100*('Inputs'!$H$110/100+'Inputs'!$C$120/100*'Inputs'!$H$112/100))</f>
      </c>
      <c r="AP68">
        <f>'Needs years'!$C$174+'Needs years'!$C$181+AP67*('Inputs'!$C$122/100*('Inputs'!$H$110/100+'Inputs'!$C$120/100*'Inputs'!$H$112/100))</f>
      </c>
      <c r="AQ68">
        <f>'Needs years'!$C$174+'Needs years'!$C$181+AQ67*('Inputs'!$C$122/100*('Inputs'!$H$110/100+'Inputs'!$C$120/100*'Inputs'!$H$112/100))</f>
      </c>
      <c r="AR68">
        <f>'Needs years'!$C$174+'Needs years'!$C$181+AR67*('Inputs'!$C$122/100*('Inputs'!$H$110/100+'Inputs'!$C$120/100*'Inputs'!$H$112/100))</f>
      </c>
      <c r="AS68">
        <f>'Needs years'!$C$174+'Needs years'!$C$181+AS67*('Inputs'!$C$122/100*('Inputs'!$H$110/100+'Inputs'!$C$120/100*'Inputs'!$H$112/100))</f>
      </c>
      <c r="AT68">
        <f>'Needs years'!$C$174+'Needs years'!$C$181+AT67*('Inputs'!$C$122/100*('Inputs'!$H$110/100+'Inputs'!$C$120/100*'Inputs'!$H$112/100))</f>
      </c>
      <c r="AU68">
        <f>'Needs years'!$C$174+'Needs years'!$C$181+AU67*('Inputs'!$C$122/100*('Inputs'!$H$110/100+'Inputs'!$C$120/100*'Inputs'!$H$112/100))</f>
      </c>
      <c r="AV68">
        <f>'Needs years'!$C$174+'Needs years'!$C$181+AV67*('Inputs'!$C$122/100*('Inputs'!$H$110/100+'Inputs'!$C$120/100*'Inputs'!$H$112/100))</f>
      </c>
      <c r="AW68">
        <f>'Needs years'!$C$174+'Needs years'!$C$181+AW67*('Inputs'!$C$122/100*('Inputs'!$H$110/100+'Inputs'!$C$120/100*'Inputs'!$H$112/100))</f>
      </c>
      <c r="AX68">
        <f>'Needs years'!$C$174+'Needs years'!$C$181+AX67*('Inputs'!$C$122/100*('Inputs'!$H$110/100+'Inputs'!$C$120/100*'Inputs'!$H$112/100))</f>
      </c>
      <c r="AY68">
        <f>'Needs years'!$C$174+'Needs years'!$C$181+AY67*('Inputs'!$C$122/100*('Inputs'!$H$110/100+'Inputs'!$C$120/100*'Inputs'!$H$112/100))</f>
      </c>
      <c r="AZ68">
        <f>'Needs years'!$C$174+'Needs years'!$C$181+AZ67*('Inputs'!$C$122/100*('Inputs'!$H$110/100+'Inputs'!$C$120/100*'Inputs'!$H$112/100))</f>
      </c>
      <c r="BA68">
        <f>'Needs years'!$C$174+'Needs years'!$C$181+BA67*('Inputs'!$C$122/100*('Inputs'!$H$110/100+'Inputs'!$C$120/100*'Inputs'!$H$112/100))</f>
      </c>
      <c r="BB68">
        <f>'Needs years'!$C$174+'Needs years'!$C$181+BB67*('Inputs'!$C$122/100*('Inputs'!$H$110/100+'Inputs'!$C$120/100*'Inputs'!$H$112/100))</f>
      </c>
      <c r="BD68">
        <f>'Needs years'!$C$174+'Needs years'!$C$181+BD67*('Inputs'!$C$122/100*('Inputs'!$H$110/100+'Inputs'!$C$120/100*'Inputs'!$H$112/100))</f>
      </c>
      <c r="BE68">
        <f>'Needs years'!$C$174+'Needs years'!$C$181+BE67*('Inputs'!$C$122/100*('Inputs'!$H$110/100+'Inputs'!$C$120/100*'Inputs'!$H$112/100))</f>
      </c>
      <c r="BF68">
        <f>'Needs years'!$C$174+'Needs years'!$C$181+BF67*('Inputs'!$C$122/100*('Inputs'!$H$110/100+'Inputs'!$C$120/100*'Inputs'!$H$112/100))</f>
      </c>
      <c r="BG68">
        <f>'Needs years'!$C$174+'Needs years'!$C$181+BG67*('Inputs'!$C$122/100*('Inputs'!$H$110/100+'Inputs'!$C$120/100*'Inputs'!$H$112/100))</f>
      </c>
      <c r="BH68">
        <f>'Needs years'!$C$174+'Needs years'!$C$181+BH67*('Inputs'!$C$122/100*('Inputs'!$H$110/100+'Inputs'!$C$120/100*'Inputs'!$H$112/100))</f>
      </c>
      <c r="BI68">
        <f>'Needs years'!$C$174+'Needs years'!$C$181+BI67*('Inputs'!$C$122/100*('Inputs'!$H$110/100+'Inputs'!$C$120/100*'Inputs'!$H$112/100))</f>
      </c>
      <c r="BJ68">
        <f>'Needs years'!$C$174+'Needs years'!$C$181+BJ67*('Inputs'!$C$122/100*('Inputs'!$H$110/100+'Inputs'!$C$120/100*'Inputs'!$H$112/100))</f>
      </c>
      <c r="BK68">
        <f>'Needs years'!$C$174+'Needs years'!$C$181+BK67*('Inputs'!$C$122/100*('Inputs'!$H$110/100+'Inputs'!$C$120/100*'Inputs'!$H$112/100))</f>
      </c>
      <c r="BL68">
        <f>'Needs years'!$C$174+'Needs years'!$C$181+BL67*('Inputs'!$C$122/100*('Inputs'!$H$110/100+'Inputs'!$C$120/100*'Inputs'!$H$112/100))</f>
      </c>
      <c r="BM68">
        <f>'Needs years'!$C$174+'Needs years'!$C$181+BM67*('Inputs'!$C$122/100*('Inputs'!$H$110/100+'Inputs'!$C$120/100*'Inputs'!$H$112/100))</f>
      </c>
      <c r="BN68">
        <f>'Needs years'!$C$174+'Needs years'!$C$181+BN67*('Inputs'!$C$122/100*('Inputs'!$H$110/100+'Inputs'!$C$120/100*'Inputs'!$H$112/100))</f>
      </c>
      <c r="BO68">
        <f>'Needs years'!$C$174+'Needs years'!$C$181+BO67*('Inputs'!$C$122/100*('Inputs'!$H$110/100+'Inputs'!$C$120/100*'Inputs'!$H$112/100))</f>
      </c>
      <c r="BP68">
        <f>'Needs years'!$C$174+'Needs years'!$C$181+BP67*('Inputs'!$C$122/100*('Inputs'!$H$110/100+'Inputs'!$C$120/100*'Inputs'!$H$112/100))</f>
      </c>
      <c r="BQ68">
        <f>'Needs years'!$C$174+'Needs years'!$C$181+BQ67*('Inputs'!$C$122/100*('Inputs'!$H$110/100+'Inputs'!$C$120/100*'Inputs'!$H$112/100))</f>
      </c>
      <c r="BR68">
        <f>'Needs years'!$C$174+'Needs years'!$C$181+BR67*('Inputs'!$C$122/100*('Inputs'!$H$110/100+'Inputs'!$C$120/100*'Inputs'!$H$112/100))</f>
      </c>
      <c r="BS68">
        <f>'Needs years'!$C$174+'Needs years'!$C$181+BS67*('Inputs'!$C$122/100*('Inputs'!$H$110/100+'Inputs'!$C$120/100*'Inputs'!$H$112/100))</f>
      </c>
    </row>
    <row r="69" spans="2:71" x14ac:dyDescent="0.25">
      <c r="B69" t="s">
        <v>388</v>
      </c>
      <c r="C69">
        <f>IF(C68&lt;='Needs years'!$C$173,0,INDEX('Inputs'!$E$125:$E$131,MATCH(C68,'Inputs'!$C$125:$C$131,1)-IF(COUNTIF('Inputs'!$C$125:$C$131,C68)&gt;0,1,0))/100)</f>
      </c>
      <c r="E69">
        <f>IF(E68&lt;='Needs years'!$C$173,0,INDEX('Inputs'!$E$125:$E$131,MATCH(E68,'Inputs'!$C$125:$C$131,1)-IF(COUNTIF('Inputs'!$C$125:$C$131,E68)&gt;0,1,0))/100)</f>
      </c>
      <c r="F69">
        <f>IF(F68&lt;='Needs years'!$C$173,0,INDEX('Inputs'!$E$125:$E$131,MATCH(F68,'Inputs'!$C$125:$C$131,1)-IF(COUNTIF('Inputs'!$C$125:$C$131,F68)&gt;0,1,0))/100)</f>
      </c>
      <c r="G69">
        <f>IF(G68&lt;='Needs years'!$C$173,0,INDEX('Inputs'!$E$125:$E$131,MATCH(G68,'Inputs'!$C$125:$C$131,1)-IF(COUNTIF('Inputs'!$C$125:$C$131,G68)&gt;0,1,0))/100)</f>
      </c>
      <c r="H69">
        <f>IF(H68&lt;='Needs years'!$C$173,0,INDEX('Inputs'!$E$125:$E$131,MATCH(H68,'Inputs'!$C$125:$C$131,1)-IF(COUNTIF('Inputs'!$C$125:$C$131,H68)&gt;0,1,0))/100)</f>
      </c>
      <c r="I69">
        <f>IF(I68&lt;='Needs years'!$C$173,0,INDEX('Inputs'!$E$125:$E$131,MATCH(I68,'Inputs'!$C$125:$C$131,1)-IF(COUNTIF('Inputs'!$C$125:$C$131,I68)&gt;0,1,0))/100)</f>
      </c>
      <c r="J69">
        <f>IF(J68&lt;='Needs years'!$C$173,0,INDEX('Inputs'!$E$125:$E$131,MATCH(J68,'Inputs'!$C$125:$C$131,1)-IF(COUNTIF('Inputs'!$C$125:$C$131,J68)&gt;0,1,0))/100)</f>
      </c>
      <c r="K69">
        <f>IF(K68&lt;='Needs years'!$C$173,0,INDEX('Inputs'!$E$125:$E$131,MATCH(K68,'Inputs'!$C$125:$C$131,1)-IF(COUNTIF('Inputs'!$C$125:$C$131,K68)&gt;0,1,0))/100)</f>
      </c>
      <c r="L69">
        <f>IF(L68&lt;='Needs years'!$C$173,0,INDEX('Inputs'!$E$125:$E$131,MATCH(L68,'Inputs'!$C$125:$C$131,1)-IF(COUNTIF('Inputs'!$C$125:$C$131,L68)&gt;0,1,0))/100)</f>
      </c>
      <c r="M69">
        <f>IF(M68&lt;='Needs years'!$C$173,0,INDEX('Inputs'!$E$125:$E$131,MATCH(M68,'Inputs'!$C$125:$C$131,1)-IF(COUNTIF('Inputs'!$C$125:$C$131,M68)&gt;0,1,0))/100)</f>
      </c>
      <c r="N69">
        <f>IF(N68&lt;='Needs years'!$C$173,0,INDEX('Inputs'!$E$125:$E$131,MATCH(N68,'Inputs'!$C$125:$C$131,1)-IF(COUNTIF('Inputs'!$C$125:$C$131,N68)&gt;0,1,0))/100)</f>
      </c>
      <c r="O69">
        <f>IF(O68&lt;='Needs years'!$C$173,0,INDEX('Inputs'!$E$125:$E$131,MATCH(O68,'Inputs'!$C$125:$C$131,1)-IF(COUNTIF('Inputs'!$C$125:$C$131,O68)&gt;0,1,0))/100)</f>
      </c>
      <c r="P69">
        <f>IF(P68&lt;='Needs years'!$C$173,0,INDEX('Inputs'!$E$125:$E$131,MATCH(P68,'Inputs'!$C$125:$C$131,1)-IF(COUNTIF('Inputs'!$C$125:$C$131,P68)&gt;0,1,0))/100)</f>
      </c>
      <c r="Q69">
        <f>IF(Q68&lt;='Needs years'!$C$173,0,INDEX('Inputs'!$E$125:$E$131,MATCH(Q68,'Inputs'!$C$125:$C$131,1)-IF(COUNTIF('Inputs'!$C$125:$C$131,Q68)&gt;0,1,0))/100)</f>
      </c>
      <c r="R69">
        <f>IF(R68&lt;='Needs years'!$C$173,0,INDEX('Inputs'!$E$125:$E$131,MATCH(R68,'Inputs'!$C$125:$C$131,1)-IF(COUNTIF('Inputs'!$C$125:$C$131,R68)&gt;0,1,0))/100)</f>
      </c>
      <c r="S69">
        <f>IF(S68&lt;='Needs years'!$C$173,0,INDEX('Inputs'!$E$125:$E$131,MATCH(S68,'Inputs'!$C$125:$C$131,1)-IF(COUNTIF('Inputs'!$C$125:$C$131,S68)&gt;0,1,0))/100)</f>
      </c>
      <c r="T69">
        <f>IF(T68&lt;='Needs years'!$C$173,0,INDEX('Inputs'!$E$125:$E$131,MATCH(T68,'Inputs'!$C$125:$C$131,1)-IF(COUNTIF('Inputs'!$C$125:$C$131,T68)&gt;0,1,0))/100)</f>
      </c>
      <c r="V69">
        <f>IF(V68&lt;='Needs years'!$C$173,0,INDEX('Inputs'!$E$125:$E$131,MATCH(V68,'Inputs'!$C$125:$C$131,1)-IF(COUNTIF('Inputs'!$C$125:$C$131,V68)&gt;0,1,0))/100)</f>
      </c>
      <c r="W69">
        <f>IF(W68&lt;='Needs years'!$C$173,0,INDEX('Inputs'!$E$125:$E$131,MATCH(W68,'Inputs'!$C$125:$C$131,1)-IF(COUNTIF('Inputs'!$C$125:$C$131,W68)&gt;0,1,0))/100)</f>
      </c>
      <c r="X69">
        <f>IF(X68&lt;='Needs years'!$C$173,0,INDEX('Inputs'!$E$125:$E$131,MATCH(X68,'Inputs'!$C$125:$C$131,1)-IF(COUNTIF('Inputs'!$C$125:$C$131,X68)&gt;0,1,0))/100)</f>
      </c>
      <c r="Y69">
        <f>IF(Y68&lt;='Needs years'!$C$173,0,INDEX('Inputs'!$E$125:$E$131,MATCH(Y68,'Inputs'!$C$125:$C$131,1)-IF(COUNTIF('Inputs'!$C$125:$C$131,Y68)&gt;0,1,0))/100)</f>
      </c>
      <c r="Z69">
        <f>IF(Z68&lt;='Needs years'!$C$173,0,INDEX('Inputs'!$E$125:$E$131,MATCH(Z68,'Inputs'!$C$125:$C$131,1)-IF(COUNTIF('Inputs'!$C$125:$C$131,Z68)&gt;0,1,0))/100)</f>
      </c>
      <c r="AA69">
        <f>IF(AA68&lt;='Needs years'!$C$173,0,INDEX('Inputs'!$E$125:$E$131,MATCH(AA68,'Inputs'!$C$125:$C$131,1)-IF(COUNTIF('Inputs'!$C$125:$C$131,AA68)&gt;0,1,0))/100)</f>
      </c>
      <c r="AB69">
        <f>IF(AB68&lt;='Needs years'!$C$173,0,INDEX('Inputs'!$E$125:$E$131,MATCH(AB68,'Inputs'!$C$125:$C$131,1)-IF(COUNTIF('Inputs'!$C$125:$C$131,AB68)&gt;0,1,0))/100)</f>
      </c>
      <c r="AC69">
        <f>IF(AC68&lt;='Needs years'!$C$173,0,INDEX('Inputs'!$E$125:$E$131,MATCH(AC68,'Inputs'!$C$125:$C$131,1)-IF(COUNTIF('Inputs'!$C$125:$C$131,AC68)&gt;0,1,0))/100)</f>
      </c>
      <c r="AD69">
        <f>IF(AD68&lt;='Needs years'!$C$173,0,INDEX('Inputs'!$E$125:$E$131,MATCH(AD68,'Inputs'!$C$125:$C$131,1)-IF(COUNTIF('Inputs'!$C$125:$C$131,AD68)&gt;0,1,0))/100)</f>
      </c>
      <c r="AE69">
        <f>IF(AE68&lt;='Needs years'!$C$173,0,INDEX('Inputs'!$E$125:$E$131,MATCH(AE68,'Inputs'!$C$125:$C$131,1)-IF(COUNTIF('Inputs'!$C$125:$C$131,AE68)&gt;0,1,0))/100)</f>
      </c>
      <c r="AF69">
        <f>IF(AF68&lt;='Needs years'!$C$173,0,INDEX('Inputs'!$E$125:$E$131,MATCH(AF68,'Inputs'!$C$125:$C$131,1)-IF(COUNTIF('Inputs'!$C$125:$C$131,AF68)&gt;0,1,0))/100)</f>
      </c>
      <c r="AG69">
        <f>IF(AG68&lt;='Needs years'!$C$173,0,INDEX('Inputs'!$E$125:$E$131,MATCH(AG68,'Inputs'!$C$125:$C$131,1)-IF(COUNTIF('Inputs'!$C$125:$C$131,AG68)&gt;0,1,0))/100)</f>
      </c>
      <c r="AH69">
        <f>IF(AH68&lt;='Needs years'!$C$173,0,INDEX('Inputs'!$E$125:$E$131,MATCH(AH68,'Inputs'!$C$125:$C$131,1)-IF(COUNTIF('Inputs'!$C$125:$C$131,AH68)&gt;0,1,0))/100)</f>
      </c>
      <c r="AI69">
        <f>IF(AI68&lt;='Needs years'!$C$173,0,INDEX('Inputs'!$E$125:$E$131,MATCH(AI68,'Inputs'!$C$125:$C$131,1)-IF(COUNTIF('Inputs'!$C$125:$C$131,AI68)&gt;0,1,0))/100)</f>
      </c>
      <c r="AJ69">
        <f>IF(AJ68&lt;='Needs years'!$C$173,0,INDEX('Inputs'!$E$125:$E$131,MATCH(AJ68,'Inputs'!$C$125:$C$131,1)-IF(COUNTIF('Inputs'!$C$125:$C$131,AJ68)&gt;0,1,0))/100)</f>
      </c>
      <c r="AK69">
        <f>IF(AK68&lt;='Needs years'!$C$173,0,INDEX('Inputs'!$E$125:$E$131,MATCH(AK68,'Inputs'!$C$125:$C$131,1)-IF(COUNTIF('Inputs'!$C$125:$C$131,AK68)&gt;0,1,0))/100)</f>
      </c>
      <c r="AM69">
        <f>IF(AM68&lt;='Needs years'!$C$173,0,INDEX('Inputs'!$E$125:$E$131,MATCH(AM68,'Inputs'!$C$125:$C$131,1)-IF(COUNTIF('Inputs'!$C$125:$C$131,AM68)&gt;0,1,0))/100)</f>
      </c>
      <c r="AN69">
        <f>IF(AN68&lt;='Needs years'!$C$173,0,INDEX('Inputs'!$E$125:$E$131,MATCH(AN68,'Inputs'!$C$125:$C$131,1)-IF(COUNTIF('Inputs'!$C$125:$C$131,AN68)&gt;0,1,0))/100)</f>
      </c>
      <c r="AO69">
        <f>IF(AO68&lt;='Needs years'!$C$173,0,INDEX('Inputs'!$E$125:$E$131,MATCH(AO68,'Inputs'!$C$125:$C$131,1)-IF(COUNTIF('Inputs'!$C$125:$C$131,AO68)&gt;0,1,0))/100)</f>
      </c>
      <c r="AP69">
        <f>IF(AP68&lt;='Needs years'!$C$173,0,INDEX('Inputs'!$E$125:$E$131,MATCH(AP68,'Inputs'!$C$125:$C$131,1)-IF(COUNTIF('Inputs'!$C$125:$C$131,AP68)&gt;0,1,0))/100)</f>
      </c>
      <c r="AQ69">
        <f>IF(AQ68&lt;='Needs years'!$C$173,0,INDEX('Inputs'!$E$125:$E$131,MATCH(AQ68,'Inputs'!$C$125:$C$131,1)-IF(COUNTIF('Inputs'!$C$125:$C$131,AQ68)&gt;0,1,0))/100)</f>
      </c>
      <c r="AR69">
        <f>IF(AR68&lt;='Needs years'!$C$173,0,INDEX('Inputs'!$E$125:$E$131,MATCH(AR68,'Inputs'!$C$125:$C$131,1)-IF(COUNTIF('Inputs'!$C$125:$C$131,AR68)&gt;0,1,0))/100)</f>
      </c>
      <c r="AS69">
        <f>IF(AS68&lt;='Needs years'!$C$173,0,INDEX('Inputs'!$E$125:$E$131,MATCH(AS68,'Inputs'!$C$125:$C$131,1)-IF(COUNTIF('Inputs'!$C$125:$C$131,AS68)&gt;0,1,0))/100)</f>
      </c>
      <c r="AT69">
        <f>IF(AT68&lt;='Needs years'!$C$173,0,INDEX('Inputs'!$E$125:$E$131,MATCH(AT68,'Inputs'!$C$125:$C$131,1)-IF(COUNTIF('Inputs'!$C$125:$C$131,AT68)&gt;0,1,0))/100)</f>
      </c>
      <c r="AU69">
        <f>IF(AU68&lt;='Needs years'!$C$173,0,INDEX('Inputs'!$E$125:$E$131,MATCH(AU68,'Inputs'!$C$125:$C$131,1)-IF(COUNTIF('Inputs'!$C$125:$C$131,AU68)&gt;0,1,0))/100)</f>
      </c>
      <c r="AV69">
        <f>IF(AV68&lt;='Needs years'!$C$173,0,INDEX('Inputs'!$E$125:$E$131,MATCH(AV68,'Inputs'!$C$125:$C$131,1)-IF(COUNTIF('Inputs'!$C$125:$C$131,AV68)&gt;0,1,0))/100)</f>
      </c>
      <c r="AW69">
        <f>IF(AW68&lt;='Needs years'!$C$173,0,INDEX('Inputs'!$E$125:$E$131,MATCH(AW68,'Inputs'!$C$125:$C$131,1)-IF(COUNTIF('Inputs'!$C$125:$C$131,AW68)&gt;0,1,0))/100)</f>
      </c>
      <c r="AX69">
        <f>IF(AX68&lt;='Needs years'!$C$173,0,INDEX('Inputs'!$E$125:$E$131,MATCH(AX68,'Inputs'!$C$125:$C$131,1)-IF(COUNTIF('Inputs'!$C$125:$C$131,AX68)&gt;0,1,0))/100)</f>
      </c>
      <c r="AY69">
        <f>IF(AY68&lt;='Needs years'!$C$173,0,INDEX('Inputs'!$E$125:$E$131,MATCH(AY68,'Inputs'!$C$125:$C$131,1)-IF(COUNTIF('Inputs'!$C$125:$C$131,AY68)&gt;0,1,0))/100)</f>
      </c>
      <c r="AZ69">
        <f>IF(AZ68&lt;='Needs years'!$C$173,0,INDEX('Inputs'!$E$125:$E$131,MATCH(AZ68,'Inputs'!$C$125:$C$131,1)-IF(COUNTIF('Inputs'!$C$125:$C$131,AZ68)&gt;0,1,0))/100)</f>
      </c>
      <c r="BA69">
        <f>IF(BA68&lt;='Needs years'!$C$173,0,INDEX('Inputs'!$E$125:$E$131,MATCH(BA68,'Inputs'!$C$125:$C$131,1)-IF(COUNTIF('Inputs'!$C$125:$C$131,BA68)&gt;0,1,0))/100)</f>
      </c>
      <c r="BB69">
        <f>IF(BB68&lt;='Needs years'!$C$173,0,INDEX('Inputs'!$E$125:$E$131,MATCH(BB68,'Inputs'!$C$125:$C$131,1)-IF(COUNTIF('Inputs'!$C$125:$C$131,BB68)&gt;0,1,0))/100)</f>
      </c>
      <c r="BD69">
        <f>IF(BD68&lt;='Needs years'!$C$173,0,INDEX('Inputs'!$E$125:$E$131,MATCH(BD68,'Inputs'!$C$125:$C$131,1)-IF(COUNTIF('Inputs'!$C$125:$C$131,BD68)&gt;0,1,0))/100)</f>
      </c>
      <c r="BE69">
        <f>IF(BE68&lt;='Needs years'!$C$173,0,INDEX('Inputs'!$E$125:$E$131,MATCH(BE68,'Inputs'!$C$125:$C$131,1)-IF(COUNTIF('Inputs'!$C$125:$C$131,BE68)&gt;0,1,0))/100)</f>
      </c>
      <c r="BF69">
        <f>IF(BF68&lt;='Needs years'!$C$173,0,INDEX('Inputs'!$E$125:$E$131,MATCH(BF68,'Inputs'!$C$125:$C$131,1)-IF(COUNTIF('Inputs'!$C$125:$C$131,BF68)&gt;0,1,0))/100)</f>
      </c>
      <c r="BG69">
        <f>IF(BG68&lt;='Needs years'!$C$173,0,INDEX('Inputs'!$E$125:$E$131,MATCH(BG68,'Inputs'!$C$125:$C$131,1)-IF(COUNTIF('Inputs'!$C$125:$C$131,BG68)&gt;0,1,0))/100)</f>
      </c>
      <c r="BH69">
        <f>IF(BH68&lt;='Needs years'!$C$173,0,INDEX('Inputs'!$E$125:$E$131,MATCH(BH68,'Inputs'!$C$125:$C$131,1)-IF(COUNTIF('Inputs'!$C$125:$C$131,BH68)&gt;0,1,0))/100)</f>
      </c>
      <c r="BI69">
        <f>IF(BI68&lt;='Needs years'!$C$173,0,INDEX('Inputs'!$E$125:$E$131,MATCH(BI68,'Inputs'!$C$125:$C$131,1)-IF(COUNTIF('Inputs'!$C$125:$C$131,BI68)&gt;0,1,0))/100)</f>
      </c>
      <c r="BJ69">
        <f>IF(BJ68&lt;='Needs years'!$C$173,0,INDEX('Inputs'!$E$125:$E$131,MATCH(BJ68,'Inputs'!$C$125:$C$131,1)-IF(COUNTIF('Inputs'!$C$125:$C$131,BJ68)&gt;0,1,0))/100)</f>
      </c>
      <c r="BK69">
        <f>IF(BK68&lt;='Needs years'!$C$173,0,INDEX('Inputs'!$E$125:$E$131,MATCH(BK68,'Inputs'!$C$125:$C$131,1)-IF(COUNTIF('Inputs'!$C$125:$C$131,BK68)&gt;0,1,0))/100)</f>
      </c>
      <c r="BL69">
        <f>IF(BL68&lt;='Needs years'!$C$173,0,INDEX('Inputs'!$E$125:$E$131,MATCH(BL68,'Inputs'!$C$125:$C$131,1)-IF(COUNTIF('Inputs'!$C$125:$C$131,BL68)&gt;0,1,0))/100)</f>
      </c>
      <c r="BM69">
        <f>IF(BM68&lt;='Needs years'!$C$173,0,INDEX('Inputs'!$E$125:$E$131,MATCH(BM68,'Inputs'!$C$125:$C$131,1)-IF(COUNTIF('Inputs'!$C$125:$C$131,BM68)&gt;0,1,0))/100)</f>
      </c>
      <c r="BN69">
        <f>IF(BN68&lt;='Needs years'!$C$173,0,INDEX('Inputs'!$E$125:$E$131,MATCH(BN68,'Inputs'!$C$125:$C$131,1)-IF(COUNTIF('Inputs'!$C$125:$C$131,BN68)&gt;0,1,0))/100)</f>
      </c>
      <c r="BO69">
        <f>IF(BO68&lt;='Needs years'!$C$173,0,INDEX('Inputs'!$E$125:$E$131,MATCH(BO68,'Inputs'!$C$125:$C$131,1)-IF(COUNTIF('Inputs'!$C$125:$C$131,BO68)&gt;0,1,0))/100)</f>
      </c>
      <c r="BP69">
        <f>IF(BP68&lt;='Needs years'!$C$173,0,INDEX('Inputs'!$E$125:$E$131,MATCH(BP68,'Inputs'!$C$125:$C$131,1)-IF(COUNTIF('Inputs'!$C$125:$C$131,BP68)&gt;0,1,0))/100)</f>
      </c>
      <c r="BQ69">
        <f>IF(BQ68&lt;='Needs years'!$C$173,0,INDEX('Inputs'!$E$125:$E$131,MATCH(BQ68,'Inputs'!$C$125:$C$131,1)-IF(COUNTIF('Inputs'!$C$125:$C$131,BQ68)&gt;0,1,0))/100)</f>
      </c>
      <c r="BR69">
        <f>IF(BR68&lt;='Needs years'!$C$173,0,INDEX('Inputs'!$E$125:$E$131,MATCH(BR68,'Inputs'!$C$125:$C$131,1)-IF(COUNTIF('Inputs'!$C$125:$C$131,BR68)&gt;0,1,0))/100)</f>
      </c>
      <c r="BS69">
        <f>IF(BS68&lt;='Needs years'!$C$173,0,INDEX('Inputs'!$E$125:$E$131,MATCH(BS68,'Inputs'!$C$125:$C$131,1)-IF(COUNTIF('Inputs'!$C$125:$C$131,BS68)&gt;0,1,0))/100)</f>
      </c>
    </row>
    <row r="70" spans="2:71" x14ac:dyDescent="0.25">
      <c r="B70" t="s">
        <v>389</v>
      </c>
      <c r="C70">
        <f>('Inputs'!$C$122/100*(1-('Inputs'!$H$110/100*C69+'Inputs'!$H$111/100*'Inputs'!$H$113/100+'Inputs'!$H$112/100*'Inputs'!$C$120/100*C69))-IF('Needs years'!$C$179=1,'Inputs'!$H$108/100,0))</f>
      </c>
      <c r="E70">
        <f>('Inputs'!$C$122/100*(1-('Inputs'!$H$110/100*E69+'Inputs'!$H$111/100*'Inputs'!$H$113/100+'Inputs'!$H$112/100*'Inputs'!$C$120/100*E69))-IF('Needs years'!$C$179=1,'Inputs'!$H$108/100,0))</f>
      </c>
      <c r="F70">
        <f>('Inputs'!$C$122/100*(1-('Inputs'!$H$110/100*F69+'Inputs'!$H$111/100*'Inputs'!$H$113/100+'Inputs'!$H$112/100*'Inputs'!$C$120/100*F69))-IF('Needs years'!$C$179=1,'Inputs'!$H$108/100,0))</f>
      </c>
      <c r="G70">
        <f>('Inputs'!$C$122/100*(1-('Inputs'!$H$110/100*G69+'Inputs'!$H$111/100*'Inputs'!$H$113/100+'Inputs'!$H$112/100*'Inputs'!$C$120/100*G69))-IF('Needs years'!$C$179=1,'Inputs'!$H$108/100,0))</f>
      </c>
      <c r="H70">
        <f>('Inputs'!$C$122/100*(1-('Inputs'!$H$110/100*H69+'Inputs'!$H$111/100*'Inputs'!$H$113/100+'Inputs'!$H$112/100*'Inputs'!$C$120/100*H69))-IF('Needs years'!$C$179=1,'Inputs'!$H$108/100,0))</f>
      </c>
      <c r="I70">
        <f>('Inputs'!$C$122/100*(1-('Inputs'!$H$110/100*I69+'Inputs'!$H$111/100*'Inputs'!$H$113/100+'Inputs'!$H$112/100*'Inputs'!$C$120/100*I69))-IF('Needs years'!$C$179=1,'Inputs'!$H$108/100,0))</f>
      </c>
      <c r="J70">
        <f>('Inputs'!$C$122/100*(1-('Inputs'!$H$110/100*J69+'Inputs'!$H$111/100*'Inputs'!$H$113/100+'Inputs'!$H$112/100*'Inputs'!$C$120/100*J69))-IF('Needs years'!$C$179=1,'Inputs'!$H$108/100,0))</f>
      </c>
      <c r="K70">
        <f>('Inputs'!$C$122/100*(1-('Inputs'!$H$110/100*K69+'Inputs'!$H$111/100*'Inputs'!$H$113/100+'Inputs'!$H$112/100*'Inputs'!$C$120/100*K69))-IF('Needs years'!$C$179=1,'Inputs'!$H$108/100,0))</f>
      </c>
      <c r="L70">
        <f>('Inputs'!$C$122/100*(1-('Inputs'!$H$110/100*L69+'Inputs'!$H$111/100*'Inputs'!$H$113/100+'Inputs'!$H$112/100*'Inputs'!$C$120/100*L69))-IF('Needs years'!$C$179=1,'Inputs'!$H$108/100,0))</f>
      </c>
      <c r="M70">
        <f>('Inputs'!$C$122/100*(1-('Inputs'!$H$110/100*M69+'Inputs'!$H$111/100*'Inputs'!$H$113/100+'Inputs'!$H$112/100*'Inputs'!$C$120/100*M69))-IF('Needs years'!$C$179=1,'Inputs'!$H$108/100,0))</f>
      </c>
      <c r="N70">
        <f>('Inputs'!$C$122/100*(1-('Inputs'!$H$110/100*N69+'Inputs'!$H$111/100*'Inputs'!$H$113/100+'Inputs'!$H$112/100*'Inputs'!$C$120/100*N69))-IF('Needs years'!$C$179=1,'Inputs'!$H$108/100,0))</f>
      </c>
      <c r="O70">
        <f>('Inputs'!$C$122/100*(1-('Inputs'!$H$110/100*O69+'Inputs'!$H$111/100*'Inputs'!$H$113/100+'Inputs'!$H$112/100*'Inputs'!$C$120/100*O69))-IF('Needs years'!$C$179=1,'Inputs'!$H$108/100,0))</f>
      </c>
      <c r="P70">
        <f>('Inputs'!$C$122/100*(1-('Inputs'!$H$110/100*P69+'Inputs'!$H$111/100*'Inputs'!$H$113/100+'Inputs'!$H$112/100*'Inputs'!$C$120/100*P69))-IF('Needs years'!$C$179=1,'Inputs'!$H$108/100,0))</f>
      </c>
      <c r="Q70">
        <f>('Inputs'!$C$122/100*(1-('Inputs'!$H$110/100*Q69+'Inputs'!$H$111/100*'Inputs'!$H$113/100+'Inputs'!$H$112/100*'Inputs'!$C$120/100*Q69))-IF('Needs years'!$C$179=1,'Inputs'!$H$108/100,0))</f>
      </c>
      <c r="R70">
        <f>('Inputs'!$C$122/100*(1-('Inputs'!$H$110/100*R69+'Inputs'!$H$111/100*'Inputs'!$H$113/100+'Inputs'!$H$112/100*'Inputs'!$C$120/100*R69))-IF('Needs years'!$C$179=1,'Inputs'!$H$108/100,0))</f>
      </c>
      <c r="S70">
        <f>('Inputs'!$C$122/100*(1-('Inputs'!$H$110/100*S69+'Inputs'!$H$111/100*'Inputs'!$H$113/100+'Inputs'!$H$112/100*'Inputs'!$C$120/100*S69))-IF('Needs years'!$C$179=1,'Inputs'!$H$108/100,0))</f>
      </c>
      <c r="T70">
        <f>('Inputs'!$C$122/100*(1-('Inputs'!$H$110/100*T69+'Inputs'!$H$111/100*'Inputs'!$H$113/100+'Inputs'!$H$112/100*'Inputs'!$C$120/100*T69))-IF('Needs years'!$C$179=1,'Inputs'!$H$108/100,0))</f>
      </c>
      <c r="V70">
        <f>('Inputs'!$C$122/100*(1-('Inputs'!$H$110/100*V69+'Inputs'!$H$111/100*'Inputs'!$H$113/100+'Inputs'!$H$112/100*'Inputs'!$C$120/100*V69))-IF('Needs years'!$C$179=1,'Inputs'!$H$108/100,0))</f>
      </c>
      <c r="W70">
        <f>('Inputs'!$C$122/100*(1-('Inputs'!$H$110/100*W69+'Inputs'!$H$111/100*'Inputs'!$H$113/100+'Inputs'!$H$112/100*'Inputs'!$C$120/100*W69))-IF('Needs years'!$C$179=1,'Inputs'!$H$108/100,0))</f>
      </c>
      <c r="X70">
        <f>('Inputs'!$C$122/100*(1-('Inputs'!$H$110/100*X69+'Inputs'!$H$111/100*'Inputs'!$H$113/100+'Inputs'!$H$112/100*'Inputs'!$C$120/100*X69))-IF('Needs years'!$C$179=1,'Inputs'!$H$108/100,0))</f>
      </c>
      <c r="Y70">
        <f>('Inputs'!$C$122/100*(1-('Inputs'!$H$110/100*Y69+'Inputs'!$H$111/100*'Inputs'!$H$113/100+'Inputs'!$H$112/100*'Inputs'!$C$120/100*Y69))-IF('Needs years'!$C$179=1,'Inputs'!$H$108/100,0))</f>
      </c>
      <c r="Z70">
        <f>('Inputs'!$C$122/100*(1-('Inputs'!$H$110/100*Z69+'Inputs'!$H$111/100*'Inputs'!$H$113/100+'Inputs'!$H$112/100*'Inputs'!$C$120/100*Z69))-IF('Needs years'!$C$179=1,'Inputs'!$H$108/100,0))</f>
      </c>
      <c r="AA70">
        <f>('Inputs'!$C$122/100*(1-('Inputs'!$H$110/100*AA69+'Inputs'!$H$111/100*'Inputs'!$H$113/100+'Inputs'!$H$112/100*'Inputs'!$C$120/100*AA69))-IF('Needs years'!$C$179=1,'Inputs'!$H$108/100,0))</f>
      </c>
      <c r="AB70">
        <f>('Inputs'!$C$122/100*(1-('Inputs'!$H$110/100*AB69+'Inputs'!$H$111/100*'Inputs'!$H$113/100+'Inputs'!$H$112/100*'Inputs'!$C$120/100*AB69))-IF('Needs years'!$C$179=1,'Inputs'!$H$108/100,0))</f>
      </c>
      <c r="AC70">
        <f>('Inputs'!$C$122/100*(1-('Inputs'!$H$110/100*AC69+'Inputs'!$H$111/100*'Inputs'!$H$113/100+'Inputs'!$H$112/100*'Inputs'!$C$120/100*AC69))-IF('Needs years'!$C$179=1,'Inputs'!$H$108/100,0))</f>
      </c>
      <c r="AD70">
        <f>('Inputs'!$C$122/100*(1-('Inputs'!$H$110/100*AD69+'Inputs'!$H$111/100*'Inputs'!$H$113/100+'Inputs'!$H$112/100*'Inputs'!$C$120/100*AD69))-IF('Needs years'!$C$179=1,'Inputs'!$H$108/100,0))</f>
      </c>
      <c r="AE70">
        <f>('Inputs'!$C$122/100*(1-('Inputs'!$H$110/100*AE69+'Inputs'!$H$111/100*'Inputs'!$H$113/100+'Inputs'!$H$112/100*'Inputs'!$C$120/100*AE69))-IF('Needs years'!$C$179=1,'Inputs'!$H$108/100,0))</f>
      </c>
      <c r="AF70">
        <f>('Inputs'!$C$122/100*(1-('Inputs'!$H$110/100*AF69+'Inputs'!$H$111/100*'Inputs'!$H$113/100+'Inputs'!$H$112/100*'Inputs'!$C$120/100*AF69))-IF('Needs years'!$C$179=1,'Inputs'!$H$108/100,0))</f>
      </c>
      <c r="AG70">
        <f>('Inputs'!$C$122/100*(1-('Inputs'!$H$110/100*AG69+'Inputs'!$H$111/100*'Inputs'!$H$113/100+'Inputs'!$H$112/100*'Inputs'!$C$120/100*AG69))-IF('Needs years'!$C$179=1,'Inputs'!$H$108/100,0))</f>
      </c>
      <c r="AH70">
        <f>('Inputs'!$C$122/100*(1-('Inputs'!$H$110/100*AH69+'Inputs'!$H$111/100*'Inputs'!$H$113/100+'Inputs'!$H$112/100*'Inputs'!$C$120/100*AH69))-IF('Needs years'!$C$179=1,'Inputs'!$H$108/100,0))</f>
      </c>
      <c r="AI70">
        <f>('Inputs'!$C$122/100*(1-('Inputs'!$H$110/100*AI69+'Inputs'!$H$111/100*'Inputs'!$H$113/100+'Inputs'!$H$112/100*'Inputs'!$C$120/100*AI69))-IF('Needs years'!$C$179=1,'Inputs'!$H$108/100,0))</f>
      </c>
      <c r="AJ70">
        <f>('Inputs'!$C$122/100*(1-('Inputs'!$H$110/100*AJ69+'Inputs'!$H$111/100*'Inputs'!$H$113/100+'Inputs'!$H$112/100*'Inputs'!$C$120/100*AJ69))-IF('Needs years'!$C$179=1,'Inputs'!$H$108/100,0))</f>
      </c>
      <c r="AK70">
        <f>('Inputs'!$C$122/100*(1-('Inputs'!$H$110/100*AK69+'Inputs'!$H$111/100*'Inputs'!$H$113/100+'Inputs'!$H$112/100*'Inputs'!$C$120/100*AK69))-IF('Needs years'!$C$179=1,'Inputs'!$H$108/100,0))</f>
      </c>
      <c r="AM70">
        <f>('Inputs'!$C$122/100*(1-('Inputs'!$H$110/100*AM69+'Inputs'!$H$111/100*'Inputs'!$H$113/100+'Inputs'!$H$112/100*'Inputs'!$C$120/100*AM69))-IF('Needs years'!$C$179=1,'Inputs'!$H$108/100,0))</f>
      </c>
      <c r="AN70">
        <f>('Inputs'!$C$122/100*(1-('Inputs'!$H$110/100*AN69+'Inputs'!$H$111/100*'Inputs'!$H$113/100+'Inputs'!$H$112/100*'Inputs'!$C$120/100*AN69))-IF('Needs years'!$C$179=1,'Inputs'!$H$108/100,0))</f>
      </c>
      <c r="AO70">
        <f>('Inputs'!$C$122/100*(1-('Inputs'!$H$110/100*AO69+'Inputs'!$H$111/100*'Inputs'!$H$113/100+'Inputs'!$H$112/100*'Inputs'!$C$120/100*AO69))-IF('Needs years'!$C$179=1,'Inputs'!$H$108/100,0))</f>
      </c>
      <c r="AP70">
        <f>('Inputs'!$C$122/100*(1-('Inputs'!$H$110/100*AP69+'Inputs'!$H$111/100*'Inputs'!$H$113/100+'Inputs'!$H$112/100*'Inputs'!$C$120/100*AP69))-IF('Needs years'!$C$179=1,'Inputs'!$H$108/100,0))</f>
      </c>
      <c r="AQ70">
        <f>('Inputs'!$C$122/100*(1-('Inputs'!$H$110/100*AQ69+'Inputs'!$H$111/100*'Inputs'!$H$113/100+'Inputs'!$H$112/100*'Inputs'!$C$120/100*AQ69))-IF('Needs years'!$C$179=1,'Inputs'!$H$108/100,0))</f>
      </c>
      <c r="AR70">
        <f>('Inputs'!$C$122/100*(1-('Inputs'!$H$110/100*AR69+'Inputs'!$H$111/100*'Inputs'!$H$113/100+'Inputs'!$H$112/100*'Inputs'!$C$120/100*AR69))-IF('Needs years'!$C$179=1,'Inputs'!$H$108/100,0))</f>
      </c>
      <c r="AS70">
        <f>('Inputs'!$C$122/100*(1-('Inputs'!$H$110/100*AS69+'Inputs'!$H$111/100*'Inputs'!$H$113/100+'Inputs'!$H$112/100*'Inputs'!$C$120/100*AS69))-IF('Needs years'!$C$179=1,'Inputs'!$H$108/100,0))</f>
      </c>
      <c r="AT70">
        <f>('Inputs'!$C$122/100*(1-('Inputs'!$H$110/100*AT69+'Inputs'!$H$111/100*'Inputs'!$H$113/100+'Inputs'!$H$112/100*'Inputs'!$C$120/100*AT69))-IF('Needs years'!$C$179=1,'Inputs'!$H$108/100,0))</f>
      </c>
      <c r="AU70">
        <f>('Inputs'!$C$122/100*(1-('Inputs'!$H$110/100*AU69+'Inputs'!$H$111/100*'Inputs'!$H$113/100+'Inputs'!$H$112/100*'Inputs'!$C$120/100*AU69))-IF('Needs years'!$C$179=1,'Inputs'!$H$108/100,0))</f>
      </c>
      <c r="AV70">
        <f>('Inputs'!$C$122/100*(1-('Inputs'!$H$110/100*AV69+'Inputs'!$H$111/100*'Inputs'!$H$113/100+'Inputs'!$H$112/100*'Inputs'!$C$120/100*AV69))-IF('Needs years'!$C$179=1,'Inputs'!$H$108/100,0))</f>
      </c>
      <c r="AW70">
        <f>('Inputs'!$C$122/100*(1-('Inputs'!$H$110/100*AW69+'Inputs'!$H$111/100*'Inputs'!$H$113/100+'Inputs'!$H$112/100*'Inputs'!$C$120/100*AW69))-IF('Needs years'!$C$179=1,'Inputs'!$H$108/100,0))</f>
      </c>
      <c r="AX70">
        <f>('Inputs'!$C$122/100*(1-('Inputs'!$H$110/100*AX69+'Inputs'!$H$111/100*'Inputs'!$H$113/100+'Inputs'!$H$112/100*'Inputs'!$C$120/100*AX69))-IF('Needs years'!$C$179=1,'Inputs'!$H$108/100,0))</f>
      </c>
      <c r="AY70">
        <f>('Inputs'!$C$122/100*(1-('Inputs'!$H$110/100*AY69+'Inputs'!$H$111/100*'Inputs'!$H$113/100+'Inputs'!$H$112/100*'Inputs'!$C$120/100*AY69))-IF('Needs years'!$C$179=1,'Inputs'!$H$108/100,0))</f>
      </c>
      <c r="AZ70">
        <f>('Inputs'!$C$122/100*(1-('Inputs'!$H$110/100*AZ69+'Inputs'!$H$111/100*'Inputs'!$H$113/100+'Inputs'!$H$112/100*'Inputs'!$C$120/100*AZ69))-IF('Needs years'!$C$179=1,'Inputs'!$H$108/100,0))</f>
      </c>
      <c r="BA70">
        <f>('Inputs'!$C$122/100*(1-('Inputs'!$H$110/100*BA69+'Inputs'!$H$111/100*'Inputs'!$H$113/100+'Inputs'!$H$112/100*'Inputs'!$C$120/100*BA69))-IF('Needs years'!$C$179=1,'Inputs'!$H$108/100,0))</f>
      </c>
      <c r="BB70">
        <f>('Inputs'!$C$122/100*(1-('Inputs'!$H$110/100*BB69+'Inputs'!$H$111/100*'Inputs'!$H$113/100+'Inputs'!$H$112/100*'Inputs'!$C$120/100*BB69))-IF('Needs years'!$C$179=1,'Inputs'!$H$108/100,0))</f>
      </c>
      <c r="BD70">
        <f>('Inputs'!$C$122/100*(1-('Inputs'!$H$110/100*BD69+'Inputs'!$H$111/100*'Inputs'!$H$113/100+'Inputs'!$H$112/100*'Inputs'!$C$120/100*BD69))-IF('Needs years'!$C$179=1,'Inputs'!$H$108/100,0))</f>
      </c>
      <c r="BE70">
        <f>('Inputs'!$C$122/100*(1-('Inputs'!$H$110/100*BE69+'Inputs'!$H$111/100*'Inputs'!$H$113/100+'Inputs'!$H$112/100*'Inputs'!$C$120/100*BE69))-IF('Needs years'!$C$179=1,'Inputs'!$H$108/100,0))</f>
      </c>
      <c r="BF70">
        <f>('Inputs'!$C$122/100*(1-('Inputs'!$H$110/100*BF69+'Inputs'!$H$111/100*'Inputs'!$H$113/100+'Inputs'!$H$112/100*'Inputs'!$C$120/100*BF69))-IF('Needs years'!$C$179=1,'Inputs'!$H$108/100,0))</f>
      </c>
      <c r="BG70">
        <f>('Inputs'!$C$122/100*(1-('Inputs'!$H$110/100*BG69+'Inputs'!$H$111/100*'Inputs'!$H$113/100+'Inputs'!$H$112/100*'Inputs'!$C$120/100*BG69))-IF('Needs years'!$C$179=1,'Inputs'!$H$108/100,0))</f>
      </c>
      <c r="BH70">
        <f>('Inputs'!$C$122/100*(1-('Inputs'!$H$110/100*BH69+'Inputs'!$H$111/100*'Inputs'!$H$113/100+'Inputs'!$H$112/100*'Inputs'!$C$120/100*BH69))-IF('Needs years'!$C$179=1,'Inputs'!$H$108/100,0))</f>
      </c>
      <c r="BI70">
        <f>('Inputs'!$C$122/100*(1-('Inputs'!$H$110/100*BI69+'Inputs'!$H$111/100*'Inputs'!$H$113/100+'Inputs'!$H$112/100*'Inputs'!$C$120/100*BI69))-IF('Needs years'!$C$179=1,'Inputs'!$H$108/100,0))</f>
      </c>
      <c r="BJ70">
        <f>('Inputs'!$C$122/100*(1-('Inputs'!$H$110/100*BJ69+'Inputs'!$H$111/100*'Inputs'!$H$113/100+'Inputs'!$H$112/100*'Inputs'!$C$120/100*BJ69))-IF('Needs years'!$C$179=1,'Inputs'!$H$108/100,0))</f>
      </c>
      <c r="BK70">
        <f>('Inputs'!$C$122/100*(1-('Inputs'!$H$110/100*BK69+'Inputs'!$H$111/100*'Inputs'!$H$113/100+'Inputs'!$H$112/100*'Inputs'!$C$120/100*BK69))-IF('Needs years'!$C$179=1,'Inputs'!$H$108/100,0))</f>
      </c>
      <c r="BL70">
        <f>('Inputs'!$C$122/100*(1-('Inputs'!$H$110/100*BL69+'Inputs'!$H$111/100*'Inputs'!$H$113/100+'Inputs'!$H$112/100*'Inputs'!$C$120/100*BL69))-IF('Needs years'!$C$179=1,'Inputs'!$H$108/100,0))</f>
      </c>
      <c r="BM70">
        <f>('Inputs'!$C$122/100*(1-('Inputs'!$H$110/100*BM69+'Inputs'!$H$111/100*'Inputs'!$H$113/100+'Inputs'!$H$112/100*'Inputs'!$C$120/100*BM69))-IF('Needs years'!$C$179=1,'Inputs'!$H$108/100,0))</f>
      </c>
      <c r="BN70">
        <f>('Inputs'!$C$122/100*(1-('Inputs'!$H$110/100*BN69+'Inputs'!$H$111/100*'Inputs'!$H$113/100+'Inputs'!$H$112/100*'Inputs'!$C$120/100*BN69))-IF('Needs years'!$C$179=1,'Inputs'!$H$108/100,0))</f>
      </c>
      <c r="BO70">
        <f>('Inputs'!$C$122/100*(1-('Inputs'!$H$110/100*BO69+'Inputs'!$H$111/100*'Inputs'!$H$113/100+'Inputs'!$H$112/100*'Inputs'!$C$120/100*BO69))-IF('Needs years'!$C$179=1,'Inputs'!$H$108/100,0))</f>
      </c>
      <c r="BP70">
        <f>('Inputs'!$C$122/100*(1-('Inputs'!$H$110/100*BP69+'Inputs'!$H$111/100*'Inputs'!$H$113/100+'Inputs'!$H$112/100*'Inputs'!$C$120/100*BP69))-IF('Needs years'!$C$179=1,'Inputs'!$H$108/100,0))</f>
      </c>
      <c r="BQ70">
        <f>('Inputs'!$C$122/100*(1-('Inputs'!$H$110/100*BQ69+'Inputs'!$H$111/100*'Inputs'!$H$113/100+'Inputs'!$H$112/100*'Inputs'!$C$120/100*BQ69))-IF('Needs years'!$C$179=1,'Inputs'!$H$108/100,0))</f>
      </c>
      <c r="BR70">
        <f>('Inputs'!$C$122/100*(1-('Inputs'!$H$110/100*BR69+'Inputs'!$H$111/100*'Inputs'!$H$113/100+'Inputs'!$H$112/100*'Inputs'!$C$120/100*BR69))-IF('Needs years'!$C$179=1,'Inputs'!$H$108/100,0))</f>
      </c>
      <c r="BS70">
        <f>('Inputs'!$C$122/100*(1-('Inputs'!$H$110/100*BS69+'Inputs'!$H$111/100*'Inputs'!$H$113/100+'Inputs'!$H$112/100*'Inputs'!$C$120/100*BS69))-IF('Needs years'!$C$179=1,'Inputs'!$H$108/100,0))</f>
      </c>
    </row>
    <row r="71" spans="2:71" x14ac:dyDescent="0.25">
      <c r="B71" t="s">
        <v>390</v>
      </c>
      <c r="C71">
        <f>IF('Inputs'!$B$92="",0,IF(AND(C4=1,'Inputs'!$Q$92=1),'Needs years'!$C$182,ROUND(IF(C70=0,SUM('Needs years'!$O$172:$O$221),(1-(1+C70)^-1)/(1-(1+C70)^(-1/12))/12*SUMPRODUCT('Needs years'!$O$172:$O$221,(1+C70)^(-'Needs years'!$I$172:$I$221))),2)))</f>
      </c>
      <c r="E71">
        <f>IF('Inputs'!$B$92="",0,IF(AND(E4=1,'Inputs'!$Q$92=1),'Needs years'!$C$182,ROUND(IF(E70=0,SUM('Needs years'!$O$172:$O$221),(1-(1+E70)^-1)/(1-(1+E70)^(-1/12))/12*SUMPRODUCT('Needs years'!$O$172:$O$221,(1+E70)^(-'Needs years'!$I$172:$I$221))),2)))</f>
      </c>
      <c r="F71">
        <f>IF('Inputs'!$B$92="",0,IF(AND(F4=1,'Inputs'!$Q$92=1),'Needs years'!$C$182,ROUND(IF(F70=0,SUM('Needs years'!$O$172:$O$221),(1-(1+F70)^-1)/(1-(1+F70)^(-1/12))/12*SUMPRODUCT('Needs years'!$O$172:$O$221,(1+F70)^(-'Needs years'!$I$172:$I$221))),2)))</f>
      </c>
      <c r="G71">
        <f>IF('Inputs'!$B$92="",0,IF(AND(G4=1,'Inputs'!$Q$92=1),'Needs years'!$C$182,ROUND(IF(G70=0,SUM('Needs years'!$O$172:$O$221),(1-(1+G70)^-1)/(1-(1+G70)^(-1/12))/12*SUMPRODUCT('Needs years'!$O$172:$O$221,(1+G70)^(-'Needs years'!$I$172:$I$221))),2)))</f>
      </c>
      <c r="H71">
        <f>IF('Inputs'!$B$92="",0,IF(AND(H4=1,'Inputs'!$Q$92=1),'Needs years'!$C$182,ROUND(IF(H70=0,SUM('Needs years'!$O$172:$O$221),(1-(1+H70)^-1)/(1-(1+H70)^(-1/12))/12*SUMPRODUCT('Needs years'!$O$172:$O$221,(1+H70)^(-'Needs years'!$I$172:$I$221))),2)))</f>
      </c>
      <c r="I71">
        <f>IF('Inputs'!$B$92="",0,IF(AND(I4=1,'Inputs'!$Q$92=1),'Needs years'!$C$182,ROUND(IF(I70=0,SUM('Needs years'!$O$172:$O$221),(1-(1+I70)^-1)/(1-(1+I70)^(-1/12))/12*SUMPRODUCT('Needs years'!$O$172:$O$221,(1+I70)^(-'Needs years'!$I$172:$I$221))),2)))</f>
      </c>
      <c r="J71">
        <f>IF('Inputs'!$B$92="",0,IF(AND(J4=1,'Inputs'!$Q$92=1),'Needs years'!$C$182,ROUND(IF(J70=0,SUM('Needs years'!$O$172:$O$221),(1-(1+J70)^-1)/(1-(1+J70)^(-1/12))/12*SUMPRODUCT('Needs years'!$O$172:$O$221,(1+J70)^(-'Needs years'!$I$172:$I$221))),2)))</f>
      </c>
      <c r="K71">
        <f>IF('Inputs'!$B$92="",0,IF(AND(K4=1,'Inputs'!$Q$92=1),'Needs years'!$C$182,ROUND(IF(K70=0,SUM('Needs years'!$O$172:$O$221),(1-(1+K70)^-1)/(1-(1+K70)^(-1/12))/12*SUMPRODUCT('Needs years'!$O$172:$O$221,(1+K70)^(-'Needs years'!$I$172:$I$221))),2)))</f>
      </c>
      <c r="L71">
        <f>IF('Inputs'!$B$92="",0,IF(AND(L4=1,'Inputs'!$Q$92=1),'Needs years'!$C$182,ROUND(IF(L70=0,SUM('Needs years'!$O$172:$O$221),(1-(1+L70)^-1)/(1-(1+L70)^(-1/12))/12*SUMPRODUCT('Needs years'!$O$172:$O$221,(1+L70)^(-'Needs years'!$I$172:$I$221))),2)))</f>
      </c>
      <c r="M71">
        <f>IF('Inputs'!$B$92="",0,IF(AND(M4=1,'Inputs'!$Q$92=1),'Needs years'!$C$182,ROUND(IF(M70=0,SUM('Needs years'!$O$172:$O$221),(1-(1+M70)^-1)/(1-(1+M70)^(-1/12))/12*SUMPRODUCT('Needs years'!$O$172:$O$221,(1+M70)^(-'Needs years'!$I$172:$I$221))),2)))</f>
      </c>
      <c r="N71">
        <f>IF('Inputs'!$B$92="",0,IF(AND(N4=1,'Inputs'!$Q$92=1),'Needs years'!$C$182,ROUND(IF(N70=0,SUM('Needs years'!$O$172:$O$221),(1-(1+N70)^-1)/(1-(1+N70)^(-1/12))/12*SUMPRODUCT('Needs years'!$O$172:$O$221,(1+N70)^(-'Needs years'!$I$172:$I$221))),2)))</f>
      </c>
      <c r="O71">
        <f>IF('Inputs'!$B$92="",0,IF(AND(O4=1,'Inputs'!$Q$92=1),'Needs years'!$C$182,ROUND(IF(O70=0,SUM('Needs years'!$O$172:$O$221),(1-(1+O70)^-1)/(1-(1+O70)^(-1/12))/12*SUMPRODUCT('Needs years'!$O$172:$O$221,(1+O70)^(-'Needs years'!$I$172:$I$221))),2)))</f>
      </c>
      <c r="P71">
        <f>IF('Inputs'!$B$92="",0,IF(AND(P4=1,'Inputs'!$Q$92=1),'Needs years'!$C$182,ROUND(IF(P70=0,SUM('Needs years'!$O$172:$O$221),(1-(1+P70)^-1)/(1-(1+P70)^(-1/12))/12*SUMPRODUCT('Needs years'!$O$172:$O$221,(1+P70)^(-'Needs years'!$I$172:$I$221))),2)))</f>
      </c>
      <c r="Q71">
        <f>IF('Inputs'!$B$92="",0,IF(AND(Q4=1,'Inputs'!$Q$92=1),'Needs years'!$C$182,ROUND(IF(Q70=0,SUM('Needs years'!$O$172:$O$221),(1-(1+Q70)^-1)/(1-(1+Q70)^(-1/12))/12*SUMPRODUCT('Needs years'!$O$172:$O$221,(1+Q70)^(-'Needs years'!$I$172:$I$221))),2)))</f>
      </c>
      <c r="R71">
        <f>IF('Inputs'!$B$92="",0,IF(AND(R4=1,'Inputs'!$Q$92=1),'Needs years'!$C$182,ROUND(IF(R70=0,SUM('Needs years'!$O$172:$O$221),(1-(1+R70)^-1)/(1-(1+R70)^(-1/12))/12*SUMPRODUCT('Needs years'!$O$172:$O$221,(1+R70)^(-'Needs years'!$I$172:$I$221))),2)))</f>
      </c>
      <c r="S71">
        <f>IF('Inputs'!$B$92="",0,IF(AND(S4=1,'Inputs'!$Q$92=1),'Needs years'!$C$182,ROUND(IF(S70=0,SUM('Needs years'!$O$172:$O$221),(1-(1+S70)^-1)/(1-(1+S70)^(-1/12))/12*SUMPRODUCT('Needs years'!$O$172:$O$221,(1+S70)^(-'Needs years'!$I$172:$I$221))),2)))</f>
      </c>
      <c r="T71">
        <f>IF('Inputs'!$B$92="",0,IF(AND(T4=1,'Inputs'!$Q$92=1),'Needs years'!$C$182,ROUND(IF(T70=0,SUM('Needs years'!$O$172:$O$221),(1-(1+T70)^-1)/(1-(1+T70)^(-1/12))/12*SUMPRODUCT('Needs years'!$O$172:$O$221,(1+T70)^(-'Needs years'!$I$172:$I$221))),2)))</f>
      </c>
      <c r="V71">
        <f>IF('Inputs'!$B$92="",0,IF(AND(V4=1,'Inputs'!$Q$92=1),'Needs years'!$C$182,ROUND(IF(V70=0,SUM('Needs years'!$O$172:$O$221),(1-(1+V70)^-1)/(1-(1+V70)^(-1/12))/12*SUMPRODUCT('Needs years'!$O$172:$O$221,(1+V70)^(-'Needs years'!$I$172:$I$221))),2)))</f>
      </c>
      <c r="W71">
        <f>IF('Inputs'!$B$92="",0,IF(AND(W4=1,'Inputs'!$Q$92=1),'Needs years'!$C$182,ROUND(IF(W70=0,SUM('Needs years'!$O$172:$O$221),(1-(1+W70)^-1)/(1-(1+W70)^(-1/12))/12*SUMPRODUCT('Needs years'!$O$172:$O$221,(1+W70)^(-'Needs years'!$I$172:$I$221))),2)))</f>
      </c>
      <c r="X71">
        <f>IF('Inputs'!$B$92="",0,IF(AND(X4=1,'Inputs'!$Q$92=1),'Needs years'!$C$182,ROUND(IF(X70=0,SUM('Needs years'!$O$172:$O$221),(1-(1+X70)^-1)/(1-(1+X70)^(-1/12))/12*SUMPRODUCT('Needs years'!$O$172:$O$221,(1+X70)^(-'Needs years'!$I$172:$I$221))),2)))</f>
      </c>
      <c r="Y71">
        <f>IF('Inputs'!$B$92="",0,IF(AND(Y4=1,'Inputs'!$Q$92=1),'Needs years'!$C$182,ROUND(IF(Y70=0,SUM('Needs years'!$O$172:$O$221),(1-(1+Y70)^-1)/(1-(1+Y70)^(-1/12))/12*SUMPRODUCT('Needs years'!$O$172:$O$221,(1+Y70)^(-'Needs years'!$I$172:$I$221))),2)))</f>
      </c>
      <c r="Z71">
        <f>IF('Inputs'!$B$92="",0,IF(AND(Z4=1,'Inputs'!$Q$92=1),'Needs years'!$C$182,ROUND(IF(Z70=0,SUM('Needs years'!$O$172:$O$221),(1-(1+Z70)^-1)/(1-(1+Z70)^(-1/12))/12*SUMPRODUCT('Needs years'!$O$172:$O$221,(1+Z70)^(-'Needs years'!$I$172:$I$221))),2)))</f>
      </c>
      <c r="AA71">
        <f>IF('Inputs'!$B$92="",0,IF(AND(AA4=1,'Inputs'!$Q$92=1),'Needs years'!$C$182,ROUND(IF(AA70=0,SUM('Needs years'!$O$172:$O$221),(1-(1+AA70)^-1)/(1-(1+AA70)^(-1/12))/12*SUMPRODUCT('Needs years'!$O$172:$O$221,(1+AA70)^(-'Needs years'!$I$172:$I$221))),2)))</f>
      </c>
      <c r="AB71">
        <f>IF('Inputs'!$B$92="",0,IF(AND(AB4=1,'Inputs'!$Q$92=1),'Needs years'!$C$182,ROUND(IF(AB70=0,SUM('Needs years'!$O$172:$O$221),(1-(1+AB70)^-1)/(1-(1+AB70)^(-1/12))/12*SUMPRODUCT('Needs years'!$O$172:$O$221,(1+AB70)^(-'Needs years'!$I$172:$I$221))),2)))</f>
      </c>
      <c r="AC71">
        <f>IF('Inputs'!$B$92="",0,IF(AND(AC4=1,'Inputs'!$Q$92=1),'Needs years'!$C$182,ROUND(IF(AC70=0,SUM('Needs years'!$O$172:$O$221),(1-(1+AC70)^-1)/(1-(1+AC70)^(-1/12))/12*SUMPRODUCT('Needs years'!$O$172:$O$221,(1+AC70)^(-'Needs years'!$I$172:$I$221))),2)))</f>
      </c>
      <c r="AD71">
        <f>IF('Inputs'!$B$92="",0,IF(AND(AD4=1,'Inputs'!$Q$92=1),'Needs years'!$C$182,ROUND(IF(AD70=0,SUM('Needs years'!$O$172:$O$221),(1-(1+AD70)^-1)/(1-(1+AD70)^(-1/12))/12*SUMPRODUCT('Needs years'!$O$172:$O$221,(1+AD70)^(-'Needs years'!$I$172:$I$221))),2)))</f>
      </c>
      <c r="AE71">
        <f>IF('Inputs'!$B$92="",0,IF(AND(AE4=1,'Inputs'!$Q$92=1),'Needs years'!$C$182,ROUND(IF(AE70=0,SUM('Needs years'!$O$172:$O$221),(1-(1+AE70)^-1)/(1-(1+AE70)^(-1/12))/12*SUMPRODUCT('Needs years'!$O$172:$O$221,(1+AE70)^(-'Needs years'!$I$172:$I$221))),2)))</f>
      </c>
      <c r="AF71">
        <f>IF('Inputs'!$B$92="",0,IF(AND(AF4=1,'Inputs'!$Q$92=1),'Needs years'!$C$182,ROUND(IF(AF70=0,SUM('Needs years'!$O$172:$O$221),(1-(1+AF70)^-1)/(1-(1+AF70)^(-1/12))/12*SUMPRODUCT('Needs years'!$O$172:$O$221,(1+AF70)^(-'Needs years'!$I$172:$I$221))),2)))</f>
      </c>
      <c r="AG71">
        <f>IF('Inputs'!$B$92="",0,IF(AND(AG4=1,'Inputs'!$Q$92=1),'Needs years'!$C$182,ROUND(IF(AG70=0,SUM('Needs years'!$O$172:$O$221),(1-(1+AG70)^-1)/(1-(1+AG70)^(-1/12))/12*SUMPRODUCT('Needs years'!$O$172:$O$221,(1+AG70)^(-'Needs years'!$I$172:$I$221))),2)))</f>
      </c>
      <c r="AH71">
        <f>IF('Inputs'!$B$92="",0,IF(AND(AH4=1,'Inputs'!$Q$92=1),'Needs years'!$C$182,ROUND(IF(AH70=0,SUM('Needs years'!$O$172:$O$221),(1-(1+AH70)^-1)/(1-(1+AH70)^(-1/12))/12*SUMPRODUCT('Needs years'!$O$172:$O$221,(1+AH70)^(-'Needs years'!$I$172:$I$221))),2)))</f>
      </c>
      <c r="AI71">
        <f>IF('Inputs'!$B$92="",0,IF(AND(AI4=1,'Inputs'!$Q$92=1),'Needs years'!$C$182,ROUND(IF(AI70=0,SUM('Needs years'!$O$172:$O$221),(1-(1+AI70)^-1)/(1-(1+AI70)^(-1/12))/12*SUMPRODUCT('Needs years'!$O$172:$O$221,(1+AI70)^(-'Needs years'!$I$172:$I$221))),2)))</f>
      </c>
      <c r="AJ71">
        <f>IF('Inputs'!$B$92="",0,IF(AND(AJ4=1,'Inputs'!$Q$92=1),'Needs years'!$C$182,ROUND(IF(AJ70=0,SUM('Needs years'!$O$172:$O$221),(1-(1+AJ70)^-1)/(1-(1+AJ70)^(-1/12))/12*SUMPRODUCT('Needs years'!$O$172:$O$221,(1+AJ70)^(-'Needs years'!$I$172:$I$221))),2)))</f>
      </c>
      <c r="AK71">
        <f>IF('Inputs'!$B$92="",0,IF(AND(AK4=1,'Inputs'!$Q$92=1),'Needs years'!$C$182,ROUND(IF(AK70=0,SUM('Needs years'!$O$172:$O$221),(1-(1+AK70)^-1)/(1-(1+AK70)^(-1/12))/12*SUMPRODUCT('Needs years'!$O$172:$O$221,(1+AK70)^(-'Needs years'!$I$172:$I$221))),2)))</f>
      </c>
      <c r="AM71">
        <f>IF('Inputs'!$B$92="",0,IF(AND(AM4=1,'Inputs'!$Q$92=1),'Needs years'!$C$182,ROUND(IF(AM70=0,SUM('Needs years'!$O$172:$O$221),(1-(1+AM70)^-1)/(1-(1+AM70)^(-1/12))/12*SUMPRODUCT('Needs years'!$O$172:$O$221,(1+AM70)^(-'Needs years'!$I$172:$I$221))),2)))</f>
      </c>
      <c r="AN71">
        <f>IF('Inputs'!$B$92="",0,IF(AND(AN4=1,'Inputs'!$Q$92=1),'Needs years'!$C$182,ROUND(IF(AN70=0,SUM('Needs years'!$O$172:$O$221),(1-(1+AN70)^-1)/(1-(1+AN70)^(-1/12))/12*SUMPRODUCT('Needs years'!$O$172:$O$221,(1+AN70)^(-'Needs years'!$I$172:$I$221))),2)))</f>
      </c>
      <c r="AO71">
        <f>IF('Inputs'!$B$92="",0,IF(AND(AO4=1,'Inputs'!$Q$92=1),'Needs years'!$C$182,ROUND(IF(AO70=0,SUM('Needs years'!$O$172:$O$221),(1-(1+AO70)^-1)/(1-(1+AO70)^(-1/12))/12*SUMPRODUCT('Needs years'!$O$172:$O$221,(1+AO70)^(-'Needs years'!$I$172:$I$221))),2)))</f>
      </c>
      <c r="AP71">
        <f>IF('Inputs'!$B$92="",0,IF(AND(AP4=1,'Inputs'!$Q$92=1),'Needs years'!$C$182,ROUND(IF(AP70=0,SUM('Needs years'!$O$172:$O$221),(1-(1+AP70)^-1)/(1-(1+AP70)^(-1/12))/12*SUMPRODUCT('Needs years'!$O$172:$O$221,(1+AP70)^(-'Needs years'!$I$172:$I$221))),2)))</f>
      </c>
      <c r="AQ71">
        <f>IF('Inputs'!$B$92="",0,IF(AND(AQ4=1,'Inputs'!$Q$92=1),'Needs years'!$C$182,ROUND(IF(AQ70=0,SUM('Needs years'!$O$172:$O$221),(1-(1+AQ70)^-1)/(1-(1+AQ70)^(-1/12))/12*SUMPRODUCT('Needs years'!$O$172:$O$221,(1+AQ70)^(-'Needs years'!$I$172:$I$221))),2)))</f>
      </c>
      <c r="AR71">
        <f>IF('Inputs'!$B$92="",0,IF(AND(AR4=1,'Inputs'!$Q$92=1),'Needs years'!$C$182,ROUND(IF(AR70=0,SUM('Needs years'!$O$172:$O$221),(1-(1+AR70)^-1)/(1-(1+AR70)^(-1/12))/12*SUMPRODUCT('Needs years'!$O$172:$O$221,(1+AR70)^(-'Needs years'!$I$172:$I$221))),2)))</f>
      </c>
      <c r="AS71">
        <f>IF('Inputs'!$B$92="",0,IF(AND(AS4=1,'Inputs'!$Q$92=1),'Needs years'!$C$182,ROUND(IF(AS70=0,SUM('Needs years'!$O$172:$O$221),(1-(1+AS70)^-1)/(1-(1+AS70)^(-1/12))/12*SUMPRODUCT('Needs years'!$O$172:$O$221,(1+AS70)^(-'Needs years'!$I$172:$I$221))),2)))</f>
      </c>
      <c r="AT71">
        <f>IF('Inputs'!$B$92="",0,IF(AND(AT4=1,'Inputs'!$Q$92=1),'Needs years'!$C$182,ROUND(IF(AT70=0,SUM('Needs years'!$O$172:$O$221),(1-(1+AT70)^-1)/(1-(1+AT70)^(-1/12))/12*SUMPRODUCT('Needs years'!$O$172:$O$221,(1+AT70)^(-'Needs years'!$I$172:$I$221))),2)))</f>
      </c>
      <c r="AU71">
        <f>IF('Inputs'!$B$92="",0,IF(AND(AU4=1,'Inputs'!$Q$92=1),'Needs years'!$C$182,ROUND(IF(AU70=0,SUM('Needs years'!$O$172:$O$221),(1-(1+AU70)^-1)/(1-(1+AU70)^(-1/12))/12*SUMPRODUCT('Needs years'!$O$172:$O$221,(1+AU70)^(-'Needs years'!$I$172:$I$221))),2)))</f>
      </c>
      <c r="AV71">
        <f>IF('Inputs'!$B$92="",0,IF(AND(AV4=1,'Inputs'!$Q$92=1),'Needs years'!$C$182,ROUND(IF(AV70=0,SUM('Needs years'!$O$172:$O$221),(1-(1+AV70)^-1)/(1-(1+AV70)^(-1/12))/12*SUMPRODUCT('Needs years'!$O$172:$O$221,(1+AV70)^(-'Needs years'!$I$172:$I$221))),2)))</f>
      </c>
      <c r="AW71">
        <f>IF('Inputs'!$B$92="",0,IF(AND(AW4=1,'Inputs'!$Q$92=1),'Needs years'!$C$182,ROUND(IF(AW70=0,SUM('Needs years'!$O$172:$O$221),(1-(1+AW70)^-1)/(1-(1+AW70)^(-1/12))/12*SUMPRODUCT('Needs years'!$O$172:$O$221,(1+AW70)^(-'Needs years'!$I$172:$I$221))),2)))</f>
      </c>
      <c r="AX71">
        <f>IF('Inputs'!$B$92="",0,IF(AND(AX4=1,'Inputs'!$Q$92=1),'Needs years'!$C$182,ROUND(IF(AX70=0,SUM('Needs years'!$O$172:$O$221),(1-(1+AX70)^-1)/(1-(1+AX70)^(-1/12))/12*SUMPRODUCT('Needs years'!$O$172:$O$221,(1+AX70)^(-'Needs years'!$I$172:$I$221))),2)))</f>
      </c>
      <c r="AY71">
        <f>IF('Inputs'!$B$92="",0,IF(AND(AY4=1,'Inputs'!$Q$92=1),'Needs years'!$C$182,ROUND(IF(AY70=0,SUM('Needs years'!$O$172:$O$221),(1-(1+AY70)^-1)/(1-(1+AY70)^(-1/12))/12*SUMPRODUCT('Needs years'!$O$172:$O$221,(1+AY70)^(-'Needs years'!$I$172:$I$221))),2)))</f>
      </c>
      <c r="AZ71">
        <f>IF('Inputs'!$B$92="",0,IF(AND(AZ4=1,'Inputs'!$Q$92=1),'Needs years'!$C$182,ROUND(IF(AZ70=0,SUM('Needs years'!$O$172:$O$221),(1-(1+AZ70)^-1)/(1-(1+AZ70)^(-1/12))/12*SUMPRODUCT('Needs years'!$O$172:$O$221,(1+AZ70)^(-'Needs years'!$I$172:$I$221))),2)))</f>
      </c>
      <c r="BA71">
        <f>IF('Inputs'!$B$92="",0,IF(AND(BA4=1,'Inputs'!$Q$92=1),'Needs years'!$C$182,ROUND(IF(BA70=0,SUM('Needs years'!$O$172:$O$221),(1-(1+BA70)^-1)/(1-(1+BA70)^(-1/12))/12*SUMPRODUCT('Needs years'!$O$172:$O$221,(1+BA70)^(-'Needs years'!$I$172:$I$221))),2)))</f>
      </c>
      <c r="BB71">
        <f>IF('Inputs'!$B$92="",0,IF(AND(BB4=1,'Inputs'!$Q$92=1),'Needs years'!$C$182,ROUND(IF(BB70=0,SUM('Needs years'!$O$172:$O$221),(1-(1+BB70)^-1)/(1-(1+BB70)^(-1/12))/12*SUMPRODUCT('Needs years'!$O$172:$O$221,(1+BB70)^(-'Needs years'!$I$172:$I$221))),2)))</f>
      </c>
      <c r="BD71">
        <f>IF('Inputs'!$B$92="",0,IF(AND(BD4=1,'Inputs'!$Q$92=1),'Needs years'!$C$182,ROUND(IF(BD70=0,SUM('Needs years'!$O$172:$O$221),(1-(1+BD70)^-1)/(1-(1+BD70)^(-1/12))/12*SUMPRODUCT('Needs years'!$O$172:$O$221,(1+BD70)^(-'Needs years'!$I$172:$I$221))),2)))</f>
      </c>
      <c r="BE71">
        <f>IF('Inputs'!$B$92="",0,IF(AND(BE4=1,'Inputs'!$Q$92=1),'Needs years'!$C$182,ROUND(IF(BE70=0,SUM('Needs years'!$O$172:$O$221),(1-(1+BE70)^-1)/(1-(1+BE70)^(-1/12))/12*SUMPRODUCT('Needs years'!$O$172:$O$221,(1+BE70)^(-'Needs years'!$I$172:$I$221))),2)))</f>
      </c>
      <c r="BF71">
        <f>IF('Inputs'!$B$92="",0,IF(AND(BF4=1,'Inputs'!$Q$92=1),'Needs years'!$C$182,ROUND(IF(BF70=0,SUM('Needs years'!$O$172:$O$221),(1-(1+BF70)^-1)/(1-(1+BF70)^(-1/12))/12*SUMPRODUCT('Needs years'!$O$172:$O$221,(1+BF70)^(-'Needs years'!$I$172:$I$221))),2)))</f>
      </c>
      <c r="BG71">
        <f>IF('Inputs'!$B$92="",0,IF(AND(BG4=1,'Inputs'!$Q$92=1),'Needs years'!$C$182,ROUND(IF(BG70=0,SUM('Needs years'!$O$172:$O$221),(1-(1+BG70)^-1)/(1-(1+BG70)^(-1/12))/12*SUMPRODUCT('Needs years'!$O$172:$O$221,(1+BG70)^(-'Needs years'!$I$172:$I$221))),2)))</f>
      </c>
      <c r="BH71">
        <f>IF('Inputs'!$B$92="",0,IF(AND(BH4=1,'Inputs'!$Q$92=1),'Needs years'!$C$182,ROUND(IF(BH70=0,SUM('Needs years'!$O$172:$O$221),(1-(1+BH70)^-1)/(1-(1+BH70)^(-1/12))/12*SUMPRODUCT('Needs years'!$O$172:$O$221,(1+BH70)^(-'Needs years'!$I$172:$I$221))),2)))</f>
      </c>
      <c r="BI71">
        <f>IF('Inputs'!$B$92="",0,IF(AND(BI4=1,'Inputs'!$Q$92=1),'Needs years'!$C$182,ROUND(IF(BI70=0,SUM('Needs years'!$O$172:$O$221),(1-(1+BI70)^-1)/(1-(1+BI70)^(-1/12))/12*SUMPRODUCT('Needs years'!$O$172:$O$221,(1+BI70)^(-'Needs years'!$I$172:$I$221))),2)))</f>
      </c>
      <c r="BJ71">
        <f>IF('Inputs'!$B$92="",0,IF(AND(BJ4=1,'Inputs'!$Q$92=1),'Needs years'!$C$182,ROUND(IF(BJ70=0,SUM('Needs years'!$O$172:$O$221),(1-(1+BJ70)^-1)/(1-(1+BJ70)^(-1/12))/12*SUMPRODUCT('Needs years'!$O$172:$O$221,(1+BJ70)^(-'Needs years'!$I$172:$I$221))),2)))</f>
      </c>
      <c r="BK71">
        <f>IF('Inputs'!$B$92="",0,IF(AND(BK4=1,'Inputs'!$Q$92=1),'Needs years'!$C$182,ROUND(IF(BK70=0,SUM('Needs years'!$O$172:$O$221),(1-(1+BK70)^-1)/(1-(1+BK70)^(-1/12))/12*SUMPRODUCT('Needs years'!$O$172:$O$221,(1+BK70)^(-'Needs years'!$I$172:$I$221))),2)))</f>
      </c>
      <c r="BL71">
        <f>IF('Inputs'!$B$92="",0,IF(AND(BL4=1,'Inputs'!$Q$92=1),'Needs years'!$C$182,ROUND(IF(BL70=0,SUM('Needs years'!$O$172:$O$221),(1-(1+BL70)^-1)/(1-(1+BL70)^(-1/12))/12*SUMPRODUCT('Needs years'!$O$172:$O$221,(1+BL70)^(-'Needs years'!$I$172:$I$221))),2)))</f>
      </c>
      <c r="BM71">
        <f>IF('Inputs'!$B$92="",0,IF(AND(BM4=1,'Inputs'!$Q$92=1),'Needs years'!$C$182,ROUND(IF(BM70=0,SUM('Needs years'!$O$172:$O$221),(1-(1+BM70)^-1)/(1-(1+BM70)^(-1/12))/12*SUMPRODUCT('Needs years'!$O$172:$O$221,(1+BM70)^(-'Needs years'!$I$172:$I$221))),2)))</f>
      </c>
      <c r="BN71">
        <f>IF('Inputs'!$B$92="",0,IF(AND(BN4=1,'Inputs'!$Q$92=1),'Needs years'!$C$182,ROUND(IF(BN70=0,SUM('Needs years'!$O$172:$O$221),(1-(1+BN70)^-1)/(1-(1+BN70)^(-1/12))/12*SUMPRODUCT('Needs years'!$O$172:$O$221,(1+BN70)^(-'Needs years'!$I$172:$I$221))),2)))</f>
      </c>
      <c r="BO71">
        <f>IF('Inputs'!$B$92="",0,IF(AND(BO4=1,'Inputs'!$Q$92=1),'Needs years'!$C$182,ROUND(IF(BO70=0,SUM('Needs years'!$O$172:$O$221),(1-(1+BO70)^-1)/(1-(1+BO70)^(-1/12))/12*SUMPRODUCT('Needs years'!$O$172:$O$221,(1+BO70)^(-'Needs years'!$I$172:$I$221))),2)))</f>
      </c>
      <c r="BP71">
        <f>IF('Inputs'!$B$92="",0,IF(AND(BP4=1,'Inputs'!$Q$92=1),'Needs years'!$C$182,ROUND(IF(BP70=0,SUM('Needs years'!$O$172:$O$221),(1-(1+BP70)^-1)/(1-(1+BP70)^(-1/12))/12*SUMPRODUCT('Needs years'!$O$172:$O$221,(1+BP70)^(-'Needs years'!$I$172:$I$221))),2)))</f>
      </c>
      <c r="BQ71">
        <f>IF('Inputs'!$B$92="",0,IF(AND(BQ4=1,'Inputs'!$Q$92=1),'Needs years'!$C$182,ROUND(IF(BQ70=0,SUM('Needs years'!$O$172:$O$221),(1-(1+BQ70)^-1)/(1-(1+BQ70)^(-1/12))/12*SUMPRODUCT('Needs years'!$O$172:$O$221,(1+BQ70)^(-'Needs years'!$I$172:$I$221))),2)))</f>
      </c>
      <c r="BR71">
        <f>IF('Inputs'!$B$92="",0,IF(AND(BR4=1,'Inputs'!$Q$92=1),'Needs years'!$C$182,ROUND(IF(BR70=0,SUM('Needs years'!$O$172:$O$221),(1-(1+BR70)^-1)/(1-(1+BR70)^(-1/12))/12*SUMPRODUCT('Needs years'!$O$172:$O$221,(1+BR70)^(-'Needs years'!$I$172:$I$221))),2)))</f>
      </c>
      <c r="BS71">
        <f>IF('Inputs'!$B$92="",0,IF(AND(BS4=1,'Inputs'!$Q$92=1),'Needs years'!$C$182,ROUND(IF(BS70=0,SUM('Needs years'!$O$172:$O$221),(1-(1+BS70)^-1)/(1-(1+BS70)^(-1/12))/12*SUMPRODUCT('Needs years'!$O$172:$O$221,(1+BS70)^(-'Needs years'!$I$172:$I$221))),2)))</f>
      </c>
    </row>
    <row r="72" spans="2:71" x14ac:dyDescent="0.25">
      <c r="B72" t="s">
        <v>391</v>
      </c>
      <c r="C72">
        <f>IF(OR('Inputs'!$B$92="",AND(C4=1,'Inputs'!$Q$92=1)),0,ROUND(C71-C67,2))</f>
      </c>
      <c r="E72">
        <f>IF(OR('Inputs'!$B$92="",AND(E4=1,'Inputs'!$Q$92=1)),0,ROUND(E71-E67,2))</f>
      </c>
      <c r="F72">
        <f>IF(OR('Inputs'!$B$92="",AND(F4=1,'Inputs'!$Q$92=1)),0,ROUND(F71-F67,2))</f>
      </c>
      <c r="G72">
        <f>IF(OR('Inputs'!$B$92="",AND(G4=1,'Inputs'!$Q$92=1)),0,ROUND(G71-G67,2))</f>
      </c>
      <c r="H72">
        <f>IF(OR('Inputs'!$B$92="",AND(H4=1,'Inputs'!$Q$92=1)),0,ROUND(H71-H67,2))</f>
      </c>
      <c r="I72">
        <f>IF(OR('Inputs'!$B$92="",AND(I4=1,'Inputs'!$Q$92=1)),0,ROUND(I71-I67,2))</f>
      </c>
      <c r="J72">
        <f>IF(OR('Inputs'!$B$92="",AND(J4=1,'Inputs'!$Q$92=1)),0,ROUND(J71-J67,2))</f>
      </c>
      <c r="K72">
        <f>IF(OR('Inputs'!$B$92="",AND(K4=1,'Inputs'!$Q$92=1)),0,ROUND(K71-K67,2))</f>
      </c>
      <c r="L72">
        <f>IF(OR('Inputs'!$B$92="",AND(L4=1,'Inputs'!$Q$92=1)),0,ROUND(L71-L67,2))</f>
      </c>
      <c r="M72">
        <f>IF(OR('Inputs'!$B$92="",AND(M4=1,'Inputs'!$Q$92=1)),0,ROUND(M71-M67,2))</f>
      </c>
      <c r="N72">
        <f>IF(OR('Inputs'!$B$92="",AND(N4=1,'Inputs'!$Q$92=1)),0,ROUND(N71-N67,2))</f>
      </c>
      <c r="O72">
        <f>IF(OR('Inputs'!$B$92="",AND(O4=1,'Inputs'!$Q$92=1)),0,ROUND(O71-O67,2))</f>
      </c>
      <c r="P72">
        <f>IF(OR('Inputs'!$B$92="",AND(P4=1,'Inputs'!$Q$92=1)),0,ROUND(P71-P67,2))</f>
      </c>
      <c r="Q72">
        <f>IF(OR('Inputs'!$B$92="",AND(Q4=1,'Inputs'!$Q$92=1)),0,ROUND(Q71-Q67,2))</f>
      </c>
      <c r="R72">
        <f>IF(OR('Inputs'!$B$92="",AND(R4=1,'Inputs'!$Q$92=1)),0,ROUND(R71-R67,2))</f>
      </c>
      <c r="S72">
        <f>IF(OR('Inputs'!$B$92="",AND(S4=1,'Inputs'!$Q$92=1)),0,ROUND(S71-S67,2))</f>
      </c>
      <c r="T72">
        <f>IF(OR('Inputs'!$B$92="",AND(T4=1,'Inputs'!$Q$92=1)),0,ROUND(T71-T67,2))</f>
      </c>
      <c r="V72">
        <f>IF(OR('Inputs'!$B$92="",AND(V4=1,'Inputs'!$Q$92=1)),0,ROUND(V71-V67,2))</f>
      </c>
      <c r="W72">
        <f>IF(OR('Inputs'!$B$92="",AND(W4=1,'Inputs'!$Q$92=1)),0,ROUND(W71-W67,2))</f>
      </c>
      <c r="X72">
        <f>IF(OR('Inputs'!$B$92="",AND(X4=1,'Inputs'!$Q$92=1)),0,ROUND(X71-X67,2))</f>
      </c>
      <c r="Y72">
        <f>IF(OR('Inputs'!$B$92="",AND(Y4=1,'Inputs'!$Q$92=1)),0,ROUND(Y71-Y67,2))</f>
      </c>
      <c r="Z72">
        <f>IF(OR('Inputs'!$B$92="",AND(Z4=1,'Inputs'!$Q$92=1)),0,ROUND(Z71-Z67,2))</f>
      </c>
      <c r="AA72">
        <f>IF(OR('Inputs'!$B$92="",AND(AA4=1,'Inputs'!$Q$92=1)),0,ROUND(AA71-AA67,2))</f>
      </c>
      <c r="AB72">
        <f>IF(OR('Inputs'!$B$92="",AND(AB4=1,'Inputs'!$Q$92=1)),0,ROUND(AB71-AB67,2))</f>
      </c>
      <c r="AC72">
        <f>IF(OR('Inputs'!$B$92="",AND(AC4=1,'Inputs'!$Q$92=1)),0,ROUND(AC71-AC67,2))</f>
      </c>
      <c r="AD72">
        <f>IF(OR('Inputs'!$B$92="",AND(AD4=1,'Inputs'!$Q$92=1)),0,ROUND(AD71-AD67,2))</f>
      </c>
      <c r="AE72">
        <f>IF(OR('Inputs'!$B$92="",AND(AE4=1,'Inputs'!$Q$92=1)),0,ROUND(AE71-AE67,2))</f>
      </c>
      <c r="AF72">
        <f>IF(OR('Inputs'!$B$92="",AND(AF4=1,'Inputs'!$Q$92=1)),0,ROUND(AF71-AF67,2))</f>
      </c>
      <c r="AG72">
        <f>IF(OR('Inputs'!$B$92="",AND(AG4=1,'Inputs'!$Q$92=1)),0,ROUND(AG71-AG67,2))</f>
      </c>
      <c r="AH72">
        <f>IF(OR('Inputs'!$B$92="",AND(AH4=1,'Inputs'!$Q$92=1)),0,ROUND(AH71-AH67,2))</f>
      </c>
      <c r="AI72">
        <f>IF(OR('Inputs'!$B$92="",AND(AI4=1,'Inputs'!$Q$92=1)),0,ROUND(AI71-AI67,2))</f>
      </c>
      <c r="AJ72">
        <f>IF(OR('Inputs'!$B$92="",AND(AJ4=1,'Inputs'!$Q$92=1)),0,ROUND(AJ71-AJ67,2))</f>
      </c>
      <c r="AK72">
        <f>IF(OR('Inputs'!$B$92="",AND(AK4=1,'Inputs'!$Q$92=1)),0,ROUND(AK71-AK67,2))</f>
      </c>
      <c r="AM72">
        <f>IF(OR('Inputs'!$B$92="",AND(AM4=1,'Inputs'!$Q$92=1)),0,ROUND(AM71-AM67,2))</f>
      </c>
      <c r="AN72">
        <f>IF(OR('Inputs'!$B$92="",AND(AN4=1,'Inputs'!$Q$92=1)),0,ROUND(AN71-AN67,2))</f>
      </c>
      <c r="AO72">
        <f>IF(OR('Inputs'!$B$92="",AND(AO4=1,'Inputs'!$Q$92=1)),0,ROUND(AO71-AO67,2))</f>
      </c>
      <c r="AP72">
        <f>IF(OR('Inputs'!$B$92="",AND(AP4=1,'Inputs'!$Q$92=1)),0,ROUND(AP71-AP67,2))</f>
      </c>
      <c r="AQ72">
        <f>IF(OR('Inputs'!$B$92="",AND(AQ4=1,'Inputs'!$Q$92=1)),0,ROUND(AQ71-AQ67,2))</f>
      </c>
      <c r="AR72">
        <f>IF(OR('Inputs'!$B$92="",AND(AR4=1,'Inputs'!$Q$92=1)),0,ROUND(AR71-AR67,2))</f>
      </c>
      <c r="AS72">
        <f>IF(OR('Inputs'!$B$92="",AND(AS4=1,'Inputs'!$Q$92=1)),0,ROUND(AS71-AS67,2))</f>
      </c>
      <c r="AT72">
        <f>IF(OR('Inputs'!$B$92="",AND(AT4=1,'Inputs'!$Q$92=1)),0,ROUND(AT71-AT67,2))</f>
      </c>
      <c r="AU72">
        <f>IF(OR('Inputs'!$B$92="",AND(AU4=1,'Inputs'!$Q$92=1)),0,ROUND(AU71-AU67,2))</f>
      </c>
      <c r="AV72">
        <f>IF(OR('Inputs'!$B$92="",AND(AV4=1,'Inputs'!$Q$92=1)),0,ROUND(AV71-AV67,2))</f>
      </c>
      <c r="AW72">
        <f>IF(OR('Inputs'!$B$92="",AND(AW4=1,'Inputs'!$Q$92=1)),0,ROUND(AW71-AW67,2))</f>
      </c>
      <c r="AX72">
        <f>IF(OR('Inputs'!$B$92="",AND(AX4=1,'Inputs'!$Q$92=1)),0,ROUND(AX71-AX67,2))</f>
      </c>
      <c r="AY72">
        <f>IF(OR('Inputs'!$B$92="",AND(AY4=1,'Inputs'!$Q$92=1)),0,ROUND(AY71-AY67,2))</f>
      </c>
      <c r="AZ72">
        <f>IF(OR('Inputs'!$B$92="",AND(AZ4=1,'Inputs'!$Q$92=1)),0,ROUND(AZ71-AZ67,2))</f>
      </c>
      <c r="BA72">
        <f>IF(OR('Inputs'!$B$92="",AND(BA4=1,'Inputs'!$Q$92=1)),0,ROUND(BA71-BA67,2))</f>
      </c>
      <c r="BB72">
        <f>IF(OR('Inputs'!$B$92="",AND(BB4=1,'Inputs'!$Q$92=1)),0,ROUND(BB71-BB67,2))</f>
      </c>
      <c r="BD72">
        <f>IF(OR('Inputs'!$B$92="",AND(BD4=1,'Inputs'!$Q$92=1)),0,ROUND(BD71-BD67,2))</f>
      </c>
      <c r="BE72">
        <f>IF(OR('Inputs'!$B$92="",AND(BE4=1,'Inputs'!$Q$92=1)),0,ROUND(BE71-BE67,2))</f>
      </c>
      <c r="BF72">
        <f>IF(OR('Inputs'!$B$92="",AND(BF4=1,'Inputs'!$Q$92=1)),0,ROUND(BF71-BF67,2))</f>
      </c>
      <c r="BG72">
        <f>IF(OR('Inputs'!$B$92="",AND(BG4=1,'Inputs'!$Q$92=1)),0,ROUND(BG71-BG67,2))</f>
      </c>
      <c r="BH72">
        <f>IF(OR('Inputs'!$B$92="",AND(BH4=1,'Inputs'!$Q$92=1)),0,ROUND(BH71-BH67,2))</f>
      </c>
      <c r="BI72">
        <f>IF(OR('Inputs'!$B$92="",AND(BI4=1,'Inputs'!$Q$92=1)),0,ROUND(BI71-BI67,2))</f>
      </c>
      <c r="BJ72">
        <f>IF(OR('Inputs'!$B$92="",AND(BJ4=1,'Inputs'!$Q$92=1)),0,ROUND(BJ71-BJ67,2))</f>
      </c>
      <c r="BK72">
        <f>IF(OR('Inputs'!$B$92="",AND(BK4=1,'Inputs'!$Q$92=1)),0,ROUND(BK71-BK67,2))</f>
      </c>
      <c r="BL72">
        <f>IF(OR('Inputs'!$B$92="",AND(BL4=1,'Inputs'!$Q$92=1)),0,ROUND(BL71-BL67,2))</f>
      </c>
      <c r="BM72">
        <f>IF(OR('Inputs'!$B$92="",AND(BM4=1,'Inputs'!$Q$92=1)),0,ROUND(BM71-BM67,2))</f>
      </c>
      <c r="BN72">
        <f>IF(OR('Inputs'!$B$92="",AND(BN4=1,'Inputs'!$Q$92=1)),0,ROUND(BN71-BN67,2))</f>
      </c>
      <c r="BO72">
        <f>IF(OR('Inputs'!$B$92="",AND(BO4=1,'Inputs'!$Q$92=1)),0,ROUND(BO71-BO67,2))</f>
      </c>
      <c r="BP72">
        <f>IF(OR('Inputs'!$B$92="",AND(BP4=1,'Inputs'!$Q$92=1)),0,ROUND(BP71-BP67,2))</f>
      </c>
      <c r="BQ72">
        <f>IF(OR('Inputs'!$B$92="",AND(BQ4=1,'Inputs'!$Q$92=1)),0,ROUND(BQ71-BQ67,2))</f>
      </c>
      <c r="BR72">
        <f>IF(OR('Inputs'!$B$92="",AND(BR4=1,'Inputs'!$Q$92=1)),0,ROUND(BR71-BR67,2))</f>
      </c>
      <c r="BS72">
        <f>IF(OR('Inputs'!$B$92="",AND(BS4=1,'Inputs'!$Q$92=1)),0,ROUND(BS71-BS67,2))</f>
      </c>
    </row>
    <row r="73" spans="2:71" x14ac:dyDescent="0.25">
      <c r="B73" t="s">
        <v>392</v>
      </c>
      <c r="C73">
        <f>IF('Inputs'!$B$92="",0,IF(AND(C4=1,'Inputs'!$Q$92=1),'Inputs'!$E$92,'Needs years'!$C$183/12+IF(C71&gt;0,C67/C71*'Needs years'!$C$184/12,0)))</f>
      </c>
      <c r="E73">
        <f>IF('Inputs'!$B$92="",0,IF(AND(E4=1,'Inputs'!$Q$92=1),'Inputs'!$E$92,'Needs years'!$C$183/12+IF(E71&gt;0,E67/E71*'Needs years'!$C$184/12,0)))</f>
      </c>
      <c r="F73">
        <f>IF('Inputs'!$B$92="",0,IF(AND(F4=1,'Inputs'!$Q$92=1),'Inputs'!$E$92,'Needs years'!$C$183/12+IF(F71&gt;0,F67/F71*'Needs years'!$C$184/12,0)))</f>
      </c>
      <c r="G73">
        <f>IF('Inputs'!$B$92="",0,IF(AND(G4=1,'Inputs'!$Q$92=1),'Inputs'!$E$92,'Needs years'!$C$183/12+IF(G71&gt;0,G67/G71*'Needs years'!$C$184/12,0)))</f>
      </c>
      <c r="H73">
        <f>IF('Inputs'!$B$92="",0,IF(AND(H4=1,'Inputs'!$Q$92=1),'Inputs'!$E$92,'Needs years'!$C$183/12+IF(H71&gt;0,H67/H71*'Needs years'!$C$184/12,0)))</f>
      </c>
      <c r="I73">
        <f>IF('Inputs'!$B$92="",0,IF(AND(I4=1,'Inputs'!$Q$92=1),'Inputs'!$E$92,'Needs years'!$C$183/12+IF(I71&gt;0,I67/I71*'Needs years'!$C$184/12,0)))</f>
      </c>
      <c r="J73">
        <f>IF('Inputs'!$B$92="",0,IF(AND(J4=1,'Inputs'!$Q$92=1),'Inputs'!$E$92,'Needs years'!$C$183/12+IF(J71&gt;0,J67/J71*'Needs years'!$C$184/12,0)))</f>
      </c>
      <c r="K73">
        <f>IF('Inputs'!$B$92="",0,IF(AND(K4=1,'Inputs'!$Q$92=1),'Inputs'!$E$92,'Needs years'!$C$183/12+IF(K71&gt;0,K67/K71*'Needs years'!$C$184/12,0)))</f>
      </c>
      <c r="L73">
        <f>IF('Inputs'!$B$92="",0,IF(AND(L4=1,'Inputs'!$Q$92=1),'Inputs'!$E$92,'Needs years'!$C$183/12+IF(L71&gt;0,L67/L71*'Needs years'!$C$184/12,0)))</f>
      </c>
      <c r="M73">
        <f>IF('Inputs'!$B$92="",0,IF(AND(M4=1,'Inputs'!$Q$92=1),'Inputs'!$E$92,'Needs years'!$C$183/12+IF(M71&gt;0,M67/M71*'Needs years'!$C$184/12,0)))</f>
      </c>
      <c r="N73">
        <f>IF('Inputs'!$B$92="",0,IF(AND(N4=1,'Inputs'!$Q$92=1),'Inputs'!$E$92,'Needs years'!$C$183/12+IF(N71&gt;0,N67/N71*'Needs years'!$C$184/12,0)))</f>
      </c>
      <c r="O73">
        <f>IF('Inputs'!$B$92="",0,IF(AND(O4=1,'Inputs'!$Q$92=1),'Inputs'!$E$92,'Needs years'!$C$183/12+IF(O71&gt;0,O67/O71*'Needs years'!$C$184/12,0)))</f>
      </c>
      <c r="P73">
        <f>IF('Inputs'!$B$92="",0,IF(AND(P4=1,'Inputs'!$Q$92=1),'Inputs'!$E$92,'Needs years'!$C$183/12+IF(P71&gt;0,P67/P71*'Needs years'!$C$184/12,0)))</f>
      </c>
      <c r="Q73">
        <f>IF('Inputs'!$B$92="",0,IF(AND(Q4=1,'Inputs'!$Q$92=1),'Inputs'!$E$92,'Needs years'!$C$183/12+IF(Q71&gt;0,Q67/Q71*'Needs years'!$C$184/12,0)))</f>
      </c>
      <c r="R73">
        <f>IF('Inputs'!$B$92="",0,IF(AND(R4=1,'Inputs'!$Q$92=1),'Inputs'!$E$92,'Needs years'!$C$183/12+IF(R71&gt;0,R67/R71*'Needs years'!$C$184/12,0)))</f>
      </c>
      <c r="S73">
        <f>IF('Inputs'!$B$92="",0,IF(AND(S4=1,'Inputs'!$Q$92=1),'Inputs'!$E$92,'Needs years'!$C$183/12+IF(S71&gt;0,S67/S71*'Needs years'!$C$184/12,0)))</f>
      </c>
      <c r="T73">
        <f>IF('Inputs'!$B$92="",0,IF(AND(T4=1,'Inputs'!$Q$92=1),'Inputs'!$E$92,'Needs years'!$C$183/12+IF(T71&gt;0,T67/T71*'Needs years'!$C$184/12,0)))</f>
      </c>
      <c r="V73">
        <f>IF('Inputs'!$B$92="",0,IF(AND(V4=1,'Inputs'!$Q$92=1),'Inputs'!$E$92,'Needs years'!$C$183/12+IF(V71&gt;0,V67/V71*'Needs years'!$C$184/12,0)))</f>
      </c>
      <c r="W73">
        <f>IF('Inputs'!$B$92="",0,IF(AND(W4=1,'Inputs'!$Q$92=1),'Inputs'!$E$92,'Needs years'!$C$183/12+IF(W71&gt;0,W67/W71*'Needs years'!$C$184/12,0)))</f>
      </c>
      <c r="X73">
        <f>IF('Inputs'!$B$92="",0,IF(AND(X4=1,'Inputs'!$Q$92=1),'Inputs'!$E$92,'Needs years'!$C$183/12+IF(X71&gt;0,X67/X71*'Needs years'!$C$184/12,0)))</f>
      </c>
      <c r="Y73">
        <f>IF('Inputs'!$B$92="",0,IF(AND(Y4=1,'Inputs'!$Q$92=1),'Inputs'!$E$92,'Needs years'!$C$183/12+IF(Y71&gt;0,Y67/Y71*'Needs years'!$C$184/12,0)))</f>
      </c>
      <c r="Z73">
        <f>IF('Inputs'!$B$92="",0,IF(AND(Z4=1,'Inputs'!$Q$92=1),'Inputs'!$E$92,'Needs years'!$C$183/12+IF(Z71&gt;0,Z67/Z71*'Needs years'!$C$184/12,0)))</f>
      </c>
      <c r="AA73">
        <f>IF('Inputs'!$B$92="",0,IF(AND(AA4=1,'Inputs'!$Q$92=1),'Inputs'!$E$92,'Needs years'!$C$183/12+IF(AA71&gt;0,AA67/AA71*'Needs years'!$C$184/12,0)))</f>
      </c>
      <c r="AB73">
        <f>IF('Inputs'!$B$92="",0,IF(AND(AB4=1,'Inputs'!$Q$92=1),'Inputs'!$E$92,'Needs years'!$C$183/12+IF(AB71&gt;0,AB67/AB71*'Needs years'!$C$184/12,0)))</f>
      </c>
      <c r="AC73">
        <f>IF('Inputs'!$B$92="",0,IF(AND(AC4=1,'Inputs'!$Q$92=1),'Inputs'!$E$92,'Needs years'!$C$183/12+IF(AC71&gt;0,AC67/AC71*'Needs years'!$C$184/12,0)))</f>
      </c>
      <c r="AD73">
        <f>IF('Inputs'!$B$92="",0,IF(AND(AD4=1,'Inputs'!$Q$92=1),'Inputs'!$E$92,'Needs years'!$C$183/12+IF(AD71&gt;0,AD67/AD71*'Needs years'!$C$184/12,0)))</f>
      </c>
      <c r="AE73">
        <f>IF('Inputs'!$B$92="",0,IF(AND(AE4=1,'Inputs'!$Q$92=1),'Inputs'!$E$92,'Needs years'!$C$183/12+IF(AE71&gt;0,AE67/AE71*'Needs years'!$C$184/12,0)))</f>
      </c>
      <c r="AF73">
        <f>IF('Inputs'!$B$92="",0,IF(AND(AF4=1,'Inputs'!$Q$92=1),'Inputs'!$E$92,'Needs years'!$C$183/12+IF(AF71&gt;0,AF67/AF71*'Needs years'!$C$184/12,0)))</f>
      </c>
      <c r="AG73">
        <f>IF('Inputs'!$B$92="",0,IF(AND(AG4=1,'Inputs'!$Q$92=1),'Inputs'!$E$92,'Needs years'!$C$183/12+IF(AG71&gt;0,AG67/AG71*'Needs years'!$C$184/12,0)))</f>
      </c>
      <c r="AH73">
        <f>IF('Inputs'!$B$92="",0,IF(AND(AH4=1,'Inputs'!$Q$92=1),'Inputs'!$E$92,'Needs years'!$C$183/12+IF(AH71&gt;0,AH67/AH71*'Needs years'!$C$184/12,0)))</f>
      </c>
      <c r="AI73">
        <f>IF('Inputs'!$B$92="",0,IF(AND(AI4=1,'Inputs'!$Q$92=1),'Inputs'!$E$92,'Needs years'!$C$183/12+IF(AI71&gt;0,AI67/AI71*'Needs years'!$C$184/12,0)))</f>
      </c>
      <c r="AJ73">
        <f>IF('Inputs'!$B$92="",0,IF(AND(AJ4=1,'Inputs'!$Q$92=1),'Inputs'!$E$92,'Needs years'!$C$183/12+IF(AJ71&gt;0,AJ67/AJ71*'Needs years'!$C$184/12,0)))</f>
      </c>
      <c r="AK73">
        <f>IF('Inputs'!$B$92="",0,IF(AND(AK4=1,'Inputs'!$Q$92=1),'Inputs'!$E$92,'Needs years'!$C$183/12+IF(AK71&gt;0,AK67/AK71*'Needs years'!$C$184/12,0)))</f>
      </c>
      <c r="AM73">
        <f>IF('Inputs'!$B$92="",0,IF(AND(AM4=1,'Inputs'!$Q$92=1),'Inputs'!$E$92,'Needs years'!$C$183/12+IF(AM71&gt;0,AM67/AM71*'Needs years'!$C$184/12,0)))</f>
      </c>
      <c r="AN73">
        <f>IF('Inputs'!$B$92="",0,IF(AND(AN4=1,'Inputs'!$Q$92=1),'Inputs'!$E$92,'Needs years'!$C$183/12+IF(AN71&gt;0,AN67/AN71*'Needs years'!$C$184/12,0)))</f>
      </c>
      <c r="AO73">
        <f>IF('Inputs'!$B$92="",0,IF(AND(AO4=1,'Inputs'!$Q$92=1),'Inputs'!$E$92,'Needs years'!$C$183/12+IF(AO71&gt;0,AO67/AO71*'Needs years'!$C$184/12,0)))</f>
      </c>
      <c r="AP73">
        <f>IF('Inputs'!$B$92="",0,IF(AND(AP4=1,'Inputs'!$Q$92=1),'Inputs'!$E$92,'Needs years'!$C$183/12+IF(AP71&gt;0,AP67/AP71*'Needs years'!$C$184/12,0)))</f>
      </c>
      <c r="AQ73">
        <f>IF('Inputs'!$B$92="",0,IF(AND(AQ4=1,'Inputs'!$Q$92=1),'Inputs'!$E$92,'Needs years'!$C$183/12+IF(AQ71&gt;0,AQ67/AQ71*'Needs years'!$C$184/12,0)))</f>
      </c>
      <c r="AR73">
        <f>IF('Inputs'!$B$92="",0,IF(AND(AR4=1,'Inputs'!$Q$92=1),'Inputs'!$E$92,'Needs years'!$C$183/12+IF(AR71&gt;0,AR67/AR71*'Needs years'!$C$184/12,0)))</f>
      </c>
      <c r="AS73">
        <f>IF('Inputs'!$B$92="",0,IF(AND(AS4=1,'Inputs'!$Q$92=1),'Inputs'!$E$92,'Needs years'!$C$183/12+IF(AS71&gt;0,AS67/AS71*'Needs years'!$C$184/12,0)))</f>
      </c>
      <c r="AT73">
        <f>IF('Inputs'!$B$92="",0,IF(AND(AT4=1,'Inputs'!$Q$92=1),'Inputs'!$E$92,'Needs years'!$C$183/12+IF(AT71&gt;0,AT67/AT71*'Needs years'!$C$184/12,0)))</f>
      </c>
      <c r="AU73">
        <f>IF('Inputs'!$B$92="",0,IF(AND(AU4=1,'Inputs'!$Q$92=1),'Inputs'!$E$92,'Needs years'!$C$183/12+IF(AU71&gt;0,AU67/AU71*'Needs years'!$C$184/12,0)))</f>
      </c>
      <c r="AV73">
        <f>IF('Inputs'!$B$92="",0,IF(AND(AV4=1,'Inputs'!$Q$92=1),'Inputs'!$E$92,'Needs years'!$C$183/12+IF(AV71&gt;0,AV67/AV71*'Needs years'!$C$184/12,0)))</f>
      </c>
      <c r="AW73">
        <f>IF('Inputs'!$B$92="",0,IF(AND(AW4=1,'Inputs'!$Q$92=1),'Inputs'!$E$92,'Needs years'!$C$183/12+IF(AW71&gt;0,AW67/AW71*'Needs years'!$C$184/12,0)))</f>
      </c>
      <c r="AX73">
        <f>IF('Inputs'!$B$92="",0,IF(AND(AX4=1,'Inputs'!$Q$92=1),'Inputs'!$E$92,'Needs years'!$C$183/12+IF(AX71&gt;0,AX67/AX71*'Needs years'!$C$184/12,0)))</f>
      </c>
      <c r="AY73">
        <f>IF('Inputs'!$B$92="",0,IF(AND(AY4=1,'Inputs'!$Q$92=1),'Inputs'!$E$92,'Needs years'!$C$183/12+IF(AY71&gt;0,AY67/AY71*'Needs years'!$C$184/12,0)))</f>
      </c>
      <c r="AZ73">
        <f>IF('Inputs'!$B$92="",0,IF(AND(AZ4=1,'Inputs'!$Q$92=1),'Inputs'!$E$92,'Needs years'!$C$183/12+IF(AZ71&gt;0,AZ67/AZ71*'Needs years'!$C$184/12,0)))</f>
      </c>
      <c r="BA73">
        <f>IF('Inputs'!$B$92="",0,IF(AND(BA4=1,'Inputs'!$Q$92=1),'Inputs'!$E$92,'Needs years'!$C$183/12+IF(BA71&gt;0,BA67/BA71*'Needs years'!$C$184/12,0)))</f>
      </c>
      <c r="BB73">
        <f>IF('Inputs'!$B$92="",0,IF(AND(BB4=1,'Inputs'!$Q$92=1),'Inputs'!$E$92,'Needs years'!$C$183/12+IF(BB71&gt;0,BB67/BB71*'Needs years'!$C$184/12,0)))</f>
      </c>
      <c r="BD73">
        <f>IF('Inputs'!$B$92="",0,IF(AND(BD4=1,'Inputs'!$Q$92=1),'Inputs'!$E$92,'Needs years'!$C$183/12+IF(BD71&gt;0,BD67/BD71*'Needs years'!$C$184/12,0)))</f>
      </c>
      <c r="BE73">
        <f>IF('Inputs'!$B$92="",0,IF(AND(BE4=1,'Inputs'!$Q$92=1),'Inputs'!$E$92,'Needs years'!$C$183/12+IF(BE71&gt;0,BE67/BE71*'Needs years'!$C$184/12,0)))</f>
      </c>
      <c r="BF73">
        <f>IF('Inputs'!$B$92="",0,IF(AND(BF4=1,'Inputs'!$Q$92=1),'Inputs'!$E$92,'Needs years'!$C$183/12+IF(BF71&gt;0,BF67/BF71*'Needs years'!$C$184/12,0)))</f>
      </c>
      <c r="BG73">
        <f>IF('Inputs'!$B$92="",0,IF(AND(BG4=1,'Inputs'!$Q$92=1),'Inputs'!$E$92,'Needs years'!$C$183/12+IF(BG71&gt;0,BG67/BG71*'Needs years'!$C$184/12,0)))</f>
      </c>
      <c r="BH73">
        <f>IF('Inputs'!$B$92="",0,IF(AND(BH4=1,'Inputs'!$Q$92=1),'Inputs'!$E$92,'Needs years'!$C$183/12+IF(BH71&gt;0,BH67/BH71*'Needs years'!$C$184/12,0)))</f>
      </c>
      <c r="BI73">
        <f>IF('Inputs'!$B$92="",0,IF(AND(BI4=1,'Inputs'!$Q$92=1),'Inputs'!$E$92,'Needs years'!$C$183/12+IF(BI71&gt;0,BI67/BI71*'Needs years'!$C$184/12,0)))</f>
      </c>
      <c r="BJ73">
        <f>IF('Inputs'!$B$92="",0,IF(AND(BJ4=1,'Inputs'!$Q$92=1),'Inputs'!$E$92,'Needs years'!$C$183/12+IF(BJ71&gt;0,BJ67/BJ71*'Needs years'!$C$184/12,0)))</f>
      </c>
      <c r="BK73">
        <f>IF('Inputs'!$B$92="",0,IF(AND(BK4=1,'Inputs'!$Q$92=1),'Inputs'!$E$92,'Needs years'!$C$183/12+IF(BK71&gt;0,BK67/BK71*'Needs years'!$C$184/12,0)))</f>
      </c>
      <c r="BL73">
        <f>IF('Inputs'!$B$92="",0,IF(AND(BL4=1,'Inputs'!$Q$92=1),'Inputs'!$E$92,'Needs years'!$C$183/12+IF(BL71&gt;0,BL67/BL71*'Needs years'!$C$184/12,0)))</f>
      </c>
      <c r="BM73">
        <f>IF('Inputs'!$B$92="",0,IF(AND(BM4=1,'Inputs'!$Q$92=1),'Inputs'!$E$92,'Needs years'!$C$183/12+IF(BM71&gt;0,BM67/BM71*'Needs years'!$C$184/12,0)))</f>
      </c>
      <c r="BN73">
        <f>IF('Inputs'!$B$92="",0,IF(AND(BN4=1,'Inputs'!$Q$92=1),'Inputs'!$E$92,'Needs years'!$C$183/12+IF(BN71&gt;0,BN67/BN71*'Needs years'!$C$184/12,0)))</f>
      </c>
      <c r="BO73">
        <f>IF('Inputs'!$B$92="",0,IF(AND(BO4=1,'Inputs'!$Q$92=1),'Inputs'!$E$92,'Needs years'!$C$183/12+IF(BO71&gt;0,BO67/BO71*'Needs years'!$C$184/12,0)))</f>
      </c>
      <c r="BP73">
        <f>IF('Inputs'!$B$92="",0,IF(AND(BP4=1,'Inputs'!$Q$92=1),'Inputs'!$E$92,'Needs years'!$C$183/12+IF(BP71&gt;0,BP67/BP71*'Needs years'!$C$184/12,0)))</f>
      </c>
      <c r="BQ73">
        <f>IF('Inputs'!$B$92="",0,IF(AND(BQ4=1,'Inputs'!$Q$92=1),'Inputs'!$E$92,'Needs years'!$C$183/12+IF(BQ71&gt;0,BQ67/BQ71*'Needs years'!$C$184/12,0)))</f>
      </c>
      <c r="BR73">
        <f>IF('Inputs'!$B$92="",0,IF(AND(BR4=1,'Inputs'!$Q$92=1),'Inputs'!$E$92,'Needs years'!$C$183/12+IF(BR71&gt;0,BR67/BR71*'Needs years'!$C$184/12,0)))</f>
      </c>
      <c r="BS73">
        <f>IF('Inputs'!$B$92="",0,IF(AND(BS4=1,'Inputs'!$Q$92=1),'Inputs'!$E$92,'Needs years'!$C$183/12+IF(BS71&gt;0,BS67/BS71*'Needs years'!$C$184/12,0)))</f>
      </c>
    </row>
    <row r="74" spans="2:71" x14ac:dyDescent="0.25">
      <c r="B74" t="s">
        <v>393</v>
      </c>
      <c r="C74">
        <f>IF('Inputs'!$B$93="",0,ROUND(IF(C31="S",'Inputs'!$O$93*C28,IF(C31="K",'Inputs'!$L$93*IF('Inputs'!$N$93=1,C33,C32),0))+'Inputs'!$Q$93*IF('Inputs'!$S$93=1,C35+C37+C43+C40,C34+C36+C42+C39)+SUMPRODUCT(('Inputs'!$F$59:$F$70='Inputs'!$B$93)*('Inputs'!$C$59:$C$70&lt;&gt;"Estate")*('Inputs'!$C$59:$C$70&lt;&gt;""),(('Inputs'!$D$59:$D$70-('Inputs'!$P$59:$P$70=C5)*C14)-'Inputs'!$R$59:$R$70*ROUND(C21*('Inputs'!$D$59:$D$70-('Inputs'!$P$59:$P$70=C5)*C14),2)))+IF(OR(C3=1,C3=2),C11-ROUND(C21*C11,2),0)+IF(AND(C3=3,C6='Inputs'!$B$93),C38,0),2))</f>
      </c>
      <c r="E74">
        <f>IF('Inputs'!$B$93="",0,ROUND(IF(E31="S",'Inputs'!$O$93*E28,IF(E31="K",'Inputs'!$L$93*IF('Inputs'!$N$93=1,E33,E32),0))+'Inputs'!$Q$93*IF('Inputs'!$S$93=1,E35+E37+E43+E40,E34+E36+E42+E39)+SUMPRODUCT(('Inputs'!$F$59:$F$70='Inputs'!$B$93)*('Inputs'!$C$59:$C$70&lt;&gt;"Estate")*('Inputs'!$C$59:$C$70&lt;&gt;""),(('Inputs'!$D$59:$D$70-('Inputs'!$P$59:$P$70=E5)*E14)-'Inputs'!$R$59:$R$70*ROUND(E21*('Inputs'!$D$59:$D$70-('Inputs'!$P$59:$P$70=E5)*E14),2)))+IF(OR(E3=1,E3=2),E11-ROUND(E21*E11,2),0)+IF(AND(E3=3,E6='Inputs'!$B$93),E38,0),2))</f>
      </c>
      <c r="F74">
        <f>IF('Inputs'!$B$93="",0,ROUND(IF(F31="S",'Inputs'!$O$93*F28,IF(F31="K",'Inputs'!$L$93*IF('Inputs'!$N$93=1,F33,F32),0))+'Inputs'!$Q$93*IF('Inputs'!$S$93=1,F35+F37+F43+F40,F34+F36+F42+F39)+SUMPRODUCT(('Inputs'!$F$59:$F$70='Inputs'!$B$93)*('Inputs'!$C$59:$C$70&lt;&gt;"Estate")*('Inputs'!$C$59:$C$70&lt;&gt;""),(('Inputs'!$D$59:$D$70-('Inputs'!$P$59:$P$70=F5)*F14)-'Inputs'!$R$59:$R$70*ROUND(F21*('Inputs'!$D$59:$D$70-('Inputs'!$P$59:$P$70=F5)*F14),2)))+IF(OR(F3=1,F3=2),F11-ROUND(F21*F11,2),0)+IF(AND(F3=3,F6='Inputs'!$B$93),F38,0),2))</f>
      </c>
      <c r="G74">
        <f>IF('Inputs'!$B$93="",0,ROUND(IF(G31="S",'Inputs'!$O$93*G28,IF(G31="K",'Inputs'!$L$93*IF('Inputs'!$N$93=1,G33,G32),0))+'Inputs'!$Q$93*IF('Inputs'!$S$93=1,G35+G37+G43+G40,G34+G36+G42+G39)+SUMPRODUCT(('Inputs'!$F$59:$F$70='Inputs'!$B$93)*('Inputs'!$C$59:$C$70&lt;&gt;"Estate")*('Inputs'!$C$59:$C$70&lt;&gt;""),(('Inputs'!$D$59:$D$70-('Inputs'!$P$59:$P$70=G5)*G14)-'Inputs'!$R$59:$R$70*ROUND(G21*('Inputs'!$D$59:$D$70-('Inputs'!$P$59:$P$70=G5)*G14),2)))+IF(OR(G3=1,G3=2),G11-ROUND(G21*G11,2),0)+IF(AND(G3=3,G6='Inputs'!$B$93),G38,0),2))</f>
      </c>
      <c r="H74">
        <f>IF('Inputs'!$B$93="",0,ROUND(IF(H31="S",'Inputs'!$O$93*H28,IF(H31="K",'Inputs'!$L$93*IF('Inputs'!$N$93=1,H33,H32),0))+'Inputs'!$Q$93*IF('Inputs'!$S$93=1,H35+H37+H43+H40,H34+H36+H42+H39)+SUMPRODUCT(('Inputs'!$F$59:$F$70='Inputs'!$B$93)*('Inputs'!$C$59:$C$70&lt;&gt;"Estate")*('Inputs'!$C$59:$C$70&lt;&gt;""),(('Inputs'!$D$59:$D$70-('Inputs'!$P$59:$P$70=H5)*H14)-'Inputs'!$R$59:$R$70*ROUND(H21*('Inputs'!$D$59:$D$70-('Inputs'!$P$59:$P$70=H5)*H14),2)))+IF(OR(H3=1,H3=2),H11-ROUND(H21*H11,2),0)+IF(AND(H3=3,H6='Inputs'!$B$93),H38,0),2))</f>
      </c>
      <c r="I74">
        <f>IF('Inputs'!$B$93="",0,ROUND(IF(I31="S",'Inputs'!$O$93*I28,IF(I31="K",'Inputs'!$L$93*IF('Inputs'!$N$93=1,I33,I32),0))+'Inputs'!$Q$93*IF('Inputs'!$S$93=1,I35+I37+I43+I40,I34+I36+I42+I39)+SUMPRODUCT(('Inputs'!$F$59:$F$70='Inputs'!$B$93)*('Inputs'!$C$59:$C$70&lt;&gt;"Estate")*('Inputs'!$C$59:$C$70&lt;&gt;""),(('Inputs'!$D$59:$D$70-('Inputs'!$P$59:$P$70=I5)*I14)-'Inputs'!$R$59:$R$70*ROUND(I21*('Inputs'!$D$59:$D$70-('Inputs'!$P$59:$P$70=I5)*I14),2)))+IF(OR(I3=1,I3=2),I11-ROUND(I21*I11,2),0)+IF(AND(I3=3,I6='Inputs'!$B$93),I38,0),2))</f>
      </c>
      <c r="J74">
        <f>IF('Inputs'!$B$93="",0,ROUND(IF(J31="S",'Inputs'!$O$93*J28,IF(J31="K",'Inputs'!$L$93*IF('Inputs'!$N$93=1,J33,J32),0))+'Inputs'!$Q$93*IF('Inputs'!$S$93=1,J35+J37+J43+J40,J34+J36+J42+J39)+SUMPRODUCT(('Inputs'!$F$59:$F$70='Inputs'!$B$93)*('Inputs'!$C$59:$C$70&lt;&gt;"Estate")*('Inputs'!$C$59:$C$70&lt;&gt;""),(('Inputs'!$D$59:$D$70-('Inputs'!$P$59:$P$70=J5)*J14)-'Inputs'!$R$59:$R$70*ROUND(J21*('Inputs'!$D$59:$D$70-('Inputs'!$P$59:$P$70=J5)*J14),2)))+IF(OR(J3=1,J3=2),J11-ROUND(J21*J11,2),0)+IF(AND(J3=3,J6='Inputs'!$B$93),J38,0),2))</f>
      </c>
      <c r="K74">
        <f>IF('Inputs'!$B$93="",0,ROUND(IF(K31="S",'Inputs'!$O$93*K28,IF(K31="K",'Inputs'!$L$93*IF('Inputs'!$N$93=1,K33,K32),0))+'Inputs'!$Q$93*IF('Inputs'!$S$93=1,K35+K37+K43+K40,K34+K36+K42+K39)+SUMPRODUCT(('Inputs'!$F$59:$F$70='Inputs'!$B$93)*('Inputs'!$C$59:$C$70&lt;&gt;"Estate")*('Inputs'!$C$59:$C$70&lt;&gt;""),(('Inputs'!$D$59:$D$70-('Inputs'!$P$59:$P$70=K5)*K14)-'Inputs'!$R$59:$R$70*ROUND(K21*('Inputs'!$D$59:$D$70-('Inputs'!$P$59:$P$70=K5)*K14),2)))+IF(OR(K3=1,K3=2),K11-ROUND(K21*K11,2),0)+IF(AND(K3=3,K6='Inputs'!$B$93),K38,0),2))</f>
      </c>
      <c r="L74">
        <f>IF('Inputs'!$B$93="",0,ROUND(IF(L31="S",'Inputs'!$O$93*L28,IF(L31="K",'Inputs'!$L$93*IF('Inputs'!$N$93=1,L33,L32),0))+'Inputs'!$Q$93*IF('Inputs'!$S$93=1,L35+L37+L43+L40,L34+L36+L42+L39)+SUMPRODUCT(('Inputs'!$F$59:$F$70='Inputs'!$B$93)*('Inputs'!$C$59:$C$70&lt;&gt;"Estate")*('Inputs'!$C$59:$C$70&lt;&gt;""),(('Inputs'!$D$59:$D$70-('Inputs'!$P$59:$P$70=L5)*L14)-'Inputs'!$R$59:$R$70*ROUND(L21*('Inputs'!$D$59:$D$70-('Inputs'!$P$59:$P$70=L5)*L14),2)))+IF(OR(L3=1,L3=2),L11-ROUND(L21*L11,2),0)+IF(AND(L3=3,L6='Inputs'!$B$93),L38,0),2))</f>
      </c>
      <c r="M74">
        <f>IF('Inputs'!$B$93="",0,ROUND(IF(M31="S",'Inputs'!$O$93*M28,IF(M31="K",'Inputs'!$L$93*IF('Inputs'!$N$93=1,M33,M32),0))+'Inputs'!$Q$93*IF('Inputs'!$S$93=1,M35+M37+M43+M40,M34+M36+M42+M39)+SUMPRODUCT(('Inputs'!$F$59:$F$70='Inputs'!$B$93)*('Inputs'!$C$59:$C$70&lt;&gt;"Estate")*('Inputs'!$C$59:$C$70&lt;&gt;""),(('Inputs'!$D$59:$D$70-('Inputs'!$P$59:$P$70=M5)*M14)-'Inputs'!$R$59:$R$70*ROUND(M21*('Inputs'!$D$59:$D$70-('Inputs'!$P$59:$P$70=M5)*M14),2)))+IF(OR(M3=1,M3=2),M11-ROUND(M21*M11,2),0)+IF(AND(M3=3,M6='Inputs'!$B$93),M38,0),2))</f>
      </c>
      <c r="N74">
        <f>IF('Inputs'!$B$93="",0,ROUND(IF(N31="S",'Inputs'!$O$93*N28,IF(N31="K",'Inputs'!$L$93*IF('Inputs'!$N$93=1,N33,N32),0))+'Inputs'!$Q$93*IF('Inputs'!$S$93=1,N35+N37+N43+N40,N34+N36+N42+N39)+SUMPRODUCT(('Inputs'!$F$59:$F$70='Inputs'!$B$93)*('Inputs'!$C$59:$C$70&lt;&gt;"Estate")*('Inputs'!$C$59:$C$70&lt;&gt;""),(('Inputs'!$D$59:$D$70-('Inputs'!$P$59:$P$70=N5)*N14)-'Inputs'!$R$59:$R$70*ROUND(N21*('Inputs'!$D$59:$D$70-('Inputs'!$P$59:$P$70=N5)*N14),2)))+IF(OR(N3=1,N3=2),N11-ROUND(N21*N11,2),0)+IF(AND(N3=3,N6='Inputs'!$B$93),N38,0),2))</f>
      </c>
      <c r="O74">
        <f>IF('Inputs'!$B$93="",0,ROUND(IF(O31="S",'Inputs'!$O$93*O28,IF(O31="K",'Inputs'!$L$93*IF('Inputs'!$N$93=1,O33,O32),0))+'Inputs'!$Q$93*IF('Inputs'!$S$93=1,O35+O37+O43+O40,O34+O36+O42+O39)+SUMPRODUCT(('Inputs'!$F$59:$F$70='Inputs'!$B$93)*('Inputs'!$C$59:$C$70&lt;&gt;"Estate")*('Inputs'!$C$59:$C$70&lt;&gt;""),(('Inputs'!$D$59:$D$70-('Inputs'!$P$59:$P$70=O5)*O14)-'Inputs'!$R$59:$R$70*ROUND(O21*('Inputs'!$D$59:$D$70-('Inputs'!$P$59:$P$70=O5)*O14),2)))+IF(OR(O3=1,O3=2),O11-ROUND(O21*O11,2),0)+IF(AND(O3=3,O6='Inputs'!$B$93),O38,0),2))</f>
      </c>
      <c r="P74">
        <f>IF('Inputs'!$B$93="",0,ROUND(IF(P31="S",'Inputs'!$O$93*P28,IF(P31="K",'Inputs'!$L$93*IF('Inputs'!$N$93=1,P33,P32),0))+'Inputs'!$Q$93*IF('Inputs'!$S$93=1,P35+P37+P43+P40,P34+P36+P42+P39)+SUMPRODUCT(('Inputs'!$F$59:$F$70='Inputs'!$B$93)*('Inputs'!$C$59:$C$70&lt;&gt;"Estate")*('Inputs'!$C$59:$C$70&lt;&gt;""),(('Inputs'!$D$59:$D$70-('Inputs'!$P$59:$P$70=P5)*P14)-'Inputs'!$R$59:$R$70*ROUND(P21*('Inputs'!$D$59:$D$70-('Inputs'!$P$59:$P$70=P5)*P14),2)))+IF(OR(P3=1,P3=2),P11-ROUND(P21*P11,2),0)+IF(AND(P3=3,P6='Inputs'!$B$93),P38,0),2))</f>
      </c>
      <c r="Q74">
        <f>IF('Inputs'!$B$93="",0,ROUND(IF(Q31="S",'Inputs'!$O$93*Q28,IF(Q31="K",'Inputs'!$L$93*IF('Inputs'!$N$93=1,Q33,Q32),0))+'Inputs'!$Q$93*IF('Inputs'!$S$93=1,Q35+Q37+Q43+Q40,Q34+Q36+Q42+Q39)+SUMPRODUCT(('Inputs'!$F$59:$F$70='Inputs'!$B$93)*('Inputs'!$C$59:$C$70&lt;&gt;"Estate")*('Inputs'!$C$59:$C$70&lt;&gt;""),(('Inputs'!$D$59:$D$70-('Inputs'!$P$59:$P$70=Q5)*Q14)-'Inputs'!$R$59:$R$70*ROUND(Q21*('Inputs'!$D$59:$D$70-('Inputs'!$P$59:$P$70=Q5)*Q14),2)))+IF(OR(Q3=1,Q3=2),Q11-ROUND(Q21*Q11,2),0)+IF(AND(Q3=3,Q6='Inputs'!$B$93),Q38,0),2))</f>
      </c>
      <c r="R74">
        <f>IF('Inputs'!$B$93="",0,ROUND(IF(R31="S",'Inputs'!$O$93*R28,IF(R31="K",'Inputs'!$L$93*IF('Inputs'!$N$93=1,R33,R32),0))+'Inputs'!$Q$93*IF('Inputs'!$S$93=1,R35+R37+R43+R40,R34+R36+R42+R39)+SUMPRODUCT(('Inputs'!$F$59:$F$70='Inputs'!$B$93)*('Inputs'!$C$59:$C$70&lt;&gt;"Estate")*('Inputs'!$C$59:$C$70&lt;&gt;""),(('Inputs'!$D$59:$D$70-('Inputs'!$P$59:$P$70=R5)*R14)-'Inputs'!$R$59:$R$70*ROUND(R21*('Inputs'!$D$59:$D$70-('Inputs'!$P$59:$P$70=R5)*R14),2)))+IF(OR(R3=1,R3=2),R11-ROUND(R21*R11,2),0)+IF(AND(R3=3,R6='Inputs'!$B$93),R38,0),2))</f>
      </c>
      <c r="S74">
        <f>IF('Inputs'!$B$93="",0,ROUND(IF(S31="S",'Inputs'!$O$93*S28,IF(S31="K",'Inputs'!$L$93*IF('Inputs'!$N$93=1,S33,S32),0))+'Inputs'!$Q$93*IF('Inputs'!$S$93=1,S35+S37+S43+S40,S34+S36+S42+S39)+SUMPRODUCT(('Inputs'!$F$59:$F$70='Inputs'!$B$93)*('Inputs'!$C$59:$C$70&lt;&gt;"Estate")*('Inputs'!$C$59:$C$70&lt;&gt;""),(('Inputs'!$D$59:$D$70-('Inputs'!$P$59:$P$70=S5)*S14)-'Inputs'!$R$59:$R$70*ROUND(S21*('Inputs'!$D$59:$D$70-('Inputs'!$P$59:$P$70=S5)*S14),2)))+IF(OR(S3=1,S3=2),S11-ROUND(S21*S11,2),0)+IF(AND(S3=3,S6='Inputs'!$B$93),S38,0),2))</f>
      </c>
      <c r="T74">
        <f>IF('Inputs'!$B$93="",0,ROUND(IF(T31="S",'Inputs'!$O$93*T28,IF(T31="K",'Inputs'!$L$93*IF('Inputs'!$N$93=1,T33,T32),0))+'Inputs'!$Q$93*IF('Inputs'!$S$93=1,T35+T37+T43+T40,T34+T36+T42+T39)+SUMPRODUCT(('Inputs'!$F$59:$F$70='Inputs'!$B$93)*('Inputs'!$C$59:$C$70&lt;&gt;"Estate")*('Inputs'!$C$59:$C$70&lt;&gt;""),(('Inputs'!$D$59:$D$70-('Inputs'!$P$59:$P$70=T5)*T14)-'Inputs'!$R$59:$R$70*ROUND(T21*('Inputs'!$D$59:$D$70-('Inputs'!$P$59:$P$70=T5)*T14),2)))+IF(OR(T3=1,T3=2),T11-ROUND(T21*T11,2),0)+IF(AND(T3=3,T6='Inputs'!$B$93),T38,0),2))</f>
      </c>
      <c r="V74">
        <f>IF('Inputs'!$B$93="",0,ROUND(IF(V31="S",'Inputs'!$O$93*V28,IF(V31="K",'Inputs'!$L$93*IF('Inputs'!$N$93=1,V33,V32),0))+'Inputs'!$Q$93*IF('Inputs'!$S$93=1,V35+V37+V43+V40,V34+V36+V42+V39)+SUMPRODUCT(('Inputs'!$F$59:$F$70='Inputs'!$B$93)*('Inputs'!$C$59:$C$70&lt;&gt;"Estate")*('Inputs'!$C$59:$C$70&lt;&gt;""),(('Inputs'!$D$59:$D$70-('Inputs'!$P$59:$P$70=V5)*V14)-'Inputs'!$R$59:$R$70*ROUND(V21*('Inputs'!$D$59:$D$70-('Inputs'!$P$59:$P$70=V5)*V14),2)))+IF(OR(V3=1,V3=2),V11-ROUND(V21*V11,2),0)+IF(AND(V3=3,V6='Inputs'!$B$93),V38,0),2))</f>
      </c>
      <c r="W74">
        <f>IF('Inputs'!$B$93="",0,ROUND(IF(W31="S",'Inputs'!$O$93*W28,IF(W31="K",'Inputs'!$L$93*IF('Inputs'!$N$93=1,W33,W32),0))+'Inputs'!$Q$93*IF('Inputs'!$S$93=1,W35+W37+W43+W40,W34+W36+W42+W39)+SUMPRODUCT(('Inputs'!$F$59:$F$70='Inputs'!$B$93)*('Inputs'!$C$59:$C$70&lt;&gt;"Estate")*('Inputs'!$C$59:$C$70&lt;&gt;""),(('Inputs'!$D$59:$D$70-('Inputs'!$P$59:$P$70=W5)*W14)-'Inputs'!$R$59:$R$70*ROUND(W21*('Inputs'!$D$59:$D$70-('Inputs'!$P$59:$P$70=W5)*W14),2)))+IF(OR(W3=1,W3=2),W11-ROUND(W21*W11,2),0)+IF(AND(W3=3,W6='Inputs'!$B$93),W38,0),2))</f>
      </c>
      <c r="X74">
        <f>IF('Inputs'!$B$93="",0,ROUND(IF(X31="S",'Inputs'!$O$93*X28,IF(X31="K",'Inputs'!$L$93*IF('Inputs'!$N$93=1,X33,X32),0))+'Inputs'!$Q$93*IF('Inputs'!$S$93=1,X35+X37+X43+X40,X34+X36+X42+X39)+SUMPRODUCT(('Inputs'!$F$59:$F$70='Inputs'!$B$93)*('Inputs'!$C$59:$C$70&lt;&gt;"Estate")*('Inputs'!$C$59:$C$70&lt;&gt;""),(('Inputs'!$D$59:$D$70-('Inputs'!$P$59:$P$70=X5)*X14)-'Inputs'!$R$59:$R$70*ROUND(X21*('Inputs'!$D$59:$D$70-('Inputs'!$P$59:$P$70=X5)*X14),2)))+IF(OR(X3=1,X3=2),X11-ROUND(X21*X11,2),0)+IF(AND(X3=3,X6='Inputs'!$B$93),X38,0),2))</f>
      </c>
      <c r="Y74">
        <f>IF('Inputs'!$B$93="",0,ROUND(IF(Y31="S",'Inputs'!$O$93*Y28,IF(Y31="K",'Inputs'!$L$93*IF('Inputs'!$N$93=1,Y33,Y32),0))+'Inputs'!$Q$93*IF('Inputs'!$S$93=1,Y35+Y37+Y43+Y40,Y34+Y36+Y42+Y39)+SUMPRODUCT(('Inputs'!$F$59:$F$70='Inputs'!$B$93)*('Inputs'!$C$59:$C$70&lt;&gt;"Estate")*('Inputs'!$C$59:$C$70&lt;&gt;""),(('Inputs'!$D$59:$D$70-('Inputs'!$P$59:$P$70=Y5)*Y14)-'Inputs'!$R$59:$R$70*ROUND(Y21*('Inputs'!$D$59:$D$70-('Inputs'!$P$59:$P$70=Y5)*Y14),2)))+IF(OR(Y3=1,Y3=2),Y11-ROUND(Y21*Y11,2),0)+IF(AND(Y3=3,Y6='Inputs'!$B$93),Y38,0),2))</f>
      </c>
      <c r="Z74">
        <f>IF('Inputs'!$B$93="",0,ROUND(IF(Z31="S",'Inputs'!$O$93*Z28,IF(Z31="K",'Inputs'!$L$93*IF('Inputs'!$N$93=1,Z33,Z32),0))+'Inputs'!$Q$93*IF('Inputs'!$S$93=1,Z35+Z37+Z43+Z40,Z34+Z36+Z42+Z39)+SUMPRODUCT(('Inputs'!$F$59:$F$70='Inputs'!$B$93)*('Inputs'!$C$59:$C$70&lt;&gt;"Estate")*('Inputs'!$C$59:$C$70&lt;&gt;""),(('Inputs'!$D$59:$D$70-('Inputs'!$P$59:$P$70=Z5)*Z14)-'Inputs'!$R$59:$R$70*ROUND(Z21*('Inputs'!$D$59:$D$70-('Inputs'!$P$59:$P$70=Z5)*Z14),2)))+IF(OR(Z3=1,Z3=2),Z11-ROUND(Z21*Z11,2),0)+IF(AND(Z3=3,Z6='Inputs'!$B$93),Z38,0),2))</f>
      </c>
      <c r="AA74">
        <f>IF('Inputs'!$B$93="",0,ROUND(IF(AA31="S",'Inputs'!$O$93*AA28,IF(AA31="K",'Inputs'!$L$93*IF('Inputs'!$N$93=1,AA33,AA32),0))+'Inputs'!$Q$93*IF('Inputs'!$S$93=1,AA35+AA37+AA43+AA40,AA34+AA36+AA42+AA39)+SUMPRODUCT(('Inputs'!$F$59:$F$70='Inputs'!$B$93)*('Inputs'!$C$59:$C$70&lt;&gt;"Estate")*('Inputs'!$C$59:$C$70&lt;&gt;""),(('Inputs'!$D$59:$D$70-('Inputs'!$P$59:$P$70=AA5)*AA14)-'Inputs'!$R$59:$R$70*ROUND(AA21*('Inputs'!$D$59:$D$70-('Inputs'!$P$59:$P$70=AA5)*AA14),2)))+IF(OR(AA3=1,AA3=2),AA11-ROUND(AA21*AA11,2),0)+IF(AND(AA3=3,AA6='Inputs'!$B$93),AA38,0),2))</f>
      </c>
      <c r="AB74">
        <f>IF('Inputs'!$B$93="",0,ROUND(IF(AB31="S",'Inputs'!$O$93*AB28,IF(AB31="K",'Inputs'!$L$93*IF('Inputs'!$N$93=1,AB33,AB32),0))+'Inputs'!$Q$93*IF('Inputs'!$S$93=1,AB35+AB37+AB43+AB40,AB34+AB36+AB42+AB39)+SUMPRODUCT(('Inputs'!$F$59:$F$70='Inputs'!$B$93)*('Inputs'!$C$59:$C$70&lt;&gt;"Estate")*('Inputs'!$C$59:$C$70&lt;&gt;""),(('Inputs'!$D$59:$D$70-('Inputs'!$P$59:$P$70=AB5)*AB14)-'Inputs'!$R$59:$R$70*ROUND(AB21*('Inputs'!$D$59:$D$70-('Inputs'!$P$59:$P$70=AB5)*AB14),2)))+IF(OR(AB3=1,AB3=2),AB11-ROUND(AB21*AB11,2),0)+IF(AND(AB3=3,AB6='Inputs'!$B$93),AB38,0),2))</f>
      </c>
      <c r="AC74">
        <f>IF('Inputs'!$B$93="",0,ROUND(IF(AC31="S",'Inputs'!$O$93*AC28,IF(AC31="K",'Inputs'!$L$93*IF('Inputs'!$N$93=1,AC33,AC32),0))+'Inputs'!$Q$93*IF('Inputs'!$S$93=1,AC35+AC37+AC43+AC40,AC34+AC36+AC42+AC39)+SUMPRODUCT(('Inputs'!$F$59:$F$70='Inputs'!$B$93)*('Inputs'!$C$59:$C$70&lt;&gt;"Estate")*('Inputs'!$C$59:$C$70&lt;&gt;""),(('Inputs'!$D$59:$D$70-('Inputs'!$P$59:$P$70=AC5)*AC14)-'Inputs'!$R$59:$R$70*ROUND(AC21*('Inputs'!$D$59:$D$70-('Inputs'!$P$59:$P$70=AC5)*AC14),2)))+IF(OR(AC3=1,AC3=2),AC11-ROUND(AC21*AC11,2),0)+IF(AND(AC3=3,AC6='Inputs'!$B$93),AC38,0),2))</f>
      </c>
      <c r="AD74">
        <f>IF('Inputs'!$B$93="",0,ROUND(IF(AD31="S",'Inputs'!$O$93*AD28,IF(AD31="K",'Inputs'!$L$93*IF('Inputs'!$N$93=1,AD33,AD32),0))+'Inputs'!$Q$93*IF('Inputs'!$S$93=1,AD35+AD37+AD43+AD40,AD34+AD36+AD42+AD39)+SUMPRODUCT(('Inputs'!$F$59:$F$70='Inputs'!$B$93)*('Inputs'!$C$59:$C$70&lt;&gt;"Estate")*('Inputs'!$C$59:$C$70&lt;&gt;""),(('Inputs'!$D$59:$D$70-('Inputs'!$P$59:$P$70=AD5)*AD14)-'Inputs'!$R$59:$R$70*ROUND(AD21*('Inputs'!$D$59:$D$70-('Inputs'!$P$59:$P$70=AD5)*AD14),2)))+IF(OR(AD3=1,AD3=2),AD11-ROUND(AD21*AD11,2),0)+IF(AND(AD3=3,AD6='Inputs'!$B$93),AD38,0),2))</f>
      </c>
      <c r="AE74">
        <f>IF('Inputs'!$B$93="",0,ROUND(IF(AE31="S",'Inputs'!$O$93*AE28,IF(AE31="K",'Inputs'!$L$93*IF('Inputs'!$N$93=1,AE33,AE32),0))+'Inputs'!$Q$93*IF('Inputs'!$S$93=1,AE35+AE37+AE43+AE40,AE34+AE36+AE42+AE39)+SUMPRODUCT(('Inputs'!$F$59:$F$70='Inputs'!$B$93)*('Inputs'!$C$59:$C$70&lt;&gt;"Estate")*('Inputs'!$C$59:$C$70&lt;&gt;""),(('Inputs'!$D$59:$D$70-('Inputs'!$P$59:$P$70=AE5)*AE14)-'Inputs'!$R$59:$R$70*ROUND(AE21*('Inputs'!$D$59:$D$70-('Inputs'!$P$59:$P$70=AE5)*AE14),2)))+IF(OR(AE3=1,AE3=2),AE11-ROUND(AE21*AE11,2),0)+IF(AND(AE3=3,AE6='Inputs'!$B$93),AE38,0),2))</f>
      </c>
      <c r="AF74">
        <f>IF('Inputs'!$B$93="",0,ROUND(IF(AF31="S",'Inputs'!$O$93*AF28,IF(AF31="K",'Inputs'!$L$93*IF('Inputs'!$N$93=1,AF33,AF32),0))+'Inputs'!$Q$93*IF('Inputs'!$S$93=1,AF35+AF37+AF43+AF40,AF34+AF36+AF42+AF39)+SUMPRODUCT(('Inputs'!$F$59:$F$70='Inputs'!$B$93)*('Inputs'!$C$59:$C$70&lt;&gt;"Estate")*('Inputs'!$C$59:$C$70&lt;&gt;""),(('Inputs'!$D$59:$D$70-('Inputs'!$P$59:$P$70=AF5)*AF14)-'Inputs'!$R$59:$R$70*ROUND(AF21*('Inputs'!$D$59:$D$70-('Inputs'!$P$59:$P$70=AF5)*AF14),2)))+IF(OR(AF3=1,AF3=2),AF11-ROUND(AF21*AF11,2),0)+IF(AND(AF3=3,AF6='Inputs'!$B$93),AF38,0),2))</f>
      </c>
      <c r="AG74">
        <f>IF('Inputs'!$B$93="",0,ROUND(IF(AG31="S",'Inputs'!$O$93*AG28,IF(AG31="K",'Inputs'!$L$93*IF('Inputs'!$N$93=1,AG33,AG32),0))+'Inputs'!$Q$93*IF('Inputs'!$S$93=1,AG35+AG37+AG43+AG40,AG34+AG36+AG42+AG39)+SUMPRODUCT(('Inputs'!$F$59:$F$70='Inputs'!$B$93)*('Inputs'!$C$59:$C$70&lt;&gt;"Estate")*('Inputs'!$C$59:$C$70&lt;&gt;""),(('Inputs'!$D$59:$D$70-('Inputs'!$P$59:$P$70=AG5)*AG14)-'Inputs'!$R$59:$R$70*ROUND(AG21*('Inputs'!$D$59:$D$70-('Inputs'!$P$59:$P$70=AG5)*AG14),2)))+IF(OR(AG3=1,AG3=2),AG11-ROUND(AG21*AG11,2),0)+IF(AND(AG3=3,AG6='Inputs'!$B$93),AG38,0),2))</f>
      </c>
      <c r="AH74">
        <f>IF('Inputs'!$B$93="",0,ROUND(IF(AH31="S",'Inputs'!$O$93*AH28,IF(AH31="K",'Inputs'!$L$93*IF('Inputs'!$N$93=1,AH33,AH32),0))+'Inputs'!$Q$93*IF('Inputs'!$S$93=1,AH35+AH37+AH43+AH40,AH34+AH36+AH42+AH39)+SUMPRODUCT(('Inputs'!$F$59:$F$70='Inputs'!$B$93)*('Inputs'!$C$59:$C$70&lt;&gt;"Estate")*('Inputs'!$C$59:$C$70&lt;&gt;""),(('Inputs'!$D$59:$D$70-('Inputs'!$P$59:$P$70=AH5)*AH14)-'Inputs'!$R$59:$R$70*ROUND(AH21*('Inputs'!$D$59:$D$70-('Inputs'!$P$59:$P$70=AH5)*AH14),2)))+IF(OR(AH3=1,AH3=2),AH11-ROUND(AH21*AH11,2),0)+IF(AND(AH3=3,AH6='Inputs'!$B$93),AH38,0),2))</f>
      </c>
      <c r="AI74">
        <f>IF('Inputs'!$B$93="",0,ROUND(IF(AI31="S",'Inputs'!$O$93*AI28,IF(AI31="K",'Inputs'!$L$93*IF('Inputs'!$N$93=1,AI33,AI32),0))+'Inputs'!$Q$93*IF('Inputs'!$S$93=1,AI35+AI37+AI43+AI40,AI34+AI36+AI42+AI39)+SUMPRODUCT(('Inputs'!$F$59:$F$70='Inputs'!$B$93)*('Inputs'!$C$59:$C$70&lt;&gt;"Estate")*('Inputs'!$C$59:$C$70&lt;&gt;""),(('Inputs'!$D$59:$D$70-('Inputs'!$P$59:$P$70=AI5)*AI14)-'Inputs'!$R$59:$R$70*ROUND(AI21*('Inputs'!$D$59:$D$70-('Inputs'!$P$59:$P$70=AI5)*AI14),2)))+IF(OR(AI3=1,AI3=2),AI11-ROUND(AI21*AI11,2),0)+IF(AND(AI3=3,AI6='Inputs'!$B$93),AI38,0),2))</f>
      </c>
      <c r="AJ74">
        <f>IF('Inputs'!$B$93="",0,ROUND(IF(AJ31="S",'Inputs'!$O$93*AJ28,IF(AJ31="K",'Inputs'!$L$93*IF('Inputs'!$N$93=1,AJ33,AJ32),0))+'Inputs'!$Q$93*IF('Inputs'!$S$93=1,AJ35+AJ37+AJ43+AJ40,AJ34+AJ36+AJ42+AJ39)+SUMPRODUCT(('Inputs'!$F$59:$F$70='Inputs'!$B$93)*('Inputs'!$C$59:$C$70&lt;&gt;"Estate")*('Inputs'!$C$59:$C$70&lt;&gt;""),(('Inputs'!$D$59:$D$70-('Inputs'!$P$59:$P$70=AJ5)*AJ14)-'Inputs'!$R$59:$R$70*ROUND(AJ21*('Inputs'!$D$59:$D$70-('Inputs'!$P$59:$P$70=AJ5)*AJ14),2)))+IF(OR(AJ3=1,AJ3=2),AJ11-ROUND(AJ21*AJ11,2),0)+IF(AND(AJ3=3,AJ6='Inputs'!$B$93),AJ38,0),2))</f>
      </c>
      <c r="AK74">
        <f>IF('Inputs'!$B$93="",0,ROUND(IF(AK31="S",'Inputs'!$O$93*AK28,IF(AK31="K",'Inputs'!$L$93*IF('Inputs'!$N$93=1,AK33,AK32),0))+'Inputs'!$Q$93*IF('Inputs'!$S$93=1,AK35+AK37+AK43+AK40,AK34+AK36+AK42+AK39)+SUMPRODUCT(('Inputs'!$F$59:$F$70='Inputs'!$B$93)*('Inputs'!$C$59:$C$70&lt;&gt;"Estate")*('Inputs'!$C$59:$C$70&lt;&gt;""),(('Inputs'!$D$59:$D$70-('Inputs'!$P$59:$P$70=AK5)*AK14)-'Inputs'!$R$59:$R$70*ROUND(AK21*('Inputs'!$D$59:$D$70-('Inputs'!$P$59:$P$70=AK5)*AK14),2)))+IF(OR(AK3=1,AK3=2),AK11-ROUND(AK21*AK11,2),0)+IF(AND(AK3=3,AK6='Inputs'!$B$93),AK38,0),2))</f>
      </c>
      <c r="AM74">
        <f>IF('Inputs'!$B$93="",0,ROUND(IF(AM31="S",'Inputs'!$O$93*AM28,IF(AM31="K",'Inputs'!$L$93*IF('Inputs'!$N$93=1,AM33,AM32),0))+'Inputs'!$Q$93*IF('Inputs'!$S$93=1,AM35+AM37+AM43+AM40,AM34+AM36+AM42+AM39)+SUMPRODUCT(('Inputs'!$F$59:$F$70='Inputs'!$B$93)*('Inputs'!$C$59:$C$70&lt;&gt;"Estate")*('Inputs'!$C$59:$C$70&lt;&gt;""),(('Inputs'!$D$59:$D$70-('Inputs'!$P$59:$P$70=AM5)*AM14)-'Inputs'!$R$59:$R$70*ROUND(AM21*('Inputs'!$D$59:$D$70-('Inputs'!$P$59:$P$70=AM5)*AM14),2)))+IF(OR(AM3=1,AM3=2),AM11-ROUND(AM21*AM11,2),0)+IF(AND(AM3=3,AM6='Inputs'!$B$93),AM38,0),2))</f>
      </c>
      <c r="AN74">
        <f>IF('Inputs'!$B$93="",0,ROUND(IF(AN31="S",'Inputs'!$O$93*AN28,IF(AN31="K",'Inputs'!$L$93*IF('Inputs'!$N$93=1,AN33,AN32),0))+'Inputs'!$Q$93*IF('Inputs'!$S$93=1,AN35+AN37+AN43+AN40,AN34+AN36+AN42+AN39)+SUMPRODUCT(('Inputs'!$F$59:$F$70='Inputs'!$B$93)*('Inputs'!$C$59:$C$70&lt;&gt;"Estate")*('Inputs'!$C$59:$C$70&lt;&gt;""),(('Inputs'!$D$59:$D$70-('Inputs'!$P$59:$P$70=AN5)*AN14)-'Inputs'!$R$59:$R$70*ROUND(AN21*('Inputs'!$D$59:$D$70-('Inputs'!$P$59:$P$70=AN5)*AN14),2)))+IF(OR(AN3=1,AN3=2),AN11-ROUND(AN21*AN11,2),0)+IF(AND(AN3=3,AN6='Inputs'!$B$93),AN38,0),2))</f>
      </c>
      <c r="AO74">
        <f>IF('Inputs'!$B$93="",0,ROUND(IF(AO31="S",'Inputs'!$O$93*AO28,IF(AO31="K",'Inputs'!$L$93*IF('Inputs'!$N$93=1,AO33,AO32),0))+'Inputs'!$Q$93*IF('Inputs'!$S$93=1,AO35+AO37+AO43+AO40,AO34+AO36+AO42+AO39)+SUMPRODUCT(('Inputs'!$F$59:$F$70='Inputs'!$B$93)*('Inputs'!$C$59:$C$70&lt;&gt;"Estate")*('Inputs'!$C$59:$C$70&lt;&gt;""),(('Inputs'!$D$59:$D$70-('Inputs'!$P$59:$P$70=AO5)*AO14)-'Inputs'!$R$59:$R$70*ROUND(AO21*('Inputs'!$D$59:$D$70-('Inputs'!$P$59:$P$70=AO5)*AO14),2)))+IF(OR(AO3=1,AO3=2),AO11-ROUND(AO21*AO11,2),0)+IF(AND(AO3=3,AO6='Inputs'!$B$93),AO38,0),2))</f>
      </c>
      <c r="AP74">
        <f>IF('Inputs'!$B$93="",0,ROUND(IF(AP31="S",'Inputs'!$O$93*AP28,IF(AP31="K",'Inputs'!$L$93*IF('Inputs'!$N$93=1,AP33,AP32),0))+'Inputs'!$Q$93*IF('Inputs'!$S$93=1,AP35+AP37+AP43+AP40,AP34+AP36+AP42+AP39)+SUMPRODUCT(('Inputs'!$F$59:$F$70='Inputs'!$B$93)*('Inputs'!$C$59:$C$70&lt;&gt;"Estate")*('Inputs'!$C$59:$C$70&lt;&gt;""),(('Inputs'!$D$59:$D$70-('Inputs'!$P$59:$P$70=AP5)*AP14)-'Inputs'!$R$59:$R$70*ROUND(AP21*('Inputs'!$D$59:$D$70-('Inputs'!$P$59:$P$70=AP5)*AP14),2)))+IF(OR(AP3=1,AP3=2),AP11-ROUND(AP21*AP11,2),0)+IF(AND(AP3=3,AP6='Inputs'!$B$93),AP38,0),2))</f>
      </c>
      <c r="AQ74">
        <f>IF('Inputs'!$B$93="",0,ROUND(IF(AQ31="S",'Inputs'!$O$93*AQ28,IF(AQ31="K",'Inputs'!$L$93*IF('Inputs'!$N$93=1,AQ33,AQ32),0))+'Inputs'!$Q$93*IF('Inputs'!$S$93=1,AQ35+AQ37+AQ43+AQ40,AQ34+AQ36+AQ42+AQ39)+SUMPRODUCT(('Inputs'!$F$59:$F$70='Inputs'!$B$93)*('Inputs'!$C$59:$C$70&lt;&gt;"Estate")*('Inputs'!$C$59:$C$70&lt;&gt;""),(('Inputs'!$D$59:$D$70-('Inputs'!$P$59:$P$70=AQ5)*AQ14)-'Inputs'!$R$59:$R$70*ROUND(AQ21*('Inputs'!$D$59:$D$70-('Inputs'!$P$59:$P$70=AQ5)*AQ14),2)))+IF(OR(AQ3=1,AQ3=2),AQ11-ROUND(AQ21*AQ11,2),0)+IF(AND(AQ3=3,AQ6='Inputs'!$B$93),AQ38,0),2))</f>
      </c>
      <c r="AR74">
        <f>IF('Inputs'!$B$93="",0,ROUND(IF(AR31="S",'Inputs'!$O$93*AR28,IF(AR31="K",'Inputs'!$L$93*IF('Inputs'!$N$93=1,AR33,AR32),0))+'Inputs'!$Q$93*IF('Inputs'!$S$93=1,AR35+AR37+AR43+AR40,AR34+AR36+AR42+AR39)+SUMPRODUCT(('Inputs'!$F$59:$F$70='Inputs'!$B$93)*('Inputs'!$C$59:$C$70&lt;&gt;"Estate")*('Inputs'!$C$59:$C$70&lt;&gt;""),(('Inputs'!$D$59:$D$70-('Inputs'!$P$59:$P$70=AR5)*AR14)-'Inputs'!$R$59:$R$70*ROUND(AR21*('Inputs'!$D$59:$D$70-('Inputs'!$P$59:$P$70=AR5)*AR14),2)))+IF(OR(AR3=1,AR3=2),AR11-ROUND(AR21*AR11,2),0)+IF(AND(AR3=3,AR6='Inputs'!$B$93),AR38,0),2))</f>
      </c>
      <c r="AS74">
        <f>IF('Inputs'!$B$93="",0,ROUND(IF(AS31="S",'Inputs'!$O$93*AS28,IF(AS31="K",'Inputs'!$L$93*IF('Inputs'!$N$93=1,AS33,AS32),0))+'Inputs'!$Q$93*IF('Inputs'!$S$93=1,AS35+AS37+AS43+AS40,AS34+AS36+AS42+AS39)+SUMPRODUCT(('Inputs'!$F$59:$F$70='Inputs'!$B$93)*('Inputs'!$C$59:$C$70&lt;&gt;"Estate")*('Inputs'!$C$59:$C$70&lt;&gt;""),(('Inputs'!$D$59:$D$70-('Inputs'!$P$59:$P$70=AS5)*AS14)-'Inputs'!$R$59:$R$70*ROUND(AS21*('Inputs'!$D$59:$D$70-('Inputs'!$P$59:$P$70=AS5)*AS14),2)))+IF(OR(AS3=1,AS3=2),AS11-ROUND(AS21*AS11,2),0)+IF(AND(AS3=3,AS6='Inputs'!$B$93),AS38,0),2))</f>
      </c>
      <c r="AT74">
        <f>IF('Inputs'!$B$93="",0,ROUND(IF(AT31="S",'Inputs'!$O$93*AT28,IF(AT31="K",'Inputs'!$L$93*IF('Inputs'!$N$93=1,AT33,AT32),0))+'Inputs'!$Q$93*IF('Inputs'!$S$93=1,AT35+AT37+AT43+AT40,AT34+AT36+AT42+AT39)+SUMPRODUCT(('Inputs'!$F$59:$F$70='Inputs'!$B$93)*('Inputs'!$C$59:$C$70&lt;&gt;"Estate")*('Inputs'!$C$59:$C$70&lt;&gt;""),(('Inputs'!$D$59:$D$70-('Inputs'!$P$59:$P$70=AT5)*AT14)-'Inputs'!$R$59:$R$70*ROUND(AT21*('Inputs'!$D$59:$D$70-('Inputs'!$P$59:$P$70=AT5)*AT14),2)))+IF(OR(AT3=1,AT3=2),AT11-ROUND(AT21*AT11,2),0)+IF(AND(AT3=3,AT6='Inputs'!$B$93),AT38,0),2))</f>
      </c>
      <c r="AU74">
        <f>IF('Inputs'!$B$93="",0,ROUND(IF(AU31="S",'Inputs'!$O$93*AU28,IF(AU31="K",'Inputs'!$L$93*IF('Inputs'!$N$93=1,AU33,AU32),0))+'Inputs'!$Q$93*IF('Inputs'!$S$93=1,AU35+AU37+AU43+AU40,AU34+AU36+AU42+AU39)+SUMPRODUCT(('Inputs'!$F$59:$F$70='Inputs'!$B$93)*('Inputs'!$C$59:$C$70&lt;&gt;"Estate")*('Inputs'!$C$59:$C$70&lt;&gt;""),(('Inputs'!$D$59:$D$70-('Inputs'!$P$59:$P$70=AU5)*AU14)-'Inputs'!$R$59:$R$70*ROUND(AU21*('Inputs'!$D$59:$D$70-('Inputs'!$P$59:$P$70=AU5)*AU14),2)))+IF(OR(AU3=1,AU3=2),AU11-ROUND(AU21*AU11,2),0)+IF(AND(AU3=3,AU6='Inputs'!$B$93),AU38,0),2))</f>
      </c>
      <c r="AV74">
        <f>IF('Inputs'!$B$93="",0,ROUND(IF(AV31="S",'Inputs'!$O$93*AV28,IF(AV31="K",'Inputs'!$L$93*IF('Inputs'!$N$93=1,AV33,AV32),0))+'Inputs'!$Q$93*IF('Inputs'!$S$93=1,AV35+AV37+AV43+AV40,AV34+AV36+AV42+AV39)+SUMPRODUCT(('Inputs'!$F$59:$F$70='Inputs'!$B$93)*('Inputs'!$C$59:$C$70&lt;&gt;"Estate")*('Inputs'!$C$59:$C$70&lt;&gt;""),(('Inputs'!$D$59:$D$70-('Inputs'!$P$59:$P$70=AV5)*AV14)-'Inputs'!$R$59:$R$70*ROUND(AV21*('Inputs'!$D$59:$D$70-('Inputs'!$P$59:$P$70=AV5)*AV14),2)))+IF(OR(AV3=1,AV3=2),AV11-ROUND(AV21*AV11,2),0)+IF(AND(AV3=3,AV6='Inputs'!$B$93),AV38,0),2))</f>
      </c>
      <c r="AW74">
        <f>IF('Inputs'!$B$93="",0,ROUND(IF(AW31="S",'Inputs'!$O$93*AW28,IF(AW31="K",'Inputs'!$L$93*IF('Inputs'!$N$93=1,AW33,AW32),0))+'Inputs'!$Q$93*IF('Inputs'!$S$93=1,AW35+AW37+AW43+AW40,AW34+AW36+AW42+AW39)+SUMPRODUCT(('Inputs'!$F$59:$F$70='Inputs'!$B$93)*('Inputs'!$C$59:$C$70&lt;&gt;"Estate")*('Inputs'!$C$59:$C$70&lt;&gt;""),(('Inputs'!$D$59:$D$70-('Inputs'!$P$59:$P$70=AW5)*AW14)-'Inputs'!$R$59:$R$70*ROUND(AW21*('Inputs'!$D$59:$D$70-('Inputs'!$P$59:$P$70=AW5)*AW14),2)))+IF(OR(AW3=1,AW3=2),AW11-ROUND(AW21*AW11,2),0)+IF(AND(AW3=3,AW6='Inputs'!$B$93),AW38,0),2))</f>
      </c>
      <c r="AX74">
        <f>IF('Inputs'!$B$93="",0,ROUND(IF(AX31="S",'Inputs'!$O$93*AX28,IF(AX31="K",'Inputs'!$L$93*IF('Inputs'!$N$93=1,AX33,AX32),0))+'Inputs'!$Q$93*IF('Inputs'!$S$93=1,AX35+AX37+AX43+AX40,AX34+AX36+AX42+AX39)+SUMPRODUCT(('Inputs'!$F$59:$F$70='Inputs'!$B$93)*('Inputs'!$C$59:$C$70&lt;&gt;"Estate")*('Inputs'!$C$59:$C$70&lt;&gt;""),(('Inputs'!$D$59:$D$70-('Inputs'!$P$59:$P$70=AX5)*AX14)-'Inputs'!$R$59:$R$70*ROUND(AX21*('Inputs'!$D$59:$D$70-('Inputs'!$P$59:$P$70=AX5)*AX14),2)))+IF(OR(AX3=1,AX3=2),AX11-ROUND(AX21*AX11,2),0)+IF(AND(AX3=3,AX6='Inputs'!$B$93),AX38,0),2))</f>
      </c>
      <c r="AY74">
        <f>IF('Inputs'!$B$93="",0,ROUND(IF(AY31="S",'Inputs'!$O$93*AY28,IF(AY31="K",'Inputs'!$L$93*IF('Inputs'!$N$93=1,AY33,AY32),0))+'Inputs'!$Q$93*IF('Inputs'!$S$93=1,AY35+AY37+AY43+AY40,AY34+AY36+AY42+AY39)+SUMPRODUCT(('Inputs'!$F$59:$F$70='Inputs'!$B$93)*('Inputs'!$C$59:$C$70&lt;&gt;"Estate")*('Inputs'!$C$59:$C$70&lt;&gt;""),(('Inputs'!$D$59:$D$70-('Inputs'!$P$59:$P$70=AY5)*AY14)-'Inputs'!$R$59:$R$70*ROUND(AY21*('Inputs'!$D$59:$D$70-('Inputs'!$P$59:$P$70=AY5)*AY14),2)))+IF(OR(AY3=1,AY3=2),AY11-ROUND(AY21*AY11,2),0)+IF(AND(AY3=3,AY6='Inputs'!$B$93),AY38,0),2))</f>
      </c>
      <c r="AZ74">
        <f>IF('Inputs'!$B$93="",0,ROUND(IF(AZ31="S",'Inputs'!$O$93*AZ28,IF(AZ31="K",'Inputs'!$L$93*IF('Inputs'!$N$93=1,AZ33,AZ32),0))+'Inputs'!$Q$93*IF('Inputs'!$S$93=1,AZ35+AZ37+AZ43+AZ40,AZ34+AZ36+AZ42+AZ39)+SUMPRODUCT(('Inputs'!$F$59:$F$70='Inputs'!$B$93)*('Inputs'!$C$59:$C$70&lt;&gt;"Estate")*('Inputs'!$C$59:$C$70&lt;&gt;""),(('Inputs'!$D$59:$D$70-('Inputs'!$P$59:$P$70=AZ5)*AZ14)-'Inputs'!$R$59:$R$70*ROUND(AZ21*('Inputs'!$D$59:$D$70-('Inputs'!$P$59:$P$70=AZ5)*AZ14),2)))+IF(OR(AZ3=1,AZ3=2),AZ11-ROUND(AZ21*AZ11,2),0)+IF(AND(AZ3=3,AZ6='Inputs'!$B$93),AZ38,0),2))</f>
      </c>
      <c r="BA74">
        <f>IF('Inputs'!$B$93="",0,ROUND(IF(BA31="S",'Inputs'!$O$93*BA28,IF(BA31="K",'Inputs'!$L$93*IF('Inputs'!$N$93=1,BA33,BA32),0))+'Inputs'!$Q$93*IF('Inputs'!$S$93=1,BA35+BA37+BA43+BA40,BA34+BA36+BA42+BA39)+SUMPRODUCT(('Inputs'!$F$59:$F$70='Inputs'!$B$93)*('Inputs'!$C$59:$C$70&lt;&gt;"Estate")*('Inputs'!$C$59:$C$70&lt;&gt;""),(('Inputs'!$D$59:$D$70-('Inputs'!$P$59:$P$70=BA5)*BA14)-'Inputs'!$R$59:$R$70*ROUND(BA21*('Inputs'!$D$59:$D$70-('Inputs'!$P$59:$P$70=BA5)*BA14),2)))+IF(OR(BA3=1,BA3=2),BA11-ROUND(BA21*BA11,2),0)+IF(AND(BA3=3,BA6='Inputs'!$B$93),BA38,0),2))</f>
      </c>
      <c r="BB74">
        <f>IF('Inputs'!$B$93="",0,ROUND(IF(BB31="S",'Inputs'!$O$93*BB28,IF(BB31="K",'Inputs'!$L$93*IF('Inputs'!$N$93=1,BB33,BB32),0))+'Inputs'!$Q$93*IF('Inputs'!$S$93=1,BB35+BB37+BB43+BB40,BB34+BB36+BB42+BB39)+SUMPRODUCT(('Inputs'!$F$59:$F$70='Inputs'!$B$93)*('Inputs'!$C$59:$C$70&lt;&gt;"Estate")*('Inputs'!$C$59:$C$70&lt;&gt;""),(('Inputs'!$D$59:$D$70-('Inputs'!$P$59:$P$70=BB5)*BB14)-'Inputs'!$R$59:$R$70*ROUND(BB21*('Inputs'!$D$59:$D$70-('Inputs'!$P$59:$P$70=BB5)*BB14),2)))+IF(OR(BB3=1,BB3=2),BB11-ROUND(BB21*BB11,2),0)+IF(AND(BB3=3,BB6='Inputs'!$B$93),BB38,0),2))</f>
      </c>
      <c r="BD74">
        <f>IF('Inputs'!$B$93="",0,ROUND(IF(BD31="S",'Inputs'!$O$93*BD28,IF(BD31="K",'Inputs'!$L$93*IF('Inputs'!$N$93=1,BD33,BD32),0))+'Inputs'!$Q$93*IF('Inputs'!$S$93=1,BD35+BD37+BD43+BD40,BD34+BD36+BD42+BD39)+SUMPRODUCT(('Inputs'!$F$59:$F$70='Inputs'!$B$93)*('Inputs'!$C$59:$C$70&lt;&gt;"Estate")*('Inputs'!$C$59:$C$70&lt;&gt;""),(('Inputs'!$D$59:$D$70-('Inputs'!$P$59:$P$70=BD5)*BD14)-'Inputs'!$R$59:$R$70*ROUND(BD21*('Inputs'!$D$59:$D$70-('Inputs'!$P$59:$P$70=BD5)*BD14),2)))+IF(OR(BD3=1,BD3=2),BD11-ROUND(BD21*BD11,2),0)+IF(AND(BD3=3,BD6='Inputs'!$B$93),BD38,0),2))</f>
      </c>
      <c r="BE74">
        <f>IF('Inputs'!$B$93="",0,ROUND(IF(BE31="S",'Inputs'!$O$93*BE28,IF(BE31="K",'Inputs'!$L$93*IF('Inputs'!$N$93=1,BE33,BE32),0))+'Inputs'!$Q$93*IF('Inputs'!$S$93=1,BE35+BE37+BE43+BE40,BE34+BE36+BE42+BE39)+SUMPRODUCT(('Inputs'!$F$59:$F$70='Inputs'!$B$93)*('Inputs'!$C$59:$C$70&lt;&gt;"Estate")*('Inputs'!$C$59:$C$70&lt;&gt;""),(('Inputs'!$D$59:$D$70-('Inputs'!$P$59:$P$70=BE5)*BE14)-'Inputs'!$R$59:$R$70*ROUND(BE21*('Inputs'!$D$59:$D$70-('Inputs'!$P$59:$P$70=BE5)*BE14),2)))+IF(OR(BE3=1,BE3=2),BE11-ROUND(BE21*BE11,2),0)+IF(AND(BE3=3,BE6='Inputs'!$B$93),BE38,0),2))</f>
      </c>
      <c r="BF74">
        <f>IF('Inputs'!$B$93="",0,ROUND(IF(BF31="S",'Inputs'!$O$93*BF28,IF(BF31="K",'Inputs'!$L$93*IF('Inputs'!$N$93=1,BF33,BF32),0))+'Inputs'!$Q$93*IF('Inputs'!$S$93=1,BF35+BF37+BF43+BF40,BF34+BF36+BF42+BF39)+SUMPRODUCT(('Inputs'!$F$59:$F$70='Inputs'!$B$93)*('Inputs'!$C$59:$C$70&lt;&gt;"Estate")*('Inputs'!$C$59:$C$70&lt;&gt;""),(('Inputs'!$D$59:$D$70-('Inputs'!$P$59:$P$70=BF5)*BF14)-'Inputs'!$R$59:$R$70*ROUND(BF21*('Inputs'!$D$59:$D$70-('Inputs'!$P$59:$P$70=BF5)*BF14),2)))+IF(OR(BF3=1,BF3=2),BF11-ROUND(BF21*BF11,2),0)+IF(AND(BF3=3,BF6='Inputs'!$B$93),BF38,0),2))</f>
      </c>
      <c r="BG74">
        <f>IF('Inputs'!$B$93="",0,ROUND(IF(BG31="S",'Inputs'!$O$93*BG28,IF(BG31="K",'Inputs'!$L$93*IF('Inputs'!$N$93=1,BG33,BG32),0))+'Inputs'!$Q$93*IF('Inputs'!$S$93=1,BG35+BG37+BG43+BG40,BG34+BG36+BG42+BG39)+SUMPRODUCT(('Inputs'!$F$59:$F$70='Inputs'!$B$93)*('Inputs'!$C$59:$C$70&lt;&gt;"Estate")*('Inputs'!$C$59:$C$70&lt;&gt;""),(('Inputs'!$D$59:$D$70-('Inputs'!$P$59:$P$70=BG5)*BG14)-'Inputs'!$R$59:$R$70*ROUND(BG21*('Inputs'!$D$59:$D$70-('Inputs'!$P$59:$P$70=BG5)*BG14),2)))+IF(OR(BG3=1,BG3=2),BG11-ROUND(BG21*BG11,2),0)+IF(AND(BG3=3,BG6='Inputs'!$B$93),BG38,0),2))</f>
      </c>
      <c r="BH74">
        <f>IF('Inputs'!$B$93="",0,ROUND(IF(BH31="S",'Inputs'!$O$93*BH28,IF(BH31="K",'Inputs'!$L$93*IF('Inputs'!$N$93=1,BH33,BH32),0))+'Inputs'!$Q$93*IF('Inputs'!$S$93=1,BH35+BH37+BH43+BH40,BH34+BH36+BH42+BH39)+SUMPRODUCT(('Inputs'!$F$59:$F$70='Inputs'!$B$93)*('Inputs'!$C$59:$C$70&lt;&gt;"Estate")*('Inputs'!$C$59:$C$70&lt;&gt;""),(('Inputs'!$D$59:$D$70-('Inputs'!$P$59:$P$70=BH5)*BH14)-'Inputs'!$R$59:$R$70*ROUND(BH21*('Inputs'!$D$59:$D$70-('Inputs'!$P$59:$P$70=BH5)*BH14),2)))+IF(OR(BH3=1,BH3=2),BH11-ROUND(BH21*BH11,2),0)+IF(AND(BH3=3,BH6='Inputs'!$B$93),BH38,0),2))</f>
      </c>
      <c r="BI74">
        <f>IF('Inputs'!$B$93="",0,ROUND(IF(BI31="S",'Inputs'!$O$93*BI28,IF(BI31="K",'Inputs'!$L$93*IF('Inputs'!$N$93=1,BI33,BI32),0))+'Inputs'!$Q$93*IF('Inputs'!$S$93=1,BI35+BI37+BI43+BI40,BI34+BI36+BI42+BI39)+SUMPRODUCT(('Inputs'!$F$59:$F$70='Inputs'!$B$93)*('Inputs'!$C$59:$C$70&lt;&gt;"Estate")*('Inputs'!$C$59:$C$70&lt;&gt;""),(('Inputs'!$D$59:$D$70-('Inputs'!$P$59:$P$70=BI5)*BI14)-'Inputs'!$R$59:$R$70*ROUND(BI21*('Inputs'!$D$59:$D$70-('Inputs'!$P$59:$P$70=BI5)*BI14),2)))+IF(OR(BI3=1,BI3=2),BI11-ROUND(BI21*BI11,2),0)+IF(AND(BI3=3,BI6='Inputs'!$B$93),BI38,0),2))</f>
      </c>
      <c r="BJ74">
        <f>IF('Inputs'!$B$93="",0,ROUND(IF(BJ31="S",'Inputs'!$O$93*BJ28,IF(BJ31="K",'Inputs'!$L$93*IF('Inputs'!$N$93=1,BJ33,BJ32),0))+'Inputs'!$Q$93*IF('Inputs'!$S$93=1,BJ35+BJ37+BJ43+BJ40,BJ34+BJ36+BJ42+BJ39)+SUMPRODUCT(('Inputs'!$F$59:$F$70='Inputs'!$B$93)*('Inputs'!$C$59:$C$70&lt;&gt;"Estate")*('Inputs'!$C$59:$C$70&lt;&gt;""),(('Inputs'!$D$59:$D$70-('Inputs'!$P$59:$P$70=BJ5)*BJ14)-'Inputs'!$R$59:$R$70*ROUND(BJ21*('Inputs'!$D$59:$D$70-('Inputs'!$P$59:$P$70=BJ5)*BJ14),2)))+IF(OR(BJ3=1,BJ3=2),BJ11-ROUND(BJ21*BJ11,2),0)+IF(AND(BJ3=3,BJ6='Inputs'!$B$93),BJ38,0),2))</f>
      </c>
      <c r="BK74">
        <f>IF('Inputs'!$B$93="",0,ROUND(IF(BK31="S",'Inputs'!$O$93*BK28,IF(BK31="K",'Inputs'!$L$93*IF('Inputs'!$N$93=1,BK33,BK32),0))+'Inputs'!$Q$93*IF('Inputs'!$S$93=1,BK35+BK37+BK43+BK40,BK34+BK36+BK42+BK39)+SUMPRODUCT(('Inputs'!$F$59:$F$70='Inputs'!$B$93)*('Inputs'!$C$59:$C$70&lt;&gt;"Estate")*('Inputs'!$C$59:$C$70&lt;&gt;""),(('Inputs'!$D$59:$D$70-('Inputs'!$P$59:$P$70=BK5)*BK14)-'Inputs'!$R$59:$R$70*ROUND(BK21*('Inputs'!$D$59:$D$70-('Inputs'!$P$59:$P$70=BK5)*BK14),2)))+IF(OR(BK3=1,BK3=2),BK11-ROUND(BK21*BK11,2),0)+IF(AND(BK3=3,BK6='Inputs'!$B$93),BK38,0),2))</f>
      </c>
      <c r="BL74">
        <f>IF('Inputs'!$B$93="",0,ROUND(IF(BL31="S",'Inputs'!$O$93*BL28,IF(BL31="K",'Inputs'!$L$93*IF('Inputs'!$N$93=1,BL33,BL32),0))+'Inputs'!$Q$93*IF('Inputs'!$S$93=1,BL35+BL37+BL43+BL40,BL34+BL36+BL42+BL39)+SUMPRODUCT(('Inputs'!$F$59:$F$70='Inputs'!$B$93)*('Inputs'!$C$59:$C$70&lt;&gt;"Estate")*('Inputs'!$C$59:$C$70&lt;&gt;""),(('Inputs'!$D$59:$D$70-('Inputs'!$P$59:$P$70=BL5)*BL14)-'Inputs'!$R$59:$R$70*ROUND(BL21*('Inputs'!$D$59:$D$70-('Inputs'!$P$59:$P$70=BL5)*BL14),2)))+IF(OR(BL3=1,BL3=2),BL11-ROUND(BL21*BL11,2),0)+IF(AND(BL3=3,BL6='Inputs'!$B$93),BL38,0),2))</f>
      </c>
      <c r="BM74">
        <f>IF('Inputs'!$B$93="",0,ROUND(IF(BM31="S",'Inputs'!$O$93*BM28,IF(BM31="K",'Inputs'!$L$93*IF('Inputs'!$N$93=1,BM33,BM32),0))+'Inputs'!$Q$93*IF('Inputs'!$S$93=1,BM35+BM37+BM43+BM40,BM34+BM36+BM42+BM39)+SUMPRODUCT(('Inputs'!$F$59:$F$70='Inputs'!$B$93)*('Inputs'!$C$59:$C$70&lt;&gt;"Estate")*('Inputs'!$C$59:$C$70&lt;&gt;""),(('Inputs'!$D$59:$D$70-('Inputs'!$P$59:$P$70=BM5)*BM14)-'Inputs'!$R$59:$R$70*ROUND(BM21*('Inputs'!$D$59:$D$70-('Inputs'!$P$59:$P$70=BM5)*BM14),2)))+IF(OR(BM3=1,BM3=2),BM11-ROUND(BM21*BM11,2),0)+IF(AND(BM3=3,BM6='Inputs'!$B$93),BM38,0),2))</f>
      </c>
      <c r="BN74">
        <f>IF('Inputs'!$B$93="",0,ROUND(IF(BN31="S",'Inputs'!$O$93*BN28,IF(BN31="K",'Inputs'!$L$93*IF('Inputs'!$N$93=1,BN33,BN32),0))+'Inputs'!$Q$93*IF('Inputs'!$S$93=1,BN35+BN37+BN43+BN40,BN34+BN36+BN42+BN39)+SUMPRODUCT(('Inputs'!$F$59:$F$70='Inputs'!$B$93)*('Inputs'!$C$59:$C$70&lt;&gt;"Estate")*('Inputs'!$C$59:$C$70&lt;&gt;""),(('Inputs'!$D$59:$D$70-('Inputs'!$P$59:$P$70=BN5)*BN14)-'Inputs'!$R$59:$R$70*ROUND(BN21*('Inputs'!$D$59:$D$70-('Inputs'!$P$59:$P$70=BN5)*BN14),2)))+IF(OR(BN3=1,BN3=2),BN11-ROUND(BN21*BN11,2),0)+IF(AND(BN3=3,BN6='Inputs'!$B$93),BN38,0),2))</f>
      </c>
      <c r="BO74">
        <f>IF('Inputs'!$B$93="",0,ROUND(IF(BO31="S",'Inputs'!$O$93*BO28,IF(BO31="K",'Inputs'!$L$93*IF('Inputs'!$N$93=1,BO33,BO32),0))+'Inputs'!$Q$93*IF('Inputs'!$S$93=1,BO35+BO37+BO43+BO40,BO34+BO36+BO42+BO39)+SUMPRODUCT(('Inputs'!$F$59:$F$70='Inputs'!$B$93)*('Inputs'!$C$59:$C$70&lt;&gt;"Estate")*('Inputs'!$C$59:$C$70&lt;&gt;""),(('Inputs'!$D$59:$D$70-('Inputs'!$P$59:$P$70=BO5)*BO14)-'Inputs'!$R$59:$R$70*ROUND(BO21*('Inputs'!$D$59:$D$70-('Inputs'!$P$59:$P$70=BO5)*BO14),2)))+IF(OR(BO3=1,BO3=2),BO11-ROUND(BO21*BO11,2),0)+IF(AND(BO3=3,BO6='Inputs'!$B$93),BO38,0),2))</f>
      </c>
      <c r="BP74">
        <f>IF('Inputs'!$B$93="",0,ROUND(IF(BP31="S",'Inputs'!$O$93*BP28,IF(BP31="K",'Inputs'!$L$93*IF('Inputs'!$N$93=1,BP33,BP32),0))+'Inputs'!$Q$93*IF('Inputs'!$S$93=1,BP35+BP37+BP43+BP40,BP34+BP36+BP42+BP39)+SUMPRODUCT(('Inputs'!$F$59:$F$70='Inputs'!$B$93)*('Inputs'!$C$59:$C$70&lt;&gt;"Estate")*('Inputs'!$C$59:$C$70&lt;&gt;""),(('Inputs'!$D$59:$D$70-('Inputs'!$P$59:$P$70=BP5)*BP14)-'Inputs'!$R$59:$R$70*ROUND(BP21*('Inputs'!$D$59:$D$70-('Inputs'!$P$59:$P$70=BP5)*BP14),2)))+IF(OR(BP3=1,BP3=2),BP11-ROUND(BP21*BP11,2),0)+IF(AND(BP3=3,BP6='Inputs'!$B$93),BP38,0),2))</f>
      </c>
      <c r="BQ74">
        <f>IF('Inputs'!$B$93="",0,ROUND(IF(BQ31="S",'Inputs'!$O$93*BQ28,IF(BQ31="K",'Inputs'!$L$93*IF('Inputs'!$N$93=1,BQ33,BQ32),0))+'Inputs'!$Q$93*IF('Inputs'!$S$93=1,BQ35+BQ37+BQ43+BQ40,BQ34+BQ36+BQ42+BQ39)+SUMPRODUCT(('Inputs'!$F$59:$F$70='Inputs'!$B$93)*('Inputs'!$C$59:$C$70&lt;&gt;"Estate")*('Inputs'!$C$59:$C$70&lt;&gt;""),(('Inputs'!$D$59:$D$70-('Inputs'!$P$59:$P$70=BQ5)*BQ14)-'Inputs'!$R$59:$R$70*ROUND(BQ21*('Inputs'!$D$59:$D$70-('Inputs'!$P$59:$P$70=BQ5)*BQ14),2)))+IF(OR(BQ3=1,BQ3=2),BQ11-ROUND(BQ21*BQ11,2),0)+IF(AND(BQ3=3,BQ6='Inputs'!$B$93),BQ38,0),2))</f>
      </c>
      <c r="BR74">
        <f>IF('Inputs'!$B$93="",0,ROUND(IF(BR31="S",'Inputs'!$O$93*BR28,IF(BR31="K",'Inputs'!$L$93*IF('Inputs'!$N$93=1,BR33,BR32),0))+'Inputs'!$Q$93*IF('Inputs'!$S$93=1,BR35+BR37+BR43+BR40,BR34+BR36+BR42+BR39)+SUMPRODUCT(('Inputs'!$F$59:$F$70='Inputs'!$B$93)*('Inputs'!$C$59:$C$70&lt;&gt;"Estate")*('Inputs'!$C$59:$C$70&lt;&gt;""),(('Inputs'!$D$59:$D$70-('Inputs'!$P$59:$P$70=BR5)*BR14)-'Inputs'!$R$59:$R$70*ROUND(BR21*('Inputs'!$D$59:$D$70-('Inputs'!$P$59:$P$70=BR5)*BR14),2)))+IF(OR(BR3=1,BR3=2),BR11-ROUND(BR21*BR11,2),0)+IF(AND(BR3=3,BR6='Inputs'!$B$93),BR38,0),2))</f>
      </c>
      <c r="BS74">
        <f>IF('Inputs'!$B$93="",0,ROUND(IF(BS31="S",'Inputs'!$O$93*BS28,IF(BS31="K",'Inputs'!$L$93*IF('Inputs'!$N$93=1,BS33,BS32),0))+'Inputs'!$Q$93*IF('Inputs'!$S$93=1,BS35+BS37+BS43+BS40,BS34+BS36+BS42+BS39)+SUMPRODUCT(('Inputs'!$F$59:$F$70='Inputs'!$B$93)*('Inputs'!$C$59:$C$70&lt;&gt;"Estate")*('Inputs'!$C$59:$C$70&lt;&gt;""),(('Inputs'!$D$59:$D$70-('Inputs'!$P$59:$P$70=BS5)*BS14)-'Inputs'!$R$59:$R$70*ROUND(BS21*('Inputs'!$D$59:$D$70-('Inputs'!$P$59:$P$70=BS5)*BS14),2)))+IF(OR(BS3=1,BS3=2),BS11-ROUND(BS21*BS11,2),0)+IF(AND(BS3=3,BS6='Inputs'!$B$93),BS38,0),2))</f>
      </c>
    </row>
    <row r="75" spans="2:71" x14ac:dyDescent="0.25">
      <c r="B75" t="s">
        <v>394</v>
      </c>
      <c r="C75">
        <f>'Needs years'!$C$230+'Needs years'!$C$237+C74*('Inputs'!$C$122/100*('Inputs'!$H$110/100+'Inputs'!$C$120/100*'Inputs'!$H$112/100))</f>
      </c>
      <c r="E75">
        <f>'Needs years'!$C$230+'Needs years'!$C$237+E74*('Inputs'!$C$122/100*('Inputs'!$H$110/100+'Inputs'!$C$120/100*'Inputs'!$H$112/100))</f>
      </c>
      <c r="F75">
        <f>'Needs years'!$C$230+'Needs years'!$C$237+F74*('Inputs'!$C$122/100*('Inputs'!$H$110/100+'Inputs'!$C$120/100*'Inputs'!$H$112/100))</f>
      </c>
      <c r="G75">
        <f>'Needs years'!$C$230+'Needs years'!$C$237+G74*('Inputs'!$C$122/100*('Inputs'!$H$110/100+'Inputs'!$C$120/100*'Inputs'!$H$112/100))</f>
      </c>
      <c r="H75">
        <f>'Needs years'!$C$230+'Needs years'!$C$237+H74*('Inputs'!$C$122/100*('Inputs'!$H$110/100+'Inputs'!$C$120/100*'Inputs'!$H$112/100))</f>
      </c>
      <c r="I75">
        <f>'Needs years'!$C$230+'Needs years'!$C$237+I74*('Inputs'!$C$122/100*('Inputs'!$H$110/100+'Inputs'!$C$120/100*'Inputs'!$H$112/100))</f>
      </c>
      <c r="J75">
        <f>'Needs years'!$C$230+'Needs years'!$C$237+J74*('Inputs'!$C$122/100*('Inputs'!$H$110/100+'Inputs'!$C$120/100*'Inputs'!$H$112/100))</f>
      </c>
      <c r="K75">
        <f>'Needs years'!$C$230+'Needs years'!$C$237+K74*('Inputs'!$C$122/100*('Inputs'!$H$110/100+'Inputs'!$C$120/100*'Inputs'!$H$112/100))</f>
      </c>
      <c r="L75">
        <f>'Needs years'!$C$230+'Needs years'!$C$237+L74*('Inputs'!$C$122/100*('Inputs'!$H$110/100+'Inputs'!$C$120/100*'Inputs'!$H$112/100))</f>
      </c>
      <c r="M75">
        <f>'Needs years'!$C$230+'Needs years'!$C$237+M74*('Inputs'!$C$122/100*('Inputs'!$H$110/100+'Inputs'!$C$120/100*'Inputs'!$H$112/100))</f>
      </c>
      <c r="N75">
        <f>'Needs years'!$C$230+'Needs years'!$C$237+N74*('Inputs'!$C$122/100*('Inputs'!$H$110/100+'Inputs'!$C$120/100*'Inputs'!$H$112/100))</f>
      </c>
      <c r="O75">
        <f>'Needs years'!$C$230+'Needs years'!$C$237+O74*('Inputs'!$C$122/100*('Inputs'!$H$110/100+'Inputs'!$C$120/100*'Inputs'!$H$112/100))</f>
      </c>
      <c r="P75">
        <f>'Needs years'!$C$230+'Needs years'!$C$237+P74*('Inputs'!$C$122/100*('Inputs'!$H$110/100+'Inputs'!$C$120/100*'Inputs'!$H$112/100))</f>
      </c>
      <c r="Q75">
        <f>'Needs years'!$C$230+'Needs years'!$C$237+Q74*('Inputs'!$C$122/100*('Inputs'!$H$110/100+'Inputs'!$C$120/100*'Inputs'!$H$112/100))</f>
      </c>
      <c r="R75">
        <f>'Needs years'!$C$230+'Needs years'!$C$237+R74*('Inputs'!$C$122/100*('Inputs'!$H$110/100+'Inputs'!$C$120/100*'Inputs'!$H$112/100))</f>
      </c>
      <c r="S75">
        <f>'Needs years'!$C$230+'Needs years'!$C$237+S74*('Inputs'!$C$122/100*('Inputs'!$H$110/100+'Inputs'!$C$120/100*'Inputs'!$H$112/100))</f>
      </c>
      <c r="T75">
        <f>'Needs years'!$C$230+'Needs years'!$C$237+T74*('Inputs'!$C$122/100*('Inputs'!$H$110/100+'Inputs'!$C$120/100*'Inputs'!$H$112/100))</f>
      </c>
      <c r="V75">
        <f>'Needs years'!$C$230+'Needs years'!$C$237+V74*('Inputs'!$C$122/100*('Inputs'!$H$110/100+'Inputs'!$C$120/100*'Inputs'!$H$112/100))</f>
      </c>
      <c r="W75">
        <f>'Needs years'!$C$230+'Needs years'!$C$237+W74*('Inputs'!$C$122/100*('Inputs'!$H$110/100+'Inputs'!$C$120/100*'Inputs'!$H$112/100))</f>
      </c>
      <c r="X75">
        <f>'Needs years'!$C$230+'Needs years'!$C$237+X74*('Inputs'!$C$122/100*('Inputs'!$H$110/100+'Inputs'!$C$120/100*'Inputs'!$H$112/100))</f>
      </c>
      <c r="Y75">
        <f>'Needs years'!$C$230+'Needs years'!$C$237+Y74*('Inputs'!$C$122/100*('Inputs'!$H$110/100+'Inputs'!$C$120/100*'Inputs'!$H$112/100))</f>
      </c>
      <c r="Z75">
        <f>'Needs years'!$C$230+'Needs years'!$C$237+Z74*('Inputs'!$C$122/100*('Inputs'!$H$110/100+'Inputs'!$C$120/100*'Inputs'!$H$112/100))</f>
      </c>
      <c r="AA75">
        <f>'Needs years'!$C$230+'Needs years'!$C$237+AA74*('Inputs'!$C$122/100*('Inputs'!$H$110/100+'Inputs'!$C$120/100*'Inputs'!$H$112/100))</f>
      </c>
      <c r="AB75">
        <f>'Needs years'!$C$230+'Needs years'!$C$237+AB74*('Inputs'!$C$122/100*('Inputs'!$H$110/100+'Inputs'!$C$120/100*'Inputs'!$H$112/100))</f>
      </c>
      <c r="AC75">
        <f>'Needs years'!$C$230+'Needs years'!$C$237+AC74*('Inputs'!$C$122/100*('Inputs'!$H$110/100+'Inputs'!$C$120/100*'Inputs'!$H$112/100))</f>
      </c>
      <c r="AD75">
        <f>'Needs years'!$C$230+'Needs years'!$C$237+AD74*('Inputs'!$C$122/100*('Inputs'!$H$110/100+'Inputs'!$C$120/100*'Inputs'!$H$112/100))</f>
      </c>
      <c r="AE75">
        <f>'Needs years'!$C$230+'Needs years'!$C$237+AE74*('Inputs'!$C$122/100*('Inputs'!$H$110/100+'Inputs'!$C$120/100*'Inputs'!$H$112/100))</f>
      </c>
      <c r="AF75">
        <f>'Needs years'!$C$230+'Needs years'!$C$237+AF74*('Inputs'!$C$122/100*('Inputs'!$H$110/100+'Inputs'!$C$120/100*'Inputs'!$H$112/100))</f>
      </c>
      <c r="AG75">
        <f>'Needs years'!$C$230+'Needs years'!$C$237+AG74*('Inputs'!$C$122/100*('Inputs'!$H$110/100+'Inputs'!$C$120/100*'Inputs'!$H$112/100))</f>
      </c>
      <c r="AH75">
        <f>'Needs years'!$C$230+'Needs years'!$C$237+AH74*('Inputs'!$C$122/100*('Inputs'!$H$110/100+'Inputs'!$C$120/100*'Inputs'!$H$112/100))</f>
      </c>
      <c r="AI75">
        <f>'Needs years'!$C$230+'Needs years'!$C$237+AI74*('Inputs'!$C$122/100*('Inputs'!$H$110/100+'Inputs'!$C$120/100*'Inputs'!$H$112/100))</f>
      </c>
      <c r="AJ75">
        <f>'Needs years'!$C$230+'Needs years'!$C$237+AJ74*('Inputs'!$C$122/100*('Inputs'!$H$110/100+'Inputs'!$C$120/100*'Inputs'!$H$112/100))</f>
      </c>
      <c r="AK75">
        <f>'Needs years'!$C$230+'Needs years'!$C$237+AK74*('Inputs'!$C$122/100*('Inputs'!$H$110/100+'Inputs'!$C$120/100*'Inputs'!$H$112/100))</f>
      </c>
      <c r="AM75">
        <f>'Needs years'!$C$230+'Needs years'!$C$237+AM74*('Inputs'!$C$122/100*('Inputs'!$H$110/100+'Inputs'!$C$120/100*'Inputs'!$H$112/100))</f>
      </c>
      <c r="AN75">
        <f>'Needs years'!$C$230+'Needs years'!$C$237+AN74*('Inputs'!$C$122/100*('Inputs'!$H$110/100+'Inputs'!$C$120/100*'Inputs'!$H$112/100))</f>
      </c>
      <c r="AO75">
        <f>'Needs years'!$C$230+'Needs years'!$C$237+AO74*('Inputs'!$C$122/100*('Inputs'!$H$110/100+'Inputs'!$C$120/100*'Inputs'!$H$112/100))</f>
      </c>
      <c r="AP75">
        <f>'Needs years'!$C$230+'Needs years'!$C$237+AP74*('Inputs'!$C$122/100*('Inputs'!$H$110/100+'Inputs'!$C$120/100*'Inputs'!$H$112/100))</f>
      </c>
      <c r="AQ75">
        <f>'Needs years'!$C$230+'Needs years'!$C$237+AQ74*('Inputs'!$C$122/100*('Inputs'!$H$110/100+'Inputs'!$C$120/100*'Inputs'!$H$112/100))</f>
      </c>
      <c r="AR75">
        <f>'Needs years'!$C$230+'Needs years'!$C$237+AR74*('Inputs'!$C$122/100*('Inputs'!$H$110/100+'Inputs'!$C$120/100*'Inputs'!$H$112/100))</f>
      </c>
      <c r="AS75">
        <f>'Needs years'!$C$230+'Needs years'!$C$237+AS74*('Inputs'!$C$122/100*('Inputs'!$H$110/100+'Inputs'!$C$120/100*'Inputs'!$H$112/100))</f>
      </c>
      <c r="AT75">
        <f>'Needs years'!$C$230+'Needs years'!$C$237+AT74*('Inputs'!$C$122/100*('Inputs'!$H$110/100+'Inputs'!$C$120/100*'Inputs'!$H$112/100))</f>
      </c>
      <c r="AU75">
        <f>'Needs years'!$C$230+'Needs years'!$C$237+AU74*('Inputs'!$C$122/100*('Inputs'!$H$110/100+'Inputs'!$C$120/100*'Inputs'!$H$112/100))</f>
      </c>
      <c r="AV75">
        <f>'Needs years'!$C$230+'Needs years'!$C$237+AV74*('Inputs'!$C$122/100*('Inputs'!$H$110/100+'Inputs'!$C$120/100*'Inputs'!$H$112/100))</f>
      </c>
      <c r="AW75">
        <f>'Needs years'!$C$230+'Needs years'!$C$237+AW74*('Inputs'!$C$122/100*('Inputs'!$H$110/100+'Inputs'!$C$120/100*'Inputs'!$H$112/100))</f>
      </c>
      <c r="AX75">
        <f>'Needs years'!$C$230+'Needs years'!$C$237+AX74*('Inputs'!$C$122/100*('Inputs'!$H$110/100+'Inputs'!$C$120/100*'Inputs'!$H$112/100))</f>
      </c>
      <c r="AY75">
        <f>'Needs years'!$C$230+'Needs years'!$C$237+AY74*('Inputs'!$C$122/100*('Inputs'!$H$110/100+'Inputs'!$C$120/100*'Inputs'!$H$112/100))</f>
      </c>
      <c r="AZ75">
        <f>'Needs years'!$C$230+'Needs years'!$C$237+AZ74*('Inputs'!$C$122/100*('Inputs'!$H$110/100+'Inputs'!$C$120/100*'Inputs'!$H$112/100))</f>
      </c>
      <c r="BA75">
        <f>'Needs years'!$C$230+'Needs years'!$C$237+BA74*('Inputs'!$C$122/100*('Inputs'!$H$110/100+'Inputs'!$C$120/100*'Inputs'!$H$112/100))</f>
      </c>
      <c r="BB75">
        <f>'Needs years'!$C$230+'Needs years'!$C$237+BB74*('Inputs'!$C$122/100*('Inputs'!$H$110/100+'Inputs'!$C$120/100*'Inputs'!$H$112/100))</f>
      </c>
      <c r="BD75">
        <f>'Needs years'!$C$230+'Needs years'!$C$237+BD74*('Inputs'!$C$122/100*('Inputs'!$H$110/100+'Inputs'!$C$120/100*'Inputs'!$H$112/100))</f>
      </c>
      <c r="BE75">
        <f>'Needs years'!$C$230+'Needs years'!$C$237+BE74*('Inputs'!$C$122/100*('Inputs'!$H$110/100+'Inputs'!$C$120/100*'Inputs'!$H$112/100))</f>
      </c>
      <c r="BF75">
        <f>'Needs years'!$C$230+'Needs years'!$C$237+BF74*('Inputs'!$C$122/100*('Inputs'!$H$110/100+'Inputs'!$C$120/100*'Inputs'!$H$112/100))</f>
      </c>
      <c r="BG75">
        <f>'Needs years'!$C$230+'Needs years'!$C$237+BG74*('Inputs'!$C$122/100*('Inputs'!$H$110/100+'Inputs'!$C$120/100*'Inputs'!$H$112/100))</f>
      </c>
      <c r="BH75">
        <f>'Needs years'!$C$230+'Needs years'!$C$237+BH74*('Inputs'!$C$122/100*('Inputs'!$H$110/100+'Inputs'!$C$120/100*'Inputs'!$H$112/100))</f>
      </c>
      <c r="BI75">
        <f>'Needs years'!$C$230+'Needs years'!$C$237+BI74*('Inputs'!$C$122/100*('Inputs'!$H$110/100+'Inputs'!$C$120/100*'Inputs'!$H$112/100))</f>
      </c>
      <c r="BJ75">
        <f>'Needs years'!$C$230+'Needs years'!$C$237+BJ74*('Inputs'!$C$122/100*('Inputs'!$H$110/100+'Inputs'!$C$120/100*'Inputs'!$H$112/100))</f>
      </c>
      <c r="BK75">
        <f>'Needs years'!$C$230+'Needs years'!$C$237+BK74*('Inputs'!$C$122/100*('Inputs'!$H$110/100+'Inputs'!$C$120/100*'Inputs'!$H$112/100))</f>
      </c>
      <c r="BL75">
        <f>'Needs years'!$C$230+'Needs years'!$C$237+BL74*('Inputs'!$C$122/100*('Inputs'!$H$110/100+'Inputs'!$C$120/100*'Inputs'!$H$112/100))</f>
      </c>
      <c r="BM75">
        <f>'Needs years'!$C$230+'Needs years'!$C$237+BM74*('Inputs'!$C$122/100*('Inputs'!$H$110/100+'Inputs'!$C$120/100*'Inputs'!$H$112/100))</f>
      </c>
      <c r="BN75">
        <f>'Needs years'!$C$230+'Needs years'!$C$237+BN74*('Inputs'!$C$122/100*('Inputs'!$H$110/100+'Inputs'!$C$120/100*'Inputs'!$H$112/100))</f>
      </c>
      <c r="BO75">
        <f>'Needs years'!$C$230+'Needs years'!$C$237+BO74*('Inputs'!$C$122/100*('Inputs'!$H$110/100+'Inputs'!$C$120/100*'Inputs'!$H$112/100))</f>
      </c>
      <c r="BP75">
        <f>'Needs years'!$C$230+'Needs years'!$C$237+BP74*('Inputs'!$C$122/100*('Inputs'!$H$110/100+'Inputs'!$C$120/100*'Inputs'!$H$112/100))</f>
      </c>
      <c r="BQ75">
        <f>'Needs years'!$C$230+'Needs years'!$C$237+BQ74*('Inputs'!$C$122/100*('Inputs'!$H$110/100+'Inputs'!$C$120/100*'Inputs'!$H$112/100))</f>
      </c>
      <c r="BR75">
        <f>'Needs years'!$C$230+'Needs years'!$C$237+BR74*('Inputs'!$C$122/100*('Inputs'!$H$110/100+'Inputs'!$C$120/100*'Inputs'!$H$112/100))</f>
      </c>
      <c r="BS75">
        <f>'Needs years'!$C$230+'Needs years'!$C$237+BS74*('Inputs'!$C$122/100*('Inputs'!$H$110/100+'Inputs'!$C$120/100*'Inputs'!$H$112/100))</f>
      </c>
    </row>
    <row r="76" spans="2:71" x14ac:dyDescent="0.25">
      <c r="B76" t="s">
        <v>395</v>
      </c>
      <c r="C76">
        <f>IF(C75&lt;='Needs years'!$C$229,0,INDEX('Inputs'!$E$125:$E$131,MATCH(C75,'Inputs'!$C$125:$C$131,1)-IF(COUNTIF('Inputs'!$C$125:$C$131,C75)&gt;0,1,0))/100)</f>
      </c>
      <c r="E76">
        <f>IF(E75&lt;='Needs years'!$C$229,0,INDEX('Inputs'!$E$125:$E$131,MATCH(E75,'Inputs'!$C$125:$C$131,1)-IF(COUNTIF('Inputs'!$C$125:$C$131,E75)&gt;0,1,0))/100)</f>
      </c>
      <c r="F76">
        <f>IF(F75&lt;='Needs years'!$C$229,0,INDEX('Inputs'!$E$125:$E$131,MATCH(F75,'Inputs'!$C$125:$C$131,1)-IF(COUNTIF('Inputs'!$C$125:$C$131,F75)&gt;0,1,0))/100)</f>
      </c>
      <c r="G76">
        <f>IF(G75&lt;='Needs years'!$C$229,0,INDEX('Inputs'!$E$125:$E$131,MATCH(G75,'Inputs'!$C$125:$C$131,1)-IF(COUNTIF('Inputs'!$C$125:$C$131,G75)&gt;0,1,0))/100)</f>
      </c>
      <c r="H76">
        <f>IF(H75&lt;='Needs years'!$C$229,0,INDEX('Inputs'!$E$125:$E$131,MATCH(H75,'Inputs'!$C$125:$C$131,1)-IF(COUNTIF('Inputs'!$C$125:$C$131,H75)&gt;0,1,0))/100)</f>
      </c>
      <c r="I76">
        <f>IF(I75&lt;='Needs years'!$C$229,0,INDEX('Inputs'!$E$125:$E$131,MATCH(I75,'Inputs'!$C$125:$C$131,1)-IF(COUNTIF('Inputs'!$C$125:$C$131,I75)&gt;0,1,0))/100)</f>
      </c>
      <c r="J76">
        <f>IF(J75&lt;='Needs years'!$C$229,0,INDEX('Inputs'!$E$125:$E$131,MATCH(J75,'Inputs'!$C$125:$C$131,1)-IF(COUNTIF('Inputs'!$C$125:$C$131,J75)&gt;0,1,0))/100)</f>
      </c>
      <c r="K76">
        <f>IF(K75&lt;='Needs years'!$C$229,0,INDEX('Inputs'!$E$125:$E$131,MATCH(K75,'Inputs'!$C$125:$C$131,1)-IF(COUNTIF('Inputs'!$C$125:$C$131,K75)&gt;0,1,0))/100)</f>
      </c>
      <c r="L76">
        <f>IF(L75&lt;='Needs years'!$C$229,0,INDEX('Inputs'!$E$125:$E$131,MATCH(L75,'Inputs'!$C$125:$C$131,1)-IF(COUNTIF('Inputs'!$C$125:$C$131,L75)&gt;0,1,0))/100)</f>
      </c>
      <c r="M76">
        <f>IF(M75&lt;='Needs years'!$C$229,0,INDEX('Inputs'!$E$125:$E$131,MATCH(M75,'Inputs'!$C$125:$C$131,1)-IF(COUNTIF('Inputs'!$C$125:$C$131,M75)&gt;0,1,0))/100)</f>
      </c>
      <c r="N76">
        <f>IF(N75&lt;='Needs years'!$C$229,0,INDEX('Inputs'!$E$125:$E$131,MATCH(N75,'Inputs'!$C$125:$C$131,1)-IF(COUNTIF('Inputs'!$C$125:$C$131,N75)&gt;0,1,0))/100)</f>
      </c>
      <c r="O76">
        <f>IF(O75&lt;='Needs years'!$C$229,0,INDEX('Inputs'!$E$125:$E$131,MATCH(O75,'Inputs'!$C$125:$C$131,1)-IF(COUNTIF('Inputs'!$C$125:$C$131,O75)&gt;0,1,0))/100)</f>
      </c>
      <c r="P76">
        <f>IF(P75&lt;='Needs years'!$C$229,0,INDEX('Inputs'!$E$125:$E$131,MATCH(P75,'Inputs'!$C$125:$C$131,1)-IF(COUNTIF('Inputs'!$C$125:$C$131,P75)&gt;0,1,0))/100)</f>
      </c>
      <c r="Q76">
        <f>IF(Q75&lt;='Needs years'!$C$229,0,INDEX('Inputs'!$E$125:$E$131,MATCH(Q75,'Inputs'!$C$125:$C$131,1)-IF(COUNTIF('Inputs'!$C$125:$C$131,Q75)&gt;0,1,0))/100)</f>
      </c>
      <c r="R76">
        <f>IF(R75&lt;='Needs years'!$C$229,0,INDEX('Inputs'!$E$125:$E$131,MATCH(R75,'Inputs'!$C$125:$C$131,1)-IF(COUNTIF('Inputs'!$C$125:$C$131,R75)&gt;0,1,0))/100)</f>
      </c>
      <c r="S76">
        <f>IF(S75&lt;='Needs years'!$C$229,0,INDEX('Inputs'!$E$125:$E$131,MATCH(S75,'Inputs'!$C$125:$C$131,1)-IF(COUNTIF('Inputs'!$C$125:$C$131,S75)&gt;0,1,0))/100)</f>
      </c>
      <c r="T76">
        <f>IF(T75&lt;='Needs years'!$C$229,0,INDEX('Inputs'!$E$125:$E$131,MATCH(T75,'Inputs'!$C$125:$C$131,1)-IF(COUNTIF('Inputs'!$C$125:$C$131,T75)&gt;0,1,0))/100)</f>
      </c>
      <c r="V76">
        <f>IF(V75&lt;='Needs years'!$C$229,0,INDEX('Inputs'!$E$125:$E$131,MATCH(V75,'Inputs'!$C$125:$C$131,1)-IF(COUNTIF('Inputs'!$C$125:$C$131,V75)&gt;0,1,0))/100)</f>
      </c>
      <c r="W76">
        <f>IF(W75&lt;='Needs years'!$C$229,0,INDEX('Inputs'!$E$125:$E$131,MATCH(W75,'Inputs'!$C$125:$C$131,1)-IF(COUNTIF('Inputs'!$C$125:$C$131,W75)&gt;0,1,0))/100)</f>
      </c>
      <c r="X76">
        <f>IF(X75&lt;='Needs years'!$C$229,0,INDEX('Inputs'!$E$125:$E$131,MATCH(X75,'Inputs'!$C$125:$C$131,1)-IF(COUNTIF('Inputs'!$C$125:$C$131,X75)&gt;0,1,0))/100)</f>
      </c>
      <c r="Y76">
        <f>IF(Y75&lt;='Needs years'!$C$229,0,INDEX('Inputs'!$E$125:$E$131,MATCH(Y75,'Inputs'!$C$125:$C$131,1)-IF(COUNTIF('Inputs'!$C$125:$C$131,Y75)&gt;0,1,0))/100)</f>
      </c>
      <c r="Z76">
        <f>IF(Z75&lt;='Needs years'!$C$229,0,INDEX('Inputs'!$E$125:$E$131,MATCH(Z75,'Inputs'!$C$125:$C$131,1)-IF(COUNTIF('Inputs'!$C$125:$C$131,Z75)&gt;0,1,0))/100)</f>
      </c>
      <c r="AA76">
        <f>IF(AA75&lt;='Needs years'!$C$229,0,INDEX('Inputs'!$E$125:$E$131,MATCH(AA75,'Inputs'!$C$125:$C$131,1)-IF(COUNTIF('Inputs'!$C$125:$C$131,AA75)&gt;0,1,0))/100)</f>
      </c>
      <c r="AB76">
        <f>IF(AB75&lt;='Needs years'!$C$229,0,INDEX('Inputs'!$E$125:$E$131,MATCH(AB75,'Inputs'!$C$125:$C$131,1)-IF(COUNTIF('Inputs'!$C$125:$C$131,AB75)&gt;0,1,0))/100)</f>
      </c>
      <c r="AC76">
        <f>IF(AC75&lt;='Needs years'!$C$229,0,INDEX('Inputs'!$E$125:$E$131,MATCH(AC75,'Inputs'!$C$125:$C$131,1)-IF(COUNTIF('Inputs'!$C$125:$C$131,AC75)&gt;0,1,0))/100)</f>
      </c>
      <c r="AD76">
        <f>IF(AD75&lt;='Needs years'!$C$229,0,INDEX('Inputs'!$E$125:$E$131,MATCH(AD75,'Inputs'!$C$125:$C$131,1)-IF(COUNTIF('Inputs'!$C$125:$C$131,AD75)&gt;0,1,0))/100)</f>
      </c>
      <c r="AE76">
        <f>IF(AE75&lt;='Needs years'!$C$229,0,INDEX('Inputs'!$E$125:$E$131,MATCH(AE75,'Inputs'!$C$125:$C$131,1)-IF(COUNTIF('Inputs'!$C$125:$C$131,AE75)&gt;0,1,0))/100)</f>
      </c>
      <c r="AF76">
        <f>IF(AF75&lt;='Needs years'!$C$229,0,INDEX('Inputs'!$E$125:$E$131,MATCH(AF75,'Inputs'!$C$125:$C$131,1)-IF(COUNTIF('Inputs'!$C$125:$C$131,AF75)&gt;0,1,0))/100)</f>
      </c>
      <c r="AG76">
        <f>IF(AG75&lt;='Needs years'!$C$229,0,INDEX('Inputs'!$E$125:$E$131,MATCH(AG75,'Inputs'!$C$125:$C$131,1)-IF(COUNTIF('Inputs'!$C$125:$C$131,AG75)&gt;0,1,0))/100)</f>
      </c>
      <c r="AH76">
        <f>IF(AH75&lt;='Needs years'!$C$229,0,INDEX('Inputs'!$E$125:$E$131,MATCH(AH75,'Inputs'!$C$125:$C$131,1)-IF(COUNTIF('Inputs'!$C$125:$C$131,AH75)&gt;0,1,0))/100)</f>
      </c>
      <c r="AI76">
        <f>IF(AI75&lt;='Needs years'!$C$229,0,INDEX('Inputs'!$E$125:$E$131,MATCH(AI75,'Inputs'!$C$125:$C$131,1)-IF(COUNTIF('Inputs'!$C$125:$C$131,AI75)&gt;0,1,0))/100)</f>
      </c>
      <c r="AJ76">
        <f>IF(AJ75&lt;='Needs years'!$C$229,0,INDEX('Inputs'!$E$125:$E$131,MATCH(AJ75,'Inputs'!$C$125:$C$131,1)-IF(COUNTIF('Inputs'!$C$125:$C$131,AJ75)&gt;0,1,0))/100)</f>
      </c>
      <c r="AK76">
        <f>IF(AK75&lt;='Needs years'!$C$229,0,INDEX('Inputs'!$E$125:$E$131,MATCH(AK75,'Inputs'!$C$125:$C$131,1)-IF(COUNTIF('Inputs'!$C$125:$C$131,AK75)&gt;0,1,0))/100)</f>
      </c>
      <c r="AM76">
        <f>IF(AM75&lt;='Needs years'!$C$229,0,INDEX('Inputs'!$E$125:$E$131,MATCH(AM75,'Inputs'!$C$125:$C$131,1)-IF(COUNTIF('Inputs'!$C$125:$C$131,AM75)&gt;0,1,0))/100)</f>
      </c>
      <c r="AN76">
        <f>IF(AN75&lt;='Needs years'!$C$229,0,INDEX('Inputs'!$E$125:$E$131,MATCH(AN75,'Inputs'!$C$125:$C$131,1)-IF(COUNTIF('Inputs'!$C$125:$C$131,AN75)&gt;0,1,0))/100)</f>
      </c>
      <c r="AO76">
        <f>IF(AO75&lt;='Needs years'!$C$229,0,INDEX('Inputs'!$E$125:$E$131,MATCH(AO75,'Inputs'!$C$125:$C$131,1)-IF(COUNTIF('Inputs'!$C$125:$C$131,AO75)&gt;0,1,0))/100)</f>
      </c>
      <c r="AP76">
        <f>IF(AP75&lt;='Needs years'!$C$229,0,INDEX('Inputs'!$E$125:$E$131,MATCH(AP75,'Inputs'!$C$125:$C$131,1)-IF(COUNTIF('Inputs'!$C$125:$C$131,AP75)&gt;0,1,0))/100)</f>
      </c>
      <c r="AQ76">
        <f>IF(AQ75&lt;='Needs years'!$C$229,0,INDEX('Inputs'!$E$125:$E$131,MATCH(AQ75,'Inputs'!$C$125:$C$131,1)-IF(COUNTIF('Inputs'!$C$125:$C$131,AQ75)&gt;0,1,0))/100)</f>
      </c>
      <c r="AR76">
        <f>IF(AR75&lt;='Needs years'!$C$229,0,INDEX('Inputs'!$E$125:$E$131,MATCH(AR75,'Inputs'!$C$125:$C$131,1)-IF(COUNTIF('Inputs'!$C$125:$C$131,AR75)&gt;0,1,0))/100)</f>
      </c>
      <c r="AS76">
        <f>IF(AS75&lt;='Needs years'!$C$229,0,INDEX('Inputs'!$E$125:$E$131,MATCH(AS75,'Inputs'!$C$125:$C$131,1)-IF(COUNTIF('Inputs'!$C$125:$C$131,AS75)&gt;0,1,0))/100)</f>
      </c>
      <c r="AT76">
        <f>IF(AT75&lt;='Needs years'!$C$229,0,INDEX('Inputs'!$E$125:$E$131,MATCH(AT75,'Inputs'!$C$125:$C$131,1)-IF(COUNTIF('Inputs'!$C$125:$C$131,AT75)&gt;0,1,0))/100)</f>
      </c>
      <c r="AU76">
        <f>IF(AU75&lt;='Needs years'!$C$229,0,INDEX('Inputs'!$E$125:$E$131,MATCH(AU75,'Inputs'!$C$125:$C$131,1)-IF(COUNTIF('Inputs'!$C$125:$C$131,AU75)&gt;0,1,0))/100)</f>
      </c>
      <c r="AV76">
        <f>IF(AV75&lt;='Needs years'!$C$229,0,INDEX('Inputs'!$E$125:$E$131,MATCH(AV75,'Inputs'!$C$125:$C$131,1)-IF(COUNTIF('Inputs'!$C$125:$C$131,AV75)&gt;0,1,0))/100)</f>
      </c>
      <c r="AW76">
        <f>IF(AW75&lt;='Needs years'!$C$229,0,INDEX('Inputs'!$E$125:$E$131,MATCH(AW75,'Inputs'!$C$125:$C$131,1)-IF(COUNTIF('Inputs'!$C$125:$C$131,AW75)&gt;0,1,0))/100)</f>
      </c>
      <c r="AX76">
        <f>IF(AX75&lt;='Needs years'!$C$229,0,INDEX('Inputs'!$E$125:$E$131,MATCH(AX75,'Inputs'!$C$125:$C$131,1)-IF(COUNTIF('Inputs'!$C$125:$C$131,AX75)&gt;0,1,0))/100)</f>
      </c>
      <c r="AY76">
        <f>IF(AY75&lt;='Needs years'!$C$229,0,INDEX('Inputs'!$E$125:$E$131,MATCH(AY75,'Inputs'!$C$125:$C$131,1)-IF(COUNTIF('Inputs'!$C$125:$C$131,AY75)&gt;0,1,0))/100)</f>
      </c>
      <c r="AZ76">
        <f>IF(AZ75&lt;='Needs years'!$C$229,0,INDEX('Inputs'!$E$125:$E$131,MATCH(AZ75,'Inputs'!$C$125:$C$131,1)-IF(COUNTIF('Inputs'!$C$125:$C$131,AZ75)&gt;0,1,0))/100)</f>
      </c>
      <c r="BA76">
        <f>IF(BA75&lt;='Needs years'!$C$229,0,INDEX('Inputs'!$E$125:$E$131,MATCH(BA75,'Inputs'!$C$125:$C$131,1)-IF(COUNTIF('Inputs'!$C$125:$C$131,BA75)&gt;0,1,0))/100)</f>
      </c>
      <c r="BB76">
        <f>IF(BB75&lt;='Needs years'!$C$229,0,INDEX('Inputs'!$E$125:$E$131,MATCH(BB75,'Inputs'!$C$125:$C$131,1)-IF(COUNTIF('Inputs'!$C$125:$C$131,BB75)&gt;0,1,0))/100)</f>
      </c>
      <c r="BD76">
        <f>IF(BD75&lt;='Needs years'!$C$229,0,INDEX('Inputs'!$E$125:$E$131,MATCH(BD75,'Inputs'!$C$125:$C$131,1)-IF(COUNTIF('Inputs'!$C$125:$C$131,BD75)&gt;0,1,0))/100)</f>
      </c>
      <c r="BE76">
        <f>IF(BE75&lt;='Needs years'!$C$229,0,INDEX('Inputs'!$E$125:$E$131,MATCH(BE75,'Inputs'!$C$125:$C$131,1)-IF(COUNTIF('Inputs'!$C$125:$C$131,BE75)&gt;0,1,0))/100)</f>
      </c>
      <c r="BF76">
        <f>IF(BF75&lt;='Needs years'!$C$229,0,INDEX('Inputs'!$E$125:$E$131,MATCH(BF75,'Inputs'!$C$125:$C$131,1)-IF(COUNTIF('Inputs'!$C$125:$C$131,BF75)&gt;0,1,0))/100)</f>
      </c>
      <c r="BG76">
        <f>IF(BG75&lt;='Needs years'!$C$229,0,INDEX('Inputs'!$E$125:$E$131,MATCH(BG75,'Inputs'!$C$125:$C$131,1)-IF(COUNTIF('Inputs'!$C$125:$C$131,BG75)&gt;0,1,0))/100)</f>
      </c>
      <c r="BH76">
        <f>IF(BH75&lt;='Needs years'!$C$229,0,INDEX('Inputs'!$E$125:$E$131,MATCH(BH75,'Inputs'!$C$125:$C$131,1)-IF(COUNTIF('Inputs'!$C$125:$C$131,BH75)&gt;0,1,0))/100)</f>
      </c>
      <c r="BI76">
        <f>IF(BI75&lt;='Needs years'!$C$229,0,INDEX('Inputs'!$E$125:$E$131,MATCH(BI75,'Inputs'!$C$125:$C$131,1)-IF(COUNTIF('Inputs'!$C$125:$C$131,BI75)&gt;0,1,0))/100)</f>
      </c>
      <c r="BJ76">
        <f>IF(BJ75&lt;='Needs years'!$C$229,0,INDEX('Inputs'!$E$125:$E$131,MATCH(BJ75,'Inputs'!$C$125:$C$131,1)-IF(COUNTIF('Inputs'!$C$125:$C$131,BJ75)&gt;0,1,0))/100)</f>
      </c>
      <c r="BK76">
        <f>IF(BK75&lt;='Needs years'!$C$229,0,INDEX('Inputs'!$E$125:$E$131,MATCH(BK75,'Inputs'!$C$125:$C$131,1)-IF(COUNTIF('Inputs'!$C$125:$C$131,BK75)&gt;0,1,0))/100)</f>
      </c>
      <c r="BL76">
        <f>IF(BL75&lt;='Needs years'!$C$229,0,INDEX('Inputs'!$E$125:$E$131,MATCH(BL75,'Inputs'!$C$125:$C$131,1)-IF(COUNTIF('Inputs'!$C$125:$C$131,BL75)&gt;0,1,0))/100)</f>
      </c>
      <c r="BM76">
        <f>IF(BM75&lt;='Needs years'!$C$229,0,INDEX('Inputs'!$E$125:$E$131,MATCH(BM75,'Inputs'!$C$125:$C$131,1)-IF(COUNTIF('Inputs'!$C$125:$C$131,BM75)&gt;0,1,0))/100)</f>
      </c>
      <c r="BN76">
        <f>IF(BN75&lt;='Needs years'!$C$229,0,INDEX('Inputs'!$E$125:$E$131,MATCH(BN75,'Inputs'!$C$125:$C$131,1)-IF(COUNTIF('Inputs'!$C$125:$C$131,BN75)&gt;0,1,0))/100)</f>
      </c>
      <c r="BO76">
        <f>IF(BO75&lt;='Needs years'!$C$229,0,INDEX('Inputs'!$E$125:$E$131,MATCH(BO75,'Inputs'!$C$125:$C$131,1)-IF(COUNTIF('Inputs'!$C$125:$C$131,BO75)&gt;0,1,0))/100)</f>
      </c>
      <c r="BP76">
        <f>IF(BP75&lt;='Needs years'!$C$229,0,INDEX('Inputs'!$E$125:$E$131,MATCH(BP75,'Inputs'!$C$125:$C$131,1)-IF(COUNTIF('Inputs'!$C$125:$C$131,BP75)&gt;0,1,0))/100)</f>
      </c>
      <c r="BQ76">
        <f>IF(BQ75&lt;='Needs years'!$C$229,0,INDEX('Inputs'!$E$125:$E$131,MATCH(BQ75,'Inputs'!$C$125:$C$131,1)-IF(COUNTIF('Inputs'!$C$125:$C$131,BQ75)&gt;0,1,0))/100)</f>
      </c>
      <c r="BR76">
        <f>IF(BR75&lt;='Needs years'!$C$229,0,INDEX('Inputs'!$E$125:$E$131,MATCH(BR75,'Inputs'!$C$125:$C$131,1)-IF(COUNTIF('Inputs'!$C$125:$C$131,BR75)&gt;0,1,0))/100)</f>
      </c>
      <c r="BS76">
        <f>IF(BS75&lt;='Needs years'!$C$229,0,INDEX('Inputs'!$E$125:$E$131,MATCH(BS75,'Inputs'!$C$125:$C$131,1)-IF(COUNTIF('Inputs'!$C$125:$C$131,BS75)&gt;0,1,0))/100)</f>
      </c>
    </row>
    <row r="77" spans="2:71" x14ac:dyDescent="0.25">
      <c r="B77" t="s">
        <v>396</v>
      </c>
      <c r="C77">
        <f>('Inputs'!$C$122/100*(1-('Inputs'!$H$110/100*C76+'Inputs'!$H$111/100*'Inputs'!$H$113/100+'Inputs'!$H$112/100*'Inputs'!$C$120/100*C76))-IF('Needs years'!$C$235=1,'Inputs'!$H$108/100,0))</f>
      </c>
      <c r="E77">
        <f>('Inputs'!$C$122/100*(1-('Inputs'!$H$110/100*E76+'Inputs'!$H$111/100*'Inputs'!$H$113/100+'Inputs'!$H$112/100*'Inputs'!$C$120/100*E76))-IF('Needs years'!$C$235=1,'Inputs'!$H$108/100,0))</f>
      </c>
      <c r="F77">
        <f>('Inputs'!$C$122/100*(1-('Inputs'!$H$110/100*F76+'Inputs'!$H$111/100*'Inputs'!$H$113/100+'Inputs'!$H$112/100*'Inputs'!$C$120/100*F76))-IF('Needs years'!$C$235=1,'Inputs'!$H$108/100,0))</f>
      </c>
      <c r="G77">
        <f>('Inputs'!$C$122/100*(1-('Inputs'!$H$110/100*G76+'Inputs'!$H$111/100*'Inputs'!$H$113/100+'Inputs'!$H$112/100*'Inputs'!$C$120/100*G76))-IF('Needs years'!$C$235=1,'Inputs'!$H$108/100,0))</f>
      </c>
      <c r="H77">
        <f>('Inputs'!$C$122/100*(1-('Inputs'!$H$110/100*H76+'Inputs'!$H$111/100*'Inputs'!$H$113/100+'Inputs'!$H$112/100*'Inputs'!$C$120/100*H76))-IF('Needs years'!$C$235=1,'Inputs'!$H$108/100,0))</f>
      </c>
      <c r="I77">
        <f>('Inputs'!$C$122/100*(1-('Inputs'!$H$110/100*I76+'Inputs'!$H$111/100*'Inputs'!$H$113/100+'Inputs'!$H$112/100*'Inputs'!$C$120/100*I76))-IF('Needs years'!$C$235=1,'Inputs'!$H$108/100,0))</f>
      </c>
      <c r="J77">
        <f>('Inputs'!$C$122/100*(1-('Inputs'!$H$110/100*J76+'Inputs'!$H$111/100*'Inputs'!$H$113/100+'Inputs'!$H$112/100*'Inputs'!$C$120/100*J76))-IF('Needs years'!$C$235=1,'Inputs'!$H$108/100,0))</f>
      </c>
      <c r="K77">
        <f>('Inputs'!$C$122/100*(1-('Inputs'!$H$110/100*K76+'Inputs'!$H$111/100*'Inputs'!$H$113/100+'Inputs'!$H$112/100*'Inputs'!$C$120/100*K76))-IF('Needs years'!$C$235=1,'Inputs'!$H$108/100,0))</f>
      </c>
      <c r="L77">
        <f>('Inputs'!$C$122/100*(1-('Inputs'!$H$110/100*L76+'Inputs'!$H$111/100*'Inputs'!$H$113/100+'Inputs'!$H$112/100*'Inputs'!$C$120/100*L76))-IF('Needs years'!$C$235=1,'Inputs'!$H$108/100,0))</f>
      </c>
      <c r="M77">
        <f>('Inputs'!$C$122/100*(1-('Inputs'!$H$110/100*M76+'Inputs'!$H$111/100*'Inputs'!$H$113/100+'Inputs'!$H$112/100*'Inputs'!$C$120/100*M76))-IF('Needs years'!$C$235=1,'Inputs'!$H$108/100,0))</f>
      </c>
      <c r="N77">
        <f>('Inputs'!$C$122/100*(1-('Inputs'!$H$110/100*N76+'Inputs'!$H$111/100*'Inputs'!$H$113/100+'Inputs'!$H$112/100*'Inputs'!$C$120/100*N76))-IF('Needs years'!$C$235=1,'Inputs'!$H$108/100,0))</f>
      </c>
      <c r="O77">
        <f>('Inputs'!$C$122/100*(1-('Inputs'!$H$110/100*O76+'Inputs'!$H$111/100*'Inputs'!$H$113/100+'Inputs'!$H$112/100*'Inputs'!$C$120/100*O76))-IF('Needs years'!$C$235=1,'Inputs'!$H$108/100,0))</f>
      </c>
      <c r="P77">
        <f>('Inputs'!$C$122/100*(1-('Inputs'!$H$110/100*P76+'Inputs'!$H$111/100*'Inputs'!$H$113/100+'Inputs'!$H$112/100*'Inputs'!$C$120/100*P76))-IF('Needs years'!$C$235=1,'Inputs'!$H$108/100,0))</f>
      </c>
      <c r="Q77">
        <f>('Inputs'!$C$122/100*(1-('Inputs'!$H$110/100*Q76+'Inputs'!$H$111/100*'Inputs'!$H$113/100+'Inputs'!$H$112/100*'Inputs'!$C$120/100*Q76))-IF('Needs years'!$C$235=1,'Inputs'!$H$108/100,0))</f>
      </c>
      <c r="R77">
        <f>('Inputs'!$C$122/100*(1-('Inputs'!$H$110/100*R76+'Inputs'!$H$111/100*'Inputs'!$H$113/100+'Inputs'!$H$112/100*'Inputs'!$C$120/100*R76))-IF('Needs years'!$C$235=1,'Inputs'!$H$108/100,0))</f>
      </c>
      <c r="S77">
        <f>('Inputs'!$C$122/100*(1-('Inputs'!$H$110/100*S76+'Inputs'!$H$111/100*'Inputs'!$H$113/100+'Inputs'!$H$112/100*'Inputs'!$C$120/100*S76))-IF('Needs years'!$C$235=1,'Inputs'!$H$108/100,0))</f>
      </c>
      <c r="T77">
        <f>('Inputs'!$C$122/100*(1-('Inputs'!$H$110/100*T76+'Inputs'!$H$111/100*'Inputs'!$H$113/100+'Inputs'!$H$112/100*'Inputs'!$C$120/100*T76))-IF('Needs years'!$C$235=1,'Inputs'!$H$108/100,0))</f>
      </c>
      <c r="V77">
        <f>('Inputs'!$C$122/100*(1-('Inputs'!$H$110/100*V76+'Inputs'!$H$111/100*'Inputs'!$H$113/100+'Inputs'!$H$112/100*'Inputs'!$C$120/100*V76))-IF('Needs years'!$C$235=1,'Inputs'!$H$108/100,0))</f>
      </c>
      <c r="W77">
        <f>('Inputs'!$C$122/100*(1-('Inputs'!$H$110/100*W76+'Inputs'!$H$111/100*'Inputs'!$H$113/100+'Inputs'!$H$112/100*'Inputs'!$C$120/100*W76))-IF('Needs years'!$C$235=1,'Inputs'!$H$108/100,0))</f>
      </c>
      <c r="X77">
        <f>('Inputs'!$C$122/100*(1-('Inputs'!$H$110/100*X76+'Inputs'!$H$111/100*'Inputs'!$H$113/100+'Inputs'!$H$112/100*'Inputs'!$C$120/100*X76))-IF('Needs years'!$C$235=1,'Inputs'!$H$108/100,0))</f>
      </c>
      <c r="Y77">
        <f>('Inputs'!$C$122/100*(1-('Inputs'!$H$110/100*Y76+'Inputs'!$H$111/100*'Inputs'!$H$113/100+'Inputs'!$H$112/100*'Inputs'!$C$120/100*Y76))-IF('Needs years'!$C$235=1,'Inputs'!$H$108/100,0))</f>
      </c>
      <c r="Z77">
        <f>('Inputs'!$C$122/100*(1-('Inputs'!$H$110/100*Z76+'Inputs'!$H$111/100*'Inputs'!$H$113/100+'Inputs'!$H$112/100*'Inputs'!$C$120/100*Z76))-IF('Needs years'!$C$235=1,'Inputs'!$H$108/100,0))</f>
      </c>
      <c r="AA77">
        <f>('Inputs'!$C$122/100*(1-('Inputs'!$H$110/100*AA76+'Inputs'!$H$111/100*'Inputs'!$H$113/100+'Inputs'!$H$112/100*'Inputs'!$C$120/100*AA76))-IF('Needs years'!$C$235=1,'Inputs'!$H$108/100,0))</f>
      </c>
      <c r="AB77">
        <f>('Inputs'!$C$122/100*(1-('Inputs'!$H$110/100*AB76+'Inputs'!$H$111/100*'Inputs'!$H$113/100+'Inputs'!$H$112/100*'Inputs'!$C$120/100*AB76))-IF('Needs years'!$C$235=1,'Inputs'!$H$108/100,0))</f>
      </c>
      <c r="AC77">
        <f>('Inputs'!$C$122/100*(1-('Inputs'!$H$110/100*AC76+'Inputs'!$H$111/100*'Inputs'!$H$113/100+'Inputs'!$H$112/100*'Inputs'!$C$120/100*AC76))-IF('Needs years'!$C$235=1,'Inputs'!$H$108/100,0))</f>
      </c>
      <c r="AD77">
        <f>('Inputs'!$C$122/100*(1-('Inputs'!$H$110/100*AD76+'Inputs'!$H$111/100*'Inputs'!$H$113/100+'Inputs'!$H$112/100*'Inputs'!$C$120/100*AD76))-IF('Needs years'!$C$235=1,'Inputs'!$H$108/100,0))</f>
      </c>
      <c r="AE77">
        <f>('Inputs'!$C$122/100*(1-('Inputs'!$H$110/100*AE76+'Inputs'!$H$111/100*'Inputs'!$H$113/100+'Inputs'!$H$112/100*'Inputs'!$C$120/100*AE76))-IF('Needs years'!$C$235=1,'Inputs'!$H$108/100,0))</f>
      </c>
      <c r="AF77">
        <f>('Inputs'!$C$122/100*(1-('Inputs'!$H$110/100*AF76+'Inputs'!$H$111/100*'Inputs'!$H$113/100+'Inputs'!$H$112/100*'Inputs'!$C$120/100*AF76))-IF('Needs years'!$C$235=1,'Inputs'!$H$108/100,0))</f>
      </c>
      <c r="AG77">
        <f>('Inputs'!$C$122/100*(1-('Inputs'!$H$110/100*AG76+'Inputs'!$H$111/100*'Inputs'!$H$113/100+'Inputs'!$H$112/100*'Inputs'!$C$120/100*AG76))-IF('Needs years'!$C$235=1,'Inputs'!$H$108/100,0))</f>
      </c>
      <c r="AH77">
        <f>('Inputs'!$C$122/100*(1-('Inputs'!$H$110/100*AH76+'Inputs'!$H$111/100*'Inputs'!$H$113/100+'Inputs'!$H$112/100*'Inputs'!$C$120/100*AH76))-IF('Needs years'!$C$235=1,'Inputs'!$H$108/100,0))</f>
      </c>
      <c r="AI77">
        <f>('Inputs'!$C$122/100*(1-('Inputs'!$H$110/100*AI76+'Inputs'!$H$111/100*'Inputs'!$H$113/100+'Inputs'!$H$112/100*'Inputs'!$C$120/100*AI76))-IF('Needs years'!$C$235=1,'Inputs'!$H$108/100,0))</f>
      </c>
      <c r="AJ77">
        <f>('Inputs'!$C$122/100*(1-('Inputs'!$H$110/100*AJ76+'Inputs'!$H$111/100*'Inputs'!$H$113/100+'Inputs'!$H$112/100*'Inputs'!$C$120/100*AJ76))-IF('Needs years'!$C$235=1,'Inputs'!$H$108/100,0))</f>
      </c>
      <c r="AK77">
        <f>('Inputs'!$C$122/100*(1-('Inputs'!$H$110/100*AK76+'Inputs'!$H$111/100*'Inputs'!$H$113/100+'Inputs'!$H$112/100*'Inputs'!$C$120/100*AK76))-IF('Needs years'!$C$235=1,'Inputs'!$H$108/100,0))</f>
      </c>
      <c r="AM77">
        <f>('Inputs'!$C$122/100*(1-('Inputs'!$H$110/100*AM76+'Inputs'!$H$111/100*'Inputs'!$H$113/100+'Inputs'!$H$112/100*'Inputs'!$C$120/100*AM76))-IF('Needs years'!$C$235=1,'Inputs'!$H$108/100,0))</f>
      </c>
      <c r="AN77">
        <f>('Inputs'!$C$122/100*(1-('Inputs'!$H$110/100*AN76+'Inputs'!$H$111/100*'Inputs'!$H$113/100+'Inputs'!$H$112/100*'Inputs'!$C$120/100*AN76))-IF('Needs years'!$C$235=1,'Inputs'!$H$108/100,0))</f>
      </c>
      <c r="AO77">
        <f>('Inputs'!$C$122/100*(1-('Inputs'!$H$110/100*AO76+'Inputs'!$H$111/100*'Inputs'!$H$113/100+'Inputs'!$H$112/100*'Inputs'!$C$120/100*AO76))-IF('Needs years'!$C$235=1,'Inputs'!$H$108/100,0))</f>
      </c>
      <c r="AP77">
        <f>('Inputs'!$C$122/100*(1-('Inputs'!$H$110/100*AP76+'Inputs'!$H$111/100*'Inputs'!$H$113/100+'Inputs'!$H$112/100*'Inputs'!$C$120/100*AP76))-IF('Needs years'!$C$235=1,'Inputs'!$H$108/100,0))</f>
      </c>
      <c r="AQ77">
        <f>('Inputs'!$C$122/100*(1-('Inputs'!$H$110/100*AQ76+'Inputs'!$H$111/100*'Inputs'!$H$113/100+'Inputs'!$H$112/100*'Inputs'!$C$120/100*AQ76))-IF('Needs years'!$C$235=1,'Inputs'!$H$108/100,0))</f>
      </c>
      <c r="AR77">
        <f>('Inputs'!$C$122/100*(1-('Inputs'!$H$110/100*AR76+'Inputs'!$H$111/100*'Inputs'!$H$113/100+'Inputs'!$H$112/100*'Inputs'!$C$120/100*AR76))-IF('Needs years'!$C$235=1,'Inputs'!$H$108/100,0))</f>
      </c>
      <c r="AS77">
        <f>('Inputs'!$C$122/100*(1-('Inputs'!$H$110/100*AS76+'Inputs'!$H$111/100*'Inputs'!$H$113/100+'Inputs'!$H$112/100*'Inputs'!$C$120/100*AS76))-IF('Needs years'!$C$235=1,'Inputs'!$H$108/100,0))</f>
      </c>
      <c r="AT77">
        <f>('Inputs'!$C$122/100*(1-('Inputs'!$H$110/100*AT76+'Inputs'!$H$111/100*'Inputs'!$H$113/100+'Inputs'!$H$112/100*'Inputs'!$C$120/100*AT76))-IF('Needs years'!$C$235=1,'Inputs'!$H$108/100,0))</f>
      </c>
      <c r="AU77">
        <f>('Inputs'!$C$122/100*(1-('Inputs'!$H$110/100*AU76+'Inputs'!$H$111/100*'Inputs'!$H$113/100+'Inputs'!$H$112/100*'Inputs'!$C$120/100*AU76))-IF('Needs years'!$C$235=1,'Inputs'!$H$108/100,0))</f>
      </c>
      <c r="AV77">
        <f>('Inputs'!$C$122/100*(1-('Inputs'!$H$110/100*AV76+'Inputs'!$H$111/100*'Inputs'!$H$113/100+'Inputs'!$H$112/100*'Inputs'!$C$120/100*AV76))-IF('Needs years'!$C$235=1,'Inputs'!$H$108/100,0))</f>
      </c>
      <c r="AW77">
        <f>('Inputs'!$C$122/100*(1-('Inputs'!$H$110/100*AW76+'Inputs'!$H$111/100*'Inputs'!$H$113/100+'Inputs'!$H$112/100*'Inputs'!$C$120/100*AW76))-IF('Needs years'!$C$235=1,'Inputs'!$H$108/100,0))</f>
      </c>
      <c r="AX77">
        <f>('Inputs'!$C$122/100*(1-('Inputs'!$H$110/100*AX76+'Inputs'!$H$111/100*'Inputs'!$H$113/100+'Inputs'!$H$112/100*'Inputs'!$C$120/100*AX76))-IF('Needs years'!$C$235=1,'Inputs'!$H$108/100,0))</f>
      </c>
      <c r="AY77">
        <f>('Inputs'!$C$122/100*(1-('Inputs'!$H$110/100*AY76+'Inputs'!$H$111/100*'Inputs'!$H$113/100+'Inputs'!$H$112/100*'Inputs'!$C$120/100*AY76))-IF('Needs years'!$C$235=1,'Inputs'!$H$108/100,0))</f>
      </c>
      <c r="AZ77">
        <f>('Inputs'!$C$122/100*(1-('Inputs'!$H$110/100*AZ76+'Inputs'!$H$111/100*'Inputs'!$H$113/100+'Inputs'!$H$112/100*'Inputs'!$C$120/100*AZ76))-IF('Needs years'!$C$235=1,'Inputs'!$H$108/100,0))</f>
      </c>
      <c r="BA77">
        <f>('Inputs'!$C$122/100*(1-('Inputs'!$H$110/100*BA76+'Inputs'!$H$111/100*'Inputs'!$H$113/100+'Inputs'!$H$112/100*'Inputs'!$C$120/100*BA76))-IF('Needs years'!$C$235=1,'Inputs'!$H$108/100,0))</f>
      </c>
      <c r="BB77">
        <f>('Inputs'!$C$122/100*(1-('Inputs'!$H$110/100*BB76+'Inputs'!$H$111/100*'Inputs'!$H$113/100+'Inputs'!$H$112/100*'Inputs'!$C$120/100*BB76))-IF('Needs years'!$C$235=1,'Inputs'!$H$108/100,0))</f>
      </c>
      <c r="BD77">
        <f>('Inputs'!$C$122/100*(1-('Inputs'!$H$110/100*BD76+'Inputs'!$H$111/100*'Inputs'!$H$113/100+'Inputs'!$H$112/100*'Inputs'!$C$120/100*BD76))-IF('Needs years'!$C$235=1,'Inputs'!$H$108/100,0))</f>
      </c>
      <c r="BE77">
        <f>('Inputs'!$C$122/100*(1-('Inputs'!$H$110/100*BE76+'Inputs'!$H$111/100*'Inputs'!$H$113/100+'Inputs'!$H$112/100*'Inputs'!$C$120/100*BE76))-IF('Needs years'!$C$235=1,'Inputs'!$H$108/100,0))</f>
      </c>
      <c r="BF77">
        <f>('Inputs'!$C$122/100*(1-('Inputs'!$H$110/100*BF76+'Inputs'!$H$111/100*'Inputs'!$H$113/100+'Inputs'!$H$112/100*'Inputs'!$C$120/100*BF76))-IF('Needs years'!$C$235=1,'Inputs'!$H$108/100,0))</f>
      </c>
      <c r="BG77">
        <f>('Inputs'!$C$122/100*(1-('Inputs'!$H$110/100*BG76+'Inputs'!$H$111/100*'Inputs'!$H$113/100+'Inputs'!$H$112/100*'Inputs'!$C$120/100*BG76))-IF('Needs years'!$C$235=1,'Inputs'!$H$108/100,0))</f>
      </c>
      <c r="BH77">
        <f>('Inputs'!$C$122/100*(1-('Inputs'!$H$110/100*BH76+'Inputs'!$H$111/100*'Inputs'!$H$113/100+'Inputs'!$H$112/100*'Inputs'!$C$120/100*BH76))-IF('Needs years'!$C$235=1,'Inputs'!$H$108/100,0))</f>
      </c>
      <c r="BI77">
        <f>('Inputs'!$C$122/100*(1-('Inputs'!$H$110/100*BI76+'Inputs'!$H$111/100*'Inputs'!$H$113/100+'Inputs'!$H$112/100*'Inputs'!$C$120/100*BI76))-IF('Needs years'!$C$235=1,'Inputs'!$H$108/100,0))</f>
      </c>
      <c r="BJ77">
        <f>('Inputs'!$C$122/100*(1-('Inputs'!$H$110/100*BJ76+'Inputs'!$H$111/100*'Inputs'!$H$113/100+'Inputs'!$H$112/100*'Inputs'!$C$120/100*BJ76))-IF('Needs years'!$C$235=1,'Inputs'!$H$108/100,0))</f>
      </c>
      <c r="BK77">
        <f>('Inputs'!$C$122/100*(1-('Inputs'!$H$110/100*BK76+'Inputs'!$H$111/100*'Inputs'!$H$113/100+'Inputs'!$H$112/100*'Inputs'!$C$120/100*BK76))-IF('Needs years'!$C$235=1,'Inputs'!$H$108/100,0))</f>
      </c>
      <c r="BL77">
        <f>('Inputs'!$C$122/100*(1-('Inputs'!$H$110/100*BL76+'Inputs'!$H$111/100*'Inputs'!$H$113/100+'Inputs'!$H$112/100*'Inputs'!$C$120/100*BL76))-IF('Needs years'!$C$235=1,'Inputs'!$H$108/100,0))</f>
      </c>
      <c r="BM77">
        <f>('Inputs'!$C$122/100*(1-('Inputs'!$H$110/100*BM76+'Inputs'!$H$111/100*'Inputs'!$H$113/100+'Inputs'!$H$112/100*'Inputs'!$C$120/100*BM76))-IF('Needs years'!$C$235=1,'Inputs'!$H$108/100,0))</f>
      </c>
      <c r="BN77">
        <f>('Inputs'!$C$122/100*(1-('Inputs'!$H$110/100*BN76+'Inputs'!$H$111/100*'Inputs'!$H$113/100+'Inputs'!$H$112/100*'Inputs'!$C$120/100*BN76))-IF('Needs years'!$C$235=1,'Inputs'!$H$108/100,0))</f>
      </c>
      <c r="BO77">
        <f>('Inputs'!$C$122/100*(1-('Inputs'!$H$110/100*BO76+'Inputs'!$H$111/100*'Inputs'!$H$113/100+'Inputs'!$H$112/100*'Inputs'!$C$120/100*BO76))-IF('Needs years'!$C$235=1,'Inputs'!$H$108/100,0))</f>
      </c>
      <c r="BP77">
        <f>('Inputs'!$C$122/100*(1-('Inputs'!$H$110/100*BP76+'Inputs'!$H$111/100*'Inputs'!$H$113/100+'Inputs'!$H$112/100*'Inputs'!$C$120/100*BP76))-IF('Needs years'!$C$235=1,'Inputs'!$H$108/100,0))</f>
      </c>
      <c r="BQ77">
        <f>('Inputs'!$C$122/100*(1-('Inputs'!$H$110/100*BQ76+'Inputs'!$H$111/100*'Inputs'!$H$113/100+'Inputs'!$H$112/100*'Inputs'!$C$120/100*BQ76))-IF('Needs years'!$C$235=1,'Inputs'!$H$108/100,0))</f>
      </c>
      <c r="BR77">
        <f>('Inputs'!$C$122/100*(1-('Inputs'!$H$110/100*BR76+'Inputs'!$H$111/100*'Inputs'!$H$113/100+'Inputs'!$H$112/100*'Inputs'!$C$120/100*BR76))-IF('Needs years'!$C$235=1,'Inputs'!$H$108/100,0))</f>
      </c>
      <c r="BS77">
        <f>('Inputs'!$C$122/100*(1-('Inputs'!$H$110/100*BS76+'Inputs'!$H$111/100*'Inputs'!$H$113/100+'Inputs'!$H$112/100*'Inputs'!$C$120/100*BS76))-IF('Needs years'!$C$235=1,'Inputs'!$H$108/100,0))</f>
      </c>
    </row>
    <row r="78" spans="2:71" x14ac:dyDescent="0.25">
      <c r="B78" t="s">
        <v>397</v>
      </c>
      <c r="C78">
        <f>IF('Inputs'!$B$93="",0,IF(AND(C4=1,'Inputs'!$Q$93=1),'Needs years'!$C$238,ROUND(IF(C77=0,SUM('Needs years'!$O$228:$O$277),(1-(1+C77)^-1)/(1-(1+C77)^(-1/12))/12*SUMPRODUCT('Needs years'!$O$228:$O$277,(1+C77)^(-'Needs years'!$I$228:$I$277))),2)))</f>
      </c>
      <c r="E78">
        <f>IF('Inputs'!$B$93="",0,IF(AND(E4=1,'Inputs'!$Q$93=1),'Needs years'!$C$238,ROUND(IF(E77=0,SUM('Needs years'!$O$228:$O$277),(1-(1+E77)^-1)/(1-(1+E77)^(-1/12))/12*SUMPRODUCT('Needs years'!$O$228:$O$277,(1+E77)^(-'Needs years'!$I$228:$I$277))),2)))</f>
      </c>
      <c r="F78">
        <f>IF('Inputs'!$B$93="",0,IF(AND(F4=1,'Inputs'!$Q$93=1),'Needs years'!$C$238,ROUND(IF(F77=0,SUM('Needs years'!$O$228:$O$277),(1-(1+F77)^-1)/(1-(1+F77)^(-1/12))/12*SUMPRODUCT('Needs years'!$O$228:$O$277,(1+F77)^(-'Needs years'!$I$228:$I$277))),2)))</f>
      </c>
      <c r="G78">
        <f>IF('Inputs'!$B$93="",0,IF(AND(G4=1,'Inputs'!$Q$93=1),'Needs years'!$C$238,ROUND(IF(G77=0,SUM('Needs years'!$O$228:$O$277),(1-(1+G77)^-1)/(1-(1+G77)^(-1/12))/12*SUMPRODUCT('Needs years'!$O$228:$O$277,(1+G77)^(-'Needs years'!$I$228:$I$277))),2)))</f>
      </c>
      <c r="H78">
        <f>IF('Inputs'!$B$93="",0,IF(AND(H4=1,'Inputs'!$Q$93=1),'Needs years'!$C$238,ROUND(IF(H77=0,SUM('Needs years'!$O$228:$O$277),(1-(1+H77)^-1)/(1-(1+H77)^(-1/12))/12*SUMPRODUCT('Needs years'!$O$228:$O$277,(1+H77)^(-'Needs years'!$I$228:$I$277))),2)))</f>
      </c>
      <c r="I78">
        <f>IF('Inputs'!$B$93="",0,IF(AND(I4=1,'Inputs'!$Q$93=1),'Needs years'!$C$238,ROUND(IF(I77=0,SUM('Needs years'!$O$228:$O$277),(1-(1+I77)^-1)/(1-(1+I77)^(-1/12))/12*SUMPRODUCT('Needs years'!$O$228:$O$277,(1+I77)^(-'Needs years'!$I$228:$I$277))),2)))</f>
      </c>
      <c r="J78">
        <f>IF('Inputs'!$B$93="",0,IF(AND(J4=1,'Inputs'!$Q$93=1),'Needs years'!$C$238,ROUND(IF(J77=0,SUM('Needs years'!$O$228:$O$277),(1-(1+J77)^-1)/(1-(1+J77)^(-1/12))/12*SUMPRODUCT('Needs years'!$O$228:$O$277,(1+J77)^(-'Needs years'!$I$228:$I$277))),2)))</f>
      </c>
      <c r="K78">
        <f>IF('Inputs'!$B$93="",0,IF(AND(K4=1,'Inputs'!$Q$93=1),'Needs years'!$C$238,ROUND(IF(K77=0,SUM('Needs years'!$O$228:$O$277),(1-(1+K77)^-1)/(1-(1+K77)^(-1/12))/12*SUMPRODUCT('Needs years'!$O$228:$O$277,(1+K77)^(-'Needs years'!$I$228:$I$277))),2)))</f>
      </c>
      <c r="L78">
        <f>IF('Inputs'!$B$93="",0,IF(AND(L4=1,'Inputs'!$Q$93=1),'Needs years'!$C$238,ROUND(IF(L77=0,SUM('Needs years'!$O$228:$O$277),(1-(1+L77)^-1)/(1-(1+L77)^(-1/12))/12*SUMPRODUCT('Needs years'!$O$228:$O$277,(1+L77)^(-'Needs years'!$I$228:$I$277))),2)))</f>
      </c>
      <c r="M78">
        <f>IF('Inputs'!$B$93="",0,IF(AND(M4=1,'Inputs'!$Q$93=1),'Needs years'!$C$238,ROUND(IF(M77=0,SUM('Needs years'!$O$228:$O$277),(1-(1+M77)^-1)/(1-(1+M77)^(-1/12))/12*SUMPRODUCT('Needs years'!$O$228:$O$277,(1+M77)^(-'Needs years'!$I$228:$I$277))),2)))</f>
      </c>
      <c r="N78">
        <f>IF('Inputs'!$B$93="",0,IF(AND(N4=1,'Inputs'!$Q$93=1),'Needs years'!$C$238,ROUND(IF(N77=0,SUM('Needs years'!$O$228:$O$277),(1-(1+N77)^-1)/(1-(1+N77)^(-1/12))/12*SUMPRODUCT('Needs years'!$O$228:$O$277,(1+N77)^(-'Needs years'!$I$228:$I$277))),2)))</f>
      </c>
      <c r="O78">
        <f>IF('Inputs'!$B$93="",0,IF(AND(O4=1,'Inputs'!$Q$93=1),'Needs years'!$C$238,ROUND(IF(O77=0,SUM('Needs years'!$O$228:$O$277),(1-(1+O77)^-1)/(1-(1+O77)^(-1/12))/12*SUMPRODUCT('Needs years'!$O$228:$O$277,(1+O77)^(-'Needs years'!$I$228:$I$277))),2)))</f>
      </c>
      <c r="P78">
        <f>IF('Inputs'!$B$93="",0,IF(AND(P4=1,'Inputs'!$Q$93=1),'Needs years'!$C$238,ROUND(IF(P77=0,SUM('Needs years'!$O$228:$O$277),(1-(1+P77)^-1)/(1-(1+P77)^(-1/12))/12*SUMPRODUCT('Needs years'!$O$228:$O$277,(1+P77)^(-'Needs years'!$I$228:$I$277))),2)))</f>
      </c>
      <c r="Q78">
        <f>IF('Inputs'!$B$93="",0,IF(AND(Q4=1,'Inputs'!$Q$93=1),'Needs years'!$C$238,ROUND(IF(Q77=0,SUM('Needs years'!$O$228:$O$277),(1-(1+Q77)^-1)/(1-(1+Q77)^(-1/12))/12*SUMPRODUCT('Needs years'!$O$228:$O$277,(1+Q77)^(-'Needs years'!$I$228:$I$277))),2)))</f>
      </c>
      <c r="R78">
        <f>IF('Inputs'!$B$93="",0,IF(AND(R4=1,'Inputs'!$Q$93=1),'Needs years'!$C$238,ROUND(IF(R77=0,SUM('Needs years'!$O$228:$O$277),(1-(1+R77)^-1)/(1-(1+R77)^(-1/12))/12*SUMPRODUCT('Needs years'!$O$228:$O$277,(1+R77)^(-'Needs years'!$I$228:$I$277))),2)))</f>
      </c>
      <c r="S78">
        <f>IF('Inputs'!$B$93="",0,IF(AND(S4=1,'Inputs'!$Q$93=1),'Needs years'!$C$238,ROUND(IF(S77=0,SUM('Needs years'!$O$228:$O$277),(1-(1+S77)^-1)/(1-(1+S77)^(-1/12))/12*SUMPRODUCT('Needs years'!$O$228:$O$277,(1+S77)^(-'Needs years'!$I$228:$I$277))),2)))</f>
      </c>
      <c r="T78">
        <f>IF('Inputs'!$B$93="",0,IF(AND(T4=1,'Inputs'!$Q$93=1),'Needs years'!$C$238,ROUND(IF(T77=0,SUM('Needs years'!$O$228:$O$277),(1-(1+T77)^-1)/(1-(1+T77)^(-1/12))/12*SUMPRODUCT('Needs years'!$O$228:$O$277,(1+T77)^(-'Needs years'!$I$228:$I$277))),2)))</f>
      </c>
      <c r="V78">
        <f>IF('Inputs'!$B$93="",0,IF(AND(V4=1,'Inputs'!$Q$93=1),'Needs years'!$C$238,ROUND(IF(V77=0,SUM('Needs years'!$O$228:$O$277),(1-(1+V77)^-1)/(1-(1+V77)^(-1/12))/12*SUMPRODUCT('Needs years'!$O$228:$O$277,(1+V77)^(-'Needs years'!$I$228:$I$277))),2)))</f>
      </c>
      <c r="W78">
        <f>IF('Inputs'!$B$93="",0,IF(AND(W4=1,'Inputs'!$Q$93=1),'Needs years'!$C$238,ROUND(IF(W77=0,SUM('Needs years'!$O$228:$O$277),(1-(1+W77)^-1)/(1-(1+W77)^(-1/12))/12*SUMPRODUCT('Needs years'!$O$228:$O$277,(1+W77)^(-'Needs years'!$I$228:$I$277))),2)))</f>
      </c>
      <c r="X78">
        <f>IF('Inputs'!$B$93="",0,IF(AND(X4=1,'Inputs'!$Q$93=1),'Needs years'!$C$238,ROUND(IF(X77=0,SUM('Needs years'!$O$228:$O$277),(1-(1+X77)^-1)/(1-(1+X77)^(-1/12))/12*SUMPRODUCT('Needs years'!$O$228:$O$277,(1+X77)^(-'Needs years'!$I$228:$I$277))),2)))</f>
      </c>
      <c r="Y78">
        <f>IF('Inputs'!$B$93="",0,IF(AND(Y4=1,'Inputs'!$Q$93=1),'Needs years'!$C$238,ROUND(IF(Y77=0,SUM('Needs years'!$O$228:$O$277),(1-(1+Y77)^-1)/(1-(1+Y77)^(-1/12))/12*SUMPRODUCT('Needs years'!$O$228:$O$277,(1+Y77)^(-'Needs years'!$I$228:$I$277))),2)))</f>
      </c>
      <c r="Z78">
        <f>IF('Inputs'!$B$93="",0,IF(AND(Z4=1,'Inputs'!$Q$93=1),'Needs years'!$C$238,ROUND(IF(Z77=0,SUM('Needs years'!$O$228:$O$277),(1-(1+Z77)^-1)/(1-(1+Z77)^(-1/12))/12*SUMPRODUCT('Needs years'!$O$228:$O$277,(1+Z77)^(-'Needs years'!$I$228:$I$277))),2)))</f>
      </c>
      <c r="AA78">
        <f>IF('Inputs'!$B$93="",0,IF(AND(AA4=1,'Inputs'!$Q$93=1),'Needs years'!$C$238,ROUND(IF(AA77=0,SUM('Needs years'!$O$228:$O$277),(1-(1+AA77)^-1)/(1-(1+AA77)^(-1/12))/12*SUMPRODUCT('Needs years'!$O$228:$O$277,(1+AA77)^(-'Needs years'!$I$228:$I$277))),2)))</f>
      </c>
      <c r="AB78">
        <f>IF('Inputs'!$B$93="",0,IF(AND(AB4=1,'Inputs'!$Q$93=1),'Needs years'!$C$238,ROUND(IF(AB77=0,SUM('Needs years'!$O$228:$O$277),(1-(1+AB77)^-1)/(1-(1+AB77)^(-1/12))/12*SUMPRODUCT('Needs years'!$O$228:$O$277,(1+AB77)^(-'Needs years'!$I$228:$I$277))),2)))</f>
      </c>
      <c r="AC78">
        <f>IF('Inputs'!$B$93="",0,IF(AND(AC4=1,'Inputs'!$Q$93=1),'Needs years'!$C$238,ROUND(IF(AC77=0,SUM('Needs years'!$O$228:$O$277),(1-(1+AC77)^-1)/(1-(1+AC77)^(-1/12))/12*SUMPRODUCT('Needs years'!$O$228:$O$277,(1+AC77)^(-'Needs years'!$I$228:$I$277))),2)))</f>
      </c>
      <c r="AD78">
        <f>IF('Inputs'!$B$93="",0,IF(AND(AD4=1,'Inputs'!$Q$93=1),'Needs years'!$C$238,ROUND(IF(AD77=0,SUM('Needs years'!$O$228:$O$277),(1-(1+AD77)^-1)/(1-(1+AD77)^(-1/12))/12*SUMPRODUCT('Needs years'!$O$228:$O$277,(1+AD77)^(-'Needs years'!$I$228:$I$277))),2)))</f>
      </c>
      <c r="AE78">
        <f>IF('Inputs'!$B$93="",0,IF(AND(AE4=1,'Inputs'!$Q$93=1),'Needs years'!$C$238,ROUND(IF(AE77=0,SUM('Needs years'!$O$228:$O$277),(1-(1+AE77)^-1)/(1-(1+AE77)^(-1/12))/12*SUMPRODUCT('Needs years'!$O$228:$O$277,(1+AE77)^(-'Needs years'!$I$228:$I$277))),2)))</f>
      </c>
      <c r="AF78">
        <f>IF('Inputs'!$B$93="",0,IF(AND(AF4=1,'Inputs'!$Q$93=1),'Needs years'!$C$238,ROUND(IF(AF77=0,SUM('Needs years'!$O$228:$O$277),(1-(1+AF77)^-1)/(1-(1+AF77)^(-1/12))/12*SUMPRODUCT('Needs years'!$O$228:$O$277,(1+AF77)^(-'Needs years'!$I$228:$I$277))),2)))</f>
      </c>
      <c r="AG78">
        <f>IF('Inputs'!$B$93="",0,IF(AND(AG4=1,'Inputs'!$Q$93=1),'Needs years'!$C$238,ROUND(IF(AG77=0,SUM('Needs years'!$O$228:$O$277),(1-(1+AG77)^-1)/(1-(1+AG77)^(-1/12))/12*SUMPRODUCT('Needs years'!$O$228:$O$277,(1+AG77)^(-'Needs years'!$I$228:$I$277))),2)))</f>
      </c>
      <c r="AH78">
        <f>IF('Inputs'!$B$93="",0,IF(AND(AH4=1,'Inputs'!$Q$93=1),'Needs years'!$C$238,ROUND(IF(AH77=0,SUM('Needs years'!$O$228:$O$277),(1-(1+AH77)^-1)/(1-(1+AH77)^(-1/12))/12*SUMPRODUCT('Needs years'!$O$228:$O$277,(1+AH77)^(-'Needs years'!$I$228:$I$277))),2)))</f>
      </c>
      <c r="AI78">
        <f>IF('Inputs'!$B$93="",0,IF(AND(AI4=1,'Inputs'!$Q$93=1),'Needs years'!$C$238,ROUND(IF(AI77=0,SUM('Needs years'!$O$228:$O$277),(1-(1+AI77)^-1)/(1-(1+AI77)^(-1/12))/12*SUMPRODUCT('Needs years'!$O$228:$O$277,(1+AI77)^(-'Needs years'!$I$228:$I$277))),2)))</f>
      </c>
      <c r="AJ78">
        <f>IF('Inputs'!$B$93="",0,IF(AND(AJ4=1,'Inputs'!$Q$93=1),'Needs years'!$C$238,ROUND(IF(AJ77=0,SUM('Needs years'!$O$228:$O$277),(1-(1+AJ77)^-1)/(1-(1+AJ77)^(-1/12))/12*SUMPRODUCT('Needs years'!$O$228:$O$277,(1+AJ77)^(-'Needs years'!$I$228:$I$277))),2)))</f>
      </c>
      <c r="AK78">
        <f>IF('Inputs'!$B$93="",0,IF(AND(AK4=1,'Inputs'!$Q$93=1),'Needs years'!$C$238,ROUND(IF(AK77=0,SUM('Needs years'!$O$228:$O$277),(1-(1+AK77)^-1)/(1-(1+AK77)^(-1/12))/12*SUMPRODUCT('Needs years'!$O$228:$O$277,(1+AK77)^(-'Needs years'!$I$228:$I$277))),2)))</f>
      </c>
      <c r="AM78">
        <f>IF('Inputs'!$B$93="",0,IF(AND(AM4=1,'Inputs'!$Q$93=1),'Needs years'!$C$238,ROUND(IF(AM77=0,SUM('Needs years'!$O$228:$O$277),(1-(1+AM77)^-1)/(1-(1+AM77)^(-1/12))/12*SUMPRODUCT('Needs years'!$O$228:$O$277,(1+AM77)^(-'Needs years'!$I$228:$I$277))),2)))</f>
      </c>
      <c r="AN78">
        <f>IF('Inputs'!$B$93="",0,IF(AND(AN4=1,'Inputs'!$Q$93=1),'Needs years'!$C$238,ROUND(IF(AN77=0,SUM('Needs years'!$O$228:$O$277),(1-(1+AN77)^-1)/(1-(1+AN77)^(-1/12))/12*SUMPRODUCT('Needs years'!$O$228:$O$277,(1+AN77)^(-'Needs years'!$I$228:$I$277))),2)))</f>
      </c>
      <c r="AO78">
        <f>IF('Inputs'!$B$93="",0,IF(AND(AO4=1,'Inputs'!$Q$93=1),'Needs years'!$C$238,ROUND(IF(AO77=0,SUM('Needs years'!$O$228:$O$277),(1-(1+AO77)^-1)/(1-(1+AO77)^(-1/12))/12*SUMPRODUCT('Needs years'!$O$228:$O$277,(1+AO77)^(-'Needs years'!$I$228:$I$277))),2)))</f>
      </c>
      <c r="AP78">
        <f>IF('Inputs'!$B$93="",0,IF(AND(AP4=1,'Inputs'!$Q$93=1),'Needs years'!$C$238,ROUND(IF(AP77=0,SUM('Needs years'!$O$228:$O$277),(1-(1+AP77)^-1)/(1-(1+AP77)^(-1/12))/12*SUMPRODUCT('Needs years'!$O$228:$O$277,(1+AP77)^(-'Needs years'!$I$228:$I$277))),2)))</f>
      </c>
      <c r="AQ78">
        <f>IF('Inputs'!$B$93="",0,IF(AND(AQ4=1,'Inputs'!$Q$93=1),'Needs years'!$C$238,ROUND(IF(AQ77=0,SUM('Needs years'!$O$228:$O$277),(1-(1+AQ77)^-1)/(1-(1+AQ77)^(-1/12))/12*SUMPRODUCT('Needs years'!$O$228:$O$277,(1+AQ77)^(-'Needs years'!$I$228:$I$277))),2)))</f>
      </c>
      <c r="AR78">
        <f>IF('Inputs'!$B$93="",0,IF(AND(AR4=1,'Inputs'!$Q$93=1),'Needs years'!$C$238,ROUND(IF(AR77=0,SUM('Needs years'!$O$228:$O$277),(1-(1+AR77)^-1)/(1-(1+AR77)^(-1/12))/12*SUMPRODUCT('Needs years'!$O$228:$O$277,(1+AR77)^(-'Needs years'!$I$228:$I$277))),2)))</f>
      </c>
      <c r="AS78">
        <f>IF('Inputs'!$B$93="",0,IF(AND(AS4=1,'Inputs'!$Q$93=1),'Needs years'!$C$238,ROUND(IF(AS77=0,SUM('Needs years'!$O$228:$O$277),(1-(1+AS77)^-1)/(1-(1+AS77)^(-1/12))/12*SUMPRODUCT('Needs years'!$O$228:$O$277,(1+AS77)^(-'Needs years'!$I$228:$I$277))),2)))</f>
      </c>
      <c r="AT78">
        <f>IF('Inputs'!$B$93="",0,IF(AND(AT4=1,'Inputs'!$Q$93=1),'Needs years'!$C$238,ROUND(IF(AT77=0,SUM('Needs years'!$O$228:$O$277),(1-(1+AT77)^-1)/(1-(1+AT77)^(-1/12))/12*SUMPRODUCT('Needs years'!$O$228:$O$277,(1+AT77)^(-'Needs years'!$I$228:$I$277))),2)))</f>
      </c>
      <c r="AU78">
        <f>IF('Inputs'!$B$93="",0,IF(AND(AU4=1,'Inputs'!$Q$93=1),'Needs years'!$C$238,ROUND(IF(AU77=0,SUM('Needs years'!$O$228:$O$277),(1-(1+AU77)^-1)/(1-(1+AU77)^(-1/12))/12*SUMPRODUCT('Needs years'!$O$228:$O$277,(1+AU77)^(-'Needs years'!$I$228:$I$277))),2)))</f>
      </c>
      <c r="AV78">
        <f>IF('Inputs'!$B$93="",0,IF(AND(AV4=1,'Inputs'!$Q$93=1),'Needs years'!$C$238,ROUND(IF(AV77=0,SUM('Needs years'!$O$228:$O$277),(1-(1+AV77)^-1)/(1-(1+AV77)^(-1/12))/12*SUMPRODUCT('Needs years'!$O$228:$O$277,(1+AV77)^(-'Needs years'!$I$228:$I$277))),2)))</f>
      </c>
      <c r="AW78">
        <f>IF('Inputs'!$B$93="",0,IF(AND(AW4=1,'Inputs'!$Q$93=1),'Needs years'!$C$238,ROUND(IF(AW77=0,SUM('Needs years'!$O$228:$O$277),(1-(1+AW77)^-1)/(1-(1+AW77)^(-1/12))/12*SUMPRODUCT('Needs years'!$O$228:$O$277,(1+AW77)^(-'Needs years'!$I$228:$I$277))),2)))</f>
      </c>
      <c r="AX78">
        <f>IF('Inputs'!$B$93="",0,IF(AND(AX4=1,'Inputs'!$Q$93=1),'Needs years'!$C$238,ROUND(IF(AX77=0,SUM('Needs years'!$O$228:$O$277),(1-(1+AX77)^-1)/(1-(1+AX77)^(-1/12))/12*SUMPRODUCT('Needs years'!$O$228:$O$277,(1+AX77)^(-'Needs years'!$I$228:$I$277))),2)))</f>
      </c>
      <c r="AY78">
        <f>IF('Inputs'!$B$93="",0,IF(AND(AY4=1,'Inputs'!$Q$93=1),'Needs years'!$C$238,ROUND(IF(AY77=0,SUM('Needs years'!$O$228:$O$277),(1-(1+AY77)^-1)/(1-(1+AY77)^(-1/12))/12*SUMPRODUCT('Needs years'!$O$228:$O$277,(1+AY77)^(-'Needs years'!$I$228:$I$277))),2)))</f>
      </c>
      <c r="AZ78">
        <f>IF('Inputs'!$B$93="",0,IF(AND(AZ4=1,'Inputs'!$Q$93=1),'Needs years'!$C$238,ROUND(IF(AZ77=0,SUM('Needs years'!$O$228:$O$277),(1-(1+AZ77)^-1)/(1-(1+AZ77)^(-1/12))/12*SUMPRODUCT('Needs years'!$O$228:$O$277,(1+AZ77)^(-'Needs years'!$I$228:$I$277))),2)))</f>
      </c>
      <c r="BA78">
        <f>IF('Inputs'!$B$93="",0,IF(AND(BA4=1,'Inputs'!$Q$93=1),'Needs years'!$C$238,ROUND(IF(BA77=0,SUM('Needs years'!$O$228:$O$277),(1-(1+BA77)^-1)/(1-(1+BA77)^(-1/12))/12*SUMPRODUCT('Needs years'!$O$228:$O$277,(1+BA77)^(-'Needs years'!$I$228:$I$277))),2)))</f>
      </c>
      <c r="BB78">
        <f>IF('Inputs'!$B$93="",0,IF(AND(BB4=1,'Inputs'!$Q$93=1),'Needs years'!$C$238,ROUND(IF(BB77=0,SUM('Needs years'!$O$228:$O$277),(1-(1+BB77)^-1)/(1-(1+BB77)^(-1/12))/12*SUMPRODUCT('Needs years'!$O$228:$O$277,(1+BB77)^(-'Needs years'!$I$228:$I$277))),2)))</f>
      </c>
      <c r="BD78">
        <f>IF('Inputs'!$B$93="",0,IF(AND(BD4=1,'Inputs'!$Q$93=1),'Needs years'!$C$238,ROUND(IF(BD77=0,SUM('Needs years'!$O$228:$O$277),(1-(1+BD77)^-1)/(1-(1+BD77)^(-1/12))/12*SUMPRODUCT('Needs years'!$O$228:$O$277,(1+BD77)^(-'Needs years'!$I$228:$I$277))),2)))</f>
      </c>
      <c r="BE78">
        <f>IF('Inputs'!$B$93="",0,IF(AND(BE4=1,'Inputs'!$Q$93=1),'Needs years'!$C$238,ROUND(IF(BE77=0,SUM('Needs years'!$O$228:$O$277),(1-(1+BE77)^-1)/(1-(1+BE77)^(-1/12))/12*SUMPRODUCT('Needs years'!$O$228:$O$277,(1+BE77)^(-'Needs years'!$I$228:$I$277))),2)))</f>
      </c>
      <c r="BF78">
        <f>IF('Inputs'!$B$93="",0,IF(AND(BF4=1,'Inputs'!$Q$93=1),'Needs years'!$C$238,ROUND(IF(BF77=0,SUM('Needs years'!$O$228:$O$277),(1-(1+BF77)^-1)/(1-(1+BF77)^(-1/12))/12*SUMPRODUCT('Needs years'!$O$228:$O$277,(1+BF77)^(-'Needs years'!$I$228:$I$277))),2)))</f>
      </c>
      <c r="BG78">
        <f>IF('Inputs'!$B$93="",0,IF(AND(BG4=1,'Inputs'!$Q$93=1),'Needs years'!$C$238,ROUND(IF(BG77=0,SUM('Needs years'!$O$228:$O$277),(1-(1+BG77)^-1)/(1-(1+BG77)^(-1/12))/12*SUMPRODUCT('Needs years'!$O$228:$O$277,(1+BG77)^(-'Needs years'!$I$228:$I$277))),2)))</f>
      </c>
      <c r="BH78">
        <f>IF('Inputs'!$B$93="",0,IF(AND(BH4=1,'Inputs'!$Q$93=1),'Needs years'!$C$238,ROUND(IF(BH77=0,SUM('Needs years'!$O$228:$O$277),(1-(1+BH77)^-1)/(1-(1+BH77)^(-1/12))/12*SUMPRODUCT('Needs years'!$O$228:$O$277,(1+BH77)^(-'Needs years'!$I$228:$I$277))),2)))</f>
      </c>
      <c r="BI78">
        <f>IF('Inputs'!$B$93="",0,IF(AND(BI4=1,'Inputs'!$Q$93=1),'Needs years'!$C$238,ROUND(IF(BI77=0,SUM('Needs years'!$O$228:$O$277),(1-(1+BI77)^-1)/(1-(1+BI77)^(-1/12))/12*SUMPRODUCT('Needs years'!$O$228:$O$277,(1+BI77)^(-'Needs years'!$I$228:$I$277))),2)))</f>
      </c>
      <c r="BJ78">
        <f>IF('Inputs'!$B$93="",0,IF(AND(BJ4=1,'Inputs'!$Q$93=1),'Needs years'!$C$238,ROUND(IF(BJ77=0,SUM('Needs years'!$O$228:$O$277),(1-(1+BJ77)^-1)/(1-(1+BJ77)^(-1/12))/12*SUMPRODUCT('Needs years'!$O$228:$O$277,(1+BJ77)^(-'Needs years'!$I$228:$I$277))),2)))</f>
      </c>
      <c r="BK78">
        <f>IF('Inputs'!$B$93="",0,IF(AND(BK4=1,'Inputs'!$Q$93=1),'Needs years'!$C$238,ROUND(IF(BK77=0,SUM('Needs years'!$O$228:$O$277),(1-(1+BK77)^-1)/(1-(1+BK77)^(-1/12))/12*SUMPRODUCT('Needs years'!$O$228:$O$277,(1+BK77)^(-'Needs years'!$I$228:$I$277))),2)))</f>
      </c>
      <c r="BL78">
        <f>IF('Inputs'!$B$93="",0,IF(AND(BL4=1,'Inputs'!$Q$93=1),'Needs years'!$C$238,ROUND(IF(BL77=0,SUM('Needs years'!$O$228:$O$277),(1-(1+BL77)^-1)/(1-(1+BL77)^(-1/12))/12*SUMPRODUCT('Needs years'!$O$228:$O$277,(1+BL77)^(-'Needs years'!$I$228:$I$277))),2)))</f>
      </c>
      <c r="BM78">
        <f>IF('Inputs'!$B$93="",0,IF(AND(BM4=1,'Inputs'!$Q$93=1),'Needs years'!$C$238,ROUND(IF(BM77=0,SUM('Needs years'!$O$228:$O$277),(1-(1+BM77)^-1)/(1-(1+BM77)^(-1/12))/12*SUMPRODUCT('Needs years'!$O$228:$O$277,(1+BM77)^(-'Needs years'!$I$228:$I$277))),2)))</f>
      </c>
      <c r="BN78">
        <f>IF('Inputs'!$B$93="",0,IF(AND(BN4=1,'Inputs'!$Q$93=1),'Needs years'!$C$238,ROUND(IF(BN77=0,SUM('Needs years'!$O$228:$O$277),(1-(1+BN77)^-1)/(1-(1+BN77)^(-1/12))/12*SUMPRODUCT('Needs years'!$O$228:$O$277,(1+BN77)^(-'Needs years'!$I$228:$I$277))),2)))</f>
      </c>
      <c r="BO78">
        <f>IF('Inputs'!$B$93="",0,IF(AND(BO4=1,'Inputs'!$Q$93=1),'Needs years'!$C$238,ROUND(IF(BO77=0,SUM('Needs years'!$O$228:$O$277),(1-(1+BO77)^-1)/(1-(1+BO77)^(-1/12))/12*SUMPRODUCT('Needs years'!$O$228:$O$277,(1+BO77)^(-'Needs years'!$I$228:$I$277))),2)))</f>
      </c>
      <c r="BP78">
        <f>IF('Inputs'!$B$93="",0,IF(AND(BP4=1,'Inputs'!$Q$93=1),'Needs years'!$C$238,ROUND(IF(BP77=0,SUM('Needs years'!$O$228:$O$277),(1-(1+BP77)^-1)/(1-(1+BP77)^(-1/12))/12*SUMPRODUCT('Needs years'!$O$228:$O$277,(1+BP77)^(-'Needs years'!$I$228:$I$277))),2)))</f>
      </c>
      <c r="BQ78">
        <f>IF('Inputs'!$B$93="",0,IF(AND(BQ4=1,'Inputs'!$Q$93=1),'Needs years'!$C$238,ROUND(IF(BQ77=0,SUM('Needs years'!$O$228:$O$277),(1-(1+BQ77)^-1)/(1-(1+BQ77)^(-1/12))/12*SUMPRODUCT('Needs years'!$O$228:$O$277,(1+BQ77)^(-'Needs years'!$I$228:$I$277))),2)))</f>
      </c>
      <c r="BR78">
        <f>IF('Inputs'!$B$93="",0,IF(AND(BR4=1,'Inputs'!$Q$93=1),'Needs years'!$C$238,ROUND(IF(BR77=0,SUM('Needs years'!$O$228:$O$277),(1-(1+BR77)^-1)/(1-(1+BR77)^(-1/12))/12*SUMPRODUCT('Needs years'!$O$228:$O$277,(1+BR77)^(-'Needs years'!$I$228:$I$277))),2)))</f>
      </c>
      <c r="BS78">
        <f>IF('Inputs'!$B$93="",0,IF(AND(BS4=1,'Inputs'!$Q$93=1),'Needs years'!$C$238,ROUND(IF(BS77=0,SUM('Needs years'!$O$228:$O$277),(1-(1+BS77)^-1)/(1-(1+BS77)^(-1/12))/12*SUMPRODUCT('Needs years'!$O$228:$O$277,(1+BS77)^(-'Needs years'!$I$228:$I$277))),2)))</f>
      </c>
    </row>
    <row r="79" spans="2:71" x14ac:dyDescent="0.25">
      <c r="B79" t="s">
        <v>398</v>
      </c>
      <c r="C79">
        <f>IF(OR('Inputs'!$B$93="",AND(C4=1,'Inputs'!$Q$93=1)),0,ROUND(C78-C74,2))</f>
      </c>
      <c r="E79">
        <f>IF(OR('Inputs'!$B$93="",AND(E4=1,'Inputs'!$Q$93=1)),0,ROUND(E78-E74,2))</f>
      </c>
      <c r="F79">
        <f>IF(OR('Inputs'!$B$93="",AND(F4=1,'Inputs'!$Q$93=1)),0,ROUND(F78-F74,2))</f>
      </c>
      <c r="G79">
        <f>IF(OR('Inputs'!$B$93="",AND(G4=1,'Inputs'!$Q$93=1)),0,ROUND(G78-G74,2))</f>
      </c>
      <c r="H79">
        <f>IF(OR('Inputs'!$B$93="",AND(H4=1,'Inputs'!$Q$93=1)),0,ROUND(H78-H74,2))</f>
      </c>
      <c r="I79">
        <f>IF(OR('Inputs'!$B$93="",AND(I4=1,'Inputs'!$Q$93=1)),0,ROUND(I78-I74,2))</f>
      </c>
      <c r="J79">
        <f>IF(OR('Inputs'!$B$93="",AND(J4=1,'Inputs'!$Q$93=1)),0,ROUND(J78-J74,2))</f>
      </c>
      <c r="K79">
        <f>IF(OR('Inputs'!$B$93="",AND(K4=1,'Inputs'!$Q$93=1)),0,ROUND(K78-K74,2))</f>
      </c>
      <c r="L79">
        <f>IF(OR('Inputs'!$B$93="",AND(L4=1,'Inputs'!$Q$93=1)),0,ROUND(L78-L74,2))</f>
      </c>
      <c r="M79">
        <f>IF(OR('Inputs'!$B$93="",AND(M4=1,'Inputs'!$Q$93=1)),0,ROUND(M78-M74,2))</f>
      </c>
      <c r="N79">
        <f>IF(OR('Inputs'!$B$93="",AND(N4=1,'Inputs'!$Q$93=1)),0,ROUND(N78-N74,2))</f>
      </c>
      <c r="O79">
        <f>IF(OR('Inputs'!$B$93="",AND(O4=1,'Inputs'!$Q$93=1)),0,ROUND(O78-O74,2))</f>
      </c>
      <c r="P79">
        <f>IF(OR('Inputs'!$B$93="",AND(P4=1,'Inputs'!$Q$93=1)),0,ROUND(P78-P74,2))</f>
      </c>
      <c r="Q79">
        <f>IF(OR('Inputs'!$B$93="",AND(Q4=1,'Inputs'!$Q$93=1)),0,ROUND(Q78-Q74,2))</f>
      </c>
      <c r="R79">
        <f>IF(OR('Inputs'!$B$93="",AND(R4=1,'Inputs'!$Q$93=1)),0,ROUND(R78-R74,2))</f>
      </c>
      <c r="S79">
        <f>IF(OR('Inputs'!$B$93="",AND(S4=1,'Inputs'!$Q$93=1)),0,ROUND(S78-S74,2))</f>
      </c>
      <c r="T79">
        <f>IF(OR('Inputs'!$B$93="",AND(T4=1,'Inputs'!$Q$93=1)),0,ROUND(T78-T74,2))</f>
      </c>
      <c r="V79">
        <f>IF(OR('Inputs'!$B$93="",AND(V4=1,'Inputs'!$Q$93=1)),0,ROUND(V78-V74,2))</f>
      </c>
      <c r="W79">
        <f>IF(OR('Inputs'!$B$93="",AND(W4=1,'Inputs'!$Q$93=1)),0,ROUND(W78-W74,2))</f>
      </c>
      <c r="X79">
        <f>IF(OR('Inputs'!$B$93="",AND(X4=1,'Inputs'!$Q$93=1)),0,ROUND(X78-X74,2))</f>
      </c>
      <c r="Y79">
        <f>IF(OR('Inputs'!$B$93="",AND(Y4=1,'Inputs'!$Q$93=1)),0,ROUND(Y78-Y74,2))</f>
      </c>
      <c r="Z79">
        <f>IF(OR('Inputs'!$B$93="",AND(Z4=1,'Inputs'!$Q$93=1)),0,ROUND(Z78-Z74,2))</f>
      </c>
      <c r="AA79">
        <f>IF(OR('Inputs'!$B$93="",AND(AA4=1,'Inputs'!$Q$93=1)),0,ROUND(AA78-AA74,2))</f>
      </c>
      <c r="AB79">
        <f>IF(OR('Inputs'!$B$93="",AND(AB4=1,'Inputs'!$Q$93=1)),0,ROUND(AB78-AB74,2))</f>
      </c>
      <c r="AC79">
        <f>IF(OR('Inputs'!$B$93="",AND(AC4=1,'Inputs'!$Q$93=1)),0,ROUND(AC78-AC74,2))</f>
      </c>
      <c r="AD79">
        <f>IF(OR('Inputs'!$B$93="",AND(AD4=1,'Inputs'!$Q$93=1)),0,ROUND(AD78-AD74,2))</f>
      </c>
      <c r="AE79">
        <f>IF(OR('Inputs'!$B$93="",AND(AE4=1,'Inputs'!$Q$93=1)),0,ROUND(AE78-AE74,2))</f>
      </c>
      <c r="AF79">
        <f>IF(OR('Inputs'!$B$93="",AND(AF4=1,'Inputs'!$Q$93=1)),0,ROUND(AF78-AF74,2))</f>
      </c>
      <c r="AG79">
        <f>IF(OR('Inputs'!$B$93="",AND(AG4=1,'Inputs'!$Q$93=1)),0,ROUND(AG78-AG74,2))</f>
      </c>
      <c r="AH79">
        <f>IF(OR('Inputs'!$B$93="",AND(AH4=1,'Inputs'!$Q$93=1)),0,ROUND(AH78-AH74,2))</f>
      </c>
      <c r="AI79">
        <f>IF(OR('Inputs'!$B$93="",AND(AI4=1,'Inputs'!$Q$93=1)),0,ROUND(AI78-AI74,2))</f>
      </c>
      <c r="AJ79">
        <f>IF(OR('Inputs'!$B$93="",AND(AJ4=1,'Inputs'!$Q$93=1)),0,ROUND(AJ78-AJ74,2))</f>
      </c>
      <c r="AK79">
        <f>IF(OR('Inputs'!$B$93="",AND(AK4=1,'Inputs'!$Q$93=1)),0,ROUND(AK78-AK74,2))</f>
      </c>
      <c r="AM79">
        <f>IF(OR('Inputs'!$B$93="",AND(AM4=1,'Inputs'!$Q$93=1)),0,ROUND(AM78-AM74,2))</f>
      </c>
      <c r="AN79">
        <f>IF(OR('Inputs'!$B$93="",AND(AN4=1,'Inputs'!$Q$93=1)),0,ROUND(AN78-AN74,2))</f>
      </c>
      <c r="AO79">
        <f>IF(OR('Inputs'!$B$93="",AND(AO4=1,'Inputs'!$Q$93=1)),0,ROUND(AO78-AO74,2))</f>
      </c>
      <c r="AP79">
        <f>IF(OR('Inputs'!$B$93="",AND(AP4=1,'Inputs'!$Q$93=1)),0,ROUND(AP78-AP74,2))</f>
      </c>
      <c r="AQ79">
        <f>IF(OR('Inputs'!$B$93="",AND(AQ4=1,'Inputs'!$Q$93=1)),0,ROUND(AQ78-AQ74,2))</f>
      </c>
      <c r="AR79">
        <f>IF(OR('Inputs'!$B$93="",AND(AR4=1,'Inputs'!$Q$93=1)),0,ROUND(AR78-AR74,2))</f>
      </c>
      <c r="AS79">
        <f>IF(OR('Inputs'!$B$93="",AND(AS4=1,'Inputs'!$Q$93=1)),0,ROUND(AS78-AS74,2))</f>
      </c>
      <c r="AT79">
        <f>IF(OR('Inputs'!$B$93="",AND(AT4=1,'Inputs'!$Q$93=1)),0,ROUND(AT78-AT74,2))</f>
      </c>
      <c r="AU79">
        <f>IF(OR('Inputs'!$B$93="",AND(AU4=1,'Inputs'!$Q$93=1)),0,ROUND(AU78-AU74,2))</f>
      </c>
      <c r="AV79">
        <f>IF(OR('Inputs'!$B$93="",AND(AV4=1,'Inputs'!$Q$93=1)),0,ROUND(AV78-AV74,2))</f>
      </c>
      <c r="AW79">
        <f>IF(OR('Inputs'!$B$93="",AND(AW4=1,'Inputs'!$Q$93=1)),0,ROUND(AW78-AW74,2))</f>
      </c>
      <c r="AX79">
        <f>IF(OR('Inputs'!$B$93="",AND(AX4=1,'Inputs'!$Q$93=1)),0,ROUND(AX78-AX74,2))</f>
      </c>
      <c r="AY79">
        <f>IF(OR('Inputs'!$B$93="",AND(AY4=1,'Inputs'!$Q$93=1)),0,ROUND(AY78-AY74,2))</f>
      </c>
      <c r="AZ79">
        <f>IF(OR('Inputs'!$B$93="",AND(AZ4=1,'Inputs'!$Q$93=1)),0,ROUND(AZ78-AZ74,2))</f>
      </c>
      <c r="BA79">
        <f>IF(OR('Inputs'!$B$93="",AND(BA4=1,'Inputs'!$Q$93=1)),0,ROUND(BA78-BA74,2))</f>
      </c>
      <c r="BB79">
        <f>IF(OR('Inputs'!$B$93="",AND(BB4=1,'Inputs'!$Q$93=1)),0,ROUND(BB78-BB74,2))</f>
      </c>
      <c r="BD79">
        <f>IF(OR('Inputs'!$B$93="",AND(BD4=1,'Inputs'!$Q$93=1)),0,ROUND(BD78-BD74,2))</f>
      </c>
      <c r="BE79">
        <f>IF(OR('Inputs'!$B$93="",AND(BE4=1,'Inputs'!$Q$93=1)),0,ROUND(BE78-BE74,2))</f>
      </c>
      <c r="BF79">
        <f>IF(OR('Inputs'!$B$93="",AND(BF4=1,'Inputs'!$Q$93=1)),0,ROUND(BF78-BF74,2))</f>
      </c>
      <c r="BG79">
        <f>IF(OR('Inputs'!$B$93="",AND(BG4=1,'Inputs'!$Q$93=1)),0,ROUND(BG78-BG74,2))</f>
      </c>
      <c r="BH79">
        <f>IF(OR('Inputs'!$B$93="",AND(BH4=1,'Inputs'!$Q$93=1)),0,ROUND(BH78-BH74,2))</f>
      </c>
      <c r="BI79">
        <f>IF(OR('Inputs'!$B$93="",AND(BI4=1,'Inputs'!$Q$93=1)),0,ROUND(BI78-BI74,2))</f>
      </c>
      <c r="BJ79">
        <f>IF(OR('Inputs'!$B$93="",AND(BJ4=1,'Inputs'!$Q$93=1)),0,ROUND(BJ78-BJ74,2))</f>
      </c>
      <c r="BK79">
        <f>IF(OR('Inputs'!$B$93="",AND(BK4=1,'Inputs'!$Q$93=1)),0,ROUND(BK78-BK74,2))</f>
      </c>
      <c r="BL79">
        <f>IF(OR('Inputs'!$B$93="",AND(BL4=1,'Inputs'!$Q$93=1)),0,ROUND(BL78-BL74,2))</f>
      </c>
      <c r="BM79">
        <f>IF(OR('Inputs'!$B$93="",AND(BM4=1,'Inputs'!$Q$93=1)),0,ROUND(BM78-BM74,2))</f>
      </c>
      <c r="BN79">
        <f>IF(OR('Inputs'!$B$93="",AND(BN4=1,'Inputs'!$Q$93=1)),0,ROUND(BN78-BN74,2))</f>
      </c>
      <c r="BO79">
        <f>IF(OR('Inputs'!$B$93="",AND(BO4=1,'Inputs'!$Q$93=1)),0,ROUND(BO78-BO74,2))</f>
      </c>
      <c r="BP79">
        <f>IF(OR('Inputs'!$B$93="",AND(BP4=1,'Inputs'!$Q$93=1)),0,ROUND(BP78-BP74,2))</f>
      </c>
      <c r="BQ79">
        <f>IF(OR('Inputs'!$B$93="",AND(BQ4=1,'Inputs'!$Q$93=1)),0,ROUND(BQ78-BQ74,2))</f>
      </c>
      <c r="BR79">
        <f>IF(OR('Inputs'!$B$93="",AND(BR4=1,'Inputs'!$Q$93=1)),0,ROUND(BR78-BR74,2))</f>
      </c>
      <c r="BS79">
        <f>IF(OR('Inputs'!$B$93="",AND(BS4=1,'Inputs'!$Q$93=1)),0,ROUND(BS78-BS74,2))</f>
      </c>
    </row>
    <row r="80" spans="2:71" x14ac:dyDescent="0.25">
      <c r="B80" t="s">
        <v>399</v>
      </c>
      <c r="C80">
        <f>IF('Inputs'!$B$93="",0,IF(AND(C4=1,'Inputs'!$Q$93=1),'Inputs'!$E$93,'Needs years'!$C$239/12+IF(C78&gt;0,C74/C78*'Needs years'!$C$240/12,0)))</f>
      </c>
      <c r="E80">
        <f>IF('Inputs'!$B$93="",0,IF(AND(E4=1,'Inputs'!$Q$93=1),'Inputs'!$E$93,'Needs years'!$C$239/12+IF(E78&gt;0,E74/E78*'Needs years'!$C$240/12,0)))</f>
      </c>
      <c r="F80">
        <f>IF('Inputs'!$B$93="",0,IF(AND(F4=1,'Inputs'!$Q$93=1),'Inputs'!$E$93,'Needs years'!$C$239/12+IF(F78&gt;0,F74/F78*'Needs years'!$C$240/12,0)))</f>
      </c>
      <c r="G80">
        <f>IF('Inputs'!$B$93="",0,IF(AND(G4=1,'Inputs'!$Q$93=1),'Inputs'!$E$93,'Needs years'!$C$239/12+IF(G78&gt;0,G74/G78*'Needs years'!$C$240/12,0)))</f>
      </c>
      <c r="H80">
        <f>IF('Inputs'!$B$93="",0,IF(AND(H4=1,'Inputs'!$Q$93=1),'Inputs'!$E$93,'Needs years'!$C$239/12+IF(H78&gt;0,H74/H78*'Needs years'!$C$240/12,0)))</f>
      </c>
      <c r="I80">
        <f>IF('Inputs'!$B$93="",0,IF(AND(I4=1,'Inputs'!$Q$93=1),'Inputs'!$E$93,'Needs years'!$C$239/12+IF(I78&gt;0,I74/I78*'Needs years'!$C$240/12,0)))</f>
      </c>
      <c r="J80">
        <f>IF('Inputs'!$B$93="",0,IF(AND(J4=1,'Inputs'!$Q$93=1),'Inputs'!$E$93,'Needs years'!$C$239/12+IF(J78&gt;0,J74/J78*'Needs years'!$C$240/12,0)))</f>
      </c>
      <c r="K80">
        <f>IF('Inputs'!$B$93="",0,IF(AND(K4=1,'Inputs'!$Q$93=1),'Inputs'!$E$93,'Needs years'!$C$239/12+IF(K78&gt;0,K74/K78*'Needs years'!$C$240/12,0)))</f>
      </c>
      <c r="L80">
        <f>IF('Inputs'!$B$93="",0,IF(AND(L4=1,'Inputs'!$Q$93=1),'Inputs'!$E$93,'Needs years'!$C$239/12+IF(L78&gt;0,L74/L78*'Needs years'!$C$240/12,0)))</f>
      </c>
      <c r="M80">
        <f>IF('Inputs'!$B$93="",0,IF(AND(M4=1,'Inputs'!$Q$93=1),'Inputs'!$E$93,'Needs years'!$C$239/12+IF(M78&gt;0,M74/M78*'Needs years'!$C$240/12,0)))</f>
      </c>
      <c r="N80">
        <f>IF('Inputs'!$B$93="",0,IF(AND(N4=1,'Inputs'!$Q$93=1),'Inputs'!$E$93,'Needs years'!$C$239/12+IF(N78&gt;0,N74/N78*'Needs years'!$C$240/12,0)))</f>
      </c>
      <c r="O80">
        <f>IF('Inputs'!$B$93="",0,IF(AND(O4=1,'Inputs'!$Q$93=1),'Inputs'!$E$93,'Needs years'!$C$239/12+IF(O78&gt;0,O74/O78*'Needs years'!$C$240/12,0)))</f>
      </c>
      <c r="P80">
        <f>IF('Inputs'!$B$93="",0,IF(AND(P4=1,'Inputs'!$Q$93=1),'Inputs'!$E$93,'Needs years'!$C$239/12+IF(P78&gt;0,P74/P78*'Needs years'!$C$240/12,0)))</f>
      </c>
      <c r="Q80">
        <f>IF('Inputs'!$B$93="",0,IF(AND(Q4=1,'Inputs'!$Q$93=1),'Inputs'!$E$93,'Needs years'!$C$239/12+IF(Q78&gt;0,Q74/Q78*'Needs years'!$C$240/12,0)))</f>
      </c>
      <c r="R80">
        <f>IF('Inputs'!$B$93="",0,IF(AND(R4=1,'Inputs'!$Q$93=1),'Inputs'!$E$93,'Needs years'!$C$239/12+IF(R78&gt;0,R74/R78*'Needs years'!$C$240/12,0)))</f>
      </c>
      <c r="S80">
        <f>IF('Inputs'!$B$93="",0,IF(AND(S4=1,'Inputs'!$Q$93=1),'Inputs'!$E$93,'Needs years'!$C$239/12+IF(S78&gt;0,S74/S78*'Needs years'!$C$240/12,0)))</f>
      </c>
      <c r="T80">
        <f>IF('Inputs'!$B$93="",0,IF(AND(T4=1,'Inputs'!$Q$93=1),'Inputs'!$E$93,'Needs years'!$C$239/12+IF(T78&gt;0,T74/T78*'Needs years'!$C$240/12,0)))</f>
      </c>
      <c r="V80">
        <f>IF('Inputs'!$B$93="",0,IF(AND(V4=1,'Inputs'!$Q$93=1),'Inputs'!$E$93,'Needs years'!$C$239/12+IF(V78&gt;0,V74/V78*'Needs years'!$C$240/12,0)))</f>
      </c>
      <c r="W80">
        <f>IF('Inputs'!$B$93="",0,IF(AND(W4=1,'Inputs'!$Q$93=1),'Inputs'!$E$93,'Needs years'!$C$239/12+IF(W78&gt;0,W74/W78*'Needs years'!$C$240/12,0)))</f>
      </c>
      <c r="X80">
        <f>IF('Inputs'!$B$93="",0,IF(AND(X4=1,'Inputs'!$Q$93=1),'Inputs'!$E$93,'Needs years'!$C$239/12+IF(X78&gt;0,X74/X78*'Needs years'!$C$240/12,0)))</f>
      </c>
      <c r="Y80">
        <f>IF('Inputs'!$B$93="",0,IF(AND(Y4=1,'Inputs'!$Q$93=1),'Inputs'!$E$93,'Needs years'!$C$239/12+IF(Y78&gt;0,Y74/Y78*'Needs years'!$C$240/12,0)))</f>
      </c>
      <c r="Z80">
        <f>IF('Inputs'!$B$93="",0,IF(AND(Z4=1,'Inputs'!$Q$93=1),'Inputs'!$E$93,'Needs years'!$C$239/12+IF(Z78&gt;0,Z74/Z78*'Needs years'!$C$240/12,0)))</f>
      </c>
      <c r="AA80">
        <f>IF('Inputs'!$B$93="",0,IF(AND(AA4=1,'Inputs'!$Q$93=1),'Inputs'!$E$93,'Needs years'!$C$239/12+IF(AA78&gt;0,AA74/AA78*'Needs years'!$C$240/12,0)))</f>
      </c>
      <c r="AB80">
        <f>IF('Inputs'!$B$93="",0,IF(AND(AB4=1,'Inputs'!$Q$93=1),'Inputs'!$E$93,'Needs years'!$C$239/12+IF(AB78&gt;0,AB74/AB78*'Needs years'!$C$240/12,0)))</f>
      </c>
      <c r="AC80">
        <f>IF('Inputs'!$B$93="",0,IF(AND(AC4=1,'Inputs'!$Q$93=1),'Inputs'!$E$93,'Needs years'!$C$239/12+IF(AC78&gt;0,AC74/AC78*'Needs years'!$C$240/12,0)))</f>
      </c>
      <c r="AD80">
        <f>IF('Inputs'!$B$93="",0,IF(AND(AD4=1,'Inputs'!$Q$93=1),'Inputs'!$E$93,'Needs years'!$C$239/12+IF(AD78&gt;0,AD74/AD78*'Needs years'!$C$240/12,0)))</f>
      </c>
      <c r="AE80">
        <f>IF('Inputs'!$B$93="",0,IF(AND(AE4=1,'Inputs'!$Q$93=1),'Inputs'!$E$93,'Needs years'!$C$239/12+IF(AE78&gt;0,AE74/AE78*'Needs years'!$C$240/12,0)))</f>
      </c>
      <c r="AF80">
        <f>IF('Inputs'!$B$93="",0,IF(AND(AF4=1,'Inputs'!$Q$93=1),'Inputs'!$E$93,'Needs years'!$C$239/12+IF(AF78&gt;0,AF74/AF78*'Needs years'!$C$240/12,0)))</f>
      </c>
      <c r="AG80">
        <f>IF('Inputs'!$B$93="",0,IF(AND(AG4=1,'Inputs'!$Q$93=1),'Inputs'!$E$93,'Needs years'!$C$239/12+IF(AG78&gt;0,AG74/AG78*'Needs years'!$C$240/12,0)))</f>
      </c>
      <c r="AH80">
        <f>IF('Inputs'!$B$93="",0,IF(AND(AH4=1,'Inputs'!$Q$93=1),'Inputs'!$E$93,'Needs years'!$C$239/12+IF(AH78&gt;0,AH74/AH78*'Needs years'!$C$240/12,0)))</f>
      </c>
      <c r="AI80">
        <f>IF('Inputs'!$B$93="",0,IF(AND(AI4=1,'Inputs'!$Q$93=1),'Inputs'!$E$93,'Needs years'!$C$239/12+IF(AI78&gt;0,AI74/AI78*'Needs years'!$C$240/12,0)))</f>
      </c>
      <c r="AJ80">
        <f>IF('Inputs'!$B$93="",0,IF(AND(AJ4=1,'Inputs'!$Q$93=1),'Inputs'!$E$93,'Needs years'!$C$239/12+IF(AJ78&gt;0,AJ74/AJ78*'Needs years'!$C$240/12,0)))</f>
      </c>
      <c r="AK80">
        <f>IF('Inputs'!$B$93="",0,IF(AND(AK4=1,'Inputs'!$Q$93=1),'Inputs'!$E$93,'Needs years'!$C$239/12+IF(AK78&gt;0,AK74/AK78*'Needs years'!$C$240/12,0)))</f>
      </c>
      <c r="AM80">
        <f>IF('Inputs'!$B$93="",0,IF(AND(AM4=1,'Inputs'!$Q$93=1),'Inputs'!$E$93,'Needs years'!$C$239/12+IF(AM78&gt;0,AM74/AM78*'Needs years'!$C$240/12,0)))</f>
      </c>
      <c r="AN80">
        <f>IF('Inputs'!$B$93="",0,IF(AND(AN4=1,'Inputs'!$Q$93=1),'Inputs'!$E$93,'Needs years'!$C$239/12+IF(AN78&gt;0,AN74/AN78*'Needs years'!$C$240/12,0)))</f>
      </c>
      <c r="AO80">
        <f>IF('Inputs'!$B$93="",0,IF(AND(AO4=1,'Inputs'!$Q$93=1),'Inputs'!$E$93,'Needs years'!$C$239/12+IF(AO78&gt;0,AO74/AO78*'Needs years'!$C$240/12,0)))</f>
      </c>
      <c r="AP80">
        <f>IF('Inputs'!$B$93="",0,IF(AND(AP4=1,'Inputs'!$Q$93=1),'Inputs'!$E$93,'Needs years'!$C$239/12+IF(AP78&gt;0,AP74/AP78*'Needs years'!$C$240/12,0)))</f>
      </c>
      <c r="AQ80">
        <f>IF('Inputs'!$B$93="",0,IF(AND(AQ4=1,'Inputs'!$Q$93=1),'Inputs'!$E$93,'Needs years'!$C$239/12+IF(AQ78&gt;0,AQ74/AQ78*'Needs years'!$C$240/12,0)))</f>
      </c>
      <c r="AR80">
        <f>IF('Inputs'!$B$93="",0,IF(AND(AR4=1,'Inputs'!$Q$93=1),'Inputs'!$E$93,'Needs years'!$C$239/12+IF(AR78&gt;0,AR74/AR78*'Needs years'!$C$240/12,0)))</f>
      </c>
      <c r="AS80">
        <f>IF('Inputs'!$B$93="",0,IF(AND(AS4=1,'Inputs'!$Q$93=1),'Inputs'!$E$93,'Needs years'!$C$239/12+IF(AS78&gt;0,AS74/AS78*'Needs years'!$C$240/12,0)))</f>
      </c>
      <c r="AT80">
        <f>IF('Inputs'!$B$93="",0,IF(AND(AT4=1,'Inputs'!$Q$93=1),'Inputs'!$E$93,'Needs years'!$C$239/12+IF(AT78&gt;0,AT74/AT78*'Needs years'!$C$240/12,0)))</f>
      </c>
      <c r="AU80">
        <f>IF('Inputs'!$B$93="",0,IF(AND(AU4=1,'Inputs'!$Q$93=1),'Inputs'!$E$93,'Needs years'!$C$239/12+IF(AU78&gt;0,AU74/AU78*'Needs years'!$C$240/12,0)))</f>
      </c>
      <c r="AV80">
        <f>IF('Inputs'!$B$93="",0,IF(AND(AV4=1,'Inputs'!$Q$93=1),'Inputs'!$E$93,'Needs years'!$C$239/12+IF(AV78&gt;0,AV74/AV78*'Needs years'!$C$240/12,0)))</f>
      </c>
      <c r="AW80">
        <f>IF('Inputs'!$B$93="",0,IF(AND(AW4=1,'Inputs'!$Q$93=1),'Inputs'!$E$93,'Needs years'!$C$239/12+IF(AW78&gt;0,AW74/AW78*'Needs years'!$C$240/12,0)))</f>
      </c>
      <c r="AX80">
        <f>IF('Inputs'!$B$93="",0,IF(AND(AX4=1,'Inputs'!$Q$93=1),'Inputs'!$E$93,'Needs years'!$C$239/12+IF(AX78&gt;0,AX74/AX78*'Needs years'!$C$240/12,0)))</f>
      </c>
      <c r="AY80">
        <f>IF('Inputs'!$B$93="",0,IF(AND(AY4=1,'Inputs'!$Q$93=1),'Inputs'!$E$93,'Needs years'!$C$239/12+IF(AY78&gt;0,AY74/AY78*'Needs years'!$C$240/12,0)))</f>
      </c>
      <c r="AZ80">
        <f>IF('Inputs'!$B$93="",0,IF(AND(AZ4=1,'Inputs'!$Q$93=1),'Inputs'!$E$93,'Needs years'!$C$239/12+IF(AZ78&gt;0,AZ74/AZ78*'Needs years'!$C$240/12,0)))</f>
      </c>
      <c r="BA80">
        <f>IF('Inputs'!$B$93="",0,IF(AND(BA4=1,'Inputs'!$Q$93=1),'Inputs'!$E$93,'Needs years'!$C$239/12+IF(BA78&gt;0,BA74/BA78*'Needs years'!$C$240/12,0)))</f>
      </c>
      <c r="BB80">
        <f>IF('Inputs'!$B$93="",0,IF(AND(BB4=1,'Inputs'!$Q$93=1),'Inputs'!$E$93,'Needs years'!$C$239/12+IF(BB78&gt;0,BB74/BB78*'Needs years'!$C$240/12,0)))</f>
      </c>
      <c r="BD80">
        <f>IF('Inputs'!$B$93="",0,IF(AND(BD4=1,'Inputs'!$Q$93=1),'Inputs'!$E$93,'Needs years'!$C$239/12+IF(BD78&gt;0,BD74/BD78*'Needs years'!$C$240/12,0)))</f>
      </c>
      <c r="BE80">
        <f>IF('Inputs'!$B$93="",0,IF(AND(BE4=1,'Inputs'!$Q$93=1),'Inputs'!$E$93,'Needs years'!$C$239/12+IF(BE78&gt;0,BE74/BE78*'Needs years'!$C$240/12,0)))</f>
      </c>
      <c r="BF80">
        <f>IF('Inputs'!$B$93="",0,IF(AND(BF4=1,'Inputs'!$Q$93=1),'Inputs'!$E$93,'Needs years'!$C$239/12+IF(BF78&gt;0,BF74/BF78*'Needs years'!$C$240/12,0)))</f>
      </c>
      <c r="BG80">
        <f>IF('Inputs'!$B$93="",0,IF(AND(BG4=1,'Inputs'!$Q$93=1),'Inputs'!$E$93,'Needs years'!$C$239/12+IF(BG78&gt;0,BG74/BG78*'Needs years'!$C$240/12,0)))</f>
      </c>
      <c r="BH80">
        <f>IF('Inputs'!$B$93="",0,IF(AND(BH4=1,'Inputs'!$Q$93=1),'Inputs'!$E$93,'Needs years'!$C$239/12+IF(BH78&gt;0,BH74/BH78*'Needs years'!$C$240/12,0)))</f>
      </c>
      <c r="BI80">
        <f>IF('Inputs'!$B$93="",0,IF(AND(BI4=1,'Inputs'!$Q$93=1),'Inputs'!$E$93,'Needs years'!$C$239/12+IF(BI78&gt;0,BI74/BI78*'Needs years'!$C$240/12,0)))</f>
      </c>
      <c r="BJ80">
        <f>IF('Inputs'!$B$93="",0,IF(AND(BJ4=1,'Inputs'!$Q$93=1),'Inputs'!$E$93,'Needs years'!$C$239/12+IF(BJ78&gt;0,BJ74/BJ78*'Needs years'!$C$240/12,0)))</f>
      </c>
      <c r="BK80">
        <f>IF('Inputs'!$B$93="",0,IF(AND(BK4=1,'Inputs'!$Q$93=1),'Inputs'!$E$93,'Needs years'!$C$239/12+IF(BK78&gt;0,BK74/BK78*'Needs years'!$C$240/12,0)))</f>
      </c>
      <c r="BL80">
        <f>IF('Inputs'!$B$93="",0,IF(AND(BL4=1,'Inputs'!$Q$93=1),'Inputs'!$E$93,'Needs years'!$C$239/12+IF(BL78&gt;0,BL74/BL78*'Needs years'!$C$240/12,0)))</f>
      </c>
      <c r="BM80">
        <f>IF('Inputs'!$B$93="",0,IF(AND(BM4=1,'Inputs'!$Q$93=1),'Inputs'!$E$93,'Needs years'!$C$239/12+IF(BM78&gt;0,BM74/BM78*'Needs years'!$C$240/12,0)))</f>
      </c>
      <c r="BN80">
        <f>IF('Inputs'!$B$93="",0,IF(AND(BN4=1,'Inputs'!$Q$93=1),'Inputs'!$E$93,'Needs years'!$C$239/12+IF(BN78&gt;0,BN74/BN78*'Needs years'!$C$240/12,0)))</f>
      </c>
      <c r="BO80">
        <f>IF('Inputs'!$B$93="",0,IF(AND(BO4=1,'Inputs'!$Q$93=1),'Inputs'!$E$93,'Needs years'!$C$239/12+IF(BO78&gt;0,BO74/BO78*'Needs years'!$C$240/12,0)))</f>
      </c>
      <c r="BP80">
        <f>IF('Inputs'!$B$93="",0,IF(AND(BP4=1,'Inputs'!$Q$93=1),'Inputs'!$E$93,'Needs years'!$C$239/12+IF(BP78&gt;0,BP74/BP78*'Needs years'!$C$240/12,0)))</f>
      </c>
      <c r="BQ80">
        <f>IF('Inputs'!$B$93="",0,IF(AND(BQ4=1,'Inputs'!$Q$93=1),'Inputs'!$E$93,'Needs years'!$C$239/12+IF(BQ78&gt;0,BQ74/BQ78*'Needs years'!$C$240/12,0)))</f>
      </c>
      <c r="BR80">
        <f>IF('Inputs'!$B$93="",0,IF(AND(BR4=1,'Inputs'!$Q$93=1),'Inputs'!$E$93,'Needs years'!$C$239/12+IF(BR78&gt;0,BR74/BR78*'Needs years'!$C$240/12,0)))</f>
      </c>
      <c r="BS80">
        <f>IF('Inputs'!$B$93="",0,IF(AND(BS4=1,'Inputs'!$Q$93=1),'Inputs'!$E$93,'Needs years'!$C$239/12+IF(BS78&gt;0,BS74/BS78*'Needs years'!$C$240/12,0)))</f>
      </c>
    </row>
    <row r="81" spans="2:71" x14ac:dyDescent="0.25">
      <c r="B81" t="s">
        <v>400</v>
      </c>
      <c r="C81">
        <f>IF('Inputs'!$B$94="",0,ROUND(IF(C31="S",'Inputs'!$O$94*C28,IF(C31="K",'Inputs'!$L$94*IF('Inputs'!$N$94=1,C33,C32),0))+'Inputs'!$Q$94*IF('Inputs'!$S$94=1,C35+C37+C43+C40,C34+C36+C42+C39)+SUMPRODUCT(('Inputs'!$F$59:$F$70='Inputs'!$B$94)*('Inputs'!$C$59:$C$70&lt;&gt;"Estate")*('Inputs'!$C$59:$C$70&lt;&gt;""),(('Inputs'!$D$59:$D$70-('Inputs'!$P$59:$P$70=C5)*C14)-'Inputs'!$R$59:$R$70*ROUND(C21*('Inputs'!$D$59:$D$70-('Inputs'!$P$59:$P$70=C5)*C14),2)))+IF(OR(C3=1,C3=2),C12-ROUND(C21*C12,2),0)+IF(AND(C3=3,C6='Inputs'!$B$94),C38,0),2))</f>
      </c>
      <c r="E81">
        <f>IF('Inputs'!$B$94="",0,ROUND(IF(E31="S",'Inputs'!$O$94*E28,IF(E31="K",'Inputs'!$L$94*IF('Inputs'!$N$94=1,E33,E32),0))+'Inputs'!$Q$94*IF('Inputs'!$S$94=1,E35+E37+E43+E40,E34+E36+E42+E39)+SUMPRODUCT(('Inputs'!$F$59:$F$70='Inputs'!$B$94)*('Inputs'!$C$59:$C$70&lt;&gt;"Estate")*('Inputs'!$C$59:$C$70&lt;&gt;""),(('Inputs'!$D$59:$D$70-('Inputs'!$P$59:$P$70=E5)*E14)-'Inputs'!$R$59:$R$70*ROUND(E21*('Inputs'!$D$59:$D$70-('Inputs'!$P$59:$P$70=E5)*E14),2)))+IF(OR(E3=1,E3=2),E12-ROUND(E21*E12,2),0)+IF(AND(E3=3,E6='Inputs'!$B$94),E38,0),2))</f>
      </c>
      <c r="F81">
        <f>IF('Inputs'!$B$94="",0,ROUND(IF(F31="S",'Inputs'!$O$94*F28,IF(F31="K",'Inputs'!$L$94*IF('Inputs'!$N$94=1,F33,F32),0))+'Inputs'!$Q$94*IF('Inputs'!$S$94=1,F35+F37+F43+F40,F34+F36+F42+F39)+SUMPRODUCT(('Inputs'!$F$59:$F$70='Inputs'!$B$94)*('Inputs'!$C$59:$C$70&lt;&gt;"Estate")*('Inputs'!$C$59:$C$70&lt;&gt;""),(('Inputs'!$D$59:$D$70-('Inputs'!$P$59:$P$70=F5)*F14)-'Inputs'!$R$59:$R$70*ROUND(F21*('Inputs'!$D$59:$D$70-('Inputs'!$P$59:$P$70=F5)*F14),2)))+IF(OR(F3=1,F3=2),F12-ROUND(F21*F12,2),0)+IF(AND(F3=3,F6='Inputs'!$B$94),F38,0),2))</f>
      </c>
      <c r="G81">
        <f>IF('Inputs'!$B$94="",0,ROUND(IF(G31="S",'Inputs'!$O$94*G28,IF(G31="K",'Inputs'!$L$94*IF('Inputs'!$N$94=1,G33,G32),0))+'Inputs'!$Q$94*IF('Inputs'!$S$94=1,G35+G37+G43+G40,G34+G36+G42+G39)+SUMPRODUCT(('Inputs'!$F$59:$F$70='Inputs'!$B$94)*('Inputs'!$C$59:$C$70&lt;&gt;"Estate")*('Inputs'!$C$59:$C$70&lt;&gt;""),(('Inputs'!$D$59:$D$70-('Inputs'!$P$59:$P$70=G5)*G14)-'Inputs'!$R$59:$R$70*ROUND(G21*('Inputs'!$D$59:$D$70-('Inputs'!$P$59:$P$70=G5)*G14),2)))+IF(OR(G3=1,G3=2),G12-ROUND(G21*G12,2),0)+IF(AND(G3=3,G6='Inputs'!$B$94),G38,0),2))</f>
      </c>
      <c r="H81">
        <f>IF('Inputs'!$B$94="",0,ROUND(IF(H31="S",'Inputs'!$O$94*H28,IF(H31="K",'Inputs'!$L$94*IF('Inputs'!$N$94=1,H33,H32),0))+'Inputs'!$Q$94*IF('Inputs'!$S$94=1,H35+H37+H43+H40,H34+H36+H42+H39)+SUMPRODUCT(('Inputs'!$F$59:$F$70='Inputs'!$B$94)*('Inputs'!$C$59:$C$70&lt;&gt;"Estate")*('Inputs'!$C$59:$C$70&lt;&gt;""),(('Inputs'!$D$59:$D$70-('Inputs'!$P$59:$P$70=H5)*H14)-'Inputs'!$R$59:$R$70*ROUND(H21*('Inputs'!$D$59:$D$70-('Inputs'!$P$59:$P$70=H5)*H14),2)))+IF(OR(H3=1,H3=2),H12-ROUND(H21*H12,2),0)+IF(AND(H3=3,H6='Inputs'!$B$94),H38,0),2))</f>
      </c>
      <c r="I81">
        <f>IF('Inputs'!$B$94="",0,ROUND(IF(I31="S",'Inputs'!$O$94*I28,IF(I31="K",'Inputs'!$L$94*IF('Inputs'!$N$94=1,I33,I32),0))+'Inputs'!$Q$94*IF('Inputs'!$S$94=1,I35+I37+I43+I40,I34+I36+I42+I39)+SUMPRODUCT(('Inputs'!$F$59:$F$70='Inputs'!$B$94)*('Inputs'!$C$59:$C$70&lt;&gt;"Estate")*('Inputs'!$C$59:$C$70&lt;&gt;""),(('Inputs'!$D$59:$D$70-('Inputs'!$P$59:$P$70=I5)*I14)-'Inputs'!$R$59:$R$70*ROUND(I21*('Inputs'!$D$59:$D$70-('Inputs'!$P$59:$P$70=I5)*I14),2)))+IF(OR(I3=1,I3=2),I12-ROUND(I21*I12,2),0)+IF(AND(I3=3,I6='Inputs'!$B$94),I38,0),2))</f>
      </c>
      <c r="J81">
        <f>IF('Inputs'!$B$94="",0,ROUND(IF(J31="S",'Inputs'!$O$94*J28,IF(J31="K",'Inputs'!$L$94*IF('Inputs'!$N$94=1,J33,J32),0))+'Inputs'!$Q$94*IF('Inputs'!$S$94=1,J35+J37+J43+J40,J34+J36+J42+J39)+SUMPRODUCT(('Inputs'!$F$59:$F$70='Inputs'!$B$94)*('Inputs'!$C$59:$C$70&lt;&gt;"Estate")*('Inputs'!$C$59:$C$70&lt;&gt;""),(('Inputs'!$D$59:$D$70-('Inputs'!$P$59:$P$70=J5)*J14)-'Inputs'!$R$59:$R$70*ROUND(J21*('Inputs'!$D$59:$D$70-('Inputs'!$P$59:$P$70=J5)*J14),2)))+IF(OR(J3=1,J3=2),J12-ROUND(J21*J12,2),0)+IF(AND(J3=3,J6='Inputs'!$B$94),J38,0),2))</f>
      </c>
      <c r="K81">
        <f>IF('Inputs'!$B$94="",0,ROUND(IF(K31="S",'Inputs'!$O$94*K28,IF(K31="K",'Inputs'!$L$94*IF('Inputs'!$N$94=1,K33,K32),0))+'Inputs'!$Q$94*IF('Inputs'!$S$94=1,K35+K37+K43+K40,K34+K36+K42+K39)+SUMPRODUCT(('Inputs'!$F$59:$F$70='Inputs'!$B$94)*('Inputs'!$C$59:$C$70&lt;&gt;"Estate")*('Inputs'!$C$59:$C$70&lt;&gt;""),(('Inputs'!$D$59:$D$70-('Inputs'!$P$59:$P$70=K5)*K14)-'Inputs'!$R$59:$R$70*ROUND(K21*('Inputs'!$D$59:$D$70-('Inputs'!$P$59:$P$70=K5)*K14),2)))+IF(OR(K3=1,K3=2),K12-ROUND(K21*K12,2),0)+IF(AND(K3=3,K6='Inputs'!$B$94),K38,0),2))</f>
      </c>
      <c r="L81">
        <f>IF('Inputs'!$B$94="",0,ROUND(IF(L31="S",'Inputs'!$O$94*L28,IF(L31="K",'Inputs'!$L$94*IF('Inputs'!$N$94=1,L33,L32),0))+'Inputs'!$Q$94*IF('Inputs'!$S$94=1,L35+L37+L43+L40,L34+L36+L42+L39)+SUMPRODUCT(('Inputs'!$F$59:$F$70='Inputs'!$B$94)*('Inputs'!$C$59:$C$70&lt;&gt;"Estate")*('Inputs'!$C$59:$C$70&lt;&gt;""),(('Inputs'!$D$59:$D$70-('Inputs'!$P$59:$P$70=L5)*L14)-'Inputs'!$R$59:$R$70*ROUND(L21*('Inputs'!$D$59:$D$70-('Inputs'!$P$59:$P$70=L5)*L14),2)))+IF(OR(L3=1,L3=2),L12-ROUND(L21*L12,2),0)+IF(AND(L3=3,L6='Inputs'!$B$94),L38,0),2))</f>
      </c>
      <c r="M81">
        <f>IF('Inputs'!$B$94="",0,ROUND(IF(M31="S",'Inputs'!$O$94*M28,IF(M31="K",'Inputs'!$L$94*IF('Inputs'!$N$94=1,M33,M32),0))+'Inputs'!$Q$94*IF('Inputs'!$S$94=1,M35+M37+M43+M40,M34+M36+M42+M39)+SUMPRODUCT(('Inputs'!$F$59:$F$70='Inputs'!$B$94)*('Inputs'!$C$59:$C$70&lt;&gt;"Estate")*('Inputs'!$C$59:$C$70&lt;&gt;""),(('Inputs'!$D$59:$D$70-('Inputs'!$P$59:$P$70=M5)*M14)-'Inputs'!$R$59:$R$70*ROUND(M21*('Inputs'!$D$59:$D$70-('Inputs'!$P$59:$P$70=M5)*M14),2)))+IF(OR(M3=1,M3=2),M12-ROUND(M21*M12,2),0)+IF(AND(M3=3,M6='Inputs'!$B$94),M38,0),2))</f>
      </c>
      <c r="N81">
        <f>IF('Inputs'!$B$94="",0,ROUND(IF(N31="S",'Inputs'!$O$94*N28,IF(N31="K",'Inputs'!$L$94*IF('Inputs'!$N$94=1,N33,N32),0))+'Inputs'!$Q$94*IF('Inputs'!$S$94=1,N35+N37+N43+N40,N34+N36+N42+N39)+SUMPRODUCT(('Inputs'!$F$59:$F$70='Inputs'!$B$94)*('Inputs'!$C$59:$C$70&lt;&gt;"Estate")*('Inputs'!$C$59:$C$70&lt;&gt;""),(('Inputs'!$D$59:$D$70-('Inputs'!$P$59:$P$70=N5)*N14)-'Inputs'!$R$59:$R$70*ROUND(N21*('Inputs'!$D$59:$D$70-('Inputs'!$P$59:$P$70=N5)*N14),2)))+IF(OR(N3=1,N3=2),N12-ROUND(N21*N12,2),0)+IF(AND(N3=3,N6='Inputs'!$B$94),N38,0),2))</f>
      </c>
      <c r="O81">
        <f>IF('Inputs'!$B$94="",0,ROUND(IF(O31="S",'Inputs'!$O$94*O28,IF(O31="K",'Inputs'!$L$94*IF('Inputs'!$N$94=1,O33,O32),0))+'Inputs'!$Q$94*IF('Inputs'!$S$94=1,O35+O37+O43+O40,O34+O36+O42+O39)+SUMPRODUCT(('Inputs'!$F$59:$F$70='Inputs'!$B$94)*('Inputs'!$C$59:$C$70&lt;&gt;"Estate")*('Inputs'!$C$59:$C$70&lt;&gt;""),(('Inputs'!$D$59:$D$70-('Inputs'!$P$59:$P$70=O5)*O14)-'Inputs'!$R$59:$R$70*ROUND(O21*('Inputs'!$D$59:$D$70-('Inputs'!$P$59:$P$70=O5)*O14),2)))+IF(OR(O3=1,O3=2),O12-ROUND(O21*O12,2),0)+IF(AND(O3=3,O6='Inputs'!$B$94),O38,0),2))</f>
      </c>
      <c r="P81">
        <f>IF('Inputs'!$B$94="",0,ROUND(IF(P31="S",'Inputs'!$O$94*P28,IF(P31="K",'Inputs'!$L$94*IF('Inputs'!$N$94=1,P33,P32),0))+'Inputs'!$Q$94*IF('Inputs'!$S$94=1,P35+P37+P43+P40,P34+P36+P42+P39)+SUMPRODUCT(('Inputs'!$F$59:$F$70='Inputs'!$B$94)*('Inputs'!$C$59:$C$70&lt;&gt;"Estate")*('Inputs'!$C$59:$C$70&lt;&gt;""),(('Inputs'!$D$59:$D$70-('Inputs'!$P$59:$P$70=P5)*P14)-'Inputs'!$R$59:$R$70*ROUND(P21*('Inputs'!$D$59:$D$70-('Inputs'!$P$59:$P$70=P5)*P14),2)))+IF(OR(P3=1,P3=2),P12-ROUND(P21*P12,2),0)+IF(AND(P3=3,P6='Inputs'!$B$94),P38,0),2))</f>
      </c>
      <c r="Q81">
        <f>IF('Inputs'!$B$94="",0,ROUND(IF(Q31="S",'Inputs'!$O$94*Q28,IF(Q31="K",'Inputs'!$L$94*IF('Inputs'!$N$94=1,Q33,Q32),0))+'Inputs'!$Q$94*IF('Inputs'!$S$94=1,Q35+Q37+Q43+Q40,Q34+Q36+Q42+Q39)+SUMPRODUCT(('Inputs'!$F$59:$F$70='Inputs'!$B$94)*('Inputs'!$C$59:$C$70&lt;&gt;"Estate")*('Inputs'!$C$59:$C$70&lt;&gt;""),(('Inputs'!$D$59:$D$70-('Inputs'!$P$59:$P$70=Q5)*Q14)-'Inputs'!$R$59:$R$70*ROUND(Q21*('Inputs'!$D$59:$D$70-('Inputs'!$P$59:$P$70=Q5)*Q14),2)))+IF(OR(Q3=1,Q3=2),Q12-ROUND(Q21*Q12,2),0)+IF(AND(Q3=3,Q6='Inputs'!$B$94),Q38,0),2))</f>
      </c>
      <c r="R81">
        <f>IF('Inputs'!$B$94="",0,ROUND(IF(R31="S",'Inputs'!$O$94*R28,IF(R31="K",'Inputs'!$L$94*IF('Inputs'!$N$94=1,R33,R32),0))+'Inputs'!$Q$94*IF('Inputs'!$S$94=1,R35+R37+R43+R40,R34+R36+R42+R39)+SUMPRODUCT(('Inputs'!$F$59:$F$70='Inputs'!$B$94)*('Inputs'!$C$59:$C$70&lt;&gt;"Estate")*('Inputs'!$C$59:$C$70&lt;&gt;""),(('Inputs'!$D$59:$D$70-('Inputs'!$P$59:$P$70=R5)*R14)-'Inputs'!$R$59:$R$70*ROUND(R21*('Inputs'!$D$59:$D$70-('Inputs'!$P$59:$P$70=R5)*R14),2)))+IF(OR(R3=1,R3=2),R12-ROUND(R21*R12,2),0)+IF(AND(R3=3,R6='Inputs'!$B$94),R38,0),2))</f>
      </c>
      <c r="S81">
        <f>IF('Inputs'!$B$94="",0,ROUND(IF(S31="S",'Inputs'!$O$94*S28,IF(S31="K",'Inputs'!$L$94*IF('Inputs'!$N$94=1,S33,S32),0))+'Inputs'!$Q$94*IF('Inputs'!$S$94=1,S35+S37+S43+S40,S34+S36+S42+S39)+SUMPRODUCT(('Inputs'!$F$59:$F$70='Inputs'!$B$94)*('Inputs'!$C$59:$C$70&lt;&gt;"Estate")*('Inputs'!$C$59:$C$70&lt;&gt;""),(('Inputs'!$D$59:$D$70-('Inputs'!$P$59:$P$70=S5)*S14)-'Inputs'!$R$59:$R$70*ROUND(S21*('Inputs'!$D$59:$D$70-('Inputs'!$P$59:$P$70=S5)*S14),2)))+IF(OR(S3=1,S3=2),S12-ROUND(S21*S12,2),0)+IF(AND(S3=3,S6='Inputs'!$B$94),S38,0),2))</f>
      </c>
      <c r="T81">
        <f>IF('Inputs'!$B$94="",0,ROUND(IF(T31="S",'Inputs'!$O$94*T28,IF(T31="K",'Inputs'!$L$94*IF('Inputs'!$N$94=1,T33,T32),0))+'Inputs'!$Q$94*IF('Inputs'!$S$94=1,T35+T37+T43+T40,T34+T36+T42+T39)+SUMPRODUCT(('Inputs'!$F$59:$F$70='Inputs'!$B$94)*('Inputs'!$C$59:$C$70&lt;&gt;"Estate")*('Inputs'!$C$59:$C$70&lt;&gt;""),(('Inputs'!$D$59:$D$70-('Inputs'!$P$59:$P$70=T5)*T14)-'Inputs'!$R$59:$R$70*ROUND(T21*('Inputs'!$D$59:$D$70-('Inputs'!$P$59:$P$70=T5)*T14),2)))+IF(OR(T3=1,T3=2),T12-ROUND(T21*T12,2),0)+IF(AND(T3=3,T6='Inputs'!$B$94),T38,0),2))</f>
      </c>
      <c r="V81">
        <f>IF('Inputs'!$B$94="",0,ROUND(IF(V31="S",'Inputs'!$O$94*V28,IF(V31="K",'Inputs'!$L$94*IF('Inputs'!$N$94=1,V33,V32),0))+'Inputs'!$Q$94*IF('Inputs'!$S$94=1,V35+V37+V43+V40,V34+V36+V42+V39)+SUMPRODUCT(('Inputs'!$F$59:$F$70='Inputs'!$B$94)*('Inputs'!$C$59:$C$70&lt;&gt;"Estate")*('Inputs'!$C$59:$C$70&lt;&gt;""),(('Inputs'!$D$59:$D$70-('Inputs'!$P$59:$P$70=V5)*V14)-'Inputs'!$R$59:$R$70*ROUND(V21*('Inputs'!$D$59:$D$70-('Inputs'!$P$59:$P$70=V5)*V14),2)))+IF(OR(V3=1,V3=2),V12-ROUND(V21*V12,2),0)+IF(AND(V3=3,V6='Inputs'!$B$94),V38,0),2))</f>
      </c>
      <c r="W81">
        <f>IF('Inputs'!$B$94="",0,ROUND(IF(W31="S",'Inputs'!$O$94*W28,IF(W31="K",'Inputs'!$L$94*IF('Inputs'!$N$94=1,W33,W32),0))+'Inputs'!$Q$94*IF('Inputs'!$S$94=1,W35+W37+W43+W40,W34+W36+W42+W39)+SUMPRODUCT(('Inputs'!$F$59:$F$70='Inputs'!$B$94)*('Inputs'!$C$59:$C$70&lt;&gt;"Estate")*('Inputs'!$C$59:$C$70&lt;&gt;""),(('Inputs'!$D$59:$D$70-('Inputs'!$P$59:$P$70=W5)*W14)-'Inputs'!$R$59:$R$70*ROUND(W21*('Inputs'!$D$59:$D$70-('Inputs'!$P$59:$P$70=W5)*W14),2)))+IF(OR(W3=1,W3=2),W12-ROUND(W21*W12,2),0)+IF(AND(W3=3,W6='Inputs'!$B$94),W38,0),2))</f>
      </c>
      <c r="X81">
        <f>IF('Inputs'!$B$94="",0,ROUND(IF(X31="S",'Inputs'!$O$94*X28,IF(X31="K",'Inputs'!$L$94*IF('Inputs'!$N$94=1,X33,X32),0))+'Inputs'!$Q$94*IF('Inputs'!$S$94=1,X35+X37+X43+X40,X34+X36+X42+X39)+SUMPRODUCT(('Inputs'!$F$59:$F$70='Inputs'!$B$94)*('Inputs'!$C$59:$C$70&lt;&gt;"Estate")*('Inputs'!$C$59:$C$70&lt;&gt;""),(('Inputs'!$D$59:$D$70-('Inputs'!$P$59:$P$70=X5)*X14)-'Inputs'!$R$59:$R$70*ROUND(X21*('Inputs'!$D$59:$D$70-('Inputs'!$P$59:$P$70=X5)*X14),2)))+IF(OR(X3=1,X3=2),X12-ROUND(X21*X12,2),0)+IF(AND(X3=3,X6='Inputs'!$B$94),X38,0),2))</f>
      </c>
      <c r="Y81">
        <f>IF('Inputs'!$B$94="",0,ROUND(IF(Y31="S",'Inputs'!$O$94*Y28,IF(Y31="K",'Inputs'!$L$94*IF('Inputs'!$N$94=1,Y33,Y32),0))+'Inputs'!$Q$94*IF('Inputs'!$S$94=1,Y35+Y37+Y43+Y40,Y34+Y36+Y42+Y39)+SUMPRODUCT(('Inputs'!$F$59:$F$70='Inputs'!$B$94)*('Inputs'!$C$59:$C$70&lt;&gt;"Estate")*('Inputs'!$C$59:$C$70&lt;&gt;""),(('Inputs'!$D$59:$D$70-('Inputs'!$P$59:$P$70=Y5)*Y14)-'Inputs'!$R$59:$R$70*ROUND(Y21*('Inputs'!$D$59:$D$70-('Inputs'!$P$59:$P$70=Y5)*Y14),2)))+IF(OR(Y3=1,Y3=2),Y12-ROUND(Y21*Y12,2),0)+IF(AND(Y3=3,Y6='Inputs'!$B$94),Y38,0),2))</f>
      </c>
      <c r="Z81">
        <f>IF('Inputs'!$B$94="",0,ROUND(IF(Z31="S",'Inputs'!$O$94*Z28,IF(Z31="K",'Inputs'!$L$94*IF('Inputs'!$N$94=1,Z33,Z32),0))+'Inputs'!$Q$94*IF('Inputs'!$S$94=1,Z35+Z37+Z43+Z40,Z34+Z36+Z42+Z39)+SUMPRODUCT(('Inputs'!$F$59:$F$70='Inputs'!$B$94)*('Inputs'!$C$59:$C$70&lt;&gt;"Estate")*('Inputs'!$C$59:$C$70&lt;&gt;""),(('Inputs'!$D$59:$D$70-('Inputs'!$P$59:$P$70=Z5)*Z14)-'Inputs'!$R$59:$R$70*ROUND(Z21*('Inputs'!$D$59:$D$70-('Inputs'!$P$59:$P$70=Z5)*Z14),2)))+IF(OR(Z3=1,Z3=2),Z12-ROUND(Z21*Z12,2),0)+IF(AND(Z3=3,Z6='Inputs'!$B$94),Z38,0),2))</f>
      </c>
      <c r="AA81">
        <f>IF('Inputs'!$B$94="",0,ROUND(IF(AA31="S",'Inputs'!$O$94*AA28,IF(AA31="K",'Inputs'!$L$94*IF('Inputs'!$N$94=1,AA33,AA32),0))+'Inputs'!$Q$94*IF('Inputs'!$S$94=1,AA35+AA37+AA43+AA40,AA34+AA36+AA42+AA39)+SUMPRODUCT(('Inputs'!$F$59:$F$70='Inputs'!$B$94)*('Inputs'!$C$59:$C$70&lt;&gt;"Estate")*('Inputs'!$C$59:$C$70&lt;&gt;""),(('Inputs'!$D$59:$D$70-('Inputs'!$P$59:$P$70=AA5)*AA14)-'Inputs'!$R$59:$R$70*ROUND(AA21*('Inputs'!$D$59:$D$70-('Inputs'!$P$59:$P$70=AA5)*AA14),2)))+IF(OR(AA3=1,AA3=2),AA12-ROUND(AA21*AA12,2),0)+IF(AND(AA3=3,AA6='Inputs'!$B$94),AA38,0),2))</f>
      </c>
      <c r="AB81">
        <f>IF('Inputs'!$B$94="",0,ROUND(IF(AB31="S",'Inputs'!$O$94*AB28,IF(AB31="K",'Inputs'!$L$94*IF('Inputs'!$N$94=1,AB33,AB32),0))+'Inputs'!$Q$94*IF('Inputs'!$S$94=1,AB35+AB37+AB43+AB40,AB34+AB36+AB42+AB39)+SUMPRODUCT(('Inputs'!$F$59:$F$70='Inputs'!$B$94)*('Inputs'!$C$59:$C$70&lt;&gt;"Estate")*('Inputs'!$C$59:$C$70&lt;&gt;""),(('Inputs'!$D$59:$D$70-('Inputs'!$P$59:$P$70=AB5)*AB14)-'Inputs'!$R$59:$R$70*ROUND(AB21*('Inputs'!$D$59:$D$70-('Inputs'!$P$59:$P$70=AB5)*AB14),2)))+IF(OR(AB3=1,AB3=2),AB12-ROUND(AB21*AB12,2),0)+IF(AND(AB3=3,AB6='Inputs'!$B$94),AB38,0),2))</f>
      </c>
      <c r="AC81">
        <f>IF('Inputs'!$B$94="",0,ROUND(IF(AC31="S",'Inputs'!$O$94*AC28,IF(AC31="K",'Inputs'!$L$94*IF('Inputs'!$N$94=1,AC33,AC32),0))+'Inputs'!$Q$94*IF('Inputs'!$S$94=1,AC35+AC37+AC43+AC40,AC34+AC36+AC42+AC39)+SUMPRODUCT(('Inputs'!$F$59:$F$70='Inputs'!$B$94)*('Inputs'!$C$59:$C$70&lt;&gt;"Estate")*('Inputs'!$C$59:$C$70&lt;&gt;""),(('Inputs'!$D$59:$D$70-('Inputs'!$P$59:$P$70=AC5)*AC14)-'Inputs'!$R$59:$R$70*ROUND(AC21*('Inputs'!$D$59:$D$70-('Inputs'!$P$59:$P$70=AC5)*AC14),2)))+IF(OR(AC3=1,AC3=2),AC12-ROUND(AC21*AC12,2),0)+IF(AND(AC3=3,AC6='Inputs'!$B$94),AC38,0),2))</f>
      </c>
      <c r="AD81">
        <f>IF('Inputs'!$B$94="",0,ROUND(IF(AD31="S",'Inputs'!$O$94*AD28,IF(AD31="K",'Inputs'!$L$94*IF('Inputs'!$N$94=1,AD33,AD32),0))+'Inputs'!$Q$94*IF('Inputs'!$S$94=1,AD35+AD37+AD43+AD40,AD34+AD36+AD42+AD39)+SUMPRODUCT(('Inputs'!$F$59:$F$70='Inputs'!$B$94)*('Inputs'!$C$59:$C$70&lt;&gt;"Estate")*('Inputs'!$C$59:$C$70&lt;&gt;""),(('Inputs'!$D$59:$D$70-('Inputs'!$P$59:$P$70=AD5)*AD14)-'Inputs'!$R$59:$R$70*ROUND(AD21*('Inputs'!$D$59:$D$70-('Inputs'!$P$59:$P$70=AD5)*AD14),2)))+IF(OR(AD3=1,AD3=2),AD12-ROUND(AD21*AD12,2),0)+IF(AND(AD3=3,AD6='Inputs'!$B$94),AD38,0),2))</f>
      </c>
      <c r="AE81">
        <f>IF('Inputs'!$B$94="",0,ROUND(IF(AE31="S",'Inputs'!$O$94*AE28,IF(AE31="K",'Inputs'!$L$94*IF('Inputs'!$N$94=1,AE33,AE32),0))+'Inputs'!$Q$94*IF('Inputs'!$S$94=1,AE35+AE37+AE43+AE40,AE34+AE36+AE42+AE39)+SUMPRODUCT(('Inputs'!$F$59:$F$70='Inputs'!$B$94)*('Inputs'!$C$59:$C$70&lt;&gt;"Estate")*('Inputs'!$C$59:$C$70&lt;&gt;""),(('Inputs'!$D$59:$D$70-('Inputs'!$P$59:$P$70=AE5)*AE14)-'Inputs'!$R$59:$R$70*ROUND(AE21*('Inputs'!$D$59:$D$70-('Inputs'!$P$59:$P$70=AE5)*AE14),2)))+IF(OR(AE3=1,AE3=2),AE12-ROUND(AE21*AE12,2),0)+IF(AND(AE3=3,AE6='Inputs'!$B$94),AE38,0),2))</f>
      </c>
      <c r="AF81">
        <f>IF('Inputs'!$B$94="",0,ROUND(IF(AF31="S",'Inputs'!$O$94*AF28,IF(AF31="K",'Inputs'!$L$94*IF('Inputs'!$N$94=1,AF33,AF32),0))+'Inputs'!$Q$94*IF('Inputs'!$S$94=1,AF35+AF37+AF43+AF40,AF34+AF36+AF42+AF39)+SUMPRODUCT(('Inputs'!$F$59:$F$70='Inputs'!$B$94)*('Inputs'!$C$59:$C$70&lt;&gt;"Estate")*('Inputs'!$C$59:$C$70&lt;&gt;""),(('Inputs'!$D$59:$D$70-('Inputs'!$P$59:$P$70=AF5)*AF14)-'Inputs'!$R$59:$R$70*ROUND(AF21*('Inputs'!$D$59:$D$70-('Inputs'!$P$59:$P$70=AF5)*AF14),2)))+IF(OR(AF3=1,AF3=2),AF12-ROUND(AF21*AF12,2),0)+IF(AND(AF3=3,AF6='Inputs'!$B$94),AF38,0),2))</f>
      </c>
      <c r="AG81">
        <f>IF('Inputs'!$B$94="",0,ROUND(IF(AG31="S",'Inputs'!$O$94*AG28,IF(AG31="K",'Inputs'!$L$94*IF('Inputs'!$N$94=1,AG33,AG32),0))+'Inputs'!$Q$94*IF('Inputs'!$S$94=1,AG35+AG37+AG43+AG40,AG34+AG36+AG42+AG39)+SUMPRODUCT(('Inputs'!$F$59:$F$70='Inputs'!$B$94)*('Inputs'!$C$59:$C$70&lt;&gt;"Estate")*('Inputs'!$C$59:$C$70&lt;&gt;""),(('Inputs'!$D$59:$D$70-('Inputs'!$P$59:$P$70=AG5)*AG14)-'Inputs'!$R$59:$R$70*ROUND(AG21*('Inputs'!$D$59:$D$70-('Inputs'!$P$59:$P$70=AG5)*AG14),2)))+IF(OR(AG3=1,AG3=2),AG12-ROUND(AG21*AG12,2),0)+IF(AND(AG3=3,AG6='Inputs'!$B$94),AG38,0),2))</f>
      </c>
      <c r="AH81">
        <f>IF('Inputs'!$B$94="",0,ROUND(IF(AH31="S",'Inputs'!$O$94*AH28,IF(AH31="K",'Inputs'!$L$94*IF('Inputs'!$N$94=1,AH33,AH32),0))+'Inputs'!$Q$94*IF('Inputs'!$S$94=1,AH35+AH37+AH43+AH40,AH34+AH36+AH42+AH39)+SUMPRODUCT(('Inputs'!$F$59:$F$70='Inputs'!$B$94)*('Inputs'!$C$59:$C$70&lt;&gt;"Estate")*('Inputs'!$C$59:$C$70&lt;&gt;""),(('Inputs'!$D$59:$D$70-('Inputs'!$P$59:$P$70=AH5)*AH14)-'Inputs'!$R$59:$R$70*ROUND(AH21*('Inputs'!$D$59:$D$70-('Inputs'!$P$59:$P$70=AH5)*AH14),2)))+IF(OR(AH3=1,AH3=2),AH12-ROUND(AH21*AH12,2),0)+IF(AND(AH3=3,AH6='Inputs'!$B$94),AH38,0),2))</f>
      </c>
      <c r="AI81">
        <f>IF('Inputs'!$B$94="",0,ROUND(IF(AI31="S",'Inputs'!$O$94*AI28,IF(AI31="K",'Inputs'!$L$94*IF('Inputs'!$N$94=1,AI33,AI32),0))+'Inputs'!$Q$94*IF('Inputs'!$S$94=1,AI35+AI37+AI43+AI40,AI34+AI36+AI42+AI39)+SUMPRODUCT(('Inputs'!$F$59:$F$70='Inputs'!$B$94)*('Inputs'!$C$59:$C$70&lt;&gt;"Estate")*('Inputs'!$C$59:$C$70&lt;&gt;""),(('Inputs'!$D$59:$D$70-('Inputs'!$P$59:$P$70=AI5)*AI14)-'Inputs'!$R$59:$R$70*ROUND(AI21*('Inputs'!$D$59:$D$70-('Inputs'!$P$59:$P$70=AI5)*AI14),2)))+IF(OR(AI3=1,AI3=2),AI12-ROUND(AI21*AI12,2),0)+IF(AND(AI3=3,AI6='Inputs'!$B$94),AI38,0),2))</f>
      </c>
      <c r="AJ81">
        <f>IF('Inputs'!$B$94="",0,ROUND(IF(AJ31="S",'Inputs'!$O$94*AJ28,IF(AJ31="K",'Inputs'!$L$94*IF('Inputs'!$N$94=1,AJ33,AJ32),0))+'Inputs'!$Q$94*IF('Inputs'!$S$94=1,AJ35+AJ37+AJ43+AJ40,AJ34+AJ36+AJ42+AJ39)+SUMPRODUCT(('Inputs'!$F$59:$F$70='Inputs'!$B$94)*('Inputs'!$C$59:$C$70&lt;&gt;"Estate")*('Inputs'!$C$59:$C$70&lt;&gt;""),(('Inputs'!$D$59:$D$70-('Inputs'!$P$59:$P$70=AJ5)*AJ14)-'Inputs'!$R$59:$R$70*ROUND(AJ21*('Inputs'!$D$59:$D$70-('Inputs'!$P$59:$P$70=AJ5)*AJ14),2)))+IF(OR(AJ3=1,AJ3=2),AJ12-ROUND(AJ21*AJ12,2),0)+IF(AND(AJ3=3,AJ6='Inputs'!$B$94),AJ38,0),2))</f>
      </c>
      <c r="AK81">
        <f>IF('Inputs'!$B$94="",0,ROUND(IF(AK31="S",'Inputs'!$O$94*AK28,IF(AK31="K",'Inputs'!$L$94*IF('Inputs'!$N$94=1,AK33,AK32),0))+'Inputs'!$Q$94*IF('Inputs'!$S$94=1,AK35+AK37+AK43+AK40,AK34+AK36+AK42+AK39)+SUMPRODUCT(('Inputs'!$F$59:$F$70='Inputs'!$B$94)*('Inputs'!$C$59:$C$70&lt;&gt;"Estate")*('Inputs'!$C$59:$C$70&lt;&gt;""),(('Inputs'!$D$59:$D$70-('Inputs'!$P$59:$P$70=AK5)*AK14)-'Inputs'!$R$59:$R$70*ROUND(AK21*('Inputs'!$D$59:$D$70-('Inputs'!$P$59:$P$70=AK5)*AK14),2)))+IF(OR(AK3=1,AK3=2),AK12-ROUND(AK21*AK12,2),0)+IF(AND(AK3=3,AK6='Inputs'!$B$94),AK38,0),2))</f>
      </c>
      <c r="AM81">
        <f>IF('Inputs'!$B$94="",0,ROUND(IF(AM31="S",'Inputs'!$O$94*AM28,IF(AM31="K",'Inputs'!$L$94*IF('Inputs'!$N$94=1,AM33,AM32),0))+'Inputs'!$Q$94*IF('Inputs'!$S$94=1,AM35+AM37+AM43+AM40,AM34+AM36+AM42+AM39)+SUMPRODUCT(('Inputs'!$F$59:$F$70='Inputs'!$B$94)*('Inputs'!$C$59:$C$70&lt;&gt;"Estate")*('Inputs'!$C$59:$C$70&lt;&gt;""),(('Inputs'!$D$59:$D$70-('Inputs'!$P$59:$P$70=AM5)*AM14)-'Inputs'!$R$59:$R$70*ROUND(AM21*('Inputs'!$D$59:$D$70-('Inputs'!$P$59:$P$70=AM5)*AM14),2)))+IF(OR(AM3=1,AM3=2),AM12-ROUND(AM21*AM12,2),0)+IF(AND(AM3=3,AM6='Inputs'!$B$94),AM38,0),2))</f>
      </c>
      <c r="AN81">
        <f>IF('Inputs'!$B$94="",0,ROUND(IF(AN31="S",'Inputs'!$O$94*AN28,IF(AN31="K",'Inputs'!$L$94*IF('Inputs'!$N$94=1,AN33,AN32),0))+'Inputs'!$Q$94*IF('Inputs'!$S$94=1,AN35+AN37+AN43+AN40,AN34+AN36+AN42+AN39)+SUMPRODUCT(('Inputs'!$F$59:$F$70='Inputs'!$B$94)*('Inputs'!$C$59:$C$70&lt;&gt;"Estate")*('Inputs'!$C$59:$C$70&lt;&gt;""),(('Inputs'!$D$59:$D$70-('Inputs'!$P$59:$P$70=AN5)*AN14)-'Inputs'!$R$59:$R$70*ROUND(AN21*('Inputs'!$D$59:$D$70-('Inputs'!$P$59:$P$70=AN5)*AN14),2)))+IF(OR(AN3=1,AN3=2),AN12-ROUND(AN21*AN12,2),0)+IF(AND(AN3=3,AN6='Inputs'!$B$94),AN38,0),2))</f>
      </c>
      <c r="AO81">
        <f>IF('Inputs'!$B$94="",0,ROUND(IF(AO31="S",'Inputs'!$O$94*AO28,IF(AO31="K",'Inputs'!$L$94*IF('Inputs'!$N$94=1,AO33,AO32),0))+'Inputs'!$Q$94*IF('Inputs'!$S$94=1,AO35+AO37+AO43+AO40,AO34+AO36+AO42+AO39)+SUMPRODUCT(('Inputs'!$F$59:$F$70='Inputs'!$B$94)*('Inputs'!$C$59:$C$70&lt;&gt;"Estate")*('Inputs'!$C$59:$C$70&lt;&gt;""),(('Inputs'!$D$59:$D$70-('Inputs'!$P$59:$P$70=AO5)*AO14)-'Inputs'!$R$59:$R$70*ROUND(AO21*('Inputs'!$D$59:$D$70-('Inputs'!$P$59:$P$70=AO5)*AO14),2)))+IF(OR(AO3=1,AO3=2),AO12-ROUND(AO21*AO12,2),0)+IF(AND(AO3=3,AO6='Inputs'!$B$94),AO38,0),2))</f>
      </c>
      <c r="AP81">
        <f>IF('Inputs'!$B$94="",0,ROUND(IF(AP31="S",'Inputs'!$O$94*AP28,IF(AP31="K",'Inputs'!$L$94*IF('Inputs'!$N$94=1,AP33,AP32),0))+'Inputs'!$Q$94*IF('Inputs'!$S$94=1,AP35+AP37+AP43+AP40,AP34+AP36+AP42+AP39)+SUMPRODUCT(('Inputs'!$F$59:$F$70='Inputs'!$B$94)*('Inputs'!$C$59:$C$70&lt;&gt;"Estate")*('Inputs'!$C$59:$C$70&lt;&gt;""),(('Inputs'!$D$59:$D$70-('Inputs'!$P$59:$P$70=AP5)*AP14)-'Inputs'!$R$59:$R$70*ROUND(AP21*('Inputs'!$D$59:$D$70-('Inputs'!$P$59:$P$70=AP5)*AP14),2)))+IF(OR(AP3=1,AP3=2),AP12-ROUND(AP21*AP12,2),0)+IF(AND(AP3=3,AP6='Inputs'!$B$94),AP38,0),2))</f>
      </c>
      <c r="AQ81">
        <f>IF('Inputs'!$B$94="",0,ROUND(IF(AQ31="S",'Inputs'!$O$94*AQ28,IF(AQ31="K",'Inputs'!$L$94*IF('Inputs'!$N$94=1,AQ33,AQ32),0))+'Inputs'!$Q$94*IF('Inputs'!$S$94=1,AQ35+AQ37+AQ43+AQ40,AQ34+AQ36+AQ42+AQ39)+SUMPRODUCT(('Inputs'!$F$59:$F$70='Inputs'!$B$94)*('Inputs'!$C$59:$C$70&lt;&gt;"Estate")*('Inputs'!$C$59:$C$70&lt;&gt;""),(('Inputs'!$D$59:$D$70-('Inputs'!$P$59:$P$70=AQ5)*AQ14)-'Inputs'!$R$59:$R$70*ROUND(AQ21*('Inputs'!$D$59:$D$70-('Inputs'!$P$59:$P$70=AQ5)*AQ14),2)))+IF(OR(AQ3=1,AQ3=2),AQ12-ROUND(AQ21*AQ12,2),0)+IF(AND(AQ3=3,AQ6='Inputs'!$B$94),AQ38,0),2))</f>
      </c>
      <c r="AR81">
        <f>IF('Inputs'!$B$94="",0,ROUND(IF(AR31="S",'Inputs'!$O$94*AR28,IF(AR31="K",'Inputs'!$L$94*IF('Inputs'!$N$94=1,AR33,AR32),0))+'Inputs'!$Q$94*IF('Inputs'!$S$94=1,AR35+AR37+AR43+AR40,AR34+AR36+AR42+AR39)+SUMPRODUCT(('Inputs'!$F$59:$F$70='Inputs'!$B$94)*('Inputs'!$C$59:$C$70&lt;&gt;"Estate")*('Inputs'!$C$59:$C$70&lt;&gt;""),(('Inputs'!$D$59:$D$70-('Inputs'!$P$59:$P$70=AR5)*AR14)-'Inputs'!$R$59:$R$70*ROUND(AR21*('Inputs'!$D$59:$D$70-('Inputs'!$P$59:$P$70=AR5)*AR14),2)))+IF(OR(AR3=1,AR3=2),AR12-ROUND(AR21*AR12,2),0)+IF(AND(AR3=3,AR6='Inputs'!$B$94),AR38,0),2))</f>
      </c>
      <c r="AS81">
        <f>IF('Inputs'!$B$94="",0,ROUND(IF(AS31="S",'Inputs'!$O$94*AS28,IF(AS31="K",'Inputs'!$L$94*IF('Inputs'!$N$94=1,AS33,AS32),0))+'Inputs'!$Q$94*IF('Inputs'!$S$94=1,AS35+AS37+AS43+AS40,AS34+AS36+AS42+AS39)+SUMPRODUCT(('Inputs'!$F$59:$F$70='Inputs'!$B$94)*('Inputs'!$C$59:$C$70&lt;&gt;"Estate")*('Inputs'!$C$59:$C$70&lt;&gt;""),(('Inputs'!$D$59:$D$70-('Inputs'!$P$59:$P$70=AS5)*AS14)-'Inputs'!$R$59:$R$70*ROUND(AS21*('Inputs'!$D$59:$D$70-('Inputs'!$P$59:$P$70=AS5)*AS14),2)))+IF(OR(AS3=1,AS3=2),AS12-ROUND(AS21*AS12,2),0)+IF(AND(AS3=3,AS6='Inputs'!$B$94),AS38,0),2))</f>
      </c>
      <c r="AT81">
        <f>IF('Inputs'!$B$94="",0,ROUND(IF(AT31="S",'Inputs'!$O$94*AT28,IF(AT31="K",'Inputs'!$L$94*IF('Inputs'!$N$94=1,AT33,AT32),0))+'Inputs'!$Q$94*IF('Inputs'!$S$94=1,AT35+AT37+AT43+AT40,AT34+AT36+AT42+AT39)+SUMPRODUCT(('Inputs'!$F$59:$F$70='Inputs'!$B$94)*('Inputs'!$C$59:$C$70&lt;&gt;"Estate")*('Inputs'!$C$59:$C$70&lt;&gt;""),(('Inputs'!$D$59:$D$70-('Inputs'!$P$59:$P$70=AT5)*AT14)-'Inputs'!$R$59:$R$70*ROUND(AT21*('Inputs'!$D$59:$D$70-('Inputs'!$P$59:$P$70=AT5)*AT14),2)))+IF(OR(AT3=1,AT3=2),AT12-ROUND(AT21*AT12,2),0)+IF(AND(AT3=3,AT6='Inputs'!$B$94),AT38,0),2))</f>
      </c>
      <c r="AU81">
        <f>IF('Inputs'!$B$94="",0,ROUND(IF(AU31="S",'Inputs'!$O$94*AU28,IF(AU31="K",'Inputs'!$L$94*IF('Inputs'!$N$94=1,AU33,AU32),0))+'Inputs'!$Q$94*IF('Inputs'!$S$94=1,AU35+AU37+AU43+AU40,AU34+AU36+AU42+AU39)+SUMPRODUCT(('Inputs'!$F$59:$F$70='Inputs'!$B$94)*('Inputs'!$C$59:$C$70&lt;&gt;"Estate")*('Inputs'!$C$59:$C$70&lt;&gt;""),(('Inputs'!$D$59:$D$70-('Inputs'!$P$59:$P$70=AU5)*AU14)-'Inputs'!$R$59:$R$70*ROUND(AU21*('Inputs'!$D$59:$D$70-('Inputs'!$P$59:$P$70=AU5)*AU14),2)))+IF(OR(AU3=1,AU3=2),AU12-ROUND(AU21*AU12,2),0)+IF(AND(AU3=3,AU6='Inputs'!$B$94),AU38,0),2))</f>
      </c>
      <c r="AV81">
        <f>IF('Inputs'!$B$94="",0,ROUND(IF(AV31="S",'Inputs'!$O$94*AV28,IF(AV31="K",'Inputs'!$L$94*IF('Inputs'!$N$94=1,AV33,AV32),0))+'Inputs'!$Q$94*IF('Inputs'!$S$94=1,AV35+AV37+AV43+AV40,AV34+AV36+AV42+AV39)+SUMPRODUCT(('Inputs'!$F$59:$F$70='Inputs'!$B$94)*('Inputs'!$C$59:$C$70&lt;&gt;"Estate")*('Inputs'!$C$59:$C$70&lt;&gt;""),(('Inputs'!$D$59:$D$70-('Inputs'!$P$59:$P$70=AV5)*AV14)-'Inputs'!$R$59:$R$70*ROUND(AV21*('Inputs'!$D$59:$D$70-('Inputs'!$P$59:$P$70=AV5)*AV14),2)))+IF(OR(AV3=1,AV3=2),AV12-ROUND(AV21*AV12,2),0)+IF(AND(AV3=3,AV6='Inputs'!$B$94),AV38,0),2))</f>
      </c>
      <c r="AW81">
        <f>IF('Inputs'!$B$94="",0,ROUND(IF(AW31="S",'Inputs'!$O$94*AW28,IF(AW31="K",'Inputs'!$L$94*IF('Inputs'!$N$94=1,AW33,AW32),0))+'Inputs'!$Q$94*IF('Inputs'!$S$94=1,AW35+AW37+AW43+AW40,AW34+AW36+AW42+AW39)+SUMPRODUCT(('Inputs'!$F$59:$F$70='Inputs'!$B$94)*('Inputs'!$C$59:$C$70&lt;&gt;"Estate")*('Inputs'!$C$59:$C$70&lt;&gt;""),(('Inputs'!$D$59:$D$70-('Inputs'!$P$59:$P$70=AW5)*AW14)-'Inputs'!$R$59:$R$70*ROUND(AW21*('Inputs'!$D$59:$D$70-('Inputs'!$P$59:$P$70=AW5)*AW14),2)))+IF(OR(AW3=1,AW3=2),AW12-ROUND(AW21*AW12,2),0)+IF(AND(AW3=3,AW6='Inputs'!$B$94),AW38,0),2))</f>
      </c>
      <c r="AX81">
        <f>IF('Inputs'!$B$94="",0,ROUND(IF(AX31="S",'Inputs'!$O$94*AX28,IF(AX31="K",'Inputs'!$L$94*IF('Inputs'!$N$94=1,AX33,AX32),0))+'Inputs'!$Q$94*IF('Inputs'!$S$94=1,AX35+AX37+AX43+AX40,AX34+AX36+AX42+AX39)+SUMPRODUCT(('Inputs'!$F$59:$F$70='Inputs'!$B$94)*('Inputs'!$C$59:$C$70&lt;&gt;"Estate")*('Inputs'!$C$59:$C$70&lt;&gt;""),(('Inputs'!$D$59:$D$70-('Inputs'!$P$59:$P$70=AX5)*AX14)-'Inputs'!$R$59:$R$70*ROUND(AX21*('Inputs'!$D$59:$D$70-('Inputs'!$P$59:$P$70=AX5)*AX14),2)))+IF(OR(AX3=1,AX3=2),AX12-ROUND(AX21*AX12,2),0)+IF(AND(AX3=3,AX6='Inputs'!$B$94),AX38,0),2))</f>
      </c>
      <c r="AY81">
        <f>IF('Inputs'!$B$94="",0,ROUND(IF(AY31="S",'Inputs'!$O$94*AY28,IF(AY31="K",'Inputs'!$L$94*IF('Inputs'!$N$94=1,AY33,AY32),0))+'Inputs'!$Q$94*IF('Inputs'!$S$94=1,AY35+AY37+AY43+AY40,AY34+AY36+AY42+AY39)+SUMPRODUCT(('Inputs'!$F$59:$F$70='Inputs'!$B$94)*('Inputs'!$C$59:$C$70&lt;&gt;"Estate")*('Inputs'!$C$59:$C$70&lt;&gt;""),(('Inputs'!$D$59:$D$70-('Inputs'!$P$59:$P$70=AY5)*AY14)-'Inputs'!$R$59:$R$70*ROUND(AY21*('Inputs'!$D$59:$D$70-('Inputs'!$P$59:$P$70=AY5)*AY14),2)))+IF(OR(AY3=1,AY3=2),AY12-ROUND(AY21*AY12,2),0)+IF(AND(AY3=3,AY6='Inputs'!$B$94),AY38,0),2))</f>
      </c>
      <c r="AZ81">
        <f>IF('Inputs'!$B$94="",0,ROUND(IF(AZ31="S",'Inputs'!$O$94*AZ28,IF(AZ31="K",'Inputs'!$L$94*IF('Inputs'!$N$94=1,AZ33,AZ32),0))+'Inputs'!$Q$94*IF('Inputs'!$S$94=1,AZ35+AZ37+AZ43+AZ40,AZ34+AZ36+AZ42+AZ39)+SUMPRODUCT(('Inputs'!$F$59:$F$70='Inputs'!$B$94)*('Inputs'!$C$59:$C$70&lt;&gt;"Estate")*('Inputs'!$C$59:$C$70&lt;&gt;""),(('Inputs'!$D$59:$D$70-('Inputs'!$P$59:$P$70=AZ5)*AZ14)-'Inputs'!$R$59:$R$70*ROUND(AZ21*('Inputs'!$D$59:$D$70-('Inputs'!$P$59:$P$70=AZ5)*AZ14),2)))+IF(OR(AZ3=1,AZ3=2),AZ12-ROUND(AZ21*AZ12,2),0)+IF(AND(AZ3=3,AZ6='Inputs'!$B$94),AZ38,0),2))</f>
      </c>
      <c r="BA81">
        <f>IF('Inputs'!$B$94="",0,ROUND(IF(BA31="S",'Inputs'!$O$94*BA28,IF(BA31="K",'Inputs'!$L$94*IF('Inputs'!$N$94=1,BA33,BA32),0))+'Inputs'!$Q$94*IF('Inputs'!$S$94=1,BA35+BA37+BA43+BA40,BA34+BA36+BA42+BA39)+SUMPRODUCT(('Inputs'!$F$59:$F$70='Inputs'!$B$94)*('Inputs'!$C$59:$C$70&lt;&gt;"Estate")*('Inputs'!$C$59:$C$70&lt;&gt;""),(('Inputs'!$D$59:$D$70-('Inputs'!$P$59:$P$70=BA5)*BA14)-'Inputs'!$R$59:$R$70*ROUND(BA21*('Inputs'!$D$59:$D$70-('Inputs'!$P$59:$P$70=BA5)*BA14),2)))+IF(OR(BA3=1,BA3=2),BA12-ROUND(BA21*BA12,2),0)+IF(AND(BA3=3,BA6='Inputs'!$B$94),BA38,0),2))</f>
      </c>
      <c r="BB81">
        <f>IF('Inputs'!$B$94="",0,ROUND(IF(BB31="S",'Inputs'!$O$94*BB28,IF(BB31="K",'Inputs'!$L$94*IF('Inputs'!$N$94=1,BB33,BB32),0))+'Inputs'!$Q$94*IF('Inputs'!$S$94=1,BB35+BB37+BB43+BB40,BB34+BB36+BB42+BB39)+SUMPRODUCT(('Inputs'!$F$59:$F$70='Inputs'!$B$94)*('Inputs'!$C$59:$C$70&lt;&gt;"Estate")*('Inputs'!$C$59:$C$70&lt;&gt;""),(('Inputs'!$D$59:$D$70-('Inputs'!$P$59:$P$70=BB5)*BB14)-'Inputs'!$R$59:$R$70*ROUND(BB21*('Inputs'!$D$59:$D$70-('Inputs'!$P$59:$P$70=BB5)*BB14),2)))+IF(OR(BB3=1,BB3=2),BB12-ROUND(BB21*BB12,2),0)+IF(AND(BB3=3,BB6='Inputs'!$B$94),BB38,0),2))</f>
      </c>
      <c r="BD81">
        <f>IF('Inputs'!$B$94="",0,ROUND(IF(BD31="S",'Inputs'!$O$94*BD28,IF(BD31="K",'Inputs'!$L$94*IF('Inputs'!$N$94=1,BD33,BD32),0))+'Inputs'!$Q$94*IF('Inputs'!$S$94=1,BD35+BD37+BD43+BD40,BD34+BD36+BD42+BD39)+SUMPRODUCT(('Inputs'!$F$59:$F$70='Inputs'!$B$94)*('Inputs'!$C$59:$C$70&lt;&gt;"Estate")*('Inputs'!$C$59:$C$70&lt;&gt;""),(('Inputs'!$D$59:$D$70-('Inputs'!$P$59:$P$70=BD5)*BD14)-'Inputs'!$R$59:$R$70*ROUND(BD21*('Inputs'!$D$59:$D$70-('Inputs'!$P$59:$P$70=BD5)*BD14),2)))+IF(OR(BD3=1,BD3=2),BD12-ROUND(BD21*BD12,2),0)+IF(AND(BD3=3,BD6='Inputs'!$B$94),BD38,0),2))</f>
      </c>
      <c r="BE81">
        <f>IF('Inputs'!$B$94="",0,ROUND(IF(BE31="S",'Inputs'!$O$94*BE28,IF(BE31="K",'Inputs'!$L$94*IF('Inputs'!$N$94=1,BE33,BE32),0))+'Inputs'!$Q$94*IF('Inputs'!$S$94=1,BE35+BE37+BE43+BE40,BE34+BE36+BE42+BE39)+SUMPRODUCT(('Inputs'!$F$59:$F$70='Inputs'!$B$94)*('Inputs'!$C$59:$C$70&lt;&gt;"Estate")*('Inputs'!$C$59:$C$70&lt;&gt;""),(('Inputs'!$D$59:$D$70-('Inputs'!$P$59:$P$70=BE5)*BE14)-'Inputs'!$R$59:$R$70*ROUND(BE21*('Inputs'!$D$59:$D$70-('Inputs'!$P$59:$P$70=BE5)*BE14),2)))+IF(OR(BE3=1,BE3=2),BE12-ROUND(BE21*BE12,2),0)+IF(AND(BE3=3,BE6='Inputs'!$B$94),BE38,0),2))</f>
      </c>
      <c r="BF81">
        <f>IF('Inputs'!$B$94="",0,ROUND(IF(BF31="S",'Inputs'!$O$94*BF28,IF(BF31="K",'Inputs'!$L$94*IF('Inputs'!$N$94=1,BF33,BF32),0))+'Inputs'!$Q$94*IF('Inputs'!$S$94=1,BF35+BF37+BF43+BF40,BF34+BF36+BF42+BF39)+SUMPRODUCT(('Inputs'!$F$59:$F$70='Inputs'!$B$94)*('Inputs'!$C$59:$C$70&lt;&gt;"Estate")*('Inputs'!$C$59:$C$70&lt;&gt;""),(('Inputs'!$D$59:$D$70-('Inputs'!$P$59:$P$70=BF5)*BF14)-'Inputs'!$R$59:$R$70*ROUND(BF21*('Inputs'!$D$59:$D$70-('Inputs'!$P$59:$P$70=BF5)*BF14),2)))+IF(OR(BF3=1,BF3=2),BF12-ROUND(BF21*BF12,2),0)+IF(AND(BF3=3,BF6='Inputs'!$B$94),BF38,0),2))</f>
      </c>
      <c r="BG81">
        <f>IF('Inputs'!$B$94="",0,ROUND(IF(BG31="S",'Inputs'!$O$94*BG28,IF(BG31="K",'Inputs'!$L$94*IF('Inputs'!$N$94=1,BG33,BG32),0))+'Inputs'!$Q$94*IF('Inputs'!$S$94=1,BG35+BG37+BG43+BG40,BG34+BG36+BG42+BG39)+SUMPRODUCT(('Inputs'!$F$59:$F$70='Inputs'!$B$94)*('Inputs'!$C$59:$C$70&lt;&gt;"Estate")*('Inputs'!$C$59:$C$70&lt;&gt;""),(('Inputs'!$D$59:$D$70-('Inputs'!$P$59:$P$70=BG5)*BG14)-'Inputs'!$R$59:$R$70*ROUND(BG21*('Inputs'!$D$59:$D$70-('Inputs'!$P$59:$P$70=BG5)*BG14),2)))+IF(OR(BG3=1,BG3=2),BG12-ROUND(BG21*BG12,2),0)+IF(AND(BG3=3,BG6='Inputs'!$B$94),BG38,0),2))</f>
      </c>
      <c r="BH81">
        <f>IF('Inputs'!$B$94="",0,ROUND(IF(BH31="S",'Inputs'!$O$94*BH28,IF(BH31="K",'Inputs'!$L$94*IF('Inputs'!$N$94=1,BH33,BH32),0))+'Inputs'!$Q$94*IF('Inputs'!$S$94=1,BH35+BH37+BH43+BH40,BH34+BH36+BH42+BH39)+SUMPRODUCT(('Inputs'!$F$59:$F$70='Inputs'!$B$94)*('Inputs'!$C$59:$C$70&lt;&gt;"Estate")*('Inputs'!$C$59:$C$70&lt;&gt;""),(('Inputs'!$D$59:$D$70-('Inputs'!$P$59:$P$70=BH5)*BH14)-'Inputs'!$R$59:$R$70*ROUND(BH21*('Inputs'!$D$59:$D$70-('Inputs'!$P$59:$P$70=BH5)*BH14),2)))+IF(OR(BH3=1,BH3=2),BH12-ROUND(BH21*BH12,2),0)+IF(AND(BH3=3,BH6='Inputs'!$B$94),BH38,0),2))</f>
      </c>
      <c r="BI81">
        <f>IF('Inputs'!$B$94="",0,ROUND(IF(BI31="S",'Inputs'!$O$94*BI28,IF(BI31="K",'Inputs'!$L$94*IF('Inputs'!$N$94=1,BI33,BI32),0))+'Inputs'!$Q$94*IF('Inputs'!$S$94=1,BI35+BI37+BI43+BI40,BI34+BI36+BI42+BI39)+SUMPRODUCT(('Inputs'!$F$59:$F$70='Inputs'!$B$94)*('Inputs'!$C$59:$C$70&lt;&gt;"Estate")*('Inputs'!$C$59:$C$70&lt;&gt;""),(('Inputs'!$D$59:$D$70-('Inputs'!$P$59:$P$70=BI5)*BI14)-'Inputs'!$R$59:$R$70*ROUND(BI21*('Inputs'!$D$59:$D$70-('Inputs'!$P$59:$P$70=BI5)*BI14),2)))+IF(OR(BI3=1,BI3=2),BI12-ROUND(BI21*BI12,2),0)+IF(AND(BI3=3,BI6='Inputs'!$B$94),BI38,0),2))</f>
      </c>
      <c r="BJ81">
        <f>IF('Inputs'!$B$94="",0,ROUND(IF(BJ31="S",'Inputs'!$O$94*BJ28,IF(BJ31="K",'Inputs'!$L$94*IF('Inputs'!$N$94=1,BJ33,BJ32),0))+'Inputs'!$Q$94*IF('Inputs'!$S$94=1,BJ35+BJ37+BJ43+BJ40,BJ34+BJ36+BJ42+BJ39)+SUMPRODUCT(('Inputs'!$F$59:$F$70='Inputs'!$B$94)*('Inputs'!$C$59:$C$70&lt;&gt;"Estate")*('Inputs'!$C$59:$C$70&lt;&gt;""),(('Inputs'!$D$59:$D$70-('Inputs'!$P$59:$P$70=BJ5)*BJ14)-'Inputs'!$R$59:$R$70*ROUND(BJ21*('Inputs'!$D$59:$D$70-('Inputs'!$P$59:$P$70=BJ5)*BJ14),2)))+IF(OR(BJ3=1,BJ3=2),BJ12-ROUND(BJ21*BJ12,2),0)+IF(AND(BJ3=3,BJ6='Inputs'!$B$94),BJ38,0),2))</f>
      </c>
      <c r="BK81">
        <f>IF('Inputs'!$B$94="",0,ROUND(IF(BK31="S",'Inputs'!$O$94*BK28,IF(BK31="K",'Inputs'!$L$94*IF('Inputs'!$N$94=1,BK33,BK32),0))+'Inputs'!$Q$94*IF('Inputs'!$S$94=1,BK35+BK37+BK43+BK40,BK34+BK36+BK42+BK39)+SUMPRODUCT(('Inputs'!$F$59:$F$70='Inputs'!$B$94)*('Inputs'!$C$59:$C$70&lt;&gt;"Estate")*('Inputs'!$C$59:$C$70&lt;&gt;""),(('Inputs'!$D$59:$D$70-('Inputs'!$P$59:$P$70=BK5)*BK14)-'Inputs'!$R$59:$R$70*ROUND(BK21*('Inputs'!$D$59:$D$70-('Inputs'!$P$59:$P$70=BK5)*BK14),2)))+IF(OR(BK3=1,BK3=2),BK12-ROUND(BK21*BK12,2),0)+IF(AND(BK3=3,BK6='Inputs'!$B$94),BK38,0),2))</f>
      </c>
      <c r="BL81">
        <f>IF('Inputs'!$B$94="",0,ROUND(IF(BL31="S",'Inputs'!$O$94*BL28,IF(BL31="K",'Inputs'!$L$94*IF('Inputs'!$N$94=1,BL33,BL32),0))+'Inputs'!$Q$94*IF('Inputs'!$S$94=1,BL35+BL37+BL43+BL40,BL34+BL36+BL42+BL39)+SUMPRODUCT(('Inputs'!$F$59:$F$70='Inputs'!$B$94)*('Inputs'!$C$59:$C$70&lt;&gt;"Estate")*('Inputs'!$C$59:$C$70&lt;&gt;""),(('Inputs'!$D$59:$D$70-('Inputs'!$P$59:$P$70=BL5)*BL14)-'Inputs'!$R$59:$R$70*ROUND(BL21*('Inputs'!$D$59:$D$70-('Inputs'!$P$59:$P$70=BL5)*BL14),2)))+IF(OR(BL3=1,BL3=2),BL12-ROUND(BL21*BL12,2),0)+IF(AND(BL3=3,BL6='Inputs'!$B$94),BL38,0),2))</f>
      </c>
      <c r="BM81">
        <f>IF('Inputs'!$B$94="",0,ROUND(IF(BM31="S",'Inputs'!$O$94*BM28,IF(BM31="K",'Inputs'!$L$94*IF('Inputs'!$N$94=1,BM33,BM32),0))+'Inputs'!$Q$94*IF('Inputs'!$S$94=1,BM35+BM37+BM43+BM40,BM34+BM36+BM42+BM39)+SUMPRODUCT(('Inputs'!$F$59:$F$70='Inputs'!$B$94)*('Inputs'!$C$59:$C$70&lt;&gt;"Estate")*('Inputs'!$C$59:$C$70&lt;&gt;""),(('Inputs'!$D$59:$D$70-('Inputs'!$P$59:$P$70=BM5)*BM14)-'Inputs'!$R$59:$R$70*ROUND(BM21*('Inputs'!$D$59:$D$70-('Inputs'!$P$59:$P$70=BM5)*BM14),2)))+IF(OR(BM3=1,BM3=2),BM12-ROUND(BM21*BM12,2),0)+IF(AND(BM3=3,BM6='Inputs'!$B$94),BM38,0),2))</f>
      </c>
      <c r="BN81">
        <f>IF('Inputs'!$B$94="",0,ROUND(IF(BN31="S",'Inputs'!$O$94*BN28,IF(BN31="K",'Inputs'!$L$94*IF('Inputs'!$N$94=1,BN33,BN32),0))+'Inputs'!$Q$94*IF('Inputs'!$S$94=1,BN35+BN37+BN43+BN40,BN34+BN36+BN42+BN39)+SUMPRODUCT(('Inputs'!$F$59:$F$70='Inputs'!$B$94)*('Inputs'!$C$59:$C$70&lt;&gt;"Estate")*('Inputs'!$C$59:$C$70&lt;&gt;""),(('Inputs'!$D$59:$D$70-('Inputs'!$P$59:$P$70=BN5)*BN14)-'Inputs'!$R$59:$R$70*ROUND(BN21*('Inputs'!$D$59:$D$70-('Inputs'!$P$59:$P$70=BN5)*BN14),2)))+IF(OR(BN3=1,BN3=2),BN12-ROUND(BN21*BN12,2),0)+IF(AND(BN3=3,BN6='Inputs'!$B$94),BN38,0),2))</f>
      </c>
      <c r="BO81">
        <f>IF('Inputs'!$B$94="",0,ROUND(IF(BO31="S",'Inputs'!$O$94*BO28,IF(BO31="K",'Inputs'!$L$94*IF('Inputs'!$N$94=1,BO33,BO32),0))+'Inputs'!$Q$94*IF('Inputs'!$S$94=1,BO35+BO37+BO43+BO40,BO34+BO36+BO42+BO39)+SUMPRODUCT(('Inputs'!$F$59:$F$70='Inputs'!$B$94)*('Inputs'!$C$59:$C$70&lt;&gt;"Estate")*('Inputs'!$C$59:$C$70&lt;&gt;""),(('Inputs'!$D$59:$D$70-('Inputs'!$P$59:$P$70=BO5)*BO14)-'Inputs'!$R$59:$R$70*ROUND(BO21*('Inputs'!$D$59:$D$70-('Inputs'!$P$59:$P$70=BO5)*BO14),2)))+IF(OR(BO3=1,BO3=2),BO12-ROUND(BO21*BO12,2),0)+IF(AND(BO3=3,BO6='Inputs'!$B$94),BO38,0),2))</f>
      </c>
      <c r="BP81">
        <f>IF('Inputs'!$B$94="",0,ROUND(IF(BP31="S",'Inputs'!$O$94*BP28,IF(BP31="K",'Inputs'!$L$94*IF('Inputs'!$N$94=1,BP33,BP32),0))+'Inputs'!$Q$94*IF('Inputs'!$S$94=1,BP35+BP37+BP43+BP40,BP34+BP36+BP42+BP39)+SUMPRODUCT(('Inputs'!$F$59:$F$70='Inputs'!$B$94)*('Inputs'!$C$59:$C$70&lt;&gt;"Estate")*('Inputs'!$C$59:$C$70&lt;&gt;""),(('Inputs'!$D$59:$D$70-('Inputs'!$P$59:$P$70=BP5)*BP14)-'Inputs'!$R$59:$R$70*ROUND(BP21*('Inputs'!$D$59:$D$70-('Inputs'!$P$59:$P$70=BP5)*BP14),2)))+IF(OR(BP3=1,BP3=2),BP12-ROUND(BP21*BP12,2),0)+IF(AND(BP3=3,BP6='Inputs'!$B$94),BP38,0),2))</f>
      </c>
      <c r="BQ81">
        <f>IF('Inputs'!$B$94="",0,ROUND(IF(BQ31="S",'Inputs'!$O$94*BQ28,IF(BQ31="K",'Inputs'!$L$94*IF('Inputs'!$N$94=1,BQ33,BQ32),0))+'Inputs'!$Q$94*IF('Inputs'!$S$94=1,BQ35+BQ37+BQ43+BQ40,BQ34+BQ36+BQ42+BQ39)+SUMPRODUCT(('Inputs'!$F$59:$F$70='Inputs'!$B$94)*('Inputs'!$C$59:$C$70&lt;&gt;"Estate")*('Inputs'!$C$59:$C$70&lt;&gt;""),(('Inputs'!$D$59:$D$70-('Inputs'!$P$59:$P$70=BQ5)*BQ14)-'Inputs'!$R$59:$R$70*ROUND(BQ21*('Inputs'!$D$59:$D$70-('Inputs'!$P$59:$P$70=BQ5)*BQ14),2)))+IF(OR(BQ3=1,BQ3=2),BQ12-ROUND(BQ21*BQ12,2),0)+IF(AND(BQ3=3,BQ6='Inputs'!$B$94),BQ38,0),2))</f>
      </c>
      <c r="BR81">
        <f>IF('Inputs'!$B$94="",0,ROUND(IF(BR31="S",'Inputs'!$O$94*BR28,IF(BR31="K",'Inputs'!$L$94*IF('Inputs'!$N$94=1,BR33,BR32),0))+'Inputs'!$Q$94*IF('Inputs'!$S$94=1,BR35+BR37+BR43+BR40,BR34+BR36+BR42+BR39)+SUMPRODUCT(('Inputs'!$F$59:$F$70='Inputs'!$B$94)*('Inputs'!$C$59:$C$70&lt;&gt;"Estate")*('Inputs'!$C$59:$C$70&lt;&gt;""),(('Inputs'!$D$59:$D$70-('Inputs'!$P$59:$P$70=BR5)*BR14)-'Inputs'!$R$59:$R$70*ROUND(BR21*('Inputs'!$D$59:$D$70-('Inputs'!$P$59:$P$70=BR5)*BR14),2)))+IF(OR(BR3=1,BR3=2),BR12-ROUND(BR21*BR12,2),0)+IF(AND(BR3=3,BR6='Inputs'!$B$94),BR38,0),2))</f>
      </c>
      <c r="BS81">
        <f>IF('Inputs'!$B$94="",0,ROUND(IF(BS31="S",'Inputs'!$O$94*BS28,IF(BS31="K",'Inputs'!$L$94*IF('Inputs'!$N$94=1,BS33,BS32),0))+'Inputs'!$Q$94*IF('Inputs'!$S$94=1,BS35+BS37+BS43+BS40,BS34+BS36+BS42+BS39)+SUMPRODUCT(('Inputs'!$F$59:$F$70='Inputs'!$B$94)*('Inputs'!$C$59:$C$70&lt;&gt;"Estate")*('Inputs'!$C$59:$C$70&lt;&gt;""),(('Inputs'!$D$59:$D$70-('Inputs'!$P$59:$P$70=BS5)*BS14)-'Inputs'!$R$59:$R$70*ROUND(BS21*('Inputs'!$D$59:$D$70-('Inputs'!$P$59:$P$70=BS5)*BS14),2)))+IF(OR(BS3=1,BS3=2),BS12-ROUND(BS21*BS12,2),0)+IF(AND(BS3=3,BS6='Inputs'!$B$94),BS38,0),2))</f>
      </c>
    </row>
    <row r="82" spans="2:71" x14ac:dyDescent="0.25">
      <c r="B82" t="s">
        <v>401</v>
      </c>
      <c r="C82">
        <f>'Needs years'!$C$286+'Needs years'!$C$293+C81*('Inputs'!$C$122/100*('Inputs'!$H$110/100+'Inputs'!$C$120/100*'Inputs'!$H$112/100))</f>
      </c>
      <c r="E82">
        <f>'Needs years'!$C$286+'Needs years'!$C$293+E81*('Inputs'!$C$122/100*('Inputs'!$H$110/100+'Inputs'!$C$120/100*'Inputs'!$H$112/100))</f>
      </c>
      <c r="F82">
        <f>'Needs years'!$C$286+'Needs years'!$C$293+F81*('Inputs'!$C$122/100*('Inputs'!$H$110/100+'Inputs'!$C$120/100*'Inputs'!$H$112/100))</f>
      </c>
      <c r="G82">
        <f>'Needs years'!$C$286+'Needs years'!$C$293+G81*('Inputs'!$C$122/100*('Inputs'!$H$110/100+'Inputs'!$C$120/100*'Inputs'!$H$112/100))</f>
      </c>
      <c r="H82">
        <f>'Needs years'!$C$286+'Needs years'!$C$293+H81*('Inputs'!$C$122/100*('Inputs'!$H$110/100+'Inputs'!$C$120/100*'Inputs'!$H$112/100))</f>
      </c>
      <c r="I82">
        <f>'Needs years'!$C$286+'Needs years'!$C$293+I81*('Inputs'!$C$122/100*('Inputs'!$H$110/100+'Inputs'!$C$120/100*'Inputs'!$H$112/100))</f>
      </c>
      <c r="J82">
        <f>'Needs years'!$C$286+'Needs years'!$C$293+J81*('Inputs'!$C$122/100*('Inputs'!$H$110/100+'Inputs'!$C$120/100*'Inputs'!$H$112/100))</f>
      </c>
      <c r="K82">
        <f>'Needs years'!$C$286+'Needs years'!$C$293+K81*('Inputs'!$C$122/100*('Inputs'!$H$110/100+'Inputs'!$C$120/100*'Inputs'!$H$112/100))</f>
      </c>
      <c r="L82">
        <f>'Needs years'!$C$286+'Needs years'!$C$293+L81*('Inputs'!$C$122/100*('Inputs'!$H$110/100+'Inputs'!$C$120/100*'Inputs'!$H$112/100))</f>
      </c>
      <c r="M82">
        <f>'Needs years'!$C$286+'Needs years'!$C$293+M81*('Inputs'!$C$122/100*('Inputs'!$H$110/100+'Inputs'!$C$120/100*'Inputs'!$H$112/100))</f>
      </c>
      <c r="N82">
        <f>'Needs years'!$C$286+'Needs years'!$C$293+N81*('Inputs'!$C$122/100*('Inputs'!$H$110/100+'Inputs'!$C$120/100*'Inputs'!$H$112/100))</f>
      </c>
      <c r="O82">
        <f>'Needs years'!$C$286+'Needs years'!$C$293+O81*('Inputs'!$C$122/100*('Inputs'!$H$110/100+'Inputs'!$C$120/100*'Inputs'!$H$112/100))</f>
      </c>
      <c r="P82">
        <f>'Needs years'!$C$286+'Needs years'!$C$293+P81*('Inputs'!$C$122/100*('Inputs'!$H$110/100+'Inputs'!$C$120/100*'Inputs'!$H$112/100))</f>
      </c>
      <c r="Q82">
        <f>'Needs years'!$C$286+'Needs years'!$C$293+Q81*('Inputs'!$C$122/100*('Inputs'!$H$110/100+'Inputs'!$C$120/100*'Inputs'!$H$112/100))</f>
      </c>
      <c r="R82">
        <f>'Needs years'!$C$286+'Needs years'!$C$293+R81*('Inputs'!$C$122/100*('Inputs'!$H$110/100+'Inputs'!$C$120/100*'Inputs'!$H$112/100))</f>
      </c>
      <c r="S82">
        <f>'Needs years'!$C$286+'Needs years'!$C$293+S81*('Inputs'!$C$122/100*('Inputs'!$H$110/100+'Inputs'!$C$120/100*'Inputs'!$H$112/100))</f>
      </c>
      <c r="T82">
        <f>'Needs years'!$C$286+'Needs years'!$C$293+T81*('Inputs'!$C$122/100*('Inputs'!$H$110/100+'Inputs'!$C$120/100*'Inputs'!$H$112/100))</f>
      </c>
      <c r="V82">
        <f>'Needs years'!$C$286+'Needs years'!$C$293+V81*('Inputs'!$C$122/100*('Inputs'!$H$110/100+'Inputs'!$C$120/100*'Inputs'!$H$112/100))</f>
      </c>
      <c r="W82">
        <f>'Needs years'!$C$286+'Needs years'!$C$293+W81*('Inputs'!$C$122/100*('Inputs'!$H$110/100+'Inputs'!$C$120/100*'Inputs'!$H$112/100))</f>
      </c>
      <c r="X82">
        <f>'Needs years'!$C$286+'Needs years'!$C$293+X81*('Inputs'!$C$122/100*('Inputs'!$H$110/100+'Inputs'!$C$120/100*'Inputs'!$H$112/100))</f>
      </c>
      <c r="Y82">
        <f>'Needs years'!$C$286+'Needs years'!$C$293+Y81*('Inputs'!$C$122/100*('Inputs'!$H$110/100+'Inputs'!$C$120/100*'Inputs'!$H$112/100))</f>
      </c>
      <c r="Z82">
        <f>'Needs years'!$C$286+'Needs years'!$C$293+Z81*('Inputs'!$C$122/100*('Inputs'!$H$110/100+'Inputs'!$C$120/100*'Inputs'!$H$112/100))</f>
      </c>
      <c r="AA82">
        <f>'Needs years'!$C$286+'Needs years'!$C$293+AA81*('Inputs'!$C$122/100*('Inputs'!$H$110/100+'Inputs'!$C$120/100*'Inputs'!$H$112/100))</f>
      </c>
      <c r="AB82">
        <f>'Needs years'!$C$286+'Needs years'!$C$293+AB81*('Inputs'!$C$122/100*('Inputs'!$H$110/100+'Inputs'!$C$120/100*'Inputs'!$H$112/100))</f>
      </c>
      <c r="AC82">
        <f>'Needs years'!$C$286+'Needs years'!$C$293+AC81*('Inputs'!$C$122/100*('Inputs'!$H$110/100+'Inputs'!$C$120/100*'Inputs'!$H$112/100))</f>
      </c>
      <c r="AD82">
        <f>'Needs years'!$C$286+'Needs years'!$C$293+AD81*('Inputs'!$C$122/100*('Inputs'!$H$110/100+'Inputs'!$C$120/100*'Inputs'!$H$112/100))</f>
      </c>
      <c r="AE82">
        <f>'Needs years'!$C$286+'Needs years'!$C$293+AE81*('Inputs'!$C$122/100*('Inputs'!$H$110/100+'Inputs'!$C$120/100*'Inputs'!$H$112/100))</f>
      </c>
      <c r="AF82">
        <f>'Needs years'!$C$286+'Needs years'!$C$293+AF81*('Inputs'!$C$122/100*('Inputs'!$H$110/100+'Inputs'!$C$120/100*'Inputs'!$H$112/100))</f>
      </c>
      <c r="AG82">
        <f>'Needs years'!$C$286+'Needs years'!$C$293+AG81*('Inputs'!$C$122/100*('Inputs'!$H$110/100+'Inputs'!$C$120/100*'Inputs'!$H$112/100))</f>
      </c>
      <c r="AH82">
        <f>'Needs years'!$C$286+'Needs years'!$C$293+AH81*('Inputs'!$C$122/100*('Inputs'!$H$110/100+'Inputs'!$C$120/100*'Inputs'!$H$112/100))</f>
      </c>
      <c r="AI82">
        <f>'Needs years'!$C$286+'Needs years'!$C$293+AI81*('Inputs'!$C$122/100*('Inputs'!$H$110/100+'Inputs'!$C$120/100*'Inputs'!$H$112/100))</f>
      </c>
      <c r="AJ82">
        <f>'Needs years'!$C$286+'Needs years'!$C$293+AJ81*('Inputs'!$C$122/100*('Inputs'!$H$110/100+'Inputs'!$C$120/100*'Inputs'!$H$112/100))</f>
      </c>
      <c r="AK82">
        <f>'Needs years'!$C$286+'Needs years'!$C$293+AK81*('Inputs'!$C$122/100*('Inputs'!$H$110/100+'Inputs'!$C$120/100*'Inputs'!$H$112/100))</f>
      </c>
      <c r="AM82">
        <f>'Needs years'!$C$286+'Needs years'!$C$293+AM81*('Inputs'!$C$122/100*('Inputs'!$H$110/100+'Inputs'!$C$120/100*'Inputs'!$H$112/100))</f>
      </c>
      <c r="AN82">
        <f>'Needs years'!$C$286+'Needs years'!$C$293+AN81*('Inputs'!$C$122/100*('Inputs'!$H$110/100+'Inputs'!$C$120/100*'Inputs'!$H$112/100))</f>
      </c>
      <c r="AO82">
        <f>'Needs years'!$C$286+'Needs years'!$C$293+AO81*('Inputs'!$C$122/100*('Inputs'!$H$110/100+'Inputs'!$C$120/100*'Inputs'!$H$112/100))</f>
      </c>
      <c r="AP82">
        <f>'Needs years'!$C$286+'Needs years'!$C$293+AP81*('Inputs'!$C$122/100*('Inputs'!$H$110/100+'Inputs'!$C$120/100*'Inputs'!$H$112/100))</f>
      </c>
      <c r="AQ82">
        <f>'Needs years'!$C$286+'Needs years'!$C$293+AQ81*('Inputs'!$C$122/100*('Inputs'!$H$110/100+'Inputs'!$C$120/100*'Inputs'!$H$112/100))</f>
      </c>
      <c r="AR82">
        <f>'Needs years'!$C$286+'Needs years'!$C$293+AR81*('Inputs'!$C$122/100*('Inputs'!$H$110/100+'Inputs'!$C$120/100*'Inputs'!$H$112/100))</f>
      </c>
      <c r="AS82">
        <f>'Needs years'!$C$286+'Needs years'!$C$293+AS81*('Inputs'!$C$122/100*('Inputs'!$H$110/100+'Inputs'!$C$120/100*'Inputs'!$H$112/100))</f>
      </c>
      <c r="AT82">
        <f>'Needs years'!$C$286+'Needs years'!$C$293+AT81*('Inputs'!$C$122/100*('Inputs'!$H$110/100+'Inputs'!$C$120/100*'Inputs'!$H$112/100))</f>
      </c>
      <c r="AU82">
        <f>'Needs years'!$C$286+'Needs years'!$C$293+AU81*('Inputs'!$C$122/100*('Inputs'!$H$110/100+'Inputs'!$C$120/100*'Inputs'!$H$112/100))</f>
      </c>
      <c r="AV82">
        <f>'Needs years'!$C$286+'Needs years'!$C$293+AV81*('Inputs'!$C$122/100*('Inputs'!$H$110/100+'Inputs'!$C$120/100*'Inputs'!$H$112/100))</f>
      </c>
      <c r="AW82">
        <f>'Needs years'!$C$286+'Needs years'!$C$293+AW81*('Inputs'!$C$122/100*('Inputs'!$H$110/100+'Inputs'!$C$120/100*'Inputs'!$H$112/100))</f>
      </c>
      <c r="AX82">
        <f>'Needs years'!$C$286+'Needs years'!$C$293+AX81*('Inputs'!$C$122/100*('Inputs'!$H$110/100+'Inputs'!$C$120/100*'Inputs'!$H$112/100))</f>
      </c>
      <c r="AY82">
        <f>'Needs years'!$C$286+'Needs years'!$C$293+AY81*('Inputs'!$C$122/100*('Inputs'!$H$110/100+'Inputs'!$C$120/100*'Inputs'!$H$112/100))</f>
      </c>
      <c r="AZ82">
        <f>'Needs years'!$C$286+'Needs years'!$C$293+AZ81*('Inputs'!$C$122/100*('Inputs'!$H$110/100+'Inputs'!$C$120/100*'Inputs'!$H$112/100))</f>
      </c>
      <c r="BA82">
        <f>'Needs years'!$C$286+'Needs years'!$C$293+BA81*('Inputs'!$C$122/100*('Inputs'!$H$110/100+'Inputs'!$C$120/100*'Inputs'!$H$112/100))</f>
      </c>
      <c r="BB82">
        <f>'Needs years'!$C$286+'Needs years'!$C$293+BB81*('Inputs'!$C$122/100*('Inputs'!$H$110/100+'Inputs'!$C$120/100*'Inputs'!$H$112/100))</f>
      </c>
      <c r="BD82">
        <f>'Needs years'!$C$286+'Needs years'!$C$293+BD81*('Inputs'!$C$122/100*('Inputs'!$H$110/100+'Inputs'!$C$120/100*'Inputs'!$H$112/100))</f>
      </c>
      <c r="BE82">
        <f>'Needs years'!$C$286+'Needs years'!$C$293+BE81*('Inputs'!$C$122/100*('Inputs'!$H$110/100+'Inputs'!$C$120/100*'Inputs'!$H$112/100))</f>
      </c>
      <c r="BF82">
        <f>'Needs years'!$C$286+'Needs years'!$C$293+BF81*('Inputs'!$C$122/100*('Inputs'!$H$110/100+'Inputs'!$C$120/100*'Inputs'!$H$112/100))</f>
      </c>
      <c r="BG82">
        <f>'Needs years'!$C$286+'Needs years'!$C$293+BG81*('Inputs'!$C$122/100*('Inputs'!$H$110/100+'Inputs'!$C$120/100*'Inputs'!$H$112/100))</f>
      </c>
      <c r="BH82">
        <f>'Needs years'!$C$286+'Needs years'!$C$293+BH81*('Inputs'!$C$122/100*('Inputs'!$H$110/100+'Inputs'!$C$120/100*'Inputs'!$H$112/100))</f>
      </c>
      <c r="BI82">
        <f>'Needs years'!$C$286+'Needs years'!$C$293+BI81*('Inputs'!$C$122/100*('Inputs'!$H$110/100+'Inputs'!$C$120/100*'Inputs'!$H$112/100))</f>
      </c>
      <c r="BJ82">
        <f>'Needs years'!$C$286+'Needs years'!$C$293+BJ81*('Inputs'!$C$122/100*('Inputs'!$H$110/100+'Inputs'!$C$120/100*'Inputs'!$H$112/100))</f>
      </c>
      <c r="BK82">
        <f>'Needs years'!$C$286+'Needs years'!$C$293+BK81*('Inputs'!$C$122/100*('Inputs'!$H$110/100+'Inputs'!$C$120/100*'Inputs'!$H$112/100))</f>
      </c>
      <c r="BL82">
        <f>'Needs years'!$C$286+'Needs years'!$C$293+BL81*('Inputs'!$C$122/100*('Inputs'!$H$110/100+'Inputs'!$C$120/100*'Inputs'!$H$112/100))</f>
      </c>
      <c r="BM82">
        <f>'Needs years'!$C$286+'Needs years'!$C$293+BM81*('Inputs'!$C$122/100*('Inputs'!$H$110/100+'Inputs'!$C$120/100*'Inputs'!$H$112/100))</f>
      </c>
      <c r="BN82">
        <f>'Needs years'!$C$286+'Needs years'!$C$293+BN81*('Inputs'!$C$122/100*('Inputs'!$H$110/100+'Inputs'!$C$120/100*'Inputs'!$H$112/100))</f>
      </c>
      <c r="BO82">
        <f>'Needs years'!$C$286+'Needs years'!$C$293+BO81*('Inputs'!$C$122/100*('Inputs'!$H$110/100+'Inputs'!$C$120/100*'Inputs'!$H$112/100))</f>
      </c>
      <c r="BP82">
        <f>'Needs years'!$C$286+'Needs years'!$C$293+BP81*('Inputs'!$C$122/100*('Inputs'!$H$110/100+'Inputs'!$C$120/100*'Inputs'!$H$112/100))</f>
      </c>
      <c r="BQ82">
        <f>'Needs years'!$C$286+'Needs years'!$C$293+BQ81*('Inputs'!$C$122/100*('Inputs'!$H$110/100+'Inputs'!$C$120/100*'Inputs'!$H$112/100))</f>
      </c>
      <c r="BR82">
        <f>'Needs years'!$C$286+'Needs years'!$C$293+BR81*('Inputs'!$C$122/100*('Inputs'!$H$110/100+'Inputs'!$C$120/100*'Inputs'!$H$112/100))</f>
      </c>
      <c r="BS82">
        <f>'Needs years'!$C$286+'Needs years'!$C$293+BS81*('Inputs'!$C$122/100*('Inputs'!$H$110/100+'Inputs'!$C$120/100*'Inputs'!$H$112/100))</f>
      </c>
    </row>
    <row r="83" spans="2:71" x14ac:dyDescent="0.25">
      <c r="B83" t="s">
        <v>402</v>
      </c>
      <c r="C83">
        <f>IF(C82&lt;='Needs years'!$C$285,0,INDEX('Inputs'!$E$125:$E$131,MATCH(C82,'Inputs'!$C$125:$C$131,1)-IF(COUNTIF('Inputs'!$C$125:$C$131,C82)&gt;0,1,0))/100)</f>
      </c>
      <c r="E83">
        <f>IF(E82&lt;='Needs years'!$C$285,0,INDEX('Inputs'!$E$125:$E$131,MATCH(E82,'Inputs'!$C$125:$C$131,1)-IF(COUNTIF('Inputs'!$C$125:$C$131,E82)&gt;0,1,0))/100)</f>
      </c>
      <c r="F83">
        <f>IF(F82&lt;='Needs years'!$C$285,0,INDEX('Inputs'!$E$125:$E$131,MATCH(F82,'Inputs'!$C$125:$C$131,1)-IF(COUNTIF('Inputs'!$C$125:$C$131,F82)&gt;0,1,0))/100)</f>
      </c>
      <c r="G83">
        <f>IF(G82&lt;='Needs years'!$C$285,0,INDEX('Inputs'!$E$125:$E$131,MATCH(G82,'Inputs'!$C$125:$C$131,1)-IF(COUNTIF('Inputs'!$C$125:$C$131,G82)&gt;0,1,0))/100)</f>
      </c>
      <c r="H83">
        <f>IF(H82&lt;='Needs years'!$C$285,0,INDEX('Inputs'!$E$125:$E$131,MATCH(H82,'Inputs'!$C$125:$C$131,1)-IF(COUNTIF('Inputs'!$C$125:$C$131,H82)&gt;0,1,0))/100)</f>
      </c>
      <c r="I83">
        <f>IF(I82&lt;='Needs years'!$C$285,0,INDEX('Inputs'!$E$125:$E$131,MATCH(I82,'Inputs'!$C$125:$C$131,1)-IF(COUNTIF('Inputs'!$C$125:$C$131,I82)&gt;0,1,0))/100)</f>
      </c>
      <c r="J83">
        <f>IF(J82&lt;='Needs years'!$C$285,0,INDEX('Inputs'!$E$125:$E$131,MATCH(J82,'Inputs'!$C$125:$C$131,1)-IF(COUNTIF('Inputs'!$C$125:$C$131,J82)&gt;0,1,0))/100)</f>
      </c>
      <c r="K83">
        <f>IF(K82&lt;='Needs years'!$C$285,0,INDEX('Inputs'!$E$125:$E$131,MATCH(K82,'Inputs'!$C$125:$C$131,1)-IF(COUNTIF('Inputs'!$C$125:$C$131,K82)&gt;0,1,0))/100)</f>
      </c>
      <c r="L83">
        <f>IF(L82&lt;='Needs years'!$C$285,0,INDEX('Inputs'!$E$125:$E$131,MATCH(L82,'Inputs'!$C$125:$C$131,1)-IF(COUNTIF('Inputs'!$C$125:$C$131,L82)&gt;0,1,0))/100)</f>
      </c>
      <c r="M83">
        <f>IF(M82&lt;='Needs years'!$C$285,0,INDEX('Inputs'!$E$125:$E$131,MATCH(M82,'Inputs'!$C$125:$C$131,1)-IF(COUNTIF('Inputs'!$C$125:$C$131,M82)&gt;0,1,0))/100)</f>
      </c>
      <c r="N83">
        <f>IF(N82&lt;='Needs years'!$C$285,0,INDEX('Inputs'!$E$125:$E$131,MATCH(N82,'Inputs'!$C$125:$C$131,1)-IF(COUNTIF('Inputs'!$C$125:$C$131,N82)&gt;0,1,0))/100)</f>
      </c>
      <c r="O83">
        <f>IF(O82&lt;='Needs years'!$C$285,0,INDEX('Inputs'!$E$125:$E$131,MATCH(O82,'Inputs'!$C$125:$C$131,1)-IF(COUNTIF('Inputs'!$C$125:$C$131,O82)&gt;0,1,0))/100)</f>
      </c>
      <c r="P83">
        <f>IF(P82&lt;='Needs years'!$C$285,0,INDEX('Inputs'!$E$125:$E$131,MATCH(P82,'Inputs'!$C$125:$C$131,1)-IF(COUNTIF('Inputs'!$C$125:$C$131,P82)&gt;0,1,0))/100)</f>
      </c>
      <c r="Q83">
        <f>IF(Q82&lt;='Needs years'!$C$285,0,INDEX('Inputs'!$E$125:$E$131,MATCH(Q82,'Inputs'!$C$125:$C$131,1)-IF(COUNTIF('Inputs'!$C$125:$C$131,Q82)&gt;0,1,0))/100)</f>
      </c>
      <c r="R83">
        <f>IF(R82&lt;='Needs years'!$C$285,0,INDEX('Inputs'!$E$125:$E$131,MATCH(R82,'Inputs'!$C$125:$C$131,1)-IF(COUNTIF('Inputs'!$C$125:$C$131,R82)&gt;0,1,0))/100)</f>
      </c>
      <c r="S83">
        <f>IF(S82&lt;='Needs years'!$C$285,0,INDEX('Inputs'!$E$125:$E$131,MATCH(S82,'Inputs'!$C$125:$C$131,1)-IF(COUNTIF('Inputs'!$C$125:$C$131,S82)&gt;0,1,0))/100)</f>
      </c>
      <c r="T83">
        <f>IF(T82&lt;='Needs years'!$C$285,0,INDEX('Inputs'!$E$125:$E$131,MATCH(T82,'Inputs'!$C$125:$C$131,1)-IF(COUNTIF('Inputs'!$C$125:$C$131,T82)&gt;0,1,0))/100)</f>
      </c>
      <c r="V83">
        <f>IF(V82&lt;='Needs years'!$C$285,0,INDEX('Inputs'!$E$125:$E$131,MATCH(V82,'Inputs'!$C$125:$C$131,1)-IF(COUNTIF('Inputs'!$C$125:$C$131,V82)&gt;0,1,0))/100)</f>
      </c>
      <c r="W83">
        <f>IF(W82&lt;='Needs years'!$C$285,0,INDEX('Inputs'!$E$125:$E$131,MATCH(W82,'Inputs'!$C$125:$C$131,1)-IF(COUNTIF('Inputs'!$C$125:$C$131,W82)&gt;0,1,0))/100)</f>
      </c>
      <c r="X83">
        <f>IF(X82&lt;='Needs years'!$C$285,0,INDEX('Inputs'!$E$125:$E$131,MATCH(X82,'Inputs'!$C$125:$C$131,1)-IF(COUNTIF('Inputs'!$C$125:$C$131,X82)&gt;0,1,0))/100)</f>
      </c>
      <c r="Y83">
        <f>IF(Y82&lt;='Needs years'!$C$285,0,INDEX('Inputs'!$E$125:$E$131,MATCH(Y82,'Inputs'!$C$125:$C$131,1)-IF(COUNTIF('Inputs'!$C$125:$C$131,Y82)&gt;0,1,0))/100)</f>
      </c>
      <c r="Z83">
        <f>IF(Z82&lt;='Needs years'!$C$285,0,INDEX('Inputs'!$E$125:$E$131,MATCH(Z82,'Inputs'!$C$125:$C$131,1)-IF(COUNTIF('Inputs'!$C$125:$C$131,Z82)&gt;0,1,0))/100)</f>
      </c>
      <c r="AA83">
        <f>IF(AA82&lt;='Needs years'!$C$285,0,INDEX('Inputs'!$E$125:$E$131,MATCH(AA82,'Inputs'!$C$125:$C$131,1)-IF(COUNTIF('Inputs'!$C$125:$C$131,AA82)&gt;0,1,0))/100)</f>
      </c>
      <c r="AB83">
        <f>IF(AB82&lt;='Needs years'!$C$285,0,INDEX('Inputs'!$E$125:$E$131,MATCH(AB82,'Inputs'!$C$125:$C$131,1)-IF(COUNTIF('Inputs'!$C$125:$C$131,AB82)&gt;0,1,0))/100)</f>
      </c>
      <c r="AC83">
        <f>IF(AC82&lt;='Needs years'!$C$285,0,INDEX('Inputs'!$E$125:$E$131,MATCH(AC82,'Inputs'!$C$125:$C$131,1)-IF(COUNTIF('Inputs'!$C$125:$C$131,AC82)&gt;0,1,0))/100)</f>
      </c>
      <c r="AD83">
        <f>IF(AD82&lt;='Needs years'!$C$285,0,INDEX('Inputs'!$E$125:$E$131,MATCH(AD82,'Inputs'!$C$125:$C$131,1)-IF(COUNTIF('Inputs'!$C$125:$C$131,AD82)&gt;0,1,0))/100)</f>
      </c>
      <c r="AE83">
        <f>IF(AE82&lt;='Needs years'!$C$285,0,INDEX('Inputs'!$E$125:$E$131,MATCH(AE82,'Inputs'!$C$125:$C$131,1)-IF(COUNTIF('Inputs'!$C$125:$C$131,AE82)&gt;0,1,0))/100)</f>
      </c>
      <c r="AF83">
        <f>IF(AF82&lt;='Needs years'!$C$285,0,INDEX('Inputs'!$E$125:$E$131,MATCH(AF82,'Inputs'!$C$125:$C$131,1)-IF(COUNTIF('Inputs'!$C$125:$C$131,AF82)&gt;0,1,0))/100)</f>
      </c>
      <c r="AG83">
        <f>IF(AG82&lt;='Needs years'!$C$285,0,INDEX('Inputs'!$E$125:$E$131,MATCH(AG82,'Inputs'!$C$125:$C$131,1)-IF(COUNTIF('Inputs'!$C$125:$C$131,AG82)&gt;0,1,0))/100)</f>
      </c>
      <c r="AH83">
        <f>IF(AH82&lt;='Needs years'!$C$285,0,INDEX('Inputs'!$E$125:$E$131,MATCH(AH82,'Inputs'!$C$125:$C$131,1)-IF(COUNTIF('Inputs'!$C$125:$C$131,AH82)&gt;0,1,0))/100)</f>
      </c>
      <c r="AI83">
        <f>IF(AI82&lt;='Needs years'!$C$285,0,INDEX('Inputs'!$E$125:$E$131,MATCH(AI82,'Inputs'!$C$125:$C$131,1)-IF(COUNTIF('Inputs'!$C$125:$C$131,AI82)&gt;0,1,0))/100)</f>
      </c>
      <c r="AJ83">
        <f>IF(AJ82&lt;='Needs years'!$C$285,0,INDEX('Inputs'!$E$125:$E$131,MATCH(AJ82,'Inputs'!$C$125:$C$131,1)-IF(COUNTIF('Inputs'!$C$125:$C$131,AJ82)&gt;0,1,0))/100)</f>
      </c>
      <c r="AK83">
        <f>IF(AK82&lt;='Needs years'!$C$285,0,INDEX('Inputs'!$E$125:$E$131,MATCH(AK82,'Inputs'!$C$125:$C$131,1)-IF(COUNTIF('Inputs'!$C$125:$C$131,AK82)&gt;0,1,0))/100)</f>
      </c>
      <c r="AM83">
        <f>IF(AM82&lt;='Needs years'!$C$285,0,INDEX('Inputs'!$E$125:$E$131,MATCH(AM82,'Inputs'!$C$125:$C$131,1)-IF(COUNTIF('Inputs'!$C$125:$C$131,AM82)&gt;0,1,0))/100)</f>
      </c>
      <c r="AN83">
        <f>IF(AN82&lt;='Needs years'!$C$285,0,INDEX('Inputs'!$E$125:$E$131,MATCH(AN82,'Inputs'!$C$125:$C$131,1)-IF(COUNTIF('Inputs'!$C$125:$C$131,AN82)&gt;0,1,0))/100)</f>
      </c>
      <c r="AO83">
        <f>IF(AO82&lt;='Needs years'!$C$285,0,INDEX('Inputs'!$E$125:$E$131,MATCH(AO82,'Inputs'!$C$125:$C$131,1)-IF(COUNTIF('Inputs'!$C$125:$C$131,AO82)&gt;0,1,0))/100)</f>
      </c>
      <c r="AP83">
        <f>IF(AP82&lt;='Needs years'!$C$285,0,INDEX('Inputs'!$E$125:$E$131,MATCH(AP82,'Inputs'!$C$125:$C$131,1)-IF(COUNTIF('Inputs'!$C$125:$C$131,AP82)&gt;0,1,0))/100)</f>
      </c>
      <c r="AQ83">
        <f>IF(AQ82&lt;='Needs years'!$C$285,0,INDEX('Inputs'!$E$125:$E$131,MATCH(AQ82,'Inputs'!$C$125:$C$131,1)-IF(COUNTIF('Inputs'!$C$125:$C$131,AQ82)&gt;0,1,0))/100)</f>
      </c>
      <c r="AR83">
        <f>IF(AR82&lt;='Needs years'!$C$285,0,INDEX('Inputs'!$E$125:$E$131,MATCH(AR82,'Inputs'!$C$125:$C$131,1)-IF(COUNTIF('Inputs'!$C$125:$C$131,AR82)&gt;0,1,0))/100)</f>
      </c>
      <c r="AS83">
        <f>IF(AS82&lt;='Needs years'!$C$285,0,INDEX('Inputs'!$E$125:$E$131,MATCH(AS82,'Inputs'!$C$125:$C$131,1)-IF(COUNTIF('Inputs'!$C$125:$C$131,AS82)&gt;0,1,0))/100)</f>
      </c>
      <c r="AT83">
        <f>IF(AT82&lt;='Needs years'!$C$285,0,INDEX('Inputs'!$E$125:$E$131,MATCH(AT82,'Inputs'!$C$125:$C$131,1)-IF(COUNTIF('Inputs'!$C$125:$C$131,AT82)&gt;0,1,0))/100)</f>
      </c>
      <c r="AU83">
        <f>IF(AU82&lt;='Needs years'!$C$285,0,INDEX('Inputs'!$E$125:$E$131,MATCH(AU82,'Inputs'!$C$125:$C$131,1)-IF(COUNTIF('Inputs'!$C$125:$C$131,AU82)&gt;0,1,0))/100)</f>
      </c>
      <c r="AV83">
        <f>IF(AV82&lt;='Needs years'!$C$285,0,INDEX('Inputs'!$E$125:$E$131,MATCH(AV82,'Inputs'!$C$125:$C$131,1)-IF(COUNTIF('Inputs'!$C$125:$C$131,AV82)&gt;0,1,0))/100)</f>
      </c>
      <c r="AW83">
        <f>IF(AW82&lt;='Needs years'!$C$285,0,INDEX('Inputs'!$E$125:$E$131,MATCH(AW82,'Inputs'!$C$125:$C$131,1)-IF(COUNTIF('Inputs'!$C$125:$C$131,AW82)&gt;0,1,0))/100)</f>
      </c>
      <c r="AX83">
        <f>IF(AX82&lt;='Needs years'!$C$285,0,INDEX('Inputs'!$E$125:$E$131,MATCH(AX82,'Inputs'!$C$125:$C$131,1)-IF(COUNTIF('Inputs'!$C$125:$C$131,AX82)&gt;0,1,0))/100)</f>
      </c>
      <c r="AY83">
        <f>IF(AY82&lt;='Needs years'!$C$285,0,INDEX('Inputs'!$E$125:$E$131,MATCH(AY82,'Inputs'!$C$125:$C$131,1)-IF(COUNTIF('Inputs'!$C$125:$C$131,AY82)&gt;0,1,0))/100)</f>
      </c>
      <c r="AZ83">
        <f>IF(AZ82&lt;='Needs years'!$C$285,0,INDEX('Inputs'!$E$125:$E$131,MATCH(AZ82,'Inputs'!$C$125:$C$131,1)-IF(COUNTIF('Inputs'!$C$125:$C$131,AZ82)&gt;0,1,0))/100)</f>
      </c>
      <c r="BA83">
        <f>IF(BA82&lt;='Needs years'!$C$285,0,INDEX('Inputs'!$E$125:$E$131,MATCH(BA82,'Inputs'!$C$125:$C$131,1)-IF(COUNTIF('Inputs'!$C$125:$C$131,BA82)&gt;0,1,0))/100)</f>
      </c>
      <c r="BB83">
        <f>IF(BB82&lt;='Needs years'!$C$285,0,INDEX('Inputs'!$E$125:$E$131,MATCH(BB82,'Inputs'!$C$125:$C$131,1)-IF(COUNTIF('Inputs'!$C$125:$C$131,BB82)&gt;0,1,0))/100)</f>
      </c>
      <c r="BD83">
        <f>IF(BD82&lt;='Needs years'!$C$285,0,INDEX('Inputs'!$E$125:$E$131,MATCH(BD82,'Inputs'!$C$125:$C$131,1)-IF(COUNTIF('Inputs'!$C$125:$C$131,BD82)&gt;0,1,0))/100)</f>
      </c>
      <c r="BE83">
        <f>IF(BE82&lt;='Needs years'!$C$285,0,INDEX('Inputs'!$E$125:$E$131,MATCH(BE82,'Inputs'!$C$125:$C$131,1)-IF(COUNTIF('Inputs'!$C$125:$C$131,BE82)&gt;0,1,0))/100)</f>
      </c>
      <c r="BF83">
        <f>IF(BF82&lt;='Needs years'!$C$285,0,INDEX('Inputs'!$E$125:$E$131,MATCH(BF82,'Inputs'!$C$125:$C$131,1)-IF(COUNTIF('Inputs'!$C$125:$C$131,BF82)&gt;0,1,0))/100)</f>
      </c>
      <c r="BG83">
        <f>IF(BG82&lt;='Needs years'!$C$285,0,INDEX('Inputs'!$E$125:$E$131,MATCH(BG82,'Inputs'!$C$125:$C$131,1)-IF(COUNTIF('Inputs'!$C$125:$C$131,BG82)&gt;0,1,0))/100)</f>
      </c>
      <c r="BH83">
        <f>IF(BH82&lt;='Needs years'!$C$285,0,INDEX('Inputs'!$E$125:$E$131,MATCH(BH82,'Inputs'!$C$125:$C$131,1)-IF(COUNTIF('Inputs'!$C$125:$C$131,BH82)&gt;0,1,0))/100)</f>
      </c>
      <c r="BI83">
        <f>IF(BI82&lt;='Needs years'!$C$285,0,INDEX('Inputs'!$E$125:$E$131,MATCH(BI82,'Inputs'!$C$125:$C$131,1)-IF(COUNTIF('Inputs'!$C$125:$C$131,BI82)&gt;0,1,0))/100)</f>
      </c>
      <c r="BJ83">
        <f>IF(BJ82&lt;='Needs years'!$C$285,0,INDEX('Inputs'!$E$125:$E$131,MATCH(BJ82,'Inputs'!$C$125:$C$131,1)-IF(COUNTIF('Inputs'!$C$125:$C$131,BJ82)&gt;0,1,0))/100)</f>
      </c>
      <c r="BK83">
        <f>IF(BK82&lt;='Needs years'!$C$285,0,INDEX('Inputs'!$E$125:$E$131,MATCH(BK82,'Inputs'!$C$125:$C$131,1)-IF(COUNTIF('Inputs'!$C$125:$C$131,BK82)&gt;0,1,0))/100)</f>
      </c>
      <c r="BL83">
        <f>IF(BL82&lt;='Needs years'!$C$285,0,INDEX('Inputs'!$E$125:$E$131,MATCH(BL82,'Inputs'!$C$125:$C$131,1)-IF(COUNTIF('Inputs'!$C$125:$C$131,BL82)&gt;0,1,0))/100)</f>
      </c>
      <c r="BM83">
        <f>IF(BM82&lt;='Needs years'!$C$285,0,INDEX('Inputs'!$E$125:$E$131,MATCH(BM82,'Inputs'!$C$125:$C$131,1)-IF(COUNTIF('Inputs'!$C$125:$C$131,BM82)&gt;0,1,0))/100)</f>
      </c>
      <c r="BN83">
        <f>IF(BN82&lt;='Needs years'!$C$285,0,INDEX('Inputs'!$E$125:$E$131,MATCH(BN82,'Inputs'!$C$125:$C$131,1)-IF(COUNTIF('Inputs'!$C$125:$C$131,BN82)&gt;0,1,0))/100)</f>
      </c>
      <c r="BO83">
        <f>IF(BO82&lt;='Needs years'!$C$285,0,INDEX('Inputs'!$E$125:$E$131,MATCH(BO82,'Inputs'!$C$125:$C$131,1)-IF(COUNTIF('Inputs'!$C$125:$C$131,BO82)&gt;0,1,0))/100)</f>
      </c>
      <c r="BP83">
        <f>IF(BP82&lt;='Needs years'!$C$285,0,INDEX('Inputs'!$E$125:$E$131,MATCH(BP82,'Inputs'!$C$125:$C$131,1)-IF(COUNTIF('Inputs'!$C$125:$C$131,BP82)&gt;0,1,0))/100)</f>
      </c>
      <c r="BQ83">
        <f>IF(BQ82&lt;='Needs years'!$C$285,0,INDEX('Inputs'!$E$125:$E$131,MATCH(BQ82,'Inputs'!$C$125:$C$131,1)-IF(COUNTIF('Inputs'!$C$125:$C$131,BQ82)&gt;0,1,0))/100)</f>
      </c>
      <c r="BR83">
        <f>IF(BR82&lt;='Needs years'!$C$285,0,INDEX('Inputs'!$E$125:$E$131,MATCH(BR82,'Inputs'!$C$125:$C$131,1)-IF(COUNTIF('Inputs'!$C$125:$C$131,BR82)&gt;0,1,0))/100)</f>
      </c>
      <c r="BS83">
        <f>IF(BS82&lt;='Needs years'!$C$285,0,INDEX('Inputs'!$E$125:$E$131,MATCH(BS82,'Inputs'!$C$125:$C$131,1)-IF(COUNTIF('Inputs'!$C$125:$C$131,BS82)&gt;0,1,0))/100)</f>
      </c>
    </row>
    <row r="84" spans="2:71" x14ac:dyDescent="0.25">
      <c r="B84" t="s">
        <v>403</v>
      </c>
      <c r="C84">
        <f>('Inputs'!$C$122/100*(1-('Inputs'!$H$110/100*C83+'Inputs'!$H$111/100*'Inputs'!$H$113/100+'Inputs'!$H$112/100*'Inputs'!$C$120/100*C83))-IF('Needs years'!$C$291=1,'Inputs'!$H$108/100,0))</f>
      </c>
      <c r="E84">
        <f>('Inputs'!$C$122/100*(1-('Inputs'!$H$110/100*E83+'Inputs'!$H$111/100*'Inputs'!$H$113/100+'Inputs'!$H$112/100*'Inputs'!$C$120/100*E83))-IF('Needs years'!$C$291=1,'Inputs'!$H$108/100,0))</f>
      </c>
      <c r="F84">
        <f>('Inputs'!$C$122/100*(1-('Inputs'!$H$110/100*F83+'Inputs'!$H$111/100*'Inputs'!$H$113/100+'Inputs'!$H$112/100*'Inputs'!$C$120/100*F83))-IF('Needs years'!$C$291=1,'Inputs'!$H$108/100,0))</f>
      </c>
      <c r="G84">
        <f>('Inputs'!$C$122/100*(1-('Inputs'!$H$110/100*G83+'Inputs'!$H$111/100*'Inputs'!$H$113/100+'Inputs'!$H$112/100*'Inputs'!$C$120/100*G83))-IF('Needs years'!$C$291=1,'Inputs'!$H$108/100,0))</f>
      </c>
      <c r="H84">
        <f>('Inputs'!$C$122/100*(1-('Inputs'!$H$110/100*H83+'Inputs'!$H$111/100*'Inputs'!$H$113/100+'Inputs'!$H$112/100*'Inputs'!$C$120/100*H83))-IF('Needs years'!$C$291=1,'Inputs'!$H$108/100,0))</f>
      </c>
      <c r="I84">
        <f>('Inputs'!$C$122/100*(1-('Inputs'!$H$110/100*I83+'Inputs'!$H$111/100*'Inputs'!$H$113/100+'Inputs'!$H$112/100*'Inputs'!$C$120/100*I83))-IF('Needs years'!$C$291=1,'Inputs'!$H$108/100,0))</f>
      </c>
      <c r="J84">
        <f>('Inputs'!$C$122/100*(1-('Inputs'!$H$110/100*J83+'Inputs'!$H$111/100*'Inputs'!$H$113/100+'Inputs'!$H$112/100*'Inputs'!$C$120/100*J83))-IF('Needs years'!$C$291=1,'Inputs'!$H$108/100,0))</f>
      </c>
      <c r="K84">
        <f>('Inputs'!$C$122/100*(1-('Inputs'!$H$110/100*K83+'Inputs'!$H$111/100*'Inputs'!$H$113/100+'Inputs'!$H$112/100*'Inputs'!$C$120/100*K83))-IF('Needs years'!$C$291=1,'Inputs'!$H$108/100,0))</f>
      </c>
      <c r="L84">
        <f>('Inputs'!$C$122/100*(1-('Inputs'!$H$110/100*L83+'Inputs'!$H$111/100*'Inputs'!$H$113/100+'Inputs'!$H$112/100*'Inputs'!$C$120/100*L83))-IF('Needs years'!$C$291=1,'Inputs'!$H$108/100,0))</f>
      </c>
      <c r="M84">
        <f>('Inputs'!$C$122/100*(1-('Inputs'!$H$110/100*M83+'Inputs'!$H$111/100*'Inputs'!$H$113/100+'Inputs'!$H$112/100*'Inputs'!$C$120/100*M83))-IF('Needs years'!$C$291=1,'Inputs'!$H$108/100,0))</f>
      </c>
      <c r="N84">
        <f>('Inputs'!$C$122/100*(1-('Inputs'!$H$110/100*N83+'Inputs'!$H$111/100*'Inputs'!$H$113/100+'Inputs'!$H$112/100*'Inputs'!$C$120/100*N83))-IF('Needs years'!$C$291=1,'Inputs'!$H$108/100,0))</f>
      </c>
      <c r="O84">
        <f>('Inputs'!$C$122/100*(1-('Inputs'!$H$110/100*O83+'Inputs'!$H$111/100*'Inputs'!$H$113/100+'Inputs'!$H$112/100*'Inputs'!$C$120/100*O83))-IF('Needs years'!$C$291=1,'Inputs'!$H$108/100,0))</f>
      </c>
      <c r="P84">
        <f>('Inputs'!$C$122/100*(1-('Inputs'!$H$110/100*P83+'Inputs'!$H$111/100*'Inputs'!$H$113/100+'Inputs'!$H$112/100*'Inputs'!$C$120/100*P83))-IF('Needs years'!$C$291=1,'Inputs'!$H$108/100,0))</f>
      </c>
      <c r="Q84">
        <f>('Inputs'!$C$122/100*(1-('Inputs'!$H$110/100*Q83+'Inputs'!$H$111/100*'Inputs'!$H$113/100+'Inputs'!$H$112/100*'Inputs'!$C$120/100*Q83))-IF('Needs years'!$C$291=1,'Inputs'!$H$108/100,0))</f>
      </c>
      <c r="R84">
        <f>('Inputs'!$C$122/100*(1-('Inputs'!$H$110/100*R83+'Inputs'!$H$111/100*'Inputs'!$H$113/100+'Inputs'!$H$112/100*'Inputs'!$C$120/100*R83))-IF('Needs years'!$C$291=1,'Inputs'!$H$108/100,0))</f>
      </c>
      <c r="S84">
        <f>('Inputs'!$C$122/100*(1-('Inputs'!$H$110/100*S83+'Inputs'!$H$111/100*'Inputs'!$H$113/100+'Inputs'!$H$112/100*'Inputs'!$C$120/100*S83))-IF('Needs years'!$C$291=1,'Inputs'!$H$108/100,0))</f>
      </c>
      <c r="T84">
        <f>('Inputs'!$C$122/100*(1-('Inputs'!$H$110/100*T83+'Inputs'!$H$111/100*'Inputs'!$H$113/100+'Inputs'!$H$112/100*'Inputs'!$C$120/100*T83))-IF('Needs years'!$C$291=1,'Inputs'!$H$108/100,0))</f>
      </c>
      <c r="V84">
        <f>('Inputs'!$C$122/100*(1-('Inputs'!$H$110/100*V83+'Inputs'!$H$111/100*'Inputs'!$H$113/100+'Inputs'!$H$112/100*'Inputs'!$C$120/100*V83))-IF('Needs years'!$C$291=1,'Inputs'!$H$108/100,0))</f>
      </c>
      <c r="W84">
        <f>('Inputs'!$C$122/100*(1-('Inputs'!$H$110/100*W83+'Inputs'!$H$111/100*'Inputs'!$H$113/100+'Inputs'!$H$112/100*'Inputs'!$C$120/100*W83))-IF('Needs years'!$C$291=1,'Inputs'!$H$108/100,0))</f>
      </c>
      <c r="X84">
        <f>('Inputs'!$C$122/100*(1-('Inputs'!$H$110/100*X83+'Inputs'!$H$111/100*'Inputs'!$H$113/100+'Inputs'!$H$112/100*'Inputs'!$C$120/100*X83))-IF('Needs years'!$C$291=1,'Inputs'!$H$108/100,0))</f>
      </c>
      <c r="Y84">
        <f>('Inputs'!$C$122/100*(1-('Inputs'!$H$110/100*Y83+'Inputs'!$H$111/100*'Inputs'!$H$113/100+'Inputs'!$H$112/100*'Inputs'!$C$120/100*Y83))-IF('Needs years'!$C$291=1,'Inputs'!$H$108/100,0))</f>
      </c>
      <c r="Z84">
        <f>('Inputs'!$C$122/100*(1-('Inputs'!$H$110/100*Z83+'Inputs'!$H$111/100*'Inputs'!$H$113/100+'Inputs'!$H$112/100*'Inputs'!$C$120/100*Z83))-IF('Needs years'!$C$291=1,'Inputs'!$H$108/100,0))</f>
      </c>
      <c r="AA84">
        <f>('Inputs'!$C$122/100*(1-('Inputs'!$H$110/100*AA83+'Inputs'!$H$111/100*'Inputs'!$H$113/100+'Inputs'!$H$112/100*'Inputs'!$C$120/100*AA83))-IF('Needs years'!$C$291=1,'Inputs'!$H$108/100,0))</f>
      </c>
      <c r="AB84">
        <f>('Inputs'!$C$122/100*(1-('Inputs'!$H$110/100*AB83+'Inputs'!$H$111/100*'Inputs'!$H$113/100+'Inputs'!$H$112/100*'Inputs'!$C$120/100*AB83))-IF('Needs years'!$C$291=1,'Inputs'!$H$108/100,0))</f>
      </c>
      <c r="AC84">
        <f>('Inputs'!$C$122/100*(1-('Inputs'!$H$110/100*AC83+'Inputs'!$H$111/100*'Inputs'!$H$113/100+'Inputs'!$H$112/100*'Inputs'!$C$120/100*AC83))-IF('Needs years'!$C$291=1,'Inputs'!$H$108/100,0))</f>
      </c>
      <c r="AD84">
        <f>('Inputs'!$C$122/100*(1-('Inputs'!$H$110/100*AD83+'Inputs'!$H$111/100*'Inputs'!$H$113/100+'Inputs'!$H$112/100*'Inputs'!$C$120/100*AD83))-IF('Needs years'!$C$291=1,'Inputs'!$H$108/100,0))</f>
      </c>
      <c r="AE84">
        <f>('Inputs'!$C$122/100*(1-('Inputs'!$H$110/100*AE83+'Inputs'!$H$111/100*'Inputs'!$H$113/100+'Inputs'!$H$112/100*'Inputs'!$C$120/100*AE83))-IF('Needs years'!$C$291=1,'Inputs'!$H$108/100,0))</f>
      </c>
      <c r="AF84">
        <f>('Inputs'!$C$122/100*(1-('Inputs'!$H$110/100*AF83+'Inputs'!$H$111/100*'Inputs'!$H$113/100+'Inputs'!$H$112/100*'Inputs'!$C$120/100*AF83))-IF('Needs years'!$C$291=1,'Inputs'!$H$108/100,0))</f>
      </c>
      <c r="AG84">
        <f>('Inputs'!$C$122/100*(1-('Inputs'!$H$110/100*AG83+'Inputs'!$H$111/100*'Inputs'!$H$113/100+'Inputs'!$H$112/100*'Inputs'!$C$120/100*AG83))-IF('Needs years'!$C$291=1,'Inputs'!$H$108/100,0))</f>
      </c>
      <c r="AH84">
        <f>('Inputs'!$C$122/100*(1-('Inputs'!$H$110/100*AH83+'Inputs'!$H$111/100*'Inputs'!$H$113/100+'Inputs'!$H$112/100*'Inputs'!$C$120/100*AH83))-IF('Needs years'!$C$291=1,'Inputs'!$H$108/100,0))</f>
      </c>
      <c r="AI84">
        <f>('Inputs'!$C$122/100*(1-('Inputs'!$H$110/100*AI83+'Inputs'!$H$111/100*'Inputs'!$H$113/100+'Inputs'!$H$112/100*'Inputs'!$C$120/100*AI83))-IF('Needs years'!$C$291=1,'Inputs'!$H$108/100,0))</f>
      </c>
      <c r="AJ84">
        <f>('Inputs'!$C$122/100*(1-('Inputs'!$H$110/100*AJ83+'Inputs'!$H$111/100*'Inputs'!$H$113/100+'Inputs'!$H$112/100*'Inputs'!$C$120/100*AJ83))-IF('Needs years'!$C$291=1,'Inputs'!$H$108/100,0))</f>
      </c>
      <c r="AK84">
        <f>('Inputs'!$C$122/100*(1-('Inputs'!$H$110/100*AK83+'Inputs'!$H$111/100*'Inputs'!$H$113/100+'Inputs'!$H$112/100*'Inputs'!$C$120/100*AK83))-IF('Needs years'!$C$291=1,'Inputs'!$H$108/100,0))</f>
      </c>
      <c r="AM84">
        <f>('Inputs'!$C$122/100*(1-('Inputs'!$H$110/100*AM83+'Inputs'!$H$111/100*'Inputs'!$H$113/100+'Inputs'!$H$112/100*'Inputs'!$C$120/100*AM83))-IF('Needs years'!$C$291=1,'Inputs'!$H$108/100,0))</f>
      </c>
      <c r="AN84">
        <f>('Inputs'!$C$122/100*(1-('Inputs'!$H$110/100*AN83+'Inputs'!$H$111/100*'Inputs'!$H$113/100+'Inputs'!$H$112/100*'Inputs'!$C$120/100*AN83))-IF('Needs years'!$C$291=1,'Inputs'!$H$108/100,0))</f>
      </c>
      <c r="AO84">
        <f>('Inputs'!$C$122/100*(1-('Inputs'!$H$110/100*AO83+'Inputs'!$H$111/100*'Inputs'!$H$113/100+'Inputs'!$H$112/100*'Inputs'!$C$120/100*AO83))-IF('Needs years'!$C$291=1,'Inputs'!$H$108/100,0))</f>
      </c>
      <c r="AP84">
        <f>('Inputs'!$C$122/100*(1-('Inputs'!$H$110/100*AP83+'Inputs'!$H$111/100*'Inputs'!$H$113/100+'Inputs'!$H$112/100*'Inputs'!$C$120/100*AP83))-IF('Needs years'!$C$291=1,'Inputs'!$H$108/100,0))</f>
      </c>
      <c r="AQ84">
        <f>('Inputs'!$C$122/100*(1-('Inputs'!$H$110/100*AQ83+'Inputs'!$H$111/100*'Inputs'!$H$113/100+'Inputs'!$H$112/100*'Inputs'!$C$120/100*AQ83))-IF('Needs years'!$C$291=1,'Inputs'!$H$108/100,0))</f>
      </c>
      <c r="AR84">
        <f>('Inputs'!$C$122/100*(1-('Inputs'!$H$110/100*AR83+'Inputs'!$H$111/100*'Inputs'!$H$113/100+'Inputs'!$H$112/100*'Inputs'!$C$120/100*AR83))-IF('Needs years'!$C$291=1,'Inputs'!$H$108/100,0))</f>
      </c>
      <c r="AS84">
        <f>('Inputs'!$C$122/100*(1-('Inputs'!$H$110/100*AS83+'Inputs'!$H$111/100*'Inputs'!$H$113/100+'Inputs'!$H$112/100*'Inputs'!$C$120/100*AS83))-IF('Needs years'!$C$291=1,'Inputs'!$H$108/100,0))</f>
      </c>
      <c r="AT84">
        <f>('Inputs'!$C$122/100*(1-('Inputs'!$H$110/100*AT83+'Inputs'!$H$111/100*'Inputs'!$H$113/100+'Inputs'!$H$112/100*'Inputs'!$C$120/100*AT83))-IF('Needs years'!$C$291=1,'Inputs'!$H$108/100,0))</f>
      </c>
      <c r="AU84">
        <f>('Inputs'!$C$122/100*(1-('Inputs'!$H$110/100*AU83+'Inputs'!$H$111/100*'Inputs'!$H$113/100+'Inputs'!$H$112/100*'Inputs'!$C$120/100*AU83))-IF('Needs years'!$C$291=1,'Inputs'!$H$108/100,0))</f>
      </c>
      <c r="AV84">
        <f>('Inputs'!$C$122/100*(1-('Inputs'!$H$110/100*AV83+'Inputs'!$H$111/100*'Inputs'!$H$113/100+'Inputs'!$H$112/100*'Inputs'!$C$120/100*AV83))-IF('Needs years'!$C$291=1,'Inputs'!$H$108/100,0))</f>
      </c>
      <c r="AW84">
        <f>('Inputs'!$C$122/100*(1-('Inputs'!$H$110/100*AW83+'Inputs'!$H$111/100*'Inputs'!$H$113/100+'Inputs'!$H$112/100*'Inputs'!$C$120/100*AW83))-IF('Needs years'!$C$291=1,'Inputs'!$H$108/100,0))</f>
      </c>
      <c r="AX84">
        <f>('Inputs'!$C$122/100*(1-('Inputs'!$H$110/100*AX83+'Inputs'!$H$111/100*'Inputs'!$H$113/100+'Inputs'!$H$112/100*'Inputs'!$C$120/100*AX83))-IF('Needs years'!$C$291=1,'Inputs'!$H$108/100,0))</f>
      </c>
      <c r="AY84">
        <f>('Inputs'!$C$122/100*(1-('Inputs'!$H$110/100*AY83+'Inputs'!$H$111/100*'Inputs'!$H$113/100+'Inputs'!$H$112/100*'Inputs'!$C$120/100*AY83))-IF('Needs years'!$C$291=1,'Inputs'!$H$108/100,0))</f>
      </c>
      <c r="AZ84">
        <f>('Inputs'!$C$122/100*(1-('Inputs'!$H$110/100*AZ83+'Inputs'!$H$111/100*'Inputs'!$H$113/100+'Inputs'!$H$112/100*'Inputs'!$C$120/100*AZ83))-IF('Needs years'!$C$291=1,'Inputs'!$H$108/100,0))</f>
      </c>
      <c r="BA84">
        <f>('Inputs'!$C$122/100*(1-('Inputs'!$H$110/100*BA83+'Inputs'!$H$111/100*'Inputs'!$H$113/100+'Inputs'!$H$112/100*'Inputs'!$C$120/100*BA83))-IF('Needs years'!$C$291=1,'Inputs'!$H$108/100,0))</f>
      </c>
      <c r="BB84">
        <f>('Inputs'!$C$122/100*(1-('Inputs'!$H$110/100*BB83+'Inputs'!$H$111/100*'Inputs'!$H$113/100+'Inputs'!$H$112/100*'Inputs'!$C$120/100*BB83))-IF('Needs years'!$C$291=1,'Inputs'!$H$108/100,0))</f>
      </c>
      <c r="BD84">
        <f>('Inputs'!$C$122/100*(1-('Inputs'!$H$110/100*BD83+'Inputs'!$H$111/100*'Inputs'!$H$113/100+'Inputs'!$H$112/100*'Inputs'!$C$120/100*BD83))-IF('Needs years'!$C$291=1,'Inputs'!$H$108/100,0))</f>
      </c>
      <c r="BE84">
        <f>('Inputs'!$C$122/100*(1-('Inputs'!$H$110/100*BE83+'Inputs'!$H$111/100*'Inputs'!$H$113/100+'Inputs'!$H$112/100*'Inputs'!$C$120/100*BE83))-IF('Needs years'!$C$291=1,'Inputs'!$H$108/100,0))</f>
      </c>
      <c r="BF84">
        <f>('Inputs'!$C$122/100*(1-('Inputs'!$H$110/100*BF83+'Inputs'!$H$111/100*'Inputs'!$H$113/100+'Inputs'!$H$112/100*'Inputs'!$C$120/100*BF83))-IF('Needs years'!$C$291=1,'Inputs'!$H$108/100,0))</f>
      </c>
      <c r="BG84">
        <f>('Inputs'!$C$122/100*(1-('Inputs'!$H$110/100*BG83+'Inputs'!$H$111/100*'Inputs'!$H$113/100+'Inputs'!$H$112/100*'Inputs'!$C$120/100*BG83))-IF('Needs years'!$C$291=1,'Inputs'!$H$108/100,0))</f>
      </c>
      <c r="BH84">
        <f>('Inputs'!$C$122/100*(1-('Inputs'!$H$110/100*BH83+'Inputs'!$H$111/100*'Inputs'!$H$113/100+'Inputs'!$H$112/100*'Inputs'!$C$120/100*BH83))-IF('Needs years'!$C$291=1,'Inputs'!$H$108/100,0))</f>
      </c>
      <c r="BI84">
        <f>('Inputs'!$C$122/100*(1-('Inputs'!$H$110/100*BI83+'Inputs'!$H$111/100*'Inputs'!$H$113/100+'Inputs'!$H$112/100*'Inputs'!$C$120/100*BI83))-IF('Needs years'!$C$291=1,'Inputs'!$H$108/100,0))</f>
      </c>
      <c r="BJ84">
        <f>('Inputs'!$C$122/100*(1-('Inputs'!$H$110/100*BJ83+'Inputs'!$H$111/100*'Inputs'!$H$113/100+'Inputs'!$H$112/100*'Inputs'!$C$120/100*BJ83))-IF('Needs years'!$C$291=1,'Inputs'!$H$108/100,0))</f>
      </c>
      <c r="BK84">
        <f>('Inputs'!$C$122/100*(1-('Inputs'!$H$110/100*BK83+'Inputs'!$H$111/100*'Inputs'!$H$113/100+'Inputs'!$H$112/100*'Inputs'!$C$120/100*BK83))-IF('Needs years'!$C$291=1,'Inputs'!$H$108/100,0))</f>
      </c>
      <c r="BL84">
        <f>('Inputs'!$C$122/100*(1-('Inputs'!$H$110/100*BL83+'Inputs'!$H$111/100*'Inputs'!$H$113/100+'Inputs'!$H$112/100*'Inputs'!$C$120/100*BL83))-IF('Needs years'!$C$291=1,'Inputs'!$H$108/100,0))</f>
      </c>
      <c r="BM84">
        <f>('Inputs'!$C$122/100*(1-('Inputs'!$H$110/100*BM83+'Inputs'!$H$111/100*'Inputs'!$H$113/100+'Inputs'!$H$112/100*'Inputs'!$C$120/100*BM83))-IF('Needs years'!$C$291=1,'Inputs'!$H$108/100,0))</f>
      </c>
      <c r="BN84">
        <f>('Inputs'!$C$122/100*(1-('Inputs'!$H$110/100*BN83+'Inputs'!$H$111/100*'Inputs'!$H$113/100+'Inputs'!$H$112/100*'Inputs'!$C$120/100*BN83))-IF('Needs years'!$C$291=1,'Inputs'!$H$108/100,0))</f>
      </c>
      <c r="BO84">
        <f>('Inputs'!$C$122/100*(1-('Inputs'!$H$110/100*BO83+'Inputs'!$H$111/100*'Inputs'!$H$113/100+'Inputs'!$H$112/100*'Inputs'!$C$120/100*BO83))-IF('Needs years'!$C$291=1,'Inputs'!$H$108/100,0))</f>
      </c>
      <c r="BP84">
        <f>('Inputs'!$C$122/100*(1-('Inputs'!$H$110/100*BP83+'Inputs'!$H$111/100*'Inputs'!$H$113/100+'Inputs'!$H$112/100*'Inputs'!$C$120/100*BP83))-IF('Needs years'!$C$291=1,'Inputs'!$H$108/100,0))</f>
      </c>
      <c r="BQ84">
        <f>('Inputs'!$C$122/100*(1-('Inputs'!$H$110/100*BQ83+'Inputs'!$H$111/100*'Inputs'!$H$113/100+'Inputs'!$H$112/100*'Inputs'!$C$120/100*BQ83))-IF('Needs years'!$C$291=1,'Inputs'!$H$108/100,0))</f>
      </c>
      <c r="BR84">
        <f>('Inputs'!$C$122/100*(1-('Inputs'!$H$110/100*BR83+'Inputs'!$H$111/100*'Inputs'!$H$113/100+'Inputs'!$H$112/100*'Inputs'!$C$120/100*BR83))-IF('Needs years'!$C$291=1,'Inputs'!$H$108/100,0))</f>
      </c>
      <c r="BS84">
        <f>('Inputs'!$C$122/100*(1-('Inputs'!$H$110/100*BS83+'Inputs'!$H$111/100*'Inputs'!$H$113/100+'Inputs'!$H$112/100*'Inputs'!$C$120/100*BS83))-IF('Needs years'!$C$291=1,'Inputs'!$H$108/100,0))</f>
      </c>
    </row>
    <row r="85" spans="2:71" x14ac:dyDescent="0.25">
      <c r="B85" t="s">
        <v>404</v>
      </c>
      <c r="C85">
        <f>IF('Inputs'!$B$94="",0,IF(AND(C4=1,'Inputs'!$Q$94=1),'Needs years'!$C$294,ROUND(IF(C84=0,SUM('Needs years'!$O$284:$O$333),(1-(1+C84)^-1)/(1-(1+C84)^(-1/12))/12*SUMPRODUCT('Needs years'!$O$284:$O$333,(1+C84)^(-'Needs years'!$I$284:$I$333))),2)))</f>
      </c>
      <c r="E85">
        <f>IF('Inputs'!$B$94="",0,IF(AND(E4=1,'Inputs'!$Q$94=1),'Needs years'!$C$294,ROUND(IF(E84=0,SUM('Needs years'!$O$284:$O$333),(1-(1+E84)^-1)/(1-(1+E84)^(-1/12))/12*SUMPRODUCT('Needs years'!$O$284:$O$333,(1+E84)^(-'Needs years'!$I$284:$I$333))),2)))</f>
      </c>
      <c r="F85">
        <f>IF('Inputs'!$B$94="",0,IF(AND(F4=1,'Inputs'!$Q$94=1),'Needs years'!$C$294,ROUND(IF(F84=0,SUM('Needs years'!$O$284:$O$333),(1-(1+F84)^-1)/(1-(1+F84)^(-1/12))/12*SUMPRODUCT('Needs years'!$O$284:$O$333,(1+F84)^(-'Needs years'!$I$284:$I$333))),2)))</f>
      </c>
      <c r="G85">
        <f>IF('Inputs'!$B$94="",0,IF(AND(G4=1,'Inputs'!$Q$94=1),'Needs years'!$C$294,ROUND(IF(G84=0,SUM('Needs years'!$O$284:$O$333),(1-(1+G84)^-1)/(1-(1+G84)^(-1/12))/12*SUMPRODUCT('Needs years'!$O$284:$O$333,(1+G84)^(-'Needs years'!$I$284:$I$333))),2)))</f>
      </c>
      <c r="H85">
        <f>IF('Inputs'!$B$94="",0,IF(AND(H4=1,'Inputs'!$Q$94=1),'Needs years'!$C$294,ROUND(IF(H84=0,SUM('Needs years'!$O$284:$O$333),(1-(1+H84)^-1)/(1-(1+H84)^(-1/12))/12*SUMPRODUCT('Needs years'!$O$284:$O$333,(1+H84)^(-'Needs years'!$I$284:$I$333))),2)))</f>
      </c>
      <c r="I85">
        <f>IF('Inputs'!$B$94="",0,IF(AND(I4=1,'Inputs'!$Q$94=1),'Needs years'!$C$294,ROUND(IF(I84=0,SUM('Needs years'!$O$284:$O$333),(1-(1+I84)^-1)/(1-(1+I84)^(-1/12))/12*SUMPRODUCT('Needs years'!$O$284:$O$333,(1+I84)^(-'Needs years'!$I$284:$I$333))),2)))</f>
      </c>
      <c r="J85">
        <f>IF('Inputs'!$B$94="",0,IF(AND(J4=1,'Inputs'!$Q$94=1),'Needs years'!$C$294,ROUND(IF(J84=0,SUM('Needs years'!$O$284:$O$333),(1-(1+J84)^-1)/(1-(1+J84)^(-1/12))/12*SUMPRODUCT('Needs years'!$O$284:$O$333,(1+J84)^(-'Needs years'!$I$284:$I$333))),2)))</f>
      </c>
      <c r="K85">
        <f>IF('Inputs'!$B$94="",0,IF(AND(K4=1,'Inputs'!$Q$94=1),'Needs years'!$C$294,ROUND(IF(K84=0,SUM('Needs years'!$O$284:$O$333),(1-(1+K84)^-1)/(1-(1+K84)^(-1/12))/12*SUMPRODUCT('Needs years'!$O$284:$O$333,(1+K84)^(-'Needs years'!$I$284:$I$333))),2)))</f>
      </c>
      <c r="L85">
        <f>IF('Inputs'!$B$94="",0,IF(AND(L4=1,'Inputs'!$Q$94=1),'Needs years'!$C$294,ROUND(IF(L84=0,SUM('Needs years'!$O$284:$O$333),(1-(1+L84)^-1)/(1-(1+L84)^(-1/12))/12*SUMPRODUCT('Needs years'!$O$284:$O$333,(1+L84)^(-'Needs years'!$I$284:$I$333))),2)))</f>
      </c>
      <c r="M85">
        <f>IF('Inputs'!$B$94="",0,IF(AND(M4=1,'Inputs'!$Q$94=1),'Needs years'!$C$294,ROUND(IF(M84=0,SUM('Needs years'!$O$284:$O$333),(1-(1+M84)^-1)/(1-(1+M84)^(-1/12))/12*SUMPRODUCT('Needs years'!$O$284:$O$333,(1+M84)^(-'Needs years'!$I$284:$I$333))),2)))</f>
      </c>
      <c r="N85">
        <f>IF('Inputs'!$B$94="",0,IF(AND(N4=1,'Inputs'!$Q$94=1),'Needs years'!$C$294,ROUND(IF(N84=0,SUM('Needs years'!$O$284:$O$333),(1-(1+N84)^-1)/(1-(1+N84)^(-1/12))/12*SUMPRODUCT('Needs years'!$O$284:$O$333,(1+N84)^(-'Needs years'!$I$284:$I$333))),2)))</f>
      </c>
      <c r="O85">
        <f>IF('Inputs'!$B$94="",0,IF(AND(O4=1,'Inputs'!$Q$94=1),'Needs years'!$C$294,ROUND(IF(O84=0,SUM('Needs years'!$O$284:$O$333),(1-(1+O84)^-1)/(1-(1+O84)^(-1/12))/12*SUMPRODUCT('Needs years'!$O$284:$O$333,(1+O84)^(-'Needs years'!$I$284:$I$333))),2)))</f>
      </c>
      <c r="P85">
        <f>IF('Inputs'!$B$94="",0,IF(AND(P4=1,'Inputs'!$Q$94=1),'Needs years'!$C$294,ROUND(IF(P84=0,SUM('Needs years'!$O$284:$O$333),(1-(1+P84)^-1)/(1-(1+P84)^(-1/12))/12*SUMPRODUCT('Needs years'!$O$284:$O$333,(1+P84)^(-'Needs years'!$I$284:$I$333))),2)))</f>
      </c>
      <c r="Q85">
        <f>IF('Inputs'!$B$94="",0,IF(AND(Q4=1,'Inputs'!$Q$94=1),'Needs years'!$C$294,ROUND(IF(Q84=0,SUM('Needs years'!$O$284:$O$333),(1-(1+Q84)^-1)/(1-(1+Q84)^(-1/12))/12*SUMPRODUCT('Needs years'!$O$284:$O$333,(1+Q84)^(-'Needs years'!$I$284:$I$333))),2)))</f>
      </c>
      <c r="R85">
        <f>IF('Inputs'!$B$94="",0,IF(AND(R4=1,'Inputs'!$Q$94=1),'Needs years'!$C$294,ROUND(IF(R84=0,SUM('Needs years'!$O$284:$O$333),(1-(1+R84)^-1)/(1-(1+R84)^(-1/12))/12*SUMPRODUCT('Needs years'!$O$284:$O$333,(1+R84)^(-'Needs years'!$I$284:$I$333))),2)))</f>
      </c>
      <c r="S85">
        <f>IF('Inputs'!$B$94="",0,IF(AND(S4=1,'Inputs'!$Q$94=1),'Needs years'!$C$294,ROUND(IF(S84=0,SUM('Needs years'!$O$284:$O$333),(1-(1+S84)^-1)/(1-(1+S84)^(-1/12))/12*SUMPRODUCT('Needs years'!$O$284:$O$333,(1+S84)^(-'Needs years'!$I$284:$I$333))),2)))</f>
      </c>
      <c r="T85">
        <f>IF('Inputs'!$B$94="",0,IF(AND(T4=1,'Inputs'!$Q$94=1),'Needs years'!$C$294,ROUND(IF(T84=0,SUM('Needs years'!$O$284:$O$333),(1-(1+T84)^-1)/(1-(1+T84)^(-1/12))/12*SUMPRODUCT('Needs years'!$O$284:$O$333,(1+T84)^(-'Needs years'!$I$284:$I$333))),2)))</f>
      </c>
      <c r="V85">
        <f>IF('Inputs'!$B$94="",0,IF(AND(V4=1,'Inputs'!$Q$94=1),'Needs years'!$C$294,ROUND(IF(V84=0,SUM('Needs years'!$O$284:$O$333),(1-(1+V84)^-1)/(1-(1+V84)^(-1/12))/12*SUMPRODUCT('Needs years'!$O$284:$O$333,(1+V84)^(-'Needs years'!$I$284:$I$333))),2)))</f>
      </c>
      <c r="W85">
        <f>IF('Inputs'!$B$94="",0,IF(AND(W4=1,'Inputs'!$Q$94=1),'Needs years'!$C$294,ROUND(IF(W84=0,SUM('Needs years'!$O$284:$O$333),(1-(1+W84)^-1)/(1-(1+W84)^(-1/12))/12*SUMPRODUCT('Needs years'!$O$284:$O$333,(1+W84)^(-'Needs years'!$I$284:$I$333))),2)))</f>
      </c>
      <c r="X85">
        <f>IF('Inputs'!$B$94="",0,IF(AND(X4=1,'Inputs'!$Q$94=1),'Needs years'!$C$294,ROUND(IF(X84=0,SUM('Needs years'!$O$284:$O$333),(1-(1+X84)^-1)/(1-(1+X84)^(-1/12))/12*SUMPRODUCT('Needs years'!$O$284:$O$333,(1+X84)^(-'Needs years'!$I$284:$I$333))),2)))</f>
      </c>
      <c r="Y85">
        <f>IF('Inputs'!$B$94="",0,IF(AND(Y4=1,'Inputs'!$Q$94=1),'Needs years'!$C$294,ROUND(IF(Y84=0,SUM('Needs years'!$O$284:$O$333),(1-(1+Y84)^-1)/(1-(1+Y84)^(-1/12))/12*SUMPRODUCT('Needs years'!$O$284:$O$333,(1+Y84)^(-'Needs years'!$I$284:$I$333))),2)))</f>
      </c>
      <c r="Z85">
        <f>IF('Inputs'!$B$94="",0,IF(AND(Z4=1,'Inputs'!$Q$94=1),'Needs years'!$C$294,ROUND(IF(Z84=0,SUM('Needs years'!$O$284:$O$333),(1-(1+Z84)^-1)/(1-(1+Z84)^(-1/12))/12*SUMPRODUCT('Needs years'!$O$284:$O$333,(1+Z84)^(-'Needs years'!$I$284:$I$333))),2)))</f>
      </c>
      <c r="AA85">
        <f>IF('Inputs'!$B$94="",0,IF(AND(AA4=1,'Inputs'!$Q$94=1),'Needs years'!$C$294,ROUND(IF(AA84=0,SUM('Needs years'!$O$284:$O$333),(1-(1+AA84)^-1)/(1-(1+AA84)^(-1/12))/12*SUMPRODUCT('Needs years'!$O$284:$O$333,(1+AA84)^(-'Needs years'!$I$284:$I$333))),2)))</f>
      </c>
      <c r="AB85">
        <f>IF('Inputs'!$B$94="",0,IF(AND(AB4=1,'Inputs'!$Q$94=1),'Needs years'!$C$294,ROUND(IF(AB84=0,SUM('Needs years'!$O$284:$O$333),(1-(1+AB84)^-1)/(1-(1+AB84)^(-1/12))/12*SUMPRODUCT('Needs years'!$O$284:$O$333,(1+AB84)^(-'Needs years'!$I$284:$I$333))),2)))</f>
      </c>
      <c r="AC85">
        <f>IF('Inputs'!$B$94="",0,IF(AND(AC4=1,'Inputs'!$Q$94=1),'Needs years'!$C$294,ROUND(IF(AC84=0,SUM('Needs years'!$O$284:$O$333),(1-(1+AC84)^-1)/(1-(1+AC84)^(-1/12))/12*SUMPRODUCT('Needs years'!$O$284:$O$333,(1+AC84)^(-'Needs years'!$I$284:$I$333))),2)))</f>
      </c>
      <c r="AD85">
        <f>IF('Inputs'!$B$94="",0,IF(AND(AD4=1,'Inputs'!$Q$94=1),'Needs years'!$C$294,ROUND(IF(AD84=0,SUM('Needs years'!$O$284:$O$333),(1-(1+AD84)^-1)/(1-(1+AD84)^(-1/12))/12*SUMPRODUCT('Needs years'!$O$284:$O$333,(1+AD84)^(-'Needs years'!$I$284:$I$333))),2)))</f>
      </c>
      <c r="AE85">
        <f>IF('Inputs'!$B$94="",0,IF(AND(AE4=1,'Inputs'!$Q$94=1),'Needs years'!$C$294,ROUND(IF(AE84=0,SUM('Needs years'!$O$284:$O$333),(1-(1+AE84)^-1)/(1-(1+AE84)^(-1/12))/12*SUMPRODUCT('Needs years'!$O$284:$O$333,(1+AE84)^(-'Needs years'!$I$284:$I$333))),2)))</f>
      </c>
      <c r="AF85">
        <f>IF('Inputs'!$B$94="",0,IF(AND(AF4=1,'Inputs'!$Q$94=1),'Needs years'!$C$294,ROUND(IF(AF84=0,SUM('Needs years'!$O$284:$O$333),(1-(1+AF84)^-1)/(1-(1+AF84)^(-1/12))/12*SUMPRODUCT('Needs years'!$O$284:$O$333,(1+AF84)^(-'Needs years'!$I$284:$I$333))),2)))</f>
      </c>
      <c r="AG85">
        <f>IF('Inputs'!$B$94="",0,IF(AND(AG4=1,'Inputs'!$Q$94=1),'Needs years'!$C$294,ROUND(IF(AG84=0,SUM('Needs years'!$O$284:$O$333),(1-(1+AG84)^-1)/(1-(1+AG84)^(-1/12))/12*SUMPRODUCT('Needs years'!$O$284:$O$333,(1+AG84)^(-'Needs years'!$I$284:$I$333))),2)))</f>
      </c>
      <c r="AH85">
        <f>IF('Inputs'!$B$94="",0,IF(AND(AH4=1,'Inputs'!$Q$94=1),'Needs years'!$C$294,ROUND(IF(AH84=0,SUM('Needs years'!$O$284:$O$333),(1-(1+AH84)^-1)/(1-(1+AH84)^(-1/12))/12*SUMPRODUCT('Needs years'!$O$284:$O$333,(1+AH84)^(-'Needs years'!$I$284:$I$333))),2)))</f>
      </c>
      <c r="AI85">
        <f>IF('Inputs'!$B$94="",0,IF(AND(AI4=1,'Inputs'!$Q$94=1),'Needs years'!$C$294,ROUND(IF(AI84=0,SUM('Needs years'!$O$284:$O$333),(1-(1+AI84)^-1)/(1-(1+AI84)^(-1/12))/12*SUMPRODUCT('Needs years'!$O$284:$O$333,(1+AI84)^(-'Needs years'!$I$284:$I$333))),2)))</f>
      </c>
      <c r="AJ85">
        <f>IF('Inputs'!$B$94="",0,IF(AND(AJ4=1,'Inputs'!$Q$94=1),'Needs years'!$C$294,ROUND(IF(AJ84=0,SUM('Needs years'!$O$284:$O$333),(1-(1+AJ84)^-1)/(1-(1+AJ84)^(-1/12))/12*SUMPRODUCT('Needs years'!$O$284:$O$333,(1+AJ84)^(-'Needs years'!$I$284:$I$333))),2)))</f>
      </c>
      <c r="AK85">
        <f>IF('Inputs'!$B$94="",0,IF(AND(AK4=1,'Inputs'!$Q$94=1),'Needs years'!$C$294,ROUND(IF(AK84=0,SUM('Needs years'!$O$284:$O$333),(1-(1+AK84)^-1)/(1-(1+AK84)^(-1/12))/12*SUMPRODUCT('Needs years'!$O$284:$O$333,(1+AK84)^(-'Needs years'!$I$284:$I$333))),2)))</f>
      </c>
      <c r="AM85">
        <f>IF('Inputs'!$B$94="",0,IF(AND(AM4=1,'Inputs'!$Q$94=1),'Needs years'!$C$294,ROUND(IF(AM84=0,SUM('Needs years'!$O$284:$O$333),(1-(1+AM84)^-1)/(1-(1+AM84)^(-1/12))/12*SUMPRODUCT('Needs years'!$O$284:$O$333,(1+AM84)^(-'Needs years'!$I$284:$I$333))),2)))</f>
      </c>
      <c r="AN85">
        <f>IF('Inputs'!$B$94="",0,IF(AND(AN4=1,'Inputs'!$Q$94=1),'Needs years'!$C$294,ROUND(IF(AN84=0,SUM('Needs years'!$O$284:$O$333),(1-(1+AN84)^-1)/(1-(1+AN84)^(-1/12))/12*SUMPRODUCT('Needs years'!$O$284:$O$333,(1+AN84)^(-'Needs years'!$I$284:$I$333))),2)))</f>
      </c>
      <c r="AO85">
        <f>IF('Inputs'!$B$94="",0,IF(AND(AO4=1,'Inputs'!$Q$94=1),'Needs years'!$C$294,ROUND(IF(AO84=0,SUM('Needs years'!$O$284:$O$333),(1-(1+AO84)^-1)/(1-(1+AO84)^(-1/12))/12*SUMPRODUCT('Needs years'!$O$284:$O$333,(1+AO84)^(-'Needs years'!$I$284:$I$333))),2)))</f>
      </c>
      <c r="AP85">
        <f>IF('Inputs'!$B$94="",0,IF(AND(AP4=1,'Inputs'!$Q$94=1),'Needs years'!$C$294,ROUND(IF(AP84=0,SUM('Needs years'!$O$284:$O$333),(1-(1+AP84)^-1)/(1-(1+AP84)^(-1/12))/12*SUMPRODUCT('Needs years'!$O$284:$O$333,(1+AP84)^(-'Needs years'!$I$284:$I$333))),2)))</f>
      </c>
      <c r="AQ85">
        <f>IF('Inputs'!$B$94="",0,IF(AND(AQ4=1,'Inputs'!$Q$94=1),'Needs years'!$C$294,ROUND(IF(AQ84=0,SUM('Needs years'!$O$284:$O$333),(1-(1+AQ84)^-1)/(1-(1+AQ84)^(-1/12))/12*SUMPRODUCT('Needs years'!$O$284:$O$333,(1+AQ84)^(-'Needs years'!$I$284:$I$333))),2)))</f>
      </c>
      <c r="AR85">
        <f>IF('Inputs'!$B$94="",0,IF(AND(AR4=1,'Inputs'!$Q$94=1),'Needs years'!$C$294,ROUND(IF(AR84=0,SUM('Needs years'!$O$284:$O$333),(1-(1+AR84)^-1)/(1-(1+AR84)^(-1/12))/12*SUMPRODUCT('Needs years'!$O$284:$O$333,(1+AR84)^(-'Needs years'!$I$284:$I$333))),2)))</f>
      </c>
      <c r="AS85">
        <f>IF('Inputs'!$B$94="",0,IF(AND(AS4=1,'Inputs'!$Q$94=1),'Needs years'!$C$294,ROUND(IF(AS84=0,SUM('Needs years'!$O$284:$O$333),(1-(1+AS84)^-1)/(1-(1+AS84)^(-1/12))/12*SUMPRODUCT('Needs years'!$O$284:$O$333,(1+AS84)^(-'Needs years'!$I$284:$I$333))),2)))</f>
      </c>
      <c r="AT85">
        <f>IF('Inputs'!$B$94="",0,IF(AND(AT4=1,'Inputs'!$Q$94=1),'Needs years'!$C$294,ROUND(IF(AT84=0,SUM('Needs years'!$O$284:$O$333),(1-(1+AT84)^-1)/(1-(1+AT84)^(-1/12))/12*SUMPRODUCT('Needs years'!$O$284:$O$333,(1+AT84)^(-'Needs years'!$I$284:$I$333))),2)))</f>
      </c>
      <c r="AU85">
        <f>IF('Inputs'!$B$94="",0,IF(AND(AU4=1,'Inputs'!$Q$94=1),'Needs years'!$C$294,ROUND(IF(AU84=0,SUM('Needs years'!$O$284:$O$333),(1-(1+AU84)^-1)/(1-(1+AU84)^(-1/12))/12*SUMPRODUCT('Needs years'!$O$284:$O$333,(1+AU84)^(-'Needs years'!$I$284:$I$333))),2)))</f>
      </c>
      <c r="AV85">
        <f>IF('Inputs'!$B$94="",0,IF(AND(AV4=1,'Inputs'!$Q$94=1),'Needs years'!$C$294,ROUND(IF(AV84=0,SUM('Needs years'!$O$284:$O$333),(1-(1+AV84)^-1)/(1-(1+AV84)^(-1/12))/12*SUMPRODUCT('Needs years'!$O$284:$O$333,(1+AV84)^(-'Needs years'!$I$284:$I$333))),2)))</f>
      </c>
      <c r="AW85">
        <f>IF('Inputs'!$B$94="",0,IF(AND(AW4=1,'Inputs'!$Q$94=1),'Needs years'!$C$294,ROUND(IF(AW84=0,SUM('Needs years'!$O$284:$O$333),(1-(1+AW84)^-1)/(1-(1+AW84)^(-1/12))/12*SUMPRODUCT('Needs years'!$O$284:$O$333,(1+AW84)^(-'Needs years'!$I$284:$I$333))),2)))</f>
      </c>
      <c r="AX85">
        <f>IF('Inputs'!$B$94="",0,IF(AND(AX4=1,'Inputs'!$Q$94=1),'Needs years'!$C$294,ROUND(IF(AX84=0,SUM('Needs years'!$O$284:$O$333),(1-(1+AX84)^-1)/(1-(1+AX84)^(-1/12))/12*SUMPRODUCT('Needs years'!$O$284:$O$333,(1+AX84)^(-'Needs years'!$I$284:$I$333))),2)))</f>
      </c>
      <c r="AY85">
        <f>IF('Inputs'!$B$94="",0,IF(AND(AY4=1,'Inputs'!$Q$94=1),'Needs years'!$C$294,ROUND(IF(AY84=0,SUM('Needs years'!$O$284:$O$333),(1-(1+AY84)^-1)/(1-(1+AY84)^(-1/12))/12*SUMPRODUCT('Needs years'!$O$284:$O$333,(1+AY84)^(-'Needs years'!$I$284:$I$333))),2)))</f>
      </c>
      <c r="AZ85">
        <f>IF('Inputs'!$B$94="",0,IF(AND(AZ4=1,'Inputs'!$Q$94=1),'Needs years'!$C$294,ROUND(IF(AZ84=0,SUM('Needs years'!$O$284:$O$333),(1-(1+AZ84)^-1)/(1-(1+AZ84)^(-1/12))/12*SUMPRODUCT('Needs years'!$O$284:$O$333,(1+AZ84)^(-'Needs years'!$I$284:$I$333))),2)))</f>
      </c>
      <c r="BA85">
        <f>IF('Inputs'!$B$94="",0,IF(AND(BA4=1,'Inputs'!$Q$94=1),'Needs years'!$C$294,ROUND(IF(BA84=0,SUM('Needs years'!$O$284:$O$333),(1-(1+BA84)^-1)/(1-(1+BA84)^(-1/12))/12*SUMPRODUCT('Needs years'!$O$284:$O$333,(1+BA84)^(-'Needs years'!$I$284:$I$333))),2)))</f>
      </c>
      <c r="BB85">
        <f>IF('Inputs'!$B$94="",0,IF(AND(BB4=1,'Inputs'!$Q$94=1),'Needs years'!$C$294,ROUND(IF(BB84=0,SUM('Needs years'!$O$284:$O$333),(1-(1+BB84)^-1)/(1-(1+BB84)^(-1/12))/12*SUMPRODUCT('Needs years'!$O$284:$O$333,(1+BB84)^(-'Needs years'!$I$284:$I$333))),2)))</f>
      </c>
      <c r="BD85">
        <f>IF('Inputs'!$B$94="",0,IF(AND(BD4=1,'Inputs'!$Q$94=1),'Needs years'!$C$294,ROUND(IF(BD84=0,SUM('Needs years'!$O$284:$O$333),(1-(1+BD84)^-1)/(1-(1+BD84)^(-1/12))/12*SUMPRODUCT('Needs years'!$O$284:$O$333,(1+BD84)^(-'Needs years'!$I$284:$I$333))),2)))</f>
      </c>
      <c r="BE85">
        <f>IF('Inputs'!$B$94="",0,IF(AND(BE4=1,'Inputs'!$Q$94=1),'Needs years'!$C$294,ROUND(IF(BE84=0,SUM('Needs years'!$O$284:$O$333),(1-(1+BE84)^-1)/(1-(1+BE84)^(-1/12))/12*SUMPRODUCT('Needs years'!$O$284:$O$333,(1+BE84)^(-'Needs years'!$I$284:$I$333))),2)))</f>
      </c>
      <c r="BF85">
        <f>IF('Inputs'!$B$94="",0,IF(AND(BF4=1,'Inputs'!$Q$94=1),'Needs years'!$C$294,ROUND(IF(BF84=0,SUM('Needs years'!$O$284:$O$333),(1-(1+BF84)^-1)/(1-(1+BF84)^(-1/12))/12*SUMPRODUCT('Needs years'!$O$284:$O$333,(1+BF84)^(-'Needs years'!$I$284:$I$333))),2)))</f>
      </c>
      <c r="BG85">
        <f>IF('Inputs'!$B$94="",0,IF(AND(BG4=1,'Inputs'!$Q$94=1),'Needs years'!$C$294,ROUND(IF(BG84=0,SUM('Needs years'!$O$284:$O$333),(1-(1+BG84)^-1)/(1-(1+BG84)^(-1/12))/12*SUMPRODUCT('Needs years'!$O$284:$O$333,(1+BG84)^(-'Needs years'!$I$284:$I$333))),2)))</f>
      </c>
      <c r="BH85">
        <f>IF('Inputs'!$B$94="",0,IF(AND(BH4=1,'Inputs'!$Q$94=1),'Needs years'!$C$294,ROUND(IF(BH84=0,SUM('Needs years'!$O$284:$O$333),(1-(1+BH84)^-1)/(1-(1+BH84)^(-1/12))/12*SUMPRODUCT('Needs years'!$O$284:$O$333,(1+BH84)^(-'Needs years'!$I$284:$I$333))),2)))</f>
      </c>
      <c r="BI85">
        <f>IF('Inputs'!$B$94="",0,IF(AND(BI4=1,'Inputs'!$Q$94=1),'Needs years'!$C$294,ROUND(IF(BI84=0,SUM('Needs years'!$O$284:$O$333),(1-(1+BI84)^-1)/(1-(1+BI84)^(-1/12))/12*SUMPRODUCT('Needs years'!$O$284:$O$333,(1+BI84)^(-'Needs years'!$I$284:$I$333))),2)))</f>
      </c>
      <c r="BJ85">
        <f>IF('Inputs'!$B$94="",0,IF(AND(BJ4=1,'Inputs'!$Q$94=1),'Needs years'!$C$294,ROUND(IF(BJ84=0,SUM('Needs years'!$O$284:$O$333),(1-(1+BJ84)^-1)/(1-(1+BJ84)^(-1/12))/12*SUMPRODUCT('Needs years'!$O$284:$O$333,(1+BJ84)^(-'Needs years'!$I$284:$I$333))),2)))</f>
      </c>
      <c r="BK85">
        <f>IF('Inputs'!$B$94="",0,IF(AND(BK4=1,'Inputs'!$Q$94=1),'Needs years'!$C$294,ROUND(IF(BK84=0,SUM('Needs years'!$O$284:$O$333),(1-(1+BK84)^-1)/(1-(1+BK84)^(-1/12))/12*SUMPRODUCT('Needs years'!$O$284:$O$333,(1+BK84)^(-'Needs years'!$I$284:$I$333))),2)))</f>
      </c>
      <c r="BL85">
        <f>IF('Inputs'!$B$94="",0,IF(AND(BL4=1,'Inputs'!$Q$94=1),'Needs years'!$C$294,ROUND(IF(BL84=0,SUM('Needs years'!$O$284:$O$333),(1-(1+BL84)^-1)/(1-(1+BL84)^(-1/12))/12*SUMPRODUCT('Needs years'!$O$284:$O$333,(1+BL84)^(-'Needs years'!$I$284:$I$333))),2)))</f>
      </c>
      <c r="BM85">
        <f>IF('Inputs'!$B$94="",0,IF(AND(BM4=1,'Inputs'!$Q$94=1),'Needs years'!$C$294,ROUND(IF(BM84=0,SUM('Needs years'!$O$284:$O$333),(1-(1+BM84)^-1)/(1-(1+BM84)^(-1/12))/12*SUMPRODUCT('Needs years'!$O$284:$O$333,(1+BM84)^(-'Needs years'!$I$284:$I$333))),2)))</f>
      </c>
      <c r="BN85">
        <f>IF('Inputs'!$B$94="",0,IF(AND(BN4=1,'Inputs'!$Q$94=1),'Needs years'!$C$294,ROUND(IF(BN84=0,SUM('Needs years'!$O$284:$O$333),(1-(1+BN84)^-1)/(1-(1+BN84)^(-1/12))/12*SUMPRODUCT('Needs years'!$O$284:$O$333,(1+BN84)^(-'Needs years'!$I$284:$I$333))),2)))</f>
      </c>
      <c r="BO85">
        <f>IF('Inputs'!$B$94="",0,IF(AND(BO4=1,'Inputs'!$Q$94=1),'Needs years'!$C$294,ROUND(IF(BO84=0,SUM('Needs years'!$O$284:$O$333),(1-(1+BO84)^-1)/(1-(1+BO84)^(-1/12))/12*SUMPRODUCT('Needs years'!$O$284:$O$333,(1+BO84)^(-'Needs years'!$I$284:$I$333))),2)))</f>
      </c>
      <c r="BP85">
        <f>IF('Inputs'!$B$94="",0,IF(AND(BP4=1,'Inputs'!$Q$94=1),'Needs years'!$C$294,ROUND(IF(BP84=0,SUM('Needs years'!$O$284:$O$333),(1-(1+BP84)^-1)/(1-(1+BP84)^(-1/12))/12*SUMPRODUCT('Needs years'!$O$284:$O$333,(1+BP84)^(-'Needs years'!$I$284:$I$333))),2)))</f>
      </c>
      <c r="BQ85">
        <f>IF('Inputs'!$B$94="",0,IF(AND(BQ4=1,'Inputs'!$Q$94=1),'Needs years'!$C$294,ROUND(IF(BQ84=0,SUM('Needs years'!$O$284:$O$333),(1-(1+BQ84)^-1)/(1-(1+BQ84)^(-1/12))/12*SUMPRODUCT('Needs years'!$O$284:$O$333,(1+BQ84)^(-'Needs years'!$I$284:$I$333))),2)))</f>
      </c>
      <c r="BR85">
        <f>IF('Inputs'!$B$94="",0,IF(AND(BR4=1,'Inputs'!$Q$94=1),'Needs years'!$C$294,ROUND(IF(BR84=0,SUM('Needs years'!$O$284:$O$333),(1-(1+BR84)^-1)/(1-(1+BR84)^(-1/12))/12*SUMPRODUCT('Needs years'!$O$284:$O$333,(1+BR84)^(-'Needs years'!$I$284:$I$333))),2)))</f>
      </c>
      <c r="BS85">
        <f>IF('Inputs'!$B$94="",0,IF(AND(BS4=1,'Inputs'!$Q$94=1),'Needs years'!$C$294,ROUND(IF(BS84=0,SUM('Needs years'!$O$284:$O$333),(1-(1+BS84)^-1)/(1-(1+BS84)^(-1/12))/12*SUMPRODUCT('Needs years'!$O$284:$O$333,(1+BS84)^(-'Needs years'!$I$284:$I$333))),2)))</f>
      </c>
    </row>
    <row r="86" spans="2:71" x14ac:dyDescent="0.25">
      <c r="B86" t="s">
        <v>405</v>
      </c>
      <c r="C86">
        <f>IF(OR('Inputs'!$B$94="",AND(C4=1,'Inputs'!$Q$94=1)),0,ROUND(C85-C81,2))</f>
      </c>
      <c r="E86">
        <f>IF(OR('Inputs'!$B$94="",AND(E4=1,'Inputs'!$Q$94=1)),0,ROUND(E85-E81,2))</f>
      </c>
      <c r="F86">
        <f>IF(OR('Inputs'!$B$94="",AND(F4=1,'Inputs'!$Q$94=1)),0,ROUND(F85-F81,2))</f>
      </c>
      <c r="G86">
        <f>IF(OR('Inputs'!$B$94="",AND(G4=1,'Inputs'!$Q$94=1)),0,ROUND(G85-G81,2))</f>
      </c>
      <c r="H86">
        <f>IF(OR('Inputs'!$B$94="",AND(H4=1,'Inputs'!$Q$94=1)),0,ROUND(H85-H81,2))</f>
      </c>
      <c r="I86">
        <f>IF(OR('Inputs'!$B$94="",AND(I4=1,'Inputs'!$Q$94=1)),0,ROUND(I85-I81,2))</f>
      </c>
      <c r="J86">
        <f>IF(OR('Inputs'!$B$94="",AND(J4=1,'Inputs'!$Q$94=1)),0,ROUND(J85-J81,2))</f>
      </c>
      <c r="K86">
        <f>IF(OR('Inputs'!$B$94="",AND(K4=1,'Inputs'!$Q$94=1)),0,ROUND(K85-K81,2))</f>
      </c>
      <c r="L86">
        <f>IF(OR('Inputs'!$B$94="",AND(L4=1,'Inputs'!$Q$94=1)),0,ROUND(L85-L81,2))</f>
      </c>
      <c r="M86">
        <f>IF(OR('Inputs'!$B$94="",AND(M4=1,'Inputs'!$Q$94=1)),0,ROUND(M85-M81,2))</f>
      </c>
      <c r="N86">
        <f>IF(OR('Inputs'!$B$94="",AND(N4=1,'Inputs'!$Q$94=1)),0,ROUND(N85-N81,2))</f>
      </c>
      <c r="O86">
        <f>IF(OR('Inputs'!$B$94="",AND(O4=1,'Inputs'!$Q$94=1)),0,ROUND(O85-O81,2))</f>
      </c>
      <c r="P86">
        <f>IF(OR('Inputs'!$B$94="",AND(P4=1,'Inputs'!$Q$94=1)),0,ROUND(P85-P81,2))</f>
      </c>
      <c r="Q86">
        <f>IF(OR('Inputs'!$B$94="",AND(Q4=1,'Inputs'!$Q$94=1)),0,ROUND(Q85-Q81,2))</f>
      </c>
      <c r="R86">
        <f>IF(OR('Inputs'!$B$94="",AND(R4=1,'Inputs'!$Q$94=1)),0,ROUND(R85-R81,2))</f>
      </c>
      <c r="S86">
        <f>IF(OR('Inputs'!$B$94="",AND(S4=1,'Inputs'!$Q$94=1)),0,ROUND(S85-S81,2))</f>
      </c>
      <c r="T86">
        <f>IF(OR('Inputs'!$B$94="",AND(T4=1,'Inputs'!$Q$94=1)),0,ROUND(T85-T81,2))</f>
      </c>
      <c r="V86">
        <f>IF(OR('Inputs'!$B$94="",AND(V4=1,'Inputs'!$Q$94=1)),0,ROUND(V85-V81,2))</f>
      </c>
      <c r="W86">
        <f>IF(OR('Inputs'!$B$94="",AND(W4=1,'Inputs'!$Q$94=1)),0,ROUND(W85-W81,2))</f>
      </c>
      <c r="X86">
        <f>IF(OR('Inputs'!$B$94="",AND(X4=1,'Inputs'!$Q$94=1)),0,ROUND(X85-X81,2))</f>
      </c>
      <c r="Y86">
        <f>IF(OR('Inputs'!$B$94="",AND(Y4=1,'Inputs'!$Q$94=1)),0,ROUND(Y85-Y81,2))</f>
      </c>
      <c r="Z86">
        <f>IF(OR('Inputs'!$B$94="",AND(Z4=1,'Inputs'!$Q$94=1)),0,ROUND(Z85-Z81,2))</f>
      </c>
      <c r="AA86">
        <f>IF(OR('Inputs'!$B$94="",AND(AA4=1,'Inputs'!$Q$94=1)),0,ROUND(AA85-AA81,2))</f>
      </c>
      <c r="AB86">
        <f>IF(OR('Inputs'!$B$94="",AND(AB4=1,'Inputs'!$Q$94=1)),0,ROUND(AB85-AB81,2))</f>
      </c>
      <c r="AC86">
        <f>IF(OR('Inputs'!$B$94="",AND(AC4=1,'Inputs'!$Q$94=1)),0,ROUND(AC85-AC81,2))</f>
      </c>
      <c r="AD86">
        <f>IF(OR('Inputs'!$B$94="",AND(AD4=1,'Inputs'!$Q$94=1)),0,ROUND(AD85-AD81,2))</f>
      </c>
      <c r="AE86">
        <f>IF(OR('Inputs'!$B$94="",AND(AE4=1,'Inputs'!$Q$94=1)),0,ROUND(AE85-AE81,2))</f>
      </c>
      <c r="AF86">
        <f>IF(OR('Inputs'!$B$94="",AND(AF4=1,'Inputs'!$Q$94=1)),0,ROUND(AF85-AF81,2))</f>
      </c>
      <c r="AG86">
        <f>IF(OR('Inputs'!$B$94="",AND(AG4=1,'Inputs'!$Q$94=1)),0,ROUND(AG85-AG81,2))</f>
      </c>
      <c r="AH86">
        <f>IF(OR('Inputs'!$B$94="",AND(AH4=1,'Inputs'!$Q$94=1)),0,ROUND(AH85-AH81,2))</f>
      </c>
      <c r="AI86">
        <f>IF(OR('Inputs'!$B$94="",AND(AI4=1,'Inputs'!$Q$94=1)),0,ROUND(AI85-AI81,2))</f>
      </c>
      <c r="AJ86">
        <f>IF(OR('Inputs'!$B$94="",AND(AJ4=1,'Inputs'!$Q$94=1)),0,ROUND(AJ85-AJ81,2))</f>
      </c>
      <c r="AK86">
        <f>IF(OR('Inputs'!$B$94="",AND(AK4=1,'Inputs'!$Q$94=1)),0,ROUND(AK85-AK81,2))</f>
      </c>
      <c r="AM86">
        <f>IF(OR('Inputs'!$B$94="",AND(AM4=1,'Inputs'!$Q$94=1)),0,ROUND(AM85-AM81,2))</f>
      </c>
      <c r="AN86">
        <f>IF(OR('Inputs'!$B$94="",AND(AN4=1,'Inputs'!$Q$94=1)),0,ROUND(AN85-AN81,2))</f>
      </c>
      <c r="AO86">
        <f>IF(OR('Inputs'!$B$94="",AND(AO4=1,'Inputs'!$Q$94=1)),0,ROUND(AO85-AO81,2))</f>
      </c>
      <c r="AP86">
        <f>IF(OR('Inputs'!$B$94="",AND(AP4=1,'Inputs'!$Q$94=1)),0,ROUND(AP85-AP81,2))</f>
      </c>
      <c r="AQ86">
        <f>IF(OR('Inputs'!$B$94="",AND(AQ4=1,'Inputs'!$Q$94=1)),0,ROUND(AQ85-AQ81,2))</f>
      </c>
      <c r="AR86">
        <f>IF(OR('Inputs'!$B$94="",AND(AR4=1,'Inputs'!$Q$94=1)),0,ROUND(AR85-AR81,2))</f>
      </c>
      <c r="AS86">
        <f>IF(OR('Inputs'!$B$94="",AND(AS4=1,'Inputs'!$Q$94=1)),0,ROUND(AS85-AS81,2))</f>
      </c>
      <c r="AT86">
        <f>IF(OR('Inputs'!$B$94="",AND(AT4=1,'Inputs'!$Q$94=1)),0,ROUND(AT85-AT81,2))</f>
      </c>
      <c r="AU86">
        <f>IF(OR('Inputs'!$B$94="",AND(AU4=1,'Inputs'!$Q$94=1)),0,ROUND(AU85-AU81,2))</f>
      </c>
      <c r="AV86">
        <f>IF(OR('Inputs'!$B$94="",AND(AV4=1,'Inputs'!$Q$94=1)),0,ROUND(AV85-AV81,2))</f>
      </c>
      <c r="AW86">
        <f>IF(OR('Inputs'!$B$94="",AND(AW4=1,'Inputs'!$Q$94=1)),0,ROUND(AW85-AW81,2))</f>
      </c>
      <c r="AX86">
        <f>IF(OR('Inputs'!$B$94="",AND(AX4=1,'Inputs'!$Q$94=1)),0,ROUND(AX85-AX81,2))</f>
      </c>
      <c r="AY86">
        <f>IF(OR('Inputs'!$B$94="",AND(AY4=1,'Inputs'!$Q$94=1)),0,ROUND(AY85-AY81,2))</f>
      </c>
      <c r="AZ86">
        <f>IF(OR('Inputs'!$B$94="",AND(AZ4=1,'Inputs'!$Q$94=1)),0,ROUND(AZ85-AZ81,2))</f>
      </c>
      <c r="BA86">
        <f>IF(OR('Inputs'!$B$94="",AND(BA4=1,'Inputs'!$Q$94=1)),0,ROUND(BA85-BA81,2))</f>
      </c>
      <c r="BB86">
        <f>IF(OR('Inputs'!$B$94="",AND(BB4=1,'Inputs'!$Q$94=1)),0,ROUND(BB85-BB81,2))</f>
      </c>
      <c r="BD86">
        <f>IF(OR('Inputs'!$B$94="",AND(BD4=1,'Inputs'!$Q$94=1)),0,ROUND(BD85-BD81,2))</f>
      </c>
      <c r="BE86">
        <f>IF(OR('Inputs'!$B$94="",AND(BE4=1,'Inputs'!$Q$94=1)),0,ROUND(BE85-BE81,2))</f>
      </c>
      <c r="BF86">
        <f>IF(OR('Inputs'!$B$94="",AND(BF4=1,'Inputs'!$Q$94=1)),0,ROUND(BF85-BF81,2))</f>
      </c>
      <c r="BG86">
        <f>IF(OR('Inputs'!$B$94="",AND(BG4=1,'Inputs'!$Q$94=1)),0,ROUND(BG85-BG81,2))</f>
      </c>
      <c r="BH86">
        <f>IF(OR('Inputs'!$B$94="",AND(BH4=1,'Inputs'!$Q$94=1)),0,ROUND(BH85-BH81,2))</f>
      </c>
      <c r="BI86">
        <f>IF(OR('Inputs'!$B$94="",AND(BI4=1,'Inputs'!$Q$94=1)),0,ROUND(BI85-BI81,2))</f>
      </c>
      <c r="BJ86">
        <f>IF(OR('Inputs'!$B$94="",AND(BJ4=1,'Inputs'!$Q$94=1)),0,ROUND(BJ85-BJ81,2))</f>
      </c>
      <c r="BK86">
        <f>IF(OR('Inputs'!$B$94="",AND(BK4=1,'Inputs'!$Q$94=1)),0,ROUND(BK85-BK81,2))</f>
      </c>
      <c r="BL86">
        <f>IF(OR('Inputs'!$B$94="",AND(BL4=1,'Inputs'!$Q$94=1)),0,ROUND(BL85-BL81,2))</f>
      </c>
      <c r="BM86">
        <f>IF(OR('Inputs'!$B$94="",AND(BM4=1,'Inputs'!$Q$94=1)),0,ROUND(BM85-BM81,2))</f>
      </c>
      <c r="BN86">
        <f>IF(OR('Inputs'!$B$94="",AND(BN4=1,'Inputs'!$Q$94=1)),0,ROUND(BN85-BN81,2))</f>
      </c>
      <c r="BO86">
        <f>IF(OR('Inputs'!$B$94="",AND(BO4=1,'Inputs'!$Q$94=1)),0,ROUND(BO85-BO81,2))</f>
      </c>
      <c r="BP86">
        <f>IF(OR('Inputs'!$B$94="",AND(BP4=1,'Inputs'!$Q$94=1)),0,ROUND(BP85-BP81,2))</f>
      </c>
      <c r="BQ86">
        <f>IF(OR('Inputs'!$B$94="",AND(BQ4=1,'Inputs'!$Q$94=1)),0,ROUND(BQ85-BQ81,2))</f>
      </c>
      <c r="BR86">
        <f>IF(OR('Inputs'!$B$94="",AND(BR4=1,'Inputs'!$Q$94=1)),0,ROUND(BR85-BR81,2))</f>
      </c>
      <c r="BS86">
        <f>IF(OR('Inputs'!$B$94="",AND(BS4=1,'Inputs'!$Q$94=1)),0,ROUND(BS85-BS81,2))</f>
      </c>
    </row>
    <row r="87" spans="2:71" x14ac:dyDescent="0.25">
      <c r="B87" t="s">
        <v>406</v>
      </c>
      <c r="C87">
        <f>IF('Inputs'!$B$94="",0,IF(AND(C4=1,'Inputs'!$Q$94=1),'Inputs'!$E$94,'Needs years'!$C$295/12+IF(C85&gt;0,C81/C85*'Needs years'!$C$296/12,0)))</f>
      </c>
      <c r="E87">
        <f>IF('Inputs'!$B$94="",0,IF(AND(E4=1,'Inputs'!$Q$94=1),'Inputs'!$E$94,'Needs years'!$C$295/12+IF(E85&gt;0,E81/E85*'Needs years'!$C$296/12,0)))</f>
      </c>
      <c r="F87">
        <f>IF('Inputs'!$B$94="",0,IF(AND(F4=1,'Inputs'!$Q$94=1),'Inputs'!$E$94,'Needs years'!$C$295/12+IF(F85&gt;0,F81/F85*'Needs years'!$C$296/12,0)))</f>
      </c>
      <c r="G87">
        <f>IF('Inputs'!$B$94="",0,IF(AND(G4=1,'Inputs'!$Q$94=1),'Inputs'!$E$94,'Needs years'!$C$295/12+IF(G85&gt;0,G81/G85*'Needs years'!$C$296/12,0)))</f>
      </c>
      <c r="H87">
        <f>IF('Inputs'!$B$94="",0,IF(AND(H4=1,'Inputs'!$Q$94=1),'Inputs'!$E$94,'Needs years'!$C$295/12+IF(H85&gt;0,H81/H85*'Needs years'!$C$296/12,0)))</f>
      </c>
      <c r="I87">
        <f>IF('Inputs'!$B$94="",0,IF(AND(I4=1,'Inputs'!$Q$94=1),'Inputs'!$E$94,'Needs years'!$C$295/12+IF(I85&gt;0,I81/I85*'Needs years'!$C$296/12,0)))</f>
      </c>
      <c r="J87">
        <f>IF('Inputs'!$B$94="",0,IF(AND(J4=1,'Inputs'!$Q$94=1),'Inputs'!$E$94,'Needs years'!$C$295/12+IF(J85&gt;0,J81/J85*'Needs years'!$C$296/12,0)))</f>
      </c>
      <c r="K87">
        <f>IF('Inputs'!$B$94="",0,IF(AND(K4=1,'Inputs'!$Q$94=1),'Inputs'!$E$94,'Needs years'!$C$295/12+IF(K85&gt;0,K81/K85*'Needs years'!$C$296/12,0)))</f>
      </c>
      <c r="L87">
        <f>IF('Inputs'!$B$94="",0,IF(AND(L4=1,'Inputs'!$Q$94=1),'Inputs'!$E$94,'Needs years'!$C$295/12+IF(L85&gt;0,L81/L85*'Needs years'!$C$296/12,0)))</f>
      </c>
      <c r="M87">
        <f>IF('Inputs'!$B$94="",0,IF(AND(M4=1,'Inputs'!$Q$94=1),'Inputs'!$E$94,'Needs years'!$C$295/12+IF(M85&gt;0,M81/M85*'Needs years'!$C$296/12,0)))</f>
      </c>
      <c r="N87">
        <f>IF('Inputs'!$B$94="",0,IF(AND(N4=1,'Inputs'!$Q$94=1),'Inputs'!$E$94,'Needs years'!$C$295/12+IF(N85&gt;0,N81/N85*'Needs years'!$C$296/12,0)))</f>
      </c>
      <c r="O87">
        <f>IF('Inputs'!$B$94="",0,IF(AND(O4=1,'Inputs'!$Q$94=1),'Inputs'!$E$94,'Needs years'!$C$295/12+IF(O85&gt;0,O81/O85*'Needs years'!$C$296/12,0)))</f>
      </c>
      <c r="P87">
        <f>IF('Inputs'!$B$94="",0,IF(AND(P4=1,'Inputs'!$Q$94=1),'Inputs'!$E$94,'Needs years'!$C$295/12+IF(P85&gt;0,P81/P85*'Needs years'!$C$296/12,0)))</f>
      </c>
      <c r="Q87">
        <f>IF('Inputs'!$B$94="",0,IF(AND(Q4=1,'Inputs'!$Q$94=1),'Inputs'!$E$94,'Needs years'!$C$295/12+IF(Q85&gt;0,Q81/Q85*'Needs years'!$C$296/12,0)))</f>
      </c>
      <c r="R87">
        <f>IF('Inputs'!$B$94="",0,IF(AND(R4=1,'Inputs'!$Q$94=1),'Inputs'!$E$94,'Needs years'!$C$295/12+IF(R85&gt;0,R81/R85*'Needs years'!$C$296/12,0)))</f>
      </c>
      <c r="S87">
        <f>IF('Inputs'!$B$94="",0,IF(AND(S4=1,'Inputs'!$Q$94=1),'Inputs'!$E$94,'Needs years'!$C$295/12+IF(S85&gt;0,S81/S85*'Needs years'!$C$296/12,0)))</f>
      </c>
      <c r="T87">
        <f>IF('Inputs'!$B$94="",0,IF(AND(T4=1,'Inputs'!$Q$94=1),'Inputs'!$E$94,'Needs years'!$C$295/12+IF(T85&gt;0,T81/T85*'Needs years'!$C$296/12,0)))</f>
      </c>
      <c r="V87">
        <f>IF('Inputs'!$B$94="",0,IF(AND(V4=1,'Inputs'!$Q$94=1),'Inputs'!$E$94,'Needs years'!$C$295/12+IF(V85&gt;0,V81/V85*'Needs years'!$C$296/12,0)))</f>
      </c>
      <c r="W87">
        <f>IF('Inputs'!$B$94="",0,IF(AND(W4=1,'Inputs'!$Q$94=1),'Inputs'!$E$94,'Needs years'!$C$295/12+IF(W85&gt;0,W81/W85*'Needs years'!$C$296/12,0)))</f>
      </c>
      <c r="X87">
        <f>IF('Inputs'!$B$94="",0,IF(AND(X4=1,'Inputs'!$Q$94=1),'Inputs'!$E$94,'Needs years'!$C$295/12+IF(X85&gt;0,X81/X85*'Needs years'!$C$296/12,0)))</f>
      </c>
      <c r="Y87">
        <f>IF('Inputs'!$B$94="",0,IF(AND(Y4=1,'Inputs'!$Q$94=1),'Inputs'!$E$94,'Needs years'!$C$295/12+IF(Y85&gt;0,Y81/Y85*'Needs years'!$C$296/12,0)))</f>
      </c>
      <c r="Z87">
        <f>IF('Inputs'!$B$94="",0,IF(AND(Z4=1,'Inputs'!$Q$94=1),'Inputs'!$E$94,'Needs years'!$C$295/12+IF(Z85&gt;0,Z81/Z85*'Needs years'!$C$296/12,0)))</f>
      </c>
      <c r="AA87">
        <f>IF('Inputs'!$B$94="",0,IF(AND(AA4=1,'Inputs'!$Q$94=1),'Inputs'!$E$94,'Needs years'!$C$295/12+IF(AA85&gt;0,AA81/AA85*'Needs years'!$C$296/12,0)))</f>
      </c>
      <c r="AB87">
        <f>IF('Inputs'!$B$94="",0,IF(AND(AB4=1,'Inputs'!$Q$94=1),'Inputs'!$E$94,'Needs years'!$C$295/12+IF(AB85&gt;0,AB81/AB85*'Needs years'!$C$296/12,0)))</f>
      </c>
      <c r="AC87">
        <f>IF('Inputs'!$B$94="",0,IF(AND(AC4=1,'Inputs'!$Q$94=1),'Inputs'!$E$94,'Needs years'!$C$295/12+IF(AC85&gt;0,AC81/AC85*'Needs years'!$C$296/12,0)))</f>
      </c>
      <c r="AD87">
        <f>IF('Inputs'!$B$94="",0,IF(AND(AD4=1,'Inputs'!$Q$94=1),'Inputs'!$E$94,'Needs years'!$C$295/12+IF(AD85&gt;0,AD81/AD85*'Needs years'!$C$296/12,0)))</f>
      </c>
      <c r="AE87">
        <f>IF('Inputs'!$B$94="",0,IF(AND(AE4=1,'Inputs'!$Q$94=1),'Inputs'!$E$94,'Needs years'!$C$295/12+IF(AE85&gt;0,AE81/AE85*'Needs years'!$C$296/12,0)))</f>
      </c>
      <c r="AF87">
        <f>IF('Inputs'!$B$94="",0,IF(AND(AF4=1,'Inputs'!$Q$94=1),'Inputs'!$E$94,'Needs years'!$C$295/12+IF(AF85&gt;0,AF81/AF85*'Needs years'!$C$296/12,0)))</f>
      </c>
      <c r="AG87">
        <f>IF('Inputs'!$B$94="",0,IF(AND(AG4=1,'Inputs'!$Q$94=1),'Inputs'!$E$94,'Needs years'!$C$295/12+IF(AG85&gt;0,AG81/AG85*'Needs years'!$C$296/12,0)))</f>
      </c>
      <c r="AH87">
        <f>IF('Inputs'!$B$94="",0,IF(AND(AH4=1,'Inputs'!$Q$94=1),'Inputs'!$E$94,'Needs years'!$C$295/12+IF(AH85&gt;0,AH81/AH85*'Needs years'!$C$296/12,0)))</f>
      </c>
      <c r="AI87">
        <f>IF('Inputs'!$B$94="",0,IF(AND(AI4=1,'Inputs'!$Q$94=1),'Inputs'!$E$94,'Needs years'!$C$295/12+IF(AI85&gt;0,AI81/AI85*'Needs years'!$C$296/12,0)))</f>
      </c>
      <c r="AJ87">
        <f>IF('Inputs'!$B$94="",0,IF(AND(AJ4=1,'Inputs'!$Q$94=1),'Inputs'!$E$94,'Needs years'!$C$295/12+IF(AJ85&gt;0,AJ81/AJ85*'Needs years'!$C$296/12,0)))</f>
      </c>
      <c r="AK87">
        <f>IF('Inputs'!$B$94="",0,IF(AND(AK4=1,'Inputs'!$Q$94=1),'Inputs'!$E$94,'Needs years'!$C$295/12+IF(AK85&gt;0,AK81/AK85*'Needs years'!$C$296/12,0)))</f>
      </c>
      <c r="AM87">
        <f>IF('Inputs'!$B$94="",0,IF(AND(AM4=1,'Inputs'!$Q$94=1),'Inputs'!$E$94,'Needs years'!$C$295/12+IF(AM85&gt;0,AM81/AM85*'Needs years'!$C$296/12,0)))</f>
      </c>
      <c r="AN87">
        <f>IF('Inputs'!$B$94="",0,IF(AND(AN4=1,'Inputs'!$Q$94=1),'Inputs'!$E$94,'Needs years'!$C$295/12+IF(AN85&gt;0,AN81/AN85*'Needs years'!$C$296/12,0)))</f>
      </c>
      <c r="AO87">
        <f>IF('Inputs'!$B$94="",0,IF(AND(AO4=1,'Inputs'!$Q$94=1),'Inputs'!$E$94,'Needs years'!$C$295/12+IF(AO85&gt;0,AO81/AO85*'Needs years'!$C$296/12,0)))</f>
      </c>
      <c r="AP87">
        <f>IF('Inputs'!$B$94="",0,IF(AND(AP4=1,'Inputs'!$Q$94=1),'Inputs'!$E$94,'Needs years'!$C$295/12+IF(AP85&gt;0,AP81/AP85*'Needs years'!$C$296/12,0)))</f>
      </c>
      <c r="AQ87">
        <f>IF('Inputs'!$B$94="",0,IF(AND(AQ4=1,'Inputs'!$Q$94=1),'Inputs'!$E$94,'Needs years'!$C$295/12+IF(AQ85&gt;0,AQ81/AQ85*'Needs years'!$C$296/12,0)))</f>
      </c>
      <c r="AR87">
        <f>IF('Inputs'!$B$94="",0,IF(AND(AR4=1,'Inputs'!$Q$94=1),'Inputs'!$E$94,'Needs years'!$C$295/12+IF(AR85&gt;0,AR81/AR85*'Needs years'!$C$296/12,0)))</f>
      </c>
      <c r="AS87">
        <f>IF('Inputs'!$B$94="",0,IF(AND(AS4=1,'Inputs'!$Q$94=1),'Inputs'!$E$94,'Needs years'!$C$295/12+IF(AS85&gt;0,AS81/AS85*'Needs years'!$C$296/12,0)))</f>
      </c>
      <c r="AT87">
        <f>IF('Inputs'!$B$94="",0,IF(AND(AT4=1,'Inputs'!$Q$94=1),'Inputs'!$E$94,'Needs years'!$C$295/12+IF(AT85&gt;0,AT81/AT85*'Needs years'!$C$296/12,0)))</f>
      </c>
      <c r="AU87">
        <f>IF('Inputs'!$B$94="",0,IF(AND(AU4=1,'Inputs'!$Q$94=1),'Inputs'!$E$94,'Needs years'!$C$295/12+IF(AU85&gt;0,AU81/AU85*'Needs years'!$C$296/12,0)))</f>
      </c>
      <c r="AV87">
        <f>IF('Inputs'!$B$94="",0,IF(AND(AV4=1,'Inputs'!$Q$94=1),'Inputs'!$E$94,'Needs years'!$C$295/12+IF(AV85&gt;0,AV81/AV85*'Needs years'!$C$296/12,0)))</f>
      </c>
      <c r="AW87">
        <f>IF('Inputs'!$B$94="",0,IF(AND(AW4=1,'Inputs'!$Q$94=1),'Inputs'!$E$94,'Needs years'!$C$295/12+IF(AW85&gt;0,AW81/AW85*'Needs years'!$C$296/12,0)))</f>
      </c>
      <c r="AX87">
        <f>IF('Inputs'!$B$94="",0,IF(AND(AX4=1,'Inputs'!$Q$94=1),'Inputs'!$E$94,'Needs years'!$C$295/12+IF(AX85&gt;0,AX81/AX85*'Needs years'!$C$296/12,0)))</f>
      </c>
      <c r="AY87">
        <f>IF('Inputs'!$B$94="",0,IF(AND(AY4=1,'Inputs'!$Q$94=1),'Inputs'!$E$94,'Needs years'!$C$295/12+IF(AY85&gt;0,AY81/AY85*'Needs years'!$C$296/12,0)))</f>
      </c>
      <c r="AZ87">
        <f>IF('Inputs'!$B$94="",0,IF(AND(AZ4=1,'Inputs'!$Q$94=1),'Inputs'!$E$94,'Needs years'!$C$295/12+IF(AZ85&gt;0,AZ81/AZ85*'Needs years'!$C$296/12,0)))</f>
      </c>
      <c r="BA87">
        <f>IF('Inputs'!$B$94="",0,IF(AND(BA4=1,'Inputs'!$Q$94=1),'Inputs'!$E$94,'Needs years'!$C$295/12+IF(BA85&gt;0,BA81/BA85*'Needs years'!$C$296/12,0)))</f>
      </c>
      <c r="BB87">
        <f>IF('Inputs'!$B$94="",0,IF(AND(BB4=1,'Inputs'!$Q$94=1),'Inputs'!$E$94,'Needs years'!$C$295/12+IF(BB85&gt;0,BB81/BB85*'Needs years'!$C$296/12,0)))</f>
      </c>
      <c r="BD87">
        <f>IF('Inputs'!$B$94="",0,IF(AND(BD4=1,'Inputs'!$Q$94=1),'Inputs'!$E$94,'Needs years'!$C$295/12+IF(BD85&gt;0,BD81/BD85*'Needs years'!$C$296/12,0)))</f>
      </c>
      <c r="BE87">
        <f>IF('Inputs'!$B$94="",0,IF(AND(BE4=1,'Inputs'!$Q$94=1),'Inputs'!$E$94,'Needs years'!$C$295/12+IF(BE85&gt;0,BE81/BE85*'Needs years'!$C$296/12,0)))</f>
      </c>
      <c r="BF87">
        <f>IF('Inputs'!$B$94="",0,IF(AND(BF4=1,'Inputs'!$Q$94=1),'Inputs'!$E$94,'Needs years'!$C$295/12+IF(BF85&gt;0,BF81/BF85*'Needs years'!$C$296/12,0)))</f>
      </c>
      <c r="BG87">
        <f>IF('Inputs'!$B$94="",0,IF(AND(BG4=1,'Inputs'!$Q$94=1),'Inputs'!$E$94,'Needs years'!$C$295/12+IF(BG85&gt;0,BG81/BG85*'Needs years'!$C$296/12,0)))</f>
      </c>
      <c r="BH87">
        <f>IF('Inputs'!$B$94="",0,IF(AND(BH4=1,'Inputs'!$Q$94=1),'Inputs'!$E$94,'Needs years'!$C$295/12+IF(BH85&gt;0,BH81/BH85*'Needs years'!$C$296/12,0)))</f>
      </c>
      <c r="BI87">
        <f>IF('Inputs'!$B$94="",0,IF(AND(BI4=1,'Inputs'!$Q$94=1),'Inputs'!$E$94,'Needs years'!$C$295/12+IF(BI85&gt;0,BI81/BI85*'Needs years'!$C$296/12,0)))</f>
      </c>
      <c r="BJ87">
        <f>IF('Inputs'!$B$94="",0,IF(AND(BJ4=1,'Inputs'!$Q$94=1),'Inputs'!$E$94,'Needs years'!$C$295/12+IF(BJ85&gt;0,BJ81/BJ85*'Needs years'!$C$296/12,0)))</f>
      </c>
      <c r="BK87">
        <f>IF('Inputs'!$B$94="",0,IF(AND(BK4=1,'Inputs'!$Q$94=1),'Inputs'!$E$94,'Needs years'!$C$295/12+IF(BK85&gt;0,BK81/BK85*'Needs years'!$C$296/12,0)))</f>
      </c>
      <c r="BL87">
        <f>IF('Inputs'!$B$94="",0,IF(AND(BL4=1,'Inputs'!$Q$94=1),'Inputs'!$E$94,'Needs years'!$C$295/12+IF(BL85&gt;0,BL81/BL85*'Needs years'!$C$296/12,0)))</f>
      </c>
      <c r="BM87">
        <f>IF('Inputs'!$B$94="",0,IF(AND(BM4=1,'Inputs'!$Q$94=1),'Inputs'!$E$94,'Needs years'!$C$295/12+IF(BM85&gt;0,BM81/BM85*'Needs years'!$C$296/12,0)))</f>
      </c>
      <c r="BN87">
        <f>IF('Inputs'!$B$94="",0,IF(AND(BN4=1,'Inputs'!$Q$94=1),'Inputs'!$E$94,'Needs years'!$C$295/12+IF(BN85&gt;0,BN81/BN85*'Needs years'!$C$296/12,0)))</f>
      </c>
      <c r="BO87">
        <f>IF('Inputs'!$B$94="",0,IF(AND(BO4=1,'Inputs'!$Q$94=1),'Inputs'!$E$94,'Needs years'!$C$295/12+IF(BO85&gt;0,BO81/BO85*'Needs years'!$C$296/12,0)))</f>
      </c>
      <c r="BP87">
        <f>IF('Inputs'!$B$94="",0,IF(AND(BP4=1,'Inputs'!$Q$94=1),'Inputs'!$E$94,'Needs years'!$C$295/12+IF(BP85&gt;0,BP81/BP85*'Needs years'!$C$296/12,0)))</f>
      </c>
      <c r="BQ87">
        <f>IF('Inputs'!$B$94="",0,IF(AND(BQ4=1,'Inputs'!$Q$94=1),'Inputs'!$E$94,'Needs years'!$C$295/12+IF(BQ85&gt;0,BQ81/BQ85*'Needs years'!$C$296/12,0)))</f>
      </c>
      <c r="BR87">
        <f>IF('Inputs'!$B$94="",0,IF(AND(BR4=1,'Inputs'!$Q$94=1),'Inputs'!$E$94,'Needs years'!$C$295/12+IF(BR85&gt;0,BR81/BR85*'Needs years'!$C$296/12,0)))</f>
      </c>
      <c r="BS87">
        <f>IF('Inputs'!$B$94="",0,IF(AND(BS4=1,'Inputs'!$Q$94=1),'Inputs'!$E$94,'Needs years'!$C$295/12+IF(BS85&gt;0,BS81/BS85*'Needs years'!$C$296/12,0)))</f>
      </c>
    </row>
    <row r="88" spans="2:71" x14ac:dyDescent="0.25">
      <c r="B88" t="s">
        <v>407</v>
      </c>
      <c r="C88">
        <f>ROUND('Inputs'!$Q$89*C46+'Inputs'!$Q$90*C53+'Inputs'!$Q$91*C60+'Inputs'!$Q$92*C67+'Inputs'!$Q$93*C74+'Inputs'!$Q$94*C81,2)</f>
      </c>
      <c r="E88">
        <f>ROUND('Inputs'!$Q$89*E46+'Inputs'!$Q$90*E53+'Inputs'!$Q$91*E60+'Inputs'!$Q$92*E67+'Inputs'!$Q$93*E74+'Inputs'!$Q$94*E81,2)</f>
      </c>
      <c r="F88">
        <f>ROUND('Inputs'!$Q$89*F46+'Inputs'!$Q$90*F53+'Inputs'!$Q$91*F60+'Inputs'!$Q$92*F67+'Inputs'!$Q$93*F74+'Inputs'!$Q$94*F81,2)</f>
      </c>
      <c r="G88">
        <f>ROUND('Inputs'!$Q$89*G46+'Inputs'!$Q$90*G53+'Inputs'!$Q$91*G60+'Inputs'!$Q$92*G67+'Inputs'!$Q$93*G74+'Inputs'!$Q$94*G81,2)</f>
      </c>
      <c r="H88">
        <f>ROUND('Inputs'!$Q$89*H46+'Inputs'!$Q$90*H53+'Inputs'!$Q$91*H60+'Inputs'!$Q$92*H67+'Inputs'!$Q$93*H74+'Inputs'!$Q$94*H81,2)</f>
      </c>
      <c r="I88">
        <f>ROUND('Inputs'!$Q$89*I46+'Inputs'!$Q$90*I53+'Inputs'!$Q$91*I60+'Inputs'!$Q$92*I67+'Inputs'!$Q$93*I74+'Inputs'!$Q$94*I81,2)</f>
      </c>
      <c r="J88">
        <f>ROUND('Inputs'!$Q$89*J46+'Inputs'!$Q$90*J53+'Inputs'!$Q$91*J60+'Inputs'!$Q$92*J67+'Inputs'!$Q$93*J74+'Inputs'!$Q$94*J81,2)</f>
      </c>
      <c r="K88">
        <f>ROUND('Inputs'!$Q$89*K46+'Inputs'!$Q$90*K53+'Inputs'!$Q$91*K60+'Inputs'!$Q$92*K67+'Inputs'!$Q$93*K74+'Inputs'!$Q$94*K81,2)</f>
      </c>
      <c r="L88">
        <f>ROUND('Inputs'!$Q$89*L46+'Inputs'!$Q$90*L53+'Inputs'!$Q$91*L60+'Inputs'!$Q$92*L67+'Inputs'!$Q$93*L74+'Inputs'!$Q$94*L81,2)</f>
      </c>
      <c r="M88">
        <f>ROUND('Inputs'!$Q$89*M46+'Inputs'!$Q$90*M53+'Inputs'!$Q$91*M60+'Inputs'!$Q$92*M67+'Inputs'!$Q$93*M74+'Inputs'!$Q$94*M81,2)</f>
      </c>
      <c r="N88">
        <f>ROUND('Inputs'!$Q$89*N46+'Inputs'!$Q$90*N53+'Inputs'!$Q$91*N60+'Inputs'!$Q$92*N67+'Inputs'!$Q$93*N74+'Inputs'!$Q$94*N81,2)</f>
      </c>
      <c r="O88">
        <f>ROUND('Inputs'!$Q$89*O46+'Inputs'!$Q$90*O53+'Inputs'!$Q$91*O60+'Inputs'!$Q$92*O67+'Inputs'!$Q$93*O74+'Inputs'!$Q$94*O81,2)</f>
      </c>
      <c r="P88">
        <f>ROUND('Inputs'!$Q$89*P46+'Inputs'!$Q$90*P53+'Inputs'!$Q$91*P60+'Inputs'!$Q$92*P67+'Inputs'!$Q$93*P74+'Inputs'!$Q$94*P81,2)</f>
      </c>
      <c r="Q88">
        <f>ROUND('Inputs'!$Q$89*Q46+'Inputs'!$Q$90*Q53+'Inputs'!$Q$91*Q60+'Inputs'!$Q$92*Q67+'Inputs'!$Q$93*Q74+'Inputs'!$Q$94*Q81,2)</f>
      </c>
      <c r="R88">
        <f>ROUND('Inputs'!$Q$89*R46+'Inputs'!$Q$90*R53+'Inputs'!$Q$91*R60+'Inputs'!$Q$92*R67+'Inputs'!$Q$93*R74+'Inputs'!$Q$94*R81,2)</f>
      </c>
      <c r="S88">
        <f>ROUND('Inputs'!$Q$89*S46+'Inputs'!$Q$90*S53+'Inputs'!$Q$91*S60+'Inputs'!$Q$92*S67+'Inputs'!$Q$93*S74+'Inputs'!$Q$94*S81,2)</f>
      </c>
      <c r="T88">
        <f>ROUND('Inputs'!$Q$89*T46+'Inputs'!$Q$90*T53+'Inputs'!$Q$91*T60+'Inputs'!$Q$92*T67+'Inputs'!$Q$93*T74+'Inputs'!$Q$94*T81,2)</f>
      </c>
      <c r="V88">
        <f>ROUND('Inputs'!$Q$89*V46+'Inputs'!$Q$90*V53+'Inputs'!$Q$91*V60+'Inputs'!$Q$92*V67+'Inputs'!$Q$93*V74+'Inputs'!$Q$94*V81,2)</f>
      </c>
      <c r="W88">
        <f>ROUND('Inputs'!$Q$89*W46+'Inputs'!$Q$90*W53+'Inputs'!$Q$91*W60+'Inputs'!$Q$92*W67+'Inputs'!$Q$93*W74+'Inputs'!$Q$94*W81,2)</f>
      </c>
      <c r="X88">
        <f>ROUND('Inputs'!$Q$89*X46+'Inputs'!$Q$90*X53+'Inputs'!$Q$91*X60+'Inputs'!$Q$92*X67+'Inputs'!$Q$93*X74+'Inputs'!$Q$94*X81,2)</f>
      </c>
      <c r="Y88">
        <f>ROUND('Inputs'!$Q$89*Y46+'Inputs'!$Q$90*Y53+'Inputs'!$Q$91*Y60+'Inputs'!$Q$92*Y67+'Inputs'!$Q$93*Y74+'Inputs'!$Q$94*Y81,2)</f>
      </c>
      <c r="Z88">
        <f>ROUND('Inputs'!$Q$89*Z46+'Inputs'!$Q$90*Z53+'Inputs'!$Q$91*Z60+'Inputs'!$Q$92*Z67+'Inputs'!$Q$93*Z74+'Inputs'!$Q$94*Z81,2)</f>
      </c>
      <c r="AA88">
        <f>ROUND('Inputs'!$Q$89*AA46+'Inputs'!$Q$90*AA53+'Inputs'!$Q$91*AA60+'Inputs'!$Q$92*AA67+'Inputs'!$Q$93*AA74+'Inputs'!$Q$94*AA81,2)</f>
      </c>
      <c r="AB88">
        <f>ROUND('Inputs'!$Q$89*AB46+'Inputs'!$Q$90*AB53+'Inputs'!$Q$91*AB60+'Inputs'!$Q$92*AB67+'Inputs'!$Q$93*AB74+'Inputs'!$Q$94*AB81,2)</f>
      </c>
      <c r="AC88">
        <f>ROUND('Inputs'!$Q$89*AC46+'Inputs'!$Q$90*AC53+'Inputs'!$Q$91*AC60+'Inputs'!$Q$92*AC67+'Inputs'!$Q$93*AC74+'Inputs'!$Q$94*AC81,2)</f>
      </c>
      <c r="AD88">
        <f>ROUND('Inputs'!$Q$89*AD46+'Inputs'!$Q$90*AD53+'Inputs'!$Q$91*AD60+'Inputs'!$Q$92*AD67+'Inputs'!$Q$93*AD74+'Inputs'!$Q$94*AD81,2)</f>
      </c>
      <c r="AE88">
        <f>ROUND('Inputs'!$Q$89*AE46+'Inputs'!$Q$90*AE53+'Inputs'!$Q$91*AE60+'Inputs'!$Q$92*AE67+'Inputs'!$Q$93*AE74+'Inputs'!$Q$94*AE81,2)</f>
      </c>
      <c r="AF88">
        <f>ROUND('Inputs'!$Q$89*AF46+'Inputs'!$Q$90*AF53+'Inputs'!$Q$91*AF60+'Inputs'!$Q$92*AF67+'Inputs'!$Q$93*AF74+'Inputs'!$Q$94*AF81,2)</f>
      </c>
      <c r="AG88">
        <f>ROUND('Inputs'!$Q$89*AG46+'Inputs'!$Q$90*AG53+'Inputs'!$Q$91*AG60+'Inputs'!$Q$92*AG67+'Inputs'!$Q$93*AG74+'Inputs'!$Q$94*AG81,2)</f>
      </c>
      <c r="AH88">
        <f>ROUND('Inputs'!$Q$89*AH46+'Inputs'!$Q$90*AH53+'Inputs'!$Q$91*AH60+'Inputs'!$Q$92*AH67+'Inputs'!$Q$93*AH74+'Inputs'!$Q$94*AH81,2)</f>
      </c>
      <c r="AI88">
        <f>ROUND('Inputs'!$Q$89*AI46+'Inputs'!$Q$90*AI53+'Inputs'!$Q$91*AI60+'Inputs'!$Q$92*AI67+'Inputs'!$Q$93*AI74+'Inputs'!$Q$94*AI81,2)</f>
      </c>
      <c r="AJ88">
        <f>ROUND('Inputs'!$Q$89*AJ46+'Inputs'!$Q$90*AJ53+'Inputs'!$Q$91*AJ60+'Inputs'!$Q$92*AJ67+'Inputs'!$Q$93*AJ74+'Inputs'!$Q$94*AJ81,2)</f>
      </c>
      <c r="AK88">
        <f>ROUND('Inputs'!$Q$89*AK46+'Inputs'!$Q$90*AK53+'Inputs'!$Q$91*AK60+'Inputs'!$Q$92*AK67+'Inputs'!$Q$93*AK74+'Inputs'!$Q$94*AK81,2)</f>
      </c>
      <c r="AM88">
        <f>ROUND('Inputs'!$Q$89*AM46+'Inputs'!$Q$90*AM53+'Inputs'!$Q$91*AM60+'Inputs'!$Q$92*AM67+'Inputs'!$Q$93*AM74+'Inputs'!$Q$94*AM81,2)</f>
      </c>
      <c r="AN88">
        <f>ROUND('Inputs'!$Q$89*AN46+'Inputs'!$Q$90*AN53+'Inputs'!$Q$91*AN60+'Inputs'!$Q$92*AN67+'Inputs'!$Q$93*AN74+'Inputs'!$Q$94*AN81,2)</f>
      </c>
      <c r="AO88">
        <f>ROUND('Inputs'!$Q$89*AO46+'Inputs'!$Q$90*AO53+'Inputs'!$Q$91*AO60+'Inputs'!$Q$92*AO67+'Inputs'!$Q$93*AO74+'Inputs'!$Q$94*AO81,2)</f>
      </c>
      <c r="AP88">
        <f>ROUND('Inputs'!$Q$89*AP46+'Inputs'!$Q$90*AP53+'Inputs'!$Q$91*AP60+'Inputs'!$Q$92*AP67+'Inputs'!$Q$93*AP74+'Inputs'!$Q$94*AP81,2)</f>
      </c>
      <c r="AQ88">
        <f>ROUND('Inputs'!$Q$89*AQ46+'Inputs'!$Q$90*AQ53+'Inputs'!$Q$91*AQ60+'Inputs'!$Q$92*AQ67+'Inputs'!$Q$93*AQ74+'Inputs'!$Q$94*AQ81,2)</f>
      </c>
      <c r="AR88">
        <f>ROUND('Inputs'!$Q$89*AR46+'Inputs'!$Q$90*AR53+'Inputs'!$Q$91*AR60+'Inputs'!$Q$92*AR67+'Inputs'!$Q$93*AR74+'Inputs'!$Q$94*AR81,2)</f>
      </c>
      <c r="AS88">
        <f>ROUND('Inputs'!$Q$89*AS46+'Inputs'!$Q$90*AS53+'Inputs'!$Q$91*AS60+'Inputs'!$Q$92*AS67+'Inputs'!$Q$93*AS74+'Inputs'!$Q$94*AS81,2)</f>
      </c>
      <c r="AT88">
        <f>ROUND('Inputs'!$Q$89*AT46+'Inputs'!$Q$90*AT53+'Inputs'!$Q$91*AT60+'Inputs'!$Q$92*AT67+'Inputs'!$Q$93*AT74+'Inputs'!$Q$94*AT81,2)</f>
      </c>
      <c r="AU88">
        <f>ROUND('Inputs'!$Q$89*AU46+'Inputs'!$Q$90*AU53+'Inputs'!$Q$91*AU60+'Inputs'!$Q$92*AU67+'Inputs'!$Q$93*AU74+'Inputs'!$Q$94*AU81,2)</f>
      </c>
      <c r="AV88">
        <f>ROUND('Inputs'!$Q$89*AV46+'Inputs'!$Q$90*AV53+'Inputs'!$Q$91*AV60+'Inputs'!$Q$92*AV67+'Inputs'!$Q$93*AV74+'Inputs'!$Q$94*AV81,2)</f>
      </c>
      <c r="AW88">
        <f>ROUND('Inputs'!$Q$89*AW46+'Inputs'!$Q$90*AW53+'Inputs'!$Q$91*AW60+'Inputs'!$Q$92*AW67+'Inputs'!$Q$93*AW74+'Inputs'!$Q$94*AW81,2)</f>
      </c>
      <c r="AX88">
        <f>ROUND('Inputs'!$Q$89*AX46+'Inputs'!$Q$90*AX53+'Inputs'!$Q$91*AX60+'Inputs'!$Q$92*AX67+'Inputs'!$Q$93*AX74+'Inputs'!$Q$94*AX81,2)</f>
      </c>
      <c r="AY88">
        <f>ROUND('Inputs'!$Q$89*AY46+'Inputs'!$Q$90*AY53+'Inputs'!$Q$91*AY60+'Inputs'!$Q$92*AY67+'Inputs'!$Q$93*AY74+'Inputs'!$Q$94*AY81,2)</f>
      </c>
      <c r="AZ88">
        <f>ROUND('Inputs'!$Q$89*AZ46+'Inputs'!$Q$90*AZ53+'Inputs'!$Q$91*AZ60+'Inputs'!$Q$92*AZ67+'Inputs'!$Q$93*AZ74+'Inputs'!$Q$94*AZ81,2)</f>
      </c>
      <c r="BA88">
        <f>ROUND('Inputs'!$Q$89*BA46+'Inputs'!$Q$90*BA53+'Inputs'!$Q$91*BA60+'Inputs'!$Q$92*BA67+'Inputs'!$Q$93*BA74+'Inputs'!$Q$94*BA81,2)</f>
      </c>
      <c r="BB88">
        <f>ROUND('Inputs'!$Q$89*BB46+'Inputs'!$Q$90*BB53+'Inputs'!$Q$91*BB60+'Inputs'!$Q$92*BB67+'Inputs'!$Q$93*BB74+'Inputs'!$Q$94*BB81,2)</f>
      </c>
      <c r="BD88">
        <f>ROUND('Inputs'!$Q$89*BD46+'Inputs'!$Q$90*BD53+'Inputs'!$Q$91*BD60+'Inputs'!$Q$92*BD67+'Inputs'!$Q$93*BD74+'Inputs'!$Q$94*BD81,2)</f>
      </c>
      <c r="BE88">
        <f>ROUND('Inputs'!$Q$89*BE46+'Inputs'!$Q$90*BE53+'Inputs'!$Q$91*BE60+'Inputs'!$Q$92*BE67+'Inputs'!$Q$93*BE74+'Inputs'!$Q$94*BE81,2)</f>
      </c>
      <c r="BF88">
        <f>ROUND('Inputs'!$Q$89*BF46+'Inputs'!$Q$90*BF53+'Inputs'!$Q$91*BF60+'Inputs'!$Q$92*BF67+'Inputs'!$Q$93*BF74+'Inputs'!$Q$94*BF81,2)</f>
      </c>
      <c r="BG88">
        <f>ROUND('Inputs'!$Q$89*BG46+'Inputs'!$Q$90*BG53+'Inputs'!$Q$91*BG60+'Inputs'!$Q$92*BG67+'Inputs'!$Q$93*BG74+'Inputs'!$Q$94*BG81,2)</f>
      </c>
      <c r="BH88">
        <f>ROUND('Inputs'!$Q$89*BH46+'Inputs'!$Q$90*BH53+'Inputs'!$Q$91*BH60+'Inputs'!$Q$92*BH67+'Inputs'!$Q$93*BH74+'Inputs'!$Q$94*BH81,2)</f>
      </c>
      <c r="BI88">
        <f>ROUND('Inputs'!$Q$89*BI46+'Inputs'!$Q$90*BI53+'Inputs'!$Q$91*BI60+'Inputs'!$Q$92*BI67+'Inputs'!$Q$93*BI74+'Inputs'!$Q$94*BI81,2)</f>
      </c>
      <c r="BJ88">
        <f>ROUND('Inputs'!$Q$89*BJ46+'Inputs'!$Q$90*BJ53+'Inputs'!$Q$91*BJ60+'Inputs'!$Q$92*BJ67+'Inputs'!$Q$93*BJ74+'Inputs'!$Q$94*BJ81,2)</f>
      </c>
      <c r="BK88">
        <f>ROUND('Inputs'!$Q$89*BK46+'Inputs'!$Q$90*BK53+'Inputs'!$Q$91*BK60+'Inputs'!$Q$92*BK67+'Inputs'!$Q$93*BK74+'Inputs'!$Q$94*BK81,2)</f>
      </c>
      <c r="BL88">
        <f>ROUND('Inputs'!$Q$89*BL46+'Inputs'!$Q$90*BL53+'Inputs'!$Q$91*BL60+'Inputs'!$Q$92*BL67+'Inputs'!$Q$93*BL74+'Inputs'!$Q$94*BL81,2)</f>
      </c>
      <c r="BM88">
        <f>ROUND('Inputs'!$Q$89*BM46+'Inputs'!$Q$90*BM53+'Inputs'!$Q$91*BM60+'Inputs'!$Q$92*BM67+'Inputs'!$Q$93*BM74+'Inputs'!$Q$94*BM81,2)</f>
      </c>
      <c r="BN88">
        <f>ROUND('Inputs'!$Q$89*BN46+'Inputs'!$Q$90*BN53+'Inputs'!$Q$91*BN60+'Inputs'!$Q$92*BN67+'Inputs'!$Q$93*BN74+'Inputs'!$Q$94*BN81,2)</f>
      </c>
      <c r="BO88">
        <f>ROUND('Inputs'!$Q$89*BO46+'Inputs'!$Q$90*BO53+'Inputs'!$Q$91*BO60+'Inputs'!$Q$92*BO67+'Inputs'!$Q$93*BO74+'Inputs'!$Q$94*BO81,2)</f>
      </c>
      <c r="BP88">
        <f>ROUND('Inputs'!$Q$89*BP46+'Inputs'!$Q$90*BP53+'Inputs'!$Q$91*BP60+'Inputs'!$Q$92*BP67+'Inputs'!$Q$93*BP74+'Inputs'!$Q$94*BP81,2)</f>
      </c>
      <c r="BQ88">
        <f>ROUND('Inputs'!$Q$89*BQ46+'Inputs'!$Q$90*BQ53+'Inputs'!$Q$91*BQ60+'Inputs'!$Q$92*BQ67+'Inputs'!$Q$93*BQ74+'Inputs'!$Q$94*BQ81,2)</f>
      </c>
      <c r="BR88">
        <f>ROUND('Inputs'!$Q$89*BR46+'Inputs'!$Q$90*BR53+'Inputs'!$Q$91*BR60+'Inputs'!$Q$92*BR67+'Inputs'!$Q$93*BR74+'Inputs'!$Q$94*BR81,2)</f>
      </c>
      <c r="BS88">
        <f>ROUND('Inputs'!$Q$89*BS46+'Inputs'!$Q$90*BS53+'Inputs'!$Q$91*BS60+'Inputs'!$Q$92*BS67+'Inputs'!$Q$93*BS74+'Inputs'!$Q$94*BS81,2)</f>
      </c>
    </row>
    <row r="89" spans="2:71" x14ac:dyDescent="0.25">
      <c r="B89" t="s">
        <v>408</v>
      </c>
      <c r="C89">
        <f>ROUND('Inputs'!$Q$89*'Needs years'!$C$14+'Inputs'!$Q$90*'Needs years'!$C$70+'Inputs'!$Q$91*'Needs years'!$C$126+'Inputs'!$Q$92*'Needs years'!$C$182+'Inputs'!$Q$93*'Needs years'!$C$238+'Inputs'!$Q$94*'Needs years'!$C$294,2)</f>
      </c>
      <c r="E89">
        <f>ROUND('Inputs'!$Q$89*'Needs years'!$C$14+'Inputs'!$Q$90*'Needs years'!$C$70+'Inputs'!$Q$91*'Needs years'!$C$126+'Inputs'!$Q$92*'Needs years'!$C$182+'Inputs'!$Q$93*'Needs years'!$C$238+'Inputs'!$Q$94*'Needs years'!$C$294,2)</f>
      </c>
      <c r="F89">
        <f>ROUND('Inputs'!$Q$89*'Needs years'!$C$14+'Inputs'!$Q$90*'Needs years'!$C$70+'Inputs'!$Q$91*'Needs years'!$C$126+'Inputs'!$Q$92*'Needs years'!$C$182+'Inputs'!$Q$93*'Needs years'!$C$238+'Inputs'!$Q$94*'Needs years'!$C$294,2)</f>
      </c>
      <c r="G89">
        <f>ROUND('Inputs'!$Q$89*'Needs years'!$C$14+'Inputs'!$Q$90*'Needs years'!$C$70+'Inputs'!$Q$91*'Needs years'!$C$126+'Inputs'!$Q$92*'Needs years'!$C$182+'Inputs'!$Q$93*'Needs years'!$C$238+'Inputs'!$Q$94*'Needs years'!$C$294,2)</f>
      </c>
      <c r="H89">
        <f>ROUND('Inputs'!$Q$89*'Needs years'!$C$14+'Inputs'!$Q$90*'Needs years'!$C$70+'Inputs'!$Q$91*'Needs years'!$C$126+'Inputs'!$Q$92*'Needs years'!$C$182+'Inputs'!$Q$93*'Needs years'!$C$238+'Inputs'!$Q$94*'Needs years'!$C$294,2)</f>
      </c>
      <c r="I89">
        <f>ROUND('Inputs'!$Q$89*'Needs years'!$C$14+'Inputs'!$Q$90*'Needs years'!$C$70+'Inputs'!$Q$91*'Needs years'!$C$126+'Inputs'!$Q$92*'Needs years'!$C$182+'Inputs'!$Q$93*'Needs years'!$C$238+'Inputs'!$Q$94*'Needs years'!$C$294,2)</f>
      </c>
      <c r="J89">
        <f>ROUND('Inputs'!$Q$89*'Needs years'!$C$14+'Inputs'!$Q$90*'Needs years'!$C$70+'Inputs'!$Q$91*'Needs years'!$C$126+'Inputs'!$Q$92*'Needs years'!$C$182+'Inputs'!$Q$93*'Needs years'!$C$238+'Inputs'!$Q$94*'Needs years'!$C$294,2)</f>
      </c>
      <c r="K89">
        <f>ROUND('Inputs'!$Q$89*'Needs years'!$C$14+'Inputs'!$Q$90*'Needs years'!$C$70+'Inputs'!$Q$91*'Needs years'!$C$126+'Inputs'!$Q$92*'Needs years'!$C$182+'Inputs'!$Q$93*'Needs years'!$C$238+'Inputs'!$Q$94*'Needs years'!$C$294,2)</f>
      </c>
      <c r="L89">
        <f>ROUND('Inputs'!$Q$89*'Needs years'!$C$14+'Inputs'!$Q$90*'Needs years'!$C$70+'Inputs'!$Q$91*'Needs years'!$C$126+'Inputs'!$Q$92*'Needs years'!$C$182+'Inputs'!$Q$93*'Needs years'!$C$238+'Inputs'!$Q$94*'Needs years'!$C$294,2)</f>
      </c>
      <c r="M89">
        <f>ROUND('Inputs'!$Q$89*'Needs years'!$C$14+'Inputs'!$Q$90*'Needs years'!$C$70+'Inputs'!$Q$91*'Needs years'!$C$126+'Inputs'!$Q$92*'Needs years'!$C$182+'Inputs'!$Q$93*'Needs years'!$C$238+'Inputs'!$Q$94*'Needs years'!$C$294,2)</f>
      </c>
      <c r="N89">
        <f>ROUND('Inputs'!$Q$89*'Needs years'!$C$14+'Inputs'!$Q$90*'Needs years'!$C$70+'Inputs'!$Q$91*'Needs years'!$C$126+'Inputs'!$Q$92*'Needs years'!$C$182+'Inputs'!$Q$93*'Needs years'!$C$238+'Inputs'!$Q$94*'Needs years'!$C$294,2)</f>
      </c>
      <c r="O89">
        <f>ROUND('Inputs'!$Q$89*'Needs years'!$C$14+'Inputs'!$Q$90*'Needs years'!$C$70+'Inputs'!$Q$91*'Needs years'!$C$126+'Inputs'!$Q$92*'Needs years'!$C$182+'Inputs'!$Q$93*'Needs years'!$C$238+'Inputs'!$Q$94*'Needs years'!$C$294,2)</f>
      </c>
      <c r="P89">
        <f>ROUND('Inputs'!$Q$89*'Needs years'!$C$14+'Inputs'!$Q$90*'Needs years'!$C$70+'Inputs'!$Q$91*'Needs years'!$C$126+'Inputs'!$Q$92*'Needs years'!$C$182+'Inputs'!$Q$93*'Needs years'!$C$238+'Inputs'!$Q$94*'Needs years'!$C$294,2)</f>
      </c>
      <c r="Q89">
        <f>ROUND('Inputs'!$Q$89*'Needs years'!$C$14+'Inputs'!$Q$90*'Needs years'!$C$70+'Inputs'!$Q$91*'Needs years'!$C$126+'Inputs'!$Q$92*'Needs years'!$C$182+'Inputs'!$Q$93*'Needs years'!$C$238+'Inputs'!$Q$94*'Needs years'!$C$294,2)</f>
      </c>
      <c r="R89">
        <f>ROUND('Inputs'!$Q$89*'Needs years'!$C$14+'Inputs'!$Q$90*'Needs years'!$C$70+'Inputs'!$Q$91*'Needs years'!$C$126+'Inputs'!$Q$92*'Needs years'!$C$182+'Inputs'!$Q$93*'Needs years'!$C$238+'Inputs'!$Q$94*'Needs years'!$C$294,2)</f>
      </c>
      <c r="S89">
        <f>ROUND('Inputs'!$Q$89*'Needs years'!$C$14+'Inputs'!$Q$90*'Needs years'!$C$70+'Inputs'!$Q$91*'Needs years'!$C$126+'Inputs'!$Q$92*'Needs years'!$C$182+'Inputs'!$Q$93*'Needs years'!$C$238+'Inputs'!$Q$94*'Needs years'!$C$294,2)</f>
      </c>
      <c r="T89">
        <f>ROUND('Inputs'!$Q$89*'Needs years'!$C$14+'Inputs'!$Q$90*'Needs years'!$C$70+'Inputs'!$Q$91*'Needs years'!$C$126+'Inputs'!$Q$92*'Needs years'!$C$182+'Inputs'!$Q$93*'Needs years'!$C$238+'Inputs'!$Q$94*'Needs years'!$C$294,2)</f>
      </c>
      <c r="V89">
        <f>ROUND('Inputs'!$Q$89*'Needs years'!$C$14+'Inputs'!$Q$90*'Needs years'!$C$70+'Inputs'!$Q$91*'Needs years'!$C$126+'Inputs'!$Q$92*'Needs years'!$C$182+'Inputs'!$Q$93*'Needs years'!$C$238+'Inputs'!$Q$94*'Needs years'!$C$294,2)</f>
      </c>
      <c r="W89">
        <f>ROUND('Inputs'!$Q$89*'Needs years'!$C$14+'Inputs'!$Q$90*'Needs years'!$C$70+'Inputs'!$Q$91*'Needs years'!$C$126+'Inputs'!$Q$92*'Needs years'!$C$182+'Inputs'!$Q$93*'Needs years'!$C$238+'Inputs'!$Q$94*'Needs years'!$C$294,2)</f>
      </c>
      <c r="X89">
        <f>ROUND('Inputs'!$Q$89*'Needs years'!$C$14+'Inputs'!$Q$90*'Needs years'!$C$70+'Inputs'!$Q$91*'Needs years'!$C$126+'Inputs'!$Q$92*'Needs years'!$C$182+'Inputs'!$Q$93*'Needs years'!$C$238+'Inputs'!$Q$94*'Needs years'!$C$294,2)</f>
      </c>
      <c r="Y89">
        <f>ROUND('Inputs'!$Q$89*'Needs years'!$C$14+'Inputs'!$Q$90*'Needs years'!$C$70+'Inputs'!$Q$91*'Needs years'!$C$126+'Inputs'!$Q$92*'Needs years'!$C$182+'Inputs'!$Q$93*'Needs years'!$C$238+'Inputs'!$Q$94*'Needs years'!$C$294,2)</f>
      </c>
      <c r="Z89">
        <f>ROUND('Inputs'!$Q$89*'Needs years'!$C$14+'Inputs'!$Q$90*'Needs years'!$C$70+'Inputs'!$Q$91*'Needs years'!$C$126+'Inputs'!$Q$92*'Needs years'!$C$182+'Inputs'!$Q$93*'Needs years'!$C$238+'Inputs'!$Q$94*'Needs years'!$C$294,2)</f>
      </c>
      <c r="AA89">
        <f>ROUND('Inputs'!$Q$89*'Needs years'!$C$14+'Inputs'!$Q$90*'Needs years'!$C$70+'Inputs'!$Q$91*'Needs years'!$C$126+'Inputs'!$Q$92*'Needs years'!$C$182+'Inputs'!$Q$93*'Needs years'!$C$238+'Inputs'!$Q$94*'Needs years'!$C$294,2)</f>
      </c>
      <c r="AB89">
        <f>ROUND('Inputs'!$Q$89*'Needs years'!$C$14+'Inputs'!$Q$90*'Needs years'!$C$70+'Inputs'!$Q$91*'Needs years'!$C$126+'Inputs'!$Q$92*'Needs years'!$C$182+'Inputs'!$Q$93*'Needs years'!$C$238+'Inputs'!$Q$94*'Needs years'!$C$294,2)</f>
      </c>
      <c r="AC89">
        <f>ROUND('Inputs'!$Q$89*'Needs years'!$C$14+'Inputs'!$Q$90*'Needs years'!$C$70+'Inputs'!$Q$91*'Needs years'!$C$126+'Inputs'!$Q$92*'Needs years'!$C$182+'Inputs'!$Q$93*'Needs years'!$C$238+'Inputs'!$Q$94*'Needs years'!$C$294,2)</f>
      </c>
      <c r="AD89">
        <f>ROUND('Inputs'!$Q$89*'Needs years'!$C$14+'Inputs'!$Q$90*'Needs years'!$C$70+'Inputs'!$Q$91*'Needs years'!$C$126+'Inputs'!$Q$92*'Needs years'!$C$182+'Inputs'!$Q$93*'Needs years'!$C$238+'Inputs'!$Q$94*'Needs years'!$C$294,2)</f>
      </c>
      <c r="AE89">
        <f>ROUND('Inputs'!$Q$89*'Needs years'!$C$14+'Inputs'!$Q$90*'Needs years'!$C$70+'Inputs'!$Q$91*'Needs years'!$C$126+'Inputs'!$Q$92*'Needs years'!$C$182+'Inputs'!$Q$93*'Needs years'!$C$238+'Inputs'!$Q$94*'Needs years'!$C$294,2)</f>
      </c>
      <c r="AF89">
        <f>ROUND('Inputs'!$Q$89*'Needs years'!$C$14+'Inputs'!$Q$90*'Needs years'!$C$70+'Inputs'!$Q$91*'Needs years'!$C$126+'Inputs'!$Q$92*'Needs years'!$C$182+'Inputs'!$Q$93*'Needs years'!$C$238+'Inputs'!$Q$94*'Needs years'!$C$294,2)</f>
      </c>
      <c r="AG89">
        <f>ROUND('Inputs'!$Q$89*'Needs years'!$C$14+'Inputs'!$Q$90*'Needs years'!$C$70+'Inputs'!$Q$91*'Needs years'!$C$126+'Inputs'!$Q$92*'Needs years'!$C$182+'Inputs'!$Q$93*'Needs years'!$C$238+'Inputs'!$Q$94*'Needs years'!$C$294,2)</f>
      </c>
      <c r="AH89">
        <f>ROUND('Inputs'!$Q$89*'Needs years'!$C$14+'Inputs'!$Q$90*'Needs years'!$C$70+'Inputs'!$Q$91*'Needs years'!$C$126+'Inputs'!$Q$92*'Needs years'!$C$182+'Inputs'!$Q$93*'Needs years'!$C$238+'Inputs'!$Q$94*'Needs years'!$C$294,2)</f>
      </c>
      <c r="AI89">
        <f>ROUND('Inputs'!$Q$89*'Needs years'!$C$14+'Inputs'!$Q$90*'Needs years'!$C$70+'Inputs'!$Q$91*'Needs years'!$C$126+'Inputs'!$Q$92*'Needs years'!$C$182+'Inputs'!$Q$93*'Needs years'!$C$238+'Inputs'!$Q$94*'Needs years'!$C$294,2)</f>
      </c>
      <c r="AJ89">
        <f>ROUND('Inputs'!$Q$89*'Needs years'!$C$14+'Inputs'!$Q$90*'Needs years'!$C$70+'Inputs'!$Q$91*'Needs years'!$C$126+'Inputs'!$Q$92*'Needs years'!$C$182+'Inputs'!$Q$93*'Needs years'!$C$238+'Inputs'!$Q$94*'Needs years'!$C$294,2)</f>
      </c>
      <c r="AK89">
        <f>ROUND('Inputs'!$Q$89*'Needs years'!$C$14+'Inputs'!$Q$90*'Needs years'!$C$70+'Inputs'!$Q$91*'Needs years'!$C$126+'Inputs'!$Q$92*'Needs years'!$C$182+'Inputs'!$Q$93*'Needs years'!$C$238+'Inputs'!$Q$94*'Needs years'!$C$294,2)</f>
      </c>
      <c r="AM89">
        <f>ROUND('Inputs'!$Q$89*'Needs years'!$C$14+'Inputs'!$Q$90*'Needs years'!$C$70+'Inputs'!$Q$91*'Needs years'!$C$126+'Inputs'!$Q$92*'Needs years'!$C$182+'Inputs'!$Q$93*'Needs years'!$C$238+'Inputs'!$Q$94*'Needs years'!$C$294,2)</f>
      </c>
      <c r="AN89">
        <f>ROUND('Inputs'!$Q$89*'Needs years'!$C$14+'Inputs'!$Q$90*'Needs years'!$C$70+'Inputs'!$Q$91*'Needs years'!$C$126+'Inputs'!$Q$92*'Needs years'!$C$182+'Inputs'!$Q$93*'Needs years'!$C$238+'Inputs'!$Q$94*'Needs years'!$C$294,2)</f>
      </c>
      <c r="AO89">
        <f>ROUND('Inputs'!$Q$89*'Needs years'!$C$14+'Inputs'!$Q$90*'Needs years'!$C$70+'Inputs'!$Q$91*'Needs years'!$C$126+'Inputs'!$Q$92*'Needs years'!$C$182+'Inputs'!$Q$93*'Needs years'!$C$238+'Inputs'!$Q$94*'Needs years'!$C$294,2)</f>
      </c>
      <c r="AP89">
        <f>ROUND('Inputs'!$Q$89*'Needs years'!$C$14+'Inputs'!$Q$90*'Needs years'!$C$70+'Inputs'!$Q$91*'Needs years'!$C$126+'Inputs'!$Q$92*'Needs years'!$C$182+'Inputs'!$Q$93*'Needs years'!$C$238+'Inputs'!$Q$94*'Needs years'!$C$294,2)</f>
      </c>
      <c r="AQ89">
        <f>ROUND('Inputs'!$Q$89*'Needs years'!$C$14+'Inputs'!$Q$90*'Needs years'!$C$70+'Inputs'!$Q$91*'Needs years'!$C$126+'Inputs'!$Q$92*'Needs years'!$C$182+'Inputs'!$Q$93*'Needs years'!$C$238+'Inputs'!$Q$94*'Needs years'!$C$294,2)</f>
      </c>
      <c r="AR89">
        <f>ROUND('Inputs'!$Q$89*'Needs years'!$C$14+'Inputs'!$Q$90*'Needs years'!$C$70+'Inputs'!$Q$91*'Needs years'!$C$126+'Inputs'!$Q$92*'Needs years'!$C$182+'Inputs'!$Q$93*'Needs years'!$C$238+'Inputs'!$Q$94*'Needs years'!$C$294,2)</f>
      </c>
      <c r="AS89">
        <f>ROUND('Inputs'!$Q$89*'Needs years'!$C$14+'Inputs'!$Q$90*'Needs years'!$C$70+'Inputs'!$Q$91*'Needs years'!$C$126+'Inputs'!$Q$92*'Needs years'!$C$182+'Inputs'!$Q$93*'Needs years'!$C$238+'Inputs'!$Q$94*'Needs years'!$C$294,2)</f>
      </c>
      <c r="AT89">
        <f>ROUND('Inputs'!$Q$89*'Needs years'!$C$14+'Inputs'!$Q$90*'Needs years'!$C$70+'Inputs'!$Q$91*'Needs years'!$C$126+'Inputs'!$Q$92*'Needs years'!$C$182+'Inputs'!$Q$93*'Needs years'!$C$238+'Inputs'!$Q$94*'Needs years'!$C$294,2)</f>
      </c>
      <c r="AU89">
        <f>ROUND('Inputs'!$Q$89*'Needs years'!$C$14+'Inputs'!$Q$90*'Needs years'!$C$70+'Inputs'!$Q$91*'Needs years'!$C$126+'Inputs'!$Q$92*'Needs years'!$C$182+'Inputs'!$Q$93*'Needs years'!$C$238+'Inputs'!$Q$94*'Needs years'!$C$294,2)</f>
      </c>
      <c r="AV89">
        <f>ROUND('Inputs'!$Q$89*'Needs years'!$C$14+'Inputs'!$Q$90*'Needs years'!$C$70+'Inputs'!$Q$91*'Needs years'!$C$126+'Inputs'!$Q$92*'Needs years'!$C$182+'Inputs'!$Q$93*'Needs years'!$C$238+'Inputs'!$Q$94*'Needs years'!$C$294,2)</f>
      </c>
      <c r="AW89">
        <f>ROUND('Inputs'!$Q$89*'Needs years'!$C$14+'Inputs'!$Q$90*'Needs years'!$C$70+'Inputs'!$Q$91*'Needs years'!$C$126+'Inputs'!$Q$92*'Needs years'!$C$182+'Inputs'!$Q$93*'Needs years'!$C$238+'Inputs'!$Q$94*'Needs years'!$C$294,2)</f>
      </c>
      <c r="AX89">
        <f>ROUND('Inputs'!$Q$89*'Needs years'!$C$14+'Inputs'!$Q$90*'Needs years'!$C$70+'Inputs'!$Q$91*'Needs years'!$C$126+'Inputs'!$Q$92*'Needs years'!$C$182+'Inputs'!$Q$93*'Needs years'!$C$238+'Inputs'!$Q$94*'Needs years'!$C$294,2)</f>
      </c>
      <c r="AY89">
        <f>ROUND('Inputs'!$Q$89*'Needs years'!$C$14+'Inputs'!$Q$90*'Needs years'!$C$70+'Inputs'!$Q$91*'Needs years'!$C$126+'Inputs'!$Q$92*'Needs years'!$C$182+'Inputs'!$Q$93*'Needs years'!$C$238+'Inputs'!$Q$94*'Needs years'!$C$294,2)</f>
      </c>
      <c r="AZ89">
        <f>ROUND('Inputs'!$Q$89*'Needs years'!$C$14+'Inputs'!$Q$90*'Needs years'!$C$70+'Inputs'!$Q$91*'Needs years'!$C$126+'Inputs'!$Q$92*'Needs years'!$C$182+'Inputs'!$Q$93*'Needs years'!$C$238+'Inputs'!$Q$94*'Needs years'!$C$294,2)</f>
      </c>
      <c r="BA89">
        <f>ROUND('Inputs'!$Q$89*'Needs years'!$C$14+'Inputs'!$Q$90*'Needs years'!$C$70+'Inputs'!$Q$91*'Needs years'!$C$126+'Inputs'!$Q$92*'Needs years'!$C$182+'Inputs'!$Q$93*'Needs years'!$C$238+'Inputs'!$Q$94*'Needs years'!$C$294,2)</f>
      </c>
      <c r="BB89">
        <f>ROUND('Inputs'!$Q$89*'Needs years'!$C$14+'Inputs'!$Q$90*'Needs years'!$C$70+'Inputs'!$Q$91*'Needs years'!$C$126+'Inputs'!$Q$92*'Needs years'!$C$182+'Inputs'!$Q$93*'Needs years'!$C$238+'Inputs'!$Q$94*'Needs years'!$C$294,2)</f>
      </c>
      <c r="BD89">
        <f>ROUND('Inputs'!$Q$89*'Needs years'!$C$14+'Inputs'!$Q$90*'Needs years'!$C$70+'Inputs'!$Q$91*'Needs years'!$C$126+'Inputs'!$Q$92*'Needs years'!$C$182+'Inputs'!$Q$93*'Needs years'!$C$238+'Inputs'!$Q$94*'Needs years'!$C$294,2)</f>
      </c>
      <c r="BE89">
        <f>ROUND('Inputs'!$Q$89*'Needs years'!$C$14+'Inputs'!$Q$90*'Needs years'!$C$70+'Inputs'!$Q$91*'Needs years'!$C$126+'Inputs'!$Q$92*'Needs years'!$C$182+'Inputs'!$Q$93*'Needs years'!$C$238+'Inputs'!$Q$94*'Needs years'!$C$294,2)</f>
      </c>
      <c r="BF89">
        <f>ROUND('Inputs'!$Q$89*'Needs years'!$C$14+'Inputs'!$Q$90*'Needs years'!$C$70+'Inputs'!$Q$91*'Needs years'!$C$126+'Inputs'!$Q$92*'Needs years'!$C$182+'Inputs'!$Q$93*'Needs years'!$C$238+'Inputs'!$Q$94*'Needs years'!$C$294,2)</f>
      </c>
      <c r="BG89">
        <f>ROUND('Inputs'!$Q$89*'Needs years'!$C$14+'Inputs'!$Q$90*'Needs years'!$C$70+'Inputs'!$Q$91*'Needs years'!$C$126+'Inputs'!$Q$92*'Needs years'!$C$182+'Inputs'!$Q$93*'Needs years'!$C$238+'Inputs'!$Q$94*'Needs years'!$C$294,2)</f>
      </c>
      <c r="BH89">
        <f>ROUND('Inputs'!$Q$89*'Needs years'!$C$14+'Inputs'!$Q$90*'Needs years'!$C$70+'Inputs'!$Q$91*'Needs years'!$C$126+'Inputs'!$Q$92*'Needs years'!$C$182+'Inputs'!$Q$93*'Needs years'!$C$238+'Inputs'!$Q$94*'Needs years'!$C$294,2)</f>
      </c>
      <c r="BI89">
        <f>ROUND('Inputs'!$Q$89*'Needs years'!$C$14+'Inputs'!$Q$90*'Needs years'!$C$70+'Inputs'!$Q$91*'Needs years'!$C$126+'Inputs'!$Q$92*'Needs years'!$C$182+'Inputs'!$Q$93*'Needs years'!$C$238+'Inputs'!$Q$94*'Needs years'!$C$294,2)</f>
      </c>
      <c r="BJ89">
        <f>ROUND('Inputs'!$Q$89*'Needs years'!$C$14+'Inputs'!$Q$90*'Needs years'!$C$70+'Inputs'!$Q$91*'Needs years'!$C$126+'Inputs'!$Q$92*'Needs years'!$C$182+'Inputs'!$Q$93*'Needs years'!$C$238+'Inputs'!$Q$94*'Needs years'!$C$294,2)</f>
      </c>
      <c r="BK89">
        <f>ROUND('Inputs'!$Q$89*'Needs years'!$C$14+'Inputs'!$Q$90*'Needs years'!$C$70+'Inputs'!$Q$91*'Needs years'!$C$126+'Inputs'!$Q$92*'Needs years'!$C$182+'Inputs'!$Q$93*'Needs years'!$C$238+'Inputs'!$Q$94*'Needs years'!$C$294,2)</f>
      </c>
      <c r="BL89">
        <f>ROUND('Inputs'!$Q$89*'Needs years'!$C$14+'Inputs'!$Q$90*'Needs years'!$C$70+'Inputs'!$Q$91*'Needs years'!$C$126+'Inputs'!$Q$92*'Needs years'!$C$182+'Inputs'!$Q$93*'Needs years'!$C$238+'Inputs'!$Q$94*'Needs years'!$C$294,2)</f>
      </c>
      <c r="BM89">
        <f>ROUND('Inputs'!$Q$89*'Needs years'!$C$14+'Inputs'!$Q$90*'Needs years'!$C$70+'Inputs'!$Q$91*'Needs years'!$C$126+'Inputs'!$Q$92*'Needs years'!$C$182+'Inputs'!$Q$93*'Needs years'!$C$238+'Inputs'!$Q$94*'Needs years'!$C$294,2)</f>
      </c>
      <c r="BN89">
        <f>ROUND('Inputs'!$Q$89*'Needs years'!$C$14+'Inputs'!$Q$90*'Needs years'!$C$70+'Inputs'!$Q$91*'Needs years'!$C$126+'Inputs'!$Q$92*'Needs years'!$C$182+'Inputs'!$Q$93*'Needs years'!$C$238+'Inputs'!$Q$94*'Needs years'!$C$294,2)</f>
      </c>
      <c r="BO89">
        <f>ROUND('Inputs'!$Q$89*'Needs years'!$C$14+'Inputs'!$Q$90*'Needs years'!$C$70+'Inputs'!$Q$91*'Needs years'!$C$126+'Inputs'!$Q$92*'Needs years'!$C$182+'Inputs'!$Q$93*'Needs years'!$C$238+'Inputs'!$Q$94*'Needs years'!$C$294,2)</f>
      </c>
      <c r="BP89">
        <f>ROUND('Inputs'!$Q$89*'Needs years'!$C$14+'Inputs'!$Q$90*'Needs years'!$C$70+'Inputs'!$Q$91*'Needs years'!$C$126+'Inputs'!$Q$92*'Needs years'!$C$182+'Inputs'!$Q$93*'Needs years'!$C$238+'Inputs'!$Q$94*'Needs years'!$C$294,2)</f>
      </c>
      <c r="BQ89">
        <f>ROUND('Inputs'!$Q$89*'Needs years'!$C$14+'Inputs'!$Q$90*'Needs years'!$C$70+'Inputs'!$Q$91*'Needs years'!$C$126+'Inputs'!$Q$92*'Needs years'!$C$182+'Inputs'!$Q$93*'Needs years'!$C$238+'Inputs'!$Q$94*'Needs years'!$C$294,2)</f>
      </c>
      <c r="BR89">
        <f>ROUND('Inputs'!$Q$89*'Needs years'!$C$14+'Inputs'!$Q$90*'Needs years'!$C$70+'Inputs'!$Q$91*'Needs years'!$C$126+'Inputs'!$Q$92*'Needs years'!$C$182+'Inputs'!$Q$93*'Needs years'!$C$238+'Inputs'!$Q$94*'Needs years'!$C$294,2)</f>
      </c>
      <c r="BS89">
        <f>ROUND('Inputs'!$Q$89*'Needs years'!$C$14+'Inputs'!$Q$90*'Needs years'!$C$70+'Inputs'!$Q$91*'Needs years'!$C$126+'Inputs'!$Q$92*'Needs years'!$C$182+'Inputs'!$Q$93*'Needs years'!$C$238+'Inputs'!$Q$94*'Needs years'!$C$294,2)</f>
      </c>
    </row>
    <row r="90" spans="2:71" x14ac:dyDescent="0.25">
      <c r="B90" t="s">
        <v>409</v>
      </c>
      <c r="C90">
        <f>ROUND(C88-C89,2)</f>
      </c>
      <c r="E90">
        <f>ROUND(E88-E89,2)</f>
      </c>
      <c r="F90">
        <f>ROUND(F88-F89,2)</f>
      </c>
      <c r="G90">
        <f>ROUND(G88-G89,2)</f>
      </c>
      <c r="H90">
        <f>ROUND(H88-H89,2)</f>
      </c>
      <c r="I90">
        <f>ROUND(I88-I89,2)</f>
      </c>
      <c r="J90">
        <f>ROUND(J88-J89,2)</f>
      </c>
      <c r="K90">
        <f>ROUND(K88-K89,2)</f>
      </c>
      <c r="L90">
        <f>ROUND(L88-L89,2)</f>
      </c>
      <c r="M90">
        <f>ROUND(M88-M89,2)</f>
      </c>
      <c r="N90">
        <f>ROUND(N88-N89,2)</f>
      </c>
      <c r="O90">
        <f>ROUND(O88-O89,2)</f>
      </c>
      <c r="P90">
        <f>ROUND(P88-P89,2)</f>
      </c>
      <c r="Q90">
        <f>ROUND(Q88-Q89,2)</f>
      </c>
      <c r="R90">
        <f>ROUND(R88-R89,2)</f>
      </c>
      <c r="S90">
        <f>ROUND(S88-S89,2)</f>
      </c>
      <c r="T90">
        <f>ROUND(T88-T89,2)</f>
      </c>
      <c r="V90">
        <f>ROUND(V88-V89,2)</f>
      </c>
      <c r="W90">
        <f>ROUND(W88-W89,2)</f>
      </c>
      <c r="X90">
        <f>ROUND(X88-X89,2)</f>
      </c>
      <c r="Y90">
        <f>ROUND(Y88-Y89,2)</f>
      </c>
      <c r="Z90">
        <f>ROUND(Z88-Z89,2)</f>
      </c>
      <c r="AA90">
        <f>ROUND(AA88-AA89,2)</f>
      </c>
      <c r="AB90">
        <f>ROUND(AB88-AB89,2)</f>
      </c>
      <c r="AC90">
        <f>ROUND(AC88-AC89,2)</f>
      </c>
      <c r="AD90">
        <f>ROUND(AD88-AD89,2)</f>
      </c>
      <c r="AE90">
        <f>ROUND(AE88-AE89,2)</f>
      </c>
      <c r="AF90">
        <f>ROUND(AF88-AF89,2)</f>
      </c>
      <c r="AG90">
        <f>ROUND(AG88-AG89,2)</f>
      </c>
      <c r="AH90">
        <f>ROUND(AH88-AH89,2)</f>
      </c>
      <c r="AI90">
        <f>ROUND(AI88-AI89,2)</f>
      </c>
      <c r="AJ90">
        <f>ROUND(AJ88-AJ89,2)</f>
      </c>
      <c r="AK90">
        <f>ROUND(AK88-AK89,2)</f>
      </c>
      <c r="AM90">
        <f>ROUND(AM88-AM89,2)</f>
      </c>
      <c r="AN90">
        <f>ROUND(AN88-AN89,2)</f>
      </c>
      <c r="AO90">
        <f>ROUND(AO88-AO89,2)</f>
      </c>
      <c r="AP90">
        <f>ROUND(AP88-AP89,2)</f>
      </c>
      <c r="AQ90">
        <f>ROUND(AQ88-AQ89,2)</f>
      </c>
      <c r="AR90">
        <f>ROUND(AR88-AR89,2)</f>
      </c>
      <c r="AS90">
        <f>ROUND(AS88-AS89,2)</f>
      </c>
      <c r="AT90">
        <f>ROUND(AT88-AT89,2)</f>
      </c>
      <c r="AU90">
        <f>ROUND(AU88-AU89,2)</f>
      </c>
      <c r="AV90">
        <f>ROUND(AV88-AV89,2)</f>
      </c>
      <c r="AW90">
        <f>ROUND(AW88-AW89,2)</f>
      </c>
      <c r="AX90">
        <f>ROUND(AX88-AX89,2)</f>
      </c>
      <c r="AY90">
        <f>ROUND(AY88-AY89,2)</f>
      </c>
      <c r="AZ90">
        <f>ROUND(AZ88-AZ89,2)</f>
      </c>
      <c r="BA90">
        <f>ROUND(BA88-BA89,2)</f>
      </c>
      <c r="BB90">
        <f>ROUND(BB88-BB89,2)</f>
      </c>
      <c r="BD90">
        <f>ROUND(BD88-BD89,2)</f>
      </c>
      <c r="BE90">
        <f>ROUND(BE88-BE89,2)</f>
      </c>
      <c r="BF90">
        <f>ROUND(BF88-BF89,2)</f>
      </c>
      <c r="BG90">
        <f>ROUND(BG88-BG89,2)</f>
      </c>
      <c r="BH90">
        <f>ROUND(BH88-BH89,2)</f>
      </c>
      <c r="BI90">
        <f>ROUND(BI88-BI89,2)</f>
      </c>
      <c r="BJ90">
        <f>ROUND(BJ88-BJ89,2)</f>
      </c>
      <c r="BK90">
        <f>ROUND(BK88-BK89,2)</f>
      </c>
      <c r="BL90">
        <f>ROUND(BL88-BL89,2)</f>
      </c>
      <c r="BM90">
        <f>ROUND(BM88-BM89,2)</f>
      </c>
      <c r="BN90">
        <f>ROUND(BN88-BN89,2)</f>
      </c>
      <c r="BO90">
        <f>ROUND(BO88-BO89,2)</f>
      </c>
      <c r="BP90">
        <f>ROUND(BP88-BP89,2)</f>
      </c>
      <c r="BQ90">
        <f>ROUND(BQ88-BQ89,2)</f>
      </c>
      <c r="BR90">
        <f>ROUND(BR88-BR89,2)</f>
      </c>
      <c r="BS90">
        <f>ROUND(BS88-BS89,2)</f>
      </c>
    </row>
    <row r="91" spans="2:71" x14ac:dyDescent="0.25">
      <c r="B91" t="s">
        <v>410</v>
      </c>
      <c r="C91">
        <f>IF(C4=1,ROUND(C89-C88,2),0)</f>
      </c>
      <c r="E91">
        <f>IF(E4=1,ROUND(E89-E88,2),0)</f>
      </c>
      <c r="F91">
        <f>IF(F4=1,ROUND(F89-F88,2),0)</f>
      </c>
      <c r="G91">
        <f>IF(G4=1,ROUND(G89-G88,2),0)</f>
      </c>
      <c r="H91">
        <f>IF(H4=1,ROUND(H89-H88,2),0)</f>
      </c>
      <c r="I91">
        <f>IF(I4=1,ROUND(I89-I88,2),0)</f>
      </c>
      <c r="J91">
        <f>IF(J4=1,ROUND(J89-J88,2),0)</f>
      </c>
      <c r="K91">
        <f>IF(K4=1,ROUND(K89-K88,2),0)</f>
      </c>
      <c r="L91">
        <f>IF(L4=1,ROUND(L89-L88,2),0)</f>
      </c>
      <c r="M91">
        <f>IF(M4=1,ROUND(M89-M88,2),0)</f>
      </c>
      <c r="N91">
        <f>IF(N4=1,ROUND(N89-N88,2),0)</f>
      </c>
      <c r="O91">
        <f>IF(O4=1,ROUND(O89-O88,2),0)</f>
      </c>
      <c r="P91">
        <f>IF(P4=1,ROUND(P89-P88,2),0)</f>
      </c>
      <c r="Q91">
        <f>IF(Q4=1,ROUND(Q89-Q88,2),0)</f>
      </c>
      <c r="R91">
        <f>IF(R4=1,ROUND(R89-R88,2),0)</f>
      </c>
      <c r="S91">
        <f>IF(S4=1,ROUND(S89-S88,2),0)</f>
      </c>
      <c r="T91">
        <f>IF(T4=1,ROUND(T89-T88,2),0)</f>
      </c>
      <c r="V91">
        <f>IF(V4=1,ROUND(V89-V88,2),0)</f>
      </c>
      <c r="W91">
        <f>IF(W4=1,ROUND(W89-W88,2),0)</f>
      </c>
      <c r="X91">
        <f>IF(X4=1,ROUND(X89-X88,2),0)</f>
      </c>
      <c r="Y91">
        <f>IF(Y4=1,ROUND(Y89-Y88,2),0)</f>
      </c>
      <c r="Z91">
        <f>IF(Z4=1,ROUND(Z89-Z88,2),0)</f>
      </c>
      <c r="AA91">
        <f>IF(AA4=1,ROUND(AA89-AA88,2),0)</f>
      </c>
      <c r="AB91">
        <f>IF(AB4=1,ROUND(AB89-AB88,2),0)</f>
      </c>
      <c r="AC91">
        <f>IF(AC4=1,ROUND(AC89-AC88,2),0)</f>
      </c>
      <c r="AD91">
        <f>IF(AD4=1,ROUND(AD89-AD88,2),0)</f>
      </c>
      <c r="AE91">
        <f>IF(AE4=1,ROUND(AE89-AE88,2),0)</f>
      </c>
      <c r="AF91">
        <f>IF(AF4=1,ROUND(AF89-AF88,2),0)</f>
      </c>
      <c r="AG91">
        <f>IF(AG4=1,ROUND(AG89-AG88,2),0)</f>
      </c>
      <c r="AH91">
        <f>IF(AH4=1,ROUND(AH89-AH88,2),0)</f>
      </c>
      <c r="AI91">
        <f>IF(AI4=1,ROUND(AI89-AI88,2),0)</f>
      </c>
      <c r="AJ91">
        <f>IF(AJ4=1,ROUND(AJ89-AJ88,2),0)</f>
      </c>
      <c r="AK91">
        <f>IF(AK4=1,ROUND(AK89-AK88,2),0)</f>
      </c>
      <c r="AM91">
        <f>IF(AM4=1,ROUND(AM89-AM88,2),0)</f>
      </c>
      <c r="AN91">
        <f>IF(AN4=1,ROUND(AN89-AN88,2),0)</f>
      </c>
      <c r="AO91">
        <f>IF(AO4=1,ROUND(AO89-AO88,2),0)</f>
      </c>
      <c r="AP91">
        <f>IF(AP4=1,ROUND(AP89-AP88,2),0)</f>
      </c>
      <c r="AQ91">
        <f>IF(AQ4=1,ROUND(AQ89-AQ88,2),0)</f>
      </c>
      <c r="AR91">
        <f>IF(AR4=1,ROUND(AR89-AR88,2),0)</f>
      </c>
      <c r="AS91">
        <f>IF(AS4=1,ROUND(AS89-AS88,2),0)</f>
      </c>
      <c r="AT91">
        <f>IF(AT4=1,ROUND(AT89-AT88,2),0)</f>
      </c>
      <c r="AU91">
        <f>IF(AU4=1,ROUND(AU89-AU88,2),0)</f>
      </c>
      <c r="AV91">
        <f>IF(AV4=1,ROUND(AV89-AV88,2),0)</f>
      </c>
      <c r="AW91">
        <f>IF(AW4=1,ROUND(AW89-AW88,2),0)</f>
      </c>
      <c r="AX91">
        <f>IF(AX4=1,ROUND(AX89-AX88,2),0)</f>
      </c>
      <c r="AY91">
        <f>IF(AY4=1,ROUND(AY89-AY88,2),0)</f>
      </c>
      <c r="AZ91">
        <f>IF(AZ4=1,ROUND(AZ89-AZ88,2),0)</f>
      </c>
      <c r="BA91">
        <f>IF(BA4=1,ROUND(BA89-BA88,2),0)</f>
      </c>
      <c r="BB91">
        <f>IF(BB4=1,ROUND(BB89-BB88,2),0)</f>
      </c>
      <c r="BD91">
        <f>IF(BD4=1,ROUND(BD89-BD88,2),0)</f>
      </c>
      <c r="BE91">
        <f>IF(BE4=1,ROUND(BE89-BE88,2),0)</f>
      </c>
      <c r="BF91">
        <f>IF(BF4=1,ROUND(BF89-BF88,2),0)</f>
      </c>
      <c r="BG91">
        <f>IF(BG4=1,ROUND(BG89-BG88,2),0)</f>
      </c>
      <c r="BH91">
        <f>IF(BH4=1,ROUND(BH89-BH88,2),0)</f>
      </c>
      <c r="BI91">
        <f>IF(BI4=1,ROUND(BI89-BI88,2),0)</f>
      </c>
      <c r="BJ91">
        <f>IF(BJ4=1,ROUND(BJ89-BJ88,2),0)</f>
      </c>
      <c r="BK91">
        <f>IF(BK4=1,ROUND(BK89-BK88,2),0)</f>
      </c>
      <c r="BL91">
        <f>IF(BL4=1,ROUND(BL89-BL88,2),0)</f>
      </c>
      <c r="BM91">
        <f>IF(BM4=1,ROUND(BM89-BM88,2),0)</f>
      </c>
      <c r="BN91">
        <f>IF(BN4=1,ROUND(BN89-BN88,2),0)</f>
      </c>
      <c r="BO91">
        <f>IF(BO4=1,ROUND(BO89-BO88,2),0)</f>
      </c>
      <c r="BP91">
        <f>IF(BP4=1,ROUND(BP89-BP88,2),0)</f>
      </c>
      <c r="BQ91">
        <f>IF(BQ4=1,ROUND(BQ89-BQ88,2),0)</f>
      </c>
      <c r="BR91">
        <f>IF(BR4=1,ROUND(BR89-BR88,2),0)</f>
      </c>
      <c r="BS91">
        <f>IF(BS4=1,ROUND(BS89-BS88,2),0)</f>
      </c>
    </row>
    <row r="92" spans="2:71" x14ac:dyDescent="0.25">
      <c r="B92" t="s">
        <v>411</v>
      </c>
      <c r="C92">
        <f>IF(OR(C3=1,C3=2),IF(AND(C7=0,C51&lt;=0),0,MAX(0,C7+C51/(1-C21))),0)</f>
      </c>
      <c r="E92">
        <f>IF(OR(E3=1,E3=2),IF(AND(E7=0,E51&lt;=0),0,MAX(0,E7+E51/(1-E21))),0)</f>
      </c>
      <c r="F92">
        <f>IF(OR(F3=1,F3=2),IF(AND(F7=0,F51&lt;=0),0,MAX(0,F7+F51/(1-F21))),0)</f>
      </c>
      <c r="G92">
        <f>IF(OR(G3=1,G3=2),IF(AND(G7=0,G51&lt;=0),0,MAX(0,G7+G51/(1-G21))),0)</f>
      </c>
      <c r="H92">
        <f>IF(OR(H3=1,H3=2),IF(AND(H7=0,H51&lt;=0),0,MAX(0,H7+H51/(1-H21))),0)</f>
      </c>
      <c r="I92">
        <f>IF(OR(I3=1,I3=2),IF(AND(I7=0,I51&lt;=0),0,MAX(0,I7+I51/(1-I21))),0)</f>
      </c>
      <c r="J92">
        <f>IF(OR(J3=1,J3=2),IF(AND(J7=0,J51&lt;=0),0,MAX(0,J7+J51/(1-J21))),0)</f>
      </c>
      <c r="K92">
        <f>IF(OR(K3=1,K3=2),IF(AND(K7=0,K51&lt;=0),0,MAX(0,K7+K51/(1-K21))),0)</f>
      </c>
      <c r="L92">
        <f>IF(OR(L3=1,L3=2),IF(AND(L7=0,L51&lt;=0),0,MAX(0,L7+L51/(1-L21))),0)</f>
      </c>
      <c r="M92">
        <f>IF(OR(M3=1,M3=2),IF(AND(M7=0,M51&lt;=0),0,MAX(0,M7+M51/(1-M21))),0)</f>
      </c>
      <c r="N92">
        <f>IF(OR(N3=1,N3=2),IF(AND(N7=0,N51&lt;=0),0,MAX(0,N7+N51/(1-N21))),0)</f>
      </c>
      <c r="O92">
        <f>IF(OR(O3=1,O3=2),IF(AND(O7=0,O51&lt;=0),0,MAX(0,O7+O51/(1-O21))),0)</f>
      </c>
      <c r="P92">
        <f>IF(OR(P3=1,P3=2),IF(AND(P7=0,P51&lt;=0),0,MAX(0,P7+P51/(1-P21))),0)</f>
      </c>
      <c r="Q92">
        <f>IF(OR(Q3=1,Q3=2),IF(AND(Q7=0,Q51&lt;=0),0,MAX(0,Q7+Q51/(1-Q21))),0)</f>
      </c>
      <c r="R92">
        <f>IF(OR(R3=1,R3=2),IF(AND(R7=0,R51&lt;=0),0,MAX(0,R7+R51/(1-R21))),0)</f>
      </c>
      <c r="S92">
        <f>IF(OR(S3=1,S3=2),IF(AND(S7=0,S51&lt;=0),0,MAX(0,S7+S51/(1-S21))),0)</f>
      </c>
      <c r="T92">
        <f>IF(OR(T3=1,T3=2),IF(AND(T7=0,T51&lt;=0),0,MAX(0,T7+T51/(1-T21))),0)</f>
      </c>
      <c r="V92">
        <f>IF(OR(V3=1,V3=2),IF(AND(V7=0,V51&lt;=0),0,MAX(0,V7+V51/(1-V21))),0)</f>
      </c>
      <c r="W92">
        <f>IF(OR(W3=1,W3=2),IF(AND(W7=0,W51&lt;=0),0,MAX(0,W7+W51/(1-W21))),0)</f>
      </c>
      <c r="X92">
        <f>IF(OR(X3=1,X3=2),IF(AND(X7=0,X51&lt;=0),0,MAX(0,X7+X51/(1-X21))),0)</f>
      </c>
      <c r="Y92">
        <f>IF(OR(Y3=1,Y3=2),IF(AND(Y7=0,Y51&lt;=0),0,MAX(0,Y7+Y51/(1-Y21))),0)</f>
      </c>
      <c r="Z92">
        <f>IF(OR(Z3=1,Z3=2),IF(AND(Z7=0,Z51&lt;=0),0,MAX(0,Z7+Z51/(1-Z21))),0)</f>
      </c>
      <c r="AA92">
        <f>IF(OR(AA3=1,AA3=2),IF(AND(AA7=0,AA51&lt;=0),0,MAX(0,AA7+AA51/(1-AA21))),0)</f>
      </c>
      <c r="AB92">
        <f>IF(OR(AB3=1,AB3=2),IF(AND(AB7=0,AB51&lt;=0),0,MAX(0,AB7+AB51/(1-AB21))),0)</f>
      </c>
      <c r="AC92">
        <f>IF(OR(AC3=1,AC3=2),IF(AND(AC7=0,AC51&lt;=0),0,MAX(0,AC7+AC51/(1-AC21))),0)</f>
      </c>
      <c r="AD92">
        <f>IF(OR(AD3=1,AD3=2),IF(AND(AD7=0,AD51&lt;=0),0,MAX(0,AD7+AD51/(1-AD21))),0)</f>
      </c>
      <c r="AE92">
        <f>IF(OR(AE3=1,AE3=2),IF(AND(AE7=0,AE51&lt;=0),0,MAX(0,AE7+AE51/(1-AE21))),0)</f>
      </c>
      <c r="AF92">
        <f>IF(OR(AF3=1,AF3=2),IF(AND(AF7=0,AF51&lt;=0),0,MAX(0,AF7+AF51/(1-AF21))),0)</f>
      </c>
      <c r="AG92">
        <f>IF(OR(AG3=1,AG3=2),IF(AND(AG7=0,AG51&lt;=0),0,MAX(0,AG7+AG51/(1-AG21))),0)</f>
      </c>
      <c r="AH92">
        <f>IF(OR(AH3=1,AH3=2),IF(AND(AH7=0,AH51&lt;=0),0,MAX(0,AH7+AH51/(1-AH21))),0)</f>
      </c>
      <c r="AI92">
        <f>IF(OR(AI3=1,AI3=2),IF(AND(AI7=0,AI51&lt;=0),0,MAX(0,AI7+AI51/(1-AI21))),0)</f>
      </c>
      <c r="AJ92">
        <f>IF(OR(AJ3=1,AJ3=2),IF(AND(AJ7=0,AJ51&lt;=0),0,MAX(0,AJ7+AJ51/(1-AJ21))),0)</f>
      </c>
      <c r="AK92">
        <f>IF(OR(AK3=1,AK3=2),IF(AND(AK7=0,AK51&lt;=0),0,MAX(0,AK7+AK51/(1-AK21))),0)</f>
      </c>
      <c r="AM92">
        <f>IF(OR(AM3=1,AM3=2),IF(AND(AM7=0,AM51&lt;=0),0,MAX(0,AM7+AM51/(1-AM21))),0)</f>
      </c>
      <c r="AN92">
        <f>IF(OR(AN3=1,AN3=2),IF(AND(AN7=0,AN51&lt;=0),0,MAX(0,AN7+AN51/(1-AN21))),0)</f>
      </c>
      <c r="AO92">
        <f>IF(OR(AO3=1,AO3=2),IF(AND(AO7=0,AO51&lt;=0),0,MAX(0,AO7+AO51/(1-AO21))),0)</f>
      </c>
      <c r="AP92">
        <f>IF(OR(AP3=1,AP3=2),IF(AND(AP7=0,AP51&lt;=0),0,MAX(0,AP7+AP51/(1-AP21))),0)</f>
      </c>
      <c r="AQ92">
        <f>IF(OR(AQ3=1,AQ3=2),IF(AND(AQ7=0,AQ51&lt;=0),0,MAX(0,AQ7+AQ51/(1-AQ21))),0)</f>
      </c>
      <c r="AR92">
        <f>IF(OR(AR3=1,AR3=2),IF(AND(AR7=0,AR51&lt;=0),0,MAX(0,AR7+AR51/(1-AR21))),0)</f>
      </c>
      <c r="AS92">
        <f>IF(OR(AS3=1,AS3=2),IF(AND(AS7=0,AS51&lt;=0),0,MAX(0,AS7+AS51/(1-AS21))),0)</f>
      </c>
      <c r="AT92">
        <f>IF(OR(AT3=1,AT3=2),IF(AND(AT7=0,AT51&lt;=0),0,MAX(0,AT7+AT51/(1-AT21))),0)</f>
      </c>
      <c r="AU92">
        <f>IF(OR(AU3=1,AU3=2),IF(AND(AU7=0,AU51&lt;=0),0,MAX(0,AU7+AU51/(1-AU21))),0)</f>
      </c>
      <c r="AV92">
        <f>IF(OR(AV3=1,AV3=2),IF(AND(AV7=0,AV51&lt;=0),0,MAX(0,AV7+AV51/(1-AV21))),0)</f>
      </c>
      <c r="AW92">
        <f>IF(OR(AW3=1,AW3=2),IF(AND(AW7=0,AW51&lt;=0),0,MAX(0,AW7+AW51/(1-AW21))),0)</f>
      </c>
      <c r="AX92">
        <f>IF(OR(AX3=1,AX3=2),IF(AND(AX7=0,AX51&lt;=0),0,MAX(0,AX7+AX51/(1-AX21))),0)</f>
      </c>
      <c r="AY92">
        <f>IF(OR(AY3=1,AY3=2),IF(AND(AY7=0,AY51&lt;=0),0,MAX(0,AY7+AY51/(1-AY21))),0)</f>
      </c>
      <c r="AZ92">
        <f>IF(OR(AZ3=1,AZ3=2),IF(AND(AZ7=0,AZ51&lt;=0),0,MAX(0,AZ7+AZ51/(1-AZ21))),0)</f>
      </c>
      <c r="BA92">
        <f>IF(OR(BA3=1,BA3=2),IF(AND(BA7=0,BA51&lt;=0),0,MAX(0,BA7+BA51/(1-BA21))),0)</f>
      </c>
      <c r="BB92">
        <f>IF(OR(BB3=1,BB3=2),IF(AND(BB7=0,BB51&lt;=0),0,MAX(0,BB7+BB51/(1-BB21))),0)</f>
      </c>
      <c r="BD92">
        <f>IF(OR(BD3=1,BD3=2),IF(AND(BD7=0,BD51&lt;=0),0,MAX(0,BD7+BD51/(1-BD21))),0)</f>
      </c>
      <c r="BE92">
        <f>IF(OR(BE3=1,BE3=2),IF(AND(BE7=0,BE51&lt;=0),0,MAX(0,BE7+BE51/(1-BE21))),0)</f>
      </c>
      <c r="BF92">
        <f>IF(OR(BF3=1,BF3=2),IF(AND(BF7=0,BF51&lt;=0),0,MAX(0,BF7+BF51/(1-BF21))),0)</f>
      </c>
      <c r="BG92">
        <f>IF(OR(BG3=1,BG3=2),IF(AND(BG7=0,BG51&lt;=0),0,MAX(0,BG7+BG51/(1-BG21))),0)</f>
      </c>
      <c r="BH92">
        <f>IF(OR(BH3=1,BH3=2),IF(AND(BH7=0,BH51&lt;=0),0,MAX(0,BH7+BH51/(1-BH21))),0)</f>
      </c>
      <c r="BI92">
        <f>IF(OR(BI3=1,BI3=2),IF(AND(BI7=0,BI51&lt;=0),0,MAX(0,BI7+BI51/(1-BI21))),0)</f>
      </c>
      <c r="BJ92">
        <f>IF(OR(BJ3=1,BJ3=2),IF(AND(BJ7=0,BJ51&lt;=0),0,MAX(0,BJ7+BJ51/(1-BJ21))),0)</f>
      </c>
      <c r="BK92">
        <f>IF(OR(BK3=1,BK3=2),IF(AND(BK7=0,BK51&lt;=0),0,MAX(0,BK7+BK51/(1-BK21))),0)</f>
      </c>
      <c r="BL92">
        <f>IF(OR(BL3=1,BL3=2),IF(AND(BL7=0,BL51&lt;=0),0,MAX(0,BL7+BL51/(1-BL21))),0)</f>
      </c>
      <c r="BM92">
        <f>IF(OR(BM3=1,BM3=2),IF(AND(BM7=0,BM51&lt;=0),0,MAX(0,BM7+BM51/(1-BM21))),0)</f>
      </c>
      <c r="BN92">
        <f>IF(OR(BN3=1,BN3=2),IF(AND(BN7=0,BN51&lt;=0),0,MAX(0,BN7+BN51/(1-BN21))),0)</f>
      </c>
      <c r="BO92">
        <f>IF(OR(BO3=1,BO3=2),IF(AND(BO7=0,BO51&lt;=0),0,MAX(0,BO7+BO51/(1-BO21))),0)</f>
      </c>
      <c r="BP92">
        <f>IF(OR(BP3=1,BP3=2),IF(AND(BP7=0,BP51&lt;=0),0,MAX(0,BP7+BP51/(1-BP21))),0)</f>
      </c>
      <c r="BQ92">
        <f>IF(OR(BQ3=1,BQ3=2),IF(AND(BQ7=0,BQ51&lt;=0),0,MAX(0,BQ7+BQ51/(1-BQ21))),0)</f>
      </c>
      <c r="BR92">
        <f>IF(OR(BR3=1,BR3=2),IF(AND(BR7=0,BR51&lt;=0),0,MAX(0,BR7+BR51/(1-BR21))),0)</f>
      </c>
      <c r="BS92">
        <f>IF(OR(BS3=1,BS3=2),IF(AND(BS7=0,BS51&lt;=0),0,MAX(0,BS7+BS51/(1-BS21))),0)</f>
      </c>
    </row>
    <row r="93" spans="2:71" x14ac:dyDescent="0.25">
      <c r="B93" t="s">
        <v>412</v>
      </c>
      <c r="C93">
        <f>IF(OR(C3=1,C3=2),IF(AND(C8=0,C58&lt;=0),0,MAX(0,C8+C58/(1-C21))),0)</f>
      </c>
      <c r="E93">
        <f>IF(OR(E3=1,E3=2),IF(AND(E8=0,E58&lt;=0),0,MAX(0,E8+E58/(1-E21))),0)</f>
      </c>
      <c r="F93">
        <f>IF(OR(F3=1,F3=2),IF(AND(F8=0,F58&lt;=0),0,MAX(0,F8+F58/(1-F21))),0)</f>
      </c>
      <c r="G93">
        <f>IF(OR(G3=1,G3=2),IF(AND(G8=0,G58&lt;=0),0,MAX(0,G8+G58/(1-G21))),0)</f>
      </c>
      <c r="H93">
        <f>IF(OR(H3=1,H3=2),IF(AND(H8=0,H58&lt;=0),0,MAX(0,H8+H58/(1-H21))),0)</f>
      </c>
      <c r="I93">
        <f>IF(OR(I3=1,I3=2),IF(AND(I8=0,I58&lt;=0),0,MAX(0,I8+I58/(1-I21))),0)</f>
      </c>
      <c r="J93">
        <f>IF(OR(J3=1,J3=2),IF(AND(J8=0,J58&lt;=0),0,MAX(0,J8+J58/(1-J21))),0)</f>
      </c>
      <c r="K93">
        <f>IF(OR(K3=1,K3=2),IF(AND(K8=0,K58&lt;=0),0,MAX(0,K8+K58/(1-K21))),0)</f>
      </c>
      <c r="L93">
        <f>IF(OR(L3=1,L3=2),IF(AND(L8=0,L58&lt;=0),0,MAX(0,L8+L58/(1-L21))),0)</f>
      </c>
      <c r="M93">
        <f>IF(OR(M3=1,M3=2),IF(AND(M8=0,M58&lt;=0),0,MAX(0,M8+M58/(1-M21))),0)</f>
      </c>
      <c r="N93">
        <f>IF(OR(N3=1,N3=2),IF(AND(N8=0,N58&lt;=0),0,MAX(0,N8+N58/(1-N21))),0)</f>
      </c>
      <c r="O93">
        <f>IF(OR(O3=1,O3=2),IF(AND(O8=0,O58&lt;=0),0,MAX(0,O8+O58/(1-O21))),0)</f>
      </c>
      <c r="P93">
        <f>IF(OR(P3=1,P3=2),IF(AND(P8=0,P58&lt;=0),0,MAX(0,P8+P58/(1-P21))),0)</f>
      </c>
      <c r="Q93">
        <f>IF(OR(Q3=1,Q3=2),IF(AND(Q8=0,Q58&lt;=0),0,MAX(0,Q8+Q58/(1-Q21))),0)</f>
      </c>
      <c r="R93">
        <f>IF(OR(R3=1,R3=2),IF(AND(R8=0,R58&lt;=0),0,MAX(0,R8+R58/(1-R21))),0)</f>
      </c>
      <c r="S93">
        <f>IF(OR(S3=1,S3=2),IF(AND(S8=0,S58&lt;=0),0,MAX(0,S8+S58/(1-S21))),0)</f>
      </c>
      <c r="T93">
        <f>IF(OR(T3=1,T3=2),IF(AND(T8=0,T58&lt;=0),0,MAX(0,T8+T58/(1-T21))),0)</f>
      </c>
      <c r="V93">
        <f>IF(OR(V3=1,V3=2),IF(AND(V8=0,V58&lt;=0),0,MAX(0,V8+V58/(1-V21))),0)</f>
      </c>
      <c r="W93">
        <f>IF(OR(W3=1,W3=2),IF(AND(W8=0,W58&lt;=0),0,MAX(0,W8+W58/(1-W21))),0)</f>
      </c>
      <c r="X93">
        <f>IF(OR(X3=1,X3=2),IF(AND(X8=0,X58&lt;=0),0,MAX(0,X8+X58/(1-X21))),0)</f>
      </c>
      <c r="Y93">
        <f>IF(OR(Y3=1,Y3=2),IF(AND(Y8=0,Y58&lt;=0),0,MAX(0,Y8+Y58/(1-Y21))),0)</f>
      </c>
      <c r="Z93">
        <f>IF(OR(Z3=1,Z3=2),IF(AND(Z8=0,Z58&lt;=0),0,MAX(0,Z8+Z58/(1-Z21))),0)</f>
      </c>
      <c r="AA93">
        <f>IF(OR(AA3=1,AA3=2),IF(AND(AA8=0,AA58&lt;=0),0,MAX(0,AA8+AA58/(1-AA21))),0)</f>
      </c>
      <c r="AB93">
        <f>IF(OR(AB3=1,AB3=2),IF(AND(AB8=0,AB58&lt;=0),0,MAX(0,AB8+AB58/(1-AB21))),0)</f>
      </c>
      <c r="AC93">
        <f>IF(OR(AC3=1,AC3=2),IF(AND(AC8=0,AC58&lt;=0),0,MAX(0,AC8+AC58/(1-AC21))),0)</f>
      </c>
      <c r="AD93">
        <f>IF(OR(AD3=1,AD3=2),IF(AND(AD8=0,AD58&lt;=0),0,MAX(0,AD8+AD58/(1-AD21))),0)</f>
      </c>
      <c r="AE93">
        <f>IF(OR(AE3=1,AE3=2),IF(AND(AE8=0,AE58&lt;=0),0,MAX(0,AE8+AE58/(1-AE21))),0)</f>
      </c>
      <c r="AF93">
        <f>IF(OR(AF3=1,AF3=2),IF(AND(AF8=0,AF58&lt;=0),0,MAX(0,AF8+AF58/(1-AF21))),0)</f>
      </c>
      <c r="AG93">
        <f>IF(OR(AG3=1,AG3=2),IF(AND(AG8=0,AG58&lt;=0),0,MAX(0,AG8+AG58/(1-AG21))),0)</f>
      </c>
      <c r="AH93">
        <f>IF(OR(AH3=1,AH3=2),IF(AND(AH8=0,AH58&lt;=0),0,MAX(0,AH8+AH58/(1-AH21))),0)</f>
      </c>
      <c r="AI93">
        <f>IF(OR(AI3=1,AI3=2),IF(AND(AI8=0,AI58&lt;=0),0,MAX(0,AI8+AI58/(1-AI21))),0)</f>
      </c>
      <c r="AJ93">
        <f>IF(OR(AJ3=1,AJ3=2),IF(AND(AJ8=0,AJ58&lt;=0),0,MAX(0,AJ8+AJ58/(1-AJ21))),0)</f>
      </c>
      <c r="AK93">
        <f>IF(OR(AK3=1,AK3=2),IF(AND(AK8=0,AK58&lt;=0),0,MAX(0,AK8+AK58/(1-AK21))),0)</f>
      </c>
      <c r="AM93">
        <f>IF(OR(AM3=1,AM3=2),IF(AND(AM8=0,AM58&lt;=0),0,MAX(0,AM8+AM58/(1-AM21))),0)</f>
      </c>
      <c r="AN93">
        <f>IF(OR(AN3=1,AN3=2),IF(AND(AN8=0,AN58&lt;=0),0,MAX(0,AN8+AN58/(1-AN21))),0)</f>
      </c>
      <c r="AO93">
        <f>IF(OR(AO3=1,AO3=2),IF(AND(AO8=0,AO58&lt;=0),0,MAX(0,AO8+AO58/(1-AO21))),0)</f>
      </c>
      <c r="AP93">
        <f>IF(OR(AP3=1,AP3=2),IF(AND(AP8=0,AP58&lt;=0),0,MAX(0,AP8+AP58/(1-AP21))),0)</f>
      </c>
      <c r="AQ93">
        <f>IF(OR(AQ3=1,AQ3=2),IF(AND(AQ8=0,AQ58&lt;=0),0,MAX(0,AQ8+AQ58/(1-AQ21))),0)</f>
      </c>
      <c r="AR93">
        <f>IF(OR(AR3=1,AR3=2),IF(AND(AR8=0,AR58&lt;=0),0,MAX(0,AR8+AR58/(1-AR21))),0)</f>
      </c>
      <c r="AS93">
        <f>IF(OR(AS3=1,AS3=2),IF(AND(AS8=0,AS58&lt;=0),0,MAX(0,AS8+AS58/(1-AS21))),0)</f>
      </c>
      <c r="AT93">
        <f>IF(OR(AT3=1,AT3=2),IF(AND(AT8=0,AT58&lt;=0),0,MAX(0,AT8+AT58/(1-AT21))),0)</f>
      </c>
      <c r="AU93">
        <f>IF(OR(AU3=1,AU3=2),IF(AND(AU8=0,AU58&lt;=0),0,MAX(0,AU8+AU58/(1-AU21))),0)</f>
      </c>
      <c r="AV93">
        <f>IF(OR(AV3=1,AV3=2),IF(AND(AV8=0,AV58&lt;=0),0,MAX(0,AV8+AV58/(1-AV21))),0)</f>
      </c>
      <c r="AW93">
        <f>IF(OR(AW3=1,AW3=2),IF(AND(AW8=0,AW58&lt;=0),0,MAX(0,AW8+AW58/(1-AW21))),0)</f>
      </c>
      <c r="AX93">
        <f>IF(OR(AX3=1,AX3=2),IF(AND(AX8=0,AX58&lt;=0),0,MAX(0,AX8+AX58/(1-AX21))),0)</f>
      </c>
      <c r="AY93">
        <f>IF(OR(AY3=1,AY3=2),IF(AND(AY8=0,AY58&lt;=0),0,MAX(0,AY8+AY58/(1-AY21))),0)</f>
      </c>
      <c r="AZ93">
        <f>IF(OR(AZ3=1,AZ3=2),IF(AND(AZ8=0,AZ58&lt;=0),0,MAX(0,AZ8+AZ58/(1-AZ21))),0)</f>
      </c>
      <c r="BA93">
        <f>IF(OR(BA3=1,BA3=2),IF(AND(BA8=0,BA58&lt;=0),0,MAX(0,BA8+BA58/(1-BA21))),0)</f>
      </c>
      <c r="BB93">
        <f>IF(OR(BB3=1,BB3=2),IF(AND(BB8=0,BB58&lt;=0),0,MAX(0,BB8+BB58/(1-BB21))),0)</f>
      </c>
      <c r="BD93">
        <f>IF(OR(BD3=1,BD3=2),IF(AND(BD8=0,BD58&lt;=0),0,MAX(0,BD8+BD58/(1-BD21))),0)</f>
      </c>
      <c r="BE93">
        <f>IF(OR(BE3=1,BE3=2),IF(AND(BE8=0,BE58&lt;=0),0,MAX(0,BE8+BE58/(1-BE21))),0)</f>
      </c>
      <c r="BF93">
        <f>IF(OR(BF3=1,BF3=2),IF(AND(BF8=0,BF58&lt;=0),0,MAX(0,BF8+BF58/(1-BF21))),0)</f>
      </c>
      <c r="BG93">
        <f>IF(OR(BG3=1,BG3=2),IF(AND(BG8=0,BG58&lt;=0),0,MAX(0,BG8+BG58/(1-BG21))),0)</f>
      </c>
      <c r="BH93">
        <f>IF(OR(BH3=1,BH3=2),IF(AND(BH8=0,BH58&lt;=0),0,MAX(0,BH8+BH58/(1-BH21))),0)</f>
      </c>
      <c r="BI93">
        <f>IF(OR(BI3=1,BI3=2),IF(AND(BI8=0,BI58&lt;=0),0,MAX(0,BI8+BI58/(1-BI21))),0)</f>
      </c>
      <c r="BJ93">
        <f>IF(OR(BJ3=1,BJ3=2),IF(AND(BJ8=0,BJ58&lt;=0),0,MAX(0,BJ8+BJ58/(1-BJ21))),0)</f>
      </c>
      <c r="BK93">
        <f>IF(OR(BK3=1,BK3=2),IF(AND(BK8=0,BK58&lt;=0),0,MAX(0,BK8+BK58/(1-BK21))),0)</f>
      </c>
      <c r="BL93">
        <f>IF(OR(BL3=1,BL3=2),IF(AND(BL8=0,BL58&lt;=0),0,MAX(0,BL8+BL58/(1-BL21))),0)</f>
      </c>
      <c r="BM93">
        <f>IF(OR(BM3=1,BM3=2),IF(AND(BM8=0,BM58&lt;=0),0,MAX(0,BM8+BM58/(1-BM21))),0)</f>
      </c>
      <c r="BN93">
        <f>IF(OR(BN3=1,BN3=2),IF(AND(BN8=0,BN58&lt;=0),0,MAX(0,BN8+BN58/(1-BN21))),0)</f>
      </c>
      <c r="BO93">
        <f>IF(OR(BO3=1,BO3=2),IF(AND(BO8=0,BO58&lt;=0),0,MAX(0,BO8+BO58/(1-BO21))),0)</f>
      </c>
      <c r="BP93">
        <f>IF(OR(BP3=1,BP3=2),IF(AND(BP8=0,BP58&lt;=0),0,MAX(0,BP8+BP58/(1-BP21))),0)</f>
      </c>
      <c r="BQ93">
        <f>IF(OR(BQ3=1,BQ3=2),IF(AND(BQ8=0,BQ58&lt;=0),0,MAX(0,BQ8+BQ58/(1-BQ21))),0)</f>
      </c>
      <c r="BR93">
        <f>IF(OR(BR3=1,BR3=2),IF(AND(BR8=0,BR58&lt;=0),0,MAX(0,BR8+BR58/(1-BR21))),0)</f>
      </c>
      <c r="BS93">
        <f>IF(OR(BS3=1,BS3=2),IF(AND(BS8=0,BS58&lt;=0),0,MAX(0,BS8+BS58/(1-BS21))),0)</f>
      </c>
    </row>
    <row r="94" spans="2:71" x14ac:dyDescent="0.25">
      <c r="B94" t="s">
        <v>413</v>
      </c>
      <c r="C94">
        <f>IF(OR(C3=1,C3=2),IF(AND(C9=0,C65&lt;=0),0,MAX(0,C9+C65/(1-C21))),0)</f>
      </c>
      <c r="E94">
        <f>IF(OR(E3=1,E3=2),IF(AND(E9=0,E65&lt;=0),0,MAX(0,E9+E65/(1-E21))),0)</f>
      </c>
      <c r="F94">
        <f>IF(OR(F3=1,F3=2),IF(AND(F9=0,F65&lt;=0),0,MAX(0,F9+F65/(1-F21))),0)</f>
      </c>
      <c r="G94">
        <f>IF(OR(G3=1,G3=2),IF(AND(G9=0,G65&lt;=0),0,MAX(0,G9+G65/(1-G21))),0)</f>
      </c>
      <c r="H94">
        <f>IF(OR(H3=1,H3=2),IF(AND(H9=0,H65&lt;=0),0,MAX(0,H9+H65/(1-H21))),0)</f>
      </c>
      <c r="I94">
        <f>IF(OR(I3=1,I3=2),IF(AND(I9=0,I65&lt;=0),0,MAX(0,I9+I65/(1-I21))),0)</f>
      </c>
      <c r="J94">
        <f>IF(OR(J3=1,J3=2),IF(AND(J9=0,J65&lt;=0),0,MAX(0,J9+J65/(1-J21))),0)</f>
      </c>
      <c r="K94">
        <f>IF(OR(K3=1,K3=2),IF(AND(K9=0,K65&lt;=0),0,MAX(0,K9+K65/(1-K21))),0)</f>
      </c>
      <c r="L94">
        <f>IF(OR(L3=1,L3=2),IF(AND(L9=0,L65&lt;=0),0,MAX(0,L9+L65/(1-L21))),0)</f>
      </c>
      <c r="M94">
        <f>IF(OR(M3=1,M3=2),IF(AND(M9=0,M65&lt;=0),0,MAX(0,M9+M65/(1-M21))),0)</f>
      </c>
      <c r="N94">
        <f>IF(OR(N3=1,N3=2),IF(AND(N9=0,N65&lt;=0),0,MAX(0,N9+N65/(1-N21))),0)</f>
      </c>
      <c r="O94">
        <f>IF(OR(O3=1,O3=2),IF(AND(O9=0,O65&lt;=0),0,MAX(0,O9+O65/(1-O21))),0)</f>
      </c>
      <c r="P94">
        <f>IF(OR(P3=1,P3=2),IF(AND(P9=0,P65&lt;=0),0,MAX(0,P9+P65/(1-P21))),0)</f>
      </c>
      <c r="Q94">
        <f>IF(OR(Q3=1,Q3=2),IF(AND(Q9=0,Q65&lt;=0),0,MAX(0,Q9+Q65/(1-Q21))),0)</f>
      </c>
      <c r="R94">
        <f>IF(OR(R3=1,R3=2),IF(AND(R9=0,R65&lt;=0),0,MAX(0,R9+R65/(1-R21))),0)</f>
      </c>
      <c r="S94">
        <f>IF(OR(S3=1,S3=2),IF(AND(S9=0,S65&lt;=0),0,MAX(0,S9+S65/(1-S21))),0)</f>
      </c>
      <c r="T94">
        <f>IF(OR(T3=1,T3=2),IF(AND(T9=0,T65&lt;=0),0,MAX(0,T9+T65/(1-T21))),0)</f>
      </c>
      <c r="V94">
        <f>IF(OR(V3=1,V3=2),IF(AND(V9=0,V65&lt;=0),0,MAX(0,V9+V65/(1-V21))),0)</f>
      </c>
      <c r="W94">
        <f>IF(OR(W3=1,W3=2),IF(AND(W9=0,W65&lt;=0),0,MAX(0,W9+W65/(1-W21))),0)</f>
      </c>
      <c r="X94">
        <f>IF(OR(X3=1,X3=2),IF(AND(X9=0,X65&lt;=0),0,MAX(0,X9+X65/(1-X21))),0)</f>
      </c>
      <c r="Y94">
        <f>IF(OR(Y3=1,Y3=2),IF(AND(Y9=0,Y65&lt;=0),0,MAX(0,Y9+Y65/(1-Y21))),0)</f>
      </c>
      <c r="Z94">
        <f>IF(OR(Z3=1,Z3=2),IF(AND(Z9=0,Z65&lt;=0),0,MAX(0,Z9+Z65/(1-Z21))),0)</f>
      </c>
      <c r="AA94">
        <f>IF(OR(AA3=1,AA3=2),IF(AND(AA9=0,AA65&lt;=0),0,MAX(0,AA9+AA65/(1-AA21))),0)</f>
      </c>
      <c r="AB94">
        <f>IF(OR(AB3=1,AB3=2),IF(AND(AB9=0,AB65&lt;=0),0,MAX(0,AB9+AB65/(1-AB21))),0)</f>
      </c>
      <c r="AC94">
        <f>IF(OR(AC3=1,AC3=2),IF(AND(AC9=0,AC65&lt;=0),0,MAX(0,AC9+AC65/(1-AC21))),0)</f>
      </c>
      <c r="AD94">
        <f>IF(OR(AD3=1,AD3=2),IF(AND(AD9=0,AD65&lt;=0),0,MAX(0,AD9+AD65/(1-AD21))),0)</f>
      </c>
      <c r="AE94">
        <f>IF(OR(AE3=1,AE3=2),IF(AND(AE9=0,AE65&lt;=0),0,MAX(0,AE9+AE65/(1-AE21))),0)</f>
      </c>
      <c r="AF94">
        <f>IF(OR(AF3=1,AF3=2),IF(AND(AF9=0,AF65&lt;=0),0,MAX(0,AF9+AF65/(1-AF21))),0)</f>
      </c>
      <c r="AG94">
        <f>IF(OR(AG3=1,AG3=2),IF(AND(AG9=0,AG65&lt;=0),0,MAX(0,AG9+AG65/(1-AG21))),0)</f>
      </c>
      <c r="AH94">
        <f>IF(OR(AH3=1,AH3=2),IF(AND(AH9=0,AH65&lt;=0),0,MAX(0,AH9+AH65/(1-AH21))),0)</f>
      </c>
      <c r="AI94">
        <f>IF(OR(AI3=1,AI3=2),IF(AND(AI9=0,AI65&lt;=0),0,MAX(0,AI9+AI65/(1-AI21))),0)</f>
      </c>
      <c r="AJ94">
        <f>IF(OR(AJ3=1,AJ3=2),IF(AND(AJ9=0,AJ65&lt;=0),0,MAX(0,AJ9+AJ65/(1-AJ21))),0)</f>
      </c>
      <c r="AK94">
        <f>IF(OR(AK3=1,AK3=2),IF(AND(AK9=0,AK65&lt;=0),0,MAX(0,AK9+AK65/(1-AK21))),0)</f>
      </c>
      <c r="AM94">
        <f>IF(OR(AM3=1,AM3=2),IF(AND(AM9=0,AM65&lt;=0),0,MAX(0,AM9+AM65/(1-AM21))),0)</f>
      </c>
      <c r="AN94">
        <f>IF(OR(AN3=1,AN3=2),IF(AND(AN9=0,AN65&lt;=0),0,MAX(0,AN9+AN65/(1-AN21))),0)</f>
      </c>
      <c r="AO94">
        <f>IF(OR(AO3=1,AO3=2),IF(AND(AO9=0,AO65&lt;=0),0,MAX(0,AO9+AO65/(1-AO21))),0)</f>
      </c>
      <c r="AP94">
        <f>IF(OR(AP3=1,AP3=2),IF(AND(AP9=0,AP65&lt;=0),0,MAX(0,AP9+AP65/(1-AP21))),0)</f>
      </c>
      <c r="AQ94">
        <f>IF(OR(AQ3=1,AQ3=2),IF(AND(AQ9=0,AQ65&lt;=0),0,MAX(0,AQ9+AQ65/(1-AQ21))),0)</f>
      </c>
      <c r="AR94">
        <f>IF(OR(AR3=1,AR3=2),IF(AND(AR9=0,AR65&lt;=0),0,MAX(0,AR9+AR65/(1-AR21))),0)</f>
      </c>
      <c r="AS94">
        <f>IF(OR(AS3=1,AS3=2),IF(AND(AS9=0,AS65&lt;=0),0,MAX(0,AS9+AS65/(1-AS21))),0)</f>
      </c>
      <c r="AT94">
        <f>IF(OR(AT3=1,AT3=2),IF(AND(AT9=0,AT65&lt;=0),0,MAX(0,AT9+AT65/(1-AT21))),0)</f>
      </c>
      <c r="AU94">
        <f>IF(OR(AU3=1,AU3=2),IF(AND(AU9=0,AU65&lt;=0),0,MAX(0,AU9+AU65/(1-AU21))),0)</f>
      </c>
      <c r="AV94">
        <f>IF(OR(AV3=1,AV3=2),IF(AND(AV9=0,AV65&lt;=0),0,MAX(0,AV9+AV65/(1-AV21))),0)</f>
      </c>
      <c r="AW94">
        <f>IF(OR(AW3=1,AW3=2),IF(AND(AW9=0,AW65&lt;=0),0,MAX(0,AW9+AW65/(1-AW21))),0)</f>
      </c>
      <c r="AX94">
        <f>IF(OR(AX3=1,AX3=2),IF(AND(AX9=0,AX65&lt;=0),0,MAX(0,AX9+AX65/(1-AX21))),0)</f>
      </c>
      <c r="AY94">
        <f>IF(OR(AY3=1,AY3=2),IF(AND(AY9=0,AY65&lt;=0),0,MAX(0,AY9+AY65/(1-AY21))),0)</f>
      </c>
      <c r="AZ94">
        <f>IF(OR(AZ3=1,AZ3=2),IF(AND(AZ9=0,AZ65&lt;=0),0,MAX(0,AZ9+AZ65/(1-AZ21))),0)</f>
      </c>
      <c r="BA94">
        <f>IF(OR(BA3=1,BA3=2),IF(AND(BA9=0,BA65&lt;=0),0,MAX(0,BA9+BA65/(1-BA21))),0)</f>
      </c>
      <c r="BB94">
        <f>IF(OR(BB3=1,BB3=2),IF(AND(BB9=0,BB65&lt;=0),0,MAX(0,BB9+BB65/(1-BB21))),0)</f>
      </c>
      <c r="BD94">
        <f>IF(OR(BD3=1,BD3=2),IF(AND(BD9=0,BD65&lt;=0),0,MAX(0,BD9+BD65/(1-BD21))),0)</f>
      </c>
      <c r="BE94">
        <f>IF(OR(BE3=1,BE3=2),IF(AND(BE9=0,BE65&lt;=0),0,MAX(0,BE9+BE65/(1-BE21))),0)</f>
      </c>
      <c r="BF94">
        <f>IF(OR(BF3=1,BF3=2),IF(AND(BF9=0,BF65&lt;=0),0,MAX(0,BF9+BF65/(1-BF21))),0)</f>
      </c>
      <c r="BG94">
        <f>IF(OR(BG3=1,BG3=2),IF(AND(BG9=0,BG65&lt;=0),0,MAX(0,BG9+BG65/(1-BG21))),0)</f>
      </c>
      <c r="BH94">
        <f>IF(OR(BH3=1,BH3=2),IF(AND(BH9=0,BH65&lt;=0),0,MAX(0,BH9+BH65/(1-BH21))),0)</f>
      </c>
      <c r="BI94">
        <f>IF(OR(BI3=1,BI3=2),IF(AND(BI9=0,BI65&lt;=0),0,MAX(0,BI9+BI65/(1-BI21))),0)</f>
      </c>
      <c r="BJ94">
        <f>IF(OR(BJ3=1,BJ3=2),IF(AND(BJ9=0,BJ65&lt;=0),0,MAX(0,BJ9+BJ65/(1-BJ21))),0)</f>
      </c>
      <c r="BK94">
        <f>IF(OR(BK3=1,BK3=2),IF(AND(BK9=0,BK65&lt;=0),0,MAX(0,BK9+BK65/(1-BK21))),0)</f>
      </c>
      <c r="BL94">
        <f>IF(OR(BL3=1,BL3=2),IF(AND(BL9=0,BL65&lt;=0),0,MAX(0,BL9+BL65/(1-BL21))),0)</f>
      </c>
      <c r="BM94">
        <f>IF(OR(BM3=1,BM3=2),IF(AND(BM9=0,BM65&lt;=0),0,MAX(0,BM9+BM65/(1-BM21))),0)</f>
      </c>
      <c r="BN94">
        <f>IF(OR(BN3=1,BN3=2),IF(AND(BN9=0,BN65&lt;=0),0,MAX(0,BN9+BN65/(1-BN21))),0)</f>
      </c>
      <c r="BO94">
        <f>IF(OR(BO3=1,BO3=2),IF(AND(BO9=0,BO65&lt;=0),0,MAX(0,BO9+BO65/(1-BO21))),0)</f>
      </c>
      <c r="BP94">
        <f>IF(OR(BP3=1,BP3=2),IF(AND(BP9=0,BP65&lt;=0),0,MAX(0,BP9+BP65/(1-BP21))),0)</f>
      </c>
      <c r="BQ94">
        <f>IF(OR(BQ3=1,BQ3=2),IF(AND(BQ9=0,BQ65&lt;=0),0,MAX(0,BQ9+BQ65/(1-BQ21))),0)</f>
      </c>
      <c r="BR94">
        <f>IF(OR(BR3=1,BR3=2),IF(AND(BR9=0,BR65&lt;=0),0,MAX(0,BR9+BR65/(1-BR21))),0)</f>
      </c>
      <c r="BS94">
        <f>IF(OR(BS3=1,BS3=2),IF(AND(BS9=0,BS65&lt;=0),0,MAX(0,BS9+BS65/(1-BS21))),0)</f>
      </c>
    </row>
    <row r="95" spans="2:71" x14ac:dyDescent="0.25">
      <c r="B95" t="s">
        <v>414</v>
      </c>
      <c r="C95">
        <f>IF(OR(C3=1,C3=2),IF(AND(C10=0,C72&lt;=0),0,MAX(0,C10+C72/(1-C21))),0)</f>
      </c>
      <c r="E95">
        <f>IF(OR(E3=1,E3=2),IF(AND(E10=0,E72&lt;=0),0,MAX(0,E10+E72/(1-E21))),0)</f>
      </c>
      <c r="F95">
        <f>IF(OR(F3=1,F3=2),IF(AND(F10=0,F72&lt;=0),0,MAX(0,F10+F72/(1-F21))),0)</f>
      </c>
      <c r="G95">
        <f>IF(OR(G3=1,G3=2),IF(AND(G10=0,G72&lt;=0),0,MAX(0,G10+G72/(1-G21))),0)</f>
      </c>
      <c r="H95">
        <f>IF(OR(H3=1,H3=2),IF(AND(H10=0,H72&lt;=0),0,MAX(0,H10+H72/(1-H21))),0)</f>
      </c>
      <c r="I95">
        <f>IF(OR(I3=1,I3=2),IF(AND(I10=0,I72&lt;=0),0,MAX(0,I10+I72/(1-I21))),0)</f>
      </c>
      <c r="J95">
        <f>IF(OR(J3=1,J3=2),IF(AND(J10=0,J72&lt;=0),0,MAX(0,J10+J72/(1-J21))),0)</f>
      </c>
      <c r="K95">
        <f>IF(OR(K3=1,K3=2),IF(AND(K10=0,K72&lt;=0),0,MAX(0,K10+K72/(1-K21))),0)</f>
      </c>
      <c r="L95">
        <f>IF(OR(L3=1,L3=2),IF(AND(L10=0,L72&lt;=0),0,MAX(0,L10+L72/(1-L21))),0)</f>
      </c>
      <c r="M95">
        <f>IF(OR(M3=1,M3=2),IF(AND(M10=0,M72&lt;=0),0,MAX(0,M10+M72/(1-M21))),0)</f>
      </c>
      <c r="N95">
        <f>IF(OR(N3=1,N3=2),IF(AND(N10=0,N72&lt;=0),0,MAX(0,N10+N72/(1-N21))),0)</f>
      </c>
      <c r="O95">
        <f>IF(OR(O3=1,O3=2),IF(AND(O10=0,O72&lt;=0),0,MAX(0,O10+O72/(1-O21))),0)</f>
      </c>
      <c r="P95">
        <f>IF(OR(P3=1,P3=2),IF(AND(P10=0,P72&lt;=0),0,MAX(0,P10+P72/(1-P21))),0)</f>
      </c>
      <c r="Q95">
        <f>IF(OR(Q3=1,Q3=2),IF(AND(Q10=0,Q72&lt;=0),0,MAX(0,Q10+Q72/(1-Q21))),0)</f>
      </c>
      <c r="R95">
        <f>IF(OR(R3=1,R3=2),IF(AND(R10=0,R72&lt;=0),0,MAX(0,R10+R72/(1-R21))),0)</f>
      </c>
      <c r="S95">
        <f>IF(OR(S3=1,S3=2),IF(AND(S10=0,S72&lt;=0),0,MAX(0,S10+S72/(1-S21))),0)</f>
      </c>
      <c r="T95">
        <f>IF(OR(T3=1,T3=2),IF(AND(T10=0,T72&lt;=0),0,MAX(0,T10+T72/(1-T21))),0)</f>
      </c>
      <c r="V95">
        <f>IF(OR(V3=1,V3=2),IF(AND(V10=0,V72&lt;=0),0,MAX(0,V10+V72/(1-V21))),0)</f>
      </c>
      <c r="W95">
        <f>IF(OR(W3=1,W3=2),IF(AND(W10=0,W72&lt;=0),0,MAX(0,W10+W72/(1-W21))),0)</f>
      </c>
      <c r="X95">
        <f>IF(OR(X3=1,X3=2),IF(AND(X10=0,X72&lt;=0),0,MAX(0,X10+X72/(1-X21))),0)</f>
      </c>
      <c r="Y95">
        <f>IF(OR(Y3=1,Y3=2),IF(AND(Y10=0,Y72&lt;=0),0,MAX(0,Y10+Y72/(1-Y21))),0)</f>
      </c>
      <c r="Z95">
        <f>IF(OR(Z3=1,Z3=2),IF(AND(Z10=0,Z72&lt;=0),0,MAX(0,Z10+Z72/(1-Z21))),0)</f>
      </c>
      <c r="AA95">
        <f>IF(OR(AA3=1,AA3=2),IF(AND(AA10=0,AA72&lt;=0),0,MAX(0,AA10+AA72/(1-AA21))),0)</f>
      </c>
      <c r="AB95">
        <f>IF(OR(AB3=1,AB3=2),IF(AND(AB10=0,AB72&lt;=0),0,MAX(0,AB10+AB72/(1-AB21))),0)</f>
      </c>
      <c r="AC95">
        <f>IF(OR(AC3=1,AC3=2),IF(AND(AC10=0,AC72&lt;=0),0,MAX(0,AC10+AC72/(1-AC21))),0)</f>
      </c>
      <c r="AD95">
        <f>IF(OR(AD3=1,AD3=2),IF(AND(AD10=0,AD72&lt;=0),0,MAX(0,AD10+AD72/(1-AD21))),0)</f>
      </c>
      <c r="AE95">
        <f>IF(OR(AE3=1,AE3=2),IF(AND(AE10=0,AE72&lt;=0),0,MAX(0,AE10+AE72/(1-AE21))),0)</f>
      </c>
      <c r="AF95">
        <f>IF(OR(AF3=1,AF3=2),IF(AND(AF10=0,AF72&lt;=0),0,MAX(0,AF10+AF72/(1-AF21))),0)</f>
      </c>
      <c r="AG95">
        <f>IF(OR(AG3=1,AG3=2),IF(AND(AG10=0,AG72&lt;=0),0,MAX(0,AG10+AG72/(1-AG21))),0)</f>
      </c>
      <c r="AH95">
        <f>IF(OR(AH3=1,AH3=2),IF(AND(AH10=0,AH72&lt;=0),0,MAX(0,AH10+AH72/(1-AH21))),0)</f>
      </c>
      <c r="AI95">
        <f>IF(OR(AI3=1,AI3=2),IF(AND(AI10=0,AI72&lt;=0),0,MAX(0,AI10+AI72/(1-AI21))),0)</f>
      </c>
      <c r="AJ95">
        <f>IF(OR(AJ3=1,AJ3=2),IF(AND(AJ10=0,AJ72&lt;=0),0,MAX(0,AJ10+AJ72/(1-AJ21))),0)</f>
      </c>
      <c r="AK95">
        <f>IF(OR(AK3=1,AK3=2),IF(AND(AK10=0,AK72&lt;=0),0,MAX(0,AK10+AK72/(1-AK21))),0)</f>
      </c>
      <c r="AM95">
        <f>IF(OR(AM3=1,AM3=2),IF(AND(AM10=0,AM72&lt;=0),0,MAX(0,AM10+AM72/(1-AM21))),0)</f>
      </c>
      <c r="AN95">
        <f>IF(OR(AN3=1,AN3=2),IF(AND(AN10=0,AN72&lt;=0),0,MAX(0,AN10+AN72/(1-AN21))),0)</f>
      </c>
      <c r="AO95">
        <f>IF(OR(AO3=1,AO3=2),IF(AND(AO10=0,AO72&lt;=0),0,MAX(0,AO10+AO72/(1-AO21))),0)</f>
      </c>
      <c r="AP95">
        <f>IF(OR(AP3=1,AP3=2),IF(AND(AP10=0,AP72&lt;=0),0,MAX(0,AP10+AP72/(1-AP21))),0)</f>
      </c>
      <c r="AQ95">
        <f>IF(OR(AQ3=1,AQ3=2),IF(AND(AQ10=0,AQ72&lt;=0),0,MAX(0,AQ10+AQ72/(1-AQ21))),0)</f>
      </c>
      <c r="AR95">
        <f>IF(OR(AR3=1,AR3=2),IF(AND(AR10=0,AR72&lt;=0),0,MAX(0,AR10+AR72/(1-AR21))),0)</f>
      </c>
      <c r="AS95">
        <f>IF(OR(AS3=1,AS3=2),IF(AND(AS10=0,AS72&lt;=0),0,MAX(0,AS10+AS72/(1-AS21))),0)</f>
      </c>
      <c r="AT95">
        <f>IF(OR(AT3=1,AT3=2),IF(AND(AT10=0,AT72&lt;=0),0,MAX(0,AT10+AT72/(1-AT21))),0)</f>
      </c>
      <c r="AU95">
        <f>IF(OR(AU3=1,AU3=2),IF(AND(AU10=0,AU72&lt;=0),0,MAX(0,AU10+AU72/(1-AU21))),0)</f>
      </c>
      <c r="AV95">
        <f>IF(OR(AV3=1,AV3=2),IF(AND(AV10=0,AV72&lt;=0),0,MAX(0,AV10+AV72/(1-AV21))),0)</f>
      </c>
      <c r="AW95">
        <f>IF(OR(AW3=1,AW3=2),IF(AND(AW10=0,AW72&lt;=0),0,MAX(0,AW10+AW72/(1-AW21))),0)</f>
      </c>
      <c r="AX95">
        <f>IF(OR(AX3=1,AX3=2),IF(AND(AX10=0,AX72&lt;=0),0,MAX(0,AX10+AX72/(1-AX21))),0)</f>
      </c>
      <c r="AY95">
        <f>IF(OR(AY3=1,AY3=2),IF(AND(AY10=0,AY72&lt;=0),0,MAX(0,AY10+AY72/(1-AY21))),0)</f>
      </c>
      <c r="AZ95">
        <f>IF(OR(AZ3=1,AZ3=2),IF(AND(AZ10=0,AZ72&lt;=0),0,MAX(0,AZ10+AZ72/(1-AZ21))),0)</f>
      </c>
      <c r="BA95">
        <f>IF(OR(BA3=1,BA3=2),IF(AND(BA10=0,BA72&lt;=0),0,MAX(0,BA10+BA72/(1-BA21))),0)</f>
      </c>
      <c r="BB95">
        <f>IF(OR(BB3=1,BB3=2),IF(AND(BB10=0,BB72&lt;=0),0,MAX(0,BB10+BB72/(1-BB21))),0)</f>
      </c>
      <c r="BD95">
        <f>IF(OR(BD3=1,BD3=2),IF(AND(BD10=0,BD72&lt;=0),0,MAX(0,BD10+BD72/(1-BD21))),0)</f>
      </c>
      <c r="BE95">
        <f>IF(OR(BE3=1,BE3=2),IF(AND(BE10=0,BE72&lt;=0),0,MAX(0,BE10+BE72/(1-BE21))),0)</f>
      </c>
      <c r="BF95">
        <f>IF(OR(BF3=1,BF3=2),IF(AND(BF10=0,BF72&lt;=0),0,MAX(0,BF10+BF72/(1-BF21))),0)</f>
      </c>
      <c r="BG95">
        <f>IF(OR(BG3=1,BG3=2),IF(AND(BG10=0,BG72&lt;=0),0,MAX(0,BG10+BG72/(1-BG21))),0)</f>
      </c>
      <c r="BH95">
        <f>IF(OR(BH3=1,BH3=2),IF(AND(BH10=0,BH72&lt;=0),0,MAX(0,BH10+BH72/(1-BH21))),0)</f>
      </c>
      <c r="BI95">
        <f>IF(OR(BI3=1,BI3=2),IF(AND(BI10=0,BI72&lt;=0),0,MAX(0,BI10+BI72/(1-BI21))),0)</f>
      </c>
      <c r="BJ95">
        <f>IF(OR(BJ3=1,BJ3=2),IF(AND(BJ10=0,BJ72&lt;=0),0,MAX(0,BJ10+BJ72/(1-BJ21))),0)</f>
      </c>
      <c r="BK95">
        <f>IF(OR(BK3=1,BK3=2),IF(AND(BK10=0,BK72&lt;=0),0,MAX(0,BK10+BK72/(1-BK21))),0)</f>
      </c>
      <c r="BL95">
        <f>IF(OR(BL3=1,BL3=2),IF(AND(BL10=0,BL72&lt;=0),0,MAX(0,BL10+BL72/(1-BL21))),0)</f>
      </c>
      <c r="BM95">
        <f>IF(OR(BM3=1,BM3=2),IF(AND(BM10=0,BM72&lt;=0),0,MAX(0,BM10+BM72/(1-BM21))),0)</f>
      </c>
      <c r="BN95">
        <f>IF(OR(BN3=1,BN3=2),IF(AND(BN10=0,BN72&lt;=0),0,MAX(0,BN10+BN72/(1-BN21))),0)</f>
      </c>
      <c r="BO95">
        <f>IF(OR(BO3=1,BO3=2),IF(AND(BO10=0,BO72&lt;=0),0,MAX(0,BO10+BO72/(1-BO21))),0)</f>
      </c>
      <c r="BP95">
        <f>IF(OR(BP3=1,BP3=2),IF(AND(BP10=0,BP72&lt;=0),0,MAX(0,BP10+BP72/(1-BP21))),0)</f>
      </c>
      <c r="BQ95">
        <f>IF(OR(BQ3=1,BQ3=2),IF(AND(BQ10=0,BQ72&lt;=0),0,MAX(0,BQ10+BQ72/(1-BQ21))),0)</f>
      </c>
      <c r="BR95">
        <f>IF(OR(BR3=1,BR3=2),IF(AND(BR10=0,BR72&lt;=0),0,MAX(0,BR10+BR72/(1-BR21))),0)</f>
      </c>
      <c r="BS95">
        <f>IF(OR(BS3=1,BS3=2),IF(AND(BS10=0,BS72&lt;=0),0,MAX(0,BS10+BS72/(1-BS21))),0)</f>
      </c>
    </row>
    <row r="96" spans="2:71" x14ac:dyDescent="0.25">
      <c r="B96" t="s">
        <v>415</v>
      </c>
      <c r="C96">
        <f>IF(OR(C3=1,C3=2),IF(AND(C11=0,C79&lt;=0),0,MAX(0,C11+C79/(1-C21))),0)</f>
      </c>
      <c r="E96">
        <f>IF(OR(E3=1,E3=2),IF(AND(E11=0,E79&lt;=0),0,MAX(0,E11+E79/(1-E21))),0)</f>
      </c>
      <c r="F96">
        <f>IF(OR(F3=1,F3=2),IF(AND(F11=0,F79&lt;=0),0,MAX(0,F11+F79/(1-F21))),0)</f>
      </c>
      <c r="G96">
        <f>IF(OR(G3=1,G3=2),IF(AND(G11=0,G79&lt;=0),0,MAX(0,G11+G79/(1-G21))),0)</f>
      </c>
      <c r="H96">
        <f>IF(OR(H3=1,H3=2),IF(AND(H11=0,H79&lt;=0),0,MAX(0,H11+H79/(1-H21))),0)</f>
      </c>
      <c r="I96">
        <f>IF(OR(I3=1,I3=2),IF(AND(I11=0,I79&lt;=0),0,MAX(0,I11+I79/(1-I21))),0)</f>
      </c>
      <c r="J96">
        <f>IF(OR(J3=1,J3=2),IF(AND(J11=0,J79&lt;=0),0,MAX(0,J11+J79/(1-J21))),0)</f>
      </c>
      <c r="K96">
        <f>IF(OR(K3=1,K3=2),IF(AND(K11=0,K79&lt;=0),0,MAX(0,K11+K79/(1-K21))),0)</f>
      </c>
      <c r="L96">
        <f>IF(OR(L3=1,L3=2),IF(AND(L11=0,L79&lt;=0),0,MAX(0,L11+L79/(1-L21))),0)</f>
      </c>
      <c r="M96">
        <f>IF(OR(M3=1,M3=2),IF(AND(M11=0,M79&lt;=0),0,MAX(0,M11+M79/(1-M21))),0)</f>
      </c>
      <c r="N96">
        <f>IF(OR(N3=1,N3=2),IF(AND(N11=0,N79&lt;=0),0,MAX(0,N11+N79/(1-N21))),0)</f>
      </c>
      <c r="O96">
        <f>IF(OR(O3=1,O3=2),IF(AND(O11=0,O79&lt;=0),0,MAX(0,O11+O79/(1-O21))),0)</f>
      </c>
      <c r="P96">
        <f>IF(OR(P3=1,P3=2),IF(AND(P11=0,P79&lt;=0),0,MAX(0,P11+P79/(1-P21))),0)</f>
      </c>
      <c r="Q96">
        <f>IF(OR(Q3=1,Q3=2),IF(AND(Q11=0,Q79&lt;=0),0,MAX(0,Q11+Q79/(1-Q21))),0)</f>
      </c>
      <c r="R96">
        <f>IF(OR(R3=1,R3=2),IF(AND(R11=0,R79&lt;=0),0,MAX(0,R11+R79/(1-R21))),0)</f>
      </c>
      <c r="S96">
        <f>IF(OR(S3=1,S3=2),IF(AND(S11=0,S79&lt;=0),0,MAX(0,S11+S79/(1-S21))),0)</f>
      </c>
      <c r="T96">
        <f>IF(OR(T3=1,T3=2),IF(AND(T11=0,T79&lt;=0),0,MAX(0,T11+T79/(1-T21))),0)</f>
      </c>
      <c r="V96">
        <f>IF(OR(V3=1,V3=2),IF(AND(V11=0,V79&lt;=0),0,MAX(0,V11+V79/(1-V21))),0)</f>
      </c>
      <c r="W96">
        <f>IF(OR(W3=1,W3=2),IF(AND(W11=0,W79&lt;=0),0,MAX(0,W11+W79/(1-W21))),0)</f>
      </c>
      <c r="X96">
        <f>IF(OR(X3=1,X3=2),IF(AND(X11=0,X79&lt;=0),0,MAX(0,X11+X79/(1-X21))),0)</f>
      </c>
      <c r="Y96">
        <f>IF(OR(Y3=1,Y3=2),IF(AND(Y11=0,Y79&lt;=0),0,MAX(0,Y11+Y79/(1-Y21))),0)</f>
      </c>
      <c r="Z96">
        <f>IF(OR(Z3=1,Z3=2),IF(AND(Z11=0,Z79&lt;=0),0,MAX(0,Z11+Z79/(1-Z21))),0)</f>
      </c>
      <c r="AA96">
        <f>IF(OR(AA3=1,AA3=2),IF(AND(AA11=0,AA79&lt;=0),0,MAX(0,AA11+AA79/(1-AA21))),0)</f>
      </c>
      <c r="AB96">
        <f>IF(OR(AB3=1,AB3=2),IF(AND(AB11=0,AB79&lt;=0),0,MAX(0,AB11+AB79/(1-AB21))),0)</f>
      </c>
      <c r="AC96">
        <f>IF(OR(AC3=1,AC3=2),IF(AND(AC11=0,AC79&lt;=0),0,MAX(0,AC11+AC79/(1-AC21))),0)</f>
      </c>
      <c r="AD96">
        <f>IF(OR(AD3=1,AD3=2),IF(AND(AD11=0,AD79&lt;=0),0,MAX(0,AD11+AD79/(1-AD21))),0)</f>
      </c>
      <c r="AE96">
        <f>IF(OR(AE3=1,AE3=2),IF(AND(AE11=0,AE79&lt;=0),0,MAX(0,AE11+AE79/(1-AE21))),0)</f>
      </c>
      <c r="AF96">
        <f>IF(OR(AF3=1,AF3=2),IF(AND(AF11=0,AF79&lt;=0),0,MAX(0,AF11+AF79/(1-AF21))),0)</f>
      </c>
      <c r="AG96">
        <f>IF(OR(AG3=1,AG3=2),IF(AND(AG11=0,AG79&lt;=0),0,MAX(0,AG11+AG79/(1-AG21))),0)</f>
      </c>
      <c r="AH96">
        <f>IF(OR(AH3=1,AH3=2),IF(AND(AH11=0,AH79&lt;=0),0,MAX(0,AH11+AH79/(1-AH21))),0)</f>
      </c>
      <c r="AI96">
        <f>IF(OR(AI3=1,AI3=2),IF(AND(AI11=0,AI79&lt;=0),0,MAX(0,AI11+AI79/(1-AI21))),0)</f>
      </c>
      <c r="AJ96">
        <f>IF(OR(AJ3=1,AJ3=2),IF(AND(AJ11=0,AJ79&lt;=0),0,MAX(0,AJ11+AJ79/(1-AJ21))),0)</f>
      </c>
      <c r="AK96">
        <f>IF(OR(AK3=1,AK3=2),IF(AND(AK11=0,AK79&lt;=0),0,MAX(0,AK11+AK79/(1-AK21))),0)</f>
      </c>
      <c r="AM96">
        <f>IF(OR(AM3=1,AM3=2),IF(AND(AM11=0,AM79&lt;=0),0,MAX(0,AM11+AM79/(1-AM21))),0)</f>
      </c>
      <c r="AN96">
        <f>IF(OR(AN3=1,AN3=2),IF(AND(AN11=0,AN79&lt;=0),0,MAX(0,AN11+AN79/(1-AN21))),0)</f>
      </c>
      <c r="AO96">
        <f>IF(OR(AO3=1,AO3=2),IF(AND(AO11=0,AO79&lt;=0),0,MAX(0,AO11+AO79/(1-AO21))),0)</f>
      </c>
      <c r="AP96">
        <f>IF(OR(AP3=1,AP3=2),IF(AND(AP11=0,AP79&lt;=0),0,MAX(0,AP11+AP79/(1-AP21))),0)</f>
      </c>
      <c r="AQ96">
        <f>IF(OR(AQ3=1,AQ3=2),IF(AND(AQ11=0,AQ79&lt;=0),0,MAX(0,AQ11+AQ79/(1-AQ21))),0)</f>
      </c>
      <c r="AR96">
        <f>IF(OR(AR3=1,AR3=2),IF(AND(AR11=0,AR79&lt;=0),0,MAX(0,AR11+AR79/(1-AR21))),0)</f>
      </c>
      <c r="AS96">
        <f>IF(OR(AS3=1,AS3=2),IF(AND(AS11=0,AS79&lt;=0),0,MAX(0,AS11+AS79/(1-AS21))),0)</f>
      </c>
      <c r="AT96">
        <f>IF(OR(AT3=1,AT3=2),IF(AND(AT11=0,AT79&lt;=0),0,MAX(0,AT11+AT79/(1-AT21))),0)</f>
      </c>
      <c r="AU96">
        <f>IF(OR(AU3=1,AU3=2),IF(AND(AU11=0,AU79&lt;=0),0,MAX(0,AU11+AU79/(1-AU21))),0)</f>
      </c>
      <c r="AV96">
        <f>IF(OR(AV3=1,AV3=2),IF(AND(AV11=0,AV79&lt;=0),0,MAX(0,AV11+AV79/(1-AV21))),0)</f>
      </c>
      <c r="AW96">
        <f>IF(OR(AW3=1,AW3=2),IF(AND(AW11=0,AW79&lt;=0),0,MAX(0,AW11+AW79/(1-AW21))),0)</f>
      </c>
      <c r="AX96">
        <f>IF(OR(AX3=1,AX3=2),IF(AND(AX11=0,AX79&lt;=0),0,MAX(0,AX11+AX79/(1-AX21))),0)</f>
      </c>
      <c r="AY96">
        <f>IF(OR(AY3=1,AY3=2),IF(AND(AY11=0,AY79&lt;=0),0,MAX(0,AY11+AY79/(1-AY21))),0)</f>
      </c>
      <c r="AZ96">
        <f>IF(OR(AZ3=1,AZ3=2),IF(AND(AZ11=0,AZ79&lt;=0),0,MAX(0,AZ11+AZ79/(1-AZ21))),0)</f>
      </c>
      <c r="BA96">
        <f>IF(OR(BA3=1,BA3=2),IF(AND(BA11=0,BA79&lt;=0),0,MAX(0,BA11+BA79/(1-BA21))),0)</f>
      </c>
      <c r="BB96">
        <f>IF(OR(BB3=1,BB3=2),IF(AND(BB11=0,BB79&lt;=0),0,MAX(0,BB11+BB79/(1-BB21))),0)</f>
      </c>
      <c r="BD96">
        <f>IF(OR(BD3=1,BD3=2),IF(AND(BD11=0,BD79&lt;=0),0,MAX(0,BD11+BD79/(1-BD21))),0)</f>
      </c>
      <c r="BE96">
        <f>IF(OR(BE3=1,BE3=2),IF(AND(BE11=0,BE79&lt;=0),0,MAX(0,BE11+BE79/(1-BE21))),0)</f>
      </c>
      <c r="BF96">
        <f>IF(OR(BF3=1,BF3=2),IF(AND(BF11=0,BF79&lt;=0),0,MAX(0,BF11+BF79/(1-BF21))),0)</f>
      </c>
      <c r="BG96">
        <f>IF(OR(BG3=1,BG3=2),IF(AND(BG11=0,BG79&lt;=0),0,MAX(0,BG11+BG79/(1-BG21))),0)</f>
      </c>
      <c r="BH96">
        <f>IF(OR(BH3=1,BH3=2),IF(AND(BH11=0,BH79&lt;=0),0,MAX(0,BH11+BH79/(1-BH21))),0)</f>
      </c>
      <c r="BI96">
        <f>IF(OR(BI3=1,BI3=2),IF(AND(BI11=0,BI79&lt;=0),0,MAX(0,BI11+BI79/(1-BI21))),0)</f>
      </c>
      <c r="BJ96">
        <f>IF(OR(BJ3=1,BJ3=2),IF(AND(BJ11=0,BJ79&lt;=0),0,MAX(0,BJ11+BJ79/(1-BJ21))),0)</f>
      </c>
      <c r="BK96">
        <f>IF(OR(BK3=1,BK3=2),IF(AND(BK11=0,BK79&lt;=0),0,MAX(0,BK11+BK79/(1-BK21))),0)</f>
      </c>
      <c r="BL96">
        <f>IF(OR(BL3=1,BL3=2),IF(AND(BL11=0,BL79&lt;=0),0,MAX(0,BL11+BL79/(1-BL21))),0)</f>
      </c>
      <c r="BM96">
        <f>IF(OR(BM3=1,BM3=2),IF(AND(BM11=0,BM79&lt;=0),0,MAX(0,BM11+BM79/(1-BM21))),0)</f>
      </c>
      <c r="BN96">
        <f>IF(OR(BN3=1,BN3=2),IF(AND(BN11=0,BN79&lt;=0),0,MAX(0,BN11+BN79/(1-BN21))),0)</f>
      </c>
      <c r="BO96">
        <f>IF(OR(BO3=1,BO3=2),IF(AND(BO11=0,BO79&lt;=0),0,MAX(0,BO11+BO79/(1-BO21))),0)</f>
      </c>
      <c r="BP96">
        <f>IF(OR(BP3=1,BP3=2),IF(AND(BP11=0,BP79&lt;=0),0,MAX(0,BP11+BP79/(1-BP21))),0)</f>
      </c>
      <c r="BQ96">
        <f>IF(OR(BQ3=1,BQ3=2),IF(AND(BQ11=0,BQ79&lt;=0),0,MAX(0,BQ11+BQ79/(1-BQ21))),0)</f>
      </c>
      <c r="BR96">
        <f>IF(OR(BR3=1,BR3=2),IF(AND(BR11=0,BR79&lt;=0),0,MAX(0,BR11+BR79/(1-BR21))),0)</f>
      </c>
      <c r="BS96">
        <f>IF(OR(BS3=1,BS3=2),IF(AND(BS11=0,BS79&lt;=0),0,MAX(0,BS11+BS79/(1-BS21))),0)</f>
      </c>
    </row>
    <row r="97" spans="2:71" x14ac:dyDescent="0.25">
      <c r="B97" t="s">
        <v>416</v>
      </c>
      <c r="C97">
        <f>IF(OR(C3=1,C3=2),IF(AND(C12=0,C86&lt;=0),0,MAX(0,C12+C86/(1-C21))),0)</f>
      </c>
      <c r="E97">
        <f>IF(OR(E3=1,E3=2),IF(AND(E12=0,E86&lt;=0),0,MAX(0,E12+E86/(1-E21))),0)</f>
      </c>
      <c r="F97">
        <f>IF(OR(F3=1,F3=2),IF(AND(F12=0,F86&lt;=0),0,MAX(0,F12+F86/(1-F21))),0)</f>
      </c>
      <c r="G97">
        <f>IF(OR(G3=1,G3=2),IF(AND(G12=0,G86&lt;=0),0,MAX(0,G12+G86/(1-G21))),0)</f>
      </c>
      <c r="H97">
        <f>IF(OR(H3=1,H3=2),IF(AND(H12=0,H86&lt;=0),0,MAX(0,H12+H86/(1-H21))),0)</f>
      </c>
      <c r="I97">
        <f>IF(OR(I3=1,I3=2),IF(AND(I12=0,I86&lt;=0),0,MAX(0,I12+I86/(1-I21))),0)</f>
      </c>
      <c r="J97">
        <f>IF(OR(J3=1,J3=2),IF(AND(J12=0,J86&lt;=0),0,MAX(0,J12+J86/(1-J21))),0)</f>
      </c>
      <c r="K97">
        <f>IF(OR(K3=1,K3=2),IF(AND(K12=0,K86&lt;=0),0,MAX(0,K12+K86/(1-K21))),0)</f>
      </c>
      <c r="L97">
        <f>IF(OR(L3=1,L3=2),IF(AND(L12=0,L86&lt;=0),0,MAX(0,L12+L86/(1-L21))),0)</f>
      </c>
      <c r="M97">
        <f>IF(OR(M3=1,M3=2),IF(AND(M12=0,M86&lt;=0),0,MAX(0,M12+M86/(1-M21))),0)</f>
      </c>
      <c r="N97">
        <f>IF(OR(N3=1,N3=2),IF(AND(N12=0,N86&lt;=0),0,MAX(0,N12+N86/(1-N21))),0)</f>
      </c>
      <c r="O97">
        <f>IF(OR(O3=1,O3=2),IF(AND(O12=0,O86&lt;=0),0,MAX(0,O12+O86/(1-O21))),0)</f>
      </c>
      <c r="P97">
        <f>IF(OR(P3=1,P3=2),IF(AND(P12=0,P86&lt;=0),0,MAX(0,P12+P86/(1-P21))),0)</f>
      </c>
      <c r="Q97">
        <f>IF(OR(Q3=1,Q3=2),IF(AND(Q12=0,Q86&lt;=0),0,MAX(0,Q12+Q86/(1-Q21))),0)</f>
      </c>
      <c r="R97">
        <f>IF(OR(R3=1,R3=2),IF(AND(R12=0,R86&lt;=0),0,MAX(0,R12+R86/(1-R21))),0)</f>
      </c>
      <c r="S97">
        <f>IF(OR(S3=1,S3=2),IF(AND(S12=0,S86&lt;=0),0,MAX(0,S12+S86/(1-S21))),0)</f>
      </c>
      <c r="T97">
        <f>IF(OR(T3=1,T3=2),IF(AND(T12=0,T86&lt;=0),0,MAX(0,T12+T86/(1-T21))),0)</f>
      </c>
      <c r="V97">
        <f>IF(OR(V3=1,V3=2),IF(AND(V12=0,V86&lt;=0),0,MAX(0,V12+V86/(1-V21))),0)</f>
      </c>
      <c r="W97">
        <f>IF(OR(W3=1,W3=2),IF(AND(W12=0,W86&lt;=0),0,MAX(0,W12+W86/(1-W21))),0)</f>
      </c>
      <c r="X97">
        <f>IF(OR(X3=1,X3=2),IF(AND(X12=0,X86&lt;=0),0,MAX(0,X12+X86/(1-X21))),0)</f>
      </c>
      <c r="Y97">
        <f>IF(OR(Y3=1,Y3=2),IF(AND(Y12=0,Y86&lt;=0),0,MAX(0,Y12+Y86/(1-Y21))),0)</f>
      </c>
      <c r="Z97">
        <f>IF(OR(Z3=1,Z3=2),IF(AND(Z12=0,Z86&lt;=0),0,MAX(0,Z12+Z86/(1-Z21))),0)</f>
      </c>
      <c r="AA97">
        <f>IF(OR(AA3=1,AA3=2),IF(AND(AA12=0,AA86&lt;=0),0,MAX(0,AA12+AA86/(1-AA21))),0)</f>
      </c>
      <c r="AB97">
        <f>IF(OR(AB3=1,AB3=2),IF(AND(AB12=0,AB86&lt;=0),0,MAX(0,AB12+AB86/(1-AB21))),0)</f>
      </c>
      <c r="AC97">
        <f>IF(OR(AC3=1,AC3=2),IF(AND(AC12=0,AC86&lt;=0),0,MAX(0,AC12+AC86/(1-AC21))),0)</f>
      </c>
      <c r="AD97">
        <f>IF(OR(AD3=1,AD3=2),IF(AND(AD12=0,AD86&lt;=0),0,MAX(0,AD12+AD86/(1-AD21))),0)</f>
      </c>
      <c r="AE97">
        <f>IF(OR(AE3=1,AE3=2),IF(AND(AE12=0,AE86&lt;=0),0,MAX(0,AE12+AE86/(1-AE21))),0)</f>
      </c>
      <c r="AF97">
        <f>IF(OR(AF3=1,AF3=2),IF(AND(AF12=0,AF86&lt;=0),0,MAX(0,AF12+AF86/(1-AF21))),0)</f>
      </c>
      <c r="AG97">
        <f>IF(OR(AG3=1,AG3=2),IF(AND(AG12=0,AG86&lt;=0),0,MAX(0,AG12+AG86/(1-AG21))),0)</f>
      </c>
      <c r="AH97">
        <f>IF(OR(AH3=1,AH3=2),IF(AND(AH12=0,AH86&lt;=0),0,MAX(0,AH12+AH86/(1-AH21))),0)</f>
      </c>
      <c r="AI97">
        <f>IF(OR(AI3=1,AI3=2),IF(AND(AI12=0,AI86&lt;=0),0,MAX(0,AI12+AI86/(1-AI21))),0)</f>
      </c>
      <c r="AJ97">
        <f>IF(OR(AJ3=1,AJ3=2),IF(AND(AJ12=0,AJ86&lt;=0),0,MAX(0,AJ12+AJ86/(1-AJ21))),0)</f>
      </c>
      <c r="AK97">
        <f>IF(OR(AK3=1,AK3=2),IF(AND(AK12=0,AK86&lt;=0),0,MAX(0,AK12+AK86/(1-AK21))),0)</f>
      </c>
      <c r="AM97">
        <f>IF(OR(AM3=1,AM3=2),IF(AND(AM12=0,AM86&lt;=0),0,MAX(0,AM12+AM86/(1-AM21))),0)</f>
      </c>
      <c r="AN97">
        <f>IF(OR(AN3=1,AN3=2),IF(AND(AN12=0,AN86&lt;=0),0,MAX(0,AN12+AN86/(1-AN21))),0)</f>
      </c>
      <c r="AO97">
        <f>IF(OR(AO3=1,AO3=2),IF(AND(AO12=0,AO86&lt;=0),0,MAX(0,AO12+AO86/(1-AO21))),0)</f>
      </c>
      <c r="AP97">
        <f>IF(OR(AP3=1,AP3=2),IF(AND(AP12=0,AP86&lt;=0),0,MAX(0,AP12+AP86/(1-AP21))),0)</f>
      </c>
      <c r="AQ97">
        <f>IF(OR(AQ3=1,AQ3=2),IF(AND(AQ12=0,AQ86&lt;=0),0,MAX(0,AQ12+AQ86/(1-AQ21))),0)</f>
      </c>
      <c r="AR97">
        <f>IF(OR(AR3=1,AR3=2),IF(AND(AR12=0,AR86&lt;=0),0,MAX(0,AR12+AR86/(1-AR21))),0)</f>
      </c>
      <c r="AS97">
        <f>IF(OR(AS3=1,AS3=2),IF(AND(AS12=0,AS86&lt;=0),0,MAX(0,AS12+AS86/(1-AS21))),0)</f>
      </c>
      <c r="AT97">
        <f>IF(OR(AT3=1,AT3=2),IF(AND(AT12=0,AT86&lt;=0),0,MAX(0,AT12+AT86/(1-AT21))),0)</f>
      </c>
      <c r="AU97">
        <f>IF(OR(AU3=1,AU3=2),IF(AND(AU12=0,AU86&lt;=0),0,MAX(0,AU12+AU86/(1-AU21))),0)</f>
      </c>
      <c r="AV97">
        <f>IF(OR(AV3=1,AV3=2),IF(AND(AV12=0,AV86&lt;=0),0,MAX(0,AV12+AV86/(1-AV21))),0)</f>
      </c>
      <c r="AW97">
        <f>IF(OR(AW3=1,AW3=2),IF(AND(AW12=0,AW86&lt;=0),0,MAX(0,AW12+AW86/(1-AW21))),0)</f>
      </c>
      <c r="AX97">
        <f>IF(OR(AX3=1,AX3=2),IF(AND(AX12=0,AX86&lt;=0),0,MAX(0,AX12+AX86/(1-AX21))),0)</f>
      </c>
      <c r="AY97">
        <f>IF(OR(AY3=1,AY3=2),IF(AND(AY12=0,AY86&lt;=0),0,MAX(0,AY12+AY86/(1-AY21))),0)</f>
      </c>
      <c r="AZ97">
        <f>IF(OR(AZ3=1,AZ3=2),IF(AND(AZ12=0,AZ86&lt;=0),0,MAX(0,AZ12+AZ86/(1-AZ21))),0)</f>
      </c>
      <c r="BA97">
        <f>IF(OR(BA3=1,BA3=2),IF(AND(BA12=0,BA86&lt;=0),0,MAX(0,BA12+BA86/(1-BA21))),0)</f>
      </c>
      <c r="BB97">
        <f>IF(OR(BB3=1,BB3=2),IF(AND(BB12=0,BB86&lt;=0),0,MAX(0,BB12+BB86/(1-BB21))),0)</f>
      </c>
      <c r="BD97">
        <f>IF(OR(BD3=1,BD3=2),IF(AND(BD12=0,BD86&lt;=0),0,MAX(0,BD12+BD86/(1-BD21))),0)</f>
      </c>
      <c r="BE97">
        <f>IF(OR(BE3=1,BE3=2),IF(AND(BE12=0,BE86&lt;=0),0,MAX(0,BE12+BE86/(1-BE21))),0)</f>
      </c>
      <c r="BF97">
        <f>IF(OR(BF3=1,BF3=2),IF(AND(BF12=0,BF86&lt;=0),0,MAX(0,BF12+BF86/(1-BF21))),0)</f>
      </c>
      <c r="BG97">
        <f>IF(OR(BG3=1,BG3=2),IF(AND(BG12=0,BG86&lt;=0),0,MAX(0,BG12+BG86/(1-BG21))),0)</f>
      </c>
      <c r="BH97">
        <f>IF(OR(BH3=1,BH3=2),IF(AND(BH12=0,BH86&lt;=0),0,MAX(0,BH12+BH86/(1-BH21))),0)</f>
      </c>
      <c r="BI97">
        <f>IF(OR(BI3=1,BI3=2),IF(AND(BI12=0,BI86&lt;=0),0,MAX(0,BI12+BI86/(1-BI21))),0)</f>
      </c>
      <c r="BJ97">
        <f>IF(OR(BJ3=1,BJ3=2),IF(AND(BJ12=0,BJ86&lt;=0),0,MAX(0,BJ12+BJ86/(1-BJ21))),0)</f>
      </c>
      <c r="BK97">
        <f>IF(OR(BK3=1,BK3=2),IF(AND(BK12=0,BK86&lt;=0),0,MAX(0,BK12+BK86/(1-BK21))),0)</f>
      </c>
      <c r="BL97">
        <f>IF(OR(BL3=1,BL3=2),IF(AND(BL12=0,BL86&lt;=0),0,MAX(0,BL12+BL86/(1-BL21))),0)</f>
      </c>
      <c r="BM97">
        <f>IF(OR(BM3=1,BM3=2),IF(AND(BM12=0,BM86&lt;=0),0,MAX(0,BM12+BM86/(1-BM21))),0)</f>
      </c>
      <c r="BN97">
        <f>IF(OR(BN3=1,BN3=2),IF(AND(BN12=0,BN86&lt;=0),0,MAX(0,BN12+BN86/(1-BN21))),0)</f>
      </c>
      <c r="BO97">
        <f>IF(OR(BO3=1,BO3=2),IF(AND(BO12=0,BO86&lt;=0),0,MAX(0,BO12+BO86/(1-BO21))),0)</f>
      </c>
      <c r="BP97">
        <f>IF(OR(BP3=1,BP3=2),IF(AND(BP12=0,BP86&lt;=0),0,MAX(0,BP12+BP86/(1-BP21))),0)</f>
      </c>
      <c r="BQ97">
        <f>IF(OR(BQ3=1,BQ3=2),IF(AND(BQ12=0,BQ86&lt;=0),0,MAX(0,BQ12+BQ86/(1-BQ21))),0)</f>
      </c>
      <c r="BR97">
        <f>IF(OR(BR3=1,BR3=2),IF(AND(BR12=0,BR86&lt;=0),0,MAX(0,BR12+BR86/(1-BR21))),0)</f>
      </c>
      <c r="BS97">
        <f>IF(OR(BS3=1,BS3=2),IF(AND(BS12=0,BS86&lt;=0),0,MAX(0,BS12+BS86/(1-BS21))),0)</f>
      </c>
    </row>
    <row r="98" spans="2:71" x14ac:dyDescent="0.25">
      <c r="B98" t="s">
        <v>417</v>
      </c>
      <c r="C98">
        <f>IF(OR(C3=1,C3=2),IF(AND(C13=0,C91&lt;=0),0,MAX(0,C13+C91/(1-C21))),0)</f>
      </c>
      <c r="E98">
        <f>IF(OR(E3=1,E3=2),IF(AND(E13=0,E91&lt;=0),0,MAX(0,E13+E91/(1-E21))),0)</f>
      </c>
      <c r="F98">
        <f>IF(OR(F3=1,F3=2),IF(AND(F13=0,F91&lt;=0),0,MAX(0,F13+F91/(1-F21))),0)</f>
      </c>
      <c r="G98">
        <f>IF(OR(G3=1,G3=2),IF(AND(G13=0,G91&lt;=0),0,MAX(0,G13+G91/(1-G21))),0)</f>
      </c>
      <c r="H98">
        <f>IF(OR(H3=1,H3=2),IF(AND(H13=0,H91&lt;=0),0,MAX(0,H13+H91/(1-H21))),0)</f>
      </c>
      <c r="I98">
        <f>IF(OR(I3=1,I3=2),IF(AND(I13=0,I91&lt;=0),0,MAX(0,I13+I91/(1-I21))),0)</f>
      </c>
      <c r="J98">
        <f>IF(OR(J3=1,J3=2),IF(AND(J13=0,J91&lt;=0),0,MAX(0,J13+J91/(1-J21))),0)</f>
      </c>
      <c r="K98">
        <f>IF(OR(K3=1,K3=2),IF(AND(K13=0,K91&lt;=0),0,MAX(0,K13+K91/(1-K21))),0)</f>
      </c>
      <c r="L98">
        <f>IF(OR(L3=1,L3=2),IF(AND(L13=0,L91&lt;=0),0,MAX(0,L13+L91/(1-L21))),0)</f>
      </c>
      <c r="M98">
        <f>IF(OR(M3=1,M3=2),IF(AND(M13=0,M91&lt;=0),0,MAX(0,M13+M91/(1-M21))),0)</f>
      </c>
      <c r="N98">
        <f>IF(OR(N3=1,N3=2),IF(AND(N13=0,N91&lt;=0),0,MAX(0,N13+N91/(1-N21))),0)</f>
      </c>
      <c r="O98">
        <f>IF(OR(O3=1,O3=2),IF(AND(O13=0,O91&lt;=0),0,MAX(0,O13+O91/(1-O21))),0)</f>
      </c>
      <c r="P98">
        <f>IF(OR(P3=1,P3=2),IF(AND(P13=0,P91&lt;=0),0,MAX(0,P13+P91/(1-P21))),0)</f>
      </c>
      <c r="Q98">
        <f>IF(OR(Q3=1,Q3=2),IF(AND(Q13=0,Q91&lt;=0),0,MAX(0,Q13+Q91/(1-Q21))),0)</f>
      </c>
      <c r="R98">
        <f>IF(OR(R3=1,R3=2),IF(AND(R13=0,R91&lt;=0),0,MAX(0,R13+R91/(1-R21))),0)</f>
      </c>
      <c r="S98">
        <f>IF(OR(S3=1,S3=2),IF(AND(S13=0,S91&lt;=0),0,MAX(0,S13+S91/(1-S21))),0)</f>
      </c>
      <c r="T98">
        <f>IF(OR(T3=1,T3=2),IF(AND(T13=0,T91&lt;=0),0,MAX(0,T13+T91/(1-T21))),0)</f>
      </c>
      <c r="V98">
        <f>IF(OR(V3=1,V3=2),IF(AND(V13=0,V91&lt;=0),0,MAX(0,V13+V91/(1-V21))),0)</f>
      </c>
      <c r="W98">
        <f>IF(OR(W3=1,W3=2),IF(AND(W13=0,W91&lt;=0),0,MAX(0,W13+W91/(1-W21))),0)</f>
      </c>
      <c r="X98">
        <f>IF(OR(X3=1,X3=2),IF(AND(X13=0,X91&lt;=0),0,MAX(0,X13+X91/(1-X21))),0)</f>
      </c>
      <c r="Y98">
        <f>IF(OR(Y3=1,Y3=2),IF(AND(Y13=0,Y91&lt;=0),0,MAX(0,Y13+Y91/(1-Y21))),0)</f>
      </c>
      <c r="Z98">
        <f>IF(OR(Z3=1,Z3=2),IF(AND(Z13=0,Z91&lt;=0),0,MAX(0,Z13+Z91/(1-Z21))),0)</f>
      </c>
      <c r="AA98">
        <f>IF(OR(AA3=1,AA3=2),IF(AND(AA13=0,AA91&lt;=0),0,MAX(0,AA13+AA91/(1-AA21))),0)</f>
      </c>
      <c r="AB98">
        <f>IF(OR(AB3=1,AB3=2),IF(AND(AB13=0,AB91&lt;=0),0,MAX(0,AB13+AB91/(1-AB21))),0)</f>
      </c>
      <c r="AC98">
        <f>IF(OR(AC3=1,AC3=2),IF(AND(AC13=0,AC91&lt;=0),0,MAX(0,AC13+AC91/(1-AC21))),0)</f>
      </c>
      <c r="AD98">
        <f>IF(OR(AD3=1,AD3=2),IF(AND(AD13=0,AD91&lt;=0),0,MAX(0,AD13+AD91/(1-AD21))),0)</f>
      </c>
      <c r="AE98">
        <f>IF(OR(AE3=1,AE3=2),IF(AND(AE13=0,AE91&lt;=0),0,MAX(0,AE13+AE91/(1-AE21))),0)</f>
      </c>
      <c r="AF98">
        <f>IF(OR(AF3=1,AF3=2),IF(AND(AF13=0,AF91&lt;=0),0,MAX(0,AF13+AF91/(1-AF21))),0)</f>
      </c>
      <c r="AG98">
        <f>IF(OR(AG3=1,AG3=2),IF(AND(AG13=0,AG91&lt;=0),0,MAX(0,AG13+AG91/(1-AG21))),0)</f>
      </c>
      <c r="AH98">
        <f>IF(OR(AH3=1,AH3=2),IF(AND(AH13=0,AH91&lt;=0),0,MAX(0,AH13+AH91/(1-AH21))),0)</f>
      </c>
      <c r="AI98">
        <f>IF(OR(AI3=1,AI3=2),IF(AND(AI13=0,AI91&lt;=0),0,MAX(0,AI13+AI91/(1-AI21))),0)</f>
      </c>
      <c r="AJ98">
        <f>IF(OR(AJ3=1,AJ3=2),IF(AND(AJ13=0,AJ91&lt;=0),0,MAX(0,AJ13+AJ91/(1-AJ21))),0)</f>
      </c>
      <c r="AK98">
        <f>IF(OR(AK3=1,AK3=2),IF(AND(AK13=0,AK91&lt;=0),0,MAX(0,AK13+AK91/(1-AK21))),0)</f>
      </c>
      <c r="AM98">
        <f>IF(OR(AM3=1,AM3=2),IF(AND(AM13=0,AM91&lt;=0),0,MAX(0,AM13+AM91/(1-AM21))),0)</f>
      </c>
      <c r="AN98">
        <f>IF(OR(AN3=1,AN3=2),IF(AND(AN13=0,AN91&lt;=0),0,MAX(0,AN13+AN91/(1-AN21))),0)</f>
      </c>
      <c r="AO98">
        <f>IF(OR(AO3=1,AO3=2),IF(AND(AO13=0,AO91&lt;=0),0,MAX(0,AO13+AO91/(1-AO21))),0)</f>
      </c>
      <c r="AP98">
        <f>IF(OR(AP3=1,AP3=2),IF(AND(AP13=0,AP91&lt;=0),0,MAX(0,AP13+AP91/(1-AP21))),0)</f>
      </c>
      <c r="AQ98">
        <f>IF(OR(AQ3=1,AQ3=2),IF(AND(AQ13=0,AQ91&lt;=0),0,MAX(0,AQ13+AQ91/(1-AQ21))),0)</f>
      </c>
      <c r="AR98">
        <f>IF(OR(AR3=1,AR3=2),IF(AND(AR13=0,AR91&lt;=0),0,MAX(0,AR13+AR91/(1-AR21))),0)</f>
      </c>
      <c r="AS98">
        <f>IF(OR(AS3=1,AS3=2),IF(AND(AS13=0,AS91&lt;=0),0,MAX(0,AS13+AS91/(1-AS21))),0)</f>
      </c>
      <c r="AT98">
        <f>IF(OR(AT3=1,AT3=2),IF(AND(AT13=0,AT91&lt;=0),0,MAX(0,AT13+AT91/(1-AT21))),0)</f>
      </c>
      <c r="AU98">
        <f>IF(OR(AU3=1,AU3=2),IF(AND(AU13=0,AU91&lt;=0),0,MAX(0,AU13+AU91/(1-AU21))),0)</f>
      </c>
      <c r="AV98">
        <f>IF(OR(AV3=1,AV3=2),IF(AND(AV13=0,AV91&lt;=0),0,MAX(0,AV13+AV91/(1-AV21))),0)</f>
      </c>
      <c r="AW98">
        <f>IF(OR(AW3=1,AW3=2),IF(AND(AW13=0,AW91&lt;=0),0,MAX(0,AW13+AW91/(1-AW21))),0)</f>
      </c>
      <c r="AX98">
        <f>IF(OR(AX3=1,AX3=2),IF(AND(AX13=0,AX91&lt;=0),0,MAX(0,AX13+AX91/(1-AX21))),0)</f>
      </c>
      <c r="AY98">
        <f>IF(OR(AY3=1,AY3=2),IF(AND(AY13=0,AY91&lt;=0),0,MAX(0,AY13+AY91/(1-AY21))),0)</f>
      </c>
      <c r="AZ98">
        <f>IF(OR(AZ3=1,AZ3=2),IF(AND(AZ13=0,AZ91&lt;=0),0,MAX(0,AZ13+AZ91/(1-AZ21))),0)</f>
      </c>
      <c r="BA98">
        <f>IF(OR(BA3=1,BA3=2),IF(AND(BA13=0,BA91&lt;=0),0,MAX(0,BA13+BA91/(1-BA21))),0)</f>
      </c>
      <c r="BB98">
        <f>IF(OR(BB3=1,BB3=2),IF(AND(BB13=0,BB91&lt;=0),0,MAX(0,BB13+BB91/(1-BB21))),0)</f>
      </c>
      <c r="BD98">
        <f>IF(OR(BD3=1,BD3=2),IF(AND(BD13=0,BD91&lt;=0),0,MAX(0,BD13+BD91/(1-BD21))),0)</f>
      </c>
      <c r="BE98">
        <f>IF(OR(BE3=1,BE3=2),IF(AND(BE13=0,BE91&lt;=0),0,MAX(0,BE13+BE91/(1-BE21))),0)</f>
      </c>
      <c r="BF98">
        <f>IF(OR(BF3=1,BF3=2),IF(AND(BF13=0,BF91&lt;=0),0,MAX(0,BF13+BF91/(1-BF21))),0)</f>
      </c>
      <c r="BG98">
        <f>IF(OR(BG3=1,BG3=2),IF(AND(BG13=0,BG91&lt;=0),0,MAX(0,BG13+BG91/(1-BG21))),0)</f>
      </c>
      <c r="BH98">
        <f>IF(OR(BH3=1,BH3=2),IF(AND(BH13=0,BH91&lt;=0),0,MAX(0,BH13+BH91/(1-BH21))),0)</f>
      </c>
      <c r="BI98">
        <f>IF(OR(BI3=1,BI3=2),IF(AND(BI13=0,BI91&lt;=0),0,MAX(0,BI13+BI91/(1-BI21))),0)</f>
      </c>
      <c r="BJ98">
        <f>IF(OR(BJ3=1,BJ3=2),IF(AND(BJ13=0,BJ91&lt;=0),0,MAX(0,BJ13+BJ91/(1-BJ21))),0)</f>
      </c>
      <c r="BK98">
        <f>IF(OR(BK3=1,BK3=2),IF(AND(BK13=0,BK91&lt;=0),0,MAX(0,BK13+BK91/(1-BK21))),0)</f>
      </c>
      <c r="BL98">
        <f>IF(OR(BL3=1,BL3=2),IF(AND(BL13=0,BL91&lt;=0),0,MAX(0,BL13+BL91/(1-BL21))),0)</f>
      </c>
      <c r="BM98">
        <f>IF(OR(BM3=1,BM3=2),IF(AND(BM13=0,BM91&lt;=0),0,MAX(0,BM13+BM91/(1-BM21))),0)</f>
      </c>
      <c r="BN98">
        <f>IF(OR(BN3=1,BN3=2),IF(AND(BN13=0,BN91&lt;=0),0,MAX(0,BN13+BN91/(1-BN21))),0)</f>
      </c>
      <c r="BO98">
        <f>IF(OR(BO3=1,BO3=2),IF(AND(BO13=0,BO91&lt;=0),0,MAX(0,BO13+BO91/(1-BO21))),0)</f>
      </c>
      <c r="BP98">
        <f>IF(OR(BP3=1,BP3=2),IF(AND(BP13=0,BP91&lt;=0),0,MAX(0,BP13+BP91/(1-BP21))),0)</f>
      </c>
      <c r="BQ98">
        <f>IF(OR(BQ3=1,BQ3=2),IF(AND(BQ13=0,BQ91&lt;=0),0,MAX(0,BQ13+BQ91/(1-BQ21))),0)</f>
      </c>
      <c r="BR98">
        <f>IF(OR(BR3=1,BR3=2),IF(AND(BR13=0,BR91&lt;=0),0,MAX(0,BR13+BR91/(1-BR21))),0)</f>
      </c>
      <c r="BS98">
        <f>IF(OR(BS3=1,BS3=2),IF(AND(BS13=0,BS91&lt;=0),0,MAX(0,BS13+BS91/(1-BS21))),0)</f>
      </c>
    </row>
    <row r="99" spans="2:71" x14ac:dyDescent="0.25">
      <c r="B99" t="s">
        <v>418</v>
      </c>
      <c r="C99">
        <f>C7+C8+C9+C10+C11+C12+C13</f>
      </c>
      <c r="E99">
        <f>E7+E8+E9+E10+E11+E12+E13</f>
      </c>
      <c r="F99">
        <f>F7+F8+F9+F10+F11+F12+F13</f>
      </c>
      <c r="G99">
        <f>G7+G8+G9+G10+G11+G12+G13</f>
      </c>
      <c r="H99">
        <f>H7+H8+H9+H10+H11+H12+H13</f>
      </c>
      <c r="I99">
        <f>I7+I8+I9+I10+I11+I12+I13</f>
      </c>
      <c r="J99">
        <f>J7+J8+J9+J10+J11+J12+J13</f>
      </c>
      <c r="K99">
        <f>K7+K8+K9+K10+K11+K12+K13</f>
      </c>
      <c r="L99">
        <f>L7+L8+L9+L10+L11+L12+L13</f>
      </c>
      <c r="M99">
        <f>M7+M8+M9+M10+M11+M12+M13</f>
      </c>
      <c r="N99">
        <f>N7+N8+N9+N10+N11+N12+N13</f>
      </c>
      <c r="O99">
        <f>O7+O8+O9+O10+O11+O12+O13</f>
      </c>
      <c r="P99">
        <f>P7+P8+P9+P10+P11+P12+P13</f>
      </c>
      <c r="Q99">
        <f>Q7+Q8+Q9+Q10+Q11+Q12+Q13</f>
      </c>
      <c r="R99">
        <f>R7+R8+R9+R10+R11+R12+R13</f>
      </c>
      <c r="S99">
        <f>S7+S8+S9+S10+S11+S12+S13</f>
      </c>
      <c r="T99">
        <f>T7+T8+T9+T10+T11+T12+T13</f>
      </c>
      <c r="V99">
        <f>V7+V8+V9+V10+V11+V12+V13</f>
      </c>
      <c r="W99">
        <f>W7+W8+W9+W10+W11+W12+W13</f>
      </c>
      <c r="X99">
        <f>X7+X8+X9+X10+X11+X12+X13</f>
      </c>
      <c r="Y99">
        <f>Y7+Y8+Y9+Y10+Y11+Y12+Y13</f>
      </c>
      <c r="Z99">
        <f>Z7+Z8+Z9+Z10+Z11+Z12+Z13</f>
      </c>
      <c r="AA99">
        <f>AA7+AA8+AA9+AA10+AA11+AA12+AA13</f>
      </c>
      <c r="AB99">
        <f>AB7+AB8+AB9+AB10+AB11+AB12+AB13</f>
      </c>
      <c r="AC99">
        <f>AC7+AC8+AC9+AC10+AC11+AC12+AC13</f>
      </c>
      <c r="AD99">
        <f>AD7+AD8+AD9+AD10+AD11+AD12+AD13</f>
      </c>
      <c r="AE99">
        <f>AE7+AE8+AE9+AE10+AE11+AE12+AE13</f>
      </c>
      <c r="AF99">
        <f>AF7+AF8+AF9+AF10+AF11+AF12+AF13</f>
      </c>
      <c r="AG99">
        <f>AG7+AG8+AG9+AG10+AG11+AG12+AG13</f>
      </c>
      <c r="AH99">
        <f>AH7+AH8+AH9+AH10+AH11+AH12+AH13</f>
      </c>
      <c r="AI99">
        <f>AI7+AI8+AI9+AI10+AI11+AI12+AI13</f>
      </c>
      <c r="AJ99">
        <f>AJ7+AJ8+AJ9+AJ10+AJ11+AJ12+AJ13</f>
      </c>
      <c r="AK99">
        <f>AK7+AK8+AK9+AK10+AK11+AK12+AK13</f>
      </c>
      <c r="AM99">
        <f>AM7+AM8+AM9+AM10+AM11+AM12+AM13</f>
      </c>
      <c r="AN99">
        <f>AN7+AN8+AN9+AN10+AN11+AN12+AN13</f>
      </c>
      <c r="AO99">
        <f>AO7+AO8+AO9+AO10+AO11+AO12+AO13</f>
      </c>
      <c r="AP99">
        <f>AP7+AP8+AP9+AP10+AP11+AP12+AP13</f>
      </c>
      <c r="AQ99">
        <f>AQ7+AQ8+AQ9+AQ10+AQ11+AQ12+AQ13</f>
      </c>
      <c r="AR99">
        <f>AR7+AR8+AR9+AR10+AR11+AR12+AR13</f>
      </c>
      <c r="AS99">
        <f>AS7+AS8+AS9+AS10+AS11+AS12+AS13</f>
      </c>
      <c r="AT99">
        <f>AT7+AT8+AT9+AT10+AT11+AT12+AT13</f>
      </c>
      <c r="AU99">
        <f>AU7+AU8+AU9+AU10+AU11+AU12+AU13</f>
      </c>
      <c r="AV99">
        <f>AV7+AV8+AV9+AV10+AV11+AV12+AV13</f>
      </c>
      <c r="AW99">
        <f>AW7+AW8+AW9+AW10+AW11+AW12+AW13</f>
      </c>
      <c r="AX99">
        <f>AX7+AX8+AX9+AX10+AX11+AX12+AX13</f>
      </c>
      <c r="AY99">
        <f>AY7+AY8+AY9+AY10+AY11+AY12+AY13</f>
      </c>
      <c r="AZ99">
        <f>AZ7+AZ8+AZ9+AZ10+AZ11+AZ12+AZ13</f>
      </c>
      <c r="BA99">
        <f>BA7+BA8+BA9+BA10+BA11+BA12+BA13</f>
      </c>
      <c r="BB99">
        <f>BB7+BB8+BB9+BB10+BB11+BB12+BB13</f>
      </c>
      <c r="BD99">
        <f>BD7+BD8+BD9+BD10+BD11+BD12+BD13</f>
      </c>
      <c r="BE99">
        <f>BE7+BE8+BE9+BE10+BE11+BE12+BE13</f>
      </c>
      <c r="BF99">
        <f>BF7+BF8+BF9+BF10+BF11+BF12+BF13</f>
      </c>
      <c r="BG99">
        <f>BG7+BG8+BG9+BG10+BG11+BG12+BG13</f>
      </c>
      <c r="BH99">
        <f>BH7+BH8+BH9+BH10+BH11+BH12+BH13</f>
      </c>
      <c r="BI99">
        <f>BI7+BI8+BI9+BI10+BI11+BI12+BI13</f>
      </c>
      <c r="BJ99">
        <f>BJ7+BJ8+BJ9+BJ10+BJ11+BJ12+BJ13</f>
      </c>
      <c r="BK99">
        <f>BK7+BK8+BK9+BK10+BK11+BK12+BK13</f>
      </c>
      <c r="BL99">
        <f>BL7+BL8+BL9+BL10+BL11+BL12+BL13</f>
      </c>
      <c r="BM99">
        <f>BM7+BM8+BM9+BM10+BM11+BM12+BM13</f>
      </c>
      <c r="BN99">
        <f>BN7+BN8+BN9+BN10+BN11+BN12+BN13</f>
      </c>
      <c r="BO99">
        <f>BO7+BO8+BO9+BO10+BO11+BO12+BO13</f>
      </c>
      <c r="BP99">
        <f>BP7+BP8+BP9+BP10+BP11+BP12+BP13</f>
      </c>
      <c r="BQ99">
        <f>BQ7+BQ8+BQ9+BQ10+BQ11+BQ12+BQ13</f>
      </c>
      <c r="BR99">
        <f>BR7+BR8+BR9+BR10+BR11+BR12+BR13</f>
      </c>
      <c r="BS99">
        <f>BS7+BS8+BS9+BS10+BS11+BS12+BS13</f>
      </c>
    </row>
    <row r="100" spans="2:71" x14ac:dyDescent="0.25">
      <c r="B100" t="s">
        <v>419</v>
      </c>
      <c r="C100">
        <f>IF(AND(C3=2,C99&gt;C16+0.005),1,0)</f>
      </c>
      <c r="E100">
        <f>IF(AND(E3=2,E99&gt;E16+0.005),1,0)</f>
      </c>
      <c r="F100">
        <f>IF(AND(F3=2,F99&gt;F16+0.005),1,0)</f>
      </c>
      <c r="G100">
        <f>IF(AND(G3=2,G99&gt;G16+0.005),1,0)</f>
      </c>
      <c r="H100">
        <f>IF(AND(H3=2,H99&gt;H16+0.005),1,0)</f>
      </c>
      <c r="I100">
        <f>IF(AND(I3=2,I99&gt;I16+0.005),1,0)</f>
      </c>
      <c r="J100">
        <f>IF(AND(J3=2,J99&gt;J16+0.005),1,0)</f>
      </c>
      <c r="K100">
        <f>IF(AND(K3=2,K99&gt;K16+0.005),1,0)</f>
      </c>
      <c r="L100">
        <f>IF(AND(L3=2,L99&gt;L16+0.005),1,0)</f>
      </c>
      <c r="M100">
        <f>IF(AND(M3=2,M99&gt;M16+0.005),1,0)</f>
      </c>
      <c r="N100">
        <f>IF(AND(N3=2,N99&gt;N16+0.005),1,0)</f>
      </c>
      <c r="O100">
        <f>IF(AND(O3=2,O99&gt;O16+0.005),1,0)</f>
      </c>
      <c r="P100">
        <f>IF(AND(P3=2,P99&gt;P16+0.005),1,0)</f>
      </c>
      <c r="Q100">
        <f>IF(AND(Q3=2,Q99&gt;Q16+0.005),1,0)</f>
      </c>
      <c r="R100">
        <f>IF(AND(R3=2,R99&gt;R16+0.005),1,0)</f>
      </c>
      <c r="S100">
        <f>IF(AND(S3=2,S99&gt;S16+0.005),1,0)</f>
      </c>
      <c r="T100">
        <f>IF(AND(T3=2,R99&gt;T16+0.005),1,0)</f>
      </c>
      <c r="V100">
        <f>IF(AND(V3=2,V99&gt;V16+0.005),1,0)</f>
      </c>
      <c r="W100">
        <f>IF(AND(W3=2,W99&gt;W16+0.005),1,0)</f>
      </c>
      <c r="X100">
        <f>IF(AND(X3=2,X99&gt;X16+0.005),1,0)</f>
      </c>
      <c r="Y100">
        <f>IF(AND(Y3=2,Y99&gt;Y16+0.005),1,0)</f>
      </c>
      <c r="Z100">
        <f>IF(AND(Z3=2,Z99&gt;Z16+0.005),1,0)</f>
      </c>
      <c r="AA100">
        <f>IF(AND(AA3=2,AA99&gt;AA16+0.005),1,0)</f>
      </c>
      <c r="AB100">
        <f>IF(AND(AB3=2,AB99&gt;AB16+0.005),1,0)</f>
      </c>
      <c r="AC100">
        <f>IF(AND(AC3=2,AC99&gt;AC16+0.005),1,0)</f>
      </c>
      <c r="AD100">
        <f>IF(AND(AD3=2,AD99&gt;AD16+0.005),1,0)</f>
      </c>
      <c r="AE100">
        <f>IF(AND(AE3=2,AE99&gt;AE16+0.005),1,0)</f>
      </c>
      <c r="AF100">
        <f>IF(AND(AF3=2,AF99&gt;AF16+0.005),1,0)</f>
      </c>
      <c r="AG100">
        <f>IF(AND(AG3=2,AG99&gt;AG16+0.005),1,0)</f>
      </c>
      <c r="AH100">
        <f>IF(AND(AH3=2,AH99&gt;AH16+0.005),1,0)</f>
      </c>
      <c r="AI100">
        <f>IF(AND(AI3=2,AI99&gt;AI16+0.005),1,0)</f>
      </c>
      <c r="AJ100">
        <f>IF(AND(AJ3=2,AJ99&gt;AJ16+0.005),1,0)</f>
      </c>
      <c r="AK100">
        <f>IF(AND(AK3=2,AI99&gt;AK16+0.005),1,0)</f>
      </c>
      <c r="AM100">
        <f>IF(AND(AM3=2,AM99&gt;AM16+0.005),1,0)</f>
      </c>
      <c r="AN100">
        <f>IF(AND(AN3=2,AN99&gt;AN16+0.005),1,0)</f>
      </c>
      <c r="AO100">
        <f>IF(AND(AO3=2,AO99&gt;AO16+0.005),1,0)</f>
      </c>
      <c r="AP100">
        <f>IF(AND(AP3=2,AP99&gt;AP16+0.005),1,0)</f>
      </c>
      <c r="AQ100">
        <f>IF(AND(AQ3=2,AQ99&gt;AQ16+0.005),1,0)</f>
      </c>
      <c r="AR100">
        <f>IF(AND(AR3=2,AR99&gt;AR16+0.005),1,0)</f>
      </c>
      <c r="AS100">
        <f>IF(AND(AS3=2,AS99&gt;AS16+0.005),1,0)</f>
      </c>
      <c r="AT100">
        <f>IF(AND(AT3=2,AT99&gt;AT16+0.005),1,0)</f>
      </c>
      <c r="AU100">
        <f>IF(AND(AU3=2,AU99&gt;AU16+0.005),1,0)</f>
      </c>
      <c r="AV100">
        <f>IF(AND(AV3=2,AV99&gt;AV16+0.005),1,0)</f>
      </c>
      <c r="AW100">
        <f>IF(AND(AW3=2,AW99&gt;AW16+0.005),1,0)</f>
      </c>
      <c r="AX100">
        <f>IF(AND(AX3=2,AX99&gt;AX16+0.005),1,0)</f>
      </c>
      <c r="AY100">
        <f>IF(AND(AY3=2,AY99&gt;AY16+0.005),1,0)</f>
      </c>
      <c r="AZ100">
        <f>IF(AND(AZ3=2,AZ99&gt;AZ16+0.005),1,0)</f>
      </c>
      <c r="BA100">
        <f>IF(AND(BA3=2,BA99&gt;BA16+0.005),1,0)</f>
      </c>
      <c r="BB100">
        <f>IF(AND(BB3=2,AZ99&gt;BB16+0.005),1,0)</f>
      </c>
      <c r="BD100">
        <f>IF(AND(BD3=2,BD99&gt;BD16+0.005),1,0)</f>
      </c>
      <c r="BE100">
        <f>IF(AND(BE3=2,BE99&gt;BE16+0.005),1,0)</f>
      </c>
      <c r="BF100">
        <f>IF(AND(BF3=2,BF99&gt;BF16+0.005),1,0)</f>
      </c>
      <c r="BG100">
        <f>IF(AND(BG3=2,BG99&gt;BG16+0.005),1,0)</f>
      </c>
      <c r="BH100">
        <f>IF(AND(BH3=2,BH99&gt;BH16+0.005),1,0)</f>
      </c>
      <c r="BI100">
        <f>IF(AND(BI3=2,BI99&gt;BI16+0.005),1,0)</f>
      </c>
      <c r="BJ100">
        <f>IF(AND(BJ3=2,BJ99&gt;BJ16+0.005),1,0)</f>
      </c>
      <c r="BK100">
        <f>IF(AND(BK3=2,BK99&gt;BK16+0.005),1,0)</f>
      </c>
      <c r="BL100">
        <f>IF(AND(BL3=2,BL99&gt;BL16+0.005),1,0)</f>
      </c>
      <c r="BM100">
        <f>IF(AND(BM3=2,BM99&gt;BM16+0.005),1,0)</f>
      </c>
      <c r="BN100">
        <f>IF(AND(BN3=2,BN99&gt;BN16+0.005),1,0)</f>
      </c>
      <c r="BO100">
        <f>IF(AND(BO3=2,BO99&gt;BO16+0.005),1,0)</f>
      </c>
      <c r="BP100">
        <f>IF(AND(BP3=2,BP99&gt;BP16+0.005),1,0)</f>
      </c>
      <c r="BQ100">
        <f>IF(AND(BQ3=2,BQ99&gt;BQ16+0.005),1,0)</f>
      </c>
      <c r="BR100">
        <f>IF(AND(BR3=2,BR99&gt;BR16+0.005),1,0)</f>
      </c>
      <c r="BS100">
        <f>IF(AND(BS3=2,BQ99&gt;BS16+0.005),1,0)</f>
      </c>
    </row>
  </sheetData>
  <sheetProtection sheet="1" formatRows="0"/>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43"/>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46" customWidth="1"/>
    <col min="3" max="8" width="15" customWidth="1"/>
    <col min="9" max="9" width="2" customWidth="1"/>
  </cols>
  <sheetData>
    <row r="1" ht="21.75" customHeight="1" spans="2:9" x14ac:dyDescent="0.25">
      <c r="B1" s="1" t="s">
        <v>55</v>
      </c>
      <c r="C1" s="1"/>
      <c r="D1" s="1"/>
      <c r="E1" s="1"/>
      <c r="F1" s="1"/>
      <c r="G1" s="1"/>
      <c r="H1" s="1"/>
      <c r="I1" s="1"/>
    </row>
    <row r="2" ht="15" customHeight="1" spans="2:9" x14ac:dyDescent="0.25">
      <c r="B2" s="2" t="s">
        <v>56</v>
      </c>
      <c r="C2" s="2"/>
      <c r="D2" s="2"/>
      <c r="E2" s="2"/>
      <c r="F2" s="2"/>
      <c r="G2" s="2"/>
      <c r="H2" s="2"/>
      <c r="I2" s="2"/>
    </row>
    <row r="4" ht="20" customHeight="1" spans="2:2" x14ac:dyDescent="0.25">
      <c r="B4" s="3" t="s">
        <v>287</v>
      </c>
    </row>
    <row r="5" spans="2:2" x14ac:dyDescent="0.25">
      <c r="B5" s="4" t="s">
        <v>288</v>
      </c>
    </row>
    <row r="6" ht="18" customHeight="1" spans="2:9" x14ac:dyDescent="0.25">
      <c r="B6" s="5" t="s">
        <v>289</v>
      </c>
      <c r="C6" s="6"/>
      <c r="D6" s="6"/>
      <c r="E6" s="6"/>
      <c r="F6" s="6"/>
      <c r="G6" s="6"/>
      <c r="H6" s="6"/>
      <c r="I6" s="6"/>
    </row>
    <row r="7" ht="20" customHeight="1" spans="2:8" x14ac:dyDescent="0.25">
      <c r="B7" s="12" t="s">
        <v>171</v>
      </c>
      <c r="C7" s="13">
        <f>IF('Inputs'!$B$89="","",'Inputs'!$B$89)</f>
      </c>
      <c r="D7" s="13">
        <f>IF('Inputs'!$B$90="","",'Inputs'!$B$90)</f>
      </c>
      <c r="E7" s="13">
        <f>IF('Inputs'!$B$91="","",'Inputs'!$B$91)</f>
      </c>
      <c r="F7" s="13">
        <f>IF('Inputs'!$B$92="","",'Inputs'!$B$92)</f>
      </c>
      <c r="G7" s="13">
        <f>IF('Inputs'!$B$93="","",'Inputs'!$B$93)</f>
      </c>
      <c r="H7" s="13">
        <f>IF('Inputs'!$B$94="","",'Inputs'!$B$94)</f>
      </c>
    </row>
    <row r="8" spans="2:8" x14ac:dyDescent="0.25">
      <c r="B8" s="7" t="s">
        <v>290</v>
      </c>
      <c r="C8" s="48">
        <f>IF('Inputs'!$B$89="","",N('Inputs'!$E$89))</f>
      </c>
      <c r="D8" s="48">
        <f>IF('Inputs'!$B$90="","",N('Inputs'!$E$90))</f>
      </c>
      <c r="E8" s="48">
        <f>IF('Inputs'!$B$91="","",N('Inputs'!$E$91))</f>
      </c>
      <c r="F8" s="48">
        <f>IF('Inputs'!$B$92="","",N('Inputs'!$E$92))</f>
      </c>
      <c r="G8" s="48">
        <f>IF('Inputs'!$B$93="","",N('Inputs'!$E$93))</f>
      </c>
      <c r="H8" s="48">
        <f>IF('Inputs'!$B$94="","",N('Inputs'!$E$94))</f>
      </c>
    </row>
    <row r="9" spans="2:8" x14ac:dyDescent="0.25">
      <c r="B9" s="7" t="s">
        <v>117</v>
      </c>
      <c r="C9" s="51">
        <f>IF('Inputs'!$B$89="","",'Needs years'!$C$8)</f>
      </c>
      <c r="D9" s="51">
        <f>IF('Inputs'!$B$90="","",'Needs years'!$C$64)</f>
      </c>
      <c r="E9" s="51">
        <f>IF('Inputs'!$B$91="","",'Needs years'!$C$120)</f>
      </c>
      <c r="F9" s="51">
        <f>IF('Inputs'!$B$92="","",'Needs years'!$C$176)</f>
      </c>
      <c r="G9" s="51">
        <f>IF('Inputs'!$B$93="","",'Needs years'!$C$232)</f>
      </c>
      <c r="H9" s="51">
        <f>IF('Inputs'!$B$94="","",'Needs years'!$C$288)</f>
      </c>
    </row>
    <row r="10" spans="2:8" x14ac:dyDescent="0.25">
      <c r="B10" s="7" t="s">
        <v>193</v>
      </c>
      <c r="C10" s="52">
        <f>IF('Inputs'!$B$89="","",'Needs years'!$C$10)</f>
      </c>
      <c r="D10" s="52">
        <f>IF('Inputs'!$B$90="","",'Needs years'!$C$66)</f>
      </c>
      <c r="E10" s="52">
        <f>IF('Inputs'!$B$91="","",'Needs years'!$C$122)</f>
      </c>
      <c r="F10" s="52">
        <f>IF('Inputs'!$B$92="","",'Needs years'!$C$178)</f>
      </c>
      <c r="G10" s="52">
        <f>IF('Inputs'!$B$93="","",'Needs years'!$C$234)</f>
      </c>
      <c r="H10" s="52">
        <f>IF('Inputs'!$B$94="","",'Needs years'!$C$290)</f>
      </c>
    </row>
    <row r="11" spans="2:8" x14ac:dyDescent="0.25">
      <c r="B11" s="7" t="s">
        <v>291</v>
      </c>
      <c r="C11" s="48">
        <f>IF('Inputs'!$B$89="","",'Needs years'!$C$7)</f>
      </c>
      <c r="D11" s="48">
        <f>IF('Inputs'!$B$90="","",'Needs years'!$C$63)</f>
      </c>
      <c r="E11" s="48">
        <f>IF('Inputs'!$B$91="","",'Needs years'!$C$119)</f>
      </c>
      <c r="F11" s="48">
        <f>IF('Inputs'!$B$92="","",'Needs years'!$C$175)</f>
      </c>
      <c r="G11" s="48">
        <f>IF('Inputs'!$B$93="","",'Needs years'!$C$231)</f>
      </c>
      <c r="H11" s="48">
        <f>IF('Inputs'!$B$94="","",'Needs years'!$C$287)</f>
      </c>
    </row>
    <row r="12" spans="2:8" x14ac:dyDescent="0.25">
      <c r="B12" s="7" t="s">
        <v>292</v>
      </c>
      <c r="C12" s="48">
        <f>IF('Inputs'!$B$89="","",'Needs years'!$C$15/12)</f>
      </c>
      <c r="D12" s="48">
        <f>IF('Inputs'!$B$90="","",'Needs years'!$C$71/12)</f>
      </c>
      <c r="E12" s="48">
        <f>IF('Inputs'!$B$91="","",'Needs years'!$C$127/12)</f>
      </c>
      <c r="F12" s="48">
        <f>IF('Inputs'!$B$92="","",'Needs years'!$C$183/12)</f>
      </c>
      <c r="G12" s="48">
        <f>IF('Inputs'!$B$93="","",'Needs years'!$C$239/12)</f>
      </c>
      <c r="H12" s="48">
        <f>IF('Inputs'!$B$94="","",'Needs years'!$C$295/12)</f>
      </c>
    </row>
    <row r="13" spans="2:8" x14ac:dyDescent="0.25">
      <c r="B13" s="29" t="s">
        <v>293</v>
      </c>
      <c r="C13" s="49">
        <f>IF('Inputs'!$B$89="","",'Needs calc'!$C$46)</f>
      </c>
      <c r="D13" s="49">
        <f>IF('Inputs'!$B$90="","",'Needs calc'!$C$53)</f>
      </c>
      <c r="E13" s="49">
        <f>IF('Inputs'!$B$91="","",'Needs calc'!$C$60)</f>
      </c>
      <c r="F13" s="49">
        <f>IF('Inputs'!$B$92="","",'Needs calc'!$C$67)</f>
      </c>
      <c r="G13" s="49">
        <f>IF('Inputs'!$B$93="","",'Needs calc'!$C$74)</f>
      </c>
      <c r="H13" s="49">
        <f>IF('Inputs'!$B$94="","",'Needs calc'!$C$81)</f>
      </c>
    </row>
    <row r="14" spans="2:8" x14ac:dyDescent="0.25">
      <c r="B14" s="7" t="s">
        <v>294</v>
      </c>
      <c r="C14" s="53">
        <f>IF('Inputs'!$B$89="","",'Needs calc'!$C$48)</f>
      </c>
      <c r="D14" s="53">
        <f>IF('Inputs'!$B$90="","",'Needs calc'!$C$55)</f>
      </c>
      <c r="E14" s="53">
        <f>IF('Inputs'!$B$91="","",'Needs calc'!$C$62)</f>
      </c>
      <c r="F14" s="53">
        <f>IF('Inputs'!$B$92="","",'Needs calc'!$C$69)</f>
      </c>
      <c r="G14" s="53">
        <f>IF('Inputs'!$B$93="","",'Needs calc'!$C$76)</f>
      </c>
      <c r="H14" s="53">
        <f>IF('Inputs'!$B$94="","",'Needs calc'!$C$83)</f>
      </c>
    </row>
    <row r="15" spans="2:8" x14ac:dyDescent="0.25">
      <c r="B15" s="7" t="s">
        <v>295</v>
      </c>
      <c r="C15" s="50">
        <f>IF('Inputs'!$B$89="","",'Needs calc'!$C$49)</f>
      </c>
      <c r="D15" s="50">
        <f>IF('Inputs'!$B$90="","",'Needs calc'!$C$56)</f>
      </c>
      <c r="E15" s="50">
        <f>IF('Inputs'!$B$91="","",'Needs calc'!$C$63)</f>
      </c>
      <c r="F15" s="50">
        <f>IF('Inputs'!$B$92="","",'Needs calc'!$C$70)</f>
      </c>
      <c r="G15" s="50">
        <f>IF('Inputs'!$B$93="","",'Needs calc'!$C$77)</f>
      </c>
      <c r="H15" s="50">
        <f>IF('Inputs'!$B$94="","",'Needs calc'!$C$84)</f>
      </c>
    </row>
    <row r="16" spans="2:8" x14ac:dyDescent="0.25">
      <c r="B16" s="29" t="s">
        <v>296</v>
      </c>
      <c r="C16" s="49">
        <f>IF('Inputs'!$B$89="","",'Needs calc'!$C$50)</f>
      </c>
      <c r="D16" s="49">
        <f>IF('Inputs'!$B$90="","",'Needs calc'!$C$57)</f>
      </c>
      <c r="E16" s="49">
        <f>IF('Inputs'!$B$91="","",'Needs calc'!$C$64)</f>
      </c>
      <c r="F16" s="49">
        <f>IF('Inputs'!$B$92="","",'Needs calc'!$C$71)</f>
      </c>
      <c r="G16" s="49">
        <f>IF('Inputs'!$B$93="","",'Needs calc'!$C$78)</f>
      </c>
      <c r="H16" s="49">
        <f>IF('Inputs'!$B$94="","",'Needs calc'!$C$85)</f>
      </c>
    </row>
    <row r="17" spans="2:8" x14ac:dyDescent="0.25">
      <c r="B17" s="29" t="s">
        <v>297</v>
      </c>
      <c r="C17" s="49">
        <f>IF('Inputs'!$B$89="","",'Needs calc'!$C$51)</f>
      </c>
      <c r="D17" s="49">
        <f>IF('Inputs'!$B$90="","",'Needs calc'!$C$58)</f>
      </c>
      <c r="E17" s="49">
        <f>IF('Inputs'!$B$91="","",'Needs calc'!$C$65)</f>
      </c>
      <c r="F17" s="49">
        <f>IF('Inputs'!$B$92="","",'Needs calc'!$C$72)</f>
      </c>
      <c r="G17" s="49">
        <f>IF('Inputs'!$B$93="","",'Needs calc'!$C$79)</f>
      </c>
      <c r="H17" s="49">
        <f>IF('Inputs'!$B$94="","",'Needs calc'!$C$86)</f>
      </c>
    </row>
    <row r="18" spans="2:8" x14ac:dyDescent="0.25">
      <c r="B18" s="7" t="s">
        <v>298</v>
      </c>
      <c r="C18" s="48">
        <f>IF('Inputs'!$B$89="","",'Needs calc'!$C$52)</f>
      </c>
      <c r="D18" s="48">
        <f>IF('Inputs'!$B$90="","",'Needs calc'!$C$59)</f>
      </c>
      <c r="E18" s="48">
        <f>IF('Inputs'!$B$91="","",'Needs calc'!$C$66)</f>
      </c>
      <c r="F18" s="48">
        <f>IF('Inputs'!$B$92="","",'Needs calc'!$C$73)</f>
      </c>
      <c r="G18" s="48">
        <f>IF('Inputs'!$B$93="","",'Needs calc'!$C$80)</f>
      </c>
      <c r="H18" s="48">
        <f>IF('Inputs'!$B$94="","",'Needs calc'!$C$87)</f>
      </c>
    </row>
    <row r="20" ht="18" customHeight="1" spans="2:9" x14ac:dyDescent="0.25">
      <c r="B20" s="5" t="s">
        <v>299</v>
      </c>
      <c r="C20" s="6"/>
      <c r="D20" s="6"/>
      <c r="E20" s="6"/>
      <c r="F20" s="6"/>
      <c r="G20" s="6"/>
      <c r="H20" s="6"/>
      <c r="I20" s="6"/>
    </row>
    <row r="21" ht="20" customHeight="1" spans="2:8" x14ac:dyDescent="0.25">
      <c r="B21" s="12" t="s">
        <v>171</v>
      </c>
      <c r="C21" s="13">
        <f>IF('Inputs'!$B$89="","",'Inputs'!$B$89)</f>
      </c>
      <c r="D21" s="13">
        <f>IF('Inputs'!$B$90="","",'Inputs'!$B$90)</f>
      </c>
      <c r="E21" s="13">
        <f>IF('Inputs'!$B$91="","",'Inputs'!$B$91)</f>
      </c>
      <c r="F21" s="13">
        <f>IF('Inputs'!$B$92="","",'Inputs'!$B$92)</f>
      </c>
      <c r="G21" s="13">
        <f>IF('Inputs'!$B$93="","",'Inputs'!$B$93)</f>
      </c>
      <c r="H21" s="13">
        <f>IF('Inputs'!$B$94="","",'Inputs'!$B$94)</f>
      </c>
    </row>
    <row r="22" spans="2:8" x14ac:dyDescent="0.25">
      <c r="B22" s="29" t="s">
        <v>300</v>
      </c>
      <c r="C22" s="49">
        <f>IF('Inputs'!$B$89="","",'Needs calc'!$T$7)</f>
      </c>
      <c r="D22" s="49">
        <f>IF('Inputs'!$B$90="","",'Needs calc'!$T$8)</f>
      </c>
      <c r="E22" s="49">
        <f>IF('Inputs'!$B$91="","",'Needs calc'!$T$9)</f>
      </c>
      <c r="F22" s="49">
        <f>IF('Inputs'!$B$92="","",'Needs calc'!$T$10)</f>
      </c>
      <c r="G22" s="49">
        <f>IF('Inputs'!$B$93="","",'Needs calc'!$T$11)</f>
      </c>
      <c r="H22" s="49">
        <f>IF('Inputs'!$B$94="","",'Needs calc'!$T$12)</f>
      </c>
    </row>
    <row r="23" spans="2:8" x14ac:dyDescent="0.25">
      <c r="B23" s="7" t="s">
        <v>301</v>
      </c>
      <c r="C23" s="48">
        <f>IF('Inputs'!$B$89="","",'Needs calc'!$T$46)</f>
      </c>
      <c r="D23" s="48">
        <f>IF('Inputs'!$B$90="","",'Needs calc'!$T$53)</f>
      </c>
      <c r="E23" s="48">
        <f>IF('Inputs'!$B$91="","",'Needs calc'!$T$60)</f>
      </c>
      <c r="F23" s="48">
        <f>IF('Inputs'!$B$92="","",'Needs calc'!$T$67)</f>
      </c>
      <c r="G23" s="48">
        <f>IF('Inputs'!$B$93="","",'Needs calc'!$T$74)</f>
      </c>
      <c r="H23" s="48">
        <f>IF('Inputs'!$B$94="","",'Needs calc'!$T$81)</f>
      </c>
    </row>
    <row r="24" spans="2:8" x14ac:dyDescent="0.25">
      <c r="B24" s="7" t="s">
        <v>302</v>
      </c>
      <c r="C24" s="53">
        <f>IF('Inputs'!$B$89="","",'Needs calc'!$T$48)</f>
      </c>
      <c r="D24" s="53">
        <f>IF('Inputs'!$B$90="","",'Needs calc'!$T$55)</f>
      </c>
      <c r="E24" s="53">
        <f>IF('Inputs'!$B$91="","",'Needs calc'!$T$62)</f>
      </c>
      <c r="F24" s="53">
        <f>IF('Inputs'!$B$92="","",'Needs calc'!$T$69)</f>
      </c>
      <c r="G24" s="53">
        <f>IF('Inputs'!$B$93="","",'Needs calc'!$T$76)</f>
      </c>
      <c r="H24" s="53">
        <f>IF('Inputs'!$B$94="","",'Needs calc'!$T$83)</f>
      </c>
    </row>
    <row r="25" spans="2:8" x14ac:dyDescent="0.25">
      <c r="B25" s="7" t="s">
        <v>303</v>
      </c>
      <c r="C25" s="48">
        <f>IF('Inputs'!$B$89="","",'Needs calc'!$T$50)</f>
      </c>
      <c r="D25" s="48">
        <f>IF('Inputs'!$B$90="","",'Needs calc'!$T$57)</f>
      </c>
      <c r="E25" s="48">
        <f>IF('Inputs'!$B$91="","",'Needs calc'!$T$64)</f>
      </c>
      <c r="F25" s="48">
        <f>IF('Inputs'!$B$92="","",'Needs calc'!$T$71)</f>
      </c>
      <c r="G25" s="48">
        <f>IF('Inputs'!$B$93="","",'Needs calc'!$T$78)</f>
      </c>
      <c r="H25" s="48">
        <f>IF('Inputs'!$B$94="","",'Needs calc'!$T$85)</f>
      </c>
    </row>
    <row r="26" spans="2:8" x14ac:dyDescent="0.25">
      <c r="B26" s="7" t="s">
        <v>304</v>
      </c>
      <c r="C26" s="48">
        <f>IF('Inputs'!$B$89="","",'Needs calc'!$T$51)</f>
      </c>
      <c r="D26" s="48">
        <f>IF('Inputs'!$B$90="","",'Needs calc'!$T$58)</f>
      </c>
      <c r="E26" s="48">
        <f>IF('Inputs'!$B$91="","",'Needs calc'!$T$65)</f>
      </c>
      <c r="F26" s="48">
        <f>IF('Inputs'!$B$92="","",'Needs calc'!$T$72)</f>
      </c>
      <c r="G26" s="48">
        <f>IF('Inputs'!$B$93="","",'Needs calc'!$T$79)</f>
      </c>
      <c r="H26" s="48">
        <f>IF('Inputs'!$B$94="","",'Needs calc'!$T$86)</f>
      </c>
    </row>
    <row r="27" spans="2:3" x14ac:dyDescent="0.25">
      <c r="B27" s="7" t="s">
        <v>305</v>
      </c>
      <c r="C27" s="48">
        <f>'Needs calc'!$T$13</f>
      </c>
    </row>
    <row r="28" spans="2:4" x14ac:dyDescent="0.25">
      <c r="B28" s="7" t="s">
        <v>306</v>
      </c>
      <c r="C28" s="48">
        <f>'Needs calc'!$T$20</f>
      </c>
      <c r="D28" s="50">
        <f>'Needs calc'!$T$21</f>
      </c>
    </row>
    <row r="29" spans="2:3" x14ac:dyDescent="0.25">
      <c r="B29" s="7" t="s">
        <v>307</v>
      </c>
      <c r="C29" s="48">
        <f>'Needs calc'!$T$27</f>
      </c>
    </row>
    <row r="31" ht="18" customHeight="1" spans="2:9" x14ac:dyDescent="0.25">
      <c r="B31" s="5" t="s">
        <v>308</v>
      </c>
      <c r="C31" s="6"/>
      <c r="D31" s="6"/>
      <c r="E31" s="6"/>
      <c r="F31" s="6"/>
      <c r="G31" s="6"/>
      <c r="H31" s="6"/>
      <c r="I31" s="6"/>
    </row>
    <row r="32" ht="20" customHeight="1" spans="2:8" x14ac:dyDescent="0.25">
      <c r="B32" s="12" t="s">
        <v>171</v>
      </c>
      <c r="C32" s="13">
        <f>IF('Inputs'!$B$89="","",'Inputs'!$B$89)</f>
      </c>
      <c r="D32" s="13">
        <f>IF('Inputs'!$B$90="","",'Inputs'!$B$90)</f>
      </c>
      <c r="E32" s="13">
        <f>IF('Inputs'!$B$91="","",'Inputs'!$B$91)</f>
      </c>
      <c r="F32" s="13">
        <f>IF('Inputs'!$B$92="","",'Inputs'!$B$92)</f>
      </c>
      <c r="G32" s="13">
        <f>IF('Inputs'!$B$93="","",'Inputs'!$B$93)</f>
      </c>
      <c r="H32" s="13">
        <f>IF('Inputs'!$B$94="","",'Inputs'!$B$94)</f>
      </c>
    </row>
    <row r="33" spans="2:8" x14ac:dyDescent="0.25">
      <c r="B33" s="7" t="s">
        <v>309</v>
      </c>
      <c r="C33" s="48">
        <f>IF('Inputs'!$B$89="","",'Needs years'!$C$17)</f>
      </c>
      <c r="D33" s="48">
        <f>IF('Inputs'!$B$90="","",'Needs years'!$C$73)</f>
      </c>
      <c r="E33" s="48">
        <f>IF('Inputs'!$B$91="","",'Needs years'!$C$129)</f>
      </c>
      <c r="F33" s="48">
        <f>IF('Inputs'!$B$92="","",'Needs years'!$C$185)</f>
      </c>
      <c r="G33" s="48">
        <f>IF('Inputs'!$B$93="","",'Needs years'!$C$241)</f>
      </c>
      <c r="H33" s="48">
        <f>IF('Inputs'!$B$94="","",'Needs years'!$C$297)</f>
      </c>
    </row>
    <row r="34" spans="2:8" x14ac:dyDescent="0.25">
      <c r="B34" s="7" t="s">
        <v>310</v>
      </c>
      <c r="C34" s="48">
        <f>IF('Inputs'!$B$89="","",'Needs years'!$C$18)</f>
      </c>
      <c r="D34" s="48">
        <f>IF('Inputs'!$B$90="","",'Needs years'!$C$74)</f>
      </c>
      <c r="E34" s="48">
        <f>IF('Inputs'!$B$91="","",'Needs years'!$C$130)</f>
      </c>
      <c r="F34" s="48">
        <f>IF('Inputs'!$B$92="","",'Needs years'!$C$186)</f>
      </c>
      <c r="G34" s="48">
        <f>IF('Inputs'!$B$93="","",'Needs years'!$C$242)</f>
      </c>
      <c r="H34" s="48">
        <f>IF('Inputs'!$B$94="","",'Needs years'!$C$298)</f>
      </c>
    </row>
    <row r="35" spans="2:8" x14ac:dyDescent="0.25">
      <c r="B35" s="7" t="s">
        <v>311</v>
      </c>
      <c r="C35" s="48">
        <f>IF('Inputs'!$B$89="","",'Needs years'!$C$19)</f>
      </c>
      <c r="D35" s="48">
        <f>IF('Inputs'!$B$90="","",'Needs years'!$C$75)</f>
      </c>
      <c r="E35" s="48">
        <f>IF('Inputs'!$B$91="","",'Needs years'!$C$131)</f>
      </c>
      <c r="F35" s="48">
        <f>IF('Inputs'!$B$92="","",'Needs years'!$C$187)</f>
      </c>
      <c r="G35" s="48">
        <f>IF('Inputs'!$B$93="","",'Needs years'!$C$243)</f>
      </c>
      <c r="H35" s="48">
        <f>IF('Inputs'!$B$94="","",'Needs years'!$C$299)</f>
      </c>
    </row>
    <row r="37" ht="18" customHeight="1" spans="2:9" x14ac:dyDescent="0.25">
      <c r="B37" s="5" t="s">
        <v>312</v>
      </c>
      <c r="C37" s="6"/>
      <c r="D37" s="6"/>
      <c r="E37" s="6"/>
      <c r="F37" s="6"/>
      <c r="G37" s="6"/>
      <c r="H37" s="6"/>
      <c r="I37" s="6"/>
    </row>
    <row r="38" spans="2:3" x14ac:dyDescent="0.25">
      <c r="B38" s="7" t="s">
        <v>313</v>
      </c>
      <c r="C38" s="48">
        <f>'Workings'!$C$64</f>
      </c>
    </row>
    <row r="39" ht="27" customHeight="1" spans="2:3" x14ac:dyDescent="0.25">
      <c r="B39" s="7" t="s">
        <v>314</v>
      </c>
      <c r="C39" s="48">
        <f>'Needs years'!$C$377</f>
      </c>
    </row>
    <row r="40" spans="2:3" x14ac:dyDescent="0.25">
      <c r="B40" s="7" t="s">
        <v>315</v>
      </c>
      <c r="C40" s="33">
        <f>'Needs years'!$C$378</f>
      </c>
    </row>
    <row r="41" ht="27" customHeight="1" spans="2:3" x14ac:dyDescent="0.25">
      <c r="B41" s="7" t="s">
        <v>316</v>
      </c>
      <c r="C41" s="48">
        <f>IF(AND(OR(LEFT('Inputs'!$C$13,7)="Married",'Inputs'!$C$13="Life partner",'Inputs'!$C$13="Civil Union"),'Workings'!$C$64&gt;0),'Workings'!$C$64,0)</f>
      </c>
    </row>
    <row r="43" ht="92" customHeight="1" spans="2:9" x14ac:dyDescent="0.25">
      <c r="B43" s="35">
        <f>"Basis: income needs are net. Capital invested for a dependant earns "&amp;FIXED('Inputs'!$C$122,1)&amp;"% a year before tax as a unit trust, taxed in their hands: E(m) = "&amp;FIXED('Inputs'!$H$110,2)&amp;"% x m + "&amp;FIXED('Inputs'!$H$111,2)&amp;"% x "&amp;FIXED('Inputs'!$H$113,0)&amp;"% + "&amp;FIXED('Inputs'!$H$112,2)&amp;"% x "&amp;FIXED('Inputs'!$C$120,0)&amp;"% x m, with m from their own income plus the taxable part of the first year's return (and any annuity drawdown), less trustee fees of "&amp;FIXED('Inputs'!$H$108,1)&amp;"% a year while in a trust. Retirement money paid to a dependant goes into a living annuity in their name and pays first, within "&amp;FIXED('Inputs'!$H$115,1)&amp;"% to "&amp;FIXED('Inputs'!$H$116,1)&amp;"% a year, taxed as their income with the rebates for their age; the invested capital pays the rest. Retirement money paid to the children's trust is paid out as a lump sum, taxed on the death benefit table. Payments are monthly in advance from the date of death, rising at each anniversary. Rebates, the interest exemption and the annual CGT exclusion are left out of the unit trust tax, so it is slightly overstated: an estimate."</f>
      </c>
      <c r="C43" s="35"/>
      <c r="D43" s="35"/>
      <c r="E43" s="35"/>
      <c r="F43" s="35"/>
      <c r="G43" s="35"/>
      <c r="H43" s="35"/>
      <c r="I43" s="35"/>
    </row>
  </sheetData>
  <sheetProtection sheet="1" formatRows="0"/>
  <mergeCells count="3">
    <mergeCell ref="B1:I1"/>
    <mergeCell ref="B2:I2"/>
    <mergeCell ref="B43:I43"/>
  </mergeCells>
  <printOptions horizontalCentered="1"/>
  <pageMargins left="0.4" right="0.4" top="0.45" bottom="0.6" header="0.25" footer="0.3"/>
  <pageSetup paperSize="9" orientation="landscape" horizontalDpi="4294967295" verticalDpi="4294967295" scale="100" fitToWidth="1" fitToHeight="0"/>
  <headerFooter>
    <oddFooter>&amp;L&amp;8&amp;"Arial"Duwalcoe Financial Consultants CC  ·  FSP 9978  ·  Life cover need workings&amp;R&amp;8&amp;"Arial"&amp;A  ·  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43"/>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40" customWidth="1"/>
    <col min="3" max="6" width="18" customWidth="1"/>
  </cols>
  <sheetData>
    <row r="1" ht="21.75" customHeight="1" spans="2:6" x14ac:dyDescent="0.25">
      <c r="B1" s="1" t="s">
        <v>55</v>
      </c>
      <c r="C1" s="1"/>
      <c r="D1" s="1"/>
      <c r="E1" s="1"/>
      <c r="F1" s="1"/>
    </row>
    <row r="2" ht="15" customHeight="1" spans="2:6" x14ac:dyDescent="0.25">
      <c r="B2" s="2" t="s">
        <v>56</v>
      </c>
      <c r="C2" s="2"/>
      <c r="D2" s="2"/>
      <c r="E2" s="2"/>
      <c r="F2" s="2"/>
    </row>
    <row r="3" spans="2:6" x14ac:dyDescent="0.25">
      <c r="B3" s="23">
        <f>IF(OR(COUNTIF('Inputs'!$B$143:$B$156,"✗ Full FNA*")&gt;0,LEFT('Inputs'!$B$138,1)="✗"),"NOT FOR THE CLIENT: this case needs the full FNA (see Checks on Inputs)","")</f>
      </c>
      <c r="C3" s="23"/>
      <c r="D3" s="23"/>
      <c r="E3" s="23"/>
      <c r="F3" s="23"/>
    </row>
    <row r="4" ht="20" customHeight="1" spans="2:2" x14ac:dyDescent="0.25">
      <c r="B4" s="3" t="s">
        <v>185</v>
      </c>
    </row>
    <row r="5" spans="2:2" x14ac:dyDescent="0.25">
      <c r="B5" s="4">
        <f>"Prepared for "&amp;'Inputs'!$C$8&amp;" by "&amp;'Inputs'!$C$10&amp;" · "&amp;IF(ISNUMBER('Inputs'!$C$11),FIXED(DAY('Inputs'!$C$11),0)&amp;" "&amp;CHOOSE(MONTH('Inputs'!$C$11),"January","February","March","April","May","June","July","August","September","October","November","December")&amp;" "&amp;FIXED(YEAR('Inputs'!$C$11),0,TRUE),"")</f>
      </c>
    </row>
    <row r="7" ht="46" customHeight="1" spans="2:6" x14ac:dyDescent="0.25">
      <c r="B7" s="24">
        <f>IF(COUNTIF('Inputs'!$B$89:$B$94,"?*")=0,"No one who depends on you is recorded, so there is no income need to cover.","If you died today, "&amp;IF((('Needs calc'!$C$51&gt;0)+('Needs calc'!$C$58&gt;0)+('Needs calc'!$C$65&gt;0)+('Needs calc'!$C$72&gt;0)+('Needs calc'!$C$79&gt;0)+('Needs calc'!$C$86&gt;0)+('Needs calc'!$C$91&gt;0))=0,"everyone who depends on you would have the income you want for them"&amp;IF('Needs calc'!$C$4=1,", with the trust sharing by need as one family pot","")&amp;".",IF('Needs calc'!$C$51&gt;0,'Inputs'!$B$89&amp;" would have about R "&amp;FIXED(ROUND('Needs calc'!$C$52,-2),0)&amp;" a month of the R "&amp;FIXED(ROUND('Inputs'!$E$89,-2),0)&amp;" you want. ","")&amp;IF('Needs calc'!$C$58&gt;0,'Inputs'!$B$90&amp;" would have about R "&amp;FIXED(ROUND('Needs calc'!$C$59,-2),0)&amp;" a month of the R "&amp;FIXED(ROUND('Inputs'!$E$90,-2),0)&amp;" you want. ","")&amp;IF('Needs calc'!$C$65&gt;0,'Inputs'!$B$91&amp;" would have about R "&amp;FIXED(ROUND('Needs calc'!$C$66,-2),0)&amp;" a month of the R "&amp;FIXED(ROUND('Inputs'!$E$91,-2),0)&amp;" you want. ","")&amp;IF('Needs calc'!$C$72&gt;0,'Inputs'!$B$92&amp;" would have about R "&amp;FIXED(ROUND('Needs calc'!$C$73,-2),0)&amp;" a month of the R "&amp;FIXED(ROUND('Inputs'!$E$92,-2),0)&amp;" you want. ","")&amp;IF('Needs calc'!$C$79&gt;0,'Inputs'!$B$93&amp;" would have about R "&amp;FIXED(ROUND('Needs calc'!$C$80,-2),0)&amp;" a month of the R "&amp;FIXED(ROUND('Inputs'!$E$93,-2),0)&amp;" you want. ","")&amp;IF('Needs calc'!$C$86&gt;0,'Inputs'!$B$94&amp;" would have about R "&amp;FIXED(ROUND('Needs calc'!$C$87,-2),0)&amp;" a month of the R "&amp;FIXED(ROUND('Inputs'!$E$94,-2),0)&amp;" you want. ","")&amp;IF('Needs calc'!$C$91&gt;0,"The family pot would be short by R "&amp;FIXED(ROUND('Needs calc'!$C$91,-3),0)&amp;". ","")&amp;IF((('Needs calc'!$C$51&gt;0)+('Needs calc'!$C$58&gt;0)+('Needs calc'!$C$65&gt;0)+('Needs calc'!$C$72&gt;0)+('Needs calc'!$C$79&gt;0)+('Needs calc'!$C$86&gt;0)+('Needs calc'!$C$91&gt;0))&lt;COUNTIF('Inputs'!$B$89:$B$94,"?*"),"Everyone else is provided for.","")))</f>
      </c>
      <c r="C7" s="24"/>
      <c r="D7" s="24"/>
      <c r="E7" s="24"/>
      <c r="F7" s="24"/>
    </row>
    <row r="8" ht="30" customHeight="1" spans="2:6" x14ac:dyDescent="0.25">
      <c r="B8" s="24">
        <f>IF('Workings'!$C$64&gt;0,"Your estate itself would be short of cash by about R "&amp;FIXED(ROUND('Workings'!$C$64,-3),0)&amp;" to pay its debts and costs.","Your estate itself has enough cash to pay its debts and costs, with about R "&amp;FIXED(ROUND('Workings'!$C$65,-3),0)&amp;" left over for your heirs.")</f>
      </c>
      <c r="C8" s="24"/>
      <c r="D8" s="24"/>
      <c r="E8" s="24"/>
      <c r="F8" s="24"/>
    </row>
    <row r="10" spans="2:6" x14ac:dyDescent="0.25">
      <c r="B10" s="25">
        <f>IF(('Needs calc'!$T$7+'Needs calc'!$T$8+'Needs calc'!$T$9+'Needs calc'!$T$10+'Needs calc'!$T$11+'Needs calc'!$T$12+'Needs calc'!$T$13)&gt;0,"LIFE COVER TO CLOSE THE GAPS","EVERYONE WHO DEPENDS ON YOU IS PROVIDED FOR")</f>
      </c>
      <c r="C10" s="25"/>
      <c r="D10" s="25"/>
      <c r="E10" s="25"/>
      <c r="F10" s="25"/>
    </row>
    <row r="11" ht="28" customHeight="1" spans="2:6" x14ac:dyDescent="0.25">
      <c r="B11" s="26">
        <f>IF(('Needs calc'!$T$7+'Needs calc'!$T$8+'Needs calc'!$T$9+'Needs calc'!$T$10+'Needs calc'!$T$11+'Needs calc'!$T$12+'Needs calc'!$T$13)&gt;0,"R "&amp;FIXED(ROUND(('Needs calc'!$T$7+'Needs calc'!$T$8+'Needs calc'!$T$9+'Needs calc'!$T$10+'Needs calc'!$T$11+'Needs calc'!$T$12+'Needs calc'!$T$13),-3),0),"No new cover needed")</f>
      </c>
      <c r="C11" s="26"/>
      <c r="D11" s="26"/>
      <c r="E11" s="26"/>
      <c r="F11" s="26"/>
    </row>
    <row r="12" spans="2:6" x14ac:dyDescent="0.25">
      <c r="B12" s="27">
        <f>IF(('Needs calc'!$T$7+'Needs calc'!$T$8+'Needs calc'!$T$9+'Needs calc'!$T$10+'Needs calc'!$T$11+'Needs calc'!$T$12+'Needs calc'!$T$13)&gt;0,"new cover nominated for the people who are short, after the estate duty it brings","on the needs you gave us, as your policies and will instructions stand today")</f>
      </c>
      <c r="C12" s="27"/>
      <c r="D12" s="27"/>
      <c r="E12" s="27"/>
      <c r="F12" s="27"/>
    </row>
    <row r="14" spans="2:6" x14ac:dyDescent="0.25">
      <c r="B14" s="12" t="s">
        <v>186</v>
      </c>
      <c r="C14" s="12" t="s">
        <v>171</v>
      </c>
      <c r="D14" s="12"/>
      <c r="E14" s="12"/>
      <c r="F14" s="12"/>
    </row>
    <row r="15" spans="2:6" x14ac:dyDescent="0.25">
      <c r="B15" s="7" t="s">
        <v>187</v>
      </c>
      <c r="C15" s="15">
        <f>'Workings'!$C$60</f>
      </c>
      <c r="D15" s="15"/>
      <c r="E15" s="15"/>
      <c r="F15" s="15"/>
    </row>
    <row r="16" spans="2:6" x14ac:dyDescent="0.25">
      <c r="B16" s="7" t="s">
        <v>188</v>
      </c>
      <c r="C16" s="15">
        <f>'Workings'!$C$63</f>
      </c>
      <c r="D16" s="15"/>
      <c r="E16" s="15"/>
      <c r="F16" s="15"/>
    </row>
    <row r="17" ht="30" customHeight="1" spans="2:6" x14ac:dyDescent="0.25">
      <c r="B17" s="7" t="s">
        <v>189</v>
      </c>
      <c r="C17" s="36">
        <f>IF('Workings'!$C$64&gt;0,"Short R "&amp;FIXED(ROUND('Workings'!$C$64,-3),0)&amp;". To close it: R "&amp;FIXED(ROUND('Needs years'!$C$377,-3),0)&amp;" of cover paid to your estate"&amp;IF(OR(LEFT('Inputs'!$C$13,7)="Married",'Inputs'!$C$13="Life partner",'Inputs'!$C$13="Civil Union")," or R "&amp;FIXED(ROUND('Workings'!$C$64,-3),0)&amp;" nominated to your spouse, who pays it in","")&amp;".","Covered: R "&amp;FIXED(ROUND('Workings'!$C$65,-3),0)&amp;" left for your heirs")</f>
      </c>
      <c r="D17" s="36"/>
      <c r="E17" s="36"/>
      <c r="F17" s="36"/>
    </row>
    <row r="19" ht="20" customHeight="1" spans="2:6" x14ac:dyDescent="0.25">
      <c r="B19" s="12" t="s">
        <v>190</v>
      </c>
      <c r="C19" s="13">
        <f>IF('Inputs'!$B$89="","",'Inputs'!$B$89)</f>
      </c>
      <c r="D19" s="13">
        <f>IF('Inputs'!$B$90="","",'Inputs'!$B$90)</f>
      </c>
      <c r="E19" s="13">
        <f>IF('Inputs'!$B$91="","",'Inputs'!$B$91)</f>
      </c>
      <c r="F19" s="13">
        <f>IF('Inputs'!$B$92="","",'Inputs'!$B$92)</f>
      </c>
    </row>
    <row r="20" spans="2:6" x14ac:dyDescent="0.25">
      <c r="B20" s="7" t="s">
        <v>191</v>
      </c>
      <c r="C20" s="15">
        <f>IF('Inputs'!$B$89="","",N('Inputs'!$E$89))</f>
      </c>
      <c r="D20" s="15">
        <f>IF('Inputs'!$B$90="","",N('Inputs'!$E$90))</f>
      </c>
      <c r="E20" s="15">
        <f>IF('Inputs'!$B$91="","",N('Inputs'!$E$91))</f>
      </c>
      <c r="F20" s="15">
        <f>IF('Inputs'!$B$92="","",N('Inputs'!$E$92))</f>
      </c>
    </row>
    <row r="21" spans="2:6" x14ac:dyDescent="0.25">
      <c r="B21" s="7" t="s">
        <v>192</v>
      </c>
      <c r="C21" s="33">
        <f>IF('Inputs'!$B$89="","",'Needs years'!$C$8&amp;" years")</f>
      </c>
      <c r="D21" s="33">
        <f>IF('Inputs'!$B$90="","",'Needs years'!$C$64&amp;" years")</f>
      </c>
      <c r="E21" s="33">
        <f>IF('Inputs'!$B$91="","",'Needs years'!$C$120&amp;" years")</f>
      </c>
      <c r="F21" s="33">
        <f>IF('Inputs'!$B$92="","",'Needs years'!$C$176&amp;" years")</f>
      </c>
    </row>
    <row r="22" spans="2:6" x14ac:dyDescent="0.25">
      <c r="B22" s="7" t="s">
        <v>193</v>
      </c>
      <c r="C22" s="37">
        <f>IF('Inputs'!$B$89="","",'Needs years'!$C$10)</f>
      </c>
      <c r="D22" s="37">
        <f>IF('Inputs'!$B$90="","",'Needs years'!$C$66)</f>
      </c>
      <c r="E22" s="37">
        <f>IF('Inputs'!$B$91="","",'Needs years'!$C$122)</f>
      </c>
      <c r="F22" s="37">
        <f>IF('Inputs'!$B$92="","",'Needs years'!$C$178)</f>
      </c>
    </row>
    <row r="23" spans="2:6" x14ac:dyDescent="0.25">
      <c r="B23" s="29" t="s">
        <v>194</v>
      </c>
      <c r="C23" s="30">
        <f>IF('Inputs'!$B$89="","",IF(AND('Needs calc'!$C$4=1,'Inputs'!$Q$89=1),'Needs calc'!$C$50,'Needs years'!$C$7+'Needs calc'!$C$50))</f>
      </c>
      <c r="D23" s="30">
        <f>IF('Inputs'!$B$90="","",IF(AND('Needs calc'!$C$4=1,'Inputs'!$Q$90=1),'Needs calc'!$C$57,'Needs years'!$C$63+'Needs calc'!$C$57))</f>
      </c>
      <c r="E23" s="30">
        <f>IF('Inputs'!$B$91="","",IF(AND('Needs calc'!$C$4=1,'Inputs'!$Q$91=1),'Needs calc'!$C$64,'Needs years'!$C$119+'Needs calc'!$C$64))</f>
      </c>
      <c r="F23" s="30">
        <f>IF('Inputs'!$B$92="","",IF(AND('Needs calc'!$C$4=1,'Inputs'!$Q$92=1),'Needs calc'!$C$71,'Needs years'!$C$175+'Needs calc'!$C$71))</f>
      </c>
    </row>
    <row r="24" spans="2:6" x14ac:dyDescent="0.25">
      <c r="B24" s="7" t="s">
        <v>195</v>
      </c>
      <c r="C24" s="15">
        <f>IF('Inputs'!$B$89="","",'Needs years'!$C$7)</f>
      </c>
      <c r="D24" s="15">
        <f>IF('Inputs'!$B$90="","",'Needs years'!$C$63)</f>
      </c>
      <c r="E24" s="15">
        <f>IF('Inputs'!$B$91="","",'Needs years'!$C$119)</f>
      </c>
      <c r="F24" s="15">
        <f>IF('Inputs'!$B$92="","",'Needs years'!$C$175)</f>
      </c>
    </row>
    <row r="25" spans="2:6" x14ac:dyDescent="0.25">
      <c r="B25" s="7" t="s">
        <v>196</v>
      </c>
      <c r="C25" s="15">
        <f>IF('Inputs'!$B$89="","",'Needs calc'!$C$46)</f>
      </c>
      <c r="D25" s="15">
        <f>IF('Inputs'!$B$90="","",'Needs calc'!$C$53)</f>
      </c>
      <c r="E25" s="15">
        <f>IF('Inputs'!$B$91="","",'Needs calc'!$C$60)</f>
      </c>
      <c r="F25" s="15">
        <f>IF('Inputs'!$B$92="","",'Needs calc'!$C$67)</f>
      </c>
    </row>
    <row r="26" spans="2:6" x14ac:dyDescent="0.25">
      <c r="B26" s="29" t="s">
        <v>197</v>
      </c>
      <c r="C26" s="30">
        <f>IF('Inputs'!$B$89="","",IF(AND('Needs calc'!$C$4=1,'Inputs'!$Q$89=1),'Needs calc'!$C$50,'Needs years'!$C$7+'Needs calc'!$C$46))</f>
      </c>
      <c r="D26" s="30">
        <f>IF('Inputs'!$B$90="","",IF(AND('Needs calc'!$C$4=1,'Inputs'!$Q$90=1),'Needs calc'!$C$57,'Needs years'!$C$63+'Needs calc'!$C$53))</f>
      </c>
      <c r="E26" s="30">
        <f>IF('Inputs'!$B$91="","",IF(AND('Needs calc'!$C$4=1,'Inputs'!$Q$91=1),'Needs calc'!$C$64,'Needs years'!$C$119+'Needs calc'!$C$60))</f>
      </c>
      <c r="F26" s="30">
        <f>IF('Inputs'!$B$92="","",IF(AND('Needs calc'!$C$4=1,'Inputs'!$Q$92=1),'Needs calc'!$C$71,'Needs years'!$C$175+'Needs calc'!$C$67))</f>
      </c>
    </row>
    <row r="27" spans="2:6" x14ac:dyDescent="0.25">
      <c r="B27" s="7" t="s">
        <v>198</v>
      </c>
      <c r="C27" s="15">
        <f>IF('Inputs'!$B$89="","",'Needs calc'!$C$52)</f>
      </c>
      <c r="D27" s="15">
        <f>IF('Inputs'!$B$90="","",'Needs calc'!$C$59)</f>
      </c>
      <c r="E27" s="15">
        <f>IF('Inputs'!$B$91="","",'Needs calc'!$C$66)</f>
      </c>
      <c r="F27" s="15">
        <f>IF('Inputs'!$B$92="","",'Needs calc'!$C$73)</f>
      </c>
    </row>
    <row r="28" spans="2:6" x14ac:dyDescent="0.25">
      <c r="B28" s="20" t="s">
        <v>199</v>
      </c>
      <c r="C28" s="31">
        <f>IF('Inputs'!$B$89="","",IF(AND('Needs calc'!$C$4=1,'Inputs'!$Q$89=1),IF('Needs calc'!$C$90&gt;=0,"Covered by the pot","Pot short"),IF('Needs calc'!$C$51&gt;0,"Short R "&amp;FIXED(ROUND('Needs calc'!$C$51,-3),0),IF('Needs calc'!$C$51&lt;0,"R "&amp;FIXED(ROUND(-'Needs calc'!$C$51,-3),0)&amp;" over","Covered"))))</f>
      </c>
      <c r="D28" s="31">
        <f>IF('Inputs'!$B$90="","",IF(AND('Needs calc'!$C$4=1,'Inputs'!$Q$90=1),IF('Needs calc'!$C$90&gt;=0,"Covered by the pot","Pot short"),IF('Needs calc'!$C$58&gt;0,"Short R "&amp;FIXED(ROUND('Needs calc'!$C$58,-3),0),IF('Needs calc'!$C$58&lt;0,"R "&amp;FIXED(ROUND(-'Needs calc'!$C$58,-3),0)&amp;" over","Covered"))))</f>
      </c>
      <c r="E28" s="31">
        <f>IF('Inputs'!$B$91="","",IF(AND('Needs calc'!$C$4=1,'Inputs'!$Q$91=1),IF('Needs calc'!$C$90&gt;=0,"Covered by the pot","Pot short"),IF('Needs calc'!$C$65&gt;0,"Short R "&amp;FIXED(ROUND('Needs calc'!$C$65,-3),0),IF('Needs calc'!$C$65&lt;0,"R "&amp;FIXED(ROUND(-'Needs calc'!$C$65,-3),0)&amp;" over","Covered"))))</f>
      </c>
      <c r="F28" s="31">
        <f>IF('Inputs'!$B$92="","",IF(AND('Needs calc'!$C$4=1,'Inputs'!$Q$92=1),IF('Needs calc'!$C$90&gt;=0,"Covered by the pot","Pot short"),IF('Needs calc'!$C$72&gt;0,"Short R "&amp;FIXED(ROUND('Needs calc'!$C$72,-3),0),IF('Needs calc'!$C$72&lt;0,"R "&amp;FIXED(ROUND(-'Needs calc'!$C$72,-3),0)&amp;" over","Covered"))))</f>
      </c>
    </row>
    <row r="29" spans="2:6" x14ac:dyDescent="0.25">
      <c r="B29" s="29" t="s">
        <v>200</v>
      </c>
      <c r="C29" s="30">
        <f>IF('Inputs'!$B$89="","",IF('Needs calc'!$T$7&gt;0,'Needs calc'!$T$7,"None needed"))</f>
      </c>
      <c r="D29" s="30">
        <f>IF('Inputs'!$B$90="","",IF('Needs calc'!$T$8&gt;0,'Needs calc'!$T$8,"None needed"))</f>
      </c>
      <c r="E29" s="30">
        <f>IF('Inputs'!$B$91="","",IF('Needs calc'!$T$9&gt;0,'Needs calc'!$T$9,"None needed"))</f>
      </c>
      <c r="F29" s="30">
        <f>IF('Inputs'!$B$92="","",IF('Needs calc'!$T$10&gt;0,'Needs calc'!$T$10,"None needed"))</f>
      </c>
    </row>
    <row r="30" ht="27" customHeight="1" spans="2:6" x14ac:dyDescent="0.25">
      <c r="B30" s="16">
        <f>IF('Needs calc'!$C$4=1,"The trust shares by need as one family pot: R "&amp;FIXED(ROUND('Needs calc'!$C$88,-3),0)&amp;" in the pot, R "&amp;FIXED(ROUND('Needs calc'!$C$89,-3),0)&amp;" needed for the children, "&amp;IF('Needs calc'!$C$90&gt;=0,"R "&amp;FIXED(ROUND('Needs calc'!$C$90,-3),0)&amp;" left to share equally at the end.","short by R "&amp;FIXED(ROUND(-'Needs calc'!$C$90,-3),0)&amp;"."),"")&amp;IF(COUNTIF('Inputs'!$B$89:$B$94,"?*")&gt;4," The others who depend on you are on the workings page.","")</f>
      </c>
      <c r="C30" s="16"/>
      <c r="D30" s="16"/>
      <c r="E30" s="16"/>
      <c r="F30" s="16"/>
    </row>
    <row r="31" ht="30" customHeight="1" spans="2:6" x14ac:dyDescent="0.25">
      <c r="B31" s="34">
        <f>IF('Needs calc'!$C$44&gt;0,"Life cover of R "&amp;FIXED(ROUND('Needs calc'!$C$44,-3),0)&amp;" is paid directly to "&amp;IF(SUMPRODUCT('Inputs'!$R$59:$R$70*('Inputs'!$F$59:$F$70="")*('Inputs'!$D$59:$D$70&gt;0))=1,"someone who is","people who are")&amp;" not recorded as depending on you; they pay R "&amp;FIXED(ROUND('Needs calc'!$C$45,-3),0)&amp;" of the estate duty on it, and it is not counted for anyone above.","")</f>
      </c>
      <c r="C31" s="34"/>
      <c r="D31" s="34"/>
      <c r="E31" s="34"/>
      <c r="F31" s="34"/>
    </row>
    <row r="33" spans="2:6" x14ac:dyDescent="0.25">
      <c r="B33" s="12">
        <f>IF(SUMPRODUCT(('Inputs'!$H$89:$H$94="Yes")*('Inputs'!$B$89:$B$94&lt;&gt;""))&gt;0,"What the trust will cost (trustee fees of "&amp;IF(ROUND('Inputs'!$H$108,0)='Inputs'!$H$108,FIXED('Inputs'!$H$108,0),IF(ROUND('Inputs'!$H$108,1)='Inputs'!$H$108,FIXED('Inputs'!$H$108,1),FIXED('Inputs'!$H$108,2)))&amp;"%"&amp;" a year)","")</f>
      </c>
      <c r="C33" s="13">
        <f>IF('Inputs'!$H$89="Yes",'Inputs'!$B$89,"")</f>
      </c>
      <c r="D33" s="13">
        <f>IF('Inputs'!$H$90="Yes",'Inputs'!$B$90,"")</f>
      </c>
      <c r="E33" s="13">
        <f>IF('Inputs'!$H$91="Yes",'Inputs'!$B$91,"")</f>
      </c>
      <c r="F33" s="13">
        <f>IF('Inputs'!$H$92="Yes",'Inputs'!$B$92,"")</f>
      </c>
    </row>
    <row r="34" spans="2:6" x14ac:dyDescent="0.25">
      <c r="B34" s="38">
        <f>IF(SUMPRODUCT(('Inputs'!$H$89:$H$94="Yes")*('Inputs'!$B$89:$B$94&lt;&gt;""))&gt;0,"First year","")</f>
      </c>
      <c r="C34" s="15">
        <f>IF('Inputs'!$H$89="Yes",'Needs years'!$C$17,"")</f>
      </c>
      <c r="D34" s="15">
        <f>IF('Inputs'!$H$90="Yes",'Needs years'!$C$73,"")</f>
      </c>
      <c r="E34" s="15">
        <f>IF('Inputs'!$H$91="Yes",'Needs years'!$C$129,"")</f>
      </c>
      <c r="F34" s="15">
        <f>IF('Inputs'!$H$92="Yes",'Needs years'!$C$185,"")</f>
      </c>
    </row>
    <row r="35" spans="2:6" x14ac:dyDescent="0.25">
      <c r="B35" s="38">
        <f>IF(SUMPRODUCT(('Inputs'!$H$89:$H$94="Yes")*('Inputs'!$B$89:$B$94&lt;&gt;""))&gt;0,"Over the whole period","")</f>
      </c>
      <c r="C35" s="15">
        <f>IF('Inputs'!$H$89="Yes",'Needs years'!$C$18,"")</f>
      </c>
      <c r="D35" s="15">
        <f>IF('Inputs'!$H$90="Yes",'Needs years'!$C$74,"")</f>
      </c>
      <c r="E35" s="15">
        <f>IF('Inputs'!$H$91="Yes",'Needs years'!$C$130,"")</f>
      </c>
      <c r="F35" s="15">
        <f>IF('Inputs'!$H$92="Yes",'Needs years'!$C$186,"")</f>
      </c>
    </row>
    <row r="36" spans="2:6" x14ac:dyDescent="0.25">
      <c r="B36" s="38">
        <f>IF(SUMPRODUCT(('Inputs'!$H$89:$H$94="Yes")*('Inputs'!$B$89:$B$94&lt;&gt;""))&gt;0,"Extra capital it needs today (already in the need)","")</f>
      </c>
      <c r="C36" s="15">
        <f>IF('Inputs'!$H$89="Yes",'Needs years'!$C$19,"")</f>
      </c>
      <c r="D36" s="15">
        <f>IF('Inputs'!$H$90="Yes",'Needs years'!$C$75,"")</f>
      </c>
      <c r="E36" s="15">
        <f>IF('Inputs'!$H$91="Yes",'Needs years'!$C$131,"")</f>
      </c>
      <c r="F36" s="15">
        <f>IF('Inputs'!$H$92="Yes",'Needs years'!$C$187,"")</f>
      </c>
    </row>
    <row r="38" ht="18" customHeight="1" spans="2:6" x14ac:dyDescent="0.25">
      <c r="B38" s="5" t="s">
        <v>184</v>
      </c>
      <c r="C38" s="6"/>
      <c r="D38" s="6"/>
      <c r="E38" s="6"/>
      <c r="F38" s="6"/>
    </row>
    <row r="39" ht="27" customHeight="1" spans="2:6" x14ac:dyDescent="0.25">
      <c r="B39" s="34">
        <f>"1.  "&amp;IF(('Needs calc'!$T$7+'Needs calc'!$T$8+'Needs calc'!$T$9+'Needs calc'!$T$10+'Needs calc'!$T$11+'Needs calc'!$T$12+'Needs calc'!$T$13)&gt;0,"Close the gap: the Options page shows the ways to do it, starting with what you already have.","Keep your nominations and will instructions as they are: they provide for everyone today.")</f>
      </c>
      <c r="C39" s="34"/>
      <c r="D39" s="34"/>
      <c r="E39" s="34"/>
      <c r="F39" s="34"/>
    </row>
    <row r="40" ht="27" customHeight="1" spans="2:6" x14ac:dyDescent="0.25">
      <c r="B40" s="34" t="s">
        <v>201</v>
      </c>
      <c r="C40" s="34"/>
      <c r="D40" s="34"/>
      <c r="E40" s="34"/>
      <c r="F40" s="34"/>
    </row>
    <row r="41" ht="27" customHeight="1" spans="2:6" x14ac:dyDescent="0.25">
      <c r="B41" s="34">
        <f>"3.  "&amp;IF(SUMPRODUCT(('Inputs'!$H$89:$H$94="Yes")*('Inputs'!$B$89:$B$94&lt;&gt;""))&gt;0,"Decide how the trust in your will shares between the children: equal shares, or one family pot shared by need.","Sign a will that says who inherits, so the law does not decide it for you.")</f>
      </c>
      <c r="C41" s="34"/>
      <c r="D41" s="34"/>
      <c r="E41" s="34"/>
      <c r="F41" s="34"/>
    </row>
    <row r="43" ht="44" customHeight="1" spans="2:6" x14ac:dyDescent="0.25">
      <c r="B43" s="35">
        <f>"Basis: indicative, on the needs you gave us and your policies and will instructions as they stand. Capital for a dependant is invested at "&amp;FIXED('Inputs'!$C$122,0)&amp;"% a year before tax as a unit trust, less tax"&amp;IF(SUMPRODUCT(('Inputs'!$H$89:$H$94="Yes")*('Inputs'!$B$89:$B$94&lt;&gt;""))&gt;0," and trustee fees of "&amp;IF(ROUND('Inputs'!$H$108,0)='Inputs'!$H$108,FIXED('Inputs'!$H$108,0),IF(ROUND('Inputs'!$H$108,1)='Inputs'!$H$108,FIXED('Inputs'!$H$108,1),FIXED('Inputs'!$H$108,2)))&amp;"%"&amp;" a year while it is in the trust","")&amp;"; retirement money paid to a dependant pays them first from a living annuity, taxed as their income. Each need rises as you asked. Not legal or tax advice."</f>
      </c>
      <c r="C43" s="35"/>
      <c r="D43" s="35"/>
      <c r="E43" s="35"/>
      <c r="F43" s="35"/>
    </row>
  </sheetData>
  <sheetProtection sheet="1" formatRows="0"/>
  <mergeCells count="18">
    <mergeCell ref="B1:F1"/>
    <mergeCell ref="B2:F2"/>
    <mergeCell ref="B3:F3"/>
    <mergeCell ref="B7:F7"/>
    <mergeCell ref="B8:F8"/>
    <mergeCell ref="B10:F10"/>
    <mergeCell ref="B11:F11"/>
    <mergeCell ref="B12:F12"/>
    <mergeCell ref="C14:F14"/>
    <mergeCell ref="C15:F15"/>
    <mergeCell ref="C16:F16"/>
    <mergeCell ref="C17:F17"/>
    <mergeCell ref="B30:F30"/>
    <mergeCell ref="B31:F31"/>
    <mergeCell ref="B39:F39"/>
    <mergeCell ref="B40:F40"/>
    <mergeCell ref="B41:F41"/>
    <mergeCell ref="B43:F43"/>
  </mergeCells>
  <conditionalFormatting sqref="B10:F12">
    <cfRule type="expression" dxfId="21" priority="1">
      <formula>('Needs calc'!$T$7+'Needs calc'!$T$8+'Needs calc'!$T$9+'Needs calc'!$T$10+'Needs calc'!$T$11+'Needs calc'!$T$12+'Needs calc'!$T$13)=0</formula>
    </cfRule>
  </conditionalFormatting>
  <conditionalFormatting sqref="C28:F28">
    <cfRule type="expression" dxfId="22" priority="2">
      <formula>LEFT(C28,5)="Short"</formula>
    </cfRule>
    <cfRule type="expression" dxfId="23" priority="3">
      <formula>OR(LEFT(C28,7)="Covered",RIGHT(C28,4)="over")</formula>
    </cfRule>
  </conditionalFormatting>
  <conditionalFormatting sqref="C20:F29">
    <cfRule type="expression" dxfId="24" priority="4">
      <formula>C$19=""</formula>
    </cfRule>
  </conditionalFormatting>
  <printOptions horizontalCentered="1"/>
  <pageMargins left="0.4" right="0.4" top="0.45" bottom="0.6" header="0.25" footer="0.3"/>
  <pageSetup paperSize="9" orientation="portrait" horizontalDpi="4294967295" verticalDpi="4294967295" scale="100" fitToWidth="1" fitToHeight="0"/>
  <headerFooter>
    <oddFooter>&amp;L&amp;8&amp;"Arial"Duwalcoe Financial Consultants CC  ·  FSP 9978  ·  Life cover need&amp;R&amp;8&amp;"Arial"&amp;A  ·  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37"/>
  <sheetViews>
    <sheetView workbookViewId="0" showGridLines="0">
      <pane ySplit="2" topLeftCell="A3" activePane="bottomLeft" state="frozen"/>
      <selection pane="bottomLeft"/>
    </sheetView>
  </sheetViews>
  <sheetFormatPr defaultRowHeight="15" outlineLevelRow="0" outlineLevelCol="0" x14ac:dyDescent="55"/>
  <cols>
    <col min="1" max="1" width="2" customWidth="1"/>
    <col min="2" max="2" width="34" customWidth="1"/>
    <col min="3" max="6" width="18" customWidth="1"/>
  </cols>
  <sheetData>
    <row r="1" ht="21.75" customHeight="1" spans="2:6" x14ac:dyDescent="0.25">
      <c r="B1" s="1" t="s">
        <v>55</v>
      </c>
      <c r="C1" s="1"/>
      <c r="D1" s="1"/>
      <c r="E1" s="1"/>
      <c r="F1" s="1"/>
    </row>
    <row r="2" ht="15" customHeight="1" spans="2:6" x14ac:dyDescent="0.25">
      <c r="B2" s="2" t="s">
        <v>56</v>
      </c>
      <c r="C2" s="2"/>
      <c r="D2" s="2"/>
      <c r="E2" s="2"/>
      <c r="F2" s="2"/>
    </row>
    <row r="3" spans="2:6" x14ac:dyDescent="0.25">
      <c r="B3" s="23">
        <f>IF(OR(COUNTIF('Inputs'!$B$143:$B$156,"✗ Full FNA*")&gt;0,LEFT('Inputs'!$B$138,1)="✗"),"NOT FOR THE CLIENT: this case needs the full FNA (see Checks on Inputs)","")</f>
      </c>
      <c r="C3" s="23"/>
      <c r="D3" s="23"/>
      <c r="E3" s="23"/>
      <c r="F3" s="23"/>
    </row>
    <row r="4" ht="20" customHeight="1" spans="2:2" x14ac:dyDescent="0.25">
      <c r="B4" s="3" t="s">
        <v>202</v>
      </c>
    </row>
    <row r="5" spans="2:2" x14ac:dyDescent="0.25">
      <c r="B5" s="4" t="s">
        <v>203</v>
      </c>
    </row>
    <row r="6" ht="30" customHeight="1" spans="2:6" x14ac:dyDescent="0.25">
      <c r="B6" s="34">
        <f>IF((('Needs calc'!$C$51&gt;0)+('Needs calc'!$C$58&gt;0)+('Needs calc'!$C$65&gt;0)+('Needs calc'!$C$72&gt;0)+('Needs calc'!$C$79&gt;0)+('Needs calc'!$C$86&gt;0)+('Needs calc'!$C$91&gt;0))=0,"Everyone who depends on you is provided for today. These options show what changes would do.","Your estate"&amp;IF('Workings'!$C$64&gt;0," is short of cash, and some of the people who depend on you are short."," can pay its bills. The question is how to make sure the people who depend on you have the income you want for them."))</f>
      </c>
      <c r="C6" s="34"/>
      <c r="D6" s="34"/>
      <c r="E6" s="34"/>
      <c r="F6" s="34"/>
    </row>
    <row r="8" ht="20" customHeight="1" spans="2:6" x14ac:dyDescent="0.25">
      <c r="B8" s="12" t="s">
        <v>171</v>
      </c>
      <c r="C8" s="13" t="s">
        <v>172</v>
      </c>
      <c r="D8" s="13" t="s">
        <v>204</v>
      </c>
      <c r="E8" s="13" t="s">
        <v>205</v>
      </c>
      <c r="F8" s="13" t="s">
        <v>206</v>
      </c>
    </row>
    <row r="9" ht="30" customHeight="1" spans="2:6" x14ac:dyDescent="0.25">
      <c r="B9" s="7" t="s">
        <v>207</v>
      </c>
      <c r="C9" s="39">
        <f>IF('Needs calc'!$C$4=1,"One family pot",IF('Needs calc'!$C$29&gt;0,"Equal shares",""))</f>
      </c>
      <c r="D9" s="40" t="s">
        <v>26</v>
      </c>
      <c r="E9" s="40" t="s">
        <v>18</v>
      </c>
      <c r="F9" s="40" t="s">
        <v>18</v>
      </c>
    </row>
    <row r="10" ht="30" customHeight="1" spans="2:6" x14ac:dyDescent="0.25">
      <c r="B10" s="7" t="s">
        <v>208</v>
      </c>
      <c r="C10" s="39" t="s">
        <v>19</v>
      </c>
      <c r="D10" s="40" t="s">
        <v>19</v>
      </c>
      <c r="E10" s="40" t="s">
        <v>36</v>
      </c>
      <c r="F10" s="40" t="s">
        <v>27</v>
      </c>
    </row>
    <row r="11" ht="30" customHeight="1" spans="2:6" x14ac:dyDescent="0.25">
      <c r="B11" s="7" t="s">
        <v>209</v>
      </c>
      <c r="C11" s="39" t="s">
        <v>171</v>
      </c>
      <c r="D11" s="40"/>
      <c r="E11" s="40"/>
      <c r="F11" s="40"/>
    </row>
    <row r="12" ht="30" customHeight="1" spans="2:6" x14ac:dyDescent="0.25">
      <c r="B12" s="7" t="s">
        <v>210</v>
      </c>
      <c r="C12" s="39" t="s">
        <v>171</v>
      </c>
      <c r="D12" s="40" t="s">
        <v>121</v>
      </c>
      <c r="E12" s="40"/>
      <c r="F12" s="40"/>
    </row>
    <row r="13" ht="54" customHeight="1" spans="2:6" x14ac:dyDescent="0.25">
      <c r="B13" s="20" t="s">
        <v>211</v>
      </c>
      <c r="C13" s="41" t="s">
        <v>19</v>
      </c>
      <c r="D13" s="41">
        <f>IF('Needs calc'!$AK$18=1,"Choose a policy paid to a person or the spouse, not to the estate",IF('Needs calc'!$AK$100=1,"Not enough in that nomination to close the gaps",CHOOSE('Needs calc'!$AK$3+1,"No change to the policies","New cover of R "&amp;FIXED(ROUND('Needs calc'!$AK$15,-3),0)&amp;" nominated for those who are short","R "&amp;FIXED(ROUND('Needs calc'!$AK$14,-3),0)&amp;" of "&amp;'Options'!$D$11&amp;" moved to those who are short","All of "&amp;'Options'!$D$11&amp;" (R "&amp;FIXED(ROUND('Needs calc'!$AK$14,-3),0)&amp;") moved to "&amp;'Options'!$D$12)&amp;IF('Needs calc'!$AK$4=1,"; the trust shares by need as one family pot","")))</f>
      </c>
      <c r="E13" s="41">
        <f>IF('Needs calc'!$BB$18=1,"Choose a policy paid to a person or the spouse, not to the estate",IF('Needs calc'!$BB$100=1,"Not enough in that nomination to close the gaps",CHOOSE('Needs calc'!$BB$3+1,"No change to the policies","New cover of R "&amp;FIXED(ROUND('Needs calc'!$BB$15,-3),0)&amp;" nominated for those who are short","R "&amp;FIXED(ROUND('Needs calc'!$BB$14,-3),0)&amp;" of "&amp;'Options'!$E$11&amp;" moved to those who are short","All of "&amp;'Options'!$E$11&amp;" (R "&amp;FIXED(ROUND('Needs calc'!$BB$14,-3),0)&amp;") moved to "&amp;'Options'!$E$12)&amp;IF('Needs calc'!$BB$4=1,"; the trust shares by need as one family pot","")))</f>
      </c>
      <c r="F13" s="41">
        <f>IF('Needs calc'!$BS$18=1,"Choose a policy paid to a person or the spouse, not to the estate",IF('Needs calc'!$BS$100=1,"Not enough in that nomination to close the gaps",CHOOSE('Needs calc'!$BS$3+1,"No change to the policies","New cover of R "&amp;FIXED(ROUND('Needs calc'!$BS$15,-3),0)&amp;" nominated for those who are short","R "&amp;FIXED(ROUND('Needs calc'!$BS$14,-3),0)&amp;" of "&amp;'Options'!$F$11&amp;" moved to those who are short","All of "&amp;'Options'!$F$11&amp;" (R "&amp;FIXED(ROUND('Needs calc'!$BS$14,-3),0)&amp;") moved to "&amp;'Options'!$F$12)&amp;IF('Needs calc'!$BS$4=1,"; the trust shares by need as one family pot","")))</f>
      </c>
    </row>
    <row r="15" spans="2:6" x14ac:dyDescent="0.25">
      <c r="B15" s="12" t="s">
        <v>212</v>
      </c>
      <c r="C15" s="13" t="s">
        <v>171</v>
      </c>
      <c r="D15" s="13" t="s">
        <v>171</v>
      </c>
      <c r="E15" s="13" t="s">
        <v>171</v>
      </c>
      <c r="F15" s="13" t="s">
        <v>171</v>
      </c>
    </row>
    <row r="16" spans="2:6" x14ac:dyDescent="0.25">
      <c r="B16" s="42">
        <f>IF('Inputs'!$B$89="","",'Inputs'!$B$89&amp;": capital set aside")</f>
      </c>
      <c r="C16" s="43">
        <f>IF('Inputs'!$B$89="","",'Needs years'!$C$7+IF(AND('Needs calc'!$C$4=1,'Inputs'!$Q$89=1),'Needs calc'!$C$50,'Needs calc'!$C$46))</f>
      </c>
      <c r="D16" s="43">
        <f>IF('Inputs'!$B$89="","",'Needs years'!$C$7+IF(AND('Needs calc'!$AK$4=1,'Inputs'!$Q$89=1),'Needs calc'!$AK$50,'Needs calc'!$AK$46))</f>
      </c>
      <c r="E16" s="43">
        <f>IF('Inputs'!$B$89="","",'Needs years'!$C$7+IF(AND('Needs calc'!$BB$4=1,'Inputs'!$Q$89=1),'Needs calc'!$BB$50,'Needs calc'!$BB$46))</f>
      </c>
      <c r="F16" s="43">
        <f>IF('Inputs'!$B$89="","",'Needs years'!$C$7+IF(AND('Needs calc'!$BS$4=1,'Inputs'!$Q$89=1),'Needs calc'!$BS$50,'Needs calc'!$BS$46))</f>
      </c>
    </row>
    <row r="17" spans="2:6" x14ac:dyDescent="0.25">
      <c r="B17" s="42">
        <f>IF('Inputs'!$B$89="","",'Inputs'!$B$89&amp;": a month")</f>
      </c>
      <c r="C17" s="43">
        <f>IF('Inputs'!$B$89="","",'Needs calc'!$C$52)</f>
      </c>
      <c r="D17" s="43">
        <f>IF('Inputs'!$B$89="","",'Needs calc'!$AK$52)</f>
      </c>
      <c r="E17" s="43">
        <f>IF('Inputs'!$B$89="","",'Needs calc'!$BB$52)</f>
      </c>
      <c r="F17" s="43">
        <f>IF('Inputs'!$B$89="","",'Needs calc'!$BS$52)</f>
      </c>
    </row>
    <row r="18" spans="2:6" x14ac:dyDescent="0.25">
      <c r="B18" s="44">
        <f>IF('Inputs'!$B$89="","",'Inputs'!$B$89)</f>
      </c>
      <c r="C18" s="45">
        <f>IF('Inputs'!$B$89="","",IF(AND('Needs calc'!$C$4=1,'Inputs'!$Q$89=1),IF('Needs calc'!$C$90&gt;=0,"Covered","Pot short R "&amp;FIXED(ROUND(-'Needs calc'!$C$90,-3),0)),IF('Needs calc'!$C$51&gt;0,"Short R "&amp;FIXED(ROUND('Needs calc'!$C$51,-3),0),IF('Needs calc'!$C$51&lt;0,"R "&amp;FIXED(ROUND(-'Needs calc'!$C$51,-3),0)&amp;" over","Covered"))))</f>
      </c>
      <c r="D18" s="45">
        <f>IF('Inputs'!$B$89="","",IF(AND('Needs calc'!$AK$4=1,'Inputs'!$Q$89=1),IF('Needs calc'!$AK$90&gt;=0,"Covered","Pot short R "&amp;FIXED(ROUND(-'Needs calc'!$AK$90,-3),0)),IF('Needs calc'!$AK$51&gt;0,"Short R "&amp;FIXED(ROUND('Needs calc'!$AK$51,-3),0),IF('Needs calc'!$AK$51&lt;0,"R "&amp;FIXED(ROUND(-'Needs calc'!$AK$51,-3),0)&amp;" over","Covered"))))</f>
      </c>
      <c r="E18" s="45">
        <f>IF('Inputs'!$B$89="","",IF(AND('Needs calc'!$BB$4=1,'Inputs'!$Q$89=1),IF('Needs calc'!$BB$90&gt;=0,"Covered","Pot short R "&amp;FIXED(ROUND(-'Needs calc'!$BB$90,-3),0)),IF('Needs calc'!$BB$51&gt;0,"Short R "&amp;FIXED(ROUND('Needs calc'!$BB$51,-3),0),IF('Needs calc'!$BB$51&lt;0,"R "&amp;FIXED(ROUND(-'Needs calc'!$BB$51,-3),0)&amp;" over","Covered"))))</f>
      </c>
      <c r="F18" s="45">
        <f>IF('Inputs'!$B$89="","",IF(AND('Needs calc'!$BS$4=1,'Inputs'!$Q$89=1),IF('Needs calc'!$BS$90&gt;=0,"Covered","Pot short R "&amp;FIXED(ROUND(-'Needs calc'!$BS$90,-3),0)),IF('Needs calc'!$BS$51&gt;0,"Short R "&amp;FIXED(ROUND('Needs calc'!$BS$51,-3),0),IF('Needs calc'!$BS$51&lt;0,"R "&amp;FIXED(ROUND(-'Needs calc'!$BS$51,-3),0)&amp;" over","Covered"))))</f>
      </c>
    </row>
    <row r="19" spans="2:6" x14ac:dyDescent="0.25">
      <c r="B19" s="42">
        <f>IF('Inputs'!$B$90="","",'Inputs'!$B$90&amp;": capital set aside")</f>
      </c>
      <c r="C19" s="43">
        <f>IF('Inputs'!$B$90="","",'Needs years'!$C$63+IF(AND('Needs calc'!$C$4=1,'Inputs'!$Q$90=1),'Needs calc'!$C$57,'Needs calc'!$C$53))</f>
      </c>
      <c r="D19" s="43">
        <f>IF('Inputs'!$B$90="","",'Needs years'!$C$63+IF(AND('Needs calc'!$AK$4=1,'Inputs'!$Q$90=1),'Needs calc'!$AK$57,'Needs calc'!$AK$53))</f>
      </c>
      <c r="E19" s="43">
        <f>IF('Inputs'!$B$90="","",'Needs years'!$C$63+IF(AND('Needs calc'!$BB$4=1,'Inputs'!$Q$90=1),'Needs calc'!$BB$57,'Needs calc'!$BB$53))</f>
      </c>
      <c r="F19" s="43">
        <f>IF('Inputs'!$B$90="","",'Needs years'!$C$63+IF(AND('Needs calc'!$BS$4=1,'Inputs'!$Q$90=1),'Needs calc'!$BS$57,'Needs calc'!$BS$53))</f>
      </c>
    </row>
    <row r="20" spans="2:6" x14ac:dyDescent="0.25">
      <c r="B20" s="42">
        <f>IF('Inputs'!$B$90="","",'Inputs'!$B$90&amp;": a month")</f>
      </c>
      <c r="C20" s="43">
        <f>IF('Inputs'!$B$90="","",'Needs calc'!$C$59)</f>
      </c>
      <c r="D20" s="43">
        <f>IF('Inputs'!$B$90="","",'Needs calc'!$AK$59)</f>
      </c>
      <c r="E20" s="43">
        <f>IF('Inputs'!$B$90="","",'Needs calc'!$BB$59)</f>
      </c>
      <c r="F20" s="43">
        <f>IF('Inputs'!$B$90="","",'Needs calc'!$BS$59)</f>
      </c>
    </row>
    <row r="21" spans="2:6" x14ac:dyDescent="0.25">
      <c r="B21" s="44">
        <f>IF('Inputs'!$B$90="","",'Inputs'!$B$90)</f>
      </c>
      <c r="C21" s="45">
        <f>IF('Inputs'!$B$90="","",IF(AND('Needs calc'!$C$4=1,'Inputs'!$Q$90=1),IF('Needs calc'!$C$90&gt;=0,"Covered","Pot short R "&amp;FIXED(ROUND(-'Needs calc'!$C$90,-3),0)),IF('Needs calc'!$C$58&gt;0,"Short R "&amp;FIXED(ROUND('Needs calc'!$C$58,-3),0),IF('Needs calc'!$C$58&lt;0,"R "&amp;FIXED(ROUND(-'Needs calc'!$C$58,-3),0)&amp;" over","Covered"))))</f>
      </c>
      <c r="D21" s="45">
        <f>IF('Inputs'!$B$90="","",IF(AND('Needs calc'!$AK$4=1,'Inputs'!$Q$90=1),IF('Needs calc'!$AK$90&gt;=0,"Covered","Pot short R "&amp;FIXED(ROUND(-'Needs calc'!$AK$90,-3),0)),IF('Needs calc'!$AK$58&gt;0,"Short R "&amp;FIXED(ROUND('Needs calc'!$AK$58,-3),0),IF('Needs calc'!$AK$58&lt;0,"R "&amp;FIXED(ROUND(-'Needs calc'!$AK$58,-3),0)&amp;" over","Covered"))))</f>
      </c>
      <c r="E21" s="45">
        <f>IF('Inputs'!$B$90="","",IF(AND('Needs calc'!$BB$4=1,'Inputs'!$Q$90=1),IF('Needs calc'!$BB$90&gt;=0,"Covered","Pot short R "&amp;FIXED(ROUND(-'Needs calc'!$BB$90,-3),0)),IF('Needs calc'!$BB$58&gt;0,"Short R "&amp;FIXED(ROUND('Needs calc'!$BB$58,-3),0),IF('Needs calc'!$BB$58&lt;0,"R "&amp;FIXED(ROUND(-'Needs calc'!$BB$58,-3),0)&amp;" over","Covered"))))</f>
      </c>
      <c r="F21" s="45">
        <f>IF('Inputs'!$B$90="","",IF(AND('Needs calc'!$BS$4=1,'Inputs'!$Q$90=1),IF('Needs calc'!$BS$90&gt;=0,"Covered","Pot short R "&amp;FIXED(ROUND(-'Needs calc'!$BS$90,-3),0)),IF('Needs calc'!$BS$58&gt;0,"Short R "&amp;FIXED(ROUND('Needs calc'!$BS$58,-3),0),IF('Needs calc'!$BS$58&lt;0,"R "&amp;FIXED(ROUND(-'Needs calc'!$BS$58,-3),0)&amp;" over","Covered"))))</f>
      </c>
    </row>
    <row r="22" spans="2:6" x14ac:dyDescent="0.25">
      <c r="B22" s="42">
        <f>IF('Inputs'!$B$91="","",'Inputs'!$B$91&amp;": capital set aside")</f>
      </c>
      <c r="C22" s="43">
        <f>IF('Inputs'!$B$91="","",'Needs years'!$C$119+IF(AND('Needs calc'!$C$4=1,'Inputs'!$Q$91=1),'Needs calc'!$C$64,'Needs calc'!$C$60))</f>
      </c>
      <c r="D22" s="43">
        <f>IF('Inputs'!$B$91="","",'Needs years'!$C$119+IF(AND('Needs calc'!$AK$4=1,'Inputs'!$Q$91=1),'Needs calc'!$AK$64,'Needs calc'!$AK$60))</f>
      </c>
      <c r="E22" s="43">
        <f>IF('Inputs'!$B$91="","",'Needs years'!$C$119+IF(AND('Needs calc'!$BB$4=1,'Inputs'!$Q$91=1),'Needs calc'!$BB$64,'Needs calc'!$BB$60))</f>
      </c>
      <c r="F22" s="43">
        <f>IF('Inputs'!$B$91="","",'Needs years'!$C$119+IF(AND('Needs calc'!$BS$4=1,'Inputs'!$Q$91=1),'Needs calc'!$BS$64,'Needs calc'!$BS$60))</f>
      </c>
    </row>
    <row r="23" spans="2:6" x14ac:dyDescent="0.25">
      <c r="B23" s="42">
        <f>IF('Inputs'!$B$91="","",'Inputs'!$B$91&amp;": a month")</f>
      </c>
      <c r="C23" s="43">
        <f>IF('Inputs'!$B$91="","",'Needs calc'!$C$66)</f>
      </c>
      <c r="D23" s="43">
        <f>IF('Inputs'!$B$91="","",'Needs calc'!$AK$66)</f>
      </c>
      <c r="E23" s="43">
        <f>IF('Inputs'!$B$91="","",'Needs calc'!$BB$66)</f>
      </c>
      <c r="F23" s="43">
        <f>IF('Inputs'!$B$91="","",'Needs calc'!$BS$66)</f>
      </c>
    </row>
    <row r="24" spans="2:6" x14ac:dyDescent="0.25">
      <c r="B24" s="44">
        <f>IF('Inputs'!$B$91="","",'Inputs'!$B$91)</f>
      </c>
      <c r="C24" s="45">
        <f>IF('Inputs'!$B$91="","",IF(AND('Needs calc'!$C$4=1,'Inputs'!$Q$91=1),IF('Needs calc'!$C$90&gt;=0,"Covered","Pot short R "&amp;FIXED(ROUND(-'Needs calc'!$C$90,-3),0)),IF('Needs calc'!$C$65&gt;0,"Short R "&amp;FIXED(ROUND('Needs calc'!$C$65,-3),0),IF('Needs calc'!$C$65&lt;0,"R "&amp;FIXED(ROUND(-'Needs calc'!$C$65,-3),0)&amp;" over","Covered"))))</f>
      </c>
      <c r="D24" s="45">
        <f>IF('Inputs'!$B$91="","",IF(AND('Needs calc'!$AK$4=1,'Inputs'!$Q$91=1),IF('Needs calc'!$AK$90&gt;=0,"Covered","Pot short R "&amp;FIXED(ROUND(-'Needs calc'!$AK$90,-3),0)),IF('Needs calc'!$AK$65&gt;0,"Short R "&amp;FIXED(ROUND('Needs calc'!$AK$65,-3),0),IF('Needs calc'!$AK$65&lt;0,"R "&amp;FIXED(ROUND(-'Needs calc'!$AK$65,-3),0)&amp;" over","Covered"))))</f>
      </c>
      <c r="E24" s="45">
        <f>IF('Inputs'!$B$91="","",IF(AND('Needs calc'!$BB$4=1,'Inputs'!$Q$91=1),IF('Needs calc'!$BB$90&gt;=0,"Covered","Pot short R "&amp;FIXED(ROUND(-'Needs calc'!$BB$90,-3),0)),IF('Needs calc'!$BB$65&gt;0,"Short R "&amp;FIXED(ROUND('Needs calc'!$BB$65,-3),0),IF('Needs calc'!$BB$65&lt;0,"R "&amp;FIXED(ROUND(-'Needs calc'!$BB$65,-3),0)&amp;" over","Covered"))))</f>
      </c>
      <c r="F24" s="45">
        <f>IF('Inputs'!$B$91="","",IF(AND('Needs calc'!$BS$4=1,'Inputs'!$Q$91=1),IF('Needs calc'!$BS$90&gt;=0,"Covered","Pot short R "&amp;FIXED(ROUND(-'Needs calc'!$BS$90,-3),0)),IF('Needs calc'!$BS$65&gt;0,"Short R "&amp;FIXED(ROUND('Needs calc'!$BS$65,-3),0),IF('Needs calc'!$BS$65&lt;0,"R "&amp;FIXED(ROUND(-'Needs calc'!$BS$65,-3),0)&amp;" over","Covered"))))</f>
      </c>
    </row>
    <row r="25" spans="2:6" x14ac:dyDescent="0.25">
      <c r="B25" s="42">
        <f>IF('Inputs'!$B$92="","",'Inputs'!$B$92&amp;": capital set aside")</f>
      </c>
      <c r="C25" s="43">
        <f>IF('Inputs'!$B$92="","",'Needs years'!$C$175+IF(AND('Needs calc'!$C$4=1,'Inputs'!$Q$92=1),'Needs calc'!$C$71,'Needs calc'!$C$67))</f>
      </c>
      <c r="D25" s="43">
        <f>IF('Inputs'!$B$92="","",'Needs years'!$C$175+IF(AND('Needs calc'!$AK$4=1,'Inputs'!$Q$92=1),'Needs calc'!$AK$71,'Needs calc'!$AK$67))</f>
      </c>
      <c r="E25" s="43">
        <f>IF('Inputs'!$B$92="","",'Needs years'!$C$175+IF(AND('Needs calc'!$BB$4=1,'Inputs'!$Q$92=1),'Needs calc'!$BB$71,'Needs calc'!$BB$67))</f>
      </c>
      <c r="F25" s="43">
        <f>IF('Inputs'!$B$92="","",'Needs years'!$C$175+IF(AND('Needs calc'!$BS$4=1,'Inputs'!$Q$92=1),'Needs calc'!$BS$71,'Needs calc'!$BS$67))</f>
      </c>
    </row>
    <row r="26" spans="2:6" x14ac:dyDescent="0.25">
      <c r="B26" s="42">
        <f>IF('Inputs'!$B$92="","",'Inputs'!$B$92&amp;": a month")</f>
      </c>
      <c r="C26" s="43">
        <f>IF('Inputs'!$B$92="","",'Needs calc'!$C$73)</f>
      </c>
      <c r="D26" s="43">
        <f>IF('Inputs'!$B$92="","",'Needs calc'!$AK$73)</f>
      </c>
      <c r="E26" s="43">
        <f>IF('Inputs'!$B$92="","",'Needs calc'!$BB$73)</f>
      </c>
      <c r="F26" s="43">
        <f>IF('Inputs'!$B$92="","",'Needs calc'!$BS$73)</f>
      </c>
    </row>
    <row r="27" spans="2:6" x14ac:dyDescent="0.25">
      <c r="B27" s="44">
        <f>IF('Inputs'!$B$92="","",'Inputs'!$B$92)</f>
      </c>
      <c r="C27" s="45">
        <f>IF('Inputs'!$B$92="","",IF(AND('Needs calc'!$C$4=1,'Inputs'!$Q$92=1),IF('Needs calc'!$C$90&gt;=0,"Covered","Pot short R "&amp;FIXED(ROUND(-'Needs calc'!$C$90,-3),0)),IF('Needs calc'!$C$72&gt;0,"Short R "&amp;FIXED(ROUND('Needs calc'!$C$72,-3),0),IF('Needs calc'!$C$72&lt;0,"R "&amp;FIXED(ROUND(-'Needs calc'!$C$72,-3),0)&amp;" over","Covered"))))</f>
      </c>
      <c r="D27" s="45">
        <f>IF('Inputs'!$B$92="","",IF(AND('Needs calc'!$AK$4=1,'Inputs'!$Q$92=1),IF('Needs calc'!$AK$90&gt;=0,"Covered","Pot short R "&amp;FIXED(ROUND(-'Needs calc'!$AK$90,-3),0)),IF('Needs calc'!$AK$72&gt;0,"Short R "&amp;FIXED(ROUND('Needs calc'!$AK$72,-3),0),IF('Needs calc'!$AK$72&lt;0,"R "&amp;FIXED(ROUND(-'Needs calc'!$AK$72,-3),0)&amp;" over","Covered"))))</f>
      </c>
      <c r="E27" s="45">
        <f>IF('Inputs'!$B$92="","",IF(AND('Needs calc'!$BB$4=1,'Inputs'!$Q$92=1),IF('Needs calc'!$BB$90&gt;=0,"Covered","Pot short R "&amp;FIXED(ROUND(-'Needs calc'!$BB$90,-3),0)),IF('Needs calc'!$BB$72&gt;0,"Short R "&amp;FIXED(ROUND('Needs calc'!$BB$72,-3),0),IF('Needs calc'!$BB$72&lt;0,"R "&amp;FIXED(ROUND(-'Needs calc'!$BB$72,-3),0)&amp;" over","Covered"))))</f>
      </c>
      <c r="F27" s="45">
        <f>IF('Inputs'!$B$92="","",IF(AND('Needs calc'!$BS$4=1,'Inputs'!$Q$92=1),IF('Needs calc'!$BS$90&gt;=0,"Covered","Pot short R "&amp;FIXED(ROUND(-'Needs calc'!$BS$90,-3),0)),IF('Needs calc'!$BS$72&gt;0,"Short R "&amp;FIXED(ROUND('Needs calc'!$BS$72,-3),0),IF('Needs calc'!$BS$72&lt;0,"R "&amp;FIXED(ROUND(-'Needs calc'!$BS$72,-3),0)&amp;" over","Covered"))))</f>
      </c>
    </row>
    <row r="28" spans="2:6" x14ac:dyDescent="0.25">
      <c r="B28" s="7" t="s">
        <v>213</v>
      </c>
      <c r="C28" s="43">
        <f>IF('Needs calc'!$C$4=1,'Needs calc'!$C$90,"")</f>
      </c>
      <c r="D28" s="43">
        <f>IF('Needs calc'!$AK$4=1,'Needs calc'!$AK$90,"")</f>
      </c>
      <c r="E28" s="43">
        <f>IF('Needs calc'!$BB$4=1,'Needs calc'!$BB$90,"")</f>
      </c>
      <c r="F28" s="43">
        <f>IF('Needs calc'!$BS$4=1,'Needs calc'!$BS$90,"")</f>
      </c>
    </row>
    <row r="29" spans="2:6" x14ac:dyDescent="0.25">
      <c r="B29" s="7" t="s">
        <v>214</v>
      </c>
      <c r="C29" s="43">
        <f>'Needs calc'!$C$44-'Needs calc'!$C$45</f>
      </c>
      <c r="D29" s="43">
        <f>'Needs calc'!$AK$44-'Needs calc'!$AK$45</f>
      </c>
      <c r="E29" s="43">
        <f>'Needs calc'!$BB$44-'Needs calc'!$BB$45</f>
      </c>
      <c r="F29" s="43">
        <f>'Needs calc'!$BS$44-'Needs calc'!$BS$45</f>
      </c>
    </row>
    <row r="30" spans="2:6" x14ac:dyDescent="0.25">
      <c r="B30" s="7" t="s">
        <v>215</v>
      </c>
      <c r="C30" s="43">
        <f>'Needs calc'!$C$20</f>
      </c>
      <c r="D30" s="43">
        <f>'Needs calc'!$AK$20</f>
      </c>
      <c r="E30" s="43">
        <f>'Needs calc'!$BB$20</f>
      </c>
      <c r="F30" s="43">
        <f>'Needs calc'!$BS$20</f>
      </c>
    </row>
    <row r="31" spans="2:6" x14ac:dyDescent="0.25">
      <c r="B31" s="7" t="s">
        <v>27</v>
      </c>
      <c r="C31" s="43">
        <f>'Needs calc'!$C$15</f>
      </c>
      <c r="D31" s="43">
        <f>'Needs calc'!$AK$15</f>
      </c>
      <c r="E31" s="43">
        <f>'Needs calc'!$BB$15</f>
      </c>
      <c r="F31" s="43">
        <f>'Needs calc'!$BS$15</f>
      </c>
    </row>
    <row r="32" spans="2:6" x14ac:dyDescent="0.25">
      <c r="B32" s="7" t="s">
        <v>216</v>
      </c>
      <c r="C32" s="46">
        <f>IF('Needs calc'!$C$15&gt;0,"Yes","No")</f>
      </c>
      <c r="D32" s="46">
        <f>IF('Needs calc'!$AK$15&gt;0,"Yes","No")</f>
      </c>
      <c r="E32" s="46">
        <f>IF('Needs calc'!$BB$15&gt;0,"Yes","No")</f>
      </c>
      <c r="F32" s="46">
        <f>IF('Needs calc'!$BS$15&gt;0,"Yes","No")</f>
      </c>
    </row>
    <row r="34" ht="18" customHeight="1" spans="2:6" x14ac:dyDescent="0.25">
      <c r="B34" s="5" t="s">
        <v>217</v>
      </c>
      <c r="C34" s="6"/>
      <c r="D34" s="6"/>
      <c r="E34" s="6"/>
      <c r="F34" s="6"/>
    </row>
    <row r="35" ht="30" customHeight="1" spans="2:6" x14ac:dyDescent="0.25">
      <c r="B35" s="34" t="s">
        <v>218</v>
      </c>
      <c r="C35" s="34"/>
      <c r="D35" s="34"/>
      <c r="E35" s="34"/>
      <c r="F35" s="34"/>
    </row>
    <row r="36" ht="30" customHeight="1" spans="2:6" x14ac:dyDescent="0.25">
      <c r="B36" s="34" t="s">
        <v>219</v>
      </c>
      <c r="C36" s="34"/>
      <c r="D36" s="34"/>
      <c r="E36" s="34"/>
      <c r="F36" s="34"/>
    </row>
    <row r="37" ht="27" customHeight="1" spans="2:6" x14ac:dyDescent="0.25">
      <c r="B37" s="34" t="s">
        <v>220</v>
      </c>
      <c r="C37" s="34"/>
      <c r="D37" s="34"/>
      <c r="E37" s="34"/>
      <c r="F37" s="34"/>
    </row>
  </sheetData>
  <sheetProtection sheet="1" formatRows="0"/>
  <mergeCells count="7">
    <mergeCell ref="B1:F1"/>
    <mergeCell ref="B2:F2"/>
    <mergeCell ref="B3:F3"/>
    <mergeCell ref="B6:F6"/>
    <mergeCell ref="B35:F35"/>
    <mergeCell ref="B36:F36"/>
    <mergeCell ref="B37:F37"/>
  </mergeCells>
  <conditionalFormatting sqref="C18:F18">
    <cfRule type="expression" dxfId="25" priority="1">
      <formula>LEFT(C18,5)="Short"</formula>
    </cfRule>
    <cfRule type="expression" dxfId="26" priority="2">
      <formula>OR(LEFT(C18,7)="Covered",RIGHT(C18,4)="over")</formula>
    </cfRule>
  </conditionalFormatting>
  <conditionalFormatting sqref="C21:F21">
    <cfRule type="expression" dxfId="27" priority="3">
      <formula>LEFT(C21,5)="Short"</formula>
    </cfRule>
    <cfRule type="expression" dxfId="28" priority="4">
      <formula>OR(LEFT(C21,7)="Covered",RIGHT(C21,4)="over")</formula>
    </cfRule>
  </conditionalFormatting>
  <conditionalFormatting sqref="C24:F24">
    <cfRule type="expression" dxfId="29" priority="5">
      <formula>LEFT(C24,5)="Short"</formula>
    </cfRule>
    <cfRule type="expression" dxfId="30" priority="6">
      <formula>OR(LEFT(C24,7)="Covered",RIGHT(C24,4)="over")</formula>
    </cfRule>
  </conditionalFormatting>
  <conditionalFormatting sqref="C27:F27">
    <cfRule type="expression" dxfId="31" priority="7">
      <formula>LEFT(C27,5)="Short"</formula>
    </cfRule>
    <cfRule type="expression" dxfId="32" priority="8">
      <formula>OR(LEFT(C27,7)="Covered",RIGHT(C27,4)="over")</formula>
    </cfRule>
  </conditionalFormatting>
  <dataValidations count="4">
    <dataValidation type="list" allowBlank="1" showErrorMessage="1" errorStyle="stop" errorTitle="Please choose from the list" error="Please choose one of the options in the list." sqref="D10:F10">
      <formula1>'Lists'!$I$2:$I$5</formula1>
    </dataValidation>
    <dataValidation type="list" allowBlank="1" showErrorMessage="1" errorStyle="stop" errorTitle="Please choose from the list" error="Choose one of the policies in section 4 of Inputs." sqref="D11:F11">
      <formula1>QF_L_cover</formula1>
    </dataValidation>
    <dataValidation type="list" allowBlank="1" showErrorMessage="1" errorStyle="stop" errorTitle="Please choose from the list" error="Choose one of the people in section 6, or the children's trust, or leave it blank." sqref="D12:F12">
      <formula1>QF_L_whom</formula1>
    </dataValidation>
    <dataValidation type="list" allowBlank="1" showErrorMessage="1" errorStyle="stop" errorTitle="Please choose from the list" error="Please choose one of the options in the list." sqref="D9:F9">
      <formula1>'Lists'!$H$2:$H$3</formula1>
    </dataValidation>
  </dataValidations>
  <printOptions horizontalCentered="1"/>
  <pageMargins left="0.4" right="0.4" top="0.45" bottom="0.6" header="0.25" footer="0.3"/>
  <pageSetup paperSize="9" orientation="portrait" horizontalDpi="4294967295" verticalDpi="4294967295" scale="100" fitToWidth="1" fitToHeight="0"/>
  <headerFooter>
    <oddFooter>&amp;L&amp;8&amp;"Arial"Duwalcoe Financial Consultants CC  ·  FSP 9978  ·  Options to discuss&amp;R&amp;8&amp;"Arial"&amp;A  ·  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Lists</vt:lpstr>
      <vt:lpstr>Inputs</vt:lpstr>
      <vt:lpstr>Summary</vt:lpstr>
      <vt:lpstr>Life cover need</vt:lpstr>
      <vt:lpstr>Options</vt:lpstr>
      <vt:lpstr>Figures for quoting</vt:lpstr>
      <vt:lpstr>Workings</vt:lpstr>
      <vt:lpstr>Needs workings</vt:lpstr>
      <vt:lpstr>Needs calc</vt:lpstr>
      <vt:lpstr>Needs years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Duwalcoe Financial Consultants CC</dc:creator>
  <dc:title/>
  <dc:subject/>
  <dc:description/>
  <cp:keywords/>
  <cp:category/>
  <cp:lastModifiedBy>Unknown</cp:lastModifiedBy>
  <dcterms:created xsi:type="dcterms:W3CDTF">2026-10-15T15:15:11Z</dcterms:created>
  <dcterms:modified xsi:type="dcterms:W3CDTF">2026-10-15T15:15:11Z</dcterms:modified>
</cp:coreProperties>
</file>