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0" name="Summary" state="visible" r:id="rId12"/>
    <sheet sheetId="1" name="Lists" state="veryHidden" r:id="rId13"/>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debts'!$B$12:$Z$19</definedName>
    <definedName name="FF_K_vehicle">'Assets and debts'!$B$23:$Z$23</definedName>
    <definedName name="FF_T_vehicle">'Assets and debts'!$B$26:$Z$31</definedName>
    <definedName name="FF_K_other">'Assets and debts'!$B$35:$Z$35</definedName>
    <definedName name="FF_T_other">'Assets and debts'!$B$38:$Z$52</definedName>
    <definedName name="FF_K_liability">'Assets and debts'!$B$56:$Z$56</definedName>
    <definedName name="FF_T_liability">'Assets and debts'!$B$59:$Z$70</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W_t_placeofbirth">Will!$C$12</definedName>
    <definedName name="FF_W_t_marital_date">Will!$C$13</definedName>
    <definedName name="FF_W_s_marriage_place">Will!$C$18</definedName>
    <definedName name="FF_W_s_anc_note">Will!$C$19</definedName>
    <definedName name="FF_T_WKids">Will!$C$23:$C$30</definedName>
    <definedName name="FF_W_e_status">Will!$C$34</definedName>
    <definedName name="FF_W_e_date">Will!$C$35</definedName>
    <definedName name="FF_W_e_drafted_by">Will!$C$36</definedName>
    <definedName name="FF_W_e_location">Will!$C$37</definedName>
    <definedName name="FF_W_e_revoke">Will!$C$38</definedName>
    <definedName name="FF_W_g_na">Will!$C$41</definedName>
    <definedName name="FF_W_g_p_name">Will!$C$42</definedName>
    <definedName name="FF_W_g_p_id">Will!$C$43</definedName>
    <definedName name="FF_W_g_p_rel">Will!$C$44</definedName>
    <definedName name="FF_W_g_p_contact">Will!$C$45</definedName>
    <definedName name="FF_W_g_a_name">Will!$C$46</definedName>
    <definedName name="FF_W_g_a_id">Will!$C$47</definedName>
    <definedName name="FF_W_g_a_rel">Will!$C$48</definedName>
    <definedName name="FF_W_g_a_contact">Will!$C$49</definedName>
    <definedName name="FF_W_g_discussed">Will!$C$50</definedName>
    <definedName name="FF_W_g_notes">Will!$C$51</definedName>
    <definedName name="FF_W_tr_choice">Will!$C$54</definedName>
    <definedName name="FF_W_tr1_name">Will!$C$55</definedName>
    <definedName name="FF_W_tr1_id">Will!$C$56</definedName>
    <definedName name="FF_W_tr2_name">Will!$C$57</definedName>
    <definedName name="FF_W_tr2_id">Will!$C$58</definedName>
    <definedName name="FF_W_tr3_name">Will!$C$59</definedName>
    <definedName name="FF_W_tr3_id">Will!$C$60</definedName>
    <definedName name="FF_W_tr_term">Will!$C$61</definedName>
    <definedName name="FF_W_tr_term_age">Will!$C$62</definedName>
    <definedName name="FF_W_tr_notes">Will!$C$63</definedName>
    <definedName name="FF_K_Bq">Will!$B$66:$D$66</definedName>
    <definedName name="FF_T_Bq">Will!$B$68:$D$73</definedName>
    <definedName name="FF_W_res_choice">Will!$C$76</definedName>
    <definedName name="FF_K_Rs">Will!$B$77:$D$77</definedName>
    <definedName name="FF_T_Rs">Will!$B$79:$D$83</definedName>
    <definedName name="FF_W_sa_off">Will!$C$87</definedName>
    <definedName name="FF_W_sa_off_detail">Will!$C$88</definedName>
    <definedName name="FF_W_sa_fire">Will!$C$89</definedName>
    <definedName name="FF_W_sa_fire_num">Will!$C$90</definedName>
    <definedName name="FF_W_sa_fire_licensed">Will!$C$91</definedName>
    <definedName name="FF_W_lw">Will!$C$94</definedName>
    <definedName name="FF_W_lw_date">Will!$C$95</definedName>
    <definedName name="FF_W_organ">Will!$C$96</definedName>
    <definedName name="FF_W_cl_organ_reg">Will!$C$97</definedName>
    <definedName name="FF_W_fw">Will!$C$100</definedName>
    <definedName name="FF_W_fw_location">Will!$C$101</definedName>
    <definedName name="FF_W_fw_requests">Will!$C$102</definedName>
    <definedName name="FF_W_fw_cover">Will!$C$103</definedName>
    <definedName name="FF_W_fw_cover_provider">Will!$C$104</definedName>
    <definedName name="FF_W_fw_cover_policy">Will!$C$105</definedName>
    <definedName name="FF_W_fw_cost">Will!$C$106</definedName>
    <definedName name="FF_W_da_letter">Will!$C$109</definedName>
    <definedName name="FF_W_da_letter_with">Will!$C$110</definedName>
    <definedName name="FF_W_da_social">Will!$C$111</definedName>
    <definedName name="FF_W_da_crypto">Will!$C$112</definedName>
    <definedName name="FF_W_da_crypto_loc">Will!$C$113</definedName>
    <definedName name="FF_W_pet_na">Will!$C$116</definedName>
    <definedName name="FF_W_pet_carer">Will!$C$117</definedName>
    <definedName name="FF_W_pet_bequest">Will!$C$118</definedName>
    <definedName name="FF_W_lo">Will!$C$121</definedName>
    <definedName name="FF_W_add_notes">Will!$C$124</definedName>
    <definedName name="FF_W_ex_p_name">Will!$C$127</definedName>
    <definedName name="FF_W_ex_p_id">Will!$C$128</definedName>
    <definedName name="FF_W_ex_p_rel">Will!$C$129</definedName>
    <definedName name="FF_W_ex_p_contact">Will!$C$130</definedName>
    <definedName name="FF_W_ex_p_address">Will!$C$131</definedName>
    <definedName name="FF_W_ex_a_name">Will!$C$132</definedName>
    <definedName name="FF_W_ex_a_id">Will!$C$133</definedName>
    <definedName name="FF_W_ex_a_rel">Will!$C$134</definedName>
    <definedName name="FF_W_ex_a_contact">Will!$C$135</definedName>
    <definedName name="FF_W_ex_security">Will!$C$136</definedName>
    <definedName name="FF_W_ex_fee">Will!$C$137</definedName>
    <definedName name="FF_W_ex_fee_rate">Will!$C$138</definedName>
    <definedName name="FF_W_ex_assume">Will!$C$139</definedName>
    <definedName name="FF_W_ex_notes">Will!$C$140</definedName>
    <definedName name="FF_W_cl_lang">Will!$C$143</definedName>
    <definedName name="FF_W_cl_lang_other">Will!$C$144</definedName>
    <definedName name="FF_W_cl_wt">Will!$C$145</definedName>
    <definedName name="FF_W_cl_wt_sp_inc">Will!$C$146</definedName>
    <definedName name="FF_W_cl_wt_kids_cap">Will!$C$147</definedName>
    <definedName name="FF_W_cl_wt_cap1_name">Will!$C$148</definedName>
    <definedName name="FF_W_cl_wt_cap1_rel">Will!$C$149</definedName>
    <definedName name="FF_W_cl_wt_cap2_name">Will!$C$150</definedName>
    <definedName name="FF_W_cl_wt_cap2_rel">Will!$C$151</definedName>
    <definedName name="FF_W_cl_wt_cap3_name">Will!$C$152</definedName>
    <definedName name="FF_W_cl_wt_cap3_rel">Will!$C$153</definedName>
    <definedName name="FF_W_cl_pt_ben">Will!$C$154</definedName>
    <definedName name="FF_W_cl_pt_rel">Will!$C$155</definedName>
    <definedName name="FF_W_cl_nok_name">Will!$C$156</definedName>
    <definedName name="FF_W_cl_nok_rel">Will!$C$157</definedName>
    <definedName name="FF_W_cl_nok_cell">Will!$C$158</definedName>
    <definedName name="FF_W_cl_nok_email">Will!$C$159</definedName>
    <definedName name="FF_W_cl_ct1_name">Will!$C$160</definedName>
    <definedName name="FF_W_cl_ct1_id">Will!$C$161</definedName>
    <definedName name="FF_W_cl_ct1_rel">Will!$C$162</definedName>
    <definedName name="FF_W_cl_ct2_name">Will!$C$163</definedName>
    <definedName name="FF_W_cl_ct2_id">Will!$C$164</definedName>
    <definedName name="FF_W_cl_ct2_rel">Will!$C$165</definedName>
    <definedName name="FF_W_cl_exec">Will!$C$166</definedName>
    <definedName name="FF_W_cl_ce1_name">Will!$C$167</definedName>
    <definedName name="FF_W_cl_ce1_id">Will!$C$168</definedName>
    <definedName name="FF_W_cl_ce1_rel">Will!$C$169</definedName>
    <definedName name="FF_W_cl_ce2_name">Will!$C$170</definedName>
    <definedName name="FF_W_cl_ce2_id">Will!$C$171</definedName>
    <definedName name="FF_W_cl_ce2_rel">Will!$C$172</definedName>
    <definedName name="FF_W_cl_collect">Will!$C$173</definedName>
    <definedName name="FF_M_Breaks">Lists!$AX$8</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debts'!$A1:$Q72</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'Will'!$A1:$E174</definedName>
    <definedName name="_xlnm.Print_Titles" localSheetId="7">'Will'!$1:$2</definedName>
    <definedName name="_xlnm.Print_Area" localSheetId="8">'Summary'!$A1:$F35</definedName>
    <definedName name="_xlnm.Print_Titles" localSheetId="8">'Summary'!$1:$2</definedName>
  </definedNames>
  <calcPr calcId="171027" fullCalcOnLoad="1"/>
</workbook>
</file>

<file path=xl/sharedStrings.xml><?xml version="1.0" encoding="utf-8"?>
<sst xmlns="http://schemas.openxmlformats.org/spreadsheetml/2006/main" count="850" uniqueCount="560">
  <si>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</si>
  <si>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</si>
  <si>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</si>
  <si>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</si>
  <si>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</si>
  <si>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</si>
  <si>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</si>
  <si>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</si>
  <si>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</si>
  <si>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</si>
  <si>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</si>
  <si>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</si>
  <si>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</si>
  <si>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</si>
  <si>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</si>
  <si>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</si>
  <si>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</si>
  <si>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</si>
  <si>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</si>
  <si>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</si>
  <si>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</si>
  <si>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</si>
  <si>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</si>
  <si>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</si>
  <si>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</si>
  <si>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</si>
  <si>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</si>
  <si>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</si>
  <si>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</si>
  <si>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</si>
  <si>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</si>
  <si>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</si>
  <si>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</si>
  <si>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</si>
  <si>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</si>
  <si>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</si>
  <si>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</si>
  <si>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</si>
  <si>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</si>
  <si>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</si>
  <si>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</si>
  <si>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</si>
  <si>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</si>
  <si>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</si>
  <si>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</si>
  <si>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</si>
  <si>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</si>
  <si>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</si>
  <si>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</si>
  <si>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</si>
  <si>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</si>
  <si>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</si>
  <si>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</si>
  <si>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</si>
  <si>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</si>
  <si>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</si>
  <si>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</si>
  <si>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</si>
  <si>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</si>
  <si>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</si>
  <si>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</si>
  <si>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</si>
  <si>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</si>
  <si>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</si>
  <si>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</si>
  <si>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</si>
  <si>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</si>
  <si>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</si>
  <si>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</si>
  <si>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</si>
  <si>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</si>
  <si>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</si>
  <si>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</si>
  <si>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</si>
  <si>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</si>
  <si>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</si>
  <si>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</si>
  <si>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</si>
  <si>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</si>
  <si>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</si>
  <si>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</si>
  <si>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</si>
  <si>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</si>
  <si>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</si>
  <si>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</si>
  <si>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</si>
  <si>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</si>
  <si>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</si>
  <si>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</si>
  <si>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</si>
  <si>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</si>
  <si>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</si>
  <si>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</si>
  <si>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</si>
  <si>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</si>
  <si>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</si>
  <si>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</si>
  <si>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</si>
  <si>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</si>
  <si>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</si>
  <si>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</si>
  <si>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</si>
  <si>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</si>
  <si>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</si>
  <si>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</si>
  <si>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</si>
  <si>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</si>
  <si>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</si>
  <si>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</si>
  <si>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</si>
  <si>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</si>
  <si>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</si>
  <si>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</si>
  <si>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</si>
  <si>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</si>
  <si>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</si>
  <si>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</si>
  <si>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</si>
  <si>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</si>
  <si>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</si>
  <si>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</si>
  <si>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</si>
  <si>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</si>
  <si>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</si>
  <si>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</si>
  <si>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</si>
  <si>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</si>
  <si>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</si>
  <si>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</si>
  <si>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</si>
  <si>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</si>
  <si>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</si>
  <si>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</si>
  <si>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</si>
  <si>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</si>
  <si>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</si>
  <si>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</si>
  <si>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</si>
  <si>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</si>
  <si>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</si>
  <si>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</si>
  <si>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</si>
  <si>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</si>
  <si>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</si>
  <si>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</si>
  <si>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</si>
  <si>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</si>
  <si>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</si>
  <si>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</si>
  <si>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</si>
  <si>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</si>
  <si>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</si>
  <si>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</si>
  <si>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</si>
  <si>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</si>
  <si>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</si>
  <si>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</si>
  <si>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</si>
  <si>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</si>
  <si>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</si>
  <si>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</si>
  <si>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</si>
  <si>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</si>
  <si>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</si>
  <si>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</si>
  <si>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</si>
  <si>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</si>
  <si>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</si>
  <si>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</si>
  <si>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</si>
  <si>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</si>
  <si>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</si>
  <si>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</si>
  <si>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</si>
  <si>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</si>
  <si>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</si>
  <si>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</si>
  <si>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</si>
  <si>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</si>
  <si>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</si>
  <si>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</si>
  <si>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</si>
  <si>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</si>
  <si>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</si>
  <si>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</si>
  <si>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</si>
  <si>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</si>
  <si>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</si>
  <si>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</si>
  <si>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</si>
  <si>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</si>
  <si>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</si>
  <si>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</si>
  <si>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</si>
  <si>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</si>
  <si>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</si>
  <si>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</si>
  <si>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</si>
  <si>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</si>
  <si>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</si>
  <si>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</si>
  <si>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</si>
  <si>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</si>
  <si>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</si>
  <si>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</si>
  <si>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</si>
  <si>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</si>
  <si>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</si>
  <si>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</si>
  <si>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</si>
  <si>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</si>
  <si>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</si>
  <si>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</si>
  <si>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</si>
  <si>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</si>
  <si>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</si>
  <si>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</si>
  <si>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</si>
  <si>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</si>
  <si>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</si>
  <si>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</si>
  <si>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</si>
  <si>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</si>
  <si>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</si>
  <si>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</si>
  <si>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</si>
  <si>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</si>
  <si>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</si>
  <si>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</si>
  <si>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</si>
  <si>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</si>
  <si>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</si>
  <si>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</si>
  <si>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</si>
  <si>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</si>
  <si>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Your wishes for the attorney who drafts your will. This is not a will. Names and family details come from the Client and family sheet.</t>
  </si>
  <si>
    <t>1. You (the testator)</t>
  </si>
  <si>
    <t>ID number</t>
  </si>
  <si>
    <t>Place of birth</t>
  </si>
  <si>
    <t>If divorced or widowed: the date</t>
  </si>
  <si>
    <t>2. Your spouse or life partner</t>
  </si>
  <si>
    <t>Spouse or partner: full names</t>
  </si>
  <si>
    <t>Date of marriage</t>
  </si>
  <si>
    <t>Place of marriage</t>
  </si>
  <si>
    <t>Antenuptial contract and accrual: notes for the attorney</t>
  </si>
  <si>
    <t>3. Children and dependants</t>
  </si>
  <si>
    <t>Child or family member (from the Client and family sheet)</t>
  </si>
  <si>
    <t>Notes for the attorney (special needs, anything to know)</t>
  </si>
  <si>
    <t>4. Existing will</t>
  </si>
  <si>
    <t>Current position</t>
  </si>
  <si>
    <t>Date of existing will</t>
  </si>
  <si>
    <t>Drafted by</t>
  </si>
  <si>
    <t>Where the existing will or codicil is kept</t>
  </si>
  <si>
    <t>Revoke all prior wills and codicils when the new will is signed?</t>
  </si>
  <si>
    <t>5. Guardian for minor children</t>
  </si>
  <si>
    <t>Not applicable (no minor children, or the other parent has full guardianship)?</t>
  </si>
  <si>
    <t>Primary guardian: full names</t>
  </si>
  <si>
    <t>Primary guardian: ID number</t>
  </si>
  <si>
    <t>Primary guardian: relationship</t>
  </si>
  <si>
    <t>Primary guardian: contact</t>
  </si>
  <si>
    <t>Alternate guardian: full names</t>
  </si>
  <si>
    <t>Alternate guardian: ID number</t>
  </si>
  <si>
    <t>Alternate guardian: relationship</t>
  </si>
  <si>
    <t>Alternate guardian: contact</t>
  </si>
  <si>
    <t>Discussed with the proposed guardian, and they have agreed?</t>
  </si>
  <si>
    <t>Notes to the guardian (values, schooling preferences)</t>
  </si>
  <si>
    <t>6. Testamentary trust</t>
  </si>
  <si>
    <t>Establish a trust?</t>
  </si>
  <si>
    <t>Trustee 1: full names</t>
  </si>
  <si>
    <t>Trustee 1: ID number</t>
  </si>
  <si>
    <t>Trustee 2: full names</t>
  </si>
  <si>
    <t>Trustee 2: ID number</t>
  </si>
  <si>
    <t>Trustee 3: full names</t>
  </si>
  <si>
    <t>Trustee 3: ID number</t>
  </si>
  <si>
    <t>When the trust ends</t>
  </si>
  <si>
    <t>Termination / vesting age (commonly 21 or 25)</t>
  </si>
  <si>
    <t>Special trust instructions</t>
  </si>
  <si>
    <t>7. Specific bequests</t>
  </si>
  <si>
    <t>item</t>
  </si>
  <si>
    <t>ben</t>
  </si>
  <si>
    <t>pre</t>
  </si>
  <si>
    <t>Item or amount</t>
  </si>
  <si>
    <t>To whom</t>
  </si>
  <si>
    <t>If they die before you, to</t>
  </si>
  <si>
    <t>8. Residue of the estate (everything not specifically left to someone)</t>
  </si>
  <si>
    <t>Residue distribution</t>
  </si>
  <si>
    <t>pct</t>
  </si>
  <si>
    <t>Beneficiary</t>
  </si>
  <si>
    <t>% share</t>
  </si>
  <si>
    <t>9. Special assets</t>
  </si>
  <si>
    <t>Your property and business interests, and who each one passes to, are taken from the Assets and debts and the Companies and trusts sheets. Life policies and retirement funds, with their beneficiaries, are on your policy schedule.</t>
  </si>
  <si>
    <t>Offshore assets</t>
  </si>
  <si>
    <t>Country and nature of offshore assets</t>
  </si>
  <si>
    <t>Firearms</t>
  </si>
  <si>
    <t>Number of firearms</t>
  </si>
  <si>
    <t>Firearms licensed to</t>
  </si>
  <si>
    <t>10. Living will and organ donation</t>
  </si>
  <si>
    <t>Living will</t>
  </si>
  <si>
    <t>Date of existing living will</t>
  </si>
  <si>
    <t>Organ donation</t>
  </si>
  <si>
    <t>Register me as an organ donor (done on my behalf)?</t>
  </si>
  <si>
    <t>11. Funeral wishes</t>
  </si>
  <si>
    <t>Preference</t>
  </si>
  <si>
    <t>Location (cemetery, church, scattering of ashes)</t>
  </si>
  <si>
    <t>Specific requests (music, readings, dress code, faith practices)</t>
  </si>
  <si>
    <t>Funeral cover</t>
  </si>
  <si>
    <t>Funeral policy provider</t>
  </si>
  <si>
    <t>Funeral policy number</t>
  </si>
  <si>
    <t>Estimated funeral cost (R)</t>
  </si>
  <si>
    <t>12. Digital assets and accounts</t>
  </si>
  <si>
    <t>A sealed letter of instruction (accounts, access) is lodged?</t>
  </si>
  <si>
    <t>Lodged with</t>
  </si>
  <si>
    <t>Social media accounts to be</t>
  </si>
  <si>
    <t>Cryptocurrency holdings exist?</t>
  </si>
  <si>
    <t>Where the seed phrases or keys are kept (not the keys themselves)</t>
  </si>
  <si>
    <t>13. Pets</t>
  </si>
  <si>
    <t>Not applicable?</t>
  </si>
  <si>
    <t>Pets to be cared for by (name, relationship, contact)</t>
  </si>
  <si>
    <t>Bequest to the carer for the pets' upkeep (R)</t>
  </si>
  <si>
    <t>14. Letter of wishes</t>
  </si>
  <si>
    <t>Letter of wishes (private, not binding)</t>
  </si>
  <si>
    <t>15. Notes to the attorney</t>
  </si>
  <si>
    <t>Additional instructions or notes to the attorney</t>
  </si>
  <si>
    <t>16.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</si>
  <si>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</si>
  <si>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</si>
  <si>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</si>
  <si>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</si>
  <si>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</si>
  <si>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</si>
  <si>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</si>
  <si>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</si>
  <si>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</si>
  <si>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</si>
  <si>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</si>
  <si>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</si>
  <si>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</si>
  <si>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</si>
  <si>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17. Capital Legacy (only for a will drafted through Capital Legacy)</t>
  </si>
  <si>
    <t>Will language</t>
  </si>
  <si>
    <t>Other language</t>
  </si>
  <si>
    <t>Establish a Widow's Trust?</t>
  </si>
  <si>
    <t>Widow's Trust: spouse as income beneficiary?</t>
  </si>
  <si>
    <t>Widow's Trust: children as capital beneficiaries?</t>
  </si>
  <si>
    <t>Widow's Trust other capital beneficiary 1: full names</t>
  </si>
  <si>
    <t>Other capital beneficiary 1: relationship</t>
  </si>
  <si>
    <t>Widow's Trust other capital beneficiary 2: full names</t>
  </si>
  <si>
    <t>Other capital beneficiary 2: relationship</t>
  </si>
  <si>
    <t>Widow's Trust other capital beneficiary 3: full names</t>
  </si>
  <si>
    <t>Other capital beneficiary 3: relationship</t>
  </si>
  <si>
    <t>Provider's Trust beneficiary: full names</t>
  </si>
  <si>
    <t>Provider's Trust beneficiary: relationship</t>
  </si>
  <si>
    <t>Next of kin: full names</t>
  </si>
  <si>
    <t>Next of kin: relationship</t>
  </si>
  <si>
    <t>Next of kin: cell</t>
  </si>
  <si>
    <t>Next of kin: email</t>
  </si>
  <si>
    <t>Co-trustee 1: full names</t>
  </si>
  <si>
    <t>Co-trustee 1: ID number</t>
  </si>
  <si>
    <t>Co-trustee 1: relationship</t>
  </si>
  <si>
    <t>Co-trustee 2: full names</t>
  </si>
  <si>
    <t>Co-trustee 2: ID number</t>
  </si>
  <si>
    <t>Co-trustee 2: relationship</t>
  </si>
  <si>
    <t>Capital Legacy as executor?</t>
  </si>
  <si>
    <t>Co-executor 1: full names</t>
  </si>
  <si>
    <t>Co-executor 1: ID number</t>
  </si>
  <si>
    <t>Co-executor 1: relationship</t>
  </si>
  <si>
    <t>Co-executor 2: full names</t>
  </si>
  <si>
    <t>Co-executor 2: ID number</t>
  </si>
  <si>
    <t>Co-executor 2: relationship</t>
  </si>
  <si>
    <t>Use the will collection service?</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</si>
  <si>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</si>
  <si>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</si>
  <si>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</si>
  <si>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</si>
  <si>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</si>
  <si>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</si>
  <si>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</si>
  <si>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</si>
  <si>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</si>
  <si>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</si>
  <si>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</si>
  <si>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</si>
  <si>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</si>
  <si>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</si>
  <si>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</si>
  <si>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</si>
  <si>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</si>
  <si>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</si>
  <si>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</si>
  <si>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</si>
  <si>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</si>
  <si>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</si>
  <si>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</si>
  <si>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</si>
  <si>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</si>
  <si>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</si>
  <si>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</si>
  <si>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</si>
  <si>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</si>
  <si>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</si>
  <si>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</si>
  <si>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</si>
  <si>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</si>
  <si>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</si>
  <si>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</si>
  <si>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</si>
  <si>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</si>
  <si>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</si>
  <si>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</si>
  <si>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</si>
  <si>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</si>
  <si>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</si>
  <si>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</si>
  <si>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</si>
  <si>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</si>
  <si>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</si>
  <si>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w_tr_choice</t>
  </si>
  <si>
    <t>w_tr_term</t>
  </si>
  <si>
    <t>w_res_choice</t>
  </si>
  <si>
    <t>w_sa_off</t>
  </si>
  <si>
    <t>w_sa_fire</t>
  </si>
  <si>
    <t>w_lw</t>
  </si>
  <si>
    <t>w_organ</t>
  </si>
  <si>
    <t>w_fw</t>
  </si>
  <si>
    <t>w_fw_cover</t>
  </si>
  <si>
    <t>w_da_social</t>
  </si>
  <si>
    <t>w_lo</t>
  </si>
  <si>
    <t>w_ex_security</t>
  </si>
  <si>
    <t>w_ex_fee</t>
  </si>
  <si>
    <t>w_cl_lang</t>
  </si>
  <si>
    <t>w_cl_wt</t>
  </si>
  <si>
    <t>w_cl_wt_sp_inc</t>
  </si>
  <si>
    <t>w_cl_wt_kids_cap</t>
  </si>
  <si>
    <t>w_cl_exec</t>
  </si>
  <si>
    <t>w_cl_collect</t>
  </si>
  <si>
    <t>full names</t>
  </si>
  <si>
    <t>ClientID</t>
  </si>
  <si>
    <t>Mr.</t>
  </si>
  <si>
    <t>Male</t>
  </si>
  <si>
    <t>Client</t>
  </si>
  <si>
    <t>Single</t>
  </si>
  <si>
    <t>School - no matric</t>
  </si>
  <si>
    <t>Child</t>
  </si>
  <si>
    <t>Personal Loan</t>
  </si>
  <si>
    <t>Pty Ltd</t>
  </si>
  <si>
    <t>Latest financials</t>
  </si>
  <si>
    <t>Active trading business</t>
  </si>
  <si>
    <t>None</t>
  </si>
  <si>
    <t>Books</t>
  </si>
  <si>
    <t>I do not have an existing will</t>
  </si>
  <si>
    <t>Yes — establish a testamentary trust</t>
  </si>
  <si>
    <t>Terminates when beneficiary reaches a set age (below)</t>
  </si>
  <si>
    <t>Entire residue to my spouse / life partner</t>
  </si>
  <si>
    <t>Yes — I wish a living will to be drafted</t>
  </si>
  <si>
    <t>I wish to donate my organs and tissues where medically suitable</t>
  </si>
  <si>
    <t>Burial</t>
  </si>
  <si>
    <t>I have a funeral policy (details below)</t>
  </si>
  <si>
    <t>Memorialised</t>
  </si>
  <si>
    <t>Yes — a separate letter of wishes will be drafted</t>
  </si>
  <si>
    <t>Waive security (bond of security) — usual for a family executor</t>
  </si>
  <si>
    <t>Agreed reduced rate (below)</t>
  </si>
  <si>
    <t>English</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</si>
  <si>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</si>
  <si>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</si>
  <si>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</si>
  <si>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</si>
  <si>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</si>
  <si>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</si>
  <si>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</si>
  <si>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</si>
  <si>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</si>
  <si>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</si>
  <si>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</si>
  <si>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</si>
  <si>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</si>
  <si>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</si>
  <si>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</si>
  <si>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</si>
  <si>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</si>
  <si>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</si>
  <si>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I have an existing will</t>
  </si>
  <si>
    <t>No — distribute directly</t>
  </si>
  <si>
    <t>Trustees may pay capital sooner for education, medical, first home, etc.</t>
  </si>
  <si>
    <t>Entire residue to my children equally, per stirpes</t>
  </si>
  <si>
    <t>I hold assets offshore (a separate offshore will may be recommended)</t>
  </si>
  <si>
    <t>I own firearms (beneficiary must hold a valid licence)</t>
  </si>
  <si>
    <t>No — I do not want a living will</t>
  </si>
  <si>
    <t>I do not wish to donate organs or tissues</t>
  </si>
  <si>
    <t>Cremation</t>
  </si>
  <si>
    <t>Closed</t>
  </si>
  <si>
    <t>Require security</t>
  </si>
  <si>
    <t>Full statutory rate of 3.5% + VAT</t>
  </si>
  <si>
    <t>Afrikaans</t>
  </si>
  <si>
    <t>Version</t>
  </si>
  <si>
    <t>1.3</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</si>
  <si>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</si>
  <si>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</si>
  <si>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</si>
  <si>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</si>
  <si>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</si>
  <si>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</si>
  <si>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</si>
  <si>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</si>
  <si>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</si>
  <si>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</si>
  <si>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</si>
  <si>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</si>
  <si>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</si>
  <si>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</si>
  <si>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I have a codicil / amendment to a prior will</t>
  </si>
  <si>
    <t>Only if beneficiaries are still minors at date of death</t>
  </si>
  <si>
    <t>Income distributed as needed; capital held until termination age</t>
  </si>
  <si>
    <t>Entire residue to my children equally, per capita</t>
  </si>
  <si>
    <t>I already have a living will (date below)</t>
  </si>
  <si>
    <t>I am already a registered organ donor</t>
  </si>
  <si>
    <t>No preference — leave to family</t>
  </si>
  <si>
    <t>Transferred</t>
  </si>
  <si>
    <t>Other (below)</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</si>
  <si>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</si>
  <si>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</si>
  <si>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</si>
  <si>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</si>
  <si>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</si>
  <si>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</si>
  <si>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</si>
  <si>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</si>
  <si>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</si>
  <si>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</si>
  <si>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</si>
  <si>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</si>
  <si>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Split as follows (table below)</t>
  </si>
  <si>
    <t>ExportedBy</t>
  </si>
  <si>
    <t>Dr.</t>
  </si>
  <si>
    <t>Married in COP</t>
  </si>
  <si>
    <t>Post Graduate</t>
  </si>
  <si>
    <t>State Pension (SASSA)</t>
  </si>
  <si>
    <t>Medical / medical aid</t>
  </si>
  <si>
    <t>Overdraft</t>
  </si>
  <si>
    <t>Loan Account</t>
  </si>
  <si>
    <t>Sole Proprietor</t>
  </si>
  <si>
    <t>Prof.</t>
  </si>
  <si>
    <t>Life partner</t>
  </si>
  <si>
    <t>Annuity Income</t>
  </si>
  <si>
    <t>Insurance premiums</t>
  </si>
  <si>
    <t>Store Account</t>
  </si>
  <si>
    <t>Crypto</t>
  </si>
  <si>
    <t>TemplateVersion</t>
  </si>
  <si>
    <t>Rev.</t>
  </si>
  <si>
    <t>Divorced</t>
  </si>
  <si>
    <t>Investment Income</t>
  </si>
  <si>
    <t>Entertainment</t>
  </si>
  <si>
    <t>Tax Debt</t>
  </si>
  <si>
    <t>Art / Collectibles</t>
  </si>
  <si>
    <t>Breaks</t>
  </si>
  <si>
    <t>[["Assets and debts",53],["Companies and trusts",51],["Companies and trusts",96],["Companies and trusts",141],["Will",63]]</t>
  </si>
  <si>
    <t>Adv.</t>
  </si>
  <si>
    <t>Widowed</t>
  </si>
  <si>
    <t>Maintenance / alimony</t>
  </si>
  <si>
    <t>Student Loan</t>
  </si>
  <si>
    <t>Household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</si>
</sst>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pplyProtection="1">
      <alignment vertical="top" wrapText="1"/>
    </xf>
    <xf numFmtId="0" fontId="6" fillId="4" borderId="2" xfId="0" applyFont="1" applyFill="1" applyBorder="1" applyAlignment="1">
      <alignment vertical="top"/>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wrapText="1"/>
      <protection locked="0"/>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0" fontId="6" fillId="4" borderId="2" xfId="0" applyFont="1" applyFill="1" applyBorder="1" applyAlignment="1">
      <alignment horizontal="left" vertical="top"/>
    </xf>
    <xf numFmtId="164" fontId="6" fillId="4" borderId="2" xfId="0" applyNumberFormat="1" applyFont="1" applyFill="1" applyBorder="1" applyAlignment="1">
      <alignment horizontal="left" vertical="top"/>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49" fontId="6" fillId="4" borderId="2" xfId="0" applyNumberFormat="1" applyFont="1" applyFill="1" applyBorder="1" applyAlignment="1">
      <alignment horizontal="left" vertical="top" wrapText="1"/>
    </xf>
    <xf numFmtId="164" fontId="6" fillId="4" borderId="2" xfId="0" applyNumberFormat="1" applyFont="1" applyFill="1" applyBorder="1" applyAlignment="1">
      <alignment horizontal="left" vertical="top" wrapText="1"/>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34"/>
  <sheetFormatPr defaultRowHeight="15" outlineLevelRow="0" outlineLevelCol="0" x14ac:dyDescent="55"/>
  <sheetData>
    <row r="1" spans="1:49" x14ac:dyDescent="0.25">
      <c r="A1" t="s">
        <v>394</v>
      </c>
      <c r="B1" t="s">
        <v>395</v>
      </c>
      <c r="C1" t="s">
        <v>396</v>
      </c>
      <c r="D1" t="s">
        <v>397</v>
      </c>
      <c r="E1" t="s">
        <v>398</v>
      </c>
      <c r="F1" t="s">
        <v>399</v>
      </c>
      <c r="G1" t="s">
        <v>400</v>
      </c>
      <c r="H1" t="s">
        <v>401</v>
      </c>
      <c r="I1" t="s">
        <v>402</v>
      </c>
      <c r="J1" t="s">
        <v>403</v>
      </c>
      <c r="K1" t="s">
        <v>404</v>
      </c>
      <c r="L1" t="s">
        <v>405</v>
      </c>
      <c r="M1" t="s">
        <v>161</v>
      </c>
      <c r="N1" t="s">
        <v>406</v>
      </c>
      <c r="O1" t="s">
        <v>407</v>
      </c>
      <c r="P1" t="s">
        <v>408</v>
      </c>
      <c r="Q1" t="s">
        <v>409</v>
      </c>
      <c r="R1" t="s">
        <v>410</v>
      </c>
      <c r="S1" t="s">
        <v>411</v>
      </c>
      <c r="T1" t="s">
        <v>412</v>
      </c>
      <c r="U1" t="s">
        <v>119</v>
      </c>
      <c r="V1" t="s">
        <v>413</v>
      </c>
      <c r="W1" t="s">
        <v>217</v>
      </c>
      <c r="X1" t="s">
        <v>218</v>
      </c>
      <c r="Y1" t="s">
        <v>414</v>
      </c>
      <c r="Z1" t="s">
        <v>415</v>
      </c>
      <c r="AA1" t="s">
        <v>416</v>
      </c>
      <c r="AB1" t="s">
        <v>417</v>
      </c>
      <c r="AC1" t="s">
        <v>418</v>
      </c>
      <c r="AD1" t="s">
        <v>419</v>
      </c>
      <c r="AE1" t="s">
        <v>420</v>
      </c>
      <c r="AF1" t="s">
        <v>421</v>
      </c>
      <c r="AG1" t="s">
        <v>422</v>
      </c>
      <c r="AH1" t="s">
        <v>423</v>
      </c>
      <c r="AI1" t="s">
        <v>424</v>
      </c>
      <c r="AJ1" t="s">
        <v>425</v>
      </c>
      <c r="AK1" t="s">
        <v>426</v>
      </c>
      <c r="AL1" t="s">
        <v>427</v>
      </c>
      <c r="AM1" t="s">
        <v>428</v>
      </c>
      <c r="AN1" t="s">
        <v>429</v>
      </c>
      <c r="AO1" t="s">
        <v>430</v>
      </c>
      <c r="AP1" t="s">
        <v>431</v>
      </c>
      <c r="AQ1" t="s">
        <v>432</v>
      </c>
      <c r="AR1" t="s">
        <v>433</v>
      </c>
      <c r="AS1" t="s">
        <v>434</v>
      </c>
      <c r="AU1" t="s">
        <v>435</v>
      </c>
      <c r="AW1" t="s">
        <v>436</v>
      </c>
    </row>
    <row r="2" spans="1:49" x14ac:dyDescent="0.25">
      <c r="A2">
        <f>IF('Client and family'!$C$12&lt;&gt;"",'Client and family'!$C$12,IF('Lists'!$AU$2&lt;&gt;"",LEFT(TRIM('Lists'!$AU$2),FIND(" ",TRIM('Lists'!$AU$2)&amp;" ")-1),"Client"))</f>
      </c>
      <c r="B2">
        <f>IF('Lists'!$AU$3="","",'Lists'!$AU$3)</f>
      </c>
      <c r="C2">
        <f>IF('Assets and debts'!$B$12="",""," "&amp;'Assets and debts'!$B$12)</f>
      </c>
      <c r="D2" t="s">
        <v>437</v>
      </c>
      <c r="E2" t="s">
        <v>438</v>
      </c>
      <c r="F2" t="s">
        <v>86</v>
      </c>
      <c r="G2" t="s">
        <v>439</v>
      </c>
      <c r="H2" t="s">
        <v>440</v>
      </c>
      <c r="I2" t="s">
        <v>441</v>
      </c>
      <c r="J2" t="s">
        <v>442</v>
      </c>
      <c r="K2" t="s">
        <v>85</v>
      </c>
      <c r="L2" t="s">
        <v>96</v>
      </c>
      <c r="M2" t="s">
        <v>443</v>
      </c>
      <c r="N2" t="s">
        <v>156</v>
      </c>
      <c r="O2" t="s">
        <v>444</v>
      </c>
      <c r="P2" t="s">
        <v>445</v>
      </c>
      <c r="Q2" t="s">
        <v>446</v>
      </c>
      <c r="R2" t="s">
        <v>447</v>
      </c>
      <c r="S2" t="s">
        <v>202</v>
      </c>
      <c r="T2" t="s">
        <v>85</v>
      </c>
      <c r="U2" t="s">
        <v>448</v>
      </c>
      <c r="V2" t="s">
        <v>137</v>
      </c>
      <c r="W2" t="s">
        <v>232</v>
      </c>
      <c r="X2" t="s">
        <v>233</v>
      </c>
      <c r="Y2" t="s">
        <v>137</v>
      </c>
      <c r="Z2" t="s">
        <v>449</v>
      </c>
      <c r="AA2" t="s">
        <v>450</v>
      </c>
      <c r="AB2" t="s">
        <v>451</v>
      </c>
      <c r="AC2" t="s">
        <v>452</v>
      </c>
      <c r="AD2" t="s">
        <v>447</v>
      </c>
      <c r="AE2" t="s">
        <v>447</v>
      </c>
      <c r="AF2" t="s">
        <v>453</v>
      </c>
      <c r="AG2" t="s">
        <v>454</v>
      </c>
      <c r="AH2" t="s">
        <v>455</v>
      </c>
      <c r="AI2" t="s">
        <v>456</v>
      </c>
      <c r="AJ2" t="s">
        <v>457</v>
      </c>
      <c r="AK2" t="s">
        <v>458</v>
      </c>
      <c r="AL2" t="s">
        <v>459</v>
      </c>
      <c r="AM2" t="s">
        <v>460</v>
      </c>
      <c r="AN2" t="s">
        <v>461</v>
      </c>
      <c r="AO2" t="s">
        <v>86</v>
      </c>
      <c r="AP2" t="s">
        <v>86</v>
      </c>
      <c r="AQ2" t="s">
        <v>86</v>
      </c>
      <c r="AR2" t="s">
        <v>86</v>
      </c>
      <c r="AS2" t="s">
        <v>86</v>
      </c>
      <c r="AU2">
        <f>TRIM('Client and family'!$C$10&amp;" "&amp;'Client and family'!$C$11)</f>
      </c>
      <c r="AW2" t="s">
        <v>462</v>
      </c>
    </row>
    <row r="3" spans="1:50" x14ac:dyDescent="0.25">
      <c r="A3">
        <f>IF('Lists'!$AU$3&lt;&gt;"",LEFT(TRIM('Lists'!$AU$3),FIND(" ",TRIM('Lists'!$AU$3)&amp;" ")-1),"Spouse")</f>
      </c>
      <c r="B3">
        <f>IF('Client and family'!$B$40="","",'Client and family'!$B$40)</f>
      </c>
      <c r="C3">
        <f>IF('Assets and debts'!$B$13="",""," "&amp;'Assets and debts'!$B$13)</f>
      </c>
      <c r="D3" t="s">
        <v>463</v>
      </c>
      <c r="E3" t="s">
        <v>464</v>
      </c>
      <c r="F3" t="s">
        <v>138</v>
      </c>
      <c r="G3" t="s">
        <v>465</v>
      </c>
      <c r="H3" t="s">
        <v>466</v>
      </c>
      <c r="I3" t="s">
        <v>467</v>
      </c>
      <c r="J3" t="s">
        <v>468</v>
      </c>
      <c r="K3" t="s">
        <v>469</v>
      </c>
      <c r="L3" t="s">
        <v>470</v>
      </c>
      <c r="M3" t="s">
        <v>173</v>
      </c>
      <c r="N3" t="s">
        <v>471</v>
      </c>
      <c r="O3" t="s">
        <v>472</v>
      </c>
      <c r="P3" t="s">
        <v>473</v>
      </c>
      <c r="Q3" t="s">
        <v>474</v>
      </c>
      <c r="R3" t="s">
        <v>475</v>
      </c>
      <c r="S3" t="s">
        <v>476</v>
      </c>
      <c r="T3" t="s">
        <v>477</v>
      </c>
      <c r="U3" t="s">
        <v>158</v>
      </c>
      <c r="V3" t="s">
        <v>157</v>
      </c>
      <c r="W3" t="s">
        <v>478</v>
      </c>
      <c r="X3" t="s">
        <v>479</v>
      </c>
      <c r="Y3" t="s">
        <v>157</v>
      </c>
      <c r="Z3" t="s">
        <v>480</v>
      </c>
      <c r="AA3" t="s">
        <v>481</v>
      </c>
      <c r="AB3" t="s">
        <v>482</v>
      </c>
      <c r="AC3" t="s">
        <v>483</v>
      </c>
      <c r="AD3" t="s">
        <v>484</v>
      </c>
      <c r="AE3" t="s">
        <v>485</v>
      </c>
      <c r="AF3" t="s">
        <v>486</v>
      </c>
      <c r="AG3" t="s">
        <v>487</v>
      </c>
      <c r="AH3" t="s">
        <v>488</v>
      </c>
      <c r="AI3" t="s">
        <v>447</v>
      </c>
      <c r="AJ3" t="s">
        <v>489</v>
      </c>
      <c r="AK3" t="s">
        <v>138</v>
      </c>
      <c r="AL3" t="s">
        <v>490</v>
      </c>
      <c r="AM3" t="s">
        <v>491</v>
      </c>
      <c r="AN3" t="s">
        <v>492</v>
      </c>
      <c r="AO3" t="s">
        <v>138</v>
      </c>
      <c r="AP3" t="s">
        <v>138</v>
      </c>
      <c r="AQ3" t="s">
        <v>138</v>
      </c>
      <c r="AR3" t="s">
        <v>138</v>
      </c>
      <c r="AS3" t="s">
        <v>138</v>
      </c>
      <c r="AU3">
        <f>TRIM('Client and family'!$D$10&amp;" "&amp;'Client and family'!$D$11)</f>
      </c>
      <c r="AW3" t="s">
        <v>493</v>
      </c>
      <c r="AX3" t="s">
        <v>494</v>
      </c>
    </row>
    <row r="4" spans="1:49" x14ac:dyDescent="0.25">
      <c r="A4" t="s">
        <v>136</v>
      </c>
      <c r="B4">
        <f>IF('Client and family'!$B$41="","",'Client and family'!$B$41)</f>
      </c>
      <c r="C4">
        <f>IF('Assets and debts'!$B$14="",""," "&amp;'Assets and debts'!$B$14)</f>
      </c>
      <c r="D4" t="s">
        <v>495</v>
      </c>
      <c r="H4" t="s">
        <v>496</v>
      </c>
      <c r="I4" t="s">
        <v>497</v>
      </c>
      <c r="J4" t="s">
        <v>498</v>
      </c>
      <c r="K4" t="s">
        <v>499</v>
      </c>
      <c r="L4" t="s">
        <v>500</v>
      </c>
      <c r="M4" t="s">
        <v>501</v>
      </c>
      <c r="N4" t="s">
        <v>502</v>
      </c>
      <c r="O4" t="s">
        <v>503</v>
      </c>
      <c r="P4" t="s">
        <v>504</v>
      </c>
      <c r="Q4" t="s">
        <v>505</v>
      </c>
      <c r="R4" t="s">
        <v>506</v>
      </c>
      <c r="S4" t="s">
        <v>507</v>
      </c>
      <c r="U4" t="s">
        <v>203</v>
      </c>
      <c r="V4" t="s">
        <v>131</v>
      </c>
      <c r="W4" t="s">
        <v>508</v>
      </c>
      <c r="Y4" t="s">
        <v>131</v>
      </c>
      <c r="Z4" t="s">
        <v>509</v>
      </c>
      <c r="AA4" t="s">
        <v>510</v>
      </c>
      <c r="AB4" t="s">
        <v>511</v>
      </c>
      <c r="AC4" t="s">
        <v>512</v>
      </c>
      <c r="AF4" t="s">
        <v>513</v>
      </c>
      <c r="AG4" t="s">
        <v>514</v>
      </c>
      <c r="AH4" t="s">
        <v>515</v>
      </c>
      <c r="AJ4" t="s">
        <v>516</v>
      </c>
      <c r="AN4" t="s">
        <v>517</v>
      </c>
      <c r="AW4" t="s">
        <v>518</v>
      </c>
    </row>
    <row r="5" spans="2:49" x14ac:dyDescent="0.25">
      <c r="B5">
        <f>IF('Client and family'!$B$42="","",'Client and family'!$B$42)</f>
      </c>
      <c r="C5">
        <f>IF('Assets and debts'!$B$15="",""," "&amp;'Assets and debts'!$B$15)</f>
      </c>
      <c r="D5" t="s">
        <v>519</v>
      </c>
      <c r="H5" t="s">
        <v>520</v>
      </c>
      <c r="I5" t="s">
        <v>521</v>
      </c>
      <c r="J5" t="s">
        <v>522</v>
      </c>
      <c r="K5" t="s">
        <v>477</v>
      </c>
      <c r="L5" t="s">
        <v>523</v>
      </c>
      <c r="M5" t="s">
        <v>524</v>
      </c>
      <c r="N5" t="s">
        <v>525</v>
      </c>
      <c r="O5" t="s">
        <v>526</v>
      </c>
      <c r="Q5" t="s">
        <v>527</v>
      </c>
      <c r="S5" t="s">
        <v>528</v>
      </c>
      <c r="U5" t="s">
        <v>139</v>
      </c>
      <c r="W5" t="s">
        <v>529</v>
      </c>
      <c r="AC5" t="s">
        <v>530</v>
      </c>
      <c r="AW5" t="s">
        <v>531</v>
      </c>
    </row>
    <row r="6" spans="2:23" x14ac:dyDescent="0.25">
      <c r="B6">
        <f>IF('Client and family'!$B$43="","",'Client and family'!$B$43)</f>
      </c>
      <c r="C6">
        <f>IF('Assets and debts'!$B$16="",""," "&amp;'Assets and debts'!$B$16)</f>
      </c>
      <c r="D6" t="s">
        <v>532</v>
      </c>
      <c r="H6" t="s">
        <v>533</v>
      </c>
      <c r="I6" t="s">
        <v>534</v>
      </c>
      <c r="J6" t="s">
        <v>504</v>
      </c>
      <c r="K6" t="s">
        <v>535</v>
      </c>
      <c r="L6" t="s">
        <v>536</v>
      </c>
      <c r="M6" t="s">
        <v>537</v>
      </c>
      <c r="N6" t="s">
        <v>538</v>
      </c>
      <c r="O6" t="s">
        <v>539</v>
      </c>
      <c r="W6" t="s">
        <v>504</v>
      </c>
    </row>
    <row r="7" spans="2:50" x14ac:dyDescent="0.25">
      <c r="B7">
        <f>IF('Client and family'!$B$44="","",'Client and family'!$B$44)</f>
      </c>
      <c r="C7">
        <f>IF('Assets and debts'!$B$17="",""," "&amp;'Assets and debts'!$B$17)</f>
      </c>
      <c r="D7" t="s">
        <v>540</v>
      </c>
      <c r="H7" t="s">
        <v>541</v>
      </c>
      <c r="I7" t="s">
        <v>504</v>
      </c>
      <c r="K7" t="s">
        <v>542</v>
      </c>
      <c r="L7" t="s">
        <v>543</v>
      </c>
      <c r="M7" t="s">
        <v>544</v>
      </c>
      <c r="N7" t="s">
        <v>545</v>
      </c>
      <c r="O7" t="s">
        <v>504</v>
      </c>
      <c r="AW7" t="s">
        <v>546</v>
      </c>
      <c r="AX7" t="s">
        <v>494</v>
      </c>
    </row>
    <row r="8" spans="2:50" x14ac:dyDescent="0.25">
      <c r="B8">
        <f>IF('Client and family'!$B$45="","",'Client and family'!$B$45)</f>
      </c>
      <c r="C8">
        <f>IF('Assets and debts'!$B$18="",""," "&amp;'Assets and debts'!$B$18)</f>
      </c>
      <c r="D8" t="s">
        <v>547</v>
      </c>
      <c r="H8" t="s">
        <v>548</v>
      </c>
      <c r="K8" t="s">
        <v>549</v>
      </c>
      <c r="L8" t="s">
        <v>550</v>
      </c>
      <c r="M8" t="s">
        <v>551</v>
      </c>
      <c r="N8" t="s">
        <v>552</v>
      </c>
      <c r="AW8" t="s">
        <v>553</v>
      </c>
      <c r="AX8" t="s">
        <v>554</v>
      </c>
    </row>
    <row r="9" spans="2:14" x14ac:dyDescent="0.25">
      <c r="B9">
        <f>IF('Client and family'!$B$46="","",'Client and family'!$B$46)</f>
      </c>
      <c r="C9">
        <f>IF('Assets and debts'!$B$19="",""," "&amp;'Assets and debts'!$B$19)</f>
      </c>
      <c r="D9" t="s">
        <v>555</v>
      </c>
      <c r="H9" t="s">
        <v>556</v>
      </c>
      <c r="K9" t="s">
        <v>504</v>
      </c>
      <c r="L9" t="s">
        <v>557</v>
      </c>
      <c r="M9" t="s">
        <v>558</v>
      </c>
      <c r="N9" t="s">
        <v>559</v>
      </c>
    </row>
    <row r="10" spans="2:14" x14ac:dyDescent="0.25">
      <c r="B10">
        <f>IF('Client and family'!$B$47="","",'Client and family'!$B$47)</f>
      </c>
      <c r="C10">
        <f>IF('Assets and debts'!$B$26="",""," "&amp;'Assets and debts'!$B$26)</f>
      </c>
      <c r="L10" t="s">
        <v>504</v>
      </c>
      <c r="M10" t="s">
        <v>504</v>
      </c>
      <c r="N10" t="s">
        <v>504</v>
      </c>
    </row>
    <row r="11" spans="3:3" x14ac:dyDescent="0.25">
      <c r="C11">
        <f>IF('Assets and debts'!$B$27="",""," "&amp;'Assets and debts'!$B$27)</f>
      </c>
    </row>
    <row r="12" spans="3:3" x14ac:dyDescent="0.25">
      <c r="C12">
        <f>IF('Assets and debts'!$B$28="",""," "&amp;'Assets and debts'!$B$28)</f>
      </c>
    </row>
    <row r="13" spans="3:3" x14ac:dyDescent="0.25">
      <c r="C13">
        <f>IF('Assets and debts'!$B$29="",""," "&amp;'Assets and debts'!$B$29)</f>
      </c>
    </row>
    <row r="14" spans="3:3" x14ac:dyDescent="0.25">
      <c r="C14">
        <f>IF('Assets and debts'!$B$30="",""," "&amp;'Assets and debts'!$B$30)</f>
      </c>
    </row>
    <row r="15" spans="3:3" x14ac:dyDescent="0.25">
      <c r="C15">
        <f>IF('Assets and debts'!$B$31="",""," "&amp;'Assets and debts'!$B$31)</f>
      </c>
    </row>
    <row r="16" spans="3:3" x14ac:dyDescent="0.25">
      <c r="C16">
        <f>IF('Assets and debts'!$B$38="",""," "&amp;'Assets and debts'!$B$38)</f>
      </c>
    </row>
    <row r="17" spans="3:3" x14ac:dyDescent="0.25">
      <c r="C17">
        <f>IF('Assets and debts'!$B$39="",""," "&amp;'Assets and debts'!$B$39)</f>
      </c>
    </row>
    <row r="18" spans="3:3" x14ac:dyDescent="0.25">
      <c r="C18">
        <f>IF('Assets and debts'!$B$40="",""," "&amp;'Assets and debts'!$B$40)</f>
      </c>
    </row>
    <row r="19" spans="3:3" x14ac:dyDescent="0.25">
      <c r="C19">
        <f>IF('Assets and debts'!$B$41="",""," "&amp;'Assets and debts'!$B$41)</f>
      </c>
    </row>
    <row r="20" spans="3:3" x14ac:dyDescent="0.25">
      <c r="C20">
        <f>IF('Assets and debts'!$B$42="",""," "&amp;'Assets and debts'!$B$42)</f>
      </c>
    </row>
    <row r="21" spans="3:3" x14ac:dyDescent="0.25">
      <c r="C21">
        <f>IF('Assets and debts'!$B$43="",""," "&amp;'Assets and debts'!$B$43)</f>
      </c>
    </row>
    <row r="22" spans="3:3" x14ac:dyDescent="0.25">
      <c r="C22">
        <f>IF('Assets and debts'!$B$44="",""," "&amp;'Assets and debts'!$B$44)</f>
      </c>
    </row>
    <row r="23" spans="3:3" x14ac:dyDescent="0.25">
      <c r="C23">
        <f>IF('Assets and debts'!$B$45="",""," "&amp;'Assets and debts'!$B$45)</f>
      </c>
    </row>
    <row r="24" spans="3:3" x14ac:dyDescent="0.25">
      <c r="C24">
        <f>IF('Assets and debts'!$B$46="",""," "&amp;'Assets and debts'!$B$46)</f>
      </c>
    </row>
    <row r="25" spans="3:3" x14ac:dyDescent="0.25">
      <c r="C25">
        <f>IF('Assets and debts'!$B$47="",""," "&amp;'Assets and debts'!$B$47)</f>
      </c>
    </row>
    <row r="26" spans="3:3" x14ac:dyDescent="0.25">
      <c r="C26">
        <f>IF('Assets and debts'!$B$48="",""," "&amp;'Assets and debts'!$B$48)</f>
      </c>
    </row>
    <row r="27" spans="3:3" x14ac:dyDescent="0.25">
      <c r="C27">
        <f>IF('Assets and debts'!$B$49="",""," "&amp;'Assets and debts'!$B$49)</f>
      </c>
    </row>
    <row r="28" spans="3:3" x14ac:dyDescent="0.25">
      <c r="C28">
        <f>IF('Assets and debts'!$B$50="",""," "&amp;'Assets and debts'!$B$50)</f>
      </c>
    </row>
    <row r="29" spans="3:3" x14ac:dyDescent="0.25">
      <c r="C29">
        <f>IF('Assets and debts'!$B$51="",""," "&amp;'Assets and debts'!$B$51)</f>
      </c>
    </row>
    <row r="30" spans="3:3" x14ac:dyDescent="0.25">
      <c r="C30">
        <f>IF('Assets and debts'!$B$52="",""," "&amp;'Assets and debts'!$B$52)</f>
      </c>
    </row>
    <row r="31" spans="3:3" x14ac:dyDescent="0.25">
      <c r="C31">
        <f>IF('Companies and trusts'!$C$8="",""," "&amp;'Companies and trusts'!$C$8)</f>
      </c>
    </row>
    <row r="32" spans="3:3" x14ac:dyDescent="0.25">
      <c r="C32">
        <f>IF('Companies and trusts'!$C$54="",""," "&amp;'Companies and trusts'!$C$54)</f>
      </c>
    </row>
    <row r="33" spans="3:3" x14ac:dyDescent="0.25">
      <c r="C33">
        <f>IF('Companies and trusts'!$C$99="",""," "&amp;'Companies and trusts'!$C$99)</f>
      </c>
    </row>
    <row r="34" spans="3:3" x14ac:dyDescent="0.25">
      <c r="C34">
        <f>IF('Companies and trusts'!$C$144="",""," "&amp;'Companies and trusts'!$C$144)</f>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row>
    <row r="20" spans="2:3" x14ac:dyDescent="0.25">
      <c r="B20" s="7" t="s">
        <v>14</v>
      </c>
      <c r="C20" s="11"/>
    </row>
    <row r="21" spans="2:3" x14ac:dyDescent="0.25">
      <c r="B21" s="7" t="s">
        <v>15</v>
      </c>
      <c r="C21" s="10"/>
    </row>
  </sheetData>
  <sheetProtection sheet="1" formatRows="0"/>
  <mergeCells count="8">
    <mergeCell ref="B1:F1"/>
    <mergeCell ref="B2:F2"/>
    <mergeCell ref="B7:F7"/>
    <mergeCell ref="B8:F8"/>
    <mergeCell ref="B9:F9"/>
    <mergeCell ref="B10:F10"/>
    <mergeCell ref="B11:F11"/>
    <mergeCell ref="B12:F12"/>
  </mergeCells>
  <dataValidations count="3">
    <dataValidation sqref="C15"/>
    <dataValidation type="date" allowBlank="1" showErrorMessage="1" errorStyle="stop" errorTitle="Date" error="Please type a date like 2012-03-31. If you only know the year, type the 1st of January of that year and say so in Notes." sqref="C19">
      <formula1>7306</formula1>
      <formula2>73415</formula2>
    </dataValidation>
    <dataValidation type="date" allowBlank="1" showErrorMessage="1" errorStyle="stop" errorTitle="Date" error="Please type a date like 2012-03-31. If you only know the year, type the 1st of January of that year and say so in Notes." sqref="C21">
      <formula1>7306</formula1>
      <formula2>73415</formula2>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16</v>
      </c>
    </row>
    <row r="5" ht="26" customHeight="1" spans="2:3" x14ac:dyDescent="0.25">
      <c r="B5" s="12" t="s">
        <v>17</v>
      </c>
      <c r="C5" s="12"/>
    </row>
    <row r="7" hidden="1" spans="2:26" x14ac:dyDescent="0.25">
      <c r="B7" t="s">
        <v>18</v>
      </c>
      <c r="C7" t="s">
        <v>19</v>
      </c>
      <c r="Z7" t="s">
        <v>20</v>
      </c>
    </row>
    <row r="8" ht="30" customHeight="1" spans="2:3" x14ac:dyDescent="0.25">
      <c r="B8" s="13" t="s">
        <v>21</v>
      </c>
      <c r="C8" s="13" t="s">
        <v>22</v>
      </c>
    </row>
    <row r="9" ht="20" customHeight="1" spans="2:3" x14ac:dyDescent="0.25">
      <c r="B9" s="11"/>
      <c r="C9" s="11"/>
    </row>
    <row r="10" ht="20" customHeight="1" spans="2:3" x14ac:dyDescent="0.25">
      <c r="B10" s="11"/>
      <c r="C10" s="11"/>
    </row>
    <row r="11" ht="20" customHeight="1" spans="2:3" x14ac:dyDescent="0.25">
      <c r="B11" s="11"/>
      <c r="C11" s="11"/>
    </row>
    <row r="12" ht="20" customHeight="1" spans="2:3" x14ac:dyDescent="0.25">
      <c r="B12" s="11"/>
      <c r="C12" s="11"/>
    </row>
    <row r="13" ht="20" customHeight="1" spans="2:3" x14ac:dyDescent="0.25">
      <c r="B13" s="11"/>
      <c r="C13" s="11"/>
    </row>
    <row r="14" ht="20" customHeight="1" spans="2:3" x14ac:dyDescent="0.25">
      <c r="B14" s="11"/>
      <c r="C14" s="11"/>
    </row>
    <row r="15" ht="20" customHeight="1" spans="2:3" x14ac:dyDescent="0.25">
      <c r="B15" s="11"/>
      <c r="C15" s="11"/>
    </row>
    <row r="16" ht="20" customHeight="1" spans="2:3" x14ac:dyDescent="0.25">
      <c r="B16" s="11"/>
      <c r="C16" s="11"/>
    </row>
    <row r="17" ht="20" customHeight="1" spans="2:3" x14ac:dyDescent="0.25">
      <c r="B17" s="11"/>
      <c r="C17" s="11"/>
    </row>
    <row r="18" ht="20" customHeight="1" spans="2:3" x14ac:dyDescent="0.25">
      <c r="B18" s="11"/>
      <c r="C18" s="11"/>
    </row>
    <row r="19" ht="20" customHeight="1" spans="2:3" x14ac:dyDescent="0.25">
      <c r="B19" s="11"/>
      <c r="C19" s="11"/>
    </row>
    <row r="20" ht="20" customHeight="1" spans="2:3" x14ac:dyDescent="0.25">
      <c r="B20" s="11"/>
      <c r="C20" s="11"/>
    </row>
    <row r="21" ht="20" customHeight="1" spans="2:3" x14ac:dyDescent="0.25">
      <c r="B21" s="11"/>
      <c r="C21" s="11"/>
    </row>
    <row r="22" ht="20" customHeight="1" spans="2:3" x14ac:dyDescent="0.25">
      <c r="B22" s="11"/>
      <c r="C22" s="11"/>
    </row>
    <row r="23" ht="20" customHeight="1" spans="2:3" x14ac:dyDescent="0.25">
      <c r="B23" s="11"/>
      <c r="C23" s="11"/>
    </row>
    <row r="24" ht="20" customHeight="1" spans="2:3" x14ac:dyDescent="0.25">
      <c r="B24" s="11"/>
      <c r="C24" s="11"/>
    </row>
    <row r="25" ht="20" customHeight="1" spans="2:3" x14ac:dyDescent="0.25">
      <c r="B25" s="11"/>
      <c r="C25" s="11"/>
    </row>
    <row r="26" ht="20" customHeight="1" spans="2:3" x14ac:dyDescent="0.25">
      <c r="B26" s="11"/>
      <c r="C26" s="11"/>
    </row>
    <row r="27" ht="20" customHeight="1" spans="2:3" x14ac:dyDescent="0.25">
      <c r="B27" s="11"/>
      <c r="C27" s="11"/>
    </row>
    <row r="28" ht="20" customHeight="1" spans="2:3" x14ac:dyDescent="0.25">
      <c r="B28" s="11"/>
      <c r="C28" s="11"/>
    </row>
    <row r="29" ht="20" customHeight="1" spans="2:3" x14ac:dyDescent="0.25">
      <c r="B29" s="11"/>
      <c r="C29" s="11"/>
    </row>
    <row r="30" ht="20" customHeight="1" spans="2:3" x14ac:dyDescent="0.25">
      <c r="B30" s="11"/>
      <c r="C30" s="11"/>
    </row>
    <row r="31" ht="20" customHeight="1" spans="2:3" x14ac:dyDescent="0.25">
      <c r="B31" s="11"/>
      <c r="C31" s="11"/>
    </row>
    <row r="32" ht="20" customHeight="1" spans="2:3" x14ac:dyDescent="0.25">
      <c r="B32" s="11"/>
      <c r="C32" s="11"/>
    </row>
    <row r="33" ht="20" customHeight="1" spans="2:3" x14ac:dyDescent="0.25">
      <c r="B33" s="11"/>
      <c r="C33" s="11"/>
    </row>
    <row r="34" ht="20" customHeight="1" spans="2:3" x14ac:dyDescent="0.25">
      <c r="B34" s="11"/>
      <c r="C34" s="11"/>
    </row>
    <row r="35" ht="20" customHeight="1" spans="2:3" x14ac:dyDescent="0.25">
      <c r="B35" s="11"/>
      <c r="C35" s="11"/>
    </row>
    <row r="36" ht="20" customHeight="1" spans="2:3" x14ac:dyDescent="0.25">
      <c r="B36" s="11"/>
      <c r="C36" s="11"/>
    </row>
    <row r="37" ht="20" customHeight="1" spans="2:3" x14ac:dyDescent="0.25">
      <c r="B37" s="11"/>
      <c r="C37" s="11"/>
    </row>
    <row r="38" ht="20" customHeight="1" spans="2:3" x14ac:dyDescent="0.25">
      <c r="B38" s="11"/>
      <c r="C38" s="11"/>
    </row>
    <row r="39" ht="20" customHeight="1" spans="2:3" x14ac:dyDescent="0.25">
      <c r="B39" s="11"/>
      <c r="C39" s="11"/>
    </row>
    <row r="40" ht="20" customHeight="1" spans="2:3" x14ac:dyDescent="0.25">
      <c r="B40" s="11"/>
      <c r="C40" s="11"/>
    </row>
    <row r="41" ht="20" customHeight="1" spans="2:3" x14ac:dyDescent="0.25">
      <c r="B41" s="11"/>
      <c r="C41" s="11"/>
    </row>
    <row r="42" ht="20" customHeight="1" spans="2:3" x14ac:dyDescent="0.25">
      <c r="B42" s="11"/>
      <c r="C42" s="11"/>
    </row>
    <row r="43" ht="20" customHeight="1" spans="2:3" x14ac:dyDescent="0.25">
      <c r="B43" s="11"/>
      <c r="C43" s="11"/>
    </row>
    <row r="44" ht="20" customHeight="1" spans="2:3" x14ac:dyDescent="0.25">
      <c r="B44" s="11"/>
      <c r="C44" s="11"/>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23</v>
      </c>
    </row>
    <row r="5" ht="15" customHeight="1" spans="2:7" x14ac:dyDescent="0.25">
      <c r="B5" s="12" t="s">
        <v>24</v>
      </c>
      <c r="C5" s="12"/>
      <c r="D5" s="12"/>
      <c r="E5" s="12"/>
      <c r="F5" s="12"/>
      <c r="G5" s="12"/>
    </row>
    <row r="7" ht="18" customHeight="1" spans="2:7" x14ac:dyDescent="0.25">
      <c r="B7" s="4" t="s">
        <v>25</v>
      </c>
      <c r="C7" s="5"/>
      <c r="D7" s="5"/>
      <c r="E7" s="5"/>
      <c r="F7" s="5"/>
      <c r="G7" s="5"/>
    </row>
    <row r="8" spans="2:4" x14ac:dyDescent="0.25">
      <c r="B8" s="13" t="s">
        <v>26</v>
      </c>
      <c r="C8" s="13">
        <f>IF(TRIM(C10&amp;" "&amp;C11)="","You",TRIM(C10&amp;" "&amp;C11))</f>
      </c>
      <c r="D8" s="13">
        <f>IF(TRIM(D10&amp;" "&amp;D11)="","Your spouse or partner",TRIM(D10&amp;" "&amp;D11))</f>
      </c>
    </row>
    <row r="9" spans="2:4" x14ac:dyDescent="0.25">
      <c r="B9" s="7" t="s">
        <v>27</v>
      </c>
      <c r="C9" s="14"/>
      <c r="D9" s="9"/>
    </row>
    <row r="10" spans="2:4" x14ac:dyDescent="0.25">
      <c r="B10" s="7" t="s">
        <v>28</v>
      </c>
      <c r="C10" s="11"/>
      <c r="D10" s="11"/>
    </row>
    <row r="11" spans="2:4" x14ac:dyDescent="0.25">
      <c r="B11" s="7" t="s">
        <v>29</v>
      </c>
      <c r="C11" s="11"/>
      <c r="D11" s="11"/>
    </row>
    <row r="12" spans="2:4" x14ac:dyDescent="0.25">
      <c r="B12" s="7" t="s">
        <v>30</v>
      </c>
      <c r="C12" s="11"/>
      <c r="D12" s="9"/>
    </row>
    <row r="13" spans="2:4" x14ac:dyDescent="0.25">
      <c r="B13" s="7" t="s">
        <v>31</v>
      </c>
      <c r="C13" s="15"/>
      <c r="D13" s="15"/>
    </row>
    <row r="14" spans="2:4" x14ac:dyDescent="0.25">
      <c r="B14" s="16" t="s">
        <v>32</v>
      </c>
      <c r="C14" s="17">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7">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6" t="s">
        <v>33</v>
      </c>
      <c r="C15" s="18">
        <f>IF(LEFT(C14,1)="✓",DATE(IF(VALUE(LEFT(C13,2))&lt;30,2000,1900)+VALUE(LEFT(C13,2)),VALUE(MID(C13,3,2)),VALUE(MID(C13,5,2))),IF(C16="","",C16))</f>
      </c>
      <c r="D15" s="18">
        <f>IF(LEFT(D14,1)="✓",DATE(IF(VALUE(LEFT(D13,2))&lt;30,2000,1900)+VALUE(LEFT(D13,2)),VALUE(MID(D13,3,2)),VALUE(MID(D13,5,2))),IF(D16="","",D16))</f>
      </c>
    </row>
    <row r="16" spans="2:4" x14ac:dyDescent="0.25">
      <c r="B16" s="7" t="s">
        <v>34</v>
      </c>
      <c r="C16" s="10"/>
      <c r="D16" s="10"/>
    </row>
    <row r="17" spans="2:4" x14ac:dyDescent="0.25">
      <c r="B17" s="7" t="s">
        <v>35</v>
      </c>
      <c r="C17" s="14"/>
      <c r="D17" s="9"/>
    </row>
    <row r="18" spans="2:4" x14ac:dyDescent="0.25">
      <c r="B18" s="7" t="s">
        <v>36</v>
      </c>
      <c r="C18" s="14"/>
      <c r="D18" s="9"/>
    </row>
    <row r="19" spans="2:4" x14ac:dyDescent="0.25">
      <c r="B19" s="7" t="s">
        <v>37</v>
      </c>
      <c r="C19" s="15"/>
      <c r="D19" s="15"/>
    </row>
    <row r="20" spans="2:4" x14ac:dyDescent="0.25">
      <c r="B20" s="7" t="s">
        <v>38</v>
      </c>
      <c r="C20" s="11"/>
      <c r="D20" s="11"/>
    </row>
    <row r="21" spans="2:4" x14ac:dyDescent="0.25">
      <c r="B21" s="7" t="s">
        <v>39</v>
      </c>
      <c r="C21" s="15"/>
      <c r="D21" s="9"/>
    </row>
    <row r="22" spans="2:4" x14ac:dyDescent="0.25">
      <c r="B22" s="7" t="s">
        <v>40</v>
      </c>
      <c r="C22" s="15"/>
      <c r="D22" s="9"/>
    </row>
    <row r="23" ht="30" customHeight="1" spans="2:4" x14ac:dyDescent="0.25">
      <c r="B23" s="7" t="s">
        <v>41</v>
      </c>
      <c r="C23" s="11"/>
      <c r="D23" s="9"/>
    </row>
    <row r="24" ht="30" customHeight="1" spans="2:4" x14ac:dyDescent="0.25">
      <c r="B24" s="7" t="s">
        <v>42</v>
      </c>
      <c r="C24" s="11"/>
      <c r="D24" s="9"/>
    </row>
    <row r="25" spans="2:4" x14ac:dyDescent="0.25">
      <c r="B25" s="7" t="s">
        <v>43</v>
      </c>
      <c r="C25" s="11"/>
      <c r="D25" s="11"/>
    </row>
    <row r="26" spans="2:4" x14ac:dyDescent="0.25">
      <c r="B26" s="7" t="s">
        <v>44</v>
      </c>
      <c r="C26" s="11"/>
      <c r="D26" s="9"/>
    </row>
    <row r="27" ht="30" customHeight="1" spans="2:4" x14ac:dyDescent="0.25">
      <c r="B27" s="7" t="s">
        <v>45</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46</v>
      </c>
      <c r="C28" s="9"/>
      <c r="D28" s="14"/>
    </row>
    <row r="29" spans="2:4" x14ac:dyDescent="0.25">
      <c r="B29" s="7" t="s">
        <v>47</v>
      </c>
      <c r="C29" s="15"/>
      <c r="D29" s="9"/>
    </row>
    <row r="30" spans="2:4" x14ac:dyDescent="0.25">
      <c r="B30" s="7" t="s">
        <v>48</v>
      </c>
      <c r="C30" s="14"/>
      <c r="D30" s="9"/>
    </row>
    <row r="31" spans="2:4" x14ac:dyDescent="0.25">
      <c r="B31" s="7" t="s">
        <v>49</v>
      </c>
      <c r="C31" s="11"/>
      <c r="D31" s="9"/>
    </row>
    <row r="32" spans="2:4" x14ac:dyDescent="0.25">
      <c r="B32" s="7" t="s">
        <v>50</v>
      </c>
      <c r="C32" s="14"/>
      <c r="D32" s="9"/>
    </row>
    <row r="33" spans="2:4" x14ac:dyDescent="0.25">
      <c r="B33" s="7" t="s">
        <v>51</v>
      </c>
      <c r="C33" s="10"/>
      <c r="D33" s="9"/>
    </row>
    <row r="34" spans="2:4" x14ac:dyDescent="0.25">
      <c r="B34" s="7" t="s">
        <v>52</v>
      </c>
      <c r="C34" s="14"/>
      <c r="D34" s="9"/>
    </row>
    <row r="36" ht="18" customHeight="1" spans="2:7" x14ac:dyDescent="0.25">
      <c r="B36" s="4" t="s">
        <v>53</v>
      </c>
      <c r="C36" s="5"/>
      <c r="D36" s="5"/>
      <c r="E36" s="5"/>
      <c r="F36" s="5"/>
      <c r="G36" s="5"/>
    </row>
    <row r="37" ht="15" customHeight="1" spans="2:7" x14ac:dyDescent="0.25">
      <c r="B37" s="12" t="s">
        <v>54</v>
      </c>
      <c r="C37" s="12"/>
      <c r="D37" s="12"/>
      <c r="E37" s="12"/>
      <c r="F37" s="12"/>
      <c r="G37" s="12"/>
    </row>
    <row r="38" hidden="1" spans="2:26" x14ac:dyDescent="0.25">
      <c r="B38" t="s">
        <v>55</v>
      </c>
      <c r="C38" t="s">
        <v>56</v>
      </c>
      <c r="D38" t="s">
        <v>57</v>
      </c>
      <c r="E38" t="s">
        <v>58</v>
      </c>
      <c r="F38" t="s">
        <v>59</v>
      </c>
      <c r="Z38" t="s">
        <v>20</v>
      </c>
    </row>
    <row r="39" ht="30" customHeight="1" spans="2:7" x14ac:dyDescent="0.25">
      <c r="B39" s="13" t="s">
        <v>60</v>
      </c>
      <c r="C39" s="13" t="s">
        <v>31</v>
      </c>
      <c r="D39" s="13" t="s">
        <v>61</v>
      </c>
      <c r="E39" s="13" t="s">
        <v>62</v>
      </c>
      <c r="F39" s="13" t="s">
        <v>63</v>
      </c>
      <c r="G39" s="13" t="s">
        <v>64</v>
      </c>
    </row>
    <row r="40" ht="15" customHeight="1" spans="2:7" x14ac:dyDescent="0.25">
      <c r="B40" s="11"/>
      <c r="C40" s="15"/>
      <c r="D40" s="10"/>
      <c r="E40" s="14"/>
      <c r="F40" s="14"/>
      <c r="G40" s="20">
        <f>IF(AND(LEN(C40)&lt;&gt;13,D40=""),"",DATEDIF(IF(LEN(C40)=13,IFERROR(DATE(IF(VALUE(LEFT(C40,2))&gt;MOD(YEAR(TODAY()),100),1900,2000)+VALUE(LEFT(C40,2)),VALUE(MID(C40,3,2)),VALUE(MID(C40,5,2))),D40),D40),TODAY(),"Y"))</f>
      </c>
    </row>
    <row r="41" ht="15" customHeight="1" spans="2:7" x14ac:dyDescent="0.25">
      <c r="B41" s="11"/>
      <c r="C41" s="15"/>
      <c r="D41" s="10"/>
      <c r="E41" s="14"/>
      <c r="F41" s="14"/>
      <c r="G41" s="20">
        <f>IF(AND(LEN(C41)&lt;&gt;13,D41=""),"",DATEDIF(IF(LEN(C41)=13,IFERROR(DATE(IF(VALUE(LEFT(C41,2))&gt;MOD(YEAR(TODAY()),100),1900,2000)+VALUE(LEFT(C41,2)),VALUE(MID(C41,3,2)),VALUE(MID(C41,5,2))),D41),D41),TODAY(),"Y"))</f>
      </c>
    </row>
    <row r="42" ht="15" customHeight="1" spans="2:7" x14ac:dyDescent="0.25">
      <c r="B42" s="11"/>
      <c r="C42" s="15"/>
      <c r="D42" s="10"/>
      <c r="E42" s="14"/>
      <c r="F42" s="14"/>
      <c r="G42" s="20">
        <f>IF(AND(LEN(C42)&lt;&gt;13,D42=""),"",DATEDIF(IF(LEN(C42)=13,IFERROR(DATE(IF(VALUE(LEFT(C42,2))&gt;MOD(YEAR(TODAY()),100),1900,2000)+VALUE(LEFT(C42,2)),VALUE(MID(C42,3,2)),VALUE(MID(C42,5,2))),D42),D42),TODAY(),"Y"))</f>
      </c>
    </row>
    <row r="43" ht="15" customHeight="1" spans="2:7" x14ac:dyDescent="0.25">
      <c r="B43" s="11"/>
      <c r="C43" s="15"/>
      <c r="D43" s="10"/>
      <c r="E43" s="14"/>
      <c r="F43" s="14"/>
      <c r="G43" s="20">
        <f>IF(AND(LEN(C43)&lt;&gt;13,D43=""),"",DATEDIF(IF(LEN(C43)=13,IFERROR(DATE(IF(VALUE(LEFT(C43,2))&gt;MOD(YEAR(TODAY()),100),1900,2000)+VALUE(LEFT(C43,2)),VALUE(MID(C43,3,2)),VALUE(MID(C43,5,2))),D43),D43),TODAY(),"Y"))</f>
      </c>
    </row>
    <row r="44" ht="15" customHeight="1" spans="2:7" x14ac:dyDescent="0.25">
      <c r="B44" s="11"/>
      <c r="C44" s="15"/>
      <c r="D44" s="10"/>
      <c r="E44" s="14"/>
      <c r="F44" s="14"/>
      <c r="G44" s="20">
        <f>IF(AND(LEN(C44)&lt;&gt;13,D44=""),"",DATEDIF(IF(LEN(C44)=13,IFERROR(DATE(IF(VALUE(LEFT(C44,2))&gt;MOD(YEAR(TODAY()),100),1900,2000)+VALUE(LEFT(C44,2)),VALUE(MID(C44,3,2)),VALUE(MID(C44,5,2))),D44),D44),TODAY(),"Y"))</f>
      </c>
    </row>
    <row r="45" ht="15" customHeight="1" spans="2:7" x14ac:dyDescent="0.25">
      <c r="B45" s="11"/>
      <c r="C45" s="15"/>
      <c r="D45" s="10"/>
      <c r="E45" s="14"/>
      <c r="F45" s="14"/>
      <c r="G45" s="20">
        <f>IF(AND(LEN(C45)&lt;&gt;13,D45=""),"",DATEDIF(IF(LEN(C45)=13,IFERROR(DATE(IF(VALUE(LEFT(C45,2))&gt;MOD(YEAR(TODAY()),100),1900,2000)+VALUE(LEFT(C45,2)),VALUE(MID(C45,3,2)),VALUE(MID(C45,5,2))),D45),D45),TODAY(),"Y"))</f>
      </c>
    </row>
    <row r="46" ht="15" customHeight="1" spans="2:7" x14ac:dyDescent="0.25">
      <c r="B46" s="11"/>
      <c r="C46" s="15"/>
      <c r="D46" s="10"/>
      <c r="E46" s="14"/>
      <c r="F46" s="14"/>
      <c r="G46" s="20">
        <f>IF(AND(LEN(C46)&lt;&gt;13,D46=""),"",DATEDIF(IF(LEN(C46)=13,IFERROR(DATE(IF(VALUE(LEFT(C46,2))&gt;MOD(YEAR(TODAY()),100),1900,2000)+VALUE(LEFT(C46,2)),VALUE(MID(C46,3,2)),VALUE(MID(C46,5,2))),D46),D46),TODAY(),"Y"))</f>
      </c>
    </row>
    <row r="47" ht="15" customHeight="1" spans="2:7" x14ac:dyDescent="0.25">
      <c r="B47" s="11"/>
      <c r="C47" s="15"/>
      <c r="D47" s="10"/>
      <c r="E47" s="14"/>
      <c r="F47" s="14"/>
      <c r="G47" s="20">
        <f>IF(AND(LEN(C47)&lt;&gt;13,D47=""),"",DATEDIF(IF(LEN(C47)=13,IFERROR(DATE(IF(VALUE(LEFT(C47,2))&gt;MOD(YEAR(TODAY()),100),1900,2000)+VALUE(LEFT(C47,2)),VALUE(MID(C47,3,2)),VALUE(MID(C47,5,2))),D47),D47),TODAY(),"Y"))</f>
      </c>
    </row>
    <row r="49" ht="18" customHeight="1" spans="2:7" x14ac:dyDescent="0.25">
      <c r="B49" s="4" t="s">
        <v>65</v>
      </c>
      <c r="C49" s="5"/>
      <c r="D49" s="5"/>
      <c r="E49" s="5"/>
      <c r="F49" s="5"/>
      <c r="G49" s="5"/>
    </row>
    <row r="50" ht="15" customHeight="1" spans="2:7" x14ac:dyDescent="0.25">
      <c r="B50" s="12" t="s">
        <v>66</v>
      </c>
      <c r="C50" s="12"/>
      <c r="D50" s="12"/>
      <c r="E50" s="12"/>
      <c r="F50" s="12"/>
      <c r="G50" s="12"/>
    </row>
    <row r="51" ht="45" customHeight="1" spans="2:7" x14ac:dyDescent="0.25">
      <c r="B51" s="7" t="s">
        <v>67</v>
      </c>
      <c r="C51" s="11"/>
      <c r="D51" s="11"/>
      <c r="E51" s="11"/>
      <c r="F51" s="11"/>
      <c r="G51" s="11"/>
    </row>
  </sheetData>
  <sheetProtection sheet="1" formatRows="0"/>
  <mergeCells count="6">
    <mergeCell ref="B1:G1"/>
    <mergeCell ref="B2:G2"/>
    <mergeCell ref="B5:G5"/>
    <mergeCell ref="B37:G37"/>
    <mergeCell ref="B50:G50"/>
    <mergeCell ref="C51:G51"/>
  </mergeCells>
  <dataValidations count="12">
    <dataValidation type="date" allowBlank="1" showErrorMessage="1" errorStyle="stop" errorTitle="Date" error="Please type a date like 2012-03-31. If you only know the year, type the 1st of January of that year and say so in Notes." sqref="C16:D16">
      <formula1>7306</formula1>
      <formula2>73415</formula2>
    </dataValidation>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type="date" allowBlank="1" showErrorMessage="1" errorStyle="stop" errorTitle="Date" error="Please type a date like 2012-03-31. If you only know the year, type the 1st of January of that year and say so in Notes." sqref="C33">
      <formula1>7306</formula1>
      <formula2>73415</formula2>
    </dataValidation>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type="date" allowBlank="1" showErrorMessage="1" errorStyle="stop" errorTitle="Date" error="Please type a date like 2012-03-31. If you only know the year, type the 1st of January of that year and say so in Notes." sqref="D40:D47">
      <formula1>7306</formula1>
      <formula2>73415</formula2>
    </dataValidation>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68</v>
      </c>
    </row>
    <row r="6" ht="18" customHeight="1" spans="2:8" x14ac:dyDescent="0.25">
      <c r="B6" s="4" t="s">
        <v>69</v>
      </c>
      <c r="C6" s="5"/>
      <c r="D6" s="5"/>
      <c r="E6" s="5"/>
      <c r="F6" s="5"/>
      <c r="G6" s="5"/>
      <c r="H6" s="5"/>
    </row>
    <row r="7" ht="26" customHeight="1" spans="2:8" x14ac:dyDescent="0.25">
      <c r="B7" s="12" t="s">
        <v>70</v>
      </c>
      <c r="C7" s="12"/>
      <c r="D7" s="12"/>
      <c r="E7" s="12"/>
      <c r="F7" s="12"/>
      <c r="G7" s="12"/>
      <c r="H7" s="12"/>
    </row>
    <row r="8" hidden="1" spans="2:26" x14ac:dyDescent="0.25">
      <c r="B8" t="s">
        <v>71</v>
      </c>
      <c r="C8" t="s">
        <v>72</v>
      </c>
      <c r="D8" t="s">
        <v>73</v>
      </c>
      <c r="E8" t="s">
        <v>74</v>
      </c>
      <c r="F8" t="s">
        <v>75</v>
      </c>
      <c r="G8" t="s">
        <v>76</v>
      </c>
      <c r="H8" t="s">
        <v>77</v>
      </c>
      <c r="Z8" t="s">
        <v>20</v>
      </c>
    </row>
    <row r="9" ht="30" customHeight="1" spans="2:8" x14ac:dyDescent="0.25">
      <c r="B9" s="13" t="s">
        <v>78</v>
      </c>
      <c r="C9" s="13" t="s">
        <v>79</v>
      </c>
      <c r="D9" s="13" t="s">
        <v>58</v>
      </c>
      <c r="E9" s="13" t="s">
        <v>80</v>
      </c>
      <c r="F9" s="13" t="s">
        <v>81</v>
      </c>
      <c r="G9" s="13" t="s">
        <v>82</v>
      </c>
      <c r="H9" s="13" t="s">
        <v>83</v>
      </c>
    </row>
    <row r="10" spans="1:8" x14ac:dyDescent="0.25">
      <c r="B10" s="21" t="s">
        <v>84</v>
      </c>
      <c r="C10" s="21">
        <f>'Lists'!$A$2</f>
      </c>
      <c r="D10" s="21" t="s">
        <v>85</v>
      </c>
      <c r="E10" s="22">
        <v>45000</v>
      </c>
      <c r="F10" s="22">
        <v>45000</v>
      </c>
      <c r="G10" s="21" t="s">
        <v>86</v>
      </c>
      <c r="H10" s="21" t="s">
        <v>87</v>
      </c>
    </row>
    <row r="11" ht="15" customHeight="1" spans="2:8" x14ac:dyDescent="0.25">
      <c r="B11" s="11"/>
      <c r="C11" s="14"/>
      <c r="D11" s="14"/>
      <c r="E11" s="23"/>
      <c r="F11" s="23"/>
      <c r="G11" s="14"/>
      <c r="H11" s="11"/>
    </row>
    <row r="12" ht="15" customHeight="1" spans="2:8" x14ac:dyDescent="0.25">
      <c r="B12" s="11"/>
      <c r="C12" s="14"/>
      <c r="D12" s="14"/>
      <c r="E12" s="23"/>
      <c r="F12" s="23"/>
      <c r="G12" s="14"/>
      <c r="H12" s="11"/>
    </row>
    <row r="13" ht="15" customHeight="1" spans="2:8" x14ac:dyDescent="0.25">
      <c r="B13" s="11"/>
      <c r="C13" s="14"/>
      <c r="D13" s="14"/>
      <c r="E13" s="23"/>
      <c r="F13" s="23"/>
      <c r="G13" s="14"/>
      <c r="H13" s="11"/>
    </row>
    <row r="14" ht="15" customHeight="1" spans="2:8" x14ac:dyDescent="0.25">
      <c r="B14" s="11"/>
      <c r="C14" s="14"/>
      <c r="D14" s="14"/>
      <c r="E14" s="23"/>
      <c r="F14" s="23"/>
      <c r="G14" s="14"/>
      <c r="H14" s="11"/>
    </row>
    <row r="15" ht="15" customHeight="1" spans="2:8" x14ac:dyDescent="0.25">
      <c r="B15" s="11"/>
      <c r="C15" s="14"/>
      <c r="D15" s="14"/>
      <c r="E15" s="23"/>
      <c r="F15" s="23"/>
      <c r="G15" s="14"/>
      <c r="H15" s="11"/>
    </row>
    <row r="16" ht="15" customHeight="1" spans="2:8" x14ac:dyDescent="0.25">
      <c r="B16" s="11"/>
      <c r="C16" s="14"/>
      <c r="D16" s="14"/>
      <c r="E16" s="23"/>
      <c r="F16" s="23"/>
      <c r="G16" s="14"/>
      <c r="H16" s="11"/>
    </row>
    <row r="17" ht="15" customHeight="1" spans="2:8" x14ac:dyDescent="0.25">
      <c r="B17" s="11"/>
      <c r="C17" s="14"/>
      <c r="D17" s="14"/>
      <c r="E17" s="23"/>
      <c r="F17" s="23"/>
      <c r="G17" s="14"/>
      <c r="H17" s="11"/>
    </row>
    <row r="18" ht="15" customHeight="1" spans="2:8" x14ac:dyDescent="0.25">
      <c r="B18" s="11"/>
      <c r="C18" s="14"/>
      <c r="D18" s="14"/>
      <c r="E18" s="23"/>
      <c r="F18" s="23"/>
      <c r="G18" s="14"/>
      <c r="H18" s="11"/>
    </row>
    <row r="19" ht="15" customHeight="1" spans="2:8" x14ac:dyDescent="0.25">
      <c r="B19" s="11"/>
      <c r="C19" s="14"/>
      <c r="D19" s="14"/>
      <c r="E19" s="23"/>
      <c r="F19" s="23"/>
      <c r="G19" s="14"/>
      <c r="H19" s="11"/>
    </row>
    <row r="20" ht="15" customHeight="1" spans="2:8" x14ac:dyDescent="0.25">
      <c r="B20" s="11"/>
      <c r="C20" s="14"/>
      <c r="D20" s="14"/>
      <c r="E20" s="23"/>
      <c r="F20" s="23"/>
      <c r="G20" s="14"/>
      <c r="H20" s="11"/>
    </row>
    <row r="21" spans="2:5" x14ac:dyDescent="0.25">
      <c r="B21" s="24" t="s">
        <v>88</v>
      </c>
      <c r="E21" s="25">
        <f>SUM(E11:E20)</f>
      </c>
    </row>
    <row r="23" ht="18" customHeight="1" spans="2:8" x14ac:dyDescent="0.25">
      <c r="B23" s="4" t="s">
        <v>89</v>
      </c>
      <c r="C23" s="5"/>
      <c r="D23" s="5"/>
      <c r="E23" s="5"/>
      <c r="F23" s="5"/>
      <c r="G23" s="5"/>
      <c r="H23" s="5"/>
    </row>
    <row r="24" ht="15" customHeight="1" spans="2:8" x14ac:dyDescent="0.25">
      <c r="B24" s="12" t="s">
        <v>90</v>
      </c>
      <c r="C24" s="12"/>
      <c r="D24" s="12"/>
      <c r="E24" s="12"/>
      <c r="F24" s="12"/>
      <c r="G24" s="12"/>
      <c r="H24" s="12"/>
    </row>
    <row r="25" hidden="1" spans="2:26" x14ac:dyDescent="0.25">
      <c r="B25" t="s">
        <v>71</v>
      </c>
      <c r="C25" t="s">
        <v>91</v>
      </c>
      <c r="D25" t="s">
        <v>74</v>
      </c>
      <c r="E25" t="s">
        <v>77</v>
      </c>
      <c r="Z25" t="s">
        <v>20</v>
      </c>
    </row>
    <row r="26" ht="30" customHeight="1" spans="2:5" x14ac:dyDescent="0.25">
      <c r="B26" s="13" t="s">
        <v>92</v>
      </c>
      <c r="C26" s="13" t="s">
        <v>93</v>
      </c>
      <c r="D26" s="13" t="s">
        <v>94</v>
      </c>
      <c r="E26" s="13" t="s">
        <v>83</v>
      </c>
    </row>
    <row r="27" spans="1:5" x14ac:dyDescent="0.25">
      <c r="B27" s="21" t="s">
        <v>95</v>
      </c>
      <c r="C27" s="21" t="s">
        <v>96</v>
      </c>
      <c r="D27" s="22">
        <v>18000</v>
      </c>
      <c r="E27" s="21" t="s">
        <v>97</v>
      </c>
    </row>
    <row r="28" ht="15" customHeight="1" spans="2:5" x14ac:dyDescent="0.25">
      <c r="B28" s="11"/>
      <c r="C28" s="14"/>
      <c r="D28" s="23"/>
      <c r="E28" s="11"/>
    </row>
    <row r="29" ht="15" customHeight="1" spans="2:5" x14ac:dyDescent="0.25">
      <c r="B29" s="11"/>
      <c r="C29" s="14"/>
      <c r="D29" s="23"/>
      <c r="E29" s="11"/>
    </row>
    <row r="30" ht="15" customHeight="1" spans="2:5" x14ac:dyDescent="0.25">
      <c r="B30" s="11"/>
      <c r="C30" s="14"/>
      <c r="D30" s="23"/>
      <c r="E30" s="11"/>
    </row>
    <row r="31" ht="15" customHeight="1" spans="2:5" x14ac:dyDescent="0.25">
      <c r="B31" s="11"/>
      <c r="C31" s="14"/>
      <c r="D31" s="23"/>
      <c r="E31" s="11"/>
    </row>
    <row r="32" ht="15" customHeight="1" spans="2:5" x14ac:dyDescent="0.25">
      <c r="B32" s="11"/>
      <c r="C32" s="14"/>
      <c r="D32" s="23"/>
      <c r="E32" s="11"/>
    </row>
    <row r="33" ht="15" customHeight="1" spans="2:5" x14ac:dyDescent="0.25">
      <c r="B33" s="11"/>
      <c r="C33" s="14"/>
      <c r="D33" s="23"/>
      <c r="E33" s="11"/>
    </row>
    <row r="34" ht="15" customHeight="1" spans="2:5" x14ac:dyDescent="0.25">
      <c r="B34" s="11"/>
      <c r="C34" s="14"/>
      <c r="D34" s="23"/>
      <c r="E34" s="11"/>
    </row>
    <row r="35" ht="15" customHeight="1" spans="2:5" x14ac:dyDescent="0.25">
      <c r="B35" s="11"/>
      <c r="C35" s="14"/>
      <c r="D35" s="23"/>
      <c r="E35" s="11"/>
    </row>
    <row r="36" ht="15" customHeight="1" spans="2:5" x14ac:dyDescent="0.25">
      <c r="B36" s="11"/>
      <c r="C36" s="14"/>
      <c r="D36" s="23"/>
      <c r="E36" s="11"/>
    </row>
    <row r="37" ht="15" customHeight="1" spans="2:5" x14ac:dyDescent="0.25">
      <c r="B37" s="11"/>
      <c r="C37" s="14"/>
      <c r="D37" s="23"/>
      <c r="E37" s="11"/>
    </row>
    <row r="38" ht="15" customHeight="1" spans="2:5" x14ac:dyDescent="0.25">
      <c r="B38" s="11"/>
      <c r="C38" s="14"/>
      <c r="D38" s="23"/>
      <c r="E38" s="11"/>
    </row>
    <row r="39" ht="15" customHeight="1" spans="2:5" x14ac:dyDescent="0.25">
      <c r="B39" s="11"/>
      <c r="C39" s="14"/>
      <c r="D39" s="23"/>
      <c r="E39" s="11"/>
    </row>
    <row r="40" ht="15" customHeight="1" spans="2:5" x14ac:dyDescent="0.25">
      <c r="B40" s="11"/>
      <c r="C40" s="14"/>
      <c r="D40" s="23"/>
      <c r="E40" s="11"/>
    </row>
    <row r="41" ht="15" customHeight="1" spans="2:5" x14ac:dyDescent="0.25">
      <c r="B41" s="11"/>
      <c r="C41" s="14"/>
      <c r="D41" s="23"/>
      <c r="E41" s="11"/>
    </row>
    <row r="42" ht="15" customHeight="1" spans="2:5" x14ac:dyDescent="0.25">
      <c r="B42" s="11"/>
      <c r="C42" s="14"/>
      <c r="D42" s="23"/>
      <c r="E42" s="11"/>
    </row>
    <row r="43" spans="2:4" x14ac:dyDescent="0.25">
      <c r="B43" s="24" t="s">
        <v>98</v>
      </c>
      <c r="D43" s="25">
        <f>SUM(D28:D42)</f>
      </c>
    </row>
    <row r="45" ht="18" customHeight="1" spans="2:8" x14ac:dyDescent="0.25">
      <c r="B45" s="4" t="s">
        <v>99</v>
      </c>
      <c r="C45" s="5"/>
      <c r="D45" s="5"/>
      <c r="E45" s="5"/>
      <c r="F45" s="5"/>
      <c r="G45" s="5"/>
      <c r="H45" s="5"/>
    </row>
    <row r="46" spans="2:3" x14ac:dyDescent="0.25">
      <c r="B46" s="7" t="s">
        <v>100</v>
      </c>
      <c r="C46" s="19">
        <f>E21</f>
      </c>
    </row>
    <row r="47" spans="2:3" x14ac:dyDescent="0.25">
      <c r="B47" s="7" t="s">
        <v>101</v>
      </c>
      <c r="C47" s="19">
        <f>D43</f>
      </c>
    </row>
    <row r="48" spans="2:3" x14ac:dyDescent="0.25">
      <c r="B48" s="24" t="s">
        <v>102</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7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103</v>
      </c>
    </row>
    <row r="5" ht="15" customHeight="1" spans="2:17" x14ac:dyDescent="0.25">
      <c r="B5" s="12" t="s">
        <v>104</v>
      </c>
      <c r="C5" s="12"/>
      <c r="D5" s="12"/>
      <c r="E5" s="12"/>
      <c r="F5" s="12"/>
      <c r="G5" s="12"/>
      <c r="H5" s="12"/>
      <c r="I5" s="12"/>
      <c r="J5" s="12"/>
      <c r="K5" s="12"/>
      <c r="L5" s="12"/>
      <c r="M5" s="12"/>
      <c r="N5" s="12"/>
      <c r="O5" s="12"/>
      <c r="P5" s="12"/>
      <c r="Q5" s="12"/>
    </row>
    <row r="7" ht="18" customHeight="1" spans="2:17" x14ac:dyDescent="0.25">
      <c r="B7" s="4" t="s">
        <v>105</v>
      </c>
      <c r="C7" s="5"/>
      <c r="D7" s="5"/>
      <c r="E7" s="5"/>
      <c r="F7" s="5"/>
      <c r="G7" s="5"/>
      <c r="H7" s="5"/>
      <c r="I7" s="5"/>
      <c r="J7" s="5"/>
      <c r="K7" s="5"/>
      <c r="L7" s="5"/>
      <c r="M7" s="5"/>
      <c r="N7" s="5"/>
      <c r="O7" s="5"/>
      <c r="P7" s="5"/>
      <c r="Q7" s="5"/>
    </row>
    <row r="8" ht="26" customHeight="1" spans="2:17" x14ac:dyDescent="0.25">
      <c r="B8" s="12" t="s">
        <v>106</v>
      </c>
      <c r="C8" s="12"/>
      <c r="D8" s="12"/>
      <c r="E8" s="12"/>
      <c r="F8" s="12"/>
      <c r="G8" s="12"/>
      <c r="H8" s="12"/>
      <c r="I8" s="12"/>
      <c r="J8" s="12"/>
      <c r="K8" s="12"/>
      <c r="L8" s="12"/>
      <c r="M8" s="12"/>
      <c r="N8" s="12"/>
      <c r="O8" s="12"/>
      <c r="P8" s="12"/>
      <c r="Q8" s="12"/>
    </row>
    <row r="9" hidden="1" spans="2:26" x14ac:dyDescent="0.25">
      <c r="B9" t="s">
        <v>71</v>
      </c>
      <c r="C9" t="s">
        <v>72</v>
      </c>
      <c r="D9" t="s">
        <v>107</v>
      </c>
      <c r="E9" t="s">
        <v>108</v>
      </c>
      <c r="F9" t="s">
        <v>109</v>
      </c>
      <c r="G9" t="s">
        <v>110</v>
      </c>
      <c r="H9" t="s">
        <v>111</v>
      </c>
      <c r="I9" t="s">
        <v>112</v>
      </c>
      <c r="J9" t="s">
        <v>113</v>
      </c>
      <c r="K9" t="s">
        <v>114</v>
      </c>
      <c r="L9" t="s">
        <v>115</v>
      </c>
      <c r="M9" t="s">
        <v>116</v>
      </c>
      <c r="N9" t="s">
        <v>117</v>
      </c>
      <c r="O9" t="s">
        <v>118</v>
      </c>
      <c r="P9" t="s">
        <v>119</v>
      </c>
      <c r="Q9" t="s">
        <v>77</v>
      </c>
      <c r="Z9" t="s">
        <v>20</v>
      </c>
    </row>
    <row r="10" ht="30" customHeight="1" spans="2:17" x14ac:dyDescent="0.25">
      <c r="B10" s="13" t="s">
        <v>120</v>
      </c>
      <c r="C10" s="13" t="s">
        <v>121</v>
      </c>
      <c r="D10" s="13" t="s">
        <v>122</v>
      </c>
      <c r="E10" s="13" t="s">
        <v>123</v>
      </c>
      <c r="F10" s="13" t="s">
        <v>124</v>
      </c>
      <c r="G10" s="13" t="s">
        <v>125</v>
      </c>
      <c r="H10" s="13" t="s">
        <v>126</v>
      </c>
      <c r="I10" s="13" t="s">
        <v>127</v>
      </c>
      <c r="J10" s="13" t="s">
        <v>128</v>
      </c>
      <c r="K10" s="13" t="s">
        <v>129</v>
      </c>
      <c r="L10" s="13" t="s">
        <v>130</v>
      </c>
      <c r="M10" s="13" t="s">
        <v>131</v>
      </c>
      <c r="N10" s="13" t="s">
        <v>132</v>
      </c>
      <c r="O10" s="13" t="s">
        <v>133</v>
      </c>
      <c r="P10" s="13" t="s">
        <v>134</v>
      </c>
      <c r="Q10" s="13" t="s">
        <v>83</v>
      </c>
    </row>
    <row r="11" spans="1:17" x14ac:dyDescent="0.25">
      <c r="B11" s="21" t="s">
        <v>135</v>
      </c>
      <c r="C11" s="21" t="s">
        <v>136</v>
      </c>
      <c r="D11" s="22">
        <v>3500000</v>
      </c>
      <c r="E11" s="26">
        <v>46295</v>
      </c>
      <c r="F11" s="22">
        <v>1800000</v>
      </c>
      <c r="G11" s="26">
        <v>41030</v>
      </c>
      <c r="H11" s="22">
        <v>1200000</v>
      </c>
      <c r="I11" s="22">
        <v>14500</v>
      </c>
      <c r="J11" s="22" t="s">
        <v>97</v>
      </c>
      <c r="K11" s="21" t="s">
        <v>86</v>
      </c>
      <c r="L11" s="21" t="s">
        <v>137</v>
      </c>
      <c r="M11" s="21" t="s">
        <v>97</v>
      </c>
      <c r="N11" s="21" t="s">
        <v>138</v>
      </c>
      <c r="O11" s="21" t="s">
        <v>138</v>
      </c>
      <c r="P11" s="21" t="s">
        <v>139</v>
      </c>
      <c r="Q11" s="21" t="s">
        <v>140</v>
      </c>
    </row>
    <row r="12" ht="15" customHeight="1" spans="2:17" x14ac:dyDescent="0.25">
      <c r="B12" s="11"/>
      <c r="C12" s="14"/>
      <c r="D12" s="23"/>
      <c r="E12" s="10"/>
      <c r="F12" s="23"/>
      <c r="G12" s="10"/>
      <c r="H12" s="23"/>
      <c r="I12" s="23"/>
      <c r="J12" s="23"/>
      <c r="K12" s="14"/>
      <c r="L12" s="14"/>
      <c r="M12" s="11"/>
      <c r="N12" s="14"/>
      <c r="O12" s="14"/>
      <c r="P12" s="14"/>
      <c r="Q12" s="11"/>
    </row>
    <row r="13" ht="15" customHeight="1" spans="2:17" x14ac:dyDescent="0.25">
      <c r="B13" s="11"/>
      <c r="C13" s="14"/>
      <c r="D13" s="23"/>
      <c r="E13" s="10"/>
      <c r="F13" s="23"/>
      <c r="G13" s="10"/>
      <c r="H13" s="23"/>
      <c r="I13" s="23"/>
      <c r="J13" s="23"/>
      <c r="K13" s="14"/>
      <c r="L13" s="14"/>
      <c r="M13" s="11"/>
      <c r="N13" s="14"/>
      <c r="O13" s="14"/>
      <c r="P13" s="14"/>
      <c r="Q13" s="11"/>
    </row>
    <row r="14" ht="15" customHeight="1" spans="2:17" x14ac:dyDescent="0.25">
      <c r="B14" s="11"/>
      <c r="C14" s="14"/>
      <c r="D14" s="23"/>
      <c r="E14" s="10"/>
      <c r="F14" s="23"/>
      <c r="G14" s="10"/>
      <c r="H14" s="23"/>
      <c r="I14" s="23"/>
      <c r="J14" s="23"/>
      <c r="K14" s="14"/>
      <c r="L14" s="14"/>
      <c r="M14" s="11"/>
      <c r="N14" s="14"/>
      <c r="O14" s="14"/>
      <c r="P14" s="14"/>
      <c r="Q14" s="11"/>
    </row>
    <row r="15" ht="15" customHeight="1" spans="2:17" x14ac:dyDescent="0.25">
      <c r="B15" s="11"/>
      <c r="C15" s="14"/>
      <c r="D15" s="23"/>
      <c r="E15" s="10"/>
      <c r="F15" s="23"/>
      <c r="G15" s="10"/>
      <c r="H15" s="23"/>
      <c r="I15" s="23"/>
      <c r="J15" s="23"/>
      <c r="K15" s="14"/>
      <c r="L15" s="14"/>
      <c r="M15" s="11"/>
      <c r="N15" s="14"/>
      <c r="O15" s="14"/>
      <c r="P15" s="14"/>
      <c r="Q15" s="11"/>
    </row>
    <row r="16" ht="15" customHeight="1" spans="2:17" x14ac:dyDescent="0.25">
      <c r="B16" s="11"/>
      <c r="C16" s="14"/>
      <c r="D16" s="23"/>
      <c r="E16" s="10"/>
      <c r="F16" s="23"/>
      <c r="G16" s="10"/>
      <c r="H16" s="23"/>
      <c r="I16" s="23"/>
      <c r="J16" s="23"/>
      <c r="K16" s="14"/>
      <c r="L16" s="14"/>
      <c r="M16" s="11"/>
      <c r="N16" s="14"/>
      <c r="O16" s="14"/>
      <c r="P16" s="14"/>
      <c r="Q16" s="11"/>
    </row>
    <row r="17" ht="15" customHeight="1" spans="2:17" x14ac:dyDescent="0.25">
      <c r="B17" s="11"/>
      <c r="C17" s="14"/>
      <c r="D17" s="23"/>
      <c r="E17" s="10"/>
      <c r="F17" s="23"/>
      <c r="G17" s="10"/>
      <c r="H17" s="23"/>
      <c r="I17" s="23"/>
      <c r="J17" s="23"/>
      <c r="K17" s="14"/>
      <c r="L17" s="14"/>
      <c r="M17" s="11"/>
      <c r="N17" s="14"/>
      <c r="O17" s="14"/>
      <c r="P17" s="14"/>
      <c r="Q17" s="11"/>
    </row>
    <row r="18" ht="15" customHeight="1" spans="2:17" x14ac:dyDescent="0.25">
      <c r="B18" s="11"/>
      <c r="C18" s="14"/>
      <c r="D18" s="23"/>
      <c r="E18" s="10"/>
      <c r="F18" s="23"/>
      <c r="G18" s="10"/>
      <c r="H18" s="23"/>
      <c r="I18" s="23"/>
      <c r="J18" s="23"/>
      <c r="K18" s="14"/>
      <c r="L18" s="14"/>
      <c r="M18" s="11"/>
      <c r="N18" s="14"/>
      <c r="O18" s="14"/>
      <c r="P18" s="14"/>
      <c r="Q18" s="11"/>
    </row>
    <row r="19" ht="15" customHeight="1" spans="2:17" x14ac:dyDescent="0.25">
      <c r="B19" s="11"/>
      <c r="C19" s="14"/>
      <c r="D19" s="23"/>
      <c r="E19" s="10"/>
      <c r="F19" s="23"/>
      <c r="G19" s="10"/>
      <c r="H19" s="23"/>
      <c r="I19" s="23"/>
      <c r="J19" s="23"/>
      <c r="K19" s="14"/>
      <c r="L19" s="14"/>
      <c r="M19" s="11"/>
      <c r="N19" s="14"/>
      <c r="O19" s="14"/>
      <c r="P19" s="14"/>
      <c r="Q19" s="11"/>
    </row>
    <row r="21" ht="18" customHeight="1" spans="2:17" x14ac:dyDescent="0.25">
      <c r="B21" s="4" t="s">
        <v>141</v>
      </c>
      <c r="C21" s="5"/>
      <c r="D21" s="5"/>
      <c r="E21" s="5"/>
      <c r="F21" s="5"/>
      <c r="G21" s="5"/>
      <c r="H21" s="5"/>
      <c r="I21" s="5"/>
      <c r="J21" s="5"/>
      <c r="K21" s="5"/>
      <c r="L21" s="5"/>
      <c r="M21" s="5"/>
      <c r="N21" s="5"/>
      <c r="O21" s="5"/>
      <c r="P21" s="5"/>
      <c r="Q21" s="5"/>
    </row>
    <row r="22" ht="15" customHeight="1" spans="2:17" x14ac:dyDescent="0.25">
      <c r="B22" s="12" t="s">
        <v>142</v>
      </c>
      <c r="C22" s="12"/>
      <c r="D22" s="12"/>
      <c r="E22" s="12"/>
      <c r="F22" s="12"/>
      <c r="G22" s="12"/>
      <c r="H22" s="12"/>
      <c r="I22" s="12"/>
      <c r="J22" s="12"/>
      <c r="K22" s="12"/>
      <c r="L22" s="12"/>
      <c r="M22" s="12"/>
      <c r="N22" s="12"/>
      <c r="O22" s="12"/>
      <c r="P22" s="12"/>
      <c r="Q22" s="12"/>
    </row>
    <row r="23" hidden="1" spans="2:26" x14ac:dyDescent="0.25">
      <c r="B23" t="s">
        <v>71</v>
      </c>
      <c r="C23" t="s">
        <v>72</v>
      </c>
      <c r="D23" t="s">
        <v>107</v>
      </c>
      <c r="E23" t="s">
        <v>143</v>
      </c>
      <c r="F23" t="s">
        <v>144</v>
      </c>
      <c r="G23" t="s">
        <v>115</v>
      </c>
      <c r="H23" t="s">
        <v>116</v>
      </c>
      <c r="I23" t="s">
        <v>117</v>
      </c>
      <c r="J23" t="s">
        <v>119</v>
      </c>
      <c r="K23" t="s">
        <v>77</v>
      </c>
      <c r="Z23" t="s">
        <v>20</v>
      </c>
    </row>
    <row r="24" ht="30" customHeight="1" spans="2:11" x14ac:dyDescent="0.25">
      <c r="B24" s="13" t="s">
        <v>145</v>
      </c>
      <c r="C24" s="13" t="s">
        <v>121</v>
      </c>
      <c r="D24" s="13" t="s">
        <v>146</v>
      </c>
      <c r="E24" s="13" t="s">
        <v>147</v>
      </c>
      <c r="F24" s="13" t="s">
        <v>148</v>
      </c>
      <c r="G24" s="13" t="s">
        <v>130</v>
      </c>
      <c r="H24" s="13" t="s">
        <v>131</v>
      </c>
      <c r="I24" s="13" t="s">
        <v>132</v>
      </c>
      <c r="J24" s="13" t="s">
        <v>134</v>
      </c>
      <c r="K24" s="13" t="s">
        <v>83</v>
      </c>
    </row>
    <row r="25" spans="1:11" x14ac:dyDescent="0.25">
      <c r="B25" s="21" t="s">
        <v>149</v>
      </c>
      <c r="C25" s="21">
        <f>'Lists'!$A$2</f>
      </c>
      <c r="D25" s="22">
        <v>520000</v>
      </c>
      <c r="E25" s="22">
        <v>180000</v>
      </c>
      <c r="F25" s="22">
        <v>9800</v>
      </c>
      <c r="G25" s="21" t="s">
        <v>137</v>
      </c>
      <c r="H25" s="21" t="s">
        <v>97</v>
      </c>
      <c r="I25" s="21" t="s">
        <v>138</v>
      </c>
      <c r="J25" s="21" t="s">
        <v>139</v>
      </c>
      <c r="K25" s="21" t="s">
        <v>97</v>
      </c>
    </row>
    <row r="26" ht="15" customHeight="1" spans="2:11" x14ac:dyDescent="0.25">
      <c r="B26" s="11"/>
      <c r="C26" s="14"/>
      <c r="D26" s="23"/>
      <c r="E26" s="23"/>
      <c r="F26" s="23"/>
      <c r="G26" s="14"/>
      <c r="H26" s="11"/>
      <c r="I26" s="14"/>
      <c r="J26" s="14"/>
      <c r="K26" s="11"/>
    </row>
    <row r="27" ht="15" customHeight="1" spans="2:11" x14ac:dyDescent="0.25">
      <c r="B27" s="11"/>
      <c r="C27" s="14"/>
      <c r="D27" s="23"/>
      <c r="E27" s="23"/>
      <c r="F27" s="23"/>
      <c r="G27" s="14"/>
      <c r="H27" s="11"/>
      <c r="I27" s="14"/>
      <c r="J27" s="14"/>
      <c r="K27" s="11"/>
    </row>
    <row r="28" ht="15" customHeight="1" spans="2:11" x14ac:dyDescent="0.25">
      <c r="B28" s="11"/>
      <c r="C28" s="14"/>
      <c r="D28" s="23"/>
      <c r="E28" s="23"/>
      <c r="F28" s="23"/>
      <c r="G28" s="14"/>
      <c r="H28" s="11"/>
      <c r="I28" s="14"/>
      <c r="J28" s="14"/>
      <c r="K28" s="11"/>
    </row>
    <row r="29" ht="15" customHeight="1" spans="2:11" x14ac:dyDescent="0.25">
      <c r="B29" s="11"/>
      <c r="C29" s="14"/>
      <c r="D29" s="23"/>
      <c r="E29" s="23"/>
      <c r="F29" s="23"/>
      <c r="G29" s="14"/>
      <c r="H29" s="11"/>
      <c r="I29" s="14"/>
      <c r="J29" s="14"/>
      <c r="K29" s="11"/>
    </row>
    <row r="30" ht="15" customHeight="1" spans="2:11" x14ac:dyDescent="0.25">
      <c r="B30" s="11"/>
      <c r="C30" s="14"/>
      <c r="D30" s="23"/>
      <c r="E30" s="23"/>
      <c r="F30" s="23"/>
      <c r="G30" s="14"/>
      <c r="H30" s="11"/>
      <c r="I30" s="14"/>
      <c r="J30" s="14"/>
      <c r="K30" s="11"/>
    </row>
    <row r="31" ht="15" customHeight="1" spans="2:11" x14ac:dyDescent="0.25">
      <c r="B31" s="11"/>
      <c r="C31" s="14"/>
      <c r="D31" s="23"/>
      <c r="E31" s="23"/>
      <c r="F31" s="23"/>
      <c r="G31" s="14"/>
      <c r="H31" s="11"/>
      <c r="I31" s="14"/>
      <c r="J31" s="14"/>
      <c r="K31" s="11"/>
    </row>
    <row r="33" ht="18" customHeight="1" spans="2:17" x14ac:dyDescent="0.25">
      <c r="B33" s="4" t="s">
        <v>150</v>
      </c>
      <c r="C33" s="5"/>
      <c r="D33" s="5"/>
      <c r="E33" s="5"/>
      <c r="F33" s="5"/>
      <c r="G33" s="5"/>
      <c r="H33" s="5"/>
      <c r="I33" s="5"/>
      <c r="J33" s="5"/>
      <c r="K33" s="5"/>
      <c r="L33" s="5"/>
      <c r="M33" s="5"/>
      <c r="N33" s="5"/>
      <c r="O33" s="5"/>
      <c r="P33" s="5"/>
      <c r="Q33" s="5"/>
    </row>
    <row r="34" ht="26" customHeight="1" spans="2:17" x14ac:dyDescent="0.25">
      <c r="B34" s="12" t="s">
        <v>151</v>
      </c>
      <c r="C34" s="12"/>
      <c r="D34" s="12"/>
      <c r="E34" s="12"/>
      <c r="F34" s="12"/>
      <c r="G34" s="12"/>
      <c r="H34" s="12"/>
      <c r="I34" s="12"/>
      <c r="J34" s="12"/>
      <c r="K34" s="12"/>
      <c r="L34" s="12"/>
      <c r="M34" s="12"/>
      <c r="N34" s="12"/>
      <c r="O34" s="12"/>
      <c r="P34" s="12"/>
      <c r="Q34" s="12"/>
    </row>
    <row r="35" hidden="1" spans="2:26" x14ac:dyDescent="0.25">
      <c r="B35" t="s">
        <v>71</v>
      </c>
      <c r="C35" t="s">
        <v>72</v>
      </c>
      <c r="D35" t="s">
        <v>152</v>
      </c>
      <c r="E35" t="s">
        <v>107</v>
      </c>
      <c r="F35" t="s">
        <v>109</v>
      </c>
      <c r="G35" t="s">
        <v>110</v>
      </c>
      <c r="H35" t="s">
        <v>115</v>
      </c>
      <c r="I35" t="s">
        <v>116</v>
      </c>
      <c r="J35" t="s">
        <v>119</v>
      </c>
      <c r="K35" t="s">
        <v>77</v>
      </c>
      <c r="Z35" t="s">
        <v>20</v>
      </c>
    </row>
    <row r="36" ht="30" customHeight="1" spans="2:11" x14ac:dyDescent="0.25">
      <c r="B36" s="13" t="s">
        <v>92</v>
      </c>
      <c r="C36" s="13" t="s">
        <v>121</v>
      </c>
      <c r="D36" s="13" t="s">
        <v>58</v>
      </c>
      <c r="E36" s="13" t="s">
        <v>146</v>
      </c>
      <c r="F36" s="13" t="s">
        <v>153</v>
      </c>
      <c r="G36" s="13" t="s">
        <v>154</v>
      </c>
      <c r="H36" s="13" t="s">
        <v>130</v>
      </c>
      <c r="I36" s="13" t="s">
        <v>131</v>
      </c>
      <c r="J36" s="13" t="s">
        <v>134</v>
      </c>
      <c r="K36" s="13" t="s">
        <v>83</v>
      </c>
    </row>
    <row r="37" spans="1:11" x14ac:dyDescent="0.25">
      <c r="B37" s="21" t="s">
        <v>155</v>
      </c>
      <c r="C37" s="21">
        <f>'Lists'!$A$2</f>
      </c>
      <c r="D37" s="21" t="s">
        <v>156</v>
      </c>
      <c r="E37" s="22">
        <v>85000</v>
      </c>
      <c r="F37" s="22" t="s">
        <v>97</v>
      </c>
      <c r="G37" s="26" t="s">
        <v>97</v>
      </c>
      <c r="H37" s="21" t="s">
        <v>157</v>
      </c>
      <c r="I37" s="21" t="s">
        <v>97</v>
      </c>
      <c r="J37" s="21" t="s">
        <v>158</v>
      </c>
      <c r="K37" s="21" t="s">
        <v>97</v>
      </c>
    </row>
    <row r="38" ht="15" customHeight="1" spans="2:11" x14ac:dyDescent="0.25">
      <c r="B38" s="11"/>
      <c r="C38" s="14"/>
      <c r="D38" s="14"/>
      <c r="E38" s="23"/>
      <c r="F38" s="23"/>
      <c r="G38" s="10"/>
      <c r="H38" s="14"/>
      <c r="I38" s="11"/>
      <c r="J38" s="14"/>
      <c r="K38" s="11"/>
    </row>
    <row r="39" ht="15" customHeight="1" spans="2:11" x14ac:dyDescent="0.25">
      <c r="B39" s="11"/>
      <c r="C39" s="14"/>
      <c r="D39" s="14"/>
      <c r="E39" s="23"/>
      <c r="F39" s="23"/>
      <c r="G39" s="10"/>
      <c r="H39" s="14"/>
      <c r="I39" s="11"/>
      <c r="J39" s="14"/>
      <c r="K39" s="11"/>
    </row>
    <row r="40" ht="15" customHeight="1" spans="2:11" x14ac:dyDescent="0.25">
      <c r="B40" s="11"/>
      <c r="C40" s="14"/>
      <c r="D40" s="14"/>
      <c r="E40" s="23"/>
      <c r="F40" s="23"/>
      <c r="G40" s="10"/>
      <c r="H40" s="14"/>
      <c r="I40" s="11"/>
      <c r="J40" s="14"/>
      <c r="K40" s="11"/>
    </row>
    <row r="41" ht="15" customHeight="1" spans="2:11" x14ac:dyDescent="0.25">
      <c r="B41" s="11"/>
      <c r="C41" s="14"/>
      <c r="D41" s="14"/>
      <c r="E41" s="23"/>
      <c r="F41" s="23"/>
      <c r="G41" s="10"/>
      <c r="H41" s="14"/>
      <c r="I41" s="11"/>
      <c r="J41" s="14"/>
      <c r="K41" s="11"/>
    </row>
    <row r="42" ht="15" customHeight="1" spans="2:11" x14ac:dyDescent="0.25">
      <c r="B42" s="11"/>
      <c r="C42" s="14"/>
      <c r="D42" s="14"/>
      <c r="E42" s="23"/>
      <c r="F42" s="23"/>
      <c r="G42" s="10"/>
      <c r="H42" s="14"/>
      <c r="I42" s="11"/>
      <c r="J42" s="14"/>
      <c r="K42" s="11"/>
    </row>
    <row r="43" ht="15" customHeight="1" spans="2:11" x14ac:dyDescent="0.25">
      <c r="B43" s="11"/>
      <c r="C43" s="14"/>
      <c r="D43" s="14"/>
      <c r="E43" s="23"/>
      <c r="F43" s="23"/>
      <c r="G43" s="10"/>
      <c r="H43" s="14"/>
      <c r="I43" s="11"/>
      <c r="J43" s="14"/>
      <c r="K43" s="11"/>
    </row>
    <row r="44" ht="15" customHeight="1" spans="2:11" x14ac:dyDescent="0.25">
      <c r="B44" s="11"/>
      <c r="C44" s="14"/>
      <c r="D44" s="14"/>
      <c r="E44" s="23"/>
      <c r="F44" s="23"/>
      <c r="G44" s="10"/>
      <c r="H44" s="14"/>
      <c r="I44" s="11"/>
      <c r="J44" s="14"/>
      <c r="K44" s="11"/>
    </row>
    <row r="45" ht="15" customHeight="1" spans="2:11" x14ac:dyDescent="0.25">
      <c r="B45" s="11"/>
      <c r="C45" s="14"/>
      <c r="D45" s="14"/>
      <c r="E45" s="23"/>
      <c r="F45" s="23"/>
      <c r="G45" s="10"/>
      <c r="H45" s="14"/>
      <c r="I45" s="11"/>
      <c r="J45" s="14"/>
      <c r="K45" s="11"/>
    </row>
    <row r="46" ht="15" customHeight="1" spans="2:11" x14ac:dyDescent="0.25">
      <c r="B46" s="11"/>
      <c r="C46" s="14"/>
      <c r="D46" s="14"/>
      <c r="E46" s="23"/>
      <c r="F46" s="23"/>
      <c r="G46" s="10"/>
      <c r="H46" s="14"/>
      <c r="I46" s="11"/>
      <c r="J46" s="14"/>
      <c r="K46" s="11"/>
    </row>
    <row r="47" ht="15" customHeight="1" spans="2:11" x14ac:dyDescent="0.25">
      <c r="B47" s="11"/>
      <c r="C47" s="14"/>
      <c r="D47" s="14"/>
      <c r="E47" s="23"/>
      <c r="F47" s="23"/>
      <c r="G47" s="10"/>
      <c r="H47" s="14"/>
      <c r="I47" s="11"/>
      <c r="J47" s="14"/>
      <c r="K47" s="11"/>
    </row>
    <row r="48" ht="15" customHeight="1" spans="2:11" x14ac:dyDescent="0.25">
      <c r="B48" s="11"/>
      <c r="C48" s="14"/>
      <c r="D48" s="14"/>
      <c r="E48" s="23"/>
      <c r="F48" s="23"/>
      <c r="G48" s="10"/>
      <c r="H48" s="14"/>
      <c r="I48" s="11"/>
      <c r="J48" s="14"/>
      <c r="K48" s="11"/>
    </row>
    <row r="49" ht="15" customHeight="1" spans="2:11" x14ac:dyDescent="0.25">
      <c r="B49" s="11"/>
      <c r="C49" s="14"/>
      <c r="D49" s="14"/>
      <c r="E49" s="23"/>
      <c r="F49" s="23"/>
      <c r="G49" s="10"/>
      <c r="H49" s="14"/>
      <c r="I49" s="11"/>
      <c r="J49" s="14"/>
      <c r="K49" s="11"/>
    </row>
    <row r="50" ht="15" customHeight="1" spans="2:11" x14ac:dyDescent="0.25">
      <c r="B50" s="11"/>
      <c r="C50" s="14"/>
      <c r="D50" s="14"/>
      <c r="E50" s="23"/>
      <c r="F50" s="23"/>
      <c r="G50" s="10"/>
      <c r="H50" s="14"/>
      <c r="I50" s="11"/>
      <c r="J50" s="14"/>
      <c r="K50" s="11"/>
    </row>
    <row r="51" ht="15" customHeight="1" spans="2:11" x14ac:dyDescent="0.25">
      <c r="B51" s="11"/>
      <c r="C51" s="14"/>
      <c r="D51" s="14"/>
      <c r="E51" s="23"/>
      <c r="F51" s="23"/>
      <c r="G51" s="10"/>
      <c r="H51" s="14"/>
      <c r="I51" s="11"/>
      <c r="J51" s="14"/>
      <c r="K51" s="11"/>
    </row>
    <row r="52" ht="15" customHeight="1" spans="2:11" x14ac:dyDescent="0.25">
      <c r="B52" s="11"/>
      <c r="C52" s="14"/>
      <c r="D52" s="14"/>
      <c r="E52" s="23"/>
      <c r="F52" s="23"/>
      <c r="G52" s="10"/>
      <c r="H52" s="14"/>
      <c r="I52" s="11"/>
      <c r="J52" s="14"/>
      <c r="K52" s="11"/>
    </row>
    <row r="54" ht="18" customHeight="1" spans="2:17" x14ac:dyDescent="0.25">
      <c r="B54" s="4" t="s">
        <v>159</v>
      </c>
      <c r="C54" s="5"/>
      <c r="D54" s="5"/>
      <c r="E54" s="5"/>
      <c r="F54" s="5"/>
      <c r="G54" s="5"/>
      <c r="H54" s="5"/>
      <c r="I54" s="5"/>
      <c r="J54" s="5"/>
      <c r="K54" s="5"/>
      <c r="L54" s="5"/>
      <c r="M54" s="5"/>
      <c r="N54" s="5"/>
      <c r="O54" s="5"/>
      <c r="P54" s="5"/>
      <c r="Q54" s="5"/>
    </row>
    <row r="55" ht="15" customHeight="1" spans="2:17" x14ac:dyDescent="0.25">
      <c r="B55" s="12" t="s">
        <v>160</v>
      </c>
      <c r="C55" s="12"/>
      <c r="D55" s="12"/>
      <c r="E55" s="12"/>
      <c r="F55" s="12"/>
      <c r="G55" s="12"/>
      <c r="H55" s="12"/>
      <c r="I55" s="12"/>
      <c r="J55" s="12"/>
      <c r="K55" s="12"/>
      <c r="L55" s="12"/>
      <c r="M55" s="12"/>
      <c r="N55" s="12"/>
      <c r="O55" s="12"/>
      <c r="P55" s="12"/>
      <c r="Q55" s="12"/>
    </row>
    <row r="56" hidden="1" spans="2:26" x14ac:dyDescent="0.25">
      <c r="B56" t="s">
        <v>71</v>
      </c>
      <c r="C56" t="s">
        <v>72</v>
      </c>
      <c r="D56" t="s">
        <v>161</v>
      </c>
      <c r="E56" t="s">
        <v>162</v>
      </c>
      <c r="F56" t="s">
        <v>163</v>
      </c>
      <c r="G56" t="s">
        <v>164</v>
      </c>
      <c r="H56" t="s">
        <v>165</v>
      </c>
      <c r="I56" t="s">
        <v>119</v>
      </c>
      <c r="J56" t="s">
        <v>77</v>
      </c>
      <c r="Z56" t="s">
        <v>20</v>
      </c>
    </row>
    <row r="57" ht="30" customHeight="1" spans="2:10" x14ac:dyDescent="0.25">
      <c r="B57" s="13" t="s">
        <v>166</v>
      </c>
      <c r="C57" s="13" t="s">
        <v>167</v>
      </c>
      <c r="D57" s="13" t="s">
        <v>58</v>
      </c>
      <c r="E57" s="13" t="s">
        <v>168</v>
      </c>
      <c r="F57" s="13" t="s">
        <v>169</v>
      </c>
      <c r="G57" s="13" t="s">
        <v>170</v>
      </c>
      <c r="H57" s="13" t="s">
        <v>171</v>
      </c>
      <c r="I57" s="13" t="s">
        <v>134</v>
      </c>
      <c r="J57" s="13" t="s">
        <v>83</v>
      </c>
    </row>
    <row r="58" spans="1:10" x14ac:dyDescent="0.25">
      <c r="B58" s="21" t="s">
        <v>172</v>
      </c>
      <c r="C58" s="21">
        <f>'Lists'!$A$2</f>
      </c>
      <c r="D58" s="21" t="s">
        <v>173</v>
      </c>
      <c r="E58" s="22">
        <v>25000</v>
      </c>
      <c r="F58" s="21">
        <v>19.5</v>
      </c>
      <c r="G58" s="22">
        <v>1500</v>
      </c>
      <c r="H58" s="21" t="s">
        <v>86</v>
      </c>
      <c r="I58" s="21" t="s">
        <v>158</v>
      </c>
      <c r="J58" s="21" t="s">
        <v>97</v>
      </c>
    </row>
    <row r="59" ht="15" customHeight="1" spans="2:10" x14ac:dyDescent="0.25">
      <c r="B59" s="11"/>
      <c r="C59" s="14"/>
      <c r="D59" s="14"/>
      <c r="E59" s="23"/>
      <c r="F59" s="27"/>
      <c r="G59" s="23"/>
      <c r="H59" s="14"/>
      <c r="I59" s="14"/>
      <c r="J59" s="11"/>
    </row>
    <row r="60" ht="15" customHeight="1" spans="2:10" x14ac:dyDescent="0.25">
      <c r="B60" s="11"/>
      <c r="C60" s="14"/>
      <c r="D60" s="14"/>
      <c r="E60" s="23"/>
      <c r="F60" s="27"/>
      <c r="G60" s="23"/>
      <c r="H60" s="14"/>
      <c r="I60" s="14"/>
      <c r="J60" s="11"/>
    </row>
    <row r="61" ht="15" customHeight="1" spans="2:10" x14ac:dyDescent="0.25">
      <c r="B61" s="11"/>
      <c r="C61" s="14"/>
      <c r="D61" s="14"/>
      <c r="E61" s="23"/>
      <c r="F61" s="27"/>
      <c r="G61" s="23"/>
      <c r="H61" s="14"/>
      <c r="I61" s="14"/>
      <c r="J61" s="11"/>
    </row>
    <row r="62" ht="15" customHeight="1" spans="2:10" x14ac:dyDescent="0.25">
      <c r="B62" s="11"/>
      <c r="C62" s="14"/>
      <c r="D62" s="14"/>
      <c r="E62" s="23"/>
      <c r="F62" s="27"/>
      <c r="G62" s="23"/>
      <c r="H62" s="14"/>
      <c r="I62" s="14"/>
      <c r="J62" s="11"/>
    </row>
    <row r="63" ht="15" customHeight="1" spans="2:10" x14ac:dyDescent="0.25">
      <c r="B63" s="11"/>
      <c r="C63" s="14"/>
      <c r="D63" s="14"/>
      <c r="E63" s="23"/>
      <c r="F63" s="27"/>
      <c r="G63" s="23"/>
      <c r="H63" s="14"/>
      <c r="I63" s="14"/>
      <c r="J63" s="11"/>
    </row>
    <row r="64" ht="15" customHeight="1" spans="2:10" x14ac:dyDescent="0.25">
      <c r="B64" s="11"/>
      <c r="C64" s="14"/>
      <c r="D64" s="14"/>
      <c r="E64" s="23"/>
      <c r="F64" s="27"/>
      <c r="G64" s="23"/>
      <c r="H64" s="14"/>
      <c r="I64" s="14"/>
      <c r="J64" s="11"/>
    </row>
    <row r="65" ht="15" customHeight="1" spans="2:10" x14ac:dyDescent="0.25">
      <c r="B65" s="11"/>
      <c r="C65" s="14"/>
      <c r="D65" s="14"/>
      <c r="E65" s="23"/>
      <c r="F65" s="27"/>
      <c r="G65" s="23"/>
      <c r="H65" s="14"/>
      <c r="I65" s="14"/>
      <c r="J65" s="11"/>
    </row>
    <row r="66" ht="15" customHeight="1" spans="2:10" x14ac:dyDescent="0.25">
      <c r="B66" s="11"/>
      <c r="C66" s="14"/>
      <c r="D66" s="14"/>
      <c r="E66" s="23"/>
      <c r="F66" s="27"/>
      <c r="G66" s="23"/>
      <c r="H66" s="14"/>
      <c r="I66" s="14"/>
      <c r="J66" s="11"/>
    </row>
    <row r="67" ht="15" customHeight="1" spans="2:10" x14ac:dyDescent="0.25">
      <c r="B67" s="11"/>
      <c r="C67" s="14"/>
      <c r="D67" s="14"/>
      <c r="E67" s="23"/>
      <c r="F67" s="27"/>
      <c r="G67" s="23"/>
      <c r="H67" s="14"/>
      <c r="I67" s="14"/>
      <c r="J67" s="11"/>
    </row>
    <row r="68" ht="15" customHeight="1" spans="2:10" x14ac:dyDescent="0.25">
      <c r="B68" s="11"/>
      <c r="C68" s="14"/>
      <c r="D68" s="14"/>
      <c r="E68" s="23"/>
      <c r="F68" s="27"/>
      <c r="G68" s="23"/>
      <c r="H68" s="14"/>
      <c r="I68" s="14"/>
      <c r="J68" s="11"/>
    </row>
    <row r="69" ht="15" customHeight="1" spans="2:10" x14ac:dyDescent="0.25">
      <c r="B69" s="11"/>
      <c r="C69" s="14"/>
      <c r="D69" s="14"/>
      <c r="E69" s="23"/>
      <c r="F69" s="27"/>
      <c r="G69" s="23"/>
      <c r="H69" s="14"/>
      <c r="I69" s="14"/>
      <c r="J69" s="11"/>
    </row>
    <row r="70" ht="15" customHeight="1" spans="2:10" x14ac:dyDescent="0.25">
      <c r="B70" s="11"/>
      <c r="C70" s="14"/>
      <c r="D70" s="14"/>
      <c r="E70" s="23"/>
      <c r="F70" s="27"/>
      <c r="G70" s="23"/>
      <c r="H70" s="14"/>
      <c r="I70" s="14"/>
      <c r="J70" s="11"/>
    </row>
  </sheetData>
  <sheetProtection sheet="1" formatRows="0"/>
  <mergeCells count="7">
    <mergeCell ref="B1:Q1"/>
    <mergeCell ref="B2:Q2"/>
    <mergeCell ref="B5:Q5"/>
    <mergeCell ref="B8:Q8"/>
    <mergeCell ref="B22:Q22"/>
    <mergeCell ref="B34:Q34"/>
    <mergeCell ref="B55:Q55"/>
  </mergeCells>
  <dataValidations count="28">
    <dataValidation type="list" allowBlank="1" showErrorMessage="1" errorStyle="stop" errorTitle="Please choose a name" error="Please choose a name from the list (or Joint). The names come from the Client and family sheet." sqref="C12:C19">
      <formula1>'Lists'!$A$2:$A$4</formula1>
    </dataValidation>
    <dataValidation type="list" allowBlank="1" showErrorMessage="1" errorStyle="stop" errorTitle="Please choose a name" error="Please choose a name from the list (or Joint). The names come from the Client and family sheet." sqref="C26:C31">
      <formula1>'Lists'!$A$2:$A$4</formula1>
    </dataValidation>
    <dataValidation type="list" allowBlank="1" showErrorMessage="1" errorStyle="stop" errorTitle="Please choose a name" error="Please choose a name from the list (or Joint). The names come from the Client and family sheet." sqref="C38:C52">
      <formula1>'Lists'!$A$2:$A$4</formula1>
    </dataValidation>
    <dataValidation type="list" allowBlank="1" showErrorMessage="1" errorStyle="stop" errorTitle="Please choose a name" error="Please choose a name from the list (or Joint). The names come from the Client and family sheet." sqref="C59:C70">
      <formula1>'Lists'!$A$2:$A$4</formula1>
    </dataValidation>
    <dataValidation type="decimal" operator="greaterThanOrEqual" allowBlank="1" showErrorMessage="1" errorStyle="stop" errorTitle="Amount" error="Please type the amount in rand as a number, without R or spaces, e.g. 1250000." sqref="D12:D19">
      <formula1>0</formula1>
    </dataValidation>
    <dataValidation type="decimal" operator="greaterThanOrEqual" allowBlank="1" showErrorMessage="1" errorStyle="stop" errorTitle="Amount" error="Please type the amount in rand as a number, without R or spaces, e.g. 1250000." sqref="D26:F31">
      <formula1>0</formula1>
    </dataValidation>
    <dataValidation type="list" allowBlank="1" showErrorMessage="1" errorStyle="stop" errorTitle="Please choose from the list" error="Please choose one of the options in the list." sqref="D38:D52">
      <formula1>'Lists'!$N$2:$N$10</formula1>
    </dataValidation>
    <dataValidation type="list" allowBlank="1" showErrorMessage="1" errorStyle="stop" errorTitle="Please choose from the list" error="Please choose one of the options in the list." sqref="D59:D70">
      <formula1>'Lists'!$M$2:$M$10</formula1>
    </dataValidation>
    <dataValidation type="date" allowBlank="1" showErrorMessage="1" errorStyle="stop" errorTitle="Date" error="Please type a date like 2012-03-31. If you only know the year, type the 1st of January of that year and say so in Notes." sqref="E12:E19">
      <formula1>7306</formula1>
      <formula2>73415</formula2>
    </dataValidation>
    <dataValidation type="decimal" operator="greaterThanOrEqual" allowBlank="1" showErrorMessage="1" errorStyle="stop" errorTitle="Amount" error="Please type the amount in rand as a number, without R or spaces, e.g. 1250000." sqref="E38:F52">
      <formula1>0</formula1>
    </dataValidation>
    <dataValidation type="decimal" operator="greaterThanOrEqual" allowBlank="1" showErrorMessage="1" errorStyle="stop" errorTitle="Amount" error="Please type the amount in rand as a number, without R or spaces, e.g. 1250000." sqref="E59:E70">
      <formula1>0</formula1>
    </dataValidation>
    <dataValidation type="decimal" operator="greaterThanOrEqual" allowBlank="1" showErrorMessage="1" errorStyle="stop" errorTitle="Amount" error="Please type the amount in rand as a number, without R or spaces, e.g. 1250000." sqref="F12:F19">
      <formula1>0</formula1>
    </dataValidation>
    <dataValidation type="decimal" allowBlank="1" showErrorMessage="1" errorStyle="stop" errorTitle="Number" error="Please type a number." sqref="F59:F70">
      <formula1>0</formula1>
      <formula2>1000</formula2>
    </dataValidation>
    <dataValidation type="date" allowBlank="1" showErrorMessage="1" errorStyle="stop" errorTitle="Date" error="Please type a date like 2012-03-31. If you only know the year, type the 1st of January of that year and say so in Notes." sqref="G12:G19">
      <formula1>7306</formula1>
      <formula2>73415</formula2>
    </dataValidation>
    <dataValidation type="list" allowBlank="1" showErrorMessage="1" errorStyle="stop" errorTitle="Please choose from the list" error="Please choose one of the options in the list." sqref="G26:G31">
      <formula1>'Lists'!$V$2:$V$4</formula1>
    </dataValidation>
    <dataValidation type="date" allowBlank="1" showErrorMessage="1" errorStyle="stop" errorTitle="Date" error="Please type a date like 2012-03-31. If you only know the year, type the 1st of January of that year and say so in Notes." sqref="G38:G52">
      <formula1>7306</formula1>
      <formula2>73415</formula2>
    </dataValidation>
    <dataValidation type="decimal" operator="greaterThanOrEqual" allowBlank="1" showErrorMessage="1" errorStyle="stop" errorTitle="Amount" error="Please type the amount in rand as a number, without R or spaces, e.g. 1250000." sqref="G59:G70">
      <formula1>0</formula1>
    </dataValidation>
    <dataValidation type="decimal" operator="greaterThanOrEqual" allowBlank="1" showErrorMessage="1" errorStyle="stop" errorTitle="Amount" error="Please type the amount in rand as a number, without R or spaces, e.g. 1250000." sqref="H12:J19">
      <formula1>0</formula1>
    </dataValidation>
    <dataValidation type="list" allowBlank="1" showErrorMessage="1" errorStyle="stop" errorTitle="Please choose from the list" error="Please choose one of the options in the list." sqref="H38:H52">
      <formula1>'Lists'!$V$2:$V$4</formula1>
    </dataValidation>
    <dataValidation type="list" allowBlank="1" showErrorMessage="1" errorStyle="stop" errorTitle="Please choose from the list" error="Please choose one of the options in the list." sqref="H59:H70">
      <formula1>'Lists'!$F$2:$F$3</formula1>
    </dataValidation>
    <dataValidation type="list" allowBlank="1" showErrorMessage="1" errorStyle="stop" errorTitle="Please choose from the list" error="Please choose one of the options in the list." sqref="I26:I31">
      <formula1>'Lists'!$F$2:$F$3</formula1>
    </dataValidation>
    <dataValidation type="list" allowBlank="1" showErrorMessage="1" errorStyle="stop" errorTitle="Please choose from the list" error="Please choose one of the options in the list." sqref="I59:I70">
      <formula1>'Lists'!$U$2:$U$5</formula1>
    </dataValidation>
    <dataValidation type="list" allowBlank="1" showErrorMessage="1" errorStyle="stop" errorTitle="Please choose from the list" error="Please choose one of the options in the list." sqref="J26:J31">
      <formula1>'Lists'!$U$2:$U$5</formula1>
    </dataValidation>
    <dataValidation type="list" allowBlank="1" showErrorMessage="1" errorStyle="stop" errorTitle="Please choose from the list" error="Please choose one of the options in the list." sqref="J38:J52">
      <formula1>'Lists'!$U$2:$U$5</formula1>
    </dataValidation>
    <dataValidation type="list" allowBlank="1" showErrorMessage="1" errorStyle="stop" errorTitle="Please choose from the list" error="Please choose one of the options in the list." sqref="K12:K19">
      <formula1>'Lists'!$F$2:$F$3</formula1>
    </dataValidation>
    <dataValidation type="list" allowBlank="1" showErrorMessage="1" errorStyle="stop" errorTitle="Please choose from the list" error="Please choose one of the options in the list." sqref="L12:L19">
      <formula1>'Lists'!$V$2:$V$4</formula1>
    </dataValidation>
    <dataValidation type="list" allowBlank="1" showErrorMessage="1" errorStyle="stop" errorTitle="Please choose from the list" error="Please choose one of the options in the list." sqref="N12:O19">
      <formula1>'Lists'!$F$2:$F$3</formula1>
    </dataValidation>
    <dataValidation type="list" allowBlank="1" showErrorMessage="1" errorStyle="stop" errorTitle="Please choose from the list" error="Please choose one of the options in the list." sqref="P12:P19">
      <formula1>'Lists'!$U$2:$U$5</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rowBreaks count="1" manualBreakCount="1">
    <brk id="53"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8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174</v>
      </c>
    </row>
    <row r="5" ht="26" customHeight="1" spans="2:7" x14ac:dyDescent="0.25">
      <c r="B5" s="12" t="s">
        <v>175</v>
      </c>
      <c r="C5" s="12"/>
      <c r="D5" s="12"/>
      <c r="E5" s="12"/>
      <c r="F5" s="12"/>
      <c r="G5" s="12"/>
    </row>
    <row r="7" ht="18" customHeight="1" spans="2:26" x14ac:dyDescent="0.25">
      <c r="B7" s="4" t="s">
        <v>176</v>
      </c>
      <c r="C7" s="5"/>
      <c r="D7" s="5"/>
      <c r="E7" s="5"/>
      <c r="F7" s="5"/>
      <c r="G7" s="5"/>
    </row>
    <row r="8" spans="2:5" x14ac:dyDescent="0.25">
      <c r="B8" s="7" t="s">
        <v>177</v>
      </c>
      <c r="C8" s="11"/>
      <c r="D8" s="11"/>
      <c r="E8" s="11"/>
    </row>
    <row r="9" spans="2:3" x14ac:dyDescent="0.25">
      <c r="B9" s="7" t="s">
        <v>58</v>
      </c>
      <c r="C9" s="14"/>
    </row>
    <row r="10" spans="2:3" x14ac:dyDescent="0.25">
      <c r="B10" s="7" t="s">
        <v>178</v>
      </c>
      <c r="C10" s="14"/>
    </row>
    <row r="11" spans="2:3" x14ac:dyDescent="0.25">
      <c r="B11" s="7" t="s">
        <v>179</v>
      </c>
      <c r="C11" s="14"/>
    </row>
    <row r="12" spans="2:3" x14ac:dyDescent="0.25">
      <c r="B12" s="7" t="s">
        <v>180</v>
      </c>
      <c r="C12" s="14"/>
    </row>
    <row r="13" spans="2:3" x14ac:dyDescent="0.25">
      <c r="B13" s="7" t="s">
        <v>181</v>
      </c>
      <c r="C13" s="10"/>
    </row>
    <row r="14" spans="2:3" x14ac:dyDescent="0.25">
      <c r="B14" s="7" t="s">
        <v>182</v>
      </c>
      <c r="C14" s="14"/>
    </row>
    <row r="15" spans="2:3" x14ac:dyDescent="0.25">
      <c r="B15" s="7" t="s">
        <v>183</v>
      </c>
      <c r="C15" s="14"/>
    </row>
    <row r="16" spans="2:5" x14ac:dyDescent="0.25">
      <c r="B16" s="7" t="s">
        <v>131</v>
      </c>
      <c r="C16" s="11"/>
      <c r="D16" s="11"/>
      <c r="E16" s="11"/>
    </row>
    <row r="17" spans="2:3" x14ac:dyDescent="0.25">
      <c r="B17" s="7" t="s">
        <v>184</v>
      </c>
      <c r="C17" s="14"/>
    </row>
    <row r="18" spans="2:3" x14ac:dyDescent="0.25">
      <c r="B18" s="7" t="s">
        <v>185</v>
      </c>
      <c r="C18" s="14"/>
    </row>
    <row r="19" spans="2:5" x14ac:dyDescent="0.25">
      <c r="B19" s="7" t="s">
        <v>83</v>
      </c>
      <c r="C19" s="11"/>
      <c r="D19" s="11"/>
      <c r="E19" s="11"/>
    </row>
    <row r="20" spans="2:4" x14ac:dyDescent="0.25">
      <c r="B20" s="13" t="s">
        <v>186</v>
      </c>
      <c r="C20" s="13">
        <f>'Lists'!$A$2</f>
      </c>
      <c r="D20" s="13">
        <f>'Lists'!$A$3</f>
      </c>
    </row>
    <row r="21" spans="2:4" x14ac:dyDescent="0.25">
      <c r="B21" s="7" t="s">
        <v>187</v>
      </c>
      <c r="C21" s="27"/>
      <c r="D21" s="27"/>
    </row>
    <row r="22" ht="26" customHeight="1" spans="2:4" x14ac:dyDescent="0.25">
      <c r="B22" s="7" t="s">
        <v>188</v>
      </c>
      <c r="C22" s="14"/>
      <c r="D22" s="14"/>
    </row>
    <row r="23" spans="2:4" x14ac:dyDescent="0.25">
      <c r="B23" s="7" t="s">
        <v>189</v>
      </c>
      <c r="C23" s="23"/>
      <c r="D23" s="23"/>
    </row>
    <row r="24" spans="2:4" x14ac:dyDescent="0.25">
      <c r="B24" s="7" t="s">
        <v>190</v>
      </c>
      <c r="C24" s="23"/>
      <c r="D24" s="23"/>
    </row>
    <row r="25" spans="2:4" x14ac:dyDescent="0.25">
      <c r="B25" s="7" t="s">
        <v>191</v>
      </c>
      <c r="C25" s="10"/>
      <c r="D25" s="10"/>
    </row>
    <row r="26" spans="2:4" x14ac:dyDescent="0.25">
      <c r="B26" s="7" t="s">
        <v>192</v>
      </c>
      <c r="C26" s="14"/>
      <c r="D26" s="14"/>
    </row>
    <row r="27" ht="26" customHeight="1" spans="2:4" x14ac:dyDescent="0.25">
      <c r="B27" s="7" t="s">
        <v>193</v>
      </c>
      <c r="C27" s="23"/>
      <c r="D27" s="23"/>
    </row>
    <row r="29" spans="2:2" x14ac:dyDescent="0.25">
      <c r="B29" s="28" t="s">
        <v>194</v>
      </c>
    </row>
    <row r="30" ht="15" customHeight="1" spans="2:7" x14ac:dyDescent="0.25">
      <c r="B30" s="12" t="s">
        <v>195</v>
      </c>
      <c r="C30" s="12"/>
      <c r="D30" s="12"/>
      <c r="E30" s="12"/>
      <c r="F30" s="12"/>
      <c r="G30" s="12"/>
    </row>
    <row r="31" hidden="1" spans="2:26" x14ac:dyDescent="0.25">
      <c r="B31" t="s">
        <v>71</v>
      </c>
      <c r="C31" t="s">
        <v>196</v>
      </c>
      <c r="D31" t="s">
        <v>107</v>
      </c>
      <c r="E31" t="s">
        <v>109</v>
      </c>
      <c r="F31" t="s">
        <v>119</v>
      </c>
      <c r="G31" t="s">
        <v>77</v>
      </c>
      <c r="Z31" t="s">
        <v>20</v>
      </c>
    </row>
    <row r="32" ht="30" customHeight="1" spans="2:7" x14ac:dyDescent="0.25">
      <c r="B32" s="13" t="s">
        <v>197</v>
      </c>
      <c r="C32" s="13" t="s">
        <v>198</v>
      </c>
      <c r="D32" s="13" t="s">
        <v>199</v>
      </c>
      <c r="E32" s="13" t="s">
        <v>200</v>
      </c>
      <c r="F32" s="13" t="s">
        <v>134</v>
      </c>
      <c r="G32" s="13" t="s">
        <v>83</v>
      </c>
    </row>
    <row r="33" spans="1:7" x14ac:dyDescent="0.25">
      <c r="B33" s="21" t="s">
        <v>201</v>
      </c>
      <c r="C33" s="21" t="s">
        <v>202</v>
      </c>
      <c r="D33" s="22">
        <v>5000000</v>
      </c>
      <c r="E33" s="22">
        <v>2000000</v>
      </c>
      <c r="F33" s="21" t="s">
        <v>203</v>
      </c>
      <c r="G33" s="21" t="s">
        <v>97</v>
      </c>
    </row>
    <row r="34" ht="15" customHeight="1" spans="2:7" x14ac:dyDescent="0.25">
      <c r="B34" s="11"/>
      <c r="C34" s="14"/>
      <c r="D34" s="23"/>
      <c r="E34" s="23"/>
      <c r="F34" s="14"/>
      <c r="G34" s="11"/>
    </row>
    <row r="35" ht="15" customHeight="1" spans="2:7" x14ac:dyDescent="0.25">
      <c r="B35" s="11"/>
      <c r="C35" s="14"/>
      <c r="D35" s="23"/>
      <c r="E35" s="23"/>
      <c r="F35" s="14"/>
      <c r="G35" s="11"/>
    </row>
    <row r="36" ht="15" customHeight="1" spans="2:7" x14ac:dyDescent="0.25">
      <c r="B36" s="11"/>
      <c r="C36" s="14"/>
      <c r="D36" s="23"/>
      <c r="E36" s="23"/>
      <c r="F36" s="14"/>
      <c r="G36" s="11"/>
    </row>
    <row r="37" ht="15" customHeight="1" spans="2:7" x14ac:dyDescent="0.25">
      <c r="B37" s="11"/>
      <c r="C37" s="14"/>
      <c r="D37" s="23"/>
      <c r="E37" s="23"/>
      <c r="F37" s="14"/>
      <c r="G37" s="11"/>
    </row>
    <row r="38" ht="15" customHeight="1" spans="2:7" x14ac:dyDescent="0.25">
      <c r="B38" s="11"/>
      <c r="C38" s="14"/>
      <c r="D38" s="23"/>
      <c r="E38" s="23"/>
      <c r="F38" s="14"/>
      <c r="G38" s="11"/>
    </row>
    <row r="39" ht="15" customHeight="1" spans="2:7" x14ac:dyDescent="0.25">
      <c r="B39" s="11"/>
      <c r="C39" s="14"/>
      <c r="D39" s="23"/>
      <c r="E39" s="23"/>
      <c r="F39" s="14"/>
      <c r="G39" s="11"/>
    </row>
    <row r="40" ht="15" customHeight="1" spans="2:7" x14ac:dyDescent="0.25">
      <c r="B40" s="11"/>
      <c r="C40" s="14"/>
      <c r="D40" s="23"/>
      <c r="E40" s="23"/>
      <c r="F40" s="14"/>
      <c r="G40" s="11"/>
    </row>
    <row r="41" ht="15" customHeight="1" spans="2:7" x14ac:dyDescent="0.25">
      <c r="B41" s="11"/>
      <c r="C41" s="14"/>
      <c r="D41" s="23"/>
      <c r="E41" s="23"/>
      <c r="F41" s="14"/>
      <c r="G41" s="11"/>
    </row>
    <row r="42" ht="15" customHeight="1" spans="2:7" x14ac:dyDescent="0.25">
      <c r="B42" s="11"/>
      <c r="C42" s="14"/>
      <c r="D42" s="23"/>
      <c r="E42" s="23"/>
      <c r="F42" s="14"/>
      <c r="G42" s="11"/>
    </row>
    <row r="43" ht="15" customHeight="1" spans="2:7" x14ac:dyDescent="0.25">
      <c r="B43" s="11"/>
      <c r="C43" s="14"/>
      <c r="D43" s="23"/>
      <c r="E43" s="23"/>
      <c r="F43" s="14"/>
      <c r="G43" s="11"/>
    </row>
    <row r="44" spans="2:3" x14ac:dyDescent="0.25">
      <c r="B44" s="7" t="s">
        <v>204</v>
      </c>
      <c r="C44" s="19">
        <f>SUMIFS(D34:D43,C34:C43,"Property")+SUMIFS(D34:D43,C34:C43,"Other asset")+IF(C22="Debit",N(C23),0)+IF(D22="Debit",N(D23),0)</f>
      </c>
    </row>
    <row r="45" spans="2:3" x14ac:dyDescent="0.25">
      <c r="B45" s="7" t="s">
        <v>205</v>
      </c>
      <c r="C45" s="19">
        <f>SUMIFS(D34:D43,C34:C43,"Bond")+SUMIFS(D34:D43,C34:C43,"Other debt")+IF(C22="Credit",N(C23),0)+IF(D22="Credit",N(D23),0)</f>
      </c>
    </row>
    <row r="46" spans="2:3" x14ac:dyDescent="0.25">
      <c r="B46" s="24" t="s">
        <v>206</v>
      </c>
      <c r="C46" s="25">
        <f>C44-C45</f>
      </c>
    </row>
    <row r="47" spans="2:4" x14ac:dyDescent="0.25">
      <c r="B47" s="13" t="s">
        <v>207</v>
      </c>
      <c r="C47" s="13">
        <f>'Lists'!$A$2</f>
      </c>
      <c r="D47" s="13">
        <f>'Lists'!$A$3</f>
      </c>
    </row>
    <row r="48" spans="2:4" x14ac:dyDescent="0.25">
      <c r="B48" s="7" t="s">
        <v>208</v>
      </c>
      <c r="C48" s="19">
        <f>IF(OR(C9="Trust",C21=""),"",ROUND(IF(OR(C9="Partnership",C9="Sole Proprietor"),C46,MAX(0,C46))*N(C21)/100,0))</f>
      </c>
      <c r="D48" s="19">
        <f>IF(OR(C9="Trust",D21=""),"",ROUND(IF(OR(C9="Partnership",C9="Sole Proprietor"),C46,MAX(0,C46))*N(D21)/100,0))</f>
      </c>
    </row>
    <row r="49" spans="2:4" x14ac:dyDescent="0.25">
      <c r="B49" s="24" t="s">
        <v>209</v>
      </c>
      <c r="C49" s="25">
        <f>IF(C9="Trust","",IF(C27&lt;&gt;"",C27,C48))</f>
      </c>
      <c r="D49" s="25">
        <f>IF(C9="Trust","",IF(D27&lt;&gt;"",D27,D48))</f>
      </c>
    </row>
    <row r="50" spans="2:2" x14ac:dyDescent="0.25">
      <c r="B50" s="29" t="s">
        <v>210</v>
      </c>
    </row>
    <row r="53" ht="18" customHeight="1" spans="2:26" x14ac:dyDescent="0.25">
      <c r="B53" s="4" t="s">
        <v>211</v>
      </c>
      <c r="C53" s="5"/>
      <c r="D53" s="5"/>
      <c r="E53" s="5"/>
      <c r="F53" s="5"/>
      <c r="G53" s="5"/>
    </row>
    <row r="54" spans="2:5" x14ac:dyDescent="0.25">
      <c r="B54" s="7" t="s">
        <v>177</v>
      </c>
      <c r="C54" s="11"/>
      <c r="D54" s="11"/>
      <c r="E54" s="11"/>
    </row>
    <row r="55" spans="2:3" x14ac:dyDescent="0.25">
      <c r="B55" s="7" t="s">
        <v>58</v>
      </c>
      <c r="C55" s="14"/>
    </row>
    <row r="56" spans="2:3" x14ac:dyDescent="0.25">
      <c r="B56" s="7" t="s">
        <v>178</v>
      </c>
      <c r="C56" s="14"/>
    </row>
    <row r="57" spans="2:3" x14ac:dyDescent="0.25">
      <c r="B57" s="7" t="s">
        <v>179</v>
      </c>
      <c r="C57" s="14"/>
    </row>
    <row r="58" spans="2:3" x14ac:dyDescent="0.25">
      <c r="B58" s="7" t="s">
        <v>180</v>
      </c>
      <c r="C58" s="14"/>
    </row>
    <row r="59" spans="2:3" x14ac:dyDescent="0.25">
      <c r="B59" s="7" t="s">
        <v>181</v>
      </c>
      <c r="C59" s="10"/>
    </row>
    <row r="60" spans="2:3" x14ac:dyDescent="0.25">
      <c r="B60" s="7" t="s">
        <v>182</v>
      </c>
      <c r="C60" s="14"/>
    </row>
    <row r="61" spans="2:3" x14ac:dyDescent="0.25">
      <c r="B61" s="7" t="s">
        <v>183</v>
      </c>
      <c r="C61" s="14"/>
    </row>
    <row r="62" spans="2:5" x14ac:dyDescent="0.25">
      <c r="B62" s="7" t="s">
        <v>131</v>
      </c>
      <c r="C62" s="11"/>
      <c r="D62" s="11"/>
      <c r="E62" s="11"/>
    </row>
    <row r="63" spans="2:3" x14ac:dyDescent="0.25">
      <c r="B63" s="7" t="s">
        <v>184</v>
      </c>
      <c r="C63" s="14"/>
    </row>
    <row r="64" spans="2:3" x14ac:dyDescent="0.25">
      <c r="B64" s="7" t="s">
        <v>185</v>
      </c>
      <c r="C64" s="14"/>
    </row>
    <row r="65" spans="2:5" x14ac:dyDescent="0.25">
      <c r="B65" s="7" t="s">
        <v>83</v>
      </c>
      <c r="C65" s="11"/>
      <c r="D65" s="11"/>
      <c r="E65" s="11"/>
    </row>
    <row r="66" spans="2:4" x14ac:dyDescent="0.25">
      <c r="B66" s="13" t="s">
        <v>186</v>
      </c>
      <c r="C66" s="13">
        <f>'Lists'!$A$2</f>
      </c>
      <c r="D66" s="13">
        <f>'Lists'!$A$3</f>
      </c>
    </row>
    <row r="67" spans="2:4" x14ac:dyDescent="0.25">
      <c r="B67" s="7" t="s">
        <v>187</v>
      </c>
      <c r="C67" s="27"/>
      <c r="D67" s="27"/>
    </row>
    <row r="68" ht="26" customHeight="1" spans="2:4" x14ac:dyDescent="0.25">
      <c r="B68" s="7" t="s">
        <v>188</v>
      </c>
      <c r="C68" s="14"/>
      <c r="D68" s="14"/>
    </row>
    <row r="69" spans="2:4" x14ac:dyDescent="0.25">
      <c r="B69" s="7" t="s">
        <v>189</v>
      </c>
      <c r="C69" s="23"/>
      <c r="D69" s="23"/>
    </row>
    <row r="70" spans="2:4" x14ac:dyDescent="0.25">
      <c r="B70" s="7" t="s">
        <v>190</v>
      </c>
      <c r="C70" s="23"/>
      <c r="D70" s="23"/>
    </row>
    <row r="71" spans="2:4" x14ac:dyDescent="0.25">
      <c r="B71" s="7" t="s">
        <v>191</v>
      </c>
      <c r="C71" s="10"/>
      <c r="D71" s="10"/>
    </row>
    <row r="72" spans="2:4" x14ac:dyDescent="0.25">
      <c r="B72" s="7" t="s">
        <v>192</v>
      </c>
      <c r="C72" s="14"/>
      <c r="D72" s="14"/>
    </row>
    <row r="73" ht="26" customHeight="1" spans="2:4" x14ac:dyDescent="0.25">
      <c r="B73" s="7" t="s">
        <v>193</v>
      </c>
      <c r="C73" s="23"/>
      <c r="D73" s="23"/>
    </row>
    <row r="75" spans="2:2" x14ac:dyDescent="0.25">
      <c r="B75" s="28" t="s">
        <v>194</v>
      </c>
    </row>
    <row r="76" ht="15" customHeight="1" spans="2:7" x14ac:dyDescent="0.25">
      <c r="B76" s="12" t="s">
        <v>195</v>
      </c>
      <c r="C76" s="12"/>
      <c r="D76" s="12"/>
      <c r="E76" s="12"/>
      <c r="F76" s="12"/>
      <c r="G76" s="12"/>
    </row>
    <row r="77" hidden="1" spans="2:26" x14ac:dyDescent="0.25">
      <c r="B77" t="s">
        <v>71</v>
      </c>
      <c r="C77" t="s">
        <v>196</v>
      </c>
      <c r="D77" t="s">
        <v>107</v>
      </c>
      <c r="E77" t="s">
        <v>109</v>
      </c>
      <c r="F77" t="s">
        <v>119</v>
      </c>
      <c r="G77" t="s">
        <v>77</v>
      </c>
      <c r="Z77" t="s">
        <v>20</v>
      </c>
    </row>
    <row r="78" ht="30" customHeight="1" spans="2:7" x14ac:dyDescent="0.25">
      <c r="B78" s="13" t="s">
        <v>197</v>
      </c>
      <c r="C78" s="13" t="s">
        <v>198</v>
      </c>
      <c r="D78" s="13" t="s">
        <v>199</v>
      </c>
      <c r="E78" s="13" t="s">
        <v>200</v>
      </c>
      <c r="F78" s="13" t="s">
        <v>134</v>
      </c>
      <c r="G78" s="13" t="s">
        <v>83</v>
      </c>
    </row>
    <row r="79" ht="15" customHeight="1" spans="2:7" x14ac:dyDescent="0.25">
      <c r="B79" s="11"/>
      <c r="C79" s="14"/>
      <c r="D79" s="23"/>
      <c r="E79" s="23"/>
      <c r="F79" s="14"/>
      <c r="G79" s="11"/>
    </row>
    <row r="80" ht="15" customHeight="1" spans="2:7" x14ac:dyDescent="0.25">
      <c r="B80" s="11"/>
      <c r="C80" s="14"/>
      <c r="D80" s="23"/>
      <c r="E80" s="23"/>
      <c r="F80" s="14"/>
      <c r="G80" s="11"/>
    </row>
    <row r="81" ht="15" customHeight="1" spans="2:7" x14ac:dyDescent="0.25">
      <c r="B81" s="11"/>
      <c r="C81" s="14"/>
      <c r="D81" s="23"/>
      <c r="E81" s="23"/>
      <c r="F81" s="14"/>
      <c r="G81" s="11"/>
    </row>
    <row r="82" ht="15" customHeight="1" spans="2:7" x14ac:dyDescent="0.25">
      <c r="B82" s="11"/>
      <c r="C82" s="14"/>
      <c r="D82" s="23"/>
      <c r="E82" s="23"/>
      <c r="F82" s="14"/>
      <c r="G82" s="11"/>
    </row>
    <row r="83" ht="15" customHeight="1" spans="2:7" x14ac:dyDescent="0.25">
      <c r="B83" s="11"/>
      <c r="C83" s="14"/>
      <c r="D83" s="23"/>
      <c r="E83" s="23"/>
      <c r="F83" s="14"/>
      <c r="G83" s="11"/>
    </row>
    <row r="84" ht="15" customHeight="1" spans="2:7" x14ac:dyDescent="0.25">
      <c r="B84" s="11"/>
      <c r="C84" s="14"/>
      <c r="D84" s="23"/>
      <c r="E84" s="23"/>
      <c r="F84" s="14"/>
      <c r="G84" s="11"/>
    </row>
    <row r="85" ht="15" customHeight="1" spans="2:7" x14ac:dyDescent="0.25">
      <c r="B85" s="11"/>
      <c r="C85" s="14"/>
      <c r="D85" s="23"/>
      <c r="E85" s="23"/>
      <c r="F85" s="14"/>
      <c r="G85" s="11"/>
    </row>
    <row r="86" ht="15" customHeight="1" spans="2:7" x14ac:dyDescent="0.25">
      <c r="B86" s="11"/>
      <c r="C86" s="14"/>
      <c r="D86" s="23"/>
      <c r="E86" s="23"/>
      <c r="F86" s="14"/>
      <c r="G86" s="11"/>
    </row>
    <row r="87" ht="15" customHeight="1" spans="2:7" x14ac:dyDescent="0.25">
      <c r="B87" s="11"/>
      <c r="C87" s="14"/>
      <c r="D87" s="23"/>
      <c r="E87" s="23"/>
      <c r="F87" s="14"/>
      <c r="G87" s="11"/>
    </row>
    <row r="88" ht="15" customHeight="1" spans="2:7" x14ac:dyDescent="0.25">
      <c r="B88" s="11"/>
      <c r="C88" s="14"/>
      <c r="D88" s="23"/>
      <c r="E88" s="23"/>
      <c r="F88" s="14"/>
      <c r="G88" s="11"/>
    </row>
    <row r="89" spans="2:3" x14ac:dyDescent="0.25">
      <c r="B89" s="7" t="s">
        <v>204</v>
      </c>
      <c r="C89" s="19">
        <f>SUMIFS(D79:D88,C79:C88,"Property")+SUMIFS(D79:D88,C79:C88,"Other asset")+IF(C68="Debit",N(C69),0)+IF(D68="Debit",N(D69),0)</f>
      </c>
    </row>
    <row r="90" spans="2:3" x14ac:dyDescent="0.25">
      <c r="B90" s="7" t="s">
        <v>205</v>
      </c>
      <c r="C90" s="19">
        <f>SUMIFS(D79:D88,C79:C88,"Bond")+SUMIFS(D79:D88,C79:C88,"Other debt")+IF(C68="Credit",N(C69),0)+IF(D68="Credit",N(D69),0)</f>
      </c>
    </row>
    <row r="91" spans="2:3" x14ac:dyDescent="0.25">
      <c r="B91" s="24" t="s">
        <v>206</v>
      </c>
      <c r="C91" s="25">
        <f>C89-C90</f>
      </c>
    </row>
    <row r="92" spans="2:4" x14ac:dyDescent="0.25">
      <c r="B92" s="13" t="s">
        <v>207</v>
      </c>
      <c r="C92" s="13">
        <f>'Lists'!$A$2</f>
      </c>
      <c r="D92" s="13">
        <f>'Lists'!$A$3</f>
      </c>
    </row>
    <row r="93" spans="2:4" x14ac:dyDescent="0.25">
      <c r="B93" s="7" t="s">
        <v>208</v>
      </c>
      <c r="C93" s="19">
        <f>IF(OR(C55="Trust",C67=""),"",ROUND(IF(OR(C55="Partnership",C55="Sole Proprietor"),C91,MAX(0,C91))*N(C67)/100,0))</f>
      </c>
      <c r="D93" s="19">
        <f>IF(OR(C55="Trust",D67=""),"",ROUND(IF(OR(C55="Partnership",C55="Sole Proprietor"),C91,MAX(0,C91))*N(D67)/100,0))</f>
      </c>
    </row>
    <row r="94" spans="2:4" x14ac:dyDescent="0.25">
      <c r="B94" s="24" t="s">
        <v>209</v>
      </c>
      <c r="C94" s="25">
        <f>IF(C55="Trust","",IF(C73&lt;&gt;"",C73,C93))</f>
      </c>
      <c r="D94" s="25">
        <f>IF(C55="Trust","",IF(D73&lt;&gt;"",D73,D93))</f>
      </c>
    </row>
    <row r="95" spans="2:2" x14ac:dyDescent="0.25">
      <c r="B95" s="29" t="s">
        <v>210</v>
      </c>
    </row>
    <row r="98" ht="18" customHeight="1" spans="2:26" x14ac:dyDescent="0.25">
      <c r="B98" s="4" t="s">
        <v>212</v>
      </c>
      <c r="C98" s="5"/>
      <c r="D98" s="5"/>
      <c r="E98" s="5"/>
      <c r="F98" s="5"/>
      <c r="G98" s="5"/>
    </row>
    <row r="99" spans="2:5" x14ac:dyDescent="0.25">
      <c r="B99" s="7" t="s">
        <v>177</v>
      </c>
      <c r="C99" s="11"/>
      <c r="D99" s="11"/>
      <c r="E99" s="11"/>
    </row>
    <row r="100" spans="2:3" x14ac:dyDescent="0.25">
      <c r="B100" s="7" t="s">
        <v>58</v>
      </c>
      <c r="C100" s="14"/>
    </row>
    <row r="101" spans="2:3" x14ac:dyDescent="0.25">
      <c r="B101" s="7" t="s">
        <v>178</v>
      </c>
      <c r="C101" s="14"/>
    </row>
    <row r="102" spans="2:3" x14ac:dyDescent="0.25">
      <c r="B102" s="7" t="s">
        <v>179</v>
      </c>
      <c r="C102" s="14"/>
    </row>
    <row r="103" spans="2:3" x14ac:dyDescent="0.25">
      <c r="B103" s="7" t="s">
        <v>180</v>
      </c>
      <c r="C103" s="14"/>
    </row>
    <row r="104" spans="2:3" x14ac:dyDescent="0.25">
      <c r="B104" s="7" t="s">
        <v>181</v>
      </c>
      <c r="C104" s="10"/>
    </row>
    <row r="105" spans="2:3" x14ac:dyDescent="0.25">
      <c r="B105" s="7" t="s">
        <v>182</v>
      </c>
      <c r="C105" s="14"/>
    </row>
    <row r="106" spans="2:3" x14ac:dyDescent="0.25">
      <c r="B106" s="7" t="s">
        <v>183</v>
      </c>
      <c r="C106" s="14"/>
    </row>
    <row r="107" spans="2:5" x14ac:dyDescent="0.25">
      <c r="B107" s="7" t="s">
        <v>131</v>
      </c>
      <c r="C107" s="11"/>
      <c r="D107" s="11"/>
      <c r="E107" s="11"/>
    </row>
    <row r="108" spans="2:3" x14ac:dyDescent="0.25">
      <c r="B108" s="7" t="s">
        <v>184</v>
      </c>
      <c r="C108" s="14"/>
    </row>
    <row r="109" spans="2:3" x14ac:dyDescent="0.25">
      <c r="B109" s="7" t="s">
        <v>185</v>
      </c>
      <c r="C109" s="14"/>
    </row>
    <row r="110" spans="2:5" x14ac:dyDescent="0.25">
      <c r="B110" s="7" t="s">
        <v>83</v>
      </c>
      <c r="C110" s="11"/>
      <c r="D110" s="11"/>
      <c r="E110" s="11"/>
    </row>
    <row r="111" spans="2:4" x14ac:dyDescent="0.25">
      <c r="B111" s="13" t="s">
        <v>186</v>
      </c>
      <c r="C111" s="13">
        <f>'Lists'!$A$2</f>
      </c>
      <c r="D111" s="13">
        <f>'Lists'!$A$3</f>
      </c>
    </row>
    <row r="112" spans="2:4" x14ac:dyDescent="0.25">
      <c r="B112" s="7" t="s">
        <v>187</v>
      </c>
      <c r="C112" s="27"/>
      <c r="D112" s="27"/>
    </row>
    <row r="113" ht="26" customHeight="1" spans="2:4" x14ac:dyDescent="0.25">
      <c r="B113" s="7" t="s">
        <v>188</v>
      </c>
      <c r="C113" s="14"/>
      <c r="D113" s="14"/>
    </row>
    <row r="114" spans="2:4" x14ac:dyDescent="0.25">
      <c r="B114" s="7" t="s">
        <v>189</v>
      </c>
      <c r="C114" s="23"/>
      <c r="D114" s="23"/>
    </row>
    <row r="115" spans="2:4" x14ac:dyDescent="0.25">
      <c r="B115" s="7" t="s">
        <v>190</v>
      </c>
      <c r="C115" s="23"/>
      <c r="D115" s="23"/>
    </row>
    <row r="116" spans="2:4" x14ac:dyDescent="0.25">
      <c r="B116" s="7" t="s">
        <v>191</v>
      </c>
      <c r="C116" s="10"/>
      <c r="D116" s="10"/>
    </row>
    <row r="117" spans="2:4" x14ac:dyDescent="0.25">
      <c r="B117" s="7" t="s">
        <v>192</v>
      </c>
      <c r="C117" s="14"/>
      <c r="D117" s="14"/>
    </row>
    <row r="118" ht="26" customHeight="1" spans="2:4" x14ac:dyDescent="0.25">
      <c r="B118" s="7" t="s">
        <v>193</v>
      </c>
      <c r="C118" s="23"/>
      <c r="D118" s="23"/>
    </row>
    <row r="120" spans="2:2" x14ac:dyDescent="0.25">
      <c r="B120" s="28" t="s">
        <v>194</v>
      </c>
    </row>
    <row r="121" ht="15" customHeight="1" spans="2:7" x14ac:dyDescent="0.25">
      <c r="B121" s="12" t="s">
        <v>195</v>
      </c>
      <c r="C121" s="12"/>
      <c r="D121" s="12"/>
      <c r="E121" s="12"/>
      <c r="F121" s="12"/>
      <c r="G121" s="12"/>
    </row>
    <row r="122" hidden="1" spans="2:26" x14ac:dyDescent="0.25">
      <c r="B122" t="s">
        <v>71</v>
      </c>
      <c r="C122" t="s">
        <v>196</v>
      </c>
      <c r="D122" t="s">
        <v>107</v>
      </c>
      <c r="E122" t="s">
        <v>109</v>
      </c>
      <c r="F122" t="s">
        <v>119</v>
      </c>
      <c r="G122" t="s">
        <v>77</v>
      </c>
      <c r="Z122" t="s">
        <v>20</v>
      </c>
    </row>
    <row r="123" ht="30" customHeight="1" spans="2:7" x14ac:dyDescent="0.25">
      <c r="B123" s="13" t="s">
        <v>197</v>
      </c>
      <c r="C123" s="13" t="s">
        <v>198</v>
      </c>
      <c r="D123" s="13" t="s">
        <v>199</v>
      </c>
      <c r="E123" s="13" t="s">
        <v>200</v>
      </c>
      <c r="F123" s="13" t="s">
        <v>134</v>
      </c>
      <c r="G123" s="13" t="s">
        <v>83</v>
      </c>
    </row>
    <row r="124" ht="15" customHeight="1" spans="2:7" x14ac:dyDescent="0.25">
      <c r="B124" s="11"/>
      <c r="C124" s="14"/>
      <c r="D124" s="23"/>
      <c r="E124" s="23"/>
      <c r="F124" s="14"/>
      <c r="G124" s="11"/>
    </row>
    <row r="125" ht="15" customHeight="1" spans="2:7" x14ac:dyDescent="0.25">
      <c r="B125" s="11"/>
      <c r="C125" s="14"/>
      <c r="D125" s="23"/>
      <c r="E125" s="23"/>
      <c r="F125" s="14"/>
      <c r="G125" s="11"/>
    </row>
    <row r="126" ht="15" customHeight="1" spans="2:7" x14ac:dyDescent="0.25">
      <c r="B126" s="11"/>
      <c r="C126" s="14"/>
      <c r="D126" s="23"/>
      <c r="E126" s="23"/>
      <c r="F126" s="14"/>
      <c r="G126" s="11"/>
    </row>
    <row r="127" ht="15" customHeight="1" spans="2:7" x14ac:dyDescent="0.25">
      <c r="B127" s="11"/>
      <c r="C127" s="14"/>
      <c r="D127" s="23"/>
      <c r="E127" s="23"/>
      <c r="F127" s="14"/>
      <c r="G127" s="11"/>
    </row>
    <row r="128" ht="15" customHeight="1" spans="2:7" x14ac:dyDescent="0.25">
      <c r="B128" s="11"/>
      <c r="C128" s="14"/>
      <c r="D128" s="23"/>
      <c r="E128" s="23"/>
      <c r="F128" s="14"/>
      <c r="G128" s="11"/>
    </row>
    <row r="129" ht="15" customHeight="1" spans="2:7" x14ac:dyDescent="0.25">
      <c r="B129" s="11"/>
      <c r="C129" s="14"/>
      <c r="D129" s="23"/>
      <c r="E129" s="23"/>
      <c r="F129" s="14"/>
      <c r="G129" s="11"/>
    </row>
    <row r="130" ht="15" customHeight="1" spans="2:7" x14ac:dyDescent="0.25">
      <c r="B130" s="11"/>
      <c r="C130" s="14"/>
      <c r="D130" s="23"/>
      <c r="E130" s="23"/>
      <c r="F130" s="14"/>
      <c r="G130" s="11"/>
    </row>
    <row r="131" ht="15" customHeight="1" spans="2:7" x14ac:dyDescent="0.25">
      <c r="B131" s="11"/>
      <c r="C131" s="14"/>
      <c r="D131" s="23"/>
      <c r="E131" s="23"/>
      <c r="F131" s="14"/>
      <c r="G131" s="11"/>
    </row>
    <row r="132" ht="15" customHeight="1" spans="2:7" x14ac:dyDescent="0.25">
      <c r="B132" s="11"/>
      <c r="C132" s="14"/>
      <c r="D132" s="23"/>
      <c r="E132" s="23"/>
      <c r="F132" s="14"/>
      <c r="G132" s="11"/>
    </row>
    <row r="133" ht="15" customHeight="1" spans="2:7" x14ac:dyDescent="0.25">
      <c r="B133" s="11"/>
      <c r="C133" s="14"/>
      <c r="D133" s="23"/>
      <c r="E133" s="23"/>
      <c r="F133" s="14"/>
      <c r="G133" s="11"/>
    </row>
    <row r="134" spans="2:3" x14ac:dyDescent="0.25">
      <c r="B134" s="7" t="s">
        <v>204</v>
      </c>
      <c r="C134" s="19">
        <f>SUMIFS(D124:D133,C124:C133,"Property")+SUMIFS(D124:D133,C124:C133,"Other asset")+IF(C113="Debit",N(C114),0)+IF(D113="Debit",N(D114),0)</f>
      </c>
    </row>
    <row r="135" spans="2:3" x14ac:dyDescent="0.25">
      <c r="B135" s="7" t="s">
        <v>205</v>
      </c>
      <c r="C135" s="19">
        <f>SUMIFS(D124:D133,C124:C133,"Bond")+SUMIFS(D124:D133,C124:C133,"Other debt")+IF(C113="Credit",N(C114),0)+IF(D113="Credit",N(D114),0)</f>
      </c>
    </row>
    <row r="136" spans="2:3" x14ac:dyDescent="0.25">
      <c r="B136" s="24" t="s">
        <v>206</v>
      </c>
      <c r="C136" s="25">
        <f>C134-C135</f>
      </c>
    </row>
    <row r="137" spans="2:4" x14ac:dyDescent="0.25">
      <c r="B137" s="13" t="s">
        <v>207</v>
      </c>
      <c r="C137" s="13">
        <f>'Lists'!$A$2</f>
      </c>
      <c r="D137" s="13">
        <f>'Lists'!$A$3</f>
      </c>
    </row>
    <row r="138" spans="2:4" x14ac:dyDescent="0.25">
      <c r="B138" s="7" t="s">
        <v>208</v>
      </c>
      <c r="C138" s="19">
        <f>IF(OR(C100="Trust",C112=""),"",ROUND(IF(OR(C100="Partnership",C100="Sole Proprietor"),C136,MAX(0,C136))*N(C112)/100,0))</f>
      </c>
      <c r="D138" s="19">
        <f>IF(OR(C100="Trust",D112=""),"",ROUND(IF(OR(C100="Partnership",C100="Sole Proprietor"),C136,MAX(0,C136))*N(D112)/100,0))</f>
      </c>
    </row>
    <row r="139" spans="2:4" x14ac:dyDescent="0.25">
      <c r="B139" s="24" t="s">
        <v>209</v>
      </c>
      <c r="C139" s="25">
        <f>IF(C100="Trust","",IF(C118&lt;&gt;"",C118,C138))</f>
      </c>
      <c r="D139" s="25">
        <f>IF(C100="Trust","",IF(D118&lt;&gt;"",D118,D138))</f>
      </c>
    </row>
    <row r="140" spans="2:2" x14ac:dyDescent="0.25">
      <c r="B140" s="29" t="s">
        <v>210</v>
      </c>
    </row>
    <row r="143" ht="18" customHeight="1" spans="2:26" x14ac:dyDescent="0.25">
      <c r="B143" s="4" t="s">
        <v>213</v>
      </c>
      <c r="C143" s="5"/>
      <c r="D143" s="5"/>
      <c r="E143" s="5"/>
      <c r="F143" s="5"/>
      <c r="G143" s="5"/>
    </row>
    <row r="144" spans="2:5" x14ac:dyDescent="0.25">
      <c r="B144" s="7" t="s">
        <v>177</v>
      </c>
      <c r="C144" s="11"/>
      <c r="D144" s="11"/>
      <c r="E144" s="11"/>
    </row>
    <row r="145" spans="2:3" x14ac:dyDescent="0.25">
      <c r="B145" s="7" t="s">
        <v>58</v>
      </c>
      <c r="C145" s="14"/>
    </row>
    <row r="146" spans="2:3" x14ac:dyDescent="0.25">
      <c r="B146" s="7" t="s">
        <v>178</v>
      </c>
      <c r="C146" s="14"/>
    </row>
    <row r="147" spans="2:3" x14ac:dyDescent="0.25">
      <c r="B147" s="7" t="s">
        <v>179</v>
      </c>
      <c r="C147" s="14"/>
    </row>
    <row r="148" spans="2:3" x14ac:dyDescent="0.25">
      <c r="B148" s="7" t="s">
        <v>180</v>
      </c>
      <c r="C148" s="14"/>
    </row>
    <row r="149" spans="2:3" x14ac:dyDescent="0.25">
      <c r="B149" s="7" t="s">
        <v>181</v>
      </c>
      <c r="C149" s="10"/>
    </row>
    <row r="150" spans="2:3" x14ac:dyDescent="0.25">
      <c r="B150" s="7" t="s">
        <v>182</v>
      </c>
      <c r="C150" s="14"/>
    </row>
    <row r="151" spans="2:3" x14ac:dyDescent="0.25">
      <c r="B151" s="7" t="s">
        <v>183</v>
      </c>
      <c r="C151" s="14"/>
    </row>
    <row r="152" spans="2:5" x14ac:dyDescent="0.25">
      <c r="B152" s="7" t="s">
        <v>131</v>
      </c>
      <c r="C152" s="11"/>
      <c r="D152" s="11"/>
      <c r="E152" s="11"/>
    </row>
    <row r="153" spans="2:3" x14ac:dyDescent="0.25">
      <c r="B153" s="7" t="s">
        <v>184</v>
      </c>
      <c r="C153" s="14"/>
    </row>
    <row r="154" spans="2:3" x14ac:dyDescent="0.25">
      <c r="B154" s="7" t="s">
        <v>185</v>
      </c>
      <c r="C154" s="14"/>
    </row>
    <row r="155" spans="2:5" x14ac:dyDescent="0.25">
      <c r="B155" s="7" t="s">
        <v>83</v>
      </c>
      <c r="C155" s="11"/>
      <c r="D155" s="11"/>
      <c r="E155" s="11"/>
    </row>
    <row r="156" spans="2:4" x14ac:dyDescent="0.25">
      <c r="B156" s="13" t="s">
        <v>186</v>
      </c>
      <c r="C156" s="13">
        <f>'Lists'!$A$2</f>
      </c>
      <c r="D156" s="13">
        <f>'Lists'!$A$3</f>
      </c>
    </row>
    <row r="157" spans="2:4" x14ac:dyDescent="0.25">
      <c r="B157" s="7" t="s">
        <v>187</v>
      </c>
      <c r="C157" s="27"/>
      <c r="D157" s="27"/>
    </row>
    <row r="158" ht="26" customHeight="1" spans="2:4" x14ac:dyDescent="0.25">
      <c r="B158" s="7" t="s">
        <v>188</v>
      </c>
      <c r="C158" s="14"/>
      <c r="D158" s="14"/>
    </row>
    <row r="159" spans="2:4" x14ac:dyDescent="0.25">
      <c r="B159" s="7" t="s">
        <v>189</v>
      </c>
      <c r="C159" s="23"/>
      <c r="D159" s="23"/>
    </row>
    <row r="160" spans="2:4" x14ac:dyDescent="0.25">
      <c r="B160" s="7" t="s">
        <v>190</v>
      </c>
      <c r="C160" s="23"/>
      <c r="D160" s="23"/>
    </row>
    <row r="161" spans="2:4" x14ac:dyDescent="0.25">
      <c r="B161" s="7" t="s">
        <v>191</v>
      </c>
      <c r="C161" s="10"/>
      <c r="D161" s="10"/>
    </row>
    <row r="162" spans="2:4" x14ac:dyDescent="0.25">
      <c r="B162" s="7" t="s">
        <v>192</v>
      </c>
      <c r="C162" s="14"/>
      <c r="D162" s="14"/>
    </row>
    <row r="163" ht="26" customHeight="1" spans="2:4" x14ac:dyDescent="0.25">
      <c r="B163" s="7" t="s">
        <v>193</v>
      </c>
      <c r="C163" s="23"/>
      <c r="D163" s="23"/>
    </row>
    <row r="165" spans="2:2" x14ac:dyDescent="0.25">
      <c r="B165" s="28" t="s">
        <v>194</v>
      </c>
    </row>
    <row r="166" ht="15" customHeight="1" spans="2:7" x14ac:dyDescent="0.25">
      <c r="B166" s="12" t="s">
        <v>195</v>
      </c>
      <c r="C166" s="12"/>
      <c r="D166" s="12"/>
      <c r="E166" s="12"/>
      <c r="F166" s="12"/>
      <c r="G166" s="12"/>
    </row>
    <row r="167" hidden="1" spans="2:26" x14ac:dyDescent="0.25">
      <c r="B167" t="s">
        <v>71</v>
      </c>
      <c r="C167" t="s">
        <v>196</v>
      </c>
      <c r="D167" t="s">
        <v>107</v>
      </c>
      <c r="E167" t="s">
        <v>109</v>
      </c>
      <c r="F167" t="s">
        <v>119</v>
      </c>
      <c r="G167" t="s">
        <v>77</v>
      </c>
      <c r="Z167" t="s">
        <v>20</v>
      </c>
    </row>
    <row r="168" ht="30" customHeight="1" spans="2:7" x14ac:dyDescent="0.25">
      <c r="B168" s="13" t="s">
        <v>197</v>
      </c>
      <c r="C168" s="13" t="s">
        <v>198</v>
      </c>
      <c r="D168" s="13" t="s">
        <v>199</v>
      </c>
      <c r="E168" s="13" t="s">
        <v>200</v>
      </c>
      <c r="F168" s="13" t="s">
        <v>134</v>
      </c>
      <c r="G168" s="13" t="s">
        <v>83</v>
      </c>
    </row>
    <row r="169" ht="15" customHeight="1" spans="2:7" x14ac:dyDescent="0.25">
      <c r="B169" s="11"/>
      <c r="C169" s="14"/>
      <c r="D169" s="23"/>
      <c r="E169" s="23"/>
      <c r="F169" s="14"/>
      <c r="G169" s="11"/>
    </row>
    <row r="170" ht="15" customHeight="1" spans="2:7" x14ac:dyDescent="0.25">
      <c r="B170" s="11"/>
      <c r="C170" s="14"/>
      <c r="D170" s="23"/>
      <c r="E170" s="23"/>
      <c r="F170" s="14"/>
      <c r="G170" s="11"/>
    </row>
    <row r="171" ht="15" customHeight="1" spans="2:7" x14ac:dyDescent="0.25">
      <c r="B171" s="11"/>
      <c r="C171" s="14"/>
      <c r="D171" s="23"/>
      <c r="E171" s="23"/>
      <c r="F171" s="14"/>
      <c r="G171" s="11"/>
    </row>
    <row r="172" ht="15" customHeight="1" spans="2:7" x14ac:dyDescent="0.25">
      <c r="B172" s="11"/>
      <c r="C172" s="14"/>
      <c r="D172" s="23"/>
      <c r="E172" s="23"/>
      <c r="F172" s="14"/>
      <c r="G172" s="11"/>
    </row>
    <row r="173" ht="15" customHeight="1" spans="2:7" x14ac:dyDescent="0.25">
      <c r="B173" s="11"/>
      <c r="C173" s="14"/>
      <c r="D173" s="23"/>
      <c r="E173" s="23"/>
      <c r="F173" s="14"/>
      <c r="G173" s="11"/>
    </row>
    <row r="174" ht="15" customHeight="1" spans="2:7" x14ac:dyDescent="0.25">
      <c r="B174" s="11"/>
      <c r="C174" s="14"/>
      <c r="D174" s="23"/>
      <c r="E174" s="23"/>
      <c r="F174" s="14"/>
      <c r="G174" s="11"/>
    </row>
    <row r="175" ht="15" customHeight="1" spans="2:7" x14ac:dyDescent="0.25">
      <c r="B175" s="11"/>
      <c r="C175" s="14"/>
      <c r="D175" s="23"/>
      <c r="E175" s="23"/>
      <c r="F175" s="14"/>
      <c r="G175" s="11"/>
    </row>
    <row r="176" ht="15" customHeight="1" spans="2:7" x14ac:dyDescent="0.25">
      <c r="B176" s="11"/>
      <c r="C176" s="14"/>
      <c r="D176" s="23"/>
      <c r="E176" s="23"/>
      <c r="F176" s="14"/>
      <c r="G176" s="11"/>
    </row>
    <row r="177" ht="15" customHeight="1" spans="2:7" x14ac:dyDescent="0.25">
      <c r="B177" s="11"/>
      <c r="C177" s="14"/>
      <c r="D177" s="23"/>
      <c r="E177" s="23"/>
      <c r="F177" s="14"/>
      <c r="G177" s="11"/>
    </row>
    <row r="178" ht="15" customHeight="1" spans="2:7" x14ac:dyDescent="0.25">
      <c r="B178" s="11"/>
      <c r="C178" s="14"/>
      <c r="D178" s="23"/>
      <c r="E178" s="23"/>
      <c r="F178" s="14"/>
      <c r="G178" s="11"/>
    </row>
    <row r="179" spans="2:3" x14ac:dyDescent="0.25">
      <c r="B179" s="7" t="s">
        <v>204</v>
      </c>
      <c r="C179" s="19">
        <f>SUMIFS(D169:D178,C169:C178,"Property")+SUMIFS(D169:D178,C169:C178,"Other asset")+IF(C158="Debit",N(C159),0)+IF(D158="Debit",N(D159),0)</f>
      </c>
    </row>
    <row r="180" spans="2:3" x14ac:dyDescent="0.25">
      <c r="B180" s="7" t="s">
        <v>205</v>
      </c>
      <c r="C180" s="19">
        <f>SUMIFS(D169:D178,C169:C178,"Bond")+SUMIFS(D169:D178,C169:C178,"Other debt")+IF(C158="Credit",N(C159),0)+IF(D158="Credit",N(D159),0)</f>
      </c>
    </row>
    <row r="181" spans="2:3" x14ac:dyDescent="0.25">
      <c r="B181" s="24" t="s">
        <v>206</v>
      </c>
      <c r="C181" s="25">
        <f>C179-C180</f>
      </c>
    </row>
    <row r="182" spans="2:4" x14ac:dyDescent="0.25">
      <c r="B182" s="13" t="s">
        <v>207</v>
      </c>
      <c r="C182" s="13">
        <f>'Lists'!$A$2</f>
      </c>
      <c r="D182" s="13">
        <f>'Lists'!$A$3</f>
      </c>
    </row>
    <row r="183" spans="2:4" x14ac:dyDescent="0.25">
      <c r="B183" s="7" t="s">
        <v>208</v>
      </c>
      <c r="C183" s="19">
        <f>IF(OR(C145="Trust",C157=""),"",ROUND(IF(OR(C145="Partnership",C145="Sole Proprietor"),C181,MAX(0,C181))*N(C157)/100,0))</f>
      </c>
      <c r="D183" s="19">
        <f>IF(OR(C145="Trust",D157=""),"",ROUND(IF(OR(C145="Partnership",C145="Sole Proprietor"),C181,MAX(0,C181))*N(D157)/100,0))</f>
      </c>
    </row>
    <row r="184" spans="2:4" x14ac:dyDescent="0.25">
      <c r="B184" s="24" t="s">
        <v>209</v>
      </c>
      <c r="C184" s="25">
        <f>IF(C145="Trust","",IF(C163&lt;&gt;"",C163,C183))</f>
      </c>
      <c r="D184" s="25">
        <f>IF(C145="Trust","",IF(D163&lt;&gt;"",D163,D183))</f>
      </c>
    </row>
    <row r="185" spans="2:2" x14ac:dyDescent="0.25">
      <c r="B185" s="29" t="s">
        <v>210</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type="date" allowBlank="1" showErrorMessage="1" errorStyle="stop" errorTitle="Date" error="Please type a date like 2012-03-31. If you only know the year, type the 1st of January of that year and say so in Notes." sqref="C104">
      <formula1>7306</formula1>
      <formula2>73415</formula2>
    </dataValidation>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type="date" allowBlank="1" showErrorMessage="1" errorStyle="stop" errorTitle="Date" error="Please type a date like 2012-03-31. If you only know the year, type the 1st of January of that year and say so in Notes." sqref="C116:D116">
      <formula1>7306</formula1>
      <formula2>73415</formula2>
    </dataValidation>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type="date" allowBlank="1" showErrorMessage="1" errorStyle="stop" errorTitle="Date" error="Please type a date like 2012-03-31. If you only know the year, type the 1st of January of that year and say so in Notes." sqref="C13">
      <formula1>7306</formula1>
      <formula2>73415</formula2>
    </dataValidation>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type="date" allowBlank="1" showErrorMessage="1" errorStyle="stop" errorTitle="Date" error="Please type a date like 2012-03-31. If you only know the year, type the 1st of January of that year and say so in Notes." sqref="C149">
      <formula1>7306</formula1>
      <formula2>73415</formula2>
    </dataValidation>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type="date" allowBlank="1" showErrorMessage="1" errorStyle="stop" errorTitle="Date" error="Please type a date like 2012-03-31. If you only know the year, type the 1st of January of that year and say so in Notes." sqref="C161:D161">
      <formula1>7306</formula1>
      <formula2>73415</formula2>
    </dataValidation>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type="date" allowBlank="1" showErrorMessage="1" errorStyle="stop" errorTitle="Date" error="Please type a date like 2012-03-31. If you only know the year, type the 1st of January of that year and say so in Notes." sqref="C25:D25">
      <formula1>7306</formula1>
      <formula2>73415</formula2>
    </dataValidation>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type="date" allowBlank="1" showErrorMessage="1" errorStyle="stop" errorTitle="Date" error="Please type a date like 2012-03-31. If you only know the year, type the 1st of January of that year and say so in Notes." sqref="C59">
      <formula1>7306</formula1>
      <formula2>73415</formula2>
    </dataValidation>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type="date" allowBlank="1" showErrorMessage="1" errorStyle="stop" errorTitle="Date" error="Please type a date like 2012-03-31. If you only know the year, type the 1st of January of that year and say so in Notes." sqref="C71:D71">
      <formula1>7306</formula1>
      <formula2>73415</formula2>
    </dataValidation>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2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214</v>
      </c>
    </row>
    <row r="6" ht="18" customHeight="1" spans="2:10" x14ac:dyDescent="0.25">
      <c r="B6" s="4" t="s">
        <v>215</v>
      </c>
      <c r="C6" s="5"/>
      <c r="D6" s="5"/>
      <c r="E6" s="5"/>
      <c r="F6" s="5"/>
      <c r="G6" s="5"/>
      <c r="H6" s="5"/>
      <c r="I6" s="5"/>
      <c r="J6" s="5"/>
    </row>
    <row r="7" ht="26" customHeight="1" spans="2:10" x14ac:dyDescent="0.25">
      <c r="B7" s="12" t="s">
        <v>216</v>
      </c>
      <c r="C7" s="12"/>
      <c r="D7" s="12"/>
      <c r="E7" s="12"/>
      <c r="F7" s="12"/>
      <c r="G7" s="12"/>
      <c r="H7" s="12"/>
      <c r="I7" s="12"/>
      <c r="J7" s="12"/>
    </row>
    <row r="8" hidden="1" spans="2:26" x14ac:dyDescent="0.25">
      <c r="B8" t="s">
        <v>71</v>
      </c>
      <c r="C8" t="s">
        <v>217</v>
      </c>
      <c r="D8" t="s">
        <v>218</v>
      </c>
      <c r="E8" t="s">
        <v>219</v>
      </c>
      <c r="F8" t="s">
        <v>220</v>
      </c>
      <c r="G8" t="s">
        <v>221</v>
      </c>
      <c r="H8" t="s">
        <v>222</v>
      </c>
      <c r="I8" t="s">
        <v>223</v>
      </c>
      <c r="J8" t="s">
        <v>77</v>
      </c>
      <c r="Z8" t="s">
        <v>20</v>
      </c>
    </row>
    <row r="9" ht="30" customHeight="1" spans="2:10" x14ac:dyDescent="0.25">
      <c r="B9" s="13" t="s">
        <v>224</v>
      </c>
      <c r="C9" s="13" t="s">
        <v>225</v>
      </c>
      <c r="D9" s="13" t="s">
        <v>226</v>
      </c>
      <c r="E9" s="13" t="s">
        <v>227</v>
      </c>
      <c r="F9" s="13" t="s">
        <v>228</v>
      </c>
      <c r="G9" s="13" t="s">
        <v>229</v>
      </c>
      <c r="H9" s="13" t="s">
        <v>230</v>
      </c>
      <c r="I9" s="13" t="s">
        <v>131</v>
      </c>
      <c r="J9" s="13" t="s">
        <v>83</v>
      </c>
    </row>
    <row r="10" spans="1:10" x14ac:dyDescent="0.25">
      <c r="B10" s="21" t="s">
        <v>231</v>
      </c>
      <c r="C10" s="21" t="s">
        <v>232</v>
      </c>
      <c r="D10" s="21" t="s">
        <v>233</v>
      </c>
      <c r="E10" s="22">
        <v>40000</v>
      </c>
      <c r="F10" s="21">
        <v>20</v>
      </c>
      <c r="G10" s="21" t="s">
        <v>97</v>
      </c>
      <c r="H10" s="21" t="s">
        <v>137</v>
      </c>
      <c r="I10" s="21" t="s">
        <v>97</v>
      </c>
      <c r="J10" s="21" t="s">
        <v>97</v>
      </c>
    </row>
    <row r="11" ht="15" customHeight="1" spans="2:10" x14ac:dyDescent="0.25">
      <c r="B11" s="11"/>
      <c r="C11" s="14"/>
      <c r="D11" s="14"/>
      <c r="E11" s="23"/>
      <c r="F11" s="27"/>
      <c r="G11" s="27"/>
      <c r="H11" s="14"/>
      <c r="I11" s="11"/>
      <c r="J11" s="11"/>
    </row>
    <row r="12" ht="15" customHeight="1" spans="2:10" x14ac:dyDescent="0.25">
      <c r="B12" s="11"/>
      <c r="C12" s="14"/>
      <c r="D12" s="14"/>
      <c r="E12" s="23"/>
      <c r="F12" s="27"/>
      <c r="G12" s="27"/>
      <c r="H12" s="14"/>
      <c r="I12" s="11"/>
      <c r="J12" s="11"/>
    </row>
    <row r="13" ht="15" customHeight="1" spans="2:10" x14ac:dyDescent="0.25">
      <c r="B13" s="11"/>
      <c r="C13" s="14"/>
      <c r="D13" s="14"/>
      <c r="E13" s="23"/>
      <c r="F13" s="27"/>
      <c r="G13" s="27"/>
      <c r="H13" s="14"/>
      <c r="I13" s="11"/>
      <c r="J13" s="11"/>
    </row>
    <row r="14" ht="15" customHeight="1" spans="2:10" x14ac:dyDescent="0.25">
      <c r="B14" s="11"/>
      <c r="C14" s="14"/>
      <c r="D14" s="14"/>
      <c r="E14" s="23"/>
      <c r="F14" s="27"/>
      <c r="G14" s="27"/>
      <c r="H14" s="14"/>
      <c r="I14" s="11"/>
      <c r="J14" s="11"/>
    </row>
    <row r="15" ht="15" customHeight="1" spans="2:10" x14ac:dyDescent="0.25">
      <c r="B15" s="11"/>
      <c r="C15" s="14"/>
      <c r="D15" s="14"/>
      <c r="E15" s="23"/>
      <c r="F15" s="27"/>
      <c r="G15" s="27"/>
      <c r="H15" s="14"/>
      <c r="I15" s="11"/>
      <c r="J15" s="11"/>
    </row>
    <row r="16" ht="15" customHeight="1" spans="2:10" x14ac:dyDescent="0.25">
      <c r="B16" s="11"/>
      <c r="C16" s="14"/>
      <c r="D16" s="14"/>
      <c r="E16" s="23"/>
      <c r="F16" s="27"/>
      <c r="G16" s="27"/>
      <c r="H16" s="14"/>
      <c r="I16" s="11"/>
      <c r="J16" s="11"/>
    </row>
    <row r="17" ht="15" customHeight="1" spans="2:10" x14ac:dyDescent="0.25">
      <c r="B17" s="11"/>
      <c r="C17" s="14"/>
      <c r="D17" s="14"/>
      <c r="E17" s="23"/>
      <c r="F17" s="27"/>
      <c r="G17" s="27"/>
      <c r="H17" s="14"/>
      <c r="I17" s="11"/>
      <c r="J17" s="11"/>
    </row>
    <row r="18" ht="15" customHeight="1" spans="2:10" x14ac:dyDescent="0.25">
      <c r="B18" s="11"/>
      <c r="C18" s="14"/>
      <c r="D18" s="14"/>
      <c r="E18" s="23"/>
      <c r="F18" s="27"/>
      <c r="G18" s="27"/>
      <c r="H18" s="14"/>
      <c r="I18" s="11"/>
      <c r="J18" s="11"/>
    </row>
    <row r="19" ht="15" customHeight="1" spans="2:10" x14ac:dyDescent="0.25">
      <c r="B19" s="11"/>
      <c r="C19" s="14"/>
      <c r="D19" s="14"/>
      <c r="E19" s="23"/>
      <c r="F19" s="27"/>
      <c r="G19" s="27"/>
      <c r="H19" s="14"/>
      <c r="I19" s="11"/>
      <c r="J19" s="11"/>
    </row>
    <row r="20" ht="15" customHeight="1" spans="2:10" x14ac:dyDescent="0.25">
      <c r="B20" s="11"/>
      <c r="C20" s="14"/>
      <c r="D20" s="14"/>
      <c r="E20" s="23"/>
      <c r="F20" s="27"/>
      <c r="G20" s="27"/>
      <c r="H20" s="14"/>
      <c r="I20" s="11"/>
      <c r="J20" s="11"/>
    </row>
    <row r="21" ht="15" customHeight="1" spans="2:10" x14ac:dyDescent="0.25">
      <c r="B21" s="11"/>
      <c r="C21" s="14"/>
      <c r="D21" s="14"/>
      <c r="E21" s="23"/>
      <c r="F21" s="27"/>
      <c r="G21" s="27"/>
      <c r="H21" s="14"/>
      <c r="I21" s="11"/>
      <c r="J21" s="11"/>
    </row>
    <row r="22" ht="15" customHeight="1" spans="2:10" x14ac:dyDescent="0.25">
      <c r="B22" s="11"/>
      <c r="C22" s="14"/>
      <c r="D22" s="14"/>
      <c r="E22" s="23"/>
      <c r="F22" s="27"/>
      <c r="G22" s="27"/>
      <c r="H22" s="14"/>
      <c r="I22" s="11"/>
      <c r="J22" s="11"/>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1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3" width="34" customWidth="1"/>
    <col min="4" max="5" width="28" customWidth="1"/>
    <col min="26" max="26" width="18" hidden="1"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234</v>
      </c>
    </row>
    <row r="5" ht="15" customHeight="1" spans="2:5" x14ac:dyDescent="0.25">
      <c r="B5" s="12" t="s">
        <v>235</v>
      </c>
      <c r="C5" s="12"/>
      <c r="D5" s="12"/>
      <c r="E5" s="12"/>
    </row>
    <row r="8" ht="18" customHeight="1" spans="2:5" x14ac:dyDescent="0.25">
      <c r="B8" s="4" t="s">
        <v>236</v>
      </c>
      <c r="C8" s="5"/>
      <c r="D8" s="5"/>
      <c r="E8" s="5"/>
    </row>
    <row r="9" spans="2:5" x14ac:dyDescent="0.25">
      <c r="B9" s="7" t="s">
        <v>60</v>
      </c>
      <c r="C9" s="30">
        <f>'Lists'!$AU$2</f>
      </c>
      <c r="D9" s="30"/>
      <c r="E9" s="30"/>
    </row>
    <row r="10" spans="2:5" x14ac:dyDescent="0.25">
      <c r="B10" s="7" t="s">
        <v>237</v>
      </c>
      <c r="C10" s="31">
        <f>'Client and family'!$C$13</f>
      </c>
      <c r="D10" s="31"/>
      <c r="E10" s="31"/>
    </row>
    <row r="11" spans="2:5" x14ac:dyDescent="0.25">
      <c r="B11" s="7" t="s">
        <v>50</v>
      </c>
      <c r="C11" s="30">
        <f>'Client and family'!$C$32</f>
      </c>
      <c r="D11" s="30"/>
      <c r="E11" s="30"/>
    </row>
    <row r="12" spans="2:5" x14ac:dyDescent="0.25">
      <c r="B12" s="7" t="s">
        <v>238</v>
      </c>
      <c r="C12" s="11"/>
      <c r="D12" s="11"/>
      <c r="E12" s="11"/>
    </row>
    <row r="13" spans="2:5" x14ac:dyDescent="0.25">
      <c r="B13" s="7" t="s">
        <v>239</v>
      </c>
      <c r="C13" s="11"/>
      <c r="D13" s="11"/>
      <c r="E13" s="11"/>
    </row>
    <row r="15" ht="18" customHeight="1" spans="2:5" x14ac:dyDescent="0.25">
      <c r="B15" s="4" t="s">
        <v>240</v>
      </c>
      <c r="C15" s="5"/>
      <c r="D15" s="5"/>
      <c r="E15" s="5"/>
    </row>
    <row r="16" spans="2:5" x14ac:dyDescent="0.25">
      <c r="B16" s="7" t="s">
        <v>241</v>
      </c>
      <c r="C16" s="30">
        <f>'Lists'!$AU$3</f>
      </c>
      <c r="D16" s="30"/>
      <c r="E16" s="30"/>
    </row>
    <row r="17" spans="2:5" x14ac:dyDescent="0.25">
      <c r="B17" s="7" t="s">
        <v>242</v>
      </c>
      <c r="C17" s="32">
        <f>IF('Client and family'!$C$33="","",'Client and family'!$C$33)</f>
      </c>
      <c r="D17" s="32"/>
      <c r="E17" s="32"/>
    </row>
    <row r="18" spans="2:5" x14ac:dyDescent="0.25">
      <c r="B18" s="7" t="s">
        <v>243</v>
      </c>
      <c r="C18" s="11"/>
      <c r="D18" s="11"/>
      <c r="E18" s="11"/>
    </row>
    <row r="19" ht="36" customHeight="1" spans="2:5" x14ac:dyDescent="0.25">
      <c r="B19" s="7" t="s">
        <v>244</v>
      </c>
      <c r="C19" s="11"/>
      <c r="D19" s="11"/>
      <c r="E19" s="11"/>
    </row>
    <row r="21" ht="18" customHeight="1" spans="2:5" x14ac:dyDescent="0.25">
      <c r="B21" s="4" t="s">
        <v>245</v>
      </c>
      <c r="C21" s="5"/>
      <c r="D21" s="5"/>
      <c r="E21" s="5"/>
    </row>
    <row r="22" spans="2:5" x14ac:dyDescent="0.25">
      <c r="B22" s="13" t="s">
        <v>246</v>
      </c>
      <c r="C22" s="13" t="s">
        <v>247</v>
      </c>
      <c r="D22" s="13"/>
      <c r="E22" s="13"/>
    </row>
    <row r="23" spans="2:5" x14ac:dyDescent="0.25">
      <c r="B23" s="9">
        <f>IF('Client and family'!$B$40="","",'Client and family'!$B$40)</f>
      </c>
      <c r="C23" s="11"/>
      <c r="D23" s="11"/>
      <c r="E23" s="11"/>
    </row>
    <row r="24" spans="2:5" x14ac:dyDescent="0.25">
      <c r="B24" s="9">
        <f>IF('Client and family'!$B$41="","",'Client and family'!$B$41)</f>
      </c>
      <c r="C24" s="11"/>
      <c r="D24" s="11"/>
      <c r="E24" s="11"/>
    </row>
    <row r="25" spans="2:5" x14ac:dyDescent="0.25">
      <c r="B25" s="9">
        <f>IF('Client and family'!$B$42="","",'Client and family'!$B$42)</f>
      </c>
      <c r="C25" s="11"/>
      <c r="D25" s="11"/>
      <c r="E25" s="11"/>
    </row>
    <row r="26" spans="2:5" x14ac:dyDescent="0.25">
      <c r="B26" s="9">
        <f>IF('Client and family'!$B$43="","",'Client and family'!$B$43)</f>
      </c>
      <c r="C26" s="11"/>
      <c r="D26" s="11"/>
      <c r="E26" s="11"/>
    </row>
    <row r="27" spans="2:5" x14ac:dyDescent="0.25">
      <c r="B27" s="9">
        <f>IF('Client and family'!$B$44="","",'Client and family'!$B$44)</f>
      </c>
      <c r="C27" s="11"/>
      <c r="D27" s="11"/>
      <c r="E27" s="11"/>
    </row>
    <row r="28" spans="2:5" x14ac:dyDescent="0.25">
      <c r="B28" s="9">
        <f>IF('Client and family'!$B$45="","",'Client and family'!$B$45)</f>
      </c>
      <c r="C28" s="11"/>
      <c r="D28" s="11"/>
      <c r="E28" s="11"/>
    </row>
    <row r="29" spans="2:5" x14ac:dyDescent="0.25">
      <c r="B29" s="9">
        <f>IF('Client and family'!$B$46="","",'Client and family'!$B$46)</f>
      </c>
      <c r="C29" s="11"/>
      <c r="D29" s="11"/>
      <c r="E29" s="11"/>
    </row>
    <row r="30" spans="2:5" x14ac:dyDescent="0.25">
      <c r="B30" s="9">
        <f>IF('Client and family'!$B$47="","",'Client and family'!$B$47)</f>
      </c>
      <c r="C30" s="11"/>
      <c r="D30" s="11"/>
      <c r="E30" s="11"/>
    </row>
    <row r="31" ht="30" customHeight="1" spans="2:5" x14ac:dyDescent="0.25">
      <c r="B31" s="7" t="s">
        <v>67</v>
      </c>
      <c r="C31" s="30">
        <f>IF('Client and family'!$C$51="","",'Client and family'!$C$51)</f>
      </c>
      <c r="D31" s="30"/>
      <c r="E31" s="30"/>
    </row>
    <row r="33" ht="18" customHeight="1" spans="2:5" x14ac:dyDescent="0.25">
      <c r="B33" s="4" t="s">
        <v>248</v>
      </c>
      <c r="C33" s="5"/>
      <c r="D33" s="5"/>
      <c r="E33" s="5"/>
    </row>
    <row r="34" spans="2:5" x14ac:dyDescent="0.25">
      <c r="B34" s="7" t="s">
        <v>249</v>
      </c>
      <c r="C34" s="11"/>
      <c r="D34" s="11"/>
      <c r="E34" s="11"/>
    </row>
    <row r="35" spans="2:5" x14ac:dyDescent="0.25">
      <c r="B35" s="7" t="s">
        <v>250</v>
      </c>
      <c r="C35" s="11"/>
      <c r="D35" s="11"/>
      <c r="E35" s="11"/>
    </row>
    <row r="36" spans="2:5" x14ac:dyDescent="0.25">
      <c r="B36" s="7" t="s">
        <v>251</v>
      </c>
      <c r="C36" s="11"/>
      <c r="D36" s="11"/>
      <c r="E36" s="11"/>
    </row>
    <row r="37" ht="36" customHeight="1" spans="2:5" x14ac:dyDescent="0.25">
      <c r="B37" s="7" t="s">
        <v>252</v>
      </c>
      <c r="C37" s="11"/>
      <c r="D37" s="11"/>
      <c r="E37" s="11"/>
    </row>
    <row r="38" spans="2:5" x14ac:dyDescent="0.25">
      <c r="B38" s="7" t="s">
        <v>253</v>
      </c>
      <c r="C38" s="14"/>
      <c r="D38" s="14"/>
      <c r="E38" s="14"/>
    </row>
    <row r="40" ht="18" customHeight="1" spans="2:5" x14ac:dyDescent="0.25">
      <c r="B40" s="4" t="s">
        <v>254</v>
      </c>
      <c r="C40" s="5"/>
      <c r="D40" s="5"/>
      <c r="E40" s="5"/>
    </row>
    <row r="41" spans="2:5" x14ac:dyDescent="0.25">
      <c r="B41" s="7" t="s">
        <v>255</v>
      </c>
      <c r="C41" s="14"/>
      <c r="D41" s="14"/>
      <c r="E41" s="14"/>
    </row>
    <row r="42" spans="2:5" x14ac:dyDescent="0.25">
      <c r="B42" s="7" t="s">
        <v>256</v>
      </c>
      <c r="C42" s="11"/>
      <c r="D42" s="11"/>
      <c r="E42" s="11"/>
    </row>
    <row r="43" spans="2:5" x14ac:dyDescent="0.25">
      <c r="B43" s="7" t="s">
        <v>257</v>
      </c>
      <c r="C43" s="15"/>
      <c r="D43" s="15"/>
      <c r="E43" s="15"/>
    </row>
    <row r="44" spans="2:5" x14ac:dyDescent="0.25">
      <c r="B44" s="7" t="s">
        <v>258</v>
      </c>
      <c r="C44" s="11"/>
      <c r="D44" s="11"/>
      <c r="E44" s="11"/>
    </row>
    <row r="45" spans="2:5" x14ac:dyDescent="0.25">
      <c r="B45" s="7" t="s">
        <v>259</v>
      </c>
      <c r="C45" s="15"/>
      <c r="D45" s="15"/>
      <c r="E45" s="15"/>
    </row>
    <row r="46" spans="2:5" x14ac:dyDescent="0.25">
      <c r="B46" s="7" t="s">
        <v>260</v>
      </c>
      <c r="C46" s="11"/>
      <c r="D46" s="11"/>
      <c r="E46" s="11"/>
    </row>
    <row r="47" spans="2:5" x14ac:dyDescent="0.25">
      <c r="B47" s="7" t="s">
        <v>261</v>
      </c>
      <c r="C47" s="15"/>
      <c r="D47" s="15"/>
      <c r="E47" s="15"/>
    </row>
    <row r="48" spans="2:5" x14ac:dyDescent="0.25">
      <c r="B48" s="7" t="s">
        <v>262</v>
      </c>
      <c r="C48" s="11"/>
      <c r="D48" s="11"/>
      <c r="E48" s="11"/>
    </row>
    <row r="49" spans="2:5" x14ac:dyDescent="0.25">
      <c r="B49" s="7" t="s">
        <v>263</v>
      </c>
      <c r="C49" s="15"/>
      <c r="D49" s="15"/>
      <c r="E49" s="15"/>
    </row>
    <row r="50" spans="2:5" x14ac:dyDescent="0.25">
      <c r="B50" s="7" t="s">
        <v>264</v>
      </c>
      <c r="C50" s="14"/>
      <c r="D50" s="14"/>
      <c r="E50" s="14"/>
    </row>
    <row r="51" ht="36" customHeight="1" spans="2:5" x14ac:dyDescent="0.25">
      <c r="B51" s="7" t="s">
        <v>265</v>
      </c>
      <c r="C51" s="11"/>
      <c r="D51" s="11"/>
      <c r="E51" s="11"/>
    </row>
    <row r="53" ht="18" customHeight="1" spans="2:5" x14ac:dyDescent="0.25">
      <c r="B53" s="4" t="s">
        <v>266</v>
      </c>
      <c r="C53" s="5"/>
      <c r="D53" s="5"/>
      <c r="E53" s="5"/>
    </row>
    <row r="54" ht="26" customHeight="1" spans="2:5" x14ac:dyDescent="0.25">
      <c r="B54" s="7" t="s">
        <v>267</v>
      </c>
      <c r="C54" s="11"/>
      <c r="D54" s="11"/>
      <c r="E54" s="11"/>
    </row>
    <row r="55" spans="2:5" x14ac:dyDescent="0.25">
      <c r="B55" s="7" t="s">
        <v>268</v>
      </c>
      <c r="C55" s="11"/>
      <c r="D55" s="11"/>
      <c r="E55" s="11"/>
    </row>
    <row r="56" spans="2:5" x14ac:dyDescent="0.25">
      <c r="B56" s="7" t="s">
        <v>269</v>
      </c>
      <c r="C56" s="15"/>
      <c r="D56" s="15"/>
      <c r="E56" s="15"/>
    </row>
    <row r="57" spans="2:5" x14ac:dyDescent="0.25">
      <c r="B57" s="7" t="s">
        <v>270</v>
      </c>
      <c r="C57" s="11"/>
      <c r="D57" s="11"/>
      <c r="E57" s="11"/>
    </row>
    <row r="58" spans="2:5" x14ac:dyDescent="0.25">
      <c r="B58" s="7" t="s">
        <v>271</v>
      </c>
      <c r="C58" s="15"/>
      <c r="D58" s="15"/>
      <c r="E58" s="15"/>
    </row>
    <row r="59" spans="2:5" x14ac:dyDescent="0.25">
      <c r="B59" s="7" t="s">
        <v>272</v>
      </c>
      <c r="C59" s="11"/>
      <c r="D59" s="11"/>
      <c r="E59" s="11"/>
    </row>
    <row r="60" spans="2:5" x14ac:dyDescent="0.25">
      <c r="B60" s="7" t="s">
        <v>273</v>
      </c>
      <c r="C60" s="15"/>
      <c r="D60" s="15"/>
      <c r="E60" s="15"/>
    </row>
    <row r="61" ht="26" customHeight="1" spans="2:5" x14ac:dyDescent="0.25">
      <c r="B61" s="7" t="s">
        <v>274</v>
      </c>
      <c r="C61" s="11"/>
      <c r="D61" s="11"/>
      <c r="E61" s="11"/>
    </row>
    <row r="62" spans="2:5" x14ac:dyDescent="0.25">
      <c r="B62" s="7" t="s">
        <v>275</v>
      </c>
      <c r="C62" s="11"/>
      <c r="D62" s="11"/>
      <c r="E62" s="11"/>
    </row>
    <row r="63" ht="36" customHeight="1" spans="2:5" x14ac:dyDescent="0.25">
      <c r="B63" s="7" t="s">
        <v>276</v>
      </c>
      <c r="C63" s="11"/>
      <c r="D63" s="11"/>
      <c r="E63" s="11"/>
    </row>
    <row r="65" ht="18" customHeight="1" spans="2:5" x14ac:dyDescent="0.25">
      <c r="B65" s="4" t="s">
        <v>277</v>
      </c>
      <c r="C65" s="5"/>
      <c r="D65" s="5"/>
      <c r="E65" s="5"/>
    </row>
    <row r="66" hidden="1" spans="2:4" x14ac:dyDescent="0.25">
      <c r="B66" t="s">
        <v>278</v>
      </c>
      <c r="C66" t="s">
        <v>279</v>
      </c>
      <c r="D66" t="s">
        <v>280</v>
      </c>
    </row>
    <row r="67" ht="22" customHeight="1" spans="2:4" x14ac:dyDescent="0.25">
      <c r="B67" s="13" t="s">
        <v>281</v>
      </c>
      <c r="C67" s="13" t="s">
        <v>282</v>
      </c>
      <c r="D67" s="13" t="s">
        <v>283</v>
      </c>
    </row>
    <row r="68" spans="2:4" x14ac:dyDescent="0.25">
      <c r="B68" s="11"/>
      <c r="C68" s="11"/>
      <c r="D68" s="11"/>
    </row>
    <row r="69" spans="2:4" x14ac:dyDescent="0.25">
      <c r="B69" s="11"/>
      <c r="C69" s="11"/>
      <c r="D69" s="11"/>
    </row>
    <row r="70" spans="2:4" x14ac:dyDescent="0.25">
      <c r="B70" s="11"/>
      <c r="C70" s="11"/>
      <c r="D70" s="11"/>
    </row>
    <row r="71" spans="2:4" x14ac:dyDescent="0.25">
      <c r="B71" s="11"/>
      <c r="C71" s="11"/>
      <c r="D71" s="11"/>
    </row>
    <row r="72" spans="2:4" x14ac:dyDescent="0.25">
      <c r="B72" s="11"/>
      <c r="C72" s="11"/>
      <c r="D72" s="11"/>
    </row>
    <row r="73" spans="2:4" x14ac:dyDescent="0.25">
      <c r="B73" s="11"/>
      <c r="C73" s="11"/>
      <c r="D73" s="11"/>
    </row>
    <row r="75" ht="18" customHeight="1" spans="2:5" x14ac:dyDescent="0.25">
      <c r="B75" s="4" t="s">
        <v>284</v>
      </c>
      <c r="C75" s="5"/>
      <c r="D75" s="5"/>
      <c r="E75" s="5"/>
    </row>
    <row r="76" ht="26" customHeight="1" spans="2:5" x14ac:dyDescent="0.25">
      <c r="B76" s="7" t="s">
        <v>285</v>
      </c>
      <c r="C76" s="11"/>
      <c r="D76" s="11"/>
      <c r="E76" s="11"/>
    </row>
    <row r="77" hidden="1" spans="2:4" x14ac:dyDescent="0.25">
      <c r="B77" t="s">
        <v>279</v>
      </c>
      <c r="C77" t="s">
        <v>286</v>
      </c>
      <c r="D77" t="s">
        <v>280</v>
      </c>
    </row>
    <row r="78" ht="22" customHeight="1" spans="2:4" x14ac:dyDescent="0.25">
      <c r="B78" s="13" t="s">
        <v>287</v>
      </c>
      <c r="C78" s="13" t="s">
        <v>288</v>
      </c>
      <c r="D78" s="13" t="s">
        <v>283</v>
      </c>
    </row>
    <row r="79" spans="2:4" x14ac:dyDescent="0.25">
      <c r="B79" s="11"/>
      <c r="C79" s="27"/>
      <c r="D79" s="11"/>
    </row>
    <row r="80" spans="2:4" x14ac:dyDescent="0.25">
      <c r="B80" s="11"/>
      <c r="C80" s="27"/>
      <c r="D80" s="11"/>
    </row>
    <row r="81" spans="2:4" x14ac:dyDescent="0.25">
      <c r="B81" s="11"/>
      <c r="C81" s="27"/>
      <c r="D81" s="11"/>
    </row>
    <row r="82" spans="2:4" x14ac:dyDescent="0.25">
      <c r="B82" s="11"/>
      <c r="C82" s="27"/>
      <c r="D82" s="11"/>
    </row>
    <row r="83" spans="2:4" x14ac:dyDescent="0.25">
      <c r="B83" s="11"/>
      <c r="C83" s="27"/>
      <c r="D83" s="11"/>
    </row>
    <row r="85" ht="18" customHeight="1" spans="2:5" x14ac:dyDescent="0.25">
      <c r="B85" s="4" t="s">
        <v>289</v>
      </c>
      <c r="C85" s="5"/>
      <c r="D85" s="5"/>
      <c r="E85" s="5"/>
    </row>
    <row r="86" ht="26" customHeight="1" spans="2:5" x14ac:dyDescent="0.25">
      <c r="B86" s="29" t="s">
        <v>290</v>
      </c>
      <c r="C86" s="29"/>
      <c r="D86" s="29"/>
      <c r="E86" s="29"/>
    </row>
    <row r="87" ht="26" customHeight="1" spans="2:5" x14ac:dyDescent="0.25">
      <c r="B87" s="7" t="s">
        <v>291</v>
      </c>
      <c r="C87" s="11"/>
      <c r="D87" s="11"/>
      <c r="E87" s="11"/>
    </row>
    <row r="88" ht="36" customHeight="1" spans="2:5" x14ac:dyDescent="0.25">
      <c r="B88" s="7" t="s">
        <v>292</v>
      </c>
      <c r="C88" s="11"/>
      <c r="D88" s="11"/>
      <c r="E88" s="11"/>
    </row>
    <row r="89" ht="26" customHeight="1" spans="2:5" x14ac:dyDescent="0.25">
      <c r="B89" s="7" t="s">
        <v>293</v>
      </c>
      <c r="C89" s="11"/>
      <c r="D89" s="11"/>
      <c r="E89" s="11"/>
    </row>
    <row r="90" spans="2:5" x14ac:dyDescent="0.25">
      <c r="B90" s="7" t="s">
        <v>294</v>
      </c>
      <c r="C90" s="11"/>
      <c r="D90" s="11"/>
      <c r="E90" s="11"/>
    </row>
    <row r="91" spans="2:5" x14ac:dyDescent="0.25">
      <c r="B91" s="7" t="s">
        <v>295</v>
      </c>
      <c r="C91" s="11"/>
      <c r="D91" s="11"/>
      <c r="E91" s="11"/>
    </row>
    <row r="93" ht="18" customHeight="1" spans="2:5" x14ac:dyDescent="0.25">
      <c r="B93" s="4" t="s">
        <v>296</v>
      </c>
      <c r="C93" s="5"/>
      <c r="D93" s="5"/>
      <c r="E93" s="5"/>
    </row>
    <row r="94" spans="2:5" x14ac:dyDescent="0.25">
      <c r="B94" s="7" t="s">
        <v>297</v>
      </c>
      <c r="C94" s="11"/>
      <c r="D94" s="11"/>
      <c r="E94" s="11"/>
    </row>
    <row r="95" spans="2:5" x14ac:dyDescent="0.25">
      <c r="B95" s="7" t="s">
        <v>298</v>
      </c>
      <c r="C95" s="11"/>
      <c r="D95" s="11"/>
      <c r="E95" s="11"/>
    </row>
    <row r="96" ht="26" customHeight="1" spans="2:5" x14ac:dyDescent="0.25">
      <c r="B96" s="7" t="s">
        <v>299</v>
      </c>
      <c r="C96" s="11"/>
      <c r="D96" s="11"/>
      <c r="E96" s="11"/>
    </row>
    <row r="97" spans="2:5" x14ac:dyDescent="0.25">
      <c r="B97" s="7" t="s">
        <v>300</v>
      </c>
      <c r="C97" s="14"/>
      <c r="D97" s="14"/>
      <c r="E97" s="14"/>
    </row>
    <row r="99" ht="18" customHeight="1" spans="2:5" x14ac:dyDescent="0.25">
      <c r="B99" s="4" t="s">
        <v>301</v>
      </c>
      <c r="C99" s="5"/>
      <c r="D99" s="5"/>
      <c r="E99" s="5"/>
    </row>
    <row r="100" spans="2:5" x14ac:dyDescent="0.25">
      <c r="B100" s="7" t="s">
        <v>302</v>
      </c>
      <c r="C100" s="11"/>
      <c r="D100" s="11"/>
      <c r="E100" s="11"/>
    </row>
    <row r="101" ht="36" customHeight="1" spans="2:5" x14ac:dyDescent="0.25">
      <c r="B101" s="7" t="s">
        <v>303</v>
      </c>
      <c r="C101" s="11"/>
      <c r="D101" s="11"/>
      <c r="E101" s="11"/>
    </row>
    <row r="102" ht="36" customHeight="1" spans="2:5" x14ac:dyDescent="0.25">
      <c r="B102" s="7" t="s">
        <v>304</v>
      </c>
      <c r="C102" s="11"/>
      <c r="D102" s="11"/>
      <c r="E102" s="11"/>
    </row>
    <row r="103" spans="2:5" x14ac:dyDescent="0.25">
      <c r="B103" s="7" t="s">
        <v>305</v>
      </c>
      <c r="C103" s="11"/>
      <c r="D103" s="11"/>
      <c r="E103" s="11"/>
    </row>
    <row r="104" spans="2:5" x14ac:dyDescent="0.25">
      <c r="B104" s="7" t="s">
        <v>306</v>
      </c>
      <c r="C104" s="11"/>
      <c r="D104" s="11"/>
      <c r="E104" s="11"/>
    </row>
    <row r="105" spans="2:5" x14ac:dyDescent="0.25">
      <c r="B105" s="7" t="s">
        <v>307</v>
      </c>
      <c r="C105" s="15"/>
      <c r="D105" s="15"/>
      <c r="E105" s="15"/>
    </row>
    <row r="106" spans="2:5" x14ac:dyDescent="0.25">
      <c r="B106" s="7" t="s">
        <v>308</v>
      </c>
      <c r="C106" s="11"/>
      <c r="D106" s="11"/>
      <c r="E106" s="11"/>
    </row>
    <row r="108" ht="18" customHeight="1" spans="2:5" x14ac:dyDescent="0.25">
      <c r="B108" s="4" t="s">
        <v>309</v>
      </c>
      <c r="C108" s="5"/>
      <c r="D108" s="5"/>
      <c r="E108" s="5"/>
    </row>
    <row r="109" spans="2:5" x14ac:dyDescent="0.25">
      <c r="B109" s="7" t="s">
        <v>310</v>
      </c>
      <c r="C109" s="14"/>
      <c r="D109" s="14"/>
      <c r="E109" s="14"/>
    </row>
    <row r="110" spans="2:5" x14ac:dyDescent="0.25">
      <c r="B110" s="7" t="s">
        <v>311</v>
      </c>
      <c r="C110" s="11"/>
      <c r="D110" s="11"/>
      <c r="E110" s="11"/>
    </row>
    <row r="111" spans="2:5" x14ac:dyDescent="0.25">
      <c r="B111" s="7" t="s">
        <v>312</v>
      </c>
      <c r="C111" s="11"/>
      <c r="D111" s="11"/>
      <c r="E111" s="11"/>
    </row>
    <row r="112" spans="2:5" x14ac:dyDescent="0.25">
      <c r="B112" s="7" t="s">
        <v>313</v>
      </c>
      <c r="C112" s="14"/>
      <c r="D112" s="14"/>
      <c r="E112" s="14"/>
    </row>
    <row r="113" spans="2:5" x14ac:dyDescent="0.25">
      <c r="B113" s="7" t="s">
        <v>314</v>
      </c>
      <c r="C113" s="11"/>
      <c r="D113" s="11"/>
      <c r="E113" s="11"/>
    </row>
    <row r="115" ht="18" customHeight="1" spans="2:5" x14ac:dyDescent="0.25">
      <c r="B115" s="4" t="s">
        <v>315</v>
      </c>
      <c r="C115" s="5"/>
      <c r="D115" s="5"/>
      <c r="E115" s="5"/>
    </row>
    <row r="116" spans="2:5" x14ac:dyDescent="0.25">
      <c r="B116" s="7" t="s">
        <v>316</v>
      </c>
      <c r="C116" s="14"/>
      <c r="D116" s="14"/>
      <c r="E116" s="14"/>
    </row>
    <row r="117" spans="2:5" x14ac:dyDescent="0.25">
      <c r="B117" s="7" t="s">
        <v>317</v>
      </c>
      <c r="C117" s="11"/>
      <c r="D117" s="11"/>
      <c r="E117" s="11"/>
    </row>
    <row r="118" spans="2:5" x14ac:dyDescent="0.25">
      <c r="B118" s="7" t="s">
        <v>318</v>
      </c>
      <c r="C118" s="11"/>
      <c r="D118" s="11"/>
      <c r="E118" s="11"/>
    </row>
    <row r="120" ht="18" customHeight="1" spans="2:5" x14ac:dyDescent="0.25">
      <c r="B120" s="4" t="s">
        <v>319</v>
      </c>
      <c r="C120" s="5"/>
      <c r="D120" s="5"/>
      <c r="E120" s="5"/>
    </row>
    <row r="121" ht="26" customHeight="1" spans="2:5" x14ac:dyDescent="0.25">
      <c r="B121" s="7" t="s">
        <v>320</v>
      </c>
      <c r="C121" s="11"/>
      <c r="D121" s="11"/>
      <c r="E121" s="11"/>
    </row>
    <row r="123" ht="18" customHeight="1" spans="2:5" x14ac:dyDescent="0.25">
      <c r="B123" s="4" t="s">
        <v>321</v>
      </c>
      <c r="C123" s="5"/>
      <c r="D123" s="5"/>
      <c r="E123" s="5"/>
    </row>
    <row r="124" ht="36" customHeight="1" spans="2:5" x14ac:dyDescent="0.25">
      <c r="B124" s="7" t="s">
        <v>322</v>
      </c>
      <c r="C124" s="11"/>
      <c r="D124" s="11"/>
      <c r="E124" s="11"/>
    </row>
    <row r="126" ht="18" customHeight="1" spans="2:5" x14ac:dyDescent="0.25">
      <c r="B126" s="4" t="s">
        <v>323</v>
      </c>
      <c r="C126" s="5"/>
      <c r="D126" s="5"/>
      <c r="E126" s="5"/>
    </row>
    <row r="127" spans="2:5" x14ac:dyDescent="0.25">
      <c r="B127" s="7" t="s">
        <v>324</v>
      </c>
      <c r="C127" s="11"/>
      <c r="D127" s="11"/>
      <c r="E127" s="11"/>
    </row>
    <row r="128" spans="2:5" x14ac:dyDescent="0.25">
      <c r="B128" s="7" t="s">
        <v>325</v>
      </c>
      <c r="C128" s="15"/>
      <c r="D128" s="15"/>
      <c r="E128" s="15"/>
    </row>
    <row r="129" spans="2:5" x14ac:dyDescent="0.25">
      <c r="B129" s="7" t="s">
        <v>326</v>
      </c>
      <c r="C129" s="11"/>
      <c r="D129" s="11"/>
      <c r="E129" s="11"/>
    </row>
    <row r="130" spans="2:5" x14ac:dyDescent="0.25">
      <c r="B130" s="7" t="s">
        <v>327</v>
      </c>
      <c r="C130" s="15"/>
      <c r="D130" s="15"/>
      <c r="E130" s="15"/>
    </row>
    <row r="131" spans="2:5" x14ac:dyDescent="0.25">
      <c r="B131" s="7" t="s">
        <v>328</v>
      </c>
      <c r="C131" s="11"/>
      <c r="D131" s="11"/>
      <c r="E131" s="11"/>
    </row>
    <row r="132" spans="2:5" x14ac:dyDescent="0.25">
      <c r="B132" s="7" t="s">
        <v>329</v>
      </c>
      <c r="C132" s="11"/>
      <c r="D132" s="11"/>
      <c r="E132" s="11"/>
    </row>
    <row r="133" spans="2:5" x14ac:dyDescent="0.25">
      <c r="B133" s="7" t="s">
        <v>330</v>
      </c>
      <c r="C133" s="15"/>
      <c r="D133" s="15"/>
      <c r="E133" s="15"/>
    </row>
    <row r="134" spans="2:5" x14ac:dyDescent="0.25">
      <c r="B134" s="7" t="s">
        <v>331</v>
      </c>
      <c r="C134" s="11"/>
      <c r="D134" s="11"/>
      <c r="E134" s="11"/>
    </row>
    <row r="135" spans="2:5" x14ac:dyDescent="0.25">
      <c r="B135" s="7" t="s">
        <v>332</v>
      </c>
      <c r="C135" s="15"/>
      <c r="D135" s="15"/>
      <c r="E135" s="15"/>
    </row>
    <row r="136" ht="26" customHeight="1" spans="2:5" x14ac:dyDescent="0.25">
      <c r="B136" s="7" t="s">
        <v>333</v>
      </c>
      <c r="C136" s="11"/>
      <c r="D136" s="11"/>
      <c r="E136" s="11"/>
    </row>
    <row r="137" spans="2:5" x14ac:dyDescent="0.25">
      <c r="B137" s="7" t="s">
        <v>334</v>
      </c>
      <c r="C137" s="11"/>
      <c r="D137" s="11"/>
      <c r="E137" s="11"/>
    </row>
    <row r="138" spans="2:5" x14ac:dyDescent="0.25">
      <c r="B138" s="7" t="s">
        <v>335</v>
      </c>
      <c r="C138" s="11"/>
      <c r="D138" s="11"/>
      <c r="E138" s="11"/>
    </row>
    <row r="139" spans="2:5" x14ac:dyDescent="0.25">
      <c r="B139" s="7" t="s">
        <v>336</v>
      </c>
      <c r="C139" s="14"/>
      <c r="D139" s="14"/>
      <c r="E139" s="14"/>
    </row>
    <row r="140" ht="36" customHeight="1" spans="2:5" x14ac:dyDescent="0.25">
      <c r="B140" s="7" t="s">
        <v>337</v>
      </c>
      <c r="C140" s="11"/>
      <c r="D140" s="11"/>
      <c r="E140" s="11"/>
    </row>
    <row r="142" ht="18" customHeight="1" spans="2:5" x14ac:dyDescent="0.25">
      <c r="B142" s="4" t="s">
        <v>338</v>
      </c>
      <c r="C142" s="5"/>
      <c r="D142" s="5"/>
      <c r="E142" s="5"/>
    </row>
    <row r="143" spans="2:5" x14ac:dyDescent="0.25">
      <c r="B143" s="7" t="s">
        <v>339</v>
      </c>
      <c r="C143" s="11"/>
      <c r="D143" s="11"/>
      <c r="E143" s="11"/>
    </row>
    <row r="144" spans="2:5" x14ac:dyDescent="0.25">
      <c r="B144" s="7" t="s">
        <v>340</v>
      </c>
      <c r="C144" s="11"/>
      <c r="D144" s="11"/>
      <c r="E144" s="11"/>
    </row>
    <row r="145" spans="2:5" x14ac:dyDescent="0.25">
      <c r="B145" s="7" t="s">
        <v>341</v>
      </c>
      <c r="C145" s="11"/>
      <c r="D145" s="11"/>
      <c r="E145" s="11"/>
    </row>
    <row r="146" spans="2:5" x14ac:dyDescent="0.25">
      <c r="B146" s="7" t="s">
        <v>342</v>
      </c>
      <c r="C146" s="11"/>
      <c r="D146" s="11"/>
      <c r="E146" s="11"/>
    </row>
    <row r="147" spans="2:5" x14ac:dyDescent="0.25">
      <c r="B147" s="7" t="s">
        <v>343</v>
      </c>
      <c r="C147" s="11"/>
      <c r="D147" s="11"/>
      <c r="E147" s="11"/>
    </row>
    <row r="148" spans="2:5" x14ac:dyDescent="0.25">
      <c r="B148" s="7" t="s">
        <v>344</v>
      </c>
      <c r="C148" s="11"/>
      <c r="D148" s="11"/>
      <c r="E148" s="11"/>
    </row>
    <row r="149" spans="2:5" x14ac:dyDescent="0.25">
      <c r="B149" s="7" t="s">
        <v>345</v>
      </c>
      <c r="C149" s="11"/>
      <c r="D149" s="11"/>
      <c r="E149" s="11"/>
    </row>
    <row r="150" spans="2:5" x14ac:dyDescent="0.25">
      <c r="B150" s="7" t="s">
        <v>346</v>
      </c>
      <c r="C150" s="11"/>
      <c r="D150" s="11"/>
      <c r="E150" s="11"/>
    </row>
    <row r="151" spans="2:5" x14ac:dyDescent="0.25">
      <c r="B151" s="7" t="s">
        <v>347</v>
      </c>
      <c r="C151" s="11"/>
      <c r="D151" s="11"/>
      <c r="E151" s="11"/>
    </row>
    <row r="152" spans="2:5" x14ac:dyDescent="0.25">
      <c r="B152" s="7" t="s">
        <v>348</v>
      </c>
      <c r="C152" s="11"/>
      <c r="D152" s="11"/>
      <c r="E152" s="11"/>
    </row>
    <row r="153" spans="2:5" x14ac:dyDescent="0.25">
      <c r="B153" s="7" t="s">
        <v>349</v>
      </c>
      <c r="C153" s="11"/>
      <c r="D153" s="11"/>
      <c r="E153" s="11"/>
    </row>
    <row r="154" spans="2:5" x14ac:dyDescent="0.25">
      <c r="B154" s="7" t="s">
        <v>350</v>
      </c>
      <c r="C154" s="11"/>
      <c r="D154" s="11"/>
      <c r="E154" s="11"/>
    </row>
    <row r="155" spans="2:5" x14ac:dyDescent="0.25">
      <c r="B155" s="7" t="s">
        <v>351</v>
      </c>
      <c r="C155" s="11"/>
      <c r="D155" s="11"/>
      <c r="E155" s="11"/>
    </row>
    <row r="156" spans="2:5" x14ac:dyDescent="0.25">
      <c r="B156" s="7" t="s">
        <v>352</v>
      </c>
      <c r="C156" s="11"/>
      <c r="D156" s="11"/>
      <c r="E156" s="11"/>
    </row>
    <row r="157" spans="2:5" x14ac:dyDescent="0.25">
      <c r="B157" s="7" t="s">
        <v>353</v>
      </c>
      <c r="C157" s="11"/>
      <c r="D157" s="11"/>
      <c r="E157" s="11"/>
    </row>
    <row r="158" spans="2:5" x14ac:dyDescent="0.25">
      <c r="B158" s="7" t="s">
        <v>354</v>
      </c>
      <c r="C158" s="15"/>
      <c r="D158" s="15"/>
      <c r="E158" s="15"/>
    </row>
    <row r="159" spans="2:5" x14ac:dyDescent="0.25">
      <c r="B159" s="7" t="s">
        <v>355</v>
      </c>
      <c r="C159" s="11"/>
      <c r="D159" s="11"/>
      <c r="E159" s="11"/>
    </row>
    <row r="160" spans="2:5" x14ac:dyDescent="0.25">
      <c r="B160" s="7" t="s">
        <v>356</v>
      </c>
      <c r="C160" s="11"/>
      <c r="D160" s="11"/>
      <c r="E160" s="11"/>
    </row>
    <row r="161" spans="2:5" x14ac:dyDescent="0.25">
      <c r="B161" s="7" t="s">
        <v>357</v>
      </c>
      <c r="C161" s="15"/>
      <c r="D161" s="15"/>
      <c r="E161" s="15"/>
    </row>
    <row r="162" spans="2:5" x14ac:dyDescent="0.25">
      <c r="B162" s="7" t="s">
        <v>358</v>
      </c>
      <c r="C162" s="11"/>
      <c r="D162" s="11"/>
      <c r="E162" s="11"/>
    </row>
    <row r="163" spans="2:5" x14ac:dyDescent="0.25">
      <c r="B163" s="7" t="s">
        <v>359</v>
      </c>
      <c r="C163" s="11"/>
      <c r="D163" s="11"/>
      <c r="E163" s="11"/>
    </row>
    <row r="164" spans="2:5" x14ac:dyDescent="0.25">
      <c r="B164" s="7" t="s">
        <v>360</v>
      </c>
      <c r="C164" s="15"/>
      <c r="D164" s="15"/>
      <c r="E164" s="15"/>
    </row>
    <row r="165" spans="2:5" x14ac:dyDescent="0.25">
      <c r="B165" s="7" t="s">
        <v>361</v>
      </c>
      <c r="C165" s="11"/>
      <c r="D165" s="11"/>
      <c r="E165" s="11"/>
    </row>
    <row r="166" spans="2:5" x14ac:dyDescent="0.25">
      <c r="B166" s="7" t="s">
        <v>362</v>
      </c>
      <c r="C166" s="11"/>
      <c r="D166" s="11"/>
      <c r="E166" s="11"/>
    </row>
    <row r="167" spans="2:5" x14ac:dyDescent="0.25">
      <c r="B167" s="7" t="s">
        <v>363</v>
      </c>
      <c r="C167" s="11"/>
      <c r="D167" s="11"/>
      <c r="E167" s="11"/>
    </row>
    <row r="168" spans="2:5" x14ac:dyDescent="0.25">
      <c r="B168" s="7" t="s">
        <v>364</v>
      </c>
      <c r="C168" s="15"/>
      <c r="D168" s="15"/>
      <c r="E168" s="15"/>
    </row>
    <row r="169" spans="2:5" x14ac:dyDescent="0.25">
      <c r="B169" s="7" t="s">
        <v>365</v>
      </c>
      <c r="C169" s="11"/>
      <c r="D169" s="11"/>
      <c r="E169" s="11"/>
    </row>
    <row r="170" spans="2:5" x14ac:dyDescent="0.25">
      <c r="B170" s="7" t="s">
        <v>366</v>
      </c>
      <c r="C170" s="11"/>
      <c r="D170" s="11"/>
      <c r="E170" s="11"/>
    </row>
    <row r="171" spans="2:5" x14ac:dyDescent="0.25">
      <c r="B171" s="7" t="s">
        <v>367</v>
      </c>
      <c r="C171" s="15"/>
      <c r="D171" s="15"/>
      <c r="E171" s="15"/>
    </row>
    <row r="172" spans="2:5" x14ac:dyDescent="0.25">
      <c r="B172" s="7" t="s">
        <v>368</v>
      </c>
      <c r="C172" s="11"/>
      <c r="D172" s="11"/>
      <c r="E172" s="11"/>
    </row>
    <row r="173" spans="2:5" x14ac:dyDescent="0.25">
      <c r="B173" s="7" t="s">
        <v>369</v>
      </c>
      <c r="C173" s="11"/>
      <c r="D173" s="11"/>
      <c r="E173" s="11"/>
    </row>
  </sheetData>
  <sheetProtection sheet="1" formatRows="0"/>
  <mergeCells count="121">
    <mergeCell ref="B1:E1"/>
    <mergeCell ref="B2:E2"/>
    <mergeCell ref="B5:E5"/>
    <mergeCell ref="C9:E9"/>
    <mergeCell ref="C10:E10"/>
    <mergeCell ref="C11:E11"/>
    <mergeCell ref="C12:E12"/>
    <mergeCell ref="C13:E13"/>
    <mergeCell ref="C16:E16"/>
    <mergeCell ref="C17:E17"/>
    <mergeCell ref="C18:E18"/>
    <mergeCell ref="C19:E19"/>
    <mergeCell ref="C22:E22"/>
    <mergeCell ref="C23:E23"/>
    <mergeCell ref="C24:E24"/>
    <mergeCell ref="C25:E25"/>
    <mergeCell ref="C26:E26"/>
    <mergeCell ref="C27:E27"/>
    <mergeCell ref="C28:E28"/>
    <mergeCell ref="C29:E29"/>
    <mergeCell ref="C30:E30"/>
    <mergeCell ref="C31:E31"/>
    <mergeCell ref="C34:E34"/>
    <mergeCell ref="C35:E35"/>
    <mergeCell ref="C36:E36"/>
    <mergeCell ref="C37:E37"/>
    <mergeCell ref="C38:E38"/>
    <mergeCell ref="C41:E41"/>
    <mergeCell ref="C42:E42"/>
    <mergeCell ref="C43:E43"/>
    <mergeCell ref="C44:E44"/>
    <mergeCell ref="C45:E45"/>
    <mergeCell ref="C46:E46"/>
    <mergeCell ref="C47:E47"/>
    <mergeCell ref="C48:E48"/>
    <mergeCell ref="C49:E49"/>
    <mergeCell ref="C50:E50"/>
    <mergeCell ref="C51:E51"/>
    <mergeCell ref="C54:E54"/>
    <mergeCell ref="C55:E55"/>
    <mergeCell ref="C56:E56"/>
    <mergeCell ref="C57:E57"/>
    <mergeCell ref="C58:E58"/>
    <mergeCell ref="C59:E59"/>
    <mergeCell ref="C60:E60"/>
    <mergeCell ref="C61:E61"/>
    <mergeCell ref="C62:E62"/>
    <mergeCell ref="C63:E63"/>
    <mergeCell ref="C76:E76"/>
    <mergeCell ref="B86:E86"/>
    <mergeCell ref="C87:E87"/>
    <mergeCell ref="C88:E88"/>
    <mergeCell ref="C89:E89"/>
    <mergeCell ref="C90:E90"/>
    <mergeCell ref="C91:E91"/>
    <mergeCell ref="C94:E94"/>
    <mergeCell ref="C95:E95"/>
    <mergeCell ref="C96:E96"/>
    <mergeCell ref="C97:E97"/>
    <mergeCell ref="C100:E100"/>
    <mergeCell ref="C101:E101"/>
    <mergeCell ref="C102:E102"/>
    <mergeCell ref="C103:E103"/>
    <mergeCell ref="C104:E104"/>
    <mergeCell ref="C105:E105"/>
    <mergeCell ref="C106:E106"/>
    <mergeCell ref="C109:E109"/>
    <mergeCell ref="C110:E110"/>
    <mergeCell ref="C111:E111"/>
    <mergeCell ref="C112:E112"/>
    <mergeCell ref="C113:E113"/>
    <mergeCell ref="C116:E116"/>
    <mergeCell ref="C117:E117"/>
    <mergeCell ref="C118:E118"/>
    <mergeCell ref="C121:E121"/>
    <mergeCell ref="C124:E124"/>
    <mergeCell ref="C127:E127"/>
    <mergeCell ref="C128:E128"/>
    <mergeCell ref="C129:E129"/>
    <mergeCell ref="C130:E130"/>
    <mergeCell ref="C131:E131"/>
    <mergeCell ref="C132:E132"/>
    <mergeCell ref="C133:E133"/>
    <mergeCell ref="C134:E134"/>
    <mergeCell ref="C135:E135"/>
    <mergeCell ref="C136:E136"/>
    <mergeCell ref="C137:E137"/>
    <mergeCell ref="C138:E138"/>
    <mergeCell ref="C139:E139"/>
    <mergeCell ref="C140:E140"/>
    <mergeCell ref="C143:E143"/>
    <mergeCell ref="C144:E144"/>
    <mergeCell ref="C145:E145"/>
    <mergeCell ref="C146:E146"/>
    <mergeCell ref="C147:E147"/>
    <mergeCell ref="C148:E148"/>
    <mergeCell ref="C149:E149"/>
    <mergeCell ref="C150:E150"/>
    <mergeCell ref="C151:E151"/>
    <mergeCell ref="C152:E152"/>
    <mergeCell ref="C153:E153"/>
    <mergeCell ref="C154:E154"/>
    <mergeCell ref="C155:E155"/>
    <mergeCell ref="C156:E156"/>
    <mergeCell ref="C157:E157"/>
    <mergeCell ref="C158:E158"/>
    <mergeCell ref="C159:E159"/>
    <mergeCell ref="C160:E160"/>
    <mergeCell ref="C161:E161"/>
    <mergeCell ref="C162:E162"/>
    <mergeCell ref="C163:E163"/>
    <mergeCell ref="C164:E164"/>
    <mergeCell ref="C165:E165"/>
    <mergeCell ref="C166:E166"/>
    <mergeCell ref="C167:E167"/>
    <mergeCell ref="C168:E168"/>
    <mergeCell ref="C169:E169"/>
    <mergeCell ref="C170:E170"/>
    <mergeCell ref="C171:E171"/>
    <mergeCell ref="C172:E172"/>
    <mergeCell ref="C173:E173"/>
  </mergeCells>
  <dataValidations count="33">
    <dataValidation type="list" allowBlank="1" showInputMessage="1" promptTitle="Item or amount" prompt="Pick one of your assets from the list, or type an item or an amount." sqref="B68:B73">
      <formula1>'Lists'!$C$2:$C$34</formula1>
    </dataValidation>
    <dataValidation type="list" allowBlank="1" showInputMessage="1" promptTitle="Name" prompt="Pick a family member from the list, or type any name." sqref="B79:B83">
      <formula1>'Lists'!$B$2:$B$10</formula1>
    </dataValidation>
    <dataValidation type="list" allowBlank="1" showErrorMessage="1" errorStyle="stop" errorTitle="Please choose from the list" error="Please choose one of the options in the list." sqref="C100">
      <formula1>'Lists'!$AH$2:$AH$4</formula1>
    </dataValidation>
    <dataValidation type="list" allowBlank="1" showErrorMessage="1" errorStyle="stop" errorTitle="Please choose from the list" error="Please choose one of the options in the list." sqref="C103">
      <formula1>'Lists'!$AI$2:$AI$3</formula1>
    </dataValidation>
    <dataValidation type="list" allowBlank="1" showErrorMessage="1" errorStyle="stop" errorTitle="Please choose from the list" error="Please choose one of the options in the list." sqref="C109">
      <formula1>'Lists'!$F$2:$F$3</formula1>
    </dataValidation>
    <dataValidation type="list" allowBlank="1" showErrorMessage="1" errorStyle="stop" errorTitle="Please choose from the list" error="Please choose one of the options in the list." sqref="C111">
      <formula1>'Lists'!$AJ$2:$AJ$4</formula1>
    </dataValidation>
    <dataValidation type="list" allowBlank="1" showErrorMessage="1" errorStyle="stop" errorTitle="Please choose from the list" error="Please choose one of the options in the list." sqref="C112">
      <formula1>'Lists'!$F$2:$F$3</formula1>
    </dataValidation>
    <dataValidation type="list" allowBlank="1" showErrorMessage="1" errorStyle="stop" errorTitle="Please choose from the list" error="Please choose one of the options in the list." sqref="C116">
      <formula1>'Lists'!$F$2:$F$3</formula1>
    </dataValidation>
    <dataValidation type="list" allowBlank="1" showErrorMessage="1" errorStyle="stop" errorTitle="Please choose from the list" error="Please choose one of the options in the list." sqref="C121">
      <formula1>'Lists'!$AK$2:$AK$3</formula1>
    </dataValidation>
    <dataValidation type="list" allowBlank="1" showErrorMessage="1" errorStyle="stop" errorTitle="Please choose from the list" error="Please choose one of the options in the list." sqref="C136">
      <formula1>'Lists'!$AL$2:$AL$3</formula1>
    </dataValidation>
    <dataValidation type="list" allowBlank="1" showErrorMessage="1" errorStyle="stop" errorTitle="Please choose from the list" error="Please choose one of the options in the list." sqref="C137">
      <formula1>'Lists'!$AM$2:$AM$3</formula1>
    </dataValidation>
    <dataValidation type="list" allowBlank="1" showErrorMessage="1" errorStyle="stop" errorTitle="Please choose from the list" error="Please choose one of the options in the list." sqref="C139">
      <formula1>'Lists'!$F$2:$F$3</formula1>
    </dataValidation>
    <dataValidation type="list" allowBlank="1" showErrorMessage="1" errorStyle="stop" errorTitle="Please choose from the list" error="Please choose one of the options in the list." sqref="C143">
      <formula1>'Lists'!$AN$2:$AN$4</formula1>
    </dataValidation>
    <dataValidation type="list" allowBlank="1" showErrorMessage="1" errorStyle="stop" errorTitle="Please choose from the list" error="Please choose one of the options in the list." sqref="C145">
      <formula1>'Lists'!$AO$2:$AO$3</formula1>
    </dataValidation>
    <dataValidation type="list" allowBlank="1" showErrorMessage="1" errorStyle="stop" errorTitle="Please choose from the list" error="Please choose one of the options in the list." sqref="C146">
      <formula1>'Lists'!$AP$2:$AP$3</formula1>
    </dataValidation>
    <dataValidation type="list" allowBlank="1" showErrorMessage="1" errorStyle="stop" errorTitle="Please choose from the list" error="Please choose one of the options in the list." sqref="C147">
      <formula1>'Lists'!$AQ$2:$AQ$3</formula1>
    </dataValidation>
    <dataValidation type="list" allowBlank="1" showErrorMessage="1" errorStyle="stop" errorTitle="Please choose from the list" error="Please choose one of the options in the list." sqref="C166">
      <formula1>'Lists'!$AR$2:$AR$3</formula1>
    </dataValidation>
    <dataValidation type="list" allowBlank="1" showErrorMessage="1" errorStyle="stop" errorTitle="Please choose from the list" error="Please choose one of the options in the list." sqref="C173">
      <formula1>'Lists'!$AS$2:$AS$3</formula1>
    </dataValidation>
    <dataValidation type="list" allowBlank="1" showErrorMessage="1" errorStyle="stop" errorTitle="Please choose from the list" error="Please choose one of the options in the list." sqref="C34">
      <formula1>'Lists'!$Z$2:$Z$4</formula1>
    </dataValidation>
    <dataValidation type="list" allowBlank="1" showErrorMessage="1" errorStyle="stop" errorTitle="Please choose from the list" error="Please choose one of the options in the list." sqref="C38">
      <formula1>'Lists'!$F$2:$F$3</formula1>
    </dataValidation>
    <dataValidation type="list" allowBlank="1" showErrorMessage="1" errorStyle="stop" errorTitle="Please choose from the list" error="Please choose one of the options in the list." sqref="C41">
      <formula1>'Lists'!$F$2:$F$3</formula1>
    </dataValidation>
    <dataValidation type="list" allowBlank="1" showErrorMessage="1" errorStyle="stop" errorTitle="Please choose from the list" error="Please choose one of the options in the list." sqref="C50">
      <formula1>'Lists'!$F$2:$F$3</formula1>
    </dataValidation>
    <dataValidation type="list" allowBlank="1" showErrorMessage="1" errorStyle="stop" errorTitle="Please choose from the list" error="Please choose one of the options in the list." sqref="C54">
      <formula1>'Lists'!$AA$2:$AA$4</formula1>
    </dataValidation>
    <dataValidation type="list" allowBlank="1" showErrorMessage="1" errorStyle="stop" errorTitle="Please choose from the list" error="Please choose one of the options in the list." sqref="C61">
      <formula1>'Lists'!$AB$2:$AB$4</formula1>
    </dataValidation>
    <dataValidation type="list" allowBlank="1" showInputMessage="1" promptTitle="Name" prompt="Pick a family member from the list, or type any name." sqref="C68:D73">
      <formula1>'Lists'!$B$2:$B$10</formula1>
    </dataValidation>
    <dataValidation type="list" allowBlank="1" showErrorMessage="1" errorStyle="stop" errorTitle="Please choose from the list" error="Please choose one of the options in the list." sqref="C76">
      <formula1>'Lists'!$AC$2:$AC$5</formula1>
    </dataValidation>
    <dataValidation type="decimal" allowBlank="1" showErrorMessage="1" errorStyle="stop" errorTitle="Percentage" error="Please type the percentage as a plain number from 1 to 100, e.g. 60 for 60%. Do not add the % sign." sqref="C79:C83">
      <formula1>1</formula1>
      <formula2>100</formula2>
    </dataValidation>
    <dataValidation type="list" allowBlank="1" showErrorMessage="1" errorStyle="stop" errorTitle="Please choose from the list" error="Please choose one of the options in the list." sqref="C87">
      <formula1>'Lists'!$AD$2:$AD$3</formula1>
    </dataValidation>
    <dataValidation type="list" allowBlank="1" showErrorMessage="1" errorStyle="stop" errorTitle="Please choose from the list" error="Please choose one of the options in the list." sqref="C89">
      <formula1>'Lists'!$AE$2:$AE$3</formula1>
    </dataValidation>
    <dataValidation type="list" allowBlank="1" showErrorMessage="1" errorStyle="stop" errorTitle="Please choose from the list" error="Please choose one of the options in the list." sqref="C94">
      <formula1>'Lists'!$AF$2:$AF$4</formula1>
    </dataValidation>
    <dataValidation type="list" allowBlank="1" showErrorMessage="1" errorStyle="stop" errorTitle="Please choose from the list" error="Please choose one of the options in the list." sqref="C96">
      <formula1>'Lists'!$AG$2:$AG$4</formula1>
    </dataValidation>
    <dataValidation type="list" allowBlank="1" showErrorMessage="1" errorStyle="stop" errorTitle="Please choose from the list" error="Please choose one of the options in the list." sqref="C97">
      <formula1>'Lists'!$F$2:$F$3</formula1>
    </dataValidation>
    <dataValidation type="list" allowBlank="1" showInputMessage="1" promptTitle="Name" prompt="Pick a family member from the list, or type any name." sqref="D79:D83">
      <formula1>'Lists'!$B$2:$B$10</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1" manualBreakCount="1">
    <brk id="63"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370</v>
      </c>
    </row>
    <row r="5" ht="15" customHeight="1" spans="2:6" x14ac:dyDescent="0.25">
      <c r="B5" s="12" t="s">
        <v>371</v>
      </c>
      <c r="C5" s="12"/>
      <c r="D5" s="12"/>
      <c r="E5" s="12"/>
      <c r="F5" s="12"/>
    </row>
    <row r="6" spans="2:3" x14ac:dyDescent="0.25">
      <c r="B6" s="33" t="s">
        <v>372</v>
      </c>
      <c r="C6" s="34">
        <f>IF('Start here'!$C$19="","Not yet given",'Start here'!$C$19)</f>
      </c>
    </row>
    <row r="8" spans="2:6" x14ac:dyDescent="0.25">
      <c r="B8" s="13" t="s">
        <v>97</v>
      </c>
      <c r="C8" s="35">
        <f>'Lists'!$A$2</f>
      </c>
      <c r="D8" s="35">
        <f>'Lists'!$A$3</f>
      </c>
      <c r="E8" s="35" t="s">
        <v>136</v>
      </c>
      <c r="F8" s="35" t="s">
        <v>373</v>
      </c>
    </row>
    <row r="9" spans="2:2" x14ac:dyDescent="0.25">
      <c r="B9" s="28" t="s">
        <v>374</v>
      </c>
    </row>
    <row r="10" spans="2:6" x14ac:dyDescent="0.25">
      <c r="B10" s="7" t="s">
        <v>375</v>
      </c>
      <c r="C10" s="19">
        <f>SUMIFS('Assets and debts'!$D$12:$D$19,'Assets and debts'!$C$12:$C$19,'Lists'!$A$2)</f>
      </c>
      <c r="D10" s="19">
        <f>SUMIFS('Assets and debts'!$D$12:$D$19,'Assets and debts'!$C$12:$C$19,'Lists'!$A$3)</f>
      </c>
      <c r="E10" s="19">
        <f>SUMIFS('Assets and debts'!$D$12:$D$19,'Assets and debts'!$C$12:$C$19,"Joint")</f>
      </c>
      <c r="F10" s="19">
        <f>SUM(C10:E10)</f>
      </c>
    </row>
    <row r="11" spans="2:6" x14ac:dyDescent="0.25">
      <c r="B11" s="7" t="s">
        <v>376</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377</v>
      </c>
      <c r="C12" s="19">
        <f>IF('Companies and trusts'!$C$22="Credit",N('Companies and trusts'!$C$23),0)+IF('Companies and trusts'!$C$68="Credit",N('Companies and trusts'!$C$69),0)+IF('Companies and trusts'!$C$113="Credit",N('Companies and trusts'!$C$114),0)+IF('Companies and trusts'!$C$158="Credit",N('Companies and trusts'!$C$159),0)+SUMIFS('Assets and debts'!$E$38:$E$52,'Assets and debts'!$C$38:$C$52,'Lists'!$A$2,'Assets and debts'!$D$38:$D$52,"Loan Account")</f>
      </c>
      <c r="D12" s="19">
        <f>IF('Companies and trusts'!$D$22="Credit",N('Companies and trusts'!$D$23),0)+IF('Companies and trusts'!$D$68="Credit",N('Companies and trusts'!$D$69),0)+IF('Companies and trusts'!$D$113="Credit",N('Companies and trusts'!$D$114),0)+IF('Companies and trusts'!$D$158="Credit",N('Companies and trusts'!$D$159),0)+SUMIFS('Assets and debts'!$E$38:$E$52,'Assets and debts'!$C$38:$C$52,'Lists'!$A$3,'Assets and debts'!$D$38:$D$52,"Loan Account")</f>
      </c>
      <c r="E12" s="19">
        <f>SUMIFS('Assets and debts'!$E$38:$E$52,'Assets and debts'!$C$38:$C$52,"Joint",'Assets and debts'!$D$38:$D$52,"Loan Account")</f>
      </c>
      <c r="F12" s="19">
        <f>SUM(C12:E12)</f>
      </c>
    </row>
    <row r="13" spans="2:6" x14ac:dyDescent="0.25">
      <c r="B13" s="7" t="s">
        <v>378</v>
      </c>
      <c r="C13" s="19">
        <f>SUM(SUMIFS('Assets and debts'!$E$38:$E$52,'Assets and debts'!$C$38:$C$52,'Lists'!$A$2,'Assets and debts'!$D$38:$D$52,{"Cash / Savings","Fixed Deposit","Shares / Unit Trusts","Crypto"}))</f>
      </c>
      <c r="D13" s="19">
        <f>SUM(SUMIFS('Assets and debts'!$E$38:$E$52,'Assets and debts'!$C$38:$C$52,'Lists'!$A$3,'Assets and debts'!$D$38:$D$52,{"Cash / Savings","Fixed Deposit","Shares / Unit Trusts","Crypto"}))</f>
      </c>
      <c r="E13" s="19">
        <f>SUM(SUMIFS('Assets and debts'!$E$38:$E$52,'Assets and debts'!$C$38:$C$52,"Joint",'Assets and debts'!$D$38:$D$52,{"Cash / Savings","Fixed Deposit","Shares / Unit Trusts","Crypto"}))</f>
      </c>
      <c r="F13" s="19">
        <f>SUM(C13:E13)</f>
      </c>
    </row>
    <row r="14" spans="2:6" x14ac:dyDescent="0.25">
      <c r="B14" s="7" t="s">
        <v>379</v>
      </c>
      <c r="C14" s="19">
        <f>SUMIFS('Assets and debts'!$D$26:$D$31,'Assets and debts'!$C$26:$C$31,'Lists'!$A$2)+SUMIFS('Assets and debts'!$E$38:$E$52,'Assets and debts'!$C$38:$C$52,'Lists'!$A$2,'Assets and debts'!$D$38:$D$52,"&lt;&gt;Loan Account",'Assets and debts'!$D$38:$D$52,"&lt;&gt;Cash / Savings",'Assets and debts'!$D$38:$D$52,"&lt;&gt;Fixed Deposit",'Assets and debts'!$D$38:$D$52,"&lt;&gt;Shares / Unit Trusts",'Assets and debts'!$D$38:$D$52,"&lt;&gt;Crypto")</f>
      </c>
      <c r="D14" s="19">
        <f>SUMIFS('Assets and debts'!$D$26:$D$31,'Assets and debts'!$C$26:$C$31,'Lists'!$A$3)+SUMIFS('Assets and debts'!$E$38:$E$52,'Assets and debts'!$C$38:$C$52,'Lists'!$A$3,'Assets and debts'!$D$38:$D$52,"&lt;&gt;Loan Account",'Assets and debts'!$D$38:$D$52,"&lt;&gt;Cash / Savings",'Assets and debts'!$D$38:$D$52,"&lt;&gt;Fixed Deposit",'Assets and debts'!$D$38:$D$52,"&lt;&gt;Shares / Unit Trusts",'Assets and debts'!$D$38:$D$52,"&lt;&gt;Crypto")</f>
      </c>
      <c r="E14" s="19">
        <f>SUMIFS('Assets and debts'!$D$26:$D$31,'Assets and debts'!$C$26:$C$31,"Joint")+SUMIFS('Assets and debts'!$E$38:$E$52,'Assets and debts'!$C$38:$C$52,"Joint",'Assets and debts'!$D$38:$D$52,"&lt;&gt;Loan Account",'Assets and debts'!$D$38:$D$52,"&lt;&gt;Cash / Savings",'Assets and debts'!$D$38:$D$52,"&lt;&gt;Fixed Deposit",'Assets and debts'!$D$38:$D$52,"&lt;&gt;Shares / Unit Trusts",'Assets and debts'!$D$38:$D$52,"&lt;&gt;Crypto")</f>
      </c>
      <c r="F14" s="19">
        <f>SUM(C14:E14)</f>
      </c>
    </row>
    <row r="15" spans="2:6" x14ac:dyDescent="0.25">
      <c r="B15" s="36" t="s">
        <v>380</v>
      </c>
      <c r="C15" s="25">
        <f>C10+C11+C12+C13+C14</f>
      </c>
      <c r="D15" s="25">
        <f>D10+D11+D12+D13+D14</f>
      </c>
      <c r="E15" s="25">
        <f>E10+E11+E12+E13+E14</f>
      </c>
      <c r="F15" s="25">
        <f>SUM(C15:E15)</f>
      </c>
    </row>
    <row r="17" spans="2:2" x14ac:dyDescent="0.25">
      <c r="B17" s="28" t="s">
        <v>381</v>
      </c>
    </row>
    <row r="18" spans="2:6" x14ac:dyDescent="0.25">
      <c r="B18" s="7" t="s">
        <v>382</v>
      </c>
      <c r="C18" s="19">
        <f>SUMIFS('Assets and debts'!$H$12:$H$19,'Assets and debts'!$C$12:$C$19,'Lists'!$A$2)</f>
      </c>
      <c r="D18" s="19">
        <f>SUMIFS('Assets and debts'!$H$12:$H$19,'Assets and debts'!$C$12:$C$19,'Lists'!$A$3)</f>
      </c>
      <c r="E18" s="19">
        <f>SUMIFS('Assets and debts'!$H$12:$H$19,'Assets and debts'!$C$12:$C$19,"Joint")</f>
      </c>
      <c r="F18" s="19">
        <f>SUM(C18:E18)</f>
      </c>
    </row>
    <row r="19" spans="2:6" x14ac:dyDescent="0.25">
      <c r="B19" s="7" t="s">
        <v>383</v>
      </c>
      <c r="C19" s="19">
        <f>SUMIFS('Assets and debts'!$E$26:$E$31,'Assets and debts'!$C$26:$C$31,'Lists'!$A$2)</f>
      </c>
      <c r="D19" s="19">
        <f>SUMIFS('Assets and debts'!$E$26:$E$31,'Assets and debts'!$C$26:$C$31,'Lists'!$A$3)</f>
      </c>
      <c r="E19" s="19">
        <f>SUMIFS('Assets and debts'!$E$26:$E$31,'Assets and debts'!$C$26:$C$31,"Joint")</f>
      </c>
      <c r="F19" s="19">
        <f>SUM(C19:E19)</f>
      </c>
    </row>
    <row r="20" spans="2:6" x14ac:dyDescent="0.25">
      <c r="B20" s="7" t="s">
        <v>384</v>
      </c>
      <c r="C20" s="19">
        <f>SUMIFS('Assets and debts'!$E$59:$E$70,'Assets and debts'!$C$59:$C$70,'Lists'!$A$2)</f>
      </c>
      <c r="D20" s="19">
        <f>SUMIFS('Assets and debts'!$E$59:$E$70,'Assets and debts'!$C$59:$C$70,'Lists'!$A$3)</f>
      </c>
      <c r="E20" s="19">
        <f>SUMIFS('Assets and debts'!$E$59:$E$70,'Assets and debts'!$C$59:$C$70,"Joint")</f>
      </c>
      <c r="F20" s="19">
        <f>SUM(C20:E20)</f>
      </c>
    </row>
    <row r="21" spans="2:6" x14ac:dyDescent="0.25">
      <c r="B21" s="7" t="s">
        <v>385</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386</v>
      </c>
      <c r="C22" s="25">
        <f>C18+C19+C20+C21</f>
      </c>
      <c r="D22" s="25">
        <f>D18+D19+D20+D21</f>
      </c>
      <c r="E22" s="25">
        <f>E18+E19+E20+E21</f>
      </c>
      <c r="F22" s="25">
        <f>SUM(C22:E22)</f>
      </c>
    </row>
    <row r="24" spans="2:6" x14ac:dyDescent="0.25">
      <c r="B24" s="37" t="s">
        <v>387</v>
      </c>
      <c r="C24" s="38">
        <f>C15-C22</f>
      </c>
      <c r="D24" s="38">
        <f>D15-D22</f>
      </c>
      <c r="E24" s="38">
        <f>E15-E22</f>
      </c>
      <c r="F24" s="38">
        <f>SUM(C24:E24)</f>
      </c>
    </row>
    <row r="26" spans="2:2" x14ac:dyDescent="0.25">
      <c r="B26" s="28" t="s">
        <v>388</v>
      </c>
    </row>
    <row r="27" spans="2:6" x14ac:dyDescent="0.25">
      <c r="B27" s="7" t="s">
        <v>389</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390</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391</v>
      </c>
    </row>
    <row r="31" spans="2:6" x14ac:dyDescent="0.25">
      <c r="B31" s="7" t="s">
        <v>392</v>
      </c>
      <c r="F31" s="20">
        <f>COUNTIF('Assets and debts'!$P$12:$P$19,"Estimate")+COUNTIF('Assets and debts'!$J$26:$J$31,"Estimate")+COUNTIF('Assets and debts'!$J$38:$J$52,"Estimate")+COUNTIF('Assets and debts'!$I$59:$I$70,"Estimate")+COUNTIF('Companies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393</v>
      </c>
      <c r="F32" s="20">
        <f>SUMPRODUCT(('Assets and debts'!$D$12:$D$19&gt;0)*('Assets and debts'!$F$12:$F$19=""))+SUMPRODUCT(('Assets and debts'!$E$38:$E$52&gt;0)*('Assets and debts'!$D$38:$D$52="Shares / Unit Trusts")*('Assets and debts'!$F$38:$F$52=""))+SUMPRODUCT(('Assets and debts'!$E$38:$E$52&gt;0)*('Assets and debts'!$D$38:$D$52="Business Interest")*('Assets and debts'!$F$38:$F$52=""))+SUMPRODUCT(('Assets and debts'!$E$38:$E$52&gt;0)*('Assets and debts'!$D$38:$D$52="Crypto")*('Assets and debts'!$F$38:$F$52=""))+IF(AND(N('Companies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Start here</vt:lpstr>
      <vt:lpstr>Meeting notes</vt:lpstr>
      <vt:lpstr>Client and family</vt:lpstr>
      <vt:lpstr>Income and expenses</vt:lpstr>
      <vt:lpstr>Assets and debts</vt:lpstr>
      <vt:lpstr>Companies and trusts</vt:lpstr>
      <vt:lpstr>Needs</vt:lpstr>
      <vt:lpstr>Will</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2026-10-13T19:39:42Z</dcterms:created>
  <dcterms:modified xsi:type="dcterms:W3CDTF">2026-10-13T19:39:42Z</dcterms:modified>
</cp:coreProperties>
</file>