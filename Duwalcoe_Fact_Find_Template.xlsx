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2" name="Start here" state="visible" r:id="rId4"/>
    <sheet sheetId="3" name="Client and family" state="visible" r:id="rId5"/>
    <sheet sheetId="4" name="Income and expenses" state="visible" r:id="rId6"/>
    <sheet sheetId="5" name="Assets and debts" state="visible" r:id="rId7"/>
    <sheet sheetId="6" name="Companies and trusts" state="visible" r:id="rId8"/>
    <sheet sheetId="7" name="Needs" state="visible" r:id="rId9"/>
    <sheet sheetId="8" name="Will" state="visible" r:id="rId10"/>
    <sheet sheetId="9" name="Summary" state="visible" r:id="rId11"/>
    <sheet sheetId="1" name="Lists" state="veryHidden" r:id="rId12"/>
  </sheets>
  <definedNames>
    <definedName name="FF_C_Title">'Client and family'!$C$9</definedName>
    <definedName name="FF_C_Name">'Client and family'!$C$10</definedName>
    <definedName name="FF_S_SpouseName">'Client and family'!$D$10</definedName>
    <definedName name="FF_C_CallingName">'Client and family'!$C$11</definedName>
    <definedName name="FF_C_IDNumber">'Client and family'!$C$12</definedName>
    <definedName name="FF_S_SpouseIDNumber">'Client and family'!$D$12</definedName>
    <definedName name="FF_C_DOB">'Client and family'!$C$14</definedName>
    <definedName name="FF_S_SpouseDOB">'Client and family'!$D$14</definedName>
    <definedName name="FF_C_Gender">'Client and family'!$C$15</definedName>
    <definedName name="FF_C_Smoker">'Client and family'!$C$16</definedName>
    <definedName name="FF_C_Cell">'Client and family'!$C$17</definedName>
    <definedName name="FF_S_SpouseCell">'Client and family'!$D$17</definedName>
    <definedName name="FF_C_Email">'Client and family'!$C$18</definedName>
    <definedName name="FF_S_SpouseEmail">'Client and family'!$D$18</definedName>
    <definedName name="FF_C_TelHome">'Client and family'!$C$19</definedName>
    <definedName name="FF_C_TelWork">'Client and family'!$C$20</definedName>
    <definedName name="FF_C_Address">'Client and family'!$C$21</definedName>
    <definedName name="FF_C_POBox">'Client and family'!$C$22</definedName>
    <definedName name="FF_C_Occupation">'Client and family'!$C$23</definedName>
    <definedName name="FF_S_SpouseOccupation">'Client and family'!$D$23</definedName>
    <definedName name="FF_C_Employer">'Client and family'!$C$24</definedName>
    <definedName name="FF_C_Income">'Client and family'!$C$25</definedName>
    <definedName name="FF_S_SpouseIncome">'Client and family'!$D$25</definedName>
    <definedName name="FF_S_SpouseWorks">'Client and family'!$D$26</definedName>
    <definedName name="FF_C_TaxNo">'Client and family'!$C$27</definedName>
    <definedName name="FF_C_Education">'Client and family'!$C$28</definedName>
    <definedName name="FF_C_Qualification">'Client and family'!$C$29</definedName>
    <definedName name="FF_C_MaritalStatus">'Client and family'!$C$30</definedName>
    <definedName name="FF_C_Anniversary">'Client and family'!$C$31</definedName>
    <definedName name="FF_C_IsLead">'Client and family'!$C$32</definedName>
    <definedName name="FF_K_kids">'Client and family'!$B$36:$Z$36</definedName>
    <definedName name="FF_T_kids">'Client and family'!$B$38:$Z$45</definedName>
    <definedName name="FF_W_dep_notes">'Client and family'!$C$49</definedName>
    <definedName name="FF_M_ClientID">Lists!$Z$1</definedName>
    <definedName name="FF_M_ClientName">Lists!$Z$2</definedName>
    <definedName name="FF_M_Version">Lists!$Z$3</definedName>
    <definedName name="FF_M_ExportedAt">Lists!$Z$4</definedName>
    <definedName name="FF_M_ExportedBy">Lists!$Z$5</definedName>
    <definedName name="FF_M_TemplateVersion">Lists!$Z$7</definedName>
    <definedName name="FF_G_ValDate">'Start here'!$C$19</definedName>
    <definedName name="FF_G_CompletedBy">'Start here'!$C$20</definedName>
    <definedName name="FF_G_DateCompleted">'Start here'!$C$21</definedName>
    <definedName name="FF_K_income">'Income and expenses'!$B$8:$Z$8</definedName>
    <definedName name="FF_T_income">'Income and expenses'!$B$11:$Z$20</definedName>
    <definedName name="FF_K_expense">'Income and expenses'!$B$25:$Z$25</definedName>
    <definedName name="FF_T_expense">'Income and expenses'!$B$28:$Z$42</definedName>
    <definedName name="FF_K_property">'Assets and debts'!$B$9:$Z$9</definedName>
    <definedName name="FF_T_property">'Assets and debts'!$B$12:$Z$19</definedName>
    <definedName name="FF_K_vehicle">'Assets and debts'!$B$23:$Z$23</definedName>
    <definedName name="FF_T_vehicle">'Assets and debts'!$B$26:$Z$31</definedName>
    <definedName name="FF_K_other">'Assets and debts'!$B$35:$Z$35</definedName>
    <definedName name="FF_T_other">'Assets and debts'!$B$38:$Z$52</definedName>
    <definedName name="FF_K_liability">'Assets and debts'!$B$56:$Z$56</definedName>
    <definedName name="FF_T_liability">'Assets and debts'!$B$59:$Z$70</definedName>
    <definedName name="FF_B1__id">'Companies and trusts'!$Z$7</definedName>
    <definedName name="FF_B1_desc">'Companies and trusts'!$C$8</definedName>
    <definedName name="FF_B1_entityType">'Companies and trusts'!$C$9</definedName>
    <definedName name="FF_B1_mainUse">'Companies and trusts'!$C$10</definedName>
    <definedName name="FF_B1_buySell">'Companies and trusts'!$C$11</definedName>
    <definedName name="FF_B1_valBasis">'Companies and trusts'!$C$12</definedName>
    <definedName name="FF_B1_valueDate">'Companies and trusts'!$C$13</definedName>
    <definedName name="FF_B1_source">'Companies and trusts'!$C$14</definedName>
    <definedName name="FF_B1_passesTo">'Companies and trusts'!$C$15</definedName>
    <definedName name="FF_B1_passesToName">'Companies and trusts'!$C$16</definedName>
    <definedName name="FF_B1_soldDeath">'Companies and trusts'!$C$17</definedName>
    <definedName name="FF_B1_soldDisab">'Companies and trusts'!$C$18</definedName>
    <definedName name="FF_B1_notes">'Companies and trusts'!$C$19</definedName>
    <definedName name="FF_B1_pctHeld">'Companies and trusts'!$C$21</definedName>
    <definedName name="FF_B1_pctHeldSpouse">'Companies and trusts'!$D$21</definedName>
    <definedName name="FF_B1_loanAcc">'Companies and trusts'!$C$22</definedName>
    <definedName name="FF_B1_loanAccSpouse">'Companies and trusts'!$D$22</definedName>
    <definedName name="FF_B1_loanBal">'Companies and trusts'!$C$23</definedName>
    <definedName name="FF_B1_loanBalSpouse">'Companies and trusts'!$D$23</definedName>
    <definedName name="FF_B1_baseCost">'Companies and trusts'!$C$24</definedName>
    <definedName name="FF_B1_baseCostSpouse">'Companies and trusts'!$D$24</definedName>
    <definedName name="FF_B1_dateAcquired">'Companies and trusts'!$C$25</definedName>
    <definedName name="FF_B1_dateAcquiredSpouse">'Companies and trusts'!$D$25</definedName>
    <definedName name="FF_B1_activeInv">'Companies and trusts'!$C$26</definedName>
    <definedName name="FF_B1_activeInvSpouse">'Companies and trusts'!$D$26</definedName>
    <definedName name="FF_B1_valueOverride">'Companies and trusts'!$C$27</definedName>
    <definedName name="FF_B1_valueOverrideSpouse">'Companies and trusts'!$D$27</definedName>
    <definedName name="FF_K_B1H">'Companies and trusts'!$B$31:$Z$31</definedName>
    <definedName name="FF_T_B1H">'Companies and trusts'!$B$34:$Z$43</definedName>
    <definedName name="FF_B2__id">'Companies and trusts'!$Z$53</definedName>
    <definedName name="FF_B2_desc">'Companies and trusts'!$C$54</definedName>
    <definedName name="FF_B2_entityType">'Companies and trusts'!$C$55</definedName>
    <definedName name="FF_B2_mainUse">'Companies and trusts'!$C$56</definedName>
    <definedName name="FF_B2_buySell">'Companies and trusts'!$C$57</definedName>
    <definedName name="FF_B2_valBasis">'Companies and trusts'!$C$58</definedName>
    <definedName name="FF_B2_valueDate">'Companies and trusts'!$C$59</definedName>
    <definedName name="FF_B2_source">'Companies and trusts'!$C$60</definedName>
    <definedName name="FF_B2_passesTo">'Companies and trusts'!$C$61</definedName>
    <definedName name="FF_B2_passesToName">'Companies and trusts'!$C$62</definedName>
    <definedName name="FF_B2_soldDeath">'Companies and trusts'!$C$63</definedName>
    <definedName name="FF_B2_soldDisab">'Companies and trusts'!$C$64</definedName>
    <definedName name="FF_B2_notes">'Companies and trusts'!$C$65</definedName>
    <definedName name="FF_B2_pctHeld">'Companies and trusts'!$C$67</definedName>
    <definedName name="FF_B2_pctHeldSpouse">'Companies and trusts'!$D$67</definedName>
    <definedName name="FF_B2_loanAcc">'Companies and trusts'!$C$68</definedName>
    <definedName name="FF_B2_loanAccSpouse">'Companies and trusts'!$D$68</definedName>
    <definedName name="FF_B2_loanBal">'Companies and trusts'!$C$69</definedName>
    <definedName name="FF_B2_loanBalSpouse">'Companies and trusts'!$D$69</definedName>
    <definedName name="FF_B2_baseCost">'Companies and trusts'!$C$70</definedName>
    <definedName name="FF_B2_baseCostSpouse">'Companies and trusts'!$D$70</definedName>
    <definedName name="FF_B2_dateAcquired">'Companies and trusts'!$C$71</definedName>
    <definedName name="FF_B2_dateAcquiredSpouse">'Companies and trusts'!$D$71</definedName>
    <definedName name="FF_B2_activeInv">'Companies and trusts'!$C$72</definedName>
    <definedName name="FF_B2_activeInvSpouse">'Companies and trusts'!$D$72</definedName>
    <definedName name="FF_B2_valueOverride">'Companies and trusts'!$C$73</definedName>
    <definedName name="FF_B2_valueOverrideSpouse">'Companies and trusts'!$D$73</definedName>
    <definedName name="FF_K_B2H">'Companies and trusts'!$B$77:$Z$77</definedName>
    <definedName name="FF_T_B2H">'Companies and trusts'!$B$79:$Z$88</definedName>
    <definedName name="FF_B3__id">'Companies and trusts'!$Z$98</definedName>
    <definedName name="FF_B3_desc">'Companies and trusts'!$C$99</definedName>
    <definedName name="FF_B3_entityType">'Companies and trusts'!$C$100</definedName>
    <definedName name="FF_B3_mainUse">'Companies and trusts'!$C$101</definedName>
    <definedName name="FF_B3_buySell">'Companies and trusts'!$C$102</definedName>
    <definedName name="FF_B3_valBasis">'Companies and trusts'!$C$103</definedName>
    <definedName name="FF_B3_valueDate">'Companies and trusts'!$C$104</definedName>
    <definedName name="FF_B3_source">'Companies and trusts'!$C$105</definedName>
    <definedName name="FF_B3_passesTo">'Companies and trusts'!$C$106</definedName>
    <definedName name="FF_B3_passesToName">'Companies and trusts'!$C$107</definedName>
    <definedName name="FF_B3_soldDeath">'Companies and trusts'!$C$108</definedName>
    <definedName name="FF_B3_soldDisab">'Companies and trusts'!$C$109</definedName>
    <definedName name="FF_B3_notes">'Companies and trusts'!$C$110</definedName>
    <definedName name="FF_B3_pctHeld">'Companies and trusts'!$C$112</definedName>
    <definedName name="FF_B3_pctHeldSpouse">'Companies and trusts'!$D$112</definedName>
    <definedName name="FF_B3_loanAcc">'Companies and trusts'!$C$113</definedName>
    <definedName name="FF_B3_loanAccSpouse">'Companies and trusts'!$D$113</definedName>
    <definedName name="FF_B3_loanBal">'Companies and trusts'!$C$114</definedName>
    <definedName name="FF_B3_loanBalSpouse">'Companies and trusts'!$D$114</definedName>
    <definedName name="FF_B3_baseCost">'Companies and trusts'!$C$115</definedName>
    <definedName name="FF_B3_baseCostSpouse">'Companies and trusts'!$D$115</definedName>
    <definedName name="FF_B3_dateAcquired">'Companies and trusts'!$C$116</definedName>
    <definedName name="FF_B3_dateAcquiredSpouse">'Companies and trusts'!$D$116</definedName>
    <definedName name="FF_B3_activeInv">'Companies and trusts'!$C$117</definedName>
    <definedName name="FF_B3_activeInvSpouse">'Companies and trusts'!$D$117</definedName>
    <definedName name="FF_B3_valueOverride">'Companies and trusts'!$C$118</definedName>
    <definedName name="FF_B3_valueOverrideSpouse">'Companies and trusts'!$D$118</definedName>
    <definedName name="FF_K_B3H">'Companies and trusts'!$B$122:$Z$122</definedName>
    <definedName name="FF_T_B3H">'Companies and trusts'!$B$124:$Z$133</definedName>
    <definedName name="FF_B4__id">'Companies and trusts'!$Z$143</definedName>
    <definedName name="FF_B4_desc">'Companies and trusts'!$C$144</definedName>
    <definedName name="FF_B4_entityType">'Companies and trusts'!$C$145</definedName>
    <definedName name="FF_B4_mainUse">'Companies and trusts'!$C$146</definedName>
    <definedName name="FF_B4_buySell">'Companies and trusts'!$C$147</definedName>
    <definedName name="FF_B4_valBasis">'Companies and trusts'!$C$148</definedName>
    <definedName name="FF_B4_valueDate">'Companies and trusts'!$C$149</definedName>
    <definedName name="FF_B4_source">'Companies and trusts'!$C$150</definedName>
    <definedName name="FF_B4_passesTo">'Companies and trusts'!$C$151</definedName>
    <definedName name="FF_B4_passesToName">'Companies and trusts'!$C$152</definedName>
    <definedName name="FF_B4_soldDeath">'Companies and trusts'!$C$153</definedName>
    <definedName name="FF_B4_soldDisab">'Companies and trusts'!$C$154</definedName>
    <definedName name="FF_B4_notes">'Companies and trusts'!$C$155</definedName>
    <definedName name="FF_B4_pctHeld">'Companies and trusts'!$C$157</definedName>
    <definedName name="FF_B4_pctHeldSpouse">'Companies and trusts'!$D$157</definedName>
    <definedName name="FF_B4_loanAcc">'Companies and trusts'!$C$158</definedName>
    <definedName name="FF_B4_loanAccSpouse">'Companies and trusts'!$D$158</definedName>
    <definedName name="FF_B4_loanBal">'Companies and trusts'!$C$159</definedName>
    <definedName name="FF_B4_loanBalSpouse">'Companies and trusts'!$D$159</definedName>
    <definedName name="FF_B4_baseCost">'Companies and trusts'!$C$160</definedName>
    <definedName name="FF_B4_baseCostSpouse">'Companies and trusts'!$D$160</definedName>
    <definedName name="FF_B4_dateAcquired">'Companies and trusts'!$C$161</definedName>
    <definedName name="FF_B4_dateAcquiredSpouse">'Companies and trusts'!$D$161</definedName>
    <definedName name="FF_B4_activeInv">'Companies and trusts'!$C$162</definedName>
    <definedName name="FF_B4_activeInvSpouse">'Companies and trusts'!$D$162</definedName>
    <definedName name="FF_B4_valueOverride">'Companies and trusts'!$C$163</definedName>
    <definedName name="FF_B4_valueOverrideSpouse">'Companies and trusts'!$D$163</definedName>
    <definedName name="FF_K_B4H">'Companies and trusts'!$B$167:$Z$167</definedName>
    <definedName name="FF_T_B4H">'Companies and trusts'!$B$169:$Z$178</definedName>
    <definedName name="FF_K_need">Needs!$B$8:$Z$8</definedName>
    <definedName name="FF_T_need">Needs!$B$11:$Z$22</definedName>
    <definedName name="FF_W_t_placeofbirth">Will!$C$12</definedName>
    <definedName name="FF_W_t_marital_date">Will!$C$13</definedName>
    <definedName name="FF_W_s_marriage_place">Will!$C$18</definedName>
    <definedName name="FF_W_s_anc_note">Will!$C$19</definedName>
    <definedName name="FF_T_WKids">Will!$C$23:$C$30</definedName>
    <definedName name="FF_W_e_status">Will!$C$34</definedName>
    <definedName name="FF_W_e_date">Will!$C$35</definedName>
    <definedName name="FF_W_e_drafted_by">Will!$C$36</definedName>
    <definedName name="FF_W_e_location">Will!$C$37</definedName>
    <definedName name="FF_W_e_revoke">Will!$C$38</definedName>
    <definedName name="FF_W_g_na">Will!$C$41</definedName>
    <definedName name="FF_W_g_p_name">Will!$C$42</definedName>
    <definedName name="FF_W_g_p_id">Will!$C$43</definedName>
    <definedName name="FF_W_g_p_rel">Will!$C$44</definedName>
    <definedName name="FF_W_g_p_contact">Will!$C$45</definedName>
    <definedName name="FF_W_g_a_name">Will!$C$46</definedName>
    <definedName name="FF_W_g_a_id">Will!$C$47</definedName>
    <definedName name="FF_W_g_a_rel">Will!$C$48</definedName>
    <definedName name="FF_W_g_a_contact">Will!$C$49</definedName>
    <definedName name="FF_W_g_discussed">Will!$C$50</definedName>
    <definedName name="FF_W_g_notes">Will!$C$51</definedName>
    <definedName name="FF_W_tr_choice">Will!$C$54</definedName>
    <definedName name="FF_W_tr1_name">Will!$C$55</definedName>
    <definedName name="FF_W_tr1_id">Will!$C$56</definedName>
    <definedName name="FF_W_tr2_name">Will!$C$57</definedName>
    <definedName name="FF_W_tr2_id">Will!$C$58</definedName>
    <definedName name="FF_W_tr3_name">Will!$C$59</definedName>
    <definedName name="FF_W_tr3_id">Will!$C$60</definedName>
    <definedName name="FF_W_tr_term">Will!$C$61</definedName>
    <definedName name="FF_W_tr_term_age">Will!$C$62</definedName>
    <definedName name="FF_W_tr_notes">Will!$C$63</definedName>
    <definedName name="FF_K_Bq">Will!$B$66:$D$66</definedName>
    <definedName name="FF_T_Bq">Will!$B$68:$D$73</definedName>
    <definedName name="FF_W_res_choice">Will!$C$76</definedName>
    <definedName name="FF_K_Rs">Will!$B$77:$D$77</definedName>
    <definedName name="FF_T_Rs">Will!$B$79:$D$83</definedName>
    <definedName name="FF_W_sa_off">Will!$C$87</definedName>
    <definedName name="FF_W_sa_off_detail">Will!$C$88</definedName>
    <definedName name="FF_W_sa_fire">Will!$C$89</definedName>
    <definedName name="FF_W_sa_fire_num">Will!$C$90</definedName>
    <definedName name="FF_W_sa_fire_licensed">Will!$C$91</definedName>
    <definedName name="FF_W_lw">Will!$C$94</definedName>
    <definedName name="FF_W_lw_date">Will!$C$95</definedName>
    <definedName name="FF_W_organ">Will!$C$96</definedName>
    <definedName name="FF_W_cl_organ_reg">Will!$C$97</definedName>
    <definedName name="FF_W_fw">Will!$C$100</definedName>
    <definedName name="FF_W_fw_location">Will!$C$101</definedName>
    <definedName name="FF_W_fw_requests">Will!$C$102</definedName>
    <definedName name="FF_W_fw_cover">Will!$C$103</definedName>
    <definedName name="FF_W_fw_cover_provider">Will!$C$104</definedName>
    <definedName name="FF_W_fw_cover_policy">Will!$C$105</definedName>
    <definedName name="FF_W_fw_cost">Will!$C$106</definedName>
    <definedName name="FF_W_da_letter">Will!$C$109</definedName>
    <definedName name="FF_W_da_letter_with">Will!$C$110</definedName>
    <definedName name="FF_W_da_social">Will!$C$111</definedName>
    <definedName name="FF_W_da_crypto">Will!$C$112</definedName>
    <definedName name="FF_W_da_crypto_loc">Will!$C$113</definedName>
    <definedName name="FF_W_pet_na">Will!$C$116</definedName>
    <definedName name="FF_W_pet_carer">Will!$C$117</definedName>
    <definedName name="FF_W_pet_bequest">Will!$C$118</definedName>
    <definedName name="FF_W_lo">Will!$C$121</definedName>
    <definedName name="FF_W_add_notes">Will!$C$124</definedName>
    <definedName name="FF_W_ex_p_name">Will!$C$127</definedName>
    <definedName name="FF_W_ex_p_id">Will!$C$128</definedName>
    <definedName name="FF_W_ex_p_rel">Will!$C$129</definedName>
    <definedName name="FF_W_ex_p_contact">Will!$C$130</definedName>
    <definedName name="FF_W_ex_p_address">Will!$C$131</definedName>
    <definedName name="FF_W_ex_a_name">Will!$C$132</definedName>
    <definedName name="FF_W_ex_a_id">Will!$C$133</definedName>
    <definedName name="FF_W_ex_a_rel">Will!$C$134</definedName>
    <definedName name="FF_W_ex_a_contact">Will!$C$135</definedName>
    <definedName name="FF_W_ex_security">Will!$C$136</definedName>
    <definedName name="FF_W_ex_fee">Will!$C$137</definedName>
    <definedName name="FF_W_ex_fee_rate">Will!$C$138</definedName>
    <definedName name="FF_W_ex_assume">Will!$C$139</definedName>
    <definedName name="FF_W_ex_notes">Will!$C$140</definedName>
    <definedName name="FF_W_cl_lang">Will!$C$143</definedName>
    <definedName name="FF_W_cl_lang_other">Will!$C$144</definedName>
    <definedName name="FF_W_cl_wt">Will!$C$145</definedName>
    <definedName name="FF_W_cl_wt_sp_inc">Will!$C$146</definedName>
    <definedName name="FF_W_cl_wt_kids_cap">Will!$C$147</definedName>
    <definedName name="FF_W_cl_wt_cap1_name">Will!$C$148</definedName>
    <definedName name="FF_W_cl_wt_cap1_rel">Will!$C$149</definedName>
    <definedName name="FF_W_cl_wt_cap2_name">Will!$C$150</definedName>
    <definedName name="FF_W_cl_wt_cap2_rel">Will!$C$151</definedName>
    <definedName name="FF_W_cl_wt_cap3_name">Will!$C$152</definedName>
    <definedName name="FF_W_cl_wt_cap3_rel">Will!$C$153</definedName>
    <definedName name="FF_W_cl_pt_ben">Will!$C$154</definedName>
    <definedName name="FF_W_cl_pt_rel">Will!$C$155</definedName>
    <definedName name="FF_W_cl_nok_name">Will!$C$156</definedName>
    <definedName name="FF_W_cl_nok_rel">Will!$C$157</definedName>
    <definedName name="FF_W_cl_nok_cell">Will!$C$158</definedName>
    <definedName name="FF_W_cl_nok_email">Will!$C$159</definedName>
    <definedName name="FF_W_cl_ct1_name">Will!$C$160</definedName>
    <definedName name="FF_W_cl_ct1_id">Will!$C$161</definedName>
    <definedName name="FF_W_cl_ct1_rel">Will!$C$162</definedName>
    <definedName name="FF_W_cl_ct2_name">Will!$C$163</definedName>
    <definedName name="FF_W_cl_ct2_id">Will!$C$164</definedName>
    <definedName name="FF_W_cl_ct2_rel">Will!$C$165</definedName>
    <definedName name="FF_W_cl_exec">Will!$C$166</definedName>
    <definedName name="FF_W_cl_ce1_name">Will!$C$167</definedName>
    <definedName name="FF_W_cl_ce1_id">Will!$C$168</definedName>
    <definedName name="FF_W_cl_ce1_rel">Will!$C$169</definedName>
    <definedName name="FF_W_cl_ce2_name">Will!$C$170</definedName>
    <definedName name="FF_W_cl_ce2_id">Will!$C$171</definedName>
    <definedName name="FF_W_cl_ce2_rel">Will!$C$172</definedName>
    <definedName name="FF_W_cl_collect">Will!$C$173</definedName>
    <definedName name="FF_M_Breaks">Lists!$Z$8</definedName>
    <definedName name="_xlnm.Print_Area" localSheetId="0">'Start here'!$A1:$F22</definedName>
    <definedName name="_xlnm.Print_Titles" localSheetId="0">'Start here'!$1:$2</definedName>
    <definedName name="_xlnm.Print_Area" localSheetId="1">'Client and family'!$A1:$G50</definedName>
    <definedName name="_xlnm.Print_Titles" localSheetId="1">'Client and family'!$1:$2</definedName>
    <definedName name="_xlnm.Print_Area" localSheetId="2">'Income and expenses'!$A1:$H49</definedName>
    <definedName name="_xlnm.Print_Titles" localSheetId="2">'Income and expenses'!$1:$2</definedName>
    <definedName name="_xlnm.Print_Area" localSheetId="3">'Assets and debts'!$A1:$Q72</definedName>
    <definedName name="_xlnm.Print_Titles" localSheetId="3">'Assets and debts'!$1:$2</definedName>
    <definedName name="_xlnm.Print_Area" localSheetId="4">'Companies and trusts'!$A1:$G188</definedName>
    <definedName name="_xlnm.Print_Titles" localSheetId="4">'Companies and trusts'!$1:$2</definedName>
    <definedName name="_xlnm.Print_Area" localSheetId="5">'Needs'!$A1:$J24</definedName>
    <definedName name="_xlnm.Print_Titles" localSheetId="5">'Needs'!$1:$2</definedName>
    <definedName name="_xlnm.Print_Area" localSheetId="6">'Will'!$A1:$E174</definedName>
    <definedName name="_xlnm.Print_Titles" localSheetId="6">'Will'!$1:$2</definedName>
    <definedName name="_xlnm.Print_Area" localSheetId="7">'Summary'!$A1:$F35</definedName>
    <definedName name="_xlnm.Print_Titles" localSheetId="7">'Summary'!$1:$2</definedName>
  </definedNames>
  <calcPr calcId="171027" fullCalcOnLoad="1"/>
</workbook>
</file>

<file path=xl/sharedStrings.xml><?xml version="1.0" encoding="utf-8"?>
<sst xmlns="http://schemas.openxmlformats.org/spreadsheetml/2006/main" count="830" uniqueCount="544">
  <si>
    <t>Duwalcoe Financial Consultants CC</t>
  </si>
  <si>
    <t>FSP 9978   |   clinton@duwalcoe.co.za   |   083 608 5617</t>
  </si>
  <si>
    <t>How to fill it in</t>
  </si>
  <si>
    <t>1.  Type only in the yellow cells. Grey cells fill themselves in from what you type elsewhere, so each fact is typed once.</t>
  </si>
  <si>
    <t>2.  Start on the Client and family sheet. The names you type there appear in the drop-down lists on every other sheet.</t>
  </si>
  <si>
    <t>3.  All amounts are in rand, as at the date below. Rough figures are fine. Where you have guessed, choose Estimate in the Source column.</t>
  </si>
  <si>
    <t>4.  Leave out policies and investments arranged through Duwalcoe. They are already on our records.</t>
  </si>
  <si>
    <t>5.  Leave anything you are not sure of blank and we will go through it together.</t>
  </si>
  <si>
    <t>6.  The Summary sheet adds everything up as you go. Please email the completed workbook to clinton@duwalcoe.co.za.</t>
  </si>
  <si>
    <t>The colours</t>
  </si>
  <si>
    <t>Type here</t>
  </si>
  <si>
    <t>Filled in for you, nothing to type</t>
  </si>
  <si>
    <t>About this fact find</t>
  </si>
  <si>
    <t>Values as at (date)</t>
  </si>
  <si>
    <t>Completed by</t>
  </si>
  <si>
    <t>Date completed</t>
  </si>
  <si>
    <t>Client and family</t>
  </si>
  <si>
    <t>This sheet is the home of every name in the workbook. The names typed here appear in the drop-downs on the other sheets.</t>
  </si>
  <si>
    <t>1. You and your spouse</t>
  </si>
  <si>
    <t>Detail</t>
  </si>
  <si>
    <t>Title</t>
  </si>
  <si>
    <t>Full names</t>
  </si>
  <si>
    <t>Calling name (what we call you)</t>
  </si>
  <si>
    <t>SA ID number</t>
  </si>
  <si>
    <t>Date of birth (worked out from the ID, or as typed below)</t>
  </si>
  <si>
    <t>Date of birth (only if no SA ID number)</t>
  </si>
  <si>
    <t>Gender (only if no SA ID number)</t>
  </si>
  <si>
    <t>Smoker</t>
  </si>
  <si>
    <t>Cell</t>
  </si>
  <si>
    <t>Email</t>
  </si>
  <si>
    <t>Home telephone</t>
  </si>
  <si>
    <t>Work telephone</t>
  </si>
  <si>
    <t>Physical address</t>
  </si>
  <si>
    <t>Postal address</t>
  </si>
  <si>
    <t>Occupation</t>
  </si>
  <si>
    <t>Employer</t>
  </si>
  <si>
    <t>Gross income a month (R)</t>
  </si>
  <si>
    <t>Working?</t>
  </si>
  <si>
    <t>Tax number</t>
  </si>
  <si>
    <t>Highest education</t>
  </si>
  <si>
    <t>Qualification</t>
  </si>
  <si>
    <t>Marital status and regime</t>
  </si>
  <si>
    <t>Wedding anniversary</t>
  </si>
  <si>
    <t>Lead or client</t>
  </si>
  <si>
    <t>2. Children and other family members</t>
  </si>
  <si>
    <t>Your children first, then anyone else in the family. Your spouse goes above, not here.</t>
  </si>
  <si>
    <t>Name</t>
  </si>
  <si>
    <t>IDNumber</t>
  </si>
  <si>
    <t>DOB</t>
  </si>
  <si>
    <t>Type</t>
  </si>
  <si>
    <t>Dependent</t>
  </si>
  <si>
    <t>_id</t>
  </si>
  <si>
    <t>Date of birth (if no SA ID)</t>
  </si>
  <si>
    <t>Relationship to you</t>
  </si>
  <si>
    <t>Financially dependent on you?</t>
  </si>
  <si>
    <t>Age</t>
  </si>
  <si>
    <t>3. Other dependants</t>
  </si>
  <si>
    <t>Anyone else you support or want provided for, for example an elderly parent or a disabled sibling.</t>
  </si>
  <si>
    <t>Other dependants to provide for</t>
  </si>
  <si>
    <t>Income and expenses</t>
  </si>
  <si>
    <t>1. Income</t>
  </si>
  <si>
    <t>Every regular income, before tax. One row per source.</t>
  </si>
  <si>
    <t>desc</t>
  </si>
  <si>
    <t>owner</t>
  </si>
  <si>
    <t>incomeType</t>
  </si>
  <si>
    <t>amountPM</t>
  </si>
  <si>
    <t>bonus</t>
  </si>
  <si>
    <t>taxable</t>
  </si>
  <si>
    <t>notes</t>
  </si>
  <si>
    <t>Description (e.g. Salary, ABC Ltd)</t>
  </si>
  <si>
    <t>Whose income</t>
  </si>
  <si>
    <t>Gross amount a month (R)</t>
  </si>
  <si>
    <t>Annual bonus (R)</t>
  </si>
  <si>
    <t>Taxable?</t>
  </si>
  <si>
    <t>Notes</t>
  </si>
  <si>
    <t>Example: Salary, ABC Ltd</t>
  </si>
  <si>
    <t>Salary</t>
  </si>
  <si>
    <t>Yes</t>
  </si>
  <si>
    <t>13th cheque in December</t>
  </si>
  <si>
    <t>Total income a month</t>
  </si>
  <si>
    <t>2. Monthly expenses</t>
  </si>
  <si>
    <t>What the household spends each month.</t>
  </si>
  <si>
    <t>expCategory</t>
  </si>
  <si>
    <t>Description</t>
  </si>
  <si>
    <t>Category</t>
  </si>
  <si>
    <t>Amount a month (R)</t>
  </si>
  <si>
    <t>Example: Household groceries and utilities</t>
  </si>
  <si>
    <t>Living expenses</t>
  </si>
  <si>
    <t/>
  </si>
  <si>
    <t>Total expenses a month</t>
  </si>
  <si>
    <t>3. Cash flow</t>
  </si>
  <si>
    <t>Income a month</t>
  </si>
  <si>
    <t>Expenses a month</t>
  </si>
  <si>
    <t>Left over a month (shortfall in brackets)</t>
  </si>
  <si>
    <t>Assets and debts in your own names</t>
  </si>
  <si>
    <t>Owner: choose your name, your spouse's name or Joint. Anything owned by a company or trust goes on the Companies and trusts sheet instead.</t>
  </si>
  <si>
    <t>1. Property in your own names</t>
  </si>
  <si>
    <t>Market value is what it would sell for today. Base cost is what it cost plus improvements, for capital gains tax. Property owned by a company or trust goes on the Companies and trusts sheet, not here.</t>
  </si>
  <si>
    <t>value</t>
  </si>
  <si>
    <t>valueDate</t>
  </si>
  <si>
    <t>baseCost</t>
  </si>
  <si>
    <t>dateAcquired</t>
  </si>
  <si>
    <t>bondOut</t>
  </si>
  <si>
    <t>bondPM</t>
  </si>
  <si>
    <t>rentalPM</t>
  </si>
  <si>
    <t>primaryRes</t>
  </si>
  <si>
    <t>passesTo</t>
  </si>
  <si>
    <t>passesToName</t>
  </si>
  <si>
    <t>soldDeath</t>
  </si>
  <si>
    <t>soldDisab</t>
  </si>
  <si>
    <t>source</t>
  </si>
  <si>
    <t>Address and type of property</t>
  </si>
  <si>
    <t>Owner</t>
  </si>
  <si>
    <t>Market value today (R)</t>
  </si>
  <si>
    <t>Value as at</t>
  </si>
  <si>
    <t>Base cost incl. improvements (R)</t>
  </si>
  <si>
    <t>Date bought</t>
  </si>
  <si>
    <t>Bond owing (R)</t>
  </si>
  <si>
    <t>Bond a month (R)</t>
  </si>
  <si>
    <t>Rent received a month (R)</t>
  </si>
  <si>
    <t>Main home?</t>
  </si>
  <si>
    <t>Passes to at death</t>
  </si>
  <si>
    <t>Named person</t>
  </si>
  <si>
    <t>Sell at death?</t>
  </si>
  <si>
    <t>Sell if disabled?</t>
  </si>
  <si>
    <t>Source</t>
  </si>
  <si>
    <t>Example: 12 Beach Road, Hermanus</t>
  </si>
  <si>
    <t>Joint</t>
  </si>
  <si>
    <t>Spouse</t>
  </si>
  <si>
    <t>No</t>
  </si>
  <si>
    <t>Estimate</t>
  </si>
  <si>
    <t>ABSA bond</t>
  </si>
  <si>
    <t>2. Vehicles</t>
  </si>
  <si>
    <t>Cars, bakkies, boats, caravans and trailers.</t>
  </si>
  <si>
    <t>financeOut</t>
  </si>
  <si>
    <t>financePM</t>
  </si>
  <si>
    <t>Make, model and year</t>
  </si>
  <si>
    <t>Value today (R)</t>
  </si>
  <si>
    <t>Finance owing (R)</t>
  </si>
  <si>
    <t>Finance a month (R)</t>
  </si>
  <si>
    <t>Example: 2021 Toyota Hilux 2.8</t>
  </si>
  <si>
    <t>3. Bank accounts, investments and other assets</t>
  </si>
  <si>
    <t>Bank and savings accounts, shares and unit trusts held directly, money lent to family, household contents, jewellery, art, firearms, collections. Policies and investments arranged through Duwalcoe are already on our records.</t>
  </si>
  <si>
    <t>type</t>
  </si>
  <si>
    <t>Base cost (R)</t>
  </si>
  <si>
    <t>Date acquired</t>
  </si>
  <si>
    <t>Example: FNB savings account</t>
  </si>
  <si>
    <t>Cash / Savings</t>
  </si>
  <si>
    <t>Estate</t>
  </si>
  <si>
    <t>Statement</t>
  </si>
  <si>
    <t>4. Debts</t>
  </si>
  <si>
    <t>Credit cards, overdrafts, personal loans, store accounts, loans from family, tax owed to SARS. Bonds and vehicle finance are entered above.</t>
  </si>
  <si>
    <t>liabType</t>
  </si>
  <si>
    <t>balance</t>
  </si>
  <si>
    <t>interestRate</t>
  </si>
  <si>
    <t>paymentPM</t>
  </si>
  <si>
    <t>payOffDisab</t>
  </si>
  <si>
    <t>Lender and type of debt</t>
  </si>
  <si>
    <t>Whose debt</t>
  </si>
  <si>
    <t>Balance owing (R)</t>
  </si>
  <si>
    <t>Interest rate (% a year)</t>
  </si>
  <si>
    <t>Payment a month (R)</t>
  </si>
  <si>
    <t>Pay off if disabled?</t>
  </si>
  <si>
    <t>Example: ABSA credit card</t>
  </si>
  <si>
    <t>Credit Card</t>
  </si>
  <si>
    <t>Companies, close corporations and trusts</t>
  </si>
  <si>
    <t>One block for each company, CC or trust that you or your spouse hold an interest in. Property inside a company or trust is entered here, never as your own property. The value of each share is worked out from what the entity holds, unless you type your accountant's value.</t>
  </si>
  <si>
    <t>Company, CC or trust 1</t>
  </si>
  <si>
    <t>Name of the company, CC or trust</t>
  </si>
  <si>
    <t>Main use of the business</t>
  </si>
  <si>
    <t>Buy and sell agreement in place?</t>
  </si>
  <si>
    <t>Valuation basis</t>
  </si>
  <si>
    <t>Figures as at</t>
  </si>
  <si>
    <t>Source of the figures</t>
  </si>
  <si>
    <t>Your share and loan account pass to at death</t>
  </si>
  <si>
    <t>Sell your share at death?</t>
  </si>
  <si>
    <t>Sell your share if disabled?</t>
  </si>
  <si>
    <t>Each of you</t>
  </si>
  <si>
    <t>% held (type 60 for 60%)</t>
  </si>
  <si>
    <t>Loan account: Credit = the entity owes you, Debit = you owe it</t>
  </si>
  <si>
    <t>Loan account balance (R)</t>
  </si>
  <si>
    <t>What your shares cost (R)</t>
  </si>
  <si>
    <t>Date you acquired the shares</t>
  </si>
  <si>
    <t>Actively involved in running it?</t>
  </si>
  <si>
    <t>Accountant's value of your share (R), only if you have one</t>
  </si>
  <si>
    <t>What the company or trust holds</t>
  </si>
  <si>
    <t>Property at market value with its base cost, bonds, cash, other assets and other debts. Not the loan accounts above: they are counted automatically.</t>
  </si>
  <si>
    <t>kind</t>
  </si>
  <si>
    <t>What it holds</t>
  </si>
  <si>
    <t>Kind</t>
  </si>
  <si>
    <t>Market value or balance (R)</t>
  </si>
  <si>
    <t>Base cost (R) (property)</t>
  </si>
  <si>
    <t>Example: Erf 12, Onrus (let to tenants)</t>
  </si>
  <si>
    <t>Property</t>
  </si>
  <si>
    <t>Valuation</t>
  </si>
  <si>
    <t>Assets of the entity (including loans owed to it by you)</t>
  </si>
  <si>
    <t>Debts of the entity (including loan accounts it owes you)</t>
  </si>
  <si>
    <t>Net assets</t>
  </si>
  <si>
    <t>Value of each share</t>
  </si>
  <si>
    <t>Worked out: net assets x % held (a company share is never below nil)</t>
  </si>
  <si>
    <t>Value used (the accountant's value if given, otherwise worked out)</t>
  </si>
  <si>
    <t>A trust has no shares: only the loan accounts belong to your estates.</t>
  </si>
  <si>
    <t>Company, CC or trust 2</t>
  </si>
  <si>
    <t>Company, CC or trust 3</t>
  </si>
  <si>
    <t>Company, CC or trust 4</t>
  </si>
  <si>
    <t>Needs</t>
  </si>
  <si>
    <t>What you want provided for</t>
  </si>
  <si>
    <t>For each need: what happens (death, disability, dread disease, retirement), whether it is a monthly income or a once-off amount, and for whom (death only).</t>
  </si>
  <si>
    <t>scenario</t>
  </si>
  <si>
    <t>needType</t>
  </si>
  <si>
    <t>amount</t>
  </si>
  <si>
    <t>years</t>
  </si>
  <si>
    <t>esc</t>
  </si>
  <si>
    <t>benTo</t>
  </si>
  <si>
    <t>benName</t>
  </si>
  <si>
    <t>Description (e.g. Income for the family, Education)</t>
  </si>
  <si>
    <t>If this happens</t>
  </si>
  <si>
    <t>Monthly income or once-off?</t>
  </si>
  <si>
    <t>Amount (R): a month, or the once-off total</t>
  </si>
  <si>
    <t>For how many years (income)</t>
  </si>
  <si>
    <t>Increase % a year (blank = inflation)</t>
  </si>
  <si>
    <t>For whom (death only)</t>
  </si>
  <si>
    <t>Example: Income for the family</t>
  </si>
  <si>
    <t>Death</t>
  </si>
  <si>
    <t>Monthly income</t>
  </si>
  <si>
    <t>Will instructions</t>
  </si>
  <si>
    <t>Your wishes for the attorney who drafts your will. This is not a will. Names and family details come from the Client and family sheet.</t>
  </si>
  <si>
    <t>1. You (the testator)</t>
  </si>
  <si>
    <t>ID number</t>
  </si>
  <si>
    <t>Place of birth</t>
  </si>
  <si>
    <t>If divorced or widowed: the date</t>
  </si>
  <si>
    <t>2. Your spouse or life partner</t>
  </si>
  <si>
    <t>Spouse or partner: full names</t>
  </si>
  <si>
    <t>Date of marriage</t>
  </si>
  <si>
    <t>Place of marriage</t>
  </si>
  <si>
    <t>Antenuptial contract and accrual: notes for the attorney</t>
  </si>
  <si>
    <t>3. Children and dependants</t>
  </si>
  <si>
    <t>Child or family member (from the Client and family sheet)</t>
  </si>
  <si>
    <t>Notes for the attorney (special needs, anything to know)</t>
  </si>
  <si>
    <t>4. Existing will</t>
  </si>
  <si>
    <t>Current position</t>
  </si>
  <si>
    <t>Date of existing will</t>
  </si>
  <si>
    <t>Drafted by</t>
  </si>
  <si>
    <t>Where the existing will or codicil is kept</t>
  </si>
  <si>
    <t>Revoke all prior wills and codicils when the new will is signed?</t>
  </si>
  <si>
    <t>5. Guardian for minor children</t>
  </si>
  <si>
    <t>Not applicable (no minor children, or the other parent has full guardianship)?</t>
  </si>
  <si>
    <t>Primary guardian: full names</t>
  </si>
  <si>
    <t>Primary guardian: ID number</t>
  </si>
  <si>
    <t>Primary guardian: relationship</t>
  </si>
  <si>
    <t>Primary guardian: contact</t>
  </si>
  <si>
    <t>Alternate guardian: full names</t>
  </si>
  <si>
    <t>Alternate guardian: ID number</t>
  </si>
  <si>
    <t>Alternate guardian: relationship</t>
  </si>
  <si>
    <t>Alternate guardian: contact</t>
  </si>
  <si>
    <t>Discussed with the proposed guardian, and they have agreed?</t>
  </si>
  <si>
    <t>Notes to the guardian (values, schooling preferences)</t>
  </si>
  <si>
    <t>6. Testamentary trust</t>
  </si>
  <si>
    <t>Establish a trust?</t>
  </si>
  <si>
    <t>Trustee 1: full names</t>
  </si>
  <si>
    <t>Trustee 1: ID number</t>
  </si>
  <si>
    <t>Trustee 2: full names</t>
  </si>
  <si>
    <t>Trustee 2: ID number</t>
  </si>
  <si>
    <t>Trustee 3: full names</t>
  </si>
  <si>
    <t>Trustee 3: ID number</t>
  </si>
  <si>
    <t>When the trust ends</t>
  </si>
  <si>
    <t>Termination / vesting age (commonly 21 or 25)</t>
  </si>
  <si>
    <t>Special trust instructions</t>
  </si>
  <si>
    <t>7. Specific bequests</t>
  </si>
  <si>
    <t>item</t>
  </si>
  <si>
    <t>ben</t>
  </si>
  <si>
    <t>pre</t>
  </si>
  <si>
    <t>Item or amount</t>
  </si>
  <si>
    <t>To whom</t>
  </si>
  <si>
    <t>If they die before you, to</t>
  </si>
  <si>
    <t>8. Residue of the estate (everything not specifically left to someone)</t>
  </si>
  <si>
    <t>Residue distribution</t>
  </si>
  <si>
    <t>pct</t>
  </si>
  <si>
    <t>Beneficiary</t>
  </si>
  <si>
    <t>% share</t>
  </si>
  <si>
    <t>9. Special assets</t>
  </si>
  <si>
    <t>Your property and business interests, and who each one passes to, are taken from the Assets and debts and the Companies and trusts sheets. Life policies and retirement funds, with their beneficiaries, are on your policy schedule.</t>
  </si>
  <si>
    <t>Offshore assets</t>
  </si>
  <si>
    <t>Country and nature of offshore assets</t>
  </si>
  <si>
    <t>Firearms</t>
  </si>
  <si>
    <t>Number of firearms</t>
  </si>
  <si>
    <t>Firearms licensed to</t>
  </si>
  <si>
    <t>10. Living will and organ donation</t>
  </si>
  <si>
    <t>Living will</t>
  </si>
  <si>
    <t>Date of existing living will</t>
  </si>
  <si>
    <t>Organ donation</t>
  </si>
  <si>
    <t>Register me as an organ donor (done on my behalf)?</t>
  </si>
  <si>
    <t>11. Funeral wishes</t>
  </si>
  <si>
    <t>Preference</t>
  </si>
  <si>
    <t>Location (cemetery, church, scattering of ashes)</t>
  </si>
  <si>
    <t>Specific requests (music, readings, dress code, faith practices)</t>
  </si>
  <si>
    <t>Funeral cover</t>
  </si>
  <si>
    <t>Funeral policy provider</t>
  </si>
  <si>
    <t>Funeral policy number</t>
  </si>
  <si>
    <t>Estimated funeral cost (R)</t>
  </si>
  <si>
    <t>12. Digital assets and accounts</t>
  </si>
  <si>
    <t>A sealed letter of instruction (accounts, access) is lodged?</t>
  </si>
  <si>
    <t>Lodged with</t>
  </si>
  <si>
    <t>Social media accounts to be</t>
  </si>
  <si>
    <t>Cryptocurrency holdings exist?</t>
  </si>
  <si>
    <t>Where the seed phrases or keys are kept (not the keys themselves)</t>
  </si>
  <si>
    <t>13. Pets</t>
  </si>
  <si>
    <t>Not applicable?</t>
  </si>
  <si>
    <t>Pets to be cared for by (name, relationship, contact)</t>
  </si>
  <si>
    <t>Bequest to the carer for the pets' upkeep (R)</t>
  </si>
  <si>
    <t>14. Letter of wishes</t>
  </si>
  <si>
    <t>Letter of wishes (private, not binding)</t>
  </si>
  <si>
    <t>15. Notes to the attorney</t>
  </si>
  <si>
    <t>Additional instructions or notes to the attorney</t>
  </si>
  <si>
    <t>16. Executor</t>
  </si>
  <si>
    <t>Primary executor: full names</t>
  </si>
  <si>
    <t>Primary executor: ID or registration number</t>
  </si>
  <si>
    <t>Primary executor: relationship</t>
  </si>
  <si>
    <t>Primary executor: contact number</t>
  </si>
  <si>
    <t>Primary executor: address</t>
  </si>
  <si>
    <t>Alternate executor: full names</t>
  </si>
  <si>
    <t>Alternate executor: ID or registration number</t>
  </si>
  <si>
    <t>Alternate executor: relationship</t>
  </si>
  <si>
    <t>Alternate executor: contact number</t>
  </si>
  <si>
    <t>Security</t>
  </si>
  <si>
    <t>Executor fee basis</t>
  </si>
  <si>
    <t>Agreed rate (%) plus VAT, if reduced</t>
  </si>
  <si>
    <t>Executor may assume a co-executor (e.g. a professional firm)?</t>
  </si>
  <si>
    <t>Other powers or special instructions to the executor</t>
  </si>
  <si>
    <t>17. Capital Legacy (only for a will drafted through Capital Legacy)</t>
  </si>
  <si>
    <t>Will language</t>
  </si>
  <si>
    <t>Other language</t>
  </si>
  <si>
    <t>Establish a Widow's Trust?</t>
  </si>
  <si>
    <t>Widow's Trust: spouse as income beneficiary?</t>
  </si>
  <si>
    <t>Widow's Trust: children as capital beneficiaries?</t>
  </si>
  <si>
    <t>Widow's Trust other capital beneficiary 1: full names</t>
  </si>
  <si>
    <t>Other capital beneficiary 1: relationship</t>
  </si>
  <si>
    <t>Widow's Trust other capital beneficiary 2: full names</t>
  </si>
  <si>
    <t>Other capital beneficiary 2: relationship</t>
  </si>
  <si>
    <t>Widow's Trust other capital beneficiary 3: full names</t>
  </si>
  <si>
    <t>Other capital beneficiary 3: relationship</t>
  </si>
  <si>
    <t>Provider's Trust beneficiary: full names</t>
  </si>
  <si>
    <t>Provider's Trust beneficiary: relationship</t>
  </si>
  <si>
    <t>Next of kin: full names</t>
  </si>
  <si>
    <t>Next of kin: relationship</t>
  </si>
  <si>
    <t>Next of kin: cell</t>
  </si>
  <si>
    <t>Next of kin: email</t>
  </si>
  <si>
    <t>Co-trustee 1: full names</t>
  </si>
  <si>
    <t>Co-trustee 1: ID number</t>
  </si>
  <si>
    <t>Co-trustee 1: relationship</t>
  </si>
  <si>
    <t>Co-trustee 2: full names</t>
  </si>
  <si>
    <t>Co-trustee 2: ID number</t>
  </si>
  <si>
    <t>Co-trustee 2: relationship</t>
  </si>
  <si>
    <t>Capital Legacy as executor?</t>
  </si>
  <si>
    <t>Co-executor 1: full names</t>
  </si>
  <si>
    <t>Co-executor 1: ID number</t>
  </si>
  <si>
    <t>Co-executor 1: relationship</t>
  </si>
  <si>
    <t>Co-executor 2: full names</t>
  </si>
  <si>
    <t>Co-executor 2: ID number</t>
  </si>
  <si>
    <t>Co-executor 2: relationship</t>
  </si>
  <si>
    <t>Use the will collection service?</t>
  </si>
  <si>
    <t>Summary: what you own and what you owe</t>
  </si>
  <si>
    <t>This sheet adds up as the others are completed. Nothing to type here. Your cost of dying is worked out separately, in your financial needs analysis.</t>
  </si>
  <si>
    <t>Values as at</t>
  </si>
  <si>
    <t>Total</t>
  </si>
  <si>
    <t>What you own</t>
  </si>
  <si>
    <t>Property in your own names</t>
  </si>
  <si>
    <t>Your shares in companies and CCs</t>
  </si>
  <si>
    <t>Money owed to you (loan accounts and loans)</t>
  </si>
  <si>
    <t>Bank accounts and investments</t>
  </si>
  <si>
    <t>Vehicles, contents and other assets</t>
  </si>
  <si>
    <t>Total you own</t>
  </si>
  <si>
    <t>What you owe</t>
  </si>
  <si>
    <t>Bonds on your property</t>
  </si>
  <si>
    <t>Finance on vehicles</t>
  </si>
  <si>
    <t>Other debts</t>
  </si>
  <si>
    <t>Loan accounts you owe your companies and trusts</t>
  </si>
  <si>
    <t>Total you owe</t>
  </si>
  <si>
    <t>Net worth (what you own less what you owe)</t>
  </si>
  <si>
    <t>Inside your companies and trusts (shown separately, not added above)</t>
  </si>
  <si>
    <t>Property held by your companies and trusts</t>
  </si>
  <si>
    <t>Bonds and other debts of your companies and trusts</t>
  </si>
  <si>
    <t>How complete is it?</t>
  </si>
  <si>
    <t>Figures marked as estimates</t>
  </si>
  <si>
    <t>Property, shares and investments with no base cost given</t>
  </si>
  <si>
    <t>owners</t>
  </si>
  <si>
    <t>family names</t>
  </si>
  <si>
    <t>asset names</t>
  </si>
  <si>
    <t>titles</t>
  </si>
  <si>
    <t>gender</t>
  </si>
  <si>
    <t>yesno</t>
  </si>
  <si>
    <t>lead</t>
  </si>
  <si>
    <t>marital</t>
  </si>
  <si>
    <t>edu</t>
  </si>
  <si>
    <t>famRel</t>
  </si>
  <si>
    <t>incType</t>
  </si>
  <si>
    <t>expCat</t>
  </si>
  <si>
    <t>otherType</t>
  </si>
  <si>
    <t>entityType</t>
  </si>
  <si>
    <t>valBasis</t>
  </si>
  <si>
    <t>mainUse</t>
  </si>
  <si>
    <t>loanAcc</t>
  </si>
  <si>
    <t>holdKind</t>
  </si>
  <si>
    <t>passes</t>
  </si>
  <si>
    <t>forWhom</t>
  </si>
  <si>
    <t>ClientID</t>
  </si>
  <si>
    <t>w_tr_choice</t>
  </si>
  <si>
    <t>w_tr_term</t>
  </si>
  <si>
    <t>w_res_choice</t>
  </si>
  <si>
    <t>w_sa_off</t>
  </si>
  <si>
    <t>w_sa_fire</t>
  </si>
  <si>
    <t>w_lw</t>
  </si>
  <si>
    <t>w_organ</t>
  </si>
  <si>
    <t>w_fw</t>
  </si>
  <si>
    <t>w_fw_cover</t>
  </si>
  <si>
    <t>w_da_social</t>
  </si>
  <si>
    <t>w_lo</t>
  </si>
  <si>
    <t>w_ex_security</t>
  </si>
  <si>
    <t>w_ex_fee</t>
  </si>
  <si>
    <t>w_cl_lang</t>
  </si>
  <si>
    <t>w_cl_wt</t>
  </si>
  <si>
    <t>w_cl_wt_sp_inc</t>
  </si>
  <si>
    <t>w_cl_wt_kids_cap</t>
  </si>
  <si>
    <t>w_cl_exec</t>
  </si>
  <si>
    <t>w_cl_collect</t>
  </si>
  <si>
    <t>Mr.</t>
  </si>
  <si>
    <t>Male</t>
  </si>
  <si>
    <t>Client</t>
  </si>
  <si>
    <t>Single</t>
  </si>
  <si>
    <t>School - no matric</t>
  </si>
  <si>
    <t>Child</t>
  </si>
  <si>
    <t>Personal Loan</t>
  </si>
  <si>
    <t>Pty Ltd</t>
  </si>
  <si>
    <t>Latest financials</t>
  </si>
  <si>
    <t>Active trading business</t>
  </si>
  <si>
    <t>None</t>
  </si>
  <si>
    <t>Books</t>
  </si>
  <si>
    <t>ClientName</t>
  </si>
  <si>
    <t>Yes — establish a testamentary trust</t>
  </si>
  <si>
    <t>Terminates when beneficiary reaches a set age (below)</t>
  </si>
  <si>
    <t>Entire residue to my spouse / life partner</t>
  </si>
  <si>
    <t>Yes — I wish a living will to be drafted</t>
  </si>
  <si>
    <t>I wish to donate my organs and tissues where medically suitable</t>
  </si>
  <si>
    <t>Burial</t>
  </si>
  <si>
    <t>I have a funeral policy (details below)</t>
  </si>
  <si>
    <t>Memorialised</t>
  </si>
  <si>
    <t>Yes — a separate letter of wishes will be drafted</t>
  </si>
  <si>
    <t>Waive security (bond of security) — usual for a family executor</t>
  </si>
  <si>
    <t>Agreed reduced rate (below)</t>
  </si>
  <si>
    <t>English</t>
  </si>
  <si>
    <t>Mrs.</t>
  </si>
  <si>
    <t>Female</t>
  </si>
  <si>
    <t>Lead</t>
  </si>
  <si>
    <t>Engaged</t>
  </si>
  <si>
    <t>Matric</t>
  </si>
  <si>
    <t>Parent</t>
  </si>
  <si>
    <t>Dividends</t>
  </si>
  <si>
    <t>Bond repayment</t>
  </si>
  <si>
    <t>Fixed Deposit</t>
  </si>
  <si>
    <t>CC</t>
  </si>
  <si>
    <t>Informal estimate</t>
  </si>
  <si>
    <t>Mainly property to let</t>
  </si>
  <si>
    <t>Credit</t>
  </si>
  <si>
    <t>Bond</t>
  </si>
  <si>
    <t>Disability</t>
  </si>
  <si>
    <t>Once-off capital</t>
  </si>
  <si>
    <t>Version</t>
  </si>
  <si>
    <t>1.1</t>
  </si>
  <si>
    <t>Trustees may pay capital sooner for education, medical, first home, etc.</t>
  </si>
  <si>
    <t>Entire residue to my children equally, per stirpes</t>
  </si>
  <si>
    <t>I hold assets offshore (a separate offshore will may be recommended)</t>
  </si>
  <si>
    <t>I own firearms (beneficiary must hold a valid licence)</t>
  </si>
  <si>
    <t>No — I do not want a living will</t>
  </si>
  <si>
    <t>I do not wish to donate organs or tissues</t>
  </si>
  <si>
    <t>Cremation</t>
  </si>
  <si>
    <t>Closed</t>
  </si>
  <si>
    <t>Require security</t>
  </si>
  <si>
    <t>Full statutory rate of 3.5% + VAT</t>
  </si>
  <si>
    <t>Afrikaans</t>
  </si>
  <si>
    <t>Ms.</t>
  </si>
  <si>
    <t>Married - ANC with accrual</t>
  </si>
  <si>
    <t>Diploma / Certificate</t>
  </si>
  <si>
    <t>Sibling</t>
  </si>
  <si>
    <t>Rental Income</t>
  </si>
  <si>
    <t>Vehicle finance</t>
  </si>
  <si>
    <t>Vehicle Finance</t>
  </si>
  <si>
    <t>Shares / Unit Trusts</t>
  </si>
  <si>
    <t>Trust</t>
  </si>
  <si>
    <t>Other</t>
  </si>
  <si>
    <t>Mainly investments (shares, cash, loans)</t>
  </si>
  <si>
    <t>Debit</t>
  </si>
  <si>
    <t>Other asset</t>
  </si>
  <si>
    <t>Dread Disease</t>
  </si>
  <si>
    <t>ExportedAt</t>
  </si>
  <si>
    <t>Only if beneficiaries are still minors at date of death</t>
  </si>
  <si>
    <t>Income distributed as needed; capital held until termination age</t>
  </si>
  <si>
    <t>Entire residue to my children equally, per capita</t>
  </si>
  <si>
    <t>I already have a living will (date below)</t>
  </si>
  <si>
    <t>I am already a registered organ donor</t>
  </si>
  <si>
    <t>No preference — leave to family</t>
  </si>
  <si>
    <t>Transferred</t>
  </si>
  <si>
    <t>Other (below)</t>
  </si>
  <si>
    <t>Miss</t>
  </si>
  <si>
    <t>Married - ANC without accrual</t>
  </si>
  <si>
    <t>Degree</t>
  </si>
  <si>
    <t>Dependant</t>
  </si>
  <si>
    <t>Business Income</t>
  </si>
  <si>
    <t>School / university fees</t>
  </si>
  <si>
    <t>Home Bond</t>
  </si>
  <si>
    <t>Business Interest</t>
  </si>
  <si>
    <t>Partnership</t>
  </si>
  <si>
    <t>Mixed (trading plus letting or investments)</t>
  </si>
  <si>
    <t>Other debt</t>
  </si>
  <si>
    <t>Retirement</t>
  </si>
  <si>
    <t>ExportedBy</t>
  </si>
  <si>
    <t>Split as follows (table below)</t>
  </si>
  <si>
    <t>Dr.</t>
  </si>
  <si>
    <t>Married in COP</t>
  </si>
  <si>
    <t>Post Graduate</t>
  </si>
  <si>
    <t>State Pension (SASSA)</t>
  </si>
  <si>
    <t>Medical / medical aid</t>
  </si>
  <si>
    <t>Overdraft</t>
  </si>
  <si>
    <t>Loan Account</t>
  </si>
  <si>
    <t>Sole Proprietor</t>
  </si>
  <si>
    <t>Prof.</t>
  </si>
  <si>
    <t>Life partner</t>
  </si>
  <si>
    <t>Annuity Income</t>
  </si>
  <si>
    <t>Insurance premiums</t>
  </si>
  <si>
    <t>Store Account</t>
  </si>
  <si>
    <t>Crypto</t>
  </si>
  <si>
    <t>TemplateVersion</t>
  </si>
  <si>
    <t>Rev.</t>
  </si>
  <si>
    <t>Divorced</t>
  </si>
  <si>
    <t>Investment Income</t>
  </si>
  <si>
    <t>Entertainment</t>
  </si>
  <si>
    <t>Tax Debt</t>
  </si>
  <si>
    <t>Art / Collectibles</t>
  </si>
  <si>
    <t>Breaks</t>
  </si>
  <si>
    <t>[["Assets and debts",53],["Companies and trusts",51],["Companies and trusts",96],["Companies and trusts",141],["Will",63]]</t>
  </si>
  <si>
    <t>Adv.</t>
  </si>
  <si>
    <t>Widowed</t>
  </si>
  <si>
    <t>Maintenance / alimony</t>
  </si>
  <si>
    <t>Student Loan</t>
  </si>
  <si>
    <t>Household Contents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</si>
</sst>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yyyy-mm-dd"/>
    <numFmt numFmtId="165" formatCode="&quot;R &quot;#,##0;&quot;(R &quot;#,##0\);\-"/>
    <numFmt numFmtId="166" formatCode="0.##"/>
  </numFmts>
  <fonts count="15" x14ac:knownFonts="1">
    <font>
      <color theme="1"/>
      <family val="2"/>
      <scheme val="minor"/>
      <sz val="11"/>
      <name val="Calibri"/>
    </font>
    <font>
      <b/>
      <color rgb="FFFFFFFF"/>
      <sz val="13"/>
      <name val="Arial"/>
    </font>
    <font>
      <color rgb="FFFFFFFF"/>
      <sz val="9"/>
      <name val="Arial"/>
    </font>
    <font>
      <b/>
      <color rgb="FF0E413A"/>
      <sz val="15"/>
      <name val="Arial"/>
    </font>
    <font>
      <b/>
      <color rgb="FF0E413A"/>
      <sz val="12"/>
      <name val="Arial"/>
    </font>
    <font>
      <color rgb="FF333333"/>
      <sz val="10"/>
      <name val="Arial"/>
    </font>
    <font>
      <color rgb="FF000000"/>
      <sz val="10"/>
      <name val="Arial"/>
    </font>
    <font>
      <sz val="10"/>
      <name val="Arial"/>
    </font>
    <font>
      <color rgb="FF6B7A77"/>
      <sz val="9"/>
      <name val="Arial"/>
    </font>
    <font>
      <b/>
      <color rgb="FFFFFFFF"/>
      <sz val="9"/>
      <name val="Arial"/>
    </font>
    <font>
      <color rgb="FF6B7A77"/>
      <sz val="10"/>
      <name val="Arial"/>
    </font>
    <font>
      <i/>
      <color rgb="FF6B7A77"/>
      <sz val="9"/>
      <name val="Arial"/>
    </font>
    <font>
      <b/>
      <color rgb="FF000000"/>
      <sz val="10"/>
      <name val="Arial"/>
    </font>
    <font>
      <b/>
      <color rgb="FF0E413A"/>
      <sz val="10"/>
      <name val="Arial"/>
    </font>
    <font>
      <b/>
      <color rgb="FFFFFFFF"/>
      <sz val="10"/>
      <name val="Arial"/>
    </font>
  </fonts>
  <fills count="6">
    <fill>
      <patternFill patternType="none"/>
    </fill>
    <fill>
      <patternFill patternType="gray125"/>
    </fill>
    <fill>
      <patternFill patternType="solid">
        <fgColor rgb="FF0E413A"/>
      </patternFill>
    </fill>
    <fill>
      <patternFill patternType="solid">
        <fgColor rgb="FFFFF2A8"/>
      </patternFill>
    </fill>
    <fill>
      <patternFill patternType="solid">
        <fgColor rgb="FFF2F5F4"/>
      </patternFill>
    </fill>
    <fill>
      <patternFill patternType="solid">
        <fgColor rgb="FFE4EBE9"/>
      </patternFill>
    </fill>
  </fills>
  <borders count="3">
    <border>
      <left/>
      <right/>
      <top/>
      <bottom/>
      <diagonal/>
    </border>
    <border>
      <left/>
      <right/>
      <top/>
      <bottom style="medium">
        <color rgb="FFA8B938"/>
      </bottom>
      <diagonal/>
    </border>
    <border>
      <left style="thin">
        <color rgb="FFBFC9C7"/>
      </left>
      <right style="thin">
        <color rgb="FFBFC9C7"/>
      </right>
      <top style="thin">
        <color rgb="FFBFC9C7"/>
      </top>
      <bottom style="thin">
        <color rgb="FFBFC9C7"/>
      </bottom>
      <diagonal/>
    </border>
  </borders>
  <cellStyleXfs count="1">
    <xf numFmtId="0" fontId="0" fillId="0" borderId="0"/>
  </cellStyleXfs>
  <cellXfs count="39">
    <xf numFmtId="0" fontId="0" fillId="0" borderId="0" xfId="0"/>
    <xf numFmtId="0" fontId="1" fillId="2" borderId="0" xfId="0" applyFont="1" applyFill="1" applyAlignment="1">
      <alignment vertical="center" indent="1"/>
    </xf>
    <xf numFmtId="0" fontId="2" fillId="2" borderId="1" xfId="0" applyFont="1" applyFill="1" applyBorder="1" applyAlignment="1">
      <alignment vertical="center" indent="1"/>
    </xf>
    <xf numFmtId="0" fontId="3" fillId="0" borderId="0" xfId="0" applyFont="1"/>
    <xf numFmtId="0" fontId="4" fillId="0" borderId="1" xfId="0" applyFont="1" applyBorder="1"/>
    <xf numFmtId="0" fontId="0" fillId="0" borderId="1" xfId="0" applyBorder="1"/>
    <xf numFmtId="0" fontId="5" fillId="0" borderId="0" xfId="0" applyFont="1" applyAlignment="1">
      <alignment vertical="top" wrapText="1"/>
    </xf>
    <xf numFmtId="0" fontId="6" fillId="0" borderId="2" xfId="0" applyFont="1" applyBorder="1" applyAlignment="1">
      <alignment vertical="top" wrapText="1"/>
    </xf>
    <xf numFmtId="0" fontId="7" fillId="3" borderId="2" xfId="0" applyFont="1" applyFill="1" applyBorder="1" applyAlignment="1" applyProtection="1">
      <alignment vertical="top" wrapText="1"/>
    </xf>
    <xf numFmtId="0" fontId="6" fillId="4" borderId="2" xfId="0" applyFont="1" applyFill="1" applyBorder="1" applyAlignment="1">
      <alignment vertical="top"/>
    </xf>
    <xf numFmtId="164" fontId="7" fillId="3" borderId="2" xfId="0" applyNumberFormat="1" applyFont="1" applyFill="1" applyBorder="1" applyAlignment="1" applyProtection="1">
      <alignment vertical="top"/>
      <protection locked="0"/>
    </xf>
    <xf numFmtId="0" fontId="7" fillId="3" borderId="2" xfId="0" applyFont="1" applyFill="1" applyBorder="1" applyAlignment="1" applyProtection="1">
      <alignment vertical="top" wrapText="1"/>
      <protection locked="0"/>
    </xf>
    <xf numFmtId="0" fontId="8" fillId="0" borderId="0" xfId="0" applyFont="1" applyAlignment="1">
      <alignment vertical="top" wrapText="1"/>
    </xf>
    <xf numFmtId="0" fontId="9" fillId="2" borderId="2" xfId="0" applyFont="1" applyFill="1" applyBorder="1" applyAlignment="1">
      <alignment vertical="center" wrapText="1"/>
    </xf>
    <xf numFmtId="0" fontId="7" fillId="3" borderId="2" xfId="0" applyFont="1" applyFill="1" applyBorder="1" applyAlignment="1" applyProtection="1">
      <alignment vertical="top"/>
      <protection locked="0"/>
    </xf>
    <xf numFmtId="49" fontId="7" fillId="3" borderId="2" xfId="0" applyNumberFormat="1" applyFont="1" applyFill="1" applyBorder="1" applyAlignment="1" applyProtection="1">
      <alignment vertical="top"/>
      <protection locked="0"/>
    </xf>
    <xf numFmtId="0" fontId="10" fillId="0" borderId="2" xfId="0" applyFont="1" applyBorder="1" applyAlignment="1">
      <alignment vertical="top" wrapText="1"/>
    </xf>
    <xf numFmtId="164" fontId="6" fillId="4" borderId="2" xfId="0" applyNumberFormat="1" applyFont="1" applyFill="1" applyBorder="1" applyAlignment="1">
      <alignment horizontal="left" vertical="top"/>
    </xf>
    <xf numFmtId="165" fontId="7" fillId="3" borderId="2" xfId="0" applyNumberFormat="1" applyFont="1" applyFill="1" applyBorder="1" applyAlignment="1" applyProtection="1">
      <alignment horizontal="right" vertical="top"/>
      <protection locked="0"/>
    </xf>
    <xf numFmtId="1" fontId="6" fillId="4" borderId="2" xfId="0" applyNumberFormat="1" applyFont="1" applyFill="1" applyBorder="1" applyAlignment="1">
      <alignment horizontal="right" vertical="top"/>
    </xf>
    <xf numFmtId="0" fontId="11" fillId="0" borderId="2" xfId="0" applyFont="1" applyBorder="1"/>
    <xf numFmtId="165" fontId="11" fillId="0" borderId="2" xfId="0" applyNumberFormat="1" applyFont="1" applyBorder="1"/>
    <xf numFmtId="0" fontId="12" fillId="0" borderId="2" xfId="0" applyFont="1" applyBorder="1" applyAlignment="1">
      <alignment vertical="top" wrapText="1"/>
    </xf>
    <xf numFmtId="165" fontId="12" fillId="5" borderId="2" xfId="0" applyNumberFormat="1" applyFont="1" applyFill="1" applyBorder="1" applyAlignment="1">
      <alignment horizontal="right" vertical="top"/>
    </xf>
    <xf numFmtId="165" fontId="6" fillId="4" borderId="2" xfId="0" applyNumberFormat="1" applyFont="1" applyFill="1" applyBorder="1" applyAlignment="1">
      <alignment horizontal="right" vertical="top"/>
    </xf>
    <xf numFmtId="164" fontId="11" fillId="0" borderId="2" xfId="0" applyNumberFormat="1" applyFont="1" applyBorder="1"/>
    <xf numFmtId="166" fontId="7" fillId="3" borderId="2" xfId="0" applyNumberFormat="1" applyFont="1" applyFill="1" applyBorder="1" applyAlignment="1" applyProtection="1">
      <alignment horizontal="right" vertical="top"/>
      <protection locked="0"/>
    </xf>
    <xf numFmtId="0" fontId="13" fillId="0" borderId="0" xfId="0" applyFont="1"/>
    <xf numFmtId="0" fontId="11" fillId="0" borderId="0" xfId="0" applyFont="1" applyAlignment="1">
      <alignment vertical="top" wrapText="1"/>
    </xf>
    <xf numFmtId="0" fontId="6" fillId="4" borderId="2" xfId="0" applyFont="1" applyFill="1" applyBorder="1" applyAlignment="1">
      <alignment horizontal="left" vertical="top" wrapText="1"/>
    </xf>
    <xf numFmtId="49" fontId="6" fillId="4" borderId="2" xfId="0" applyNumberFormat="1" applyFont="1" applyFill="1" applyBorder="1" applyAlignment="1">
      <alignment horizontal="left" vertical="top" wrapText="1"/>
    </xf>
    <xf numFmtId="164" fontId="6" fillId="4" borderId="2" xfId="0" applyNumberFormat="1" applyFont="1" applyFill="1" applyBorder="1" applyAlignment="1">
      <alignment horizontal="left" vertical="top" wrapText="1"/>
    </xf>
    <xf numFmtId="0" fontId="12" fillId="0" borderId="0" xfId="0" applyFont="1" applyAlignment="1">
      <alignment vertical="top" wrapText="1"/>
    </xf>
    <xf numFmtId="164" fontId="7" fillId="0" borderId="0" xfId="0" applyNumberFormat="1" applyFont="1" applyAlignment="1">
      <alignment horizontal="left"/>
    </xf>
    <xf numFmtId="0" fontId="9" fillId="2" borderId="2" xfId="0" applyFont="1" applyFill="1" applyBorder="1" applyAlignment="1">
      <alignment horizontal="center"/>
    </xf>
    <xf numFmtId="0" fontId="12" fillId="5" borderId="2" xfId="0" applyFont="1" applyFill="1" applyBorder="1" applyAlignment="1">
      <alignment vertical="top" wrapText="1"/>
    </xf>
    <xf numFmtId="0" fontId="14" fillId="2" borderId="2" xfId="0" applyFont="1" applyFill="1" applyBorder="1" applyAlignment="1">
      <alignment vertical="top" wrapText="1"/>
    </xf>
    <xf numFmtId="165" fontId="14" fillId="2" borderId="2" xfId="0" applyNumberFormat="1" applyFont="1" applyFill="1" applyBorder="1" applyAlignment="1">
      <alignment horizontal="right" vertical="top"/>
    </xf>
    <xf numFmtId="0" fontId="1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34"/>
  <sheetFormatPr defaultRowHeight="15" outlineLevelRow="0" outlineLevelCol="0" x14ac:dyDescent="55"/>
  <sheetData>
    <row r="1" spans="1:44" x14ac:dyDescent="0.25">
      <c r="A1" t="s">
        <v>385</v>
      </c>
      <c r="B1" t="s">
        <v>386</v>
      </c>
      <c r="C1" t="s">
        <v>387</v>
      </c>
      <c r="D1" t="s">
        <v>388</v>
      </c>
      <c r="E1" t="s">
        <v>389</v>
      </c>
      <c r="F1" t="s">
        <v>390</v>
      </c>
      <c r="G1" t="s">
        <v>391</v>
      </c>
      <c r="H1" t="s">
        <v>392</v>
      </c>
      <c r="I1" t="s">
        <v>393</v>
      </c>
      <c r="J1" t="s">
        <v>394</v>
      </c>
      <c r="K1" t="s">
        <v>395</v>
      </c>
      <c r="L1" t="s">
        <v>396</v>
      </c>
      <c r="M1" t="s">
        <v>152</v>
      </c>
      <c r="N1" t="s">
        <v>397</v>
      </c>
      <c r="O1" t="s">
        <v>398</v>
      </c>
      <c r="P1" t="s">
        <v>399</v>
      </c>
      <c r="Q1" t="s">
        <v>400</v>
      </c>
      <c r="R1" t="s">
        <v>401</v>
      </c>
      <c r="S1" t="s">
        <v>402</v>
      </c>
      <c r="T1" t="s">
        <v>110</v>
      </c>
      <c r="U1" t="s">
        <v>403</v>
      </c>
      <c r="V1" t="s">
        <v>208</v>
      </c>
      <c r="W1" t="s">
        <v>209</v>
      </c>
      <c r="X1" t="s">
        <v>404</v>
      </c>
      <c r="Y1" t="s">
        <v>405</v>
      </c>
      <c r="Z1" t="s">
        <v>406</v>
      </c>
      <c r="AA1" t="s">
        <v>407</v>
      </c>
      <c r="AB1" t="s">
        <v>408</v>
      </c>
      <c r="AC1" t="s">
        <v>409</v>
      </c>
      <c r="AD1" t="s">
        <v>410</v>
      </c>
      <c r="AE1" t="s">
        <v>411</v>
      </c>
      <c r="AF1" t="s">
        <v>412</v>
      </c>
      <c r="AG1" t="s">
        <v>413</v>
      </c>
      <c r="AH1" t="s">
        <v>414</v>
      </c>
      <c r="AI1" t="s">
        <v>415</v>
      </c>
      <c r="AJ1" t="s">
        <v>416</v>
      </c>
      <c r="AK1" t="s">
        <v>417</v>
      </c>
      <c r="AL1" t="s">
        <v>418</v>
      </c>
      <c r="AM1" t="s">
        <v>419</v>
      </c>
      <c r="AN1" t="s">
        <v>420</v>
      </c>
      <c r="AO1" t="s">
        <v>421</v>
      </c>
      <c r="AP1" t="s">
        <v>422</v>
      </c>
      <c r="AQ1" t="s">
        <v>423</v>
      </c>
      <c r="AR1" t="s">
        <v>424</v>
      </c>
    </row>
    <row r="2" spans="1:44" x14ac:dyDescent="0.25">
      <c r="A2">
        <f>IF('Client and family'!$C$11&lt;&gt;"",'Client and family'!$C$11,IF('Client and family'!$C$10&lt;&gt;"",LEFT(TRIM('Client and family'!$C$10),FIND(" ",TRIM('Client and family'!$C$10)&amp;" ")-1),"Client"))</f>
      </c>
      <c r="B2">
        <f>IF('Client and family'!$D$10="","",'Client and family'!$D$10)</f>
      </c>
      <c r="C2">
        <f>IF('Assets and debts'!$B$12="",""," "&amp;'Assets and debts'!$B$12)</f>
      </c>
      <c r="D2" t="s">
        <v>425</v>
      </c>
      <c r="E2" t="s">
        <v>426</v>
      </c>
      <c r="F2" t="s">
        <v>77</v>
      </c>
      <c r="G2" t="s">
        <v>427</v>
      </c>
      <c r="H2" t="s">
        <v>428</v>
      </c>
      <c r="I2" t="s">
        <v>429</v>
      </c>
      <c r="J2" t="s">
        <v>430</v>
      </c>
      <c r="K2" t="s">
        <v>76</v>
      </c>
      <c r="L2" t="s">
        <v>87</v>
      </c>
      <c r="M2" t="s">
        <v>431</v>
      </c>
      <c r="N2" t="s">
        <v>147</v>
      </c>
      <c r="O2" t="s">
        <v>432</v>
      </c>
      <c r="P2" t="s">
        <v>433</v>
      </c>
      <c r="Q2" t="s">
        <v>434</v>
      </c>
      <c r="R2" t="s">
        <v>435</v>
      </c>
      <c r="S2" t="s">
        <v>193</v>
      </c>
      <c r="T2" t="s">
        <v>436</v>
      </c>
      <c r="U2" t="s">
        <v>128</v>
      </c>
      <c r="V2" t="s">
        <v>223</v>
      </c>
      <c r="W2" t="s">
        <v>224</v>
      </c>
      <c r="X2" t="s">
        <v>128</v>
      </c>
      <c r="Y2" t="s">
        <v>437</v>
      </c>
      <c r="Z2" t="s">
        <v>438</v>
      </c>
      <c r="AA2" t="s">
        <v>439</v>
      </c>
      <c r="AB2" t="s">
        <v>440</v>
      </c>
      <c r="AC2" t="s">
        <v>435</v>
      </c>
      <c r="AD2" t="s">
        <v>435</v>
      </c>
      <c r="AE2" t="s">
        <v>441</v>
      </c>
      <c r="AF2" t="s">
        <v>442</v>
      </c>
      <c r="AG2" t="s">
        <v>443</v>
      </c>
      <c r="AH2" t="s">
        <v>444</v>
      </c>
      <c r="AI2" t="s">
        <v>445</v>
      </c>
      <c r="AJ2" t="s">
        <v>446</v>
      </c>
      <c r="AK2" t="s">
        <v>447</v>
      </c>
      <c r="AL2" t="s">
        <v>448</v>
      </c>
      <c r="AM2" t="s">
        <v>449</v>
      </c>
      <c r="AN2" t="s">
        <v>77</v>
      </c>
      <c r="AO2" t="s">
        <v>77</v>
      </c>
      <c r="AP2" t="s">
        <v>77</v>
      </c>
      <c r="AQ2" t="s">
        <v>77</v>
      </c>
      <c r="AR2" t="s">
        <v>77</v>
      </c>
    </row>
    <row r="3" spans="1:44" x14ac:dyDescent="0.25">
      <c r="A3">
        <f>IF('Client and family'!$D$10&lt;&gt;"",LEFT(TRIM('Client and family'!$D$10),FIND(" ",TRIM('Client and family'!$D$10)&amp;" ")-1),"Spouse")</f>
      </c>
      <c r="B3">
        <f>IF('Client and family'!$B$38="","",'Client and family'!$B$38)</f>
      </c>
      <c r="C3">
        <f>IF('Assets and debts'!$B$13="",""," "&amp;'Assets and debts'!$B$13)</f>
      </c>
      <c r="D3" t="s">
        <v>450</v>
      </c>
      <c r="E3" t="s">
        <v>451</v>
      </c>
      <c r="F3" t="s">
        <v>129</v>
      </c>
      <c r="G3" t="s">
        <v>452</v>
      </c>
      <c r="H3" t="s">
        <v>453</v>
      </c>
      <c r="I3" t="s">
        <v>454</v>
      </c>
      <c r="J3" t="s">
        <v>455</v>
      </c>
      <c r="K3" t="s">
        <v>456</v>
      </c>
      <c r="L3" t="s">
        <v>457</v>
      </c>
      <c r="M3" t="s">
        <v>164</v>
      </c>
      <c r="N3" t="s">
        <v>458</v>
      </c>
      <c r="O3" t="s">
        <v>459</v>
      </c>
      <c r="P3" t="s">
        <v>460</v>
      </c>
      <c r="Q3" t="s">
        <v>461</v>
      </c>
      <c r="R3" t="s">
        <v>462</v>
      </c>
      <c r="S3" t="s">
        <v>463</v>
      </c>
      <c r="T3" t="s">
        <v>149</v>
      </c>
      <c r="U3" t="s">
        <v>148</v>
      </c>
      <c r="V3" t="s">
        <v>464</v>
      </c>
      <c r="W3" t="s">
        <v>465</v>
      </c>
      <c r="X3" t="s">
        <v>148</v>
      </c>
      <c r="Y3" t="s">
        <v>466</v>
      </c>
      <c r="Z3" t="s">
        <v>467</v>
      </c>
      <c r="AA3" t="s">
        <v>468</v>
      </c>
      <c r="AB3" t="s">
        <v>469</v>
      </c>
      <c r="AC3" t="s">
        <v>470</v>
      </c>
      <c r="AD3" t="s">
        <v>471</v>
      </c>
      <c r="AE3" t="s">
        <v>472</v>
      </c>
      <c r="AF3" t="s">
        <v>473</v>
      </c>
      <c r="AG3" t="s">
        <v>474</v>
      </c>
      <c r="AH3" t="s">
        <v>435</v>
      </c>
      <c r="AI3" t="s">
        <v>475</v>
      </c>
      <c r="AJ3" t="s">
        <v>129</v>
      </c>
      <c r="AK3" t="s">
        <v>476</v>
      </c>
      <c r="AL3" t="s">
        <v>477</v>
      </c>
      <c r="AM3" t="s">
        <v>478</v>
      </c>
      <c r="AN3" t="s">
        <v>129</v>
      </c>
      <c r="AO3" t="s">
        <v>129</v>
      </c>
      <c r="AP3" t="s">
        <v>129</v>
      </c>
      <c r="AQ3" t="s">
        <v>129</v>
      </c>
      <c r="AR3" t="s">
        <v>129</v>
      </c>
    </row>
    <row r="4" spans="1:39" x14ac:dyDescent="0.25">
      <c r="A4" t="s">
        <v>127</v>
      </c>
      <c r="B4">
        <f>IF('Client and family'!$B$39="","",'Client and family'!$B$39)</f>
      </c>
      <c r="C4">
        <f>IF('Assets and debts'!$B$14="",""," "&amp;'Assets and debts'!$B$14)</f>
      </c>
      <c r="D4" t="s">
        <v>479</v>
      </c>
      <c r="H4" t="s">
        <v>480</v>
      </c>
      <c r="I4" t="s">
        <v>481</v>
      </c>
      <c r="J4" t="s">
        <v>482</v>
      </c>
      <c r="K4" t="s">
        <v>483</v>
      </c>
      <c r="L4" t="s">
        <v>484</v>
      </c>
      <c r="M4" t="s">
        <v>485</v>
      </c>
      <c r="N4" t="s">
        <v>486</v>
      </c>
      <c r="O4" t="s">
        <v>487</v>
      </c>
      <c r="P4" t="s">
        <v>488</v>
      </c>
      <c r="Q4" t="s">
        <v>489</v>
      </c>
      <c r="R4" t="s">
        <v>490</v>
      </c>
      <c r="S4" t="s">
        <v>491</v>
      </c>
      <c r="T4" t="s">
        <v>194</v>
      </c>
      <c r="U4" t="s">
        <v>122</v>
      </c>
      <c r="V4" t="s">
        <v>492</v>
      </c>
      <c r="X4" t="s">
        <v>122</v>
      </c>
      <c r="Y4" t="s">
        <v>493</v>
      </c>
      <c r="Z4" t="s">
        <v>494</v>
      </c>
      <c r="AA4" t="s">
        <v>495</v>
      </c>
      <c r="AB4" t="s">
        <v>496</v>
      </c>
      <c r="AE4" t="s">
        <v>497</v>
      </c>
      <c r="AF4" t="s">
        <v>498</v>
      </c>
      <c r="AG4" t="s">
        <v>499</v>
      </c>
      <c r="AI4" t="s">
        <v>500</v>
      </c>
      <c r="AM4" t="s">
        <v>501</v>
      </c>
    </row>
    <row r="5" spans="2:28" x14ac:dyDescent="0.25">
      <c r="B5">
        <f>IF('Client and family'!$B$40="","",'Client and family'!$B$40)</f>
      </c>
      <c r="C5">
        <f>IF('Assets and debts'!$B$15="",""," "&amp;'Assets and debts'!$B$15)</f>
      </c>
      <c r="D5" t="s">
        <v>502</v>
      </c>
      <c r="H5" t="s">
        <v>503</v>
      </c>
      <c r="I5" t="s">
        <v>504</v>
      </c>
      <c r="J5" t="s">
        <v>505</v>
      </c>
      <c r="K5" t="s">
        <v>506</v>
      </c>
      <c r="L5" t="s">
        <v>507</v>
      </c>
      <c r="M5" t="s">
        <v>508</v>
      </c>
      <c r="N5" t="s">
        <v>509</v>
      </c>
      <c r="O5" t="s">
        <v>510</v>
      </c>
      <c r="Q5" t="s">
        <v>511</v>
      </c>
      <c r="S5" t="s">
        <v>512</v>
      </c>
      <c r="T5" t="s">
        <v>130</v>
      </c>
      <c r="V5" t="s">
        <v>513</v>
      </c>
      <c r="Y5" t="s">
        <v>514</v>
      </c>
      <c r="AB5" t="s">
        <v>515</v>
      </c>
    </row>
    <row r="6" spans="2:22" x14ac:dyDescent="0.25">
      <c r="B6">
        <f>IF('Client and family'!$B$41="","",'Client and family'!$B$41)</f>
      </c>
      <c r="C6">
        <f>IF('Assets and debts'!$B$16="",""," "&amp;'Assets and debts'!$B$16)</f>
      </c>
      <c r="D6" t="s">
        <v>516</v>
      </c>
      <c r="H6" t="s">
        <v>517</v>
      </c>
      <c r="I6" t="s">
        <v>518</v>
      </c>
      <c r="J6" t="s">
        <v>488</v>
      </c>
      <c r="K6" t="s">
        <v>519</v>
      </c>
      <c r="L6" t="s">
        <v>520</v>
      </c>
      <c r="M6" t="s">
        <v>521</v>
      </c>
      <c r="N6" t="s">
        <v>522</v>
      </c>
      <c r="O6" t="s">
        <v>523</v>
      </c>
      <c r="V6" t="s">
        <v>488</v>
      </c>
    </row>
    <row r="7" spans="2:26" x14ac:dyDescent="0.25">
      <c r="B7">
        <f>IF('Client and family'!$B$42="","",'Client and family'!$B$42)</f>
      </c>
      <c r="C7">
        <f>IF('Assets and debts'!$B$17="",""," "&amp;'Assets and debts'!$B$17)</f>
      </c>
      <c r="D7" t="s">
        <v>524</v>
      </c>
      <c r="H7" t="s">
        <v>525</v>
      </c>
      <c r="I7" t="s">
        <v>488</v>
      </c>
      <c r="K7" t="s">
        <v>526</v>
      </c>
      <c r="L7" t="s">
        <v>527</v>
      </c>
      <c r="M7" t="s">
        <v>528</v>
      </c>
      <c r="N7" t="s">
        <v>529</v>
      </c>
      <c r="O7" t="s">
        <v>488</v>
      </c>
      <c r="Y7" t="s">
        <v>530</v>
      </c>
      <c r="Z7" t="s">
        <v>467</v>
      </c>
    </row>
    <row r="8" spans="2:26" x14ac:dyDescent="0.25">
      <c r="B8">
        <f>IF('Client and family'!$B$43="","",'Client and family'!$B$43)</f>
      </c>
      <c r="C8">
        <f>IF('Assets and debts'!$B$18="",""," "&amp;'Assets and debts'!$B$18)</f>
      </c>
      <c r="D8" t="s">
        <v>531</v>
      </c>
      <c r="H8" t="s">
        <v>532</v>
      </c>
      <c r="K8" t="s">
        <v>533</v>
      </c>
      <c r="L8" t="s">
        <v>534</v>
      </c>
      <c r="M8" t="s">
        <v>535</v>
      </c>
      <c r="N8" t="s">
        <v>536</v>
      </c>
      <c r="Y8" t="s">
        <v>537</v>
      </c>
      <c r="Z8" t="s">
        <v>538</v>
      </c>
    </row>
    <row r="9" spans="2:14" x14ac:dyDescent="0.25">
      <c r="B9">
        <f>IF('Client and family'!$B$44="","",'Client and family'!$B$44)</f>
      </c>
      <c r="C9">
        <f>IF('Assets and debts'!$B$19="",""," "&amp;'Assets and debts'!$B$19)</f>
      </c>
      <c r="D9" t="s">
        <v>539</v>
      </c>
      <c r="H9" t="s">
        <v>540</v>
      </c>
      <c r="K9" t="s">
        <v>488</v>
      </c>
      <c r="L9" t="s">
        <v>541</v>
      </c>
      <c r="M9" t="s">
        <v>542</v>
      </c>
      <c r="N9" t="s">
        <v>543</v>
      </c>
    </row>
    <row r="10" spans="2:14" x14ac:dyDescent="0.25">
      <c r="B10">
        <f>IF('Client and family'!$B$45="","",'Client and family'!$B$45)</f>
      </c>
      <c r="C10">
        <f>IF('Assets and debts'!$B$26="",""," "&amp;'Assets and debts'!$B$26)</f>
      </c>
      <c r="L10" t="s">
        <v>488</v>
      </c>
      <c r="M10" t="s">
        <v>488</v>
      </c>
      <c r="N10" t="s">
        <v>488</v>
      </c>
    </row>
    <row r="11" spans="3:3" x14ac:dyDescent="0.25">
      <c r="C11">
        <f>IF('Assets and debts'!$B$27="",""," "&amp;'Assets and debts'!$B$27)</f>
      </c>
    </row>
    <row r="12" spans="3:3" x14ac:dyDescent="0.25">
      <c r="C12">
        <f>IF('Assets and debts'!$B$28="",""," "&amp;'Assets and debts'!$B$28)</f>
      </c>
    </row>
    <row r="13" spans="3:3" x14ac:dyDescent="0.25">
      <c r="C13">
        <f>IF('Assets and debts'!$B$29="",""," "&amp;'Assets and debts'!$B$29)</f>
      </c>
    </row>
    <row r="14" spans="3:3" x14ac:dyDescent="0.25">
      <c r="C14">
        <f>IF('Assets and debts'!$B$30="",""," "&amp;'Assets and debts'!$B$30)</f>
      </c>
    </row>
    <row r="15" spans="3:3" x14ac:dyDescent="0.25">
      <c r="C15">
        <f>IF('Assets and debts'!$B$31="",""," "&amp;'Assets and debts'!$B$31)</f>
      </c>
    </row>
    <row r="16" spans="3:3" x14ac:dyDescent="0.25">
      <c r="C16">
        <f>IF('Assets and debts'!$B$38="",""," "&amp;'Assets and debts'!$B$38)</f>
      </c>
    </row>
    <row r="17" spans="3:3" x14ac:dyDescent="0.25">
      <c r="C17">
        <f>IF('Assets and debts'!$B$39="",""," "&amp;'Assets and debts'!$B$39)</f>
      </c>
    </row>
    <row r="18" spans="3:3" x14ac:dyDescent="0.25">
      <c r="C18">
        <f>IF('Assets and debts'!$B$40="",""," "&amp;'Assets and debts'!$B$40)</f>
      </c>
    </row>
    <row r="19" spans="3:3" x14ac:dyDescent="0.25">
      <c r="C19">
        <f>IF('Assets and debts'!$B$41="",""," "&amp;'Assets and debts'!$B$41)</f>
      </c>
    </row>
    <row r="20" spans="3:3" x14ac:dyDescent="0.25">
      <c r="C20">
        <f>IF('Assets and debts'!$B$42="",""," "&amp;'Assets and debts'!$B$42)</f>
      </c>
    </row>
    <row r="21" spans="3:3" x14ac:dyDescent="0.25">
      <c r="C21">
        <f>IF('Assets and debts'!$B$43="",""," "&amp;'Assets and debts'!$B$43)</f>
      </c>
    </row>
    <row r="22" spans="3:3" x14ac:dyDescent="0.25">
      <c r="C22">
        <f>IF('Assets and debts'!$B$44="",""," "&amp;'Assets and debts'!$B$44)</f>
      </c>
    </row>
    <row r="23" spans="3:3" x14ac:dyDescent="0.25">
      <c r="C23">
        <f>IF('Assets and debts'!$B$45="",""," "&amp;'Assets and debts'!$B$45)</f>
      </c>
    </row>
    <row r="24" spans="3:3" x14ac:dyDescent="0.25">
      <c r="C24">
        <f>IF('Assets and debts'!$B$46="",""," "&amp;'Assets and debts'!$B$46)</f>
      </c>
    </row>
    <row r="25" spans="3:3" x14ac:dyDescent="0.25">
      <c r="C25">
        <f>IF('Assets and debts'!$B$47="",""," "&amp;'Assets and debts'!$B$47)</f>
      </c>
    </row>
    <row r="26" spans="3:3" x14ac:dyDescent="0.25">
      <c r="C26">
        <f>IF('Assets and debts'!$B$48="",""," "&amp;'Assets and debts'!$B$48)</f>
      </c>
    </row>
    <row r="27" spans="3:3" x14ac:dyDescent="0.25">
      <c r="C27">
        <f>IF('Assets and debts'!$B$49="",""," "&amp;'Assets and debts'!$B$49)</f>
      </c>
    </row>
    <row r="28" spans="3:3" x14ac:dyDescent="0.25">
      <c r="C28">
        <f>IF('Assets and debts'!$B$50="",""," "&amp;'Assets and debts'!$B$50)</f>
      </c>
    </row>
    <row r="29" spans="3:3" x14ac:dyDescent="0.25">
      <c r="C29">
        <f>IF('Assets and debts'!$B$51="",""," "&amp;'Assets and debts'!$B$51)</f>
      </c>
    </row>
    <row r="30" spans="3:3" x14ac:dyDescent="0.25">
      <c r="C30">
        <f>IF('Assets and debts'!$B$52="",""," "&amp;'Assets and debts'!$B$52)</f>
      </c>
    </row>
    <row r="31" spans="3:3" x14ac:dyDescent="0.25">
      <c r="C31">
        <f>IF('Companies and trusts'!$C$8="",""," "&amp;'Companies and trusts'!$C$8)</f>
      </c>
    </row>
    <row r="32" spans="3:3" x14ac:dyDescent="0.25">
      <c r="C32">
        <f>IF('Companies and trusts'!$C$54="",""," "&amp;'Companies and trusts'!$C$54)</f>
      </c>
    </row>
    <row r="33" spans="3:3" x14ac:dyDescent="0.25">
      <c r="C33">
        <f>IF('Companies and trusts'!$C$99="",""," "&amp;'Companies and trusts'!$C$99)</f>
      </c>
    </row>
    <row r="34" spans="3:3" x14ac:dyDescent="0.25">
      <c r="C34">
        <f>IF('Companies and trusts'!$C$144="",""," "&amp;'Companies and trusts'!$C$144)</f>
      </c>
    </row>
  </sheetData>
  <sheetProtection sheet="1" formatRows="0"/>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F21"/>
  <sheetViews>
    <sheetView workbookViewId="0" showGridLines="0">
      <pane ySplit="2" topLeftCell="A3" activePane="bottomLeft" state="frozen"/>
      <selection pane="bottomLeft"/>
    </sheetView>
  </sheetViews>
  <sheetFormatPr defaultRowHeight="15" outlineLevelRow="0" outlineLevelCol="0" x14ac:dyDescent="55"/>
  <cols>
    <col min="1" max="1" width="2" customWidth="1"/>
    <col min="2" max="2" width="34" customWidth="1"/>
    <col min="3" max="3" width="30" customWidth="1"/>
    <col min="4" max="6" width="18" customWidth="1"/>
    <col min="26" max="26" width="18" hidden="1" customWidth="1"/>
  </cols>
  <sheetData>
    <row r="1" ht="21.75" customHeight="1" spans="2:6" x14ac:dyDescent="0.25">
      <c r="B1" s="1" t="s">
        <v>0</v>
      </c>
      <c r="C1" s="1"/>
      <c r="D1" s="1"/>
      <c r="E1" s="1"/>
      <c r="F1" s="1"/>
    </row>
    <row r="2" ht="15" customHeight="1" spans="2:6" x14ac:dyDescent="0.25">
      <c r="B2" s="2" t="s">
        <v>1</v>
      </c>
      <c r="C2" s="2"/>
      <c r="D2" s="2"/>
      <c r="E2" s="2"/>
      <c r="F2" s="2"/>
    </row>
    <row r="4" ht="20" customHeight="1" spans="2:2" x14ac:dyDescent="0.25">
      <c r="B4" s="3">
        <f>"Fact find for "&amp;IF('Client and family'!$C$10="","a new client",'Client and family'!$C$10)&amp;IF('Client and family'!$D$10="",""," and "&amp;'Client and family'!$D$10)</f>
      </c>
    </row>
    <row r="6" ht="18" customHeight="1" spans="2:6" x14ac:dyDescent="0.25">
      <c r="B6" s="4" t="s">
        <v>2</v>
      </c>
      <c r="C6" s="5"/>
      <c r="D6" s="5"/>
      <c r="E6" s="5"/>
      <c r="F6" s="5"/>
    </row>
    <row r="7" ht="18" customHeight="1" spans="2:6" x14ac:dyDescent="0.25">
      <c r="B7" s="6" t="s">
        <v>3</v>
      </c>
      <c r="C7" s="6"/>
      <c r="D7" s="6"/>
      <c r="E7" s="6"/>
      <c r="F7" s="6"/>
    </row>
    <row r="8" ht="18" customHeight="1" spans="2:6" x14ac:dyDescent="0.25">
      <c r="B8" s="6" t="s">
        <v>4</v>
      </c>
      <c r="C8" s="6"/>
      <c r="D8" s="6"/>
      <c r="E8" s="6"/>
      <c r="F8" s="6"/>
    </row>
    <row r="9" ht="18" customHeight="1" spans="2:6" x14ac:dyDescent="0.25">
      <c r="B9" s="6" t="s">
        <v>5</v>
      </c>
      <c r="C9" s="6"/>
      <c r="D9" s="6"/>
      <c r="E9" s="6"/>
      <c r="F9" s="6"/>
    </row>
    <row r="10" ht="18" customHeight="1" spans="2:6" x14ac:dyDescent="0.25">
      <c r="B10" s="6" t="s">
        <v>6</v>
      </c>
      <c r="C10" s="6"/>
      <c r="D10" s="6"/>
      <c r="E10" s="6"/>
      <c r="F10" s="6"/>
    </row>
    <row r="11" ht="18" customHeight="1" spans="2:6" x14ac:dyDescent="0.25">
      <c r="B11" s="6" t="s">
        <v>7</v>
      </c>
      <c r="C11" s="6"/>
      <c r="D11" s="6"/>
      <c r="E11" s="6"/>
      <c r="F11" s="6"/>
    </row>
    <row r="12" ht="18" customHeight="1" spans="2:6" x14ac:dyDescent="0.25">
      <c r="B12" s="6" t="s">
        <v>8</v>
      </c>
      <c r="C12" s="6"/>
      <c r="D12" s="6"/>
      <c r="E12" s="6"/>
      <c r="F12" s="6"/>
    </row>
    <row r="14" ht="18" customHeight="1" spans="2:6" x14ac:dyDescent="0.25">
      <c r="B14" s="4" t="s">
        <v>9</v>
      </c>
      <c r="C14" s="5"/>
      <c r="D14" s="5"/>
      <c r="E14" s="5"/>
      <c r="F14" s="5"/>
    </row>
    <row r="15" spans="2:3" x14ac:dyDescent="0.25">
      <c r="B15" s="7" t="s">
        <v>10</v>
      </c>
      <c r="C15" s="8"/>
    </row>
    <row r="16" spans="2:3" x14ac:dyDescent="0.25">
      <c r="B16" s="7" t="s">
        <v>11</v>
      </c>
      <c r="C16" s="9"/>
    </row>
    <row r="18" ht="18" customHeight="1" spans="2:6" x14ac:dyDescent="0.25">
      <c r="B18" s="4" t="s">
        <v>12</v>
      </c>
      <c r="C18" s="5"/>
      <c r="D18" s="5"/>
      <c r="E18" s="5"/>
      <c r="F18" s="5"/>
    </row>
    <row r="19" spans="2:3" x14ac:dyDescent="0.25">
      <c r="B19" s="7" t="s">
        <v>13</v>
      </c>
      <c r="C19" s="10"/>
    </row>
    <row r="20" spans="2:3" x14ac:dyDescent="0.25">
      <c r="B20" s="7" t="s">
        <v>14</v>
      </c>
      <c r="C20" s="11"/>
    </row>
    <row r="21" spans="2:3" x14ac:dyDescent="0.25">
      <c r="B21" s="7" t="s">
        <v>15</v>
      </c>
      <c r="C21" s="10"/>
    </row>
  </sheetData>
  <sheetProtection sheet="1" formatRows="0"/>
  <mergeCells count="8">
    <mergeCell ref="B1:F1"/>
    <mergeCell ref="B2:F2"/>
    <mergeCell ref="B7:F7"/>
    <mergeCell ref="B8:F8"/>
    <mergeCell ref="B9:F9"/>
    <mergeCell ref="B10:F10"/>
    <mergeCell ref="B11:F11"/>
    <mergeCell ref="B12:F12"/>
  </mergeCells>
  <dataValidations count="3">
    <dataValidation sqref="C15"/>
    <dataValidation type="date" allowBlank="1" showErrorMessage="1" errorStyle="stop" errorTitle="Date" error="Please type a date like 2012-03-31. If you only know the year, type the 1st of January of that year and say so in Notes." sqref="C19">
      <formula1>7306</formula1>
      <formula2>73415</formula2>
    </dataValidation>
    <dataValidation type="date" allowBlank="1" showErrorMessage="1" errorStyle="stop" errorTitle="Date" error="Please type a date like 2012-03-31. If you only know the year, type the 1st of January of that year and say so in Notes." sqref="C21">
      <formula1>7306</formula1>
      <formula2>73415</formula2>
    </dataValidation>
  </dataValidations>
  <printOptions horizontalCentered="1"/>
  <pageMargins left="0.4" right="0.4" top="0.5" bottom="0.6" header="0.25" footer="0.3"/>
  <pageSetup paperSize="9" orientation="portrait" horizontalDpi="4294967295" verticalDpi="4294967295" scale="100" fitToWidth="1" fitToHeight="0"/>
  <headerFooter>
    <oddFooter>&amp;L&amp;8&amp;"Arial"Duwalcoe Financial Consultants CC  ·  FSP 9978  ·  Fact find&amp;R&amp;8&amp;"Arial"&amp;A  ·  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Z49"/>
  <sheetViews>
    <sheetView workbookViewId="0" showGridLines="0">
      <pane ySplit="2" topLeftCell="A3" activePane="bottomLeft" state="frozen"/>
      <selection pane="bottomLeft"/>
    </sheetView>
  </sheetViews>
  <sheetFormatPr defaultRowHeight="15" outlineLevelRow="0" outlineLevelCol="0" x14ac:dyDescent="55"/>
  <cols>
    <col min="1" max="1" width="2" customWidth="1"/>
    <col min="2" max="2" width="40" customWidth="1"/>
    <col min="3" max="4" width="30" customWidth="1"/>
    <col min="5" max="6" width="16" customWidth="1"/>
    <col min="7" max="7" width="10" customWidth="1"/>
    <col min="26" max="26" width="18" hidden="1" customWidth="1"/>
  </cols>
  <sheetData>
    <row r="1" ht="21.75" customHeight="1" spans="2:7" x14ac:dyDescent="0.25">
      <c r="B1" s="1" t="s">
        <v>0</v>
      </c>
      <c r="C1" s="1"/>
      <c r="D1" s="1"/>
      <c r="E1" s="1"/>
      <c r="F1" s="1"/>
      <c r="G1" s="1"/>
    </row>
    <row r="2" ht="15" customHeight="1" spans="2:7" x14ac:dyDescent="0.25">
      <c r="B2" s="2" t="s">
        <v>1</v>
      </c>
      <c r="C2" s="2"/>
      <c r="D2" s="2"/>
      <c r="E2" s="2"/>
      <c r="F2" s="2"/>
      <c r="G2" s="2"/>
    </row>
    <row r="4" ht="20" customHeight="1" spans="2:2" x14ac:dyDescent="0.25">
      <c r="B4" s="3" t="s">
        <v>16</v>
      </c>
    </row>
    <row r="5" ht="15" customHeight="1" spans="2:7" x14ac:dyDescent="0.25">
      <c r="B5" s="12" t="s">
        <v>17</v>
      </c>
      <c r="C5" s="12"/>
      <c r="D5" s="12"/>
      <c r="E5" s="12"/>
      <c r="F5" s="12"/>
      <c r="G5" s="12"/>
    </row>
    <row r="7" ht="18" customHeight="1" spans="2:7" x14ac:dyDescent="0.25">
      <c r="B7" s="4" t="s">
        <v>18</v>
      </c>
      <c r="C7" s="5"/>
      <c r="D7" s="5"/>
      <c r="E7" s="5"/>
      <c r="F7" s="5"/>
      <c r="G7" s="5"/>
    </row>
    <row r="8" spans="2:4" x14ac:dyDescent="0.25">
      <c r="B8" s="13" t="s">
        <v>19</v>
      </c>
      <c r="C8" s="13">
        <f>IF(C10="","You",C10)</f>
      </c>
      <c r="D8" s="13">
        <f>IF(D10="","Your spouse or partner",D10)</f>
      </c>
    </row>
    <row r="9" spans="2:4" x14ac:dyDescent="0.25">
      <c r="B9" s="7" t="s">
        <v>20</v>
      </c>
      <c r="C9" s="14"/>
      <c r="D9" s="9"/>
    </row>
    <row r="10" spans="2:4" x14ac:dyDescent="0.25">
      <c r="B10" s="7" t="s">
        <v>21</v>
      </c>
      <c r="C10" s="11"/>
      <c r="D10" s="11"/>
    </row>
    <row r="11" spans="2:4" x14ac:dyDescent="0.25">
      <c r="B11" s="7" t="s">
        <v>22</v>
      </c>
      <c r="C11" s="11"/>
      <c r="D11" s="9"/>
    </row>
    <row r="12" spans="2:4" x14ac:dyDescent="0.25">
      <c r="B12" s="7" t="s">
        <v>23</v>
      </c>
      <c r="C12" s="15"/>
      <c r="D12" s="15"/>
    </row>
    <row r="13" spans="2:4" x14ac:dyDescent="0.25">
      <c r="B13" s="16" t="s">
        <v>24</v>
      </c>
      <c r="C13" s="17">
        <f>IF(LEN(C12)=13,IFERROR(DATE(IF(VALUE(LEFT(C12,2))&gt;MOD(YEAR(TODAY()),100),1900,2000)+VALUE(LEFT(C12,2)),VALUE(MID(C12,3,2)),VALUE(MID(C12,5,2))),""),IF(C14="","",C14))</f>
      </c>
      <c r="D13" s="17">
        <f>IF(LEN(D12)=13,IFERROR(DATE(IF(VALUE(LEFT(D12,2))&gt;MOD(YEAR(TODAY()),100),1900,2000)+VALUE(LEFT(D12,2)),VALUE(MID(D12,3,2)),VALUE(MID(D12,5,2))),""),IF(D14="","",D14))</f>
      </c>
    </row>
    <row r="14" spans="2:4" x14ac:dyDescent="0.25">
      <c r="B14" s="7" t="s">
        <v>25</v>
      </c>
      <c r="C14" s="10"/>
      <c r="D14" s="10"/>
    </row>
    <row r="15" spans="2:4" x14ac:dyDescent="0.25">
      <c r="B15" s="7" t="s">
        <v>26</v>
      </c>
      <c r="C15" s="14"/>
      <c r="D15" s="9"/>
    </row>
    <row r="16" spans="2:4" x14ac:dyDescent="0.25">
      <c r="B16" s="7" t="s">
        <v>27</v>
      </c>
      <c r="C16" s="14"/>
      <c r="D16" s="9"/>
    </row>
    <row r="17" spans="2:4" x14ac:dyDescent="0.25">
      <c r="B17" s="7" t="s">
        <v>28</v>
      </c>
      <c r="C17" s="15"/>
      <c r="D17" s="15"/>
    </row>
    <row r="18" spans="2:4" x14ac:dyDescent="0.25">
      <c r="B18" s="7" t="s">
        <v>29</v>
      </c>
      <c r="C18" s="11"/>
      <c r="D18" s="11"/>
    </row>
    <row r="19" spans="2:4" x14ac:dyDescent="0.25">
      <c r="B19" s="7" t="s">
        <v>30</v>
      </c>
      <c r="C19" s="15"/>
      <c r="D19" s="9"/>
    </row>
    <row r="20" spans="2:4" x14ac:dyDescent="0.25">
      <c r="B20" s="7" t="s">
        <v>31</v>
      </c>
      <c r="C20" s="15"/>
      <c r="D20" s="9"/>
    </row>
    <row r="21" ht="30" customHeight="1" spans="2:4" x14ac:dyDescent="0.25">
      <c r="B21" s="7" t="s">
        <v>32</v>
      </c>
      <c r="C21" s="11"/>
      <c r="D21" s="9"/>
    </row>
    <row r="22" ht="30" customHeight="1" spans="2:4" x14ac:dyDescent="0.25">
      <c r="B22" s="7" t="s">
        <v>33</v>
      </c>
      <c r="C22" s="11"/>
      <c r="D22" s="9"/>
    </row>
    <row r="23" spans="2:4" x14ac:dyDescent="0.25">
      <c r="B23" s="7" t="s">
        <v>34</v>
      </c>
      <c r="C23" s="11"/>
      <c r="D23" s="11"/>
    </row>
    <row r="24" spans="2:4" x14ac:dyDescent="0.25">
      <c r="B24" s="7" t="s">
        <v>35</v>
      </c>
      <c r="C24" s="11"/>
      <c r="D24" s="9"/>
    </row>
    <row r="25" spans="2:4" x14ac:dyDescent="0.25">
      <c r="B25" s="7" t="s">
        <v>36</v>
      </c>
      <c r="C25" s="18"/>
      <c r="D25" s="18"/>
    </row>
    <row r="26" spans="2:4" x14ac:dyDescent="0.25">
      <c r="B26" s="7" t="s">
        <v>37</v>
      </c>
      <c r="C26" s="9"/>
      <c r="D26" s="14"/>
    </row>
    <row r="27" spans="2:4" x14ac:dyDescent="0.25">
      <c r="B27" s="7" t="s">
        <v>38</v>
      </c>
      <c r="C27" s="15"/>
      <c r="D27" s="9"/>
    </row>
    <row r="28" spans="2:4" x14ac:dyDescent="0.25">
      <c r="B28" s="7" t="s">
        <v>39</v>
      </c>
      <c r="C28" s="14"/>
      <c r="D28" s="9"/>
    </row>
    <row r="29" spans="2:4" x14ac:dyDescent="0.25">
      <c r="B29" s="7" t="s">
        <v>40</v>
      </c>
      <c r="C29" s="11"/>
      <c r="D29" s="9"/>
    </row>
    <row r="30" spans="2:4" x14ac:dyDescent="0.25">
      <c r="B30" s="7" t="s">
        <v>41</v>
      </c>
      <c r="C30" s="14"/>
      <c r="D30" s="9"/>
    </row>
    <row r="31" spans="2:4" x14ac:dyDescent="0.25">
      <c r="B31" s="7" t="s">
        <v>42</v>
      </c>
      <c r="C31" s="10"/>
      <c r="D31" s="9"/>
    </row>
    <row r="32" spans="2:4" x14ac:dyDescent="0.25">
      <c r="B32" s="7" t="s">
        <v>43</v>
      </c>
      <c r="C32" s="14"/>
      <c r="D32" s="9"/>
    </row>
    <row r="34" ht="18" customHeight="1" spans="2:7" x14ac:dyDescent="0.25">
      <c r="B34" s="4" t="s">
        <v>44</v>
      </c>
      <c r="C34" s="5"/>
      <c r="D34" s="5"/>
      <c r="E34" s="5"/>
      <c r="F34" s="5"/>
      <c r="G34" s="5"/>
    </row>
    <row r="35" ht="15" customHeight="1" spans="2:7" x14ac:dyDescent="0.25">
      <c r="B35" s="12" t="s">
        <v>45</v>
      </c>
      <c r="C35" s="12"/>
      <c r="D35" s="12"/>
      <c r="E35" s="12"/>
      <c r="F35" s="12"/>
      <c r="G35" s="12"/>
    </row>
    <row r="36" hidden="1" spans="2:26" x14ac:dyDescent="0.25">
      <c r="B36" t="s">
        <v>46</v>
      </c>
      <c r="C36" t="s">
        <v>47</v>
      </c>
      <c r="D36" t="s">
        <v>48</v>
      </c>
      <c r="E36" t="s">
        <v>49</v>
      </c>
      <c r="F36" t="s">
        <v>50</v>
      </c>
      <c r="Z36" t="s">
        <v>51</v>
      </c>
    </row>
    <row r="37" ht="30" customHeight="1" spans="2:7" x14ac:dyDescent="0.25">
      <c r="B37" s="13" t="s">
        <v>21</v>
      </c>
      <c r="C37" s="13" t="s">
        <v>23</v>
      </c>
      <c r="D37" s="13" t="s">
        <v>52</v>
      </c>
      <c r="E37" s="13" t="s">
        <v>53</v>
      </c>
      <c r="F37" s="13" t="s">
        <v>54</v>
      </c>
      <c r="G37" s="13" t="s">
        <v>55</v>
      </c>
    </row>
    <row r="38" ht="15" customHeight="1" spans="2:7" x14ac:dyDescent="0.25">
      <c r="B38" s="11"/>
      <c r="C38" s="15"/>
      <c r="D38" s="10"/>
      <c r="E38" s="14"/>
      <c r="F38" s="14"/>
      <c r="G38" s="19">
        <f>IF(AND(LEN(C38)&lt;&gt;13,D38=""),"",DATEDIF(IF(LEN(C38)=13,IFERROR(DATE(IF(VALUE(LEFT(C38,2))&gt;MOD(YEAR(TODAY()),100),1900,2000)+VALUE(LEFT(C38,2)),VALUE(MID(C38,3,2)),VALUE(MID(C38,5,2))),D38),D38),TODAY(),"Y"))</f>
      </c>
    </row>
    <row r="39" ht="15" customHeight="1" spans="2:7" x14ac:dyDescent="0.25">
      <c r="B39" s="11"/>
      <c r="C39" s="15"/>
      <c r="D39" s="10"/>
      <c r="E39" s="14"/>
      <c r="F39" s="14"/>
      <c r="G39" s="19">
        <f>IF(AND(LEN(C39)&lt;&gt;13,D39=""),"",DATEDIF(IF(LEN(C39)=13,IFERROR(DATE(IF(VALUE(LEFT(C39,2))&gt;MOD(YEAR(TODAY()),100),1900,2000)+VALUE(LEFT(C39,2)),VALUE(MID(C39,3,2)),VALUE(MID(C39,5,2))),D39),D39),TODAY(),"Y"))</f>
      </c>
    </row>
    <row r="40" ht="15" customHeight="1" spans="2:7" x14ac:dyDescent="0.25">
      <c r="B40" s="11"/>
      <c r="C40" s="15"/>
      <c r="D40" s="10"/>
      <c r="E40" s="14"/>
      <c r="F40" s="14"/>
      <c r="G40" s="19">
        <f>IF(AND(LEN(C40)&lt;&gt;13,D40=""),"",DATEDIF(IF(LEN(C40)=13,IFERROR(DATE(IF(VALUE(LEFT(C40,2))&gt;MOD(YEAR(TODAY()),100),1900,2000)+VALUE(LEFT(C40,2)),VALUE(MID(C40,3,2)),VALUE(MID(C40,5,2))),D40),D40),TODAY(),"Y"))</f>
      </c>
    </row>
    <row r="41" ht="15" customHeight="1" spans="2:7" x14ac:dyDescent="0.25">
      <c r="B41" s="11"/>
      <c r="C41" s="15"/>
      <c r="D41" s="10"/>
      <c r="E41" s="14"/>
      <c r="F41" s="14"/>
      <c r="G41" s="19">
        <f>IF(AND(LEN(C41)&lt;&gt;13,D41=""),"",DATEDIF(IF(LEN(C41)=13,IFERROR(DATE(IF(VALUE(LEFT(C41,2))&gt;MOD(YEAR(TODAY()),100),1900,2000)+VALUE(LEFT(C41,2)),VALUE(MID(C41,3,2)),VALUE(MID(C41,5,2))),D41),D41),TODAY(),"Y"))</f>
      </c>
    </row>
    <row r="42" ht="15" customHeight="1" spans="2:7" x14ac:dyDescent="0.25">
      <c r="B42" s="11"/>
      <c r="C42" s="15"/>
      <c r="D42" s="10"/>
      <c r="E42" s="14"/>
      <c r="F42" s="14"/>
      <c r="G42" s="19">
        <f>IF(AND(LEN(C42)&lt;&gt;13,D42=""),"",DATEDIF(IF(LEN(C42)=13,IFERROR(DATE(IF(VALUE(LEFT(C42,2))&gt;MOD(YEAR(TODAY()),100),1900,2000)+VALUE(LEFT(C42,2)),VALUE(MID(C42,3,2)),VALUE(MID(C42,5,2))),D42),D42),TODAY(),"Y"))</f>
      </c>
    </row>
    <row r="43" ht="15" customHeight="1" spans="2:7" x14ac:dyDescent="0.25">
      <c r="B43" s="11"/>
      <c r="C43" s="15"/>
      <c r="D43" s="10"/>
      <c r="E43" s="14"/>
      <c r="F43" s="14"/>
      <c r="G43" s="19">
        <f>IF(AND(LEN(C43)&lt;&gt;13,D43=""),"",DATEDIF(IF(LEN(C43)=13,IFERROR(DATE(IF(VALUE(LEFT(C43,2))&gt;MOD(YEAR(TODAY()),100),1900,2000)+VALUE(LEFT(C43,2)),VALUE(MID(C43,3,2)),VALUE(MID(C43,5,2))),D43),D43),TODAY(),"Y"))</f>
      </c>
    </row>
    <row r="44" ht="15" customHeight="1" spans="2:7" x14ac:dyDescent="0.25">
      <c r="B44" s="11"/>
      <c r="C44" s="15"/>
      <c r="D44" s="10"/>
      <c r="E44" s="14"/>
      <c r="F44" s="14"/>
      <c r="G44" s="19">
        <f>IF(AND(LEN(C44)&lt;&gt;13,D44=""),"",DATEDIF(IF(LEN(C44)=13,IFERROR(DATE(IF(VALUE(LEFT(C44,2))&gt;MOD(YEAR(TODAY()),100),1900,2000)+VALUE(LEFT(C44,2)),VALUE(MID(C44,3,2)),VALUE(MID(C44,5,2))),D44),D44),TODAY(),"Y"))</f>
      </c>
    </row>
    <row r="45" ht="15" customHeight="1" spans="2:7" x14ac:dyDescent="0.25">
      <c r="B45" s="11"/>
      <c r="C45" s="15"/>
      <c r="D45" s="10"/>
      <c r="E45" s="14"/>
      <c r="F45" s="14"/>
      <c r="G45" s="19">
        <f>IF(AND(LEN(C45)&lt;&gt;13,D45=""),"",DATEDIF(IF(LEN(C45)=13,IFERROR(DATE(IF(VALUE(LEFT(C45,2))&gt;MOD(YEAR(TODAY()),100),1900,2000)+VALUE(LEFT(C45,2)),VALUE(MID(C45,3,2)),VALUE(MID(C45,5,2))),D45),D45),TODAY(),"Y"))</f>
      </c>
    </row>
    <row r="47" ht="18" customHeight="1" spans="2:7" x14ac:dyDescent="0.25">
      <c r="B47" s="4" t="s">
        <v>56</v>
      </c>
      <c r="C47" s="5"/>
      <c r="D47" s="5"/>
      <c r="E47" s="5"/>
      <c r="F47" s="5"/>
      <c r="G47" s="5"/>
    </row>
    <row r="48" ht="15" customHeight="1" spans="2:7" x14ac:dyDescent="0.25">
      <c r="B48" s="12" t="s">
        <v>57</v>
      </c>
      <c r="C48" s="12"/>
      <c r="D48" s="12"/>
      <c r="E48" s="12"/>
      <c r="F48" s="12"/>
      <c r="G48" s="12"/>
    </row>
    <row r="49" ht="45" customHeight="1" spans="2:7" x14ac:dyDescent="0.25">
      <c r="B49" s="7" t="s">
        <v>58</v>
      </c>
      <c r="C49" s="11"/>
      <c r="D49" s="11"/>
      <c r="E49" s="11"/>
      <c r="F49" s="11"/>
      <c r="G49" s="11"/>
    </row>
  </sheetData>
  <sheetProtection sheet="1" formatRows="0"/>
  <mergeCells count="6">
    <mergeCell ref="B1:G1"/>
    <mergeCell ref="B2:G2"/>
    <mergeCell ref="B5:G5"/>
    <mergeCell ref="B35:G35"/>
    <mergeCell ref="B48:G48"/>
    <mergeCell ref="C49:G49"/>
  </mergeCells>
  <dataValidations count="13">
    <dataValidation type="date" allowBlank="1" showErrorMessage="1" errorStyle="stop" errorTitle="Date" error="Please type a date like 2012-03-31. If you only know the year, type the 1st of January of that year and say so in Notes." sqref="C14:D14">
      <formula1>7306</formula1>
      <formula2>73415</formula2>
    </dataValidation>
    <dataValidation type="list" allowBlank="1" showErrorMessage="1" errorStyle="stop" errorTitle="Please choose from the list" error="Please choose one of the options in the list." sqref="C15">
      <formula1>'Lists'!$E$2:$E$3</formula1>
    </dataValidation>
    <dataValidation type="list" allowBlank="1" showErrorMessage="1" errorStyle="stop" errorTitle="Please choose from the list" error="Please choose one of the options in the list." sqref="C16">
      <formula1>'Lists'!$F$2:$F$3</formula1>
    </dataValidation>
    <dataValidation type="decimal" operator="greaterThanOrEqual" allowBlank="1" showErrorMessage="1" errorStyle="stop" errorTitle="Amount" error="Please type the amount in rand as a number, without R or spaces, e.g. 1250000." sqref="C25:D25">
      <formula1>0</formula1>
    </dataValidation>
    <dataValidation type="list" allowBlank="1" showErrorMessage="1" errorStyle="stop" errorTitle="Please choose from the list" error="Please choose one of the options in the list." sqref="C28">
      <formula1>'Lists'!$I$2:$I$7</formula1>
    </dataValidation>
    <dataValidation type="list" allowBlank="1" showErrorMessage="1" errorStyle="stop" errorTitle="Please choose from the list" error="Please choose one of the options in the list." sqref="C30">
      <formula1>'Lists'!$H$2:$H$9</formula1>
    </dataValidation>
    <dataValidation type="date" allowBlank="1" showErrorMessage="1" errorStyle="stop" errorTitle="Date" error="Please type a date like 2012-03-31. If you only know the year, type the 1st of January of that year and say so in Notes." sqref="C31">
      <formula1>7306</formula1>
      <formula2>73415</formula2>
    </dataValidation>
    <dataValidation type="list" allowBlank="1" showErrorMessage="1" errorStyle="stop" errorTitle="Please choose from the list" error="Please choose one of the options in the list." sqref="C32">
      <formula1>'Lists'!$G$2:$G$3</formula1>
    </dataValidation>
    <dataValidation type="list" allowBlank="1" showErrorMessage="1" errorStyle="stop" errorTitle="Please choose from the list" error="Please choose one of the options in the list." sqref="C9">
      <formula1>'Lists'!$D$2:$D$9</formula1>
    </dataValidation>
    <dataValidation type="list" allowBlank="1" showErrorMessage="1" errorStyle="stop" errorTitle="Please choose from the list" error="Please choose one of the options in the list." sqref="D26">
      <formula1>'Lists'!$F$2:$F$3</formula1>
    </dataValidation>
    <dataValidation type="date" allowBlank="1" showErrorMessage="1" errorStyle="stop" errorTitle="Date" error="Please type a date like 2012-03-31. If you only know the year, type the 1st of January of that year and say so in Notes." sqref="D38:D45">
      <formula1>7306</formula1>
      <formula2>73415</formula2>
    </dataValidation>
    <dataValidation type="list" allowBlank="1" showErrorMessage="1" errorStyle="stop" errorTitle="Please choose from the list" error="Please choose one of the options in the list." sqref="E38:E45">
      <formula1>'Lists'!$J$2:$J$6</formula1>
    </dataValidation>
    <dataValidation type="list" allowBlank="1" showErrorMessage="1" errorStyle="stop" errorTitle="Please choose from the list" error="Please choose one of the options in the list." sqref="F38:F45">
      <formula1>'Lists'!$F$2:$F$3</formula1>
    </dataValidation>
  </dataValidations>
  <printOptions horizontalCentered="1"/>
  <pageMargins left="0.4" right="0.4" top="0.5" bottom="0.6" header="0.25" footer="0.3"/>
  <pageSetup paperSize="9" orientation="portrait" horizontalDpi="4294967295" verticalDpi="4294967295" scale="100" fitToWidth="1" fitToHeight="0"/>
  <headerFooter>
    <oddFooter>&amp;L&amp;8&amp;"Arial"Duwalcoe Financial Consultants CC  ·  FSP 9978  ·  Fact find&amp;R&amp;8&amp;"Arial"&amp;A  ·  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48"/>
  <sheetViews>
    <sheetView workbookViewId="0" showGridLines="0">
      <pane ySplit="2" topLeftCell="A3" activePane="bottomLeft" state="frozen"/>
      <selection pane="bottomLeft"/>
    </sheetView>
  </sheetViews>
  <sheetFormatPr defaultRowHeight="15" outlineLevelRow="0" outlineLevelCol="0" x14ac:dyDescent="55"/>
  <cols>
    <col min="1" max="1" width="2" customWidth="1"/>
    <col min="2" max="2" width="34" customWidth="1"/>
    <col min="3" max="4" width="18" customWidth="1"/>
    <col min="5" max="5" width="15" customWidth="1"/>
    <col min="6" max="6" width="14" customWidth="1"/>
    <col min="7" max="7" width="10" customWidth="1"/>
    <col min="8" max="8" width="30" customWidth="1"/>
    <col min="26" max="26" width="18" hidden="1" customWidth="1"/>
  </cols>
  <sheetData>
    <row r="1" ht="21.75" customHeight="1" spans="2:8" x14ac:dyDescent="0.25">
      <c r="B1" s="1" t="s">
        <v>0</v>
      </c>
      <c r="C1" s="1"/>
      <c r="D1" s="1"/>
      <c r="E1" s="1"/>
      <c r="F1" s="1"/>
      <c r="G1" s="1"/>
      <c r="H1" s="1"/>
    </row>
    <row r="2" ht="15" customHeight="1" spans="2:8" x14ac:dyDescent="0.25">
      <c r="B2" s="2" t="s">
        <v>1</v>
      </c>
      <c r="C2" s="2"/>
      <c r="D2" s="2"/>
      <c r="E2" s="2"/>
      <c r="F2" s="2"/>
      <c r="G2" s="2"/>
      <c r="H2" s="2"/>
    </row>
    <row r="4" ht="20" customHeight="1" spans="2:2" x14ac:dyDescent="0.25">
      <c r="B4" s="3" t="s">
        <v>59</v>
      </c>
    </row>
    <row r="6" ht="18" customHeight="1" spans="2:8" x14ac:dyDescent="0.25">
      <c r="B6" s="4" t="s">
        <v>60</v>
      </c>
      <c r="C6" s="5"/>
      <c r="D6" s="5"/>
      <c r="E6" s="5"/>
      <c r="F6" s="5"/>
      <c r="G6" s="5"/>
      <c r="H6" s="5"/>
    </row>
    <row r="7" ht="15" customHeight="1" spans="2:8" x14ac:dyDescent="0.25">
      <c r="B7" s="12" t="s">
        <v>61</v>
      </c>
      <c r="C7" s="12"/>
      <c r="D7" s="12"/>
      <c r="E7" s="12"/>
      <c r="F7" s="12"/>
      <c r="G7" s="12"/>
      <c r="H7" s="12"/>
    </row>
    <row r="8" hidden="1" spans="2:26" x14ac:dyDescent="0.25">
      <c r="B8" t="s">
        <v>62</v>
      </c>
      <c r="C8" t="s">
        <v>63</v>
      </c>
      <c r="D8" t="s">
        <v>64</v>
      </c>
      <c r="E8" t="s">
        <v>65</v>
      </c>
      <c r="F8" t="s">
        <v>66</v>
      </c>
      <c r="G8" t="s">
        <v>67</v>
      </c>
      <c r="H8" t="s">
        <v>68</v>
      </c>
      <c r="Z8" t="s">
        <v>51</v>
      </c>
    </row>
    <row r="9" ht="30" customHeight="1" spans="2:8" x14ac:dyDescent="0.25">
      <c r="B9" s="13" t="s">
        <v>69</v>
      </c>
      <c r="C9" s="13" t="s">
        <v>70</v>
      </c>
      <c r="D9" s="13" t="s">
        <v>49</v>
      </c>
      <c r="E9" s="13" t="s">
        <v>71</v>
      </c>
      <c r="F9" s="13" t="s">
        <v>72</v>
      </c>
      <c r="G9" s="13" t="s">
        <v>73</v>
      </c>
      <c r="H9" s="13" t="s">
        <v>74</v>
      </c>
    </row>
    <row r="10" spans="1:8" x14ac:dyDescent="0.25">
      <c r="B10" s="20" t="s">
        <v>75</v>
      </c>
      <c r="C10" s="20">
        <f>'Lists'!$A$2</f>
      </c>
      <c r="D10" s="20" t="s">
        <v>76</v>
      </c>
      <c r="E10" s="21">
        <v>45000</v>
      </c>
      <c r="F10" s="21">
        <v>45000</v>
      </c>
      <c r="G10" s="20" t="s">
        <v>77</v>
      </c>
      <c r="H10" s="20" t="s">
        <v>78</v>
      </c>
    </row>
    <row r="11" ht="15" customHeight="1" spans="2:8" x14ac:dyDescent="0.25">
      <c r="B11" s="11"/>
      <c r="C11" s="14"/>
      <c r="D11" s="14"/>
      <c r="E11" s="18"/>
      <c r="F11" s="18"/>
      <c r="G11" s="14"/>
      <c r="H11" s="11"/>
    </row>
    <row r="12" ht="15" customHeight="1" spans="2:8" x14ac:dyDescent="0.25">
      <c r="B12" s="11"/>
      <c r="C12" s="14"/>
      <c r="D12" s="14"/>
      <c r="E12" s="18"/>
      <c r="F12" s="18"/>
      <c r="G12" s="14"/>
      <c r="H12" s="11"/>
    </row>
    <row r="13" ht="15" customHeight="1" spans="2:8" x14ac:dyDescent="0.25">
      <c r="B13" s="11"/>
      <c r="C13" s="14"/>
      <c r="D13" s="14"/>
      <c r="E13" s="18"/>
      <c r="F13" s="18"/>
      <c r="G13" s="14"/>
      <c r="H13" s="11"/>
    </row>
    <row r="14" ht="15" customHeight="1" spans="2:8" x14ac:dyDescent="0.25">
      <c r="B14" s="11"/>
      <c r="C14" s="14"/>
      <c r="D14" s="14"/>
      <c r="E14" s="18"/>
      <c r="F14" s="18"/>
      <c r="G14" s="14"/>
      <c r="H14" s="11"/>
    </row>
    <row r="15" ht="15" customHeight="1" spans="2:8" x14ac:dyDescent="0.25">
      <c r="B15" s="11"/>
      <c r="C15" s="14"/>
      <c r="D15" s="14"/>
      <c r="E15" s="18"/>
      <c r="F15" s="18"/>
      <c r="G15" s="14"/>
      <c r="H15" s="11"/>
    </row>
    <row r="16" ht="15" customHeight="1" spans="2:8" x14ac:dyDescent="0.25">
      <c r="B16" s="11"/>
      <c r="C16" s="14"/>
      <c r="D16" s="14"/>
      <c r="E16" s="18"/>
      <c r="F16" s="18"/>
      <c r="G16" s="14"/>
      <c r="H16" s="11"/>
    </row>
    <row r="17" ht="15" customHeight="1" spans="2:8" x14ac:dyDescent="0.25">
      <c r="B17" s="11"/>
      <c r="C17" s="14"/>
      <c r="D17" s="14"/>
      <c r="E17" s="18"/>
      <c r="F17" s="18"/>
      <c r="G17" s="14"/>
      <c r="H17" s="11"/>
    </row>
    <row r="18" ht="15" customHeight="1" spans="2:8" x14ac:dyDescent="0.25">
      <c r="B18" s="11"/>
      <c r="C18" s="14"/>
      <c r="D18" s="14"/>
      <c r="E18" s="18"/>
      <c r="F18" s="18"/>
      <c r="G18" s="14"/>
      <c r="H18" s="11"/>
    </row>
    <row r="19" ht="15" customHeight="1" spans="2:8" x14ac:dyDescent="0.25">
      <c r="B19" s="11"/>
      <c r="C19" s="14"/>
      <c r="D19" s="14"/>
      <c r="E19" s="18"/>
      <c r="F19" s="18"/>
      <c r="G19" s="14"/>
      <c r="H19" s="11"/>
    </row>
    <row r="20" ht="15" customHeight="1" spans="2:8" x14ac:dyDescent="0.25">
      <c r="B20" s="11"/>
      <c r="C20" s="14"/>
      <c r="D20" s="14"/>
      <c r="E20" s="18"/>
      <c r="F20" s="18"/>
      <c r="G20" s="14"/>
      <c r="H20" s="11"/>
    </row>
    <row r="21" spans="2:5" x14ac:dyDescent="0.25">
      <c r="B21" s="22" t="s">
        <v>79</v>
      </c>
      <c r="E21" s="23">
        <f>SUM(E11:E20)</f>
      </c>
    </row>
    <row r="23" ht="18" customHeight="1" spans="2:8" x14ac:dyDescent="0.25">
      <c r="B23" s="4" t="s">
        <v>80</v>
      </c>
      <c r="C23" s="5"/>
      <c r="D23" s="5"/>
      <c r="E23" s="5"/>
      <c r="F23" s="5"/>
      <c r="G23" s="5"/>
      <c r="H23" s="5"/>
    </row>
    <row r="24" ht="15" customHeight="1" spans="2:8" x14ac:dyDescent="0.25">
      <c r="B24" s="12" t="s">
        <v>81</v>
      </c>
      <c r="C24" s="12"/>
      <c r="D24" s="12"/>
      <c r="E24" s="12"/>
      <c r="F24" s="12"/>
      <c r="G24" s="12"/>
      <c r="H24" s="12"/>
    </row>
    <row r="25" hidden="1" spans="2:26" x14ac:dyDescent="0.25">
      <c r="B25" t="s">
        <v>62</v>
      </c>
      <c r="C25" t="s">
        <v>82</v>
      </c>
      <c r="D25" t="s">
        <v>65</v>
      </c>
      <c r="E25" t="s">
        <v>68</v>
      </c>
      <c r="Z25" t="s">
        <v>51</v>
      </c>
    </row>
    <row r="26" ht="30" customHeight="1" spans="2:5" x14ac:dyDescent="0.25">
      <c r="B26" s="13" t="s">
        <v>83</v>
      </c>
      <c r="C26" s="13" t="s">
        <v>84</v>
      </c>
      <c r="D26" s="13" t="s">
        <v>85</v>
      </c>
      <c r="E26" s="13" t="s">
        <v>74</v>
      </c>
    </row>
    <row r="27" spans="1:5" x14ac:dyDescent="0.25">
      <c r="B27" s="20" t="s">
        <v>86</v>
      </c>
      <c r="C27" s="20" t="s">
        <v>87</v>
      </c>
      <c r="D27" s="21">
        <v>18000</v>
      </c>
      <c r="E27" s="20" t="s">
        <v>88</v>
      </c>
    </row>
    <row r="28" ht="15" customHeight="1" spans="2:5" x14ac:dyDescent="0.25">
      <c r="B28" s="11"/>
      <c r="C28" s="14"/>
      <c r="D28" s="18"/>
      <c r="E28" s="11"/>
    </row>
    <row r="29" ht="15" customHeight="1" spans="2:5" x14ac:dyDescent="0.25">
      <c r="B29" s="11"/>
      <c r="C29" s="14"/>
      <c r="D29" s="18"/>
      <c r="E29" s="11"/>
    </row>
    <row r="30" ht="15" customHeight="1" spans="2:5" x14ac:dyDescent="0.25">
      <c r="B30" s="11"/>
      <c r="C30" s="14"/>
      <c r="D30" s="18"/>
      <c r="E30" s="11"/>
    </row>
    <row r="31" ht="15" customHeight="1" spans="2:5" x14ac:dyDescent="0.25">
      <c r="B31" s="11"/>
      <c r="C31" s="14"/>
      <c r="D31" s="18"/>
      <c r="E31" s="11"/>
    </row>
    <row r="32" ht="15" customHeight="1" spans="2:5" x14ac:dyDescent="0.25">
      <c r="B32" s="11"/>
      <c r="C32" s="14"/>
      <c r="D32" s="18"/>
      <c r="E32" s="11"/>
    </row>
    <row r="33" ht="15" customHeight="1" spans="2:5" x14ac:dyDescent="0.25">
      <c r="B33" s="11"/>
      <c r="C33" s="14"/>
      <c r="D33" s="18"/>
      <c r="E33" s="11"/>
    </row>
    <row r="34" ht="15" customHeight="1" spans="2:5" x14ac:dyDescent="0.25">
      <c r="B34" s="11"/>
      <c r="C34" s="14"/>
      <c r="D34" s="18"/>
      <c r="E34" s="11"/>
    </row>
    <row r="35" ht="15" customHeight="1" spans="2:5" x14ac:dyDescent="0.25">
      <c r="B35" s="11"/>
      <c r="C35" s="14"/>
      <c r="D35" s="18"/>
      <c r="E35" s="11"/>
    </row>
    <row r="36" ht="15" customHeight="1" spans="2:5" x14ac:dyDescent="0.25">
      <c r="B36" s="11"/>
      <c r="C36" s="14"/>
      <c r="D36" s="18"/>
      <c r="E36" s="11"/>
    </row>
    <row r="37" ht="15" customHeight="1" spans="2:5" x14ac:dyDescent="0.25">
      <c r="B37" s="11"/>
      <c r="C37" s="14"/>
      <c r="D37" s="18"/>
      <c r="E37" s="11"/>
    </row>
    <row r="38" ht="15" customHeight="1" spans="2:5" x14ac:dyDescent="0.25">
      <c r="B38" s="11"/>
      <c r="C38" s="14"/>
      <c r="D38" s="18"/>
      <c r="E38" s="11"/>
    </row>
    <row r="39" ht="15" customHeight="1" spans="2:5" x14ac:dyDescent="0.25">
      <c r="B39" s="11"/>
      <c r="C39" s="14"/>
      <c r="D39" s="18"/>
      <c r="E39" s="11"/>
    </row>
    <row r="40" ht="15" customHeight="1" spans="2:5" x14ac:dyDescent="0.25">
      <c r="B40" s="11"/>
      <c r="C40" s="14"/>
      <c r="D40" s="18"/>
      <c r="E40" s="11"/>
    </row>
    <row r="41" ht="15" customHeight="1" spans="2:5" x14ac:dyDescent="0.25">
      <c r="B41" s="11"/>
      <c r="C41" s="14"/>
      <c r="D41" s="18"/>
      <c r="E41" s="11"/>
    </row>
    <row r="42" ht="15" customHeight="1" spans="2:5" x14ac:dyDescent="0.25">
      <c r="B42" s="11"/>
      <c r="C42" s="14"/>
      <c r="D42" s="18"/>
      <c r="E42" s="11"/>
    </row>
    <row r="43" spans="2:4" x14ac:dyDescent="0.25">
      <c r="B43" s="22" t="s">
        <v>89</v>
      </c>
      <c r="D43" s="23">
        <f>SUM(D28:D42)</f>
      </c>
    </row>
    <row r="45" ht="18" customHeight="1" spans="2:8" x14ac:dyDescent="0.25">
      <c r="B45" s="4" t="s">
        <v>90</v>
      </c>
      <c r="C45" s="5"/>
      <c r="D45" s="5"/>
      <c r="E45" s="5"/>
      <c r="F45" s="5"/>
      <c r="G45" s="5"/>
      <c r="H45" s="5"/>
    </row>
    <row r="46" spans="2:3" x14ac:dyDescent="0.25">
      <c r="B46" s="7" t="s">
        <v>91</v>
      </c>
      <c r="C46" s="24">
        <f>E21</f>
      </c>
    </row>
    <row r="47" spans="2:3" x14ac:dyDescent="0.25">
      <c r="B47" s="7" t="s">
        <v>92</v>
      </c>
      <c r="C47" s="24">
        <f>D43</f>
      </c>
    </row>
    <row r="48" spans="2:3" x14ac:dyDescent="0.25">
      <c r="B48" s="22" t="s">
        <v>93</v>
      </c>
      <c r="C48" s="23">
        <f>E21-D43</f>
      </c>
    </row>
  </sheetData>
  <sheetProtection sheet="1" formatRows="0"/>
  <mergeCells count="4">
    <mergeCell ref="B1:H1"/>
    <mergeCell ref="B2:H2"/>
    <mergeCell ref="B7:H7"/>
    <mergeCell ref="B24:H24"/>
  </mergeCells>
  <dataValidations count="6">
    <dataValidation type="list" allowBlank="1" showErrorMessage="1" errorStyle="stop" errorTitle="Please choose a name" error="Please choose a name from the list (or Joint). The names come from the Client and family sheet." sqref="C11:C20">
      <formula1>'Lists'!$A$2:$A$4</formula1>
    </dataValidation>
    <dataValidation type="list" allowBlank="1" showErrorMessage="1" errorStyle="stop" errorTitle="Please choose from the list" error="Please choose one of the options in the list." sqref="C28:C42">
      <formula1>'Lists'!$L$2:$L$10</formula1>
    </dataValidation>
    <dataValidation type="list" allowBlank="1" showErrorMessage="1" errorStyle="stop" errorTitle="Please choose from the list" error="Please choose one of the options in the list." sqref="D11:D20">
      <formula1>'Lists'!$K$2:$K$9</formula1>
    </dataValidation>
    <dataValidation type="decimal" operator="greaterThanOrEqual" allowBlank="1" showErrorMessage="1" errorStyle="stop" errorTitle="Amount" error="Please type the amount in rand as a number, without R or spaces, e.g. 1250000." sqref="D28:D42">
      <formula1>0</formula1>
    </dataValidation>
    <dataValidation type="decimal" operator="greaterThanOrEqual" allowBlank="1" showErrorMessage="1" errorStyle="stop" errorTitle="Amount" error="Please type the amount in rand as a number, without R or spaces, e.g. 1250000." sqref="E11:F20">
      <formula1>0</formula1>
    </dataValidation>
    <dataValidation type="list" allowBlank="1" showErrorMessage="1" errorStyle="stop" errorTitle="Please choose from the list" error="Please choose one of the options in the list." sqref="G11:G20">
      <formula1>'Lists'!$F$2:$F$3</formula1>
    </dataValidation>
  </dataValidations>
  <printOptions horizontalCentered="1"/>
  <pageMargins left="0.4" right="0.4" top="0.5" bottom="0.6" header="0.25" footer="0.3"/>
  <pageSetup paperSize="9" orientation="landscape" horizontalDpi="4294967295" verticalDpi="4294967295" scale="100" fitToWidth="1" fitToHeight="0"/>
  <headerFooter>
    <oddFooter>&amp;L&amp;8&amp;"Arial"Duwalcoe Financial Consultants CC  ·  FSP 9978  ·  Fact find&amp;R&amp;8&amp;"Arial"&amp;A  ·  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70"/>
  <sheetViews>
    <sheetView workbookViewId="0" showGridLines="0">
      <pane ySplit="2" topLeftCell="A3" activePane="bottomLeft" state="frozen"/>
      <selection pane="bottomLeft"/>
    </sheetView>
  </sheetViews>
  <sheetFormatPr defaultRowHeight="15" outlineLevelRow="0" outlineLevelCol="0" x14ac:dyDescent="55"/>
  <cols>
    <col min="1" max="1" width="2" customWidth="1"/>
    <col min="2" max="2" width="34" customWidth="1"/>
    <col min="3" max="16" width="12.5" customWidth="1"/>
    <col min="17" max="17" width="24" customWidth="1"/>
    <col min="26" max="26" width="18" hidden="1" customWidth="1"/>
  </cols>
  <sheetData>
    <row r="1" ht="21.75" customHeight="1" spans="2:17" x14ac:dyDescent="0.25">
      <c r="B1" s="1" t="s">
        <v>0</v>
      </c>
      <c r="C1" s="1"/>
      <c r="D1" s="1"/>
      <c r="E1" s="1"/>
      <c r="F1" s="1"/>
      <c r="G1" s="1"/>
      <c r="H1" s="1"/>
      <c r="I1" s="1"/>
      <c r="J1" s="1"/>
      <c r="K1" s="1"/>
      <c r="L1" s="1"/>
      <c r="M1" s="1"/>
      <c r="N1" s="1"/>
      <c r="O1" s="1"/>
      <c r="P1" s="1"/>
      <c r="Q1" s="1"/>
    </row>
    <row r="2" ht="15" customHeight="1" spans="2:17" x14ac:dyDescent="0.25">
      <c r="B2" s="2" t="s">
        <v>1</v>
      </c>
      <c r="C2" s="2"/>
      <c r="D2" s="2"/>
      <c r="E2" s="2"/>
      <c r="F2" s="2"/>
      <c r="G2" s="2"/>
      <c r="H2" s="2"/>
      <c r="I2" s="2"/>
      <c r="J2" s="2"/>
      <c r="K2" s="2"/>
      <c r="L2" s="2"/>
      <c r="M2" s="2"/>
      <c r="N2" s="2"/>
      <c r="O2" s="2"/>
      <c r="P2" s="2"/>
      <c r="Q2" s="2"/>
    </row>
    <row r="4" ht="20" customHeight="1" spans="2:2" x14ac:dyDescent="0.25">
      <c r="B4" s="3" t="s">
        <v>94</v>
      </c>
    </row>
    <row r="5" ht="15" customHeight="1" spans="2:17" x14ac:dyDescent="0.25">
      <c r="B5" s="12" t="s">
        <v>95</v>
      </c>
      <c r="C5" s="12"/>
      <c r="D5" s="12"/>
      <c r="E5" s="12"/>
      <c r="F5" s="12"/>
      <c r="G5" s="12"/>
      <c r="H5" s="12"/>
      <c r="I5" s="12"/>
      <c r="J5" s="12"/>
      <c r="K5" s="12"/>
      <c r="L5" s="12"/>
      <c r="M5" s="12"/>
      <c r="N5" s="12"/>
      <c r="O5" s="12"/>
      <c r="P5" s="12"/>
      <c r="Q5" s="12"/>
    </row>
    <row r="7" ht="18" customHeight="1" spans="2:17" x14ac:dyDescent="0.25">
      <c r="B7" s="4" t="s">
        <v>96</v>
      </c>
      <c r="C7" s="5"/>
      <c r="D7" s="5"/>
      <c r="E7" s="5"/>
      <c r="F7" s="5"/>
      <c r="G7" s="5"/>
      <c r="H7" s="5"/>
      <c r="I7" s="5"/>
      <c r="J7" s="5"/>
      <c r="K7" s="5"/>
      <c r="L7" s="5"/>
      <c r="M7" s="5"/>
      <c r="N7" s="5"/>
      <c r="O7" s="5"/>
      <c r="P7" s="5"/>
      <c r="Q7" s="5"/>
    </row>
    <row r="8" ht="26" customHeight="1" spans="2:17" x14ac:dyDescent="0.25">
      <c r="B8" s="12" t="s">
        <v>97</v>
      </c>
      <c r="C8" s="12"/>
      <c r="D8" s="12"/>
      <c r="E8" s="12"/>
      <c r="F8" s="12"/>
      <c r="G8" s="12"/>
      <c r="H8" s="12"/>
      <c r="I8" s="12"/>
      <c r="J8" s="12"/>
      <c r="K8" s="12"/>
      <c r="L8" s="12"/>
      <c r="M8" s="12"/>
      <c r="N8" s="12"/>
      <c r="O8" s="12"/>
      <c r="P8" s="12"/>
      <c r="Q8" s="12"/>
    </row>
    <row r="9" hidden="1" spans="2:26" x14ac:dyDescent="0.25">
      <c r="B9" t="s">
        <v>62</v>
      </c>
      <c r="C9" t="s">
        <v>63</v>
      </c>
      <c r="D9" t="s">
        <v>98</v>
      </c>
      <c r="E9" t="s">
        <v>99</v>
      </c>
      <c r="F9" t="s">
        <v>100</v>
      </c>
      <c r="G9" t="s">
        <v>101</v>
      </c>
      <c r="H9" t="s">
        <v>102</v>
      </c>
      <c r="I9" t="s">
        <v>103</v>
      </c>
      <c r="J9" t="s">
        <v>104</v>
      </c>
      <c r="K9" t="s">
        <v>105</v>
      </c>
      <c r="L9" t="s">
        <v>106</v>
      </c>
      <c r="M9" t="s">
        <v>107</v>
      </c>
      <c r="N9" t="s">
        <v>108</v>
      </c>
      <c r="O9" t="s">
        <v>109</v>
      </c>
      <c r="P9" t="s">
        <v>110</v>
      </c>
      <c r="Q9" t="s">
        <v>68</v>
      </c>
      <c r="Z9" t="s">
        <v>51</v>
      </c>
    </row>
    <row r="10" ht="30" customHeight="1" spans="2:17" x14ac:dyDescent="0.25">
      <c r="B10" s="13" t="s">
        <v>111</v>
      </c>
      <c r="C10" s="13" t="s">
        <v>112</v>
      </c>
      <c r="D10" s="13" t="s">
        <v>113</v>
      </c>
      <c r="E10" s="13" t="s">
        <v>114</v>
      </c>
      <c r="F10" s="13" t="s">
        <v>115</v>
      </c>
      <c r="G10" s="13" t="s">
        <v>116</v>
      </c>
      <c r="H10" s="13" t="s">
        <v>117</v>
      </c>
      <c r="I10" s="13" t="s">
        <v>118</v>
      </c>
      <c r="J10" s="13" t="s">
        <v>119</v>
      </c>
      <c r="K10" s="13" t="s">
        <v>120</v>
      </c>
      <c r="L10" s="13" t="s">
        <v>121</v>
      </c>
      <c r="M10" s="13" t="s">
        <v>122</v>
      </c>
      <c r="N10" s="13" t="s">
        <v>123</v>
      </c>
      <c r="O10" s="13" t="s">
        <v>124</v>
      </c>
      <c r="P10" s="13" t="s">
        <v>125</v>
      </c>
      <c r="Q10" s="13" t="s">
        <v>74</v>
      </c>
    </row>
    <row r="11" spans="1:17" x14ac:dyDescent="0.25">
      <c r="B11" s="20" t="s">
        <v>126</v>
      </c>
      <c r="C11" s="20" t="s">
        <v>127</v>
      </c>
      <c r="D11" s="21">
        <v>3500000</v>
      </c>
      <c r="E11" s="25">
        <v>46295</v>
      </c>
      <c r="F11" s="21">
        <v>1800000</v>
      </c>
      <c r="G11" s="25">
        <v>41030</v>
      </c>
      <c r="H11" s="21">
        <v>1200000</v>
      </c>
      <c r="I11" s="21">
        <v>14500</v>
      </c>
      <c r="J11" s="21" t="s">
        <v>88</v>
      </c>
      <c r="K11" s="20" t="s">
        <v>77</v>
      </c>
      <c r="L11" s="20" t="s">
        <v>128</v>
      </c>
      <c r="M11" s="20" t="s">
        <v>88</v>
      </c>
      <c r="N11" s="20" t="s">
        <v>129</v>
      </c>
      <c r="O11" s="20" t="s">
        <v>129</v>
      </c>
      <c r="P11" s="20" t="s">
        <v>130</v>
      </c>
      <c r="Q11" s="20" t="s">
        <v>131</v>
      </c>
    </row>
    <row r="12" ht="15" customHeight="1" spans="2:17" x14ac:dyDescent="0.25">
      <c r="B12" s="11"/>
      <c r="C12" s="14"/>
      <c r="D12" s="18"/>
      <c r="E12" s="10"/>
      <c r="F12" s="18"/>
      <c r="G12" s="10"/>
      <c r="H12" s="18"/>
      <c r="I12" s="18"/>
      <c r="J12" s="18"/>
      <c r="K12" s="14"/>
      <c r="L12" s="14"/>
      <c r="M12" s="11"/>
      <c r="N12" s="14"/>
      <c r="O12" s="14"/>
      <c r="P12" s="14"/>
      <c r="Q12" s="11"/>
    </row>
    <row r="13" ht="15" customHeight="1" spans="2:17" x14ac:dyDescent="0.25">
      <c r="B13" s="11"/>
      <c r="C13" s="14"/>
      <c r="D13" s="18"/>
      <c r="E13" s="10"/>
      <c r="F13" s="18"/>
      <c r="G13" s="10"/>
      <c r="H13" s="18"/>
      <c r="I13" s="18"/>
      <c r="J13" s="18"/>
      <c r="K13" s="14"/>
      <c r="L13" s="14"/>
      <c r="M13" s="11"/>
      <c r="N13" s="14"/>
      <c r="O13" s="14"/>
      <c r="P13" s="14"/>
      <c r="Q13" s="11"/>
    </row>
    <row r="14" ht="15" customHeight="1" spans="2:17" x14ac:dyDescent="0.25">
      <c r="B14" s="11"/>
      <c r="C14" s="14"/>
      <c r="D14" s="18"/>
      <c r="E14" s="10"/>
      <c r="F14" s="18"/>
      <c r="G14" s="10"/>
      <c r="H14" s="18"/>
      <c r="I14" s="18"/>
      <c r="J14" s="18"/>
      <c r="K14" s="14"/>
      <c r="L14" s="14"/>
      <c r="M14" s="11"/>
      <c r="N14" s="14"/>
      <c r="O14" s="14"/>
      <c r="P14" s="14"/>
      <c r="Q14" s="11"/>
    </row>
    <row r="15" ht="15" customHeight="1" spans="2:17" x14ac:dyDescent="0.25">
      <c r="B15" s="11"/>
      <c r="C15" s="14"/>
      <c r="D15" s="18"/>
      <c r="E15" s="10"/>
      <c r="F15" s="18"/>
      <c r="G15" s="10"/>
      <c r="H15" s="18"/>
      <c r="I15" s="18"/>
      <c r="J15" s="18"/>
      <c r="K15" s="14"/>
      <c r="L15" s="14"/>
      <c r="M15" s="11"/>
      <c r="N15" s="14"/>
      <c r="O15" s="14"/>
      <c r="P15" s="14"/>
      <c r="Q15" s="11"/>
    </row>
    <row r="16" ht="15" customHeight="1" spans="2:17" x14ac:dyDescent="0.25">
      <c r="B16" s="11"/>
      <c r="C16" s="14"/>
      <c r="D16" s="18"/>
      <c r="E16" s="10"/>
      <c r="F16" s="18"/>
      <c r="G16" s="10"/>
      <c r="H16" s="18"/>
      <c r="I16" s="18"/>
      <c r="J16" s="18"/>
      <c r="K16" s="14"/>
      <c r="L16" s="14"/>
      <c r="M16" s="11"/>
      <c r="N16" s="14"/>
      <c r="O16" s="14"/>
      <c r="P16" s="14"/>
      <c r="Q16" s="11"/>
    </row>
    <row r="17" ht="15" customHeight="1" spans="2:17" x14ac:dyDescent="0.25">
      <c r="B17" s="11"/>
      <c r="C17" s="14"/>
      <c r="D17" s="18"/>
      <c r="E17" s="10"/>
      <c r="F17" s="18"/>
      <c r="G17" s="10"/>
      <c r="H17" s="18"/>
      <c r="I17" s="18"/>
      <c r="J17" s="18"/>
      <c r="K17" s="14"/>
      <c r="L17" s="14"/>
      <c r="M17" s="11"/>
      <c r="N17" s="14"/>
      <c r="O17" s="14"/>
      <c r="P17" s="14"/>
      <c r="Q17" s="11"/>
    </row>
    <row r="18" ht="15" customHeight="1" spans="2:17" x14ac:dyDescent="0.25">
      <c r="B18" s="11"/>
      <c r="C18" s="14"/>
      <c r="D18" s="18"/>
      <c r="E18" s="10"/>
      <c r="F18" s="18"/>
      <c r="G18" s="10"/>
      <c r="H18" s="18"/>
      <c r="I18" s="18"/>
      <c r="J18" s="18"/>
      <c r="K18" s="14"/>
      <c r="L18" s="14"/>
      <c r="M18" s="11"/>
      <c r="N18" s="14"/>
      <c r="O18" s="14"/>
      <c r="P18" s="14"/>
      <c r="Q18" s="11"/>
    </row>
    <row r="19" ht="15" customHeight="1" spans="2:17" x14ac:dyDescent="0.25">
      <c r="B19" s="11"/>
      <c r="C19" s="14"/>
      <c r="D19" s="18"/>
      <c r="E19" s="10"/>
      <c r="F19" s="18"/>
      <c r="G19" s="10"/>
      <c r="H19" s="18"/>
      <c r="I19" s="18"/>
      <c r="J19" s="18"/>
      <c r="K19" s="14"/>
      <c r="L19" s="14"/>
      <c r="M19" s="11"/>
      <c r="N19" s="14"/>
      <c r="O19" s="14"/>
      <c r="P19" s="14"/>
      <c r="Q19" s="11"/>
    </row>
    <row r="21" ht="18" customHeight="1" spans="2:17" x14ac:dyDescent="0.25">
      <c r="B21" s="4" t="s">
        <v>132</v>
      </c>
      <c r="C21" s="5"/>
      <c r="D21" s="5"/>
      <c r="E21" s="5"/>
      <c r="F21" s="5"/>
      <c r="G21" s="5"/>
      <c r="H21" s="5"/>
      <c r="I21" s="5"/>
      <c r="J21" s="5"/>
      <c r="K21" s="5"/>
      <c r="L21" s="5"/>
      <c r="M21" s="5"/>
      <c r="N21" s="5"/>
      <c r="O21" s="5"/>
      <c r="P21" s="5"/>
      <c r="Q21" s="5"/>
    </row>
    <row r="22" ht="15" customHeight="1" spans="2:17" x14ac:dyDescent="0.25">
      <c r="B22" s="12" t="s">
        <v>133</v>
      </c>
      <c r="C22" s="12"/>
      <c r="D22" s="12"/>
      <c r="E22" s="12"/>
      <c r="F22" s="12"/>
      <c r="G22" s="12"/>
      <c r="H22" s="12"/>
      <c r="I22" s="12"/>
      <c r="J22" s="12"/>
      <c r="K22" s="12"/>
      <c r="L22" s="12"/>
      <c r="M22" s="12"/>
      <c r="N22" s="12"/>
      <c r="O22" s="12"/>
      <c r="P22" s="12"/>
      <c r="Q22" s="12"/>
    </row>
    <row r="23" hidden="1" spans="2:26" x14ac:dyDescent="0.25">
      <c r="B23" t="s">
        <v>62</v>
      </c>
      <c r="C23" t="s">
        <v>63</v>
      </c>
      <c r="D23" t="s">
        <v>98</v>
      </c>
      <c r="E23" t="s">
        <v>134</v>
      </c>
      <c r="F23" t="s">
        <v>135</v>
      </c>
      <c r="G23" t="s">
        <v>106</v>
      </c>
      <c r="H23" t="s">
        <v>107</v>
      </c>
      <c r="I23" t="s">
        <v>108</v>
      </c>
      <c r="J23" t="s">
        <v>110</v>
      </c>
      <c r="K23" t="s">
        <v>68</v>
      </c>
      <c r="Z23" t="s">
        <v>51</v>
      </c>
    </row>
    <row r="24" ht="30" customHeight="1" spans="2:11" x14ac:dyDescent="0.25">
      <c r="B24" s="13" t="s">
        <v>136</v>
      </c>
      <c r="C24" s="13" t="s">
        <v>112</v>
      </c>
      <c r="D24" s="13" t="s">
        <v>137</v>
      </c>
      <c r="E24" s="13" t="s">
        <v>138</v>
      </c>
      <c r="F24" s="13" t="s">
        <v>139</v>
      </c>
      <c r="G24" s="13" t="s">
        <v>121</v>
      </c>
      <c r="H24" s="13" t="s">
        <v>122</v>
      </c>
      <c r="I24" s="13" t="s">
        <v>123</v>
      </c>
      <c r="J24" s="13" t="s">
        <v>125</v>
      </c>
      <c r="K24" s="13" t="s">
        <v>74</v>
      </c>
    </row>
    <row r="25" spans="1:11" x14ac:dyDescent="0.25">
      <c r="B25" s="20" t="s">
        <v>140</v>
      </c>
      <c r="C25" s="20">
        <f>'Lists'!$A$2</f>
      </c>
      <c r="D25" s="21">
        <v>520000</v>
      </c>
      <c r="E25" s="21">
        <v>180000</v>
      </c>
      <c r="F25" s="21">
        <v>9800</v>
      </c>
      <c r="G25" s="20" t="s">
        <v>128</v>
      </c>
      <c r="H25" s="20" t="s">
        <v>88</v>
      </c>
      <c r="I25" s="20" t="s">
        <v>129</v>
      </c>
      <c r="J25" s="20" t="s">
        <v>130</v>
      </c>
      <c r="K25" s="20" t="s">
        <v>88</v>
      </c>
    </row>
    <row r="26" ht="15" customHeight="1" spans="2:11" x14ac:dyDescent="0.25">
      <c r="B26" s="11"/>
      <c r="C26" s="14"/>
      <c r="D26" s="18"/>
      <c r="E26" s="18"/>
      <c r="F26" s="18"/>
      <c r="G26" s="14"/>
      <c r="H26" s="11"/>
      <c r="I26" s="14"/>
      <c r="J26" s="14"/>
      <c r="K26" s="11"/>
    </row>
    <row r="27" ht="15" customHeight="1" spans="2:11" x14ac:dyDescent="0.25">
      <c r="B27" s="11"/>
      <c r="C27" s="14"/>
      <c r="D27" s="18"/>
      <c r="E27" s="18"/>
      <c r="F27" s="18"/>
      <c r="G27" s="14"/>
      <c r="H27" s="11"/>
      <c r="I27" s="14"/>
      <c r="J27" s="14"/>
      <c r="K27" s="11"/>
    </row>
    <row r="28" ht="15" customHeight="1" spans="2:11" x14ac:dyDescent="0.25">
      <c r="B28" s="11"/>
      <c r="C28" s="14"/>
      <c r="D28" s="18"/>
      <c r="E28" s="18"/>
      <c r="F28" s="18"/>
      <c r="G28" s="14"/>
      <c r="H28" s="11"/>
      <c r="I28" s="14"/>
      <c r="J28" s="14"/>
      <c r="K28" s="11"/>
    </row>
    <row r="29" ht="15" customHeight="1" spans="2:11" x14ac:dyDescent="0.25">
      <c r="B29" s="11"/>
      <c r="C29" s="14"/>
      <c r="D29" s="18"/>
      <c r="E29" s="18"/>
      <c r="F29" s="18"/>
      <c r="G29" s="14"/>
      <c r="H29" s="11"/>
      <c r="I29" s="14"/>
      <c r="J29" s="14"/>
      <c r="K29" s="11"/>
    </row>
    <row r="30" ht="15" customHeight="1" spans="2:11" x14ac:dyDescent="0.25">
      <c r="B30" s="11"/>
      <c r="C30" s="14"/>
      <c r="D30" s="18"/>
      <c r="E30" s="18"/>
      <c r="F30" s="18"/>
      <c r="G30" s="14"/>
      <c r="H30" s="11"/>
      <c r="I30" s="14"/>
      <c r="J30" s="14"/>
      <c r="K30" s="11"/>
    </row>
    <row r="31" ht="15" customHeight="1" spans="2:11" x14ac:dyDescent="0.25">
      <c r="B31" s="11"/>
      <c r="C31" s="14"/>
      <c r="D31" s="18"/>
      <c r="E31" s="18"/>
      <c r="F31" s="18"/>
      <c r="G31" s="14"/>
      <c r="H31" s="11"/>
      <c r="I31" s="14"/>
      <c r="J31" s="14"/>
      <c r="K31" s="11"/>
    </row>
    <row r="33" ht="18" customHeight="1" spans="2:17" x14ac:dyDescent="0.25">
      <c r="B33" s="4" t="s">
        <v>141</v>
      </c>
      <c r="C33" s="5"/>
      <c r="D33" s="5"/>
      <c r="E33" s="5"/>
      <c r="F33" s="5"/>
      <c r="G33" s="5"/>
      <c r="H33" s="5"/>
      <c r="I33" s="5"/>
      <c r="J33" s="5"/>
      <c r="K33" s="5"/>
      <c r="L33" s="5"/>
      <c r="M33" s="5"/>
      <c r="N33" s="5"/>
      <c r="O33" s="5"/>
      <c r="P33" s="5"/>
      <c r="Q33" s="5"/>
    </row>
    <row r="34" ht="26" customHeight="1" spans="2:17" x14ac:dyDescent="0.25">
      <c r="B34" s="12" t="s">
        <v>142</v>
      </c>
      <c r="C34" s="12"/>
      <c r="D34" s="12"/>
      <c r="E34" s="12"/>
      <c r="F34" s="12"/>
      <c r="G34" s="12"/>
      <c r="H34" s="12"/>
      <c r="I34" s="12"/>
      <c r="J34" s="12"/>
      <c r="K34" s="12"/>
      <c r="L34" s="12"/>
      <c r="M34" s="12"/>
      <c r="N34" s="12"/>
      <c r="O34" s="12"/>
      <c r="P34" s="12"/>
      <c r="Q34" s="12"/>
    </row>
    <row r="35" hidden="1" spans="2:26" x14ac:dyDescent="0.25">
      <c r="B35" t="s">
        <v>62</v>
      </c>
      <c r="C35" t="s">
        <v>63</v>
      </c>
      <c r="D35" t="s">
        <v>143</v>
      </c>
      <c r="E35" t="s">
        <v>98</v>
      </c>
      <c r="F35" t="s">
        <v>100</v>
      </c>
      <c r="G35" t="s">
        <v>101</v>
      </c>
      <c r="H35" t="s">
        <v>106</v>
      </c>
      <c r="I35" t="s">
        <v>107</v>
      </c>
      <c r="J35" t="s">
        <v>110</v>
      </c>
      <c r="K35" t="s">
        <v>68</v>
      </c>
      <c r="Z35" t="s">
        <v>51</v>
      </c>
    </row>
    <row r="36" ht="30" customHeight="1" spans="2:11" x14ac:dyDescent="0.25">
      <c r="B36" s="13" t="s">
        <v>83</v>
      </c>
      <c r="C36" s="13" t="s">
        <v>112</v>
      </c>
      <c r="D36" s="13" t="s">
        <v>49</v>
      </c>
      <c r="E36" s="13" t="s">
        <v>137</v>
      </c>
      <c r="F36" s="13" t="s">
        <v>144</v>
      </c>
      <c r="G36" s="13" t="s">
        <v>145</v>
      </c>
      <c r="H36" s="13" t="s">
        <v>121</v>
      </c>
      <c r="I36" s="13" t="s">
        <v>122</v>
      </c>
      <c r="J36" s="13" t="s">
        <v>125</v>
      </c>
      <c r="K36" s="13" t="s">
        <v>74</v>
      </c>
    </row>
    <row r="37" spans="1:11" x14ac:dyDescent="0.25">
      <c r="B37" s="20" t="s">
        <v>146</v>
      </c>
      <c r="C37" s="20">
        <f>'Lists'!$A$2</f>
      </c>
      <c r="D37" s="20" t="s">
        <v>147</v>
      </c>
      <c r="E37" s="21">
        <v>85000</v>
      </c>
      <c r="F37" s="21" t="s">
        <v>88</v>
      </c>
      <c r="G37" s="25" t="s">
        <v>88</v>
      </c>
      <c r="H37" s="20" t="s">
        <v>148</v>
      </c>
      <c r="I37" s="20" t="s">
        <v>88</v>
      </c>
      <c r="J37" s="20" t="s">
        <v>149</v>
      </c>
      <c r="K37" s="20" t="s">
        <v>88</v>
      </c>
    </row>
    <row r="38" ht="15" customHeight="1" spans="2:11" x14ac:dyDescent="0.25">
      <c r="B38" s="11"/>
      <c r="C38" s="14"/>
      <c r="D38" s="14"/>
      <c r="E38" s="18"/>
      <c r="F38" s="18"/>
      <c r="G38" s="10"/>
      <c r="H38" s="14"/>
      <c r="I38" s="11"/>
      <c r="J38" s="14"/>
      <c r="K38" s="11"/>
    </row>
    <row r="39" ht="15" customHeight="1" spans="2:11" x14ac:dyDescent="0.25">
      <c r="B39" s="11"/>
      <c r="C39" s="14"/>
      <c r="D39" s="14"/>
      <c r="E39" s="18"/>
      <c r="F39" s="18"/>
      <c r="G39" s="10"/>
      <c r="H39" s="14"/>
      <c r="I39" s="11"/>
      <c r="J39" s="14"/>
      <c r="K39" s="11"/>
    </row>
    <row r="40" ht="15" customHeight="1" spans="2:11" x14ac:dyDescent="0.25">
      <c r="B40" s="11"/>
      <c r="C40" s="14"/>
      <c r="D40" s="14"/>
      <c r="E40" s="18"/>
      <c r="F40" s="18"/>
      <c r="G40" s="10"/>
      <c r="H40" s="14"/>
      <c r="I40" s="11"/>
      <c r="J40" s="14"/>
      <c r="K40" s="11"/>
    </row>
    <row r="41" ht="15" customHeight="1" spans="2:11" x14ac:dyDescent="0.25">
      <c r="B41" s="11"/>
      <c r="C41" s="14"/>
      <c r="D41" s="14"/>
      <c r="E41" s="18"/>
      <c r="F41" s="18"/>
      <c r="G41" s="10"/>
      <c r="H41" s="14"/>
      <c r="I41" s="11"/>
      <c r="J41" s="14"/>
      <c r="K41" s="11"/>
    </row>
    <row r="42" ht="15" customHeight="1" spans="2:11" x14ac:dyDescent="0.25">
      <c r="B42" s="11"/>
      <c r="C42" s="14"/>
      <c r="D42" s="14"/>
      <c r="E42" s="18"/>
      <c r="F42" s="18"/>
      <c r="G42" s="10"/>
      <c r="H42" s="14"/>
      <c r="I42" s="11"/>
      <c r="J42" s="14"/>
      <c r="K42" s="11"/>
    </row>
    <row r="43" ht="15" customHeight="1" spans="2:11" x14ac:dyDescent="0.25">
      <c r="B43" s="11"/>
      <c r="C43" s="14"/>
      <c r="D43" s="14"/>
      <c r="E43" s="18"/>
      <c r="F43" s="18"/>
      <c r="G43" s="10"/>
      <c r="H43" s="14"/>
      <c r="I43" s="11"/>
      <c r="J43" s="14"/>
      <c r="K43" s="11"/>
    </row>
    <row r="44" ht="15" customHeight="1" spans="2:11" x14ac:dyDescent="0.25">
      <c r="B44" s="11"/>
      <c r="C44" s="14"/>
      <c r="D44" s="14"/>
      <c r="E44" s="18"/>
      <c r="F44" s="18"/>
      <c r="G44" s="10"/>
      <c r="H44" s="14"/>
      <c r="I44" s="11"/>
      <c r="J44" s="14"/>
      <c r="K44" s="11"/>
    </row>
    <row r="45" ht="15" customHeight="1" spans="2:11" x14ac:dyDescent="0.25">
      <c r="B45" s="11"/>
      <c r="C45" s="14"/>
      <c r="D45" s="14"/>
      <c r="E45" s="18"/>
      <c r="F45" s="18"/>
      <c r="G45" s="10"/>
      <c r="H45" s="14"/>
      <c r="I45" s="11"/>
      <c r="J45" s="14"/>
      <c r="K45" s="11"/>
    </row>
    <row r="46" ht="15" customHeight="1" spans="2:11" x14ac:dyDescent="0.25">
      <c r="B46" s="11"/>
      <c r="C46" s="14"/>
      <c r="D46" s="14"/>
      <c r="E46" s="18"/>
      <c r="F46" s="18"/>
      <c r="G46" s="10"/>
      <c r="H46" s="14"/>
      <c r="I46" s="11"/>
      <c r="J46" s="14"/>
      <c r="K46" s="11"/>
    </row>
    <row r="47" ht="15" customHeight="1" spans="2:11" x14ac:dyDescent="0.25">
      <c r="B47" s="11"/>
      <c r="C47" s="14"/>
      <c r="D47" s="14"/>
      <c r="E47" s="18"/>
      <c r="F47" s="18"/>
      <c r="G47" s="10"/>
      <c r="H47" s="14"/>
      <c r="I47" s="11"/>
      <c r="J47" s="14"/>
      <c r="K47" s="11"/>
    </row>
    <row r="48" ht="15" customHeight="1" spans="2:11" x14ac:dyDescent="0.25">
      <c r="B48" s="11"/>
      <c r="C48" s="14"/>
      <c r="D48" s="14"/>
      <c r="E48" s="18"/>
      <c r="F48" s="18"/>
      <c r="G48" s="10"/>
      <c r="H48" s="14"/>
      <c r="I48" s="11"/>
      <c r="J48" s="14"/>
      <c r="K48" s="11"/>
    </row>
    <row r="49" ht="15" customHeight="1" spans="2:11" x14ac:dyDescent="0.25">
      <c r="B49" s="11"/>
      <c r="C49" s="14"/>
      <c r="D49" s="14"/>
      <c r="E49" s="18"/>
      <c r="F49" s="18"/>
      <c r="G49" s="10"/>
      <c r="H49" s="14"/>
      <c r="I49" s="11"/>
      <c r="J49" s="14"/>
      <c r="K49" s="11"/>
    </row>
    <row r="50" ht="15" customHeight="1" spans="2:11" x14ac:dyDescent="0.25">
      <c r="B50" s="11"/>
      <c r="C50" s="14"/>
      <c r="D50" s="14"/>
      <c r="E50" s="18"/>
      <c r="F50" s="18"/>
      <c r="G50" s="10"/>
      <c r="H50" s="14"/>
      <c r="I50" s="11"/>
      <c r="J50" s="14"/>
      <c r="K50" s="11"/>
    </row>
    <row r="51" ht="15" customHeight="1" spans="2:11" x14ac:dyDescent="0.25">
      <c r="B51" s="11"/>
      <c r="C51" s="14"/>
      <c r="D51" s="14"/>
      <c r="E51" s="18"/>
      <c r="F51" s="18"/>
      <c r="G51" s="10"/>
      <c r="H51" s="14"/>
      <c r="I51" s="11"/>
      <c r="J51" s="14"/>
      <c r="K51" s="11"/>
    </row>
    <row r="52" ht="15" customHeight="1" spans="2:11" x14ac:dyDescent="0.25">
      <c r="B52" s="11"/>
      <c r="C52" s="14"/>
      <c r="D52" s="14"/>
      <c r="E52" s="18"/>
      <c r="F52" s="18"/>
      <c r="G52" s="10"/>
      <c r="H52" s="14"/>
      <c r="I52" s="11"/>
      <c r="J52" s="14"/>
      <c r="K52" s="11"/>
    </row>
    <row r="54" ht="18" customHeight="1" spans="2:17" x14ac:dyDescent="0.25">
      <c r="B54" s="4" t="s">
        <v>150</v>
      </c>
      <c r="C54" s="5"/>
      <c r="D54" s="5"/>
      <c r="E54" s="5"/>
      <c r="F54" s="5"/>
      <c r="G54" s="5"/>
      <c r="H54" s="5"/>
      <c r="I54" s="5"/>
      <c r="J54" s="5"/>
      <c r="K54" s="5"/>
      <c r="L54" s="5"/>
      <c r="M54" s="5"/>
      <c r="N54" s="5"/>
      <c r="O54" s="5"/>
      <c r="P54" s="5"/>
      <c r="Q54" s="5"/>
    </row>
    <row r="55" ht="15" customHeight="1" spans="2:17" x14ac:dyDescent="0.25">
      <c r="B55" s="12" t="s">
        <v>151</v>
      </c>
      <c r="C55" s="12"/>
      <c r="D55" s="12"/>
      <c r="E55" s="12"/>
      <c r="F55" s="12"/>
      <c r="G55" s="12"/>
      <c r="H55" s="12"/>
      <c r="I55" s="12"/>
      <c r="J55" s="12"/>
      <c r="K55" s="12"/>
      <c r="L55" s="12"/>
      <c r="M55" s="12"/>
      <c r="N55" s="12"/>
      <c r="O55" s="12"/>
      <c r="P55" s="12"/>
      <c r="Q55" s="12"/>
    </row>
    <row r="56" hidden="1" spans="2:26" x14ac:dyDescent="0.25">
      <c r="B56" t="s">
        <v>62</v>
      </c>
      <c r="C56" t="s">
        <v>63</v>
      </c>
      <c r="D56" t="s">
        <v>152</v>
      </c>
      <c r="E56" t="s">
        <v>153</v>
      </c>
      <c r="F56" t="s">
        <v>154</v>
      </c>
      <c r="G56" t="s">
        <v>155</v>
      </c>
      <c r="H56" t="s">
        <v>156</v>
      </c>
      <c r="I56" t="s">
        <v>110</v>
      </c>
      <c r="J56" t="s">
        <v>68</v>
      </c>
      <c r="Z56" t="s">
        <v>51</v>
      </c>
    </row>
    <row r="57" ht="30" customHeight="1" spans="2:10" x14ac:dyDescent="0.25">
      <c r="B57" s="13" t="s">
        <v>157</v>
      </c>
      <c r="C57" s="13" t="s">
        <v>158</v>
      </c>
      <c r="D57" s="13" t="s">
        <v>49</v>
      </c>
      <c r="E57" s="13" t="s">
        <v>159</v>
      </c>
      <c r="F57" s="13" t="s">
        <v>160</v>
      </c>
      <c r="G57" s="13" t="s">
        <v>161</v>
      </c>
      <c r="H57" s="13" t="s">
        <v>162</v>
      </c>
      <c r="I57" s="13" t="s">
        <v>125</v>
      </c>
      <c r="J57" s="13" t="s">
        <v>74</v>
      </c>
    </row>
    <row r="58" spans="1:10" x14ac:dyDescent="0.25">
      <c r="B58" s="20" t="s">
        <v>163</v>
      </c>
      <c r="C58" s="20">
        <f>'Lists'!$A$2</f>
      </c>
      <c r="D58" s="20" t="s">
        <v>164</v>
      </c>
      <c r="E58" s="21">
        <v>25000</v>
      </c>
      <c r="F58" s="20">
        <v>19.5</v>
      </c>
      <c r="G58" s="21">
        <v>1500</v>
      </c>
      <c r="H58" s="20" t="s">
        <v>77</v>
      </c>
      <c r="I58" s="20" t="s">
        <v>149</v>
      </c>
      <c r="J58" s="20" t="s">
        <v>88</v>
      </c>
    </row>
    <row r="59" ht="15" customHeight="1" spans="2:10" x14ac:dyDescent="0.25">
      <c r="B59" s="11"/>
      <c r="C59" s="14"/>
      <c r="D59" s="14"/>
      <c r="E59" s="18"/>
      <c r="F59" s="26"/>
      <c r="G59" s="18"/>
      <c r="H59" s="14"/>
      <c r="I59" s="14"/>
      <c r="J59" s="11"/>
    </row>
    <row r="60" ht="15" customHeight="1" spans="2:10" x14ac:dyDescent="0.25">
      <c r="B60" s="11"/>
      <c r="C60" s="14"/>
      <c r="D60" s="14"/>
      <c r="E60" s="18"/>
      <c r="F60" s="26"/>
      <c r="G60" s="18"/>
      <c r="H60" s="14"/>
      <c r="I60" s="14"/>
      <c r="J60" s="11"/>
    </row>
    <row r="61" ht="15" customHeight="1" spans="2:10" x14ac:dyDescent="0.25">
      <c r="B61" s="11"/>
      <c r="C61" s="14"/>
      <c r="D61" s="14"/>
      <c r="E61" s="18"/>
      <c r="F61" s="26"/>
      <c r="G61" s="18"/>
      <c r="H61" s="14"/>
      <c r="I61" s="14"/>
      <c r="J61" s="11"/>
    </row>
    <row r="62" ht="15" customHeight="1" spans="2:10" x14ac:dyDescent="0.25">
      <c r="B62" s="11"/>
      <c r="C62" s="14"/>
      <c r="D62" s="14"/>
      <c r="E62" s="18"/>
      <c r="F62" s="26"/>
      <c r="G62" s="18"/>
      <c r="H62" s="14"/>
      <c r="I62" s="14"/>
      <c r="J62" s="11"/>
    </row>
    <row r="63" ht="15" customHeight="1" spans="2:10" x14ac:dyDescent="0.25">
      <c r="B63" s="11"/>
      <c r="C63" s="14"/>
      <c r="D63" s="14"/>
      <c r="E63" s="18"/>
      <c r="F63" s="26"/>
      <c r="G63" s="18"/>
      <c r="H63" s="14"/>
      <c r="I63" s="14"/>
      <c r="J63" s="11"/>
    </row>
    <row r="64" ht="15" customHeight="1" spans="2:10" x14ac:dyDescent="0.25">
      <c r="B64" s="11"/>
      <c r="C64" s="14"/>
      <c r="D64" s="14"/>
      <c r="E64" s="18"/>
      <c r="F64" s="26"/>
      <c r="G64" s="18"/>
      <c r="H64" s="14"/>
      <c r="I64" s="14"/>
      <c r="J64" s="11"/>
    </row>
    <row r="65" ht="15" customHeight="1" spans="2:10" x14ac:dyDescent="0.25">
      <c r="B65" s="11"/>
      <c r="C65" s="14"/>
      <c r="D65" s="14"/>
      <c r="E65" s="18"/>
      <c r="F65" s="26"/>
      <c r="G65" s="18"/>
      <c r="H65" s="14"/>
      <c r="I65" s="14"/>
      <c r="J65" s="11"/>
    </row>
    <row r="66" ht="15" customHeight="1" spans="2:10" x14ac:dyDescent="0.25">
      <c r="B66" s="11"/>
      <c r="C66" s="14"/>
      <c r="D66" s="14"/>
      <c r="E66" s="18"/>
      <c r="F66" s="26"/>
      <c r="G66" s="18"/>
      <c r="H66" s="14"/>
      <c r="I66" s="14"/>
      <c r="J66" s="11"/>
    </row>
    <row r="67" ht="15" customHeight="1" spans="2:10" x14ac:dyDescent="0.25">
      <c r="B67" s="11"/>
      <c r="C67" s="14"/>
      <c r="D67" s="14"/>
      <c r="E67" s="18"/>
      <c r="F67" s="26"/>
      <c r="G67" s="18"/>
      <c r="H67" s="14"/>
      <c r="I67" s="14"/>
      <c r="J67" s="11"/>
    </row>
    <row r="68" ht="15" customHeight="1" spans="2:10" x14ac:dyDescent="0.25">
      <c r="B68" s="11"/>
      <c r="C68" s="14"/>
      <c r="D68" s="14"/>
      <c r="E68" s="18"/>
      <c r="F68" s="26"/>
      <c r="G68" s="18"/>
      <c r="H68" s="14"/>
      <c r="I68" s="14"/>
      <c r="J68" s="11"/>
    </row>
    <row r="69" ht="15" customHeight="1" spans="2:10" x14ac:dyDescent="0.25">
      <c r="B69" s="11"/>
      <c r="C69" s="14"/>
      <c r="D69" s="14"/>
      <c r="E69" s="18"/>
      <c r="F69" s="26"/>
      <c r="G69" s="18"/>
      <c r="H69" s="14"/>
      <c r="I69" s="14"/>
      <c r="J69" s="11"/>
    </row>
    <row r="70" ht="15" customHeight="1" spans="2:10" x14ac:dyDescent="0.25">
      <c r="B70" s="11"/>
      <c r="C70" s="14"/>
      <c r="D70" s="14"/>
      <c r="E70" s="18"/>
      <c r="F70" s="26"/>
      <c r="G70" s="18"/>
      <c r="H70" s="14"/>
      <c r="I70" s="14"/>
      <c r="J70" s="11"/>
    </row>
  </sheetData>
  <sheetProtection sheet="1" formatRows="0"/>
  <mergeCells count="7">
    <mergeCell ref="B1:Q1"/>
    <mergeCell ref="B2:Q2"/>
    <mergeCell ref="B5:Q5"/>
    <mergeCell ref="B8:Q8"/>
    <mergeCell ref="B22:Q22"/>
    <mergeCell ref="B34:Q34"/>
    <mergeCell ref="B55:Q55"/>
  </mergeCells>
  <dataValidations count="28">
    <dataValidation type="list" allowBlank="1" showErrorMessage="1" errorStyle="stop" errorTitle="Please choose a name" error="Please choose a name from the list (or Joint). The names come from the Client and family sheet." sqref="C12:C19">
      <formula1>'Lists'!$A$2:$A$4</formula1>
    </dataValidation>
    <dataValidation type="list" allowBlank="1" showErrorMessage="1" errorStyle="stop" errorTitle="Please choose a name" error="Please choose a name from the list (or Joint). The names come from the Client and family sheet." sqref="C26:C31">
      <formula1>'Lists'!$A$2:$A$4</formula1>
    </dataValidation>
    <dataValidation type="list" allowBlank="1" showErrorMessage="1" errorStyle="stop" errorTitle="Please choose a name" error="Please choose a name from the list (or Joint). The names come from the Client and family sheet." sqref="C38:C52">
      <formula1>'Lists'!$A$2:$A$4</formula1>
    </dataValidation>
    <dataValidation type="list" allowBlank="1" showErrorMessage="1" errorStyle="stop" errorTitle="Please choose a name" error="Please choose a name from the list (or Joint). The names come from the Client and family sheet." sqref="C59:C70">
      <formula1>'Lists'!$A$2:$A$4</formula1>
    </dataValidation>
    <dataValidation type="decimal" operator="greaterThanOrEqual" allowBlank="1" showErrorMessage="1" errorStyle="stop" errorTitle="Amount" error="Please type the amount in rand as a number, without R or spaces, e.g. 1250000." sqref="D12:D19">
      <formula1>0</formula1>
    </dataValidation>
    <dataValidation type="decimal" operator="greaterThanOrEqual" allowBlank="1" showErrorMessage="1" errorStyle="stop" errorTitle="Amount" error="Please type the amount in rand as a number, without R or spaces, e.g. 1250000." sqref="D26:F31">
      <formula1>0</formula1>
    </dataValidation>
    <dataValidation type="list" allowBlank="1" showErrorMessage="1" errorStyle="stop" errorTitle="Please choose from the list" error="Please choose one of the options in the list." sqref="D38:D52">
      <formula1>'Lists'!$N$2:$N$10</formula1>
    </dataValidation>
    <dataValidation type="list" allowBlank="1" showErrorMessage="1" errorStyle="stop" errorTitle="Please choose from the list" error="Please choose one of the options in the list." sqref="D59:D70">
      <formula1>'Lists'!$M$2:$M$10</formula1>
    </dataValidation>
    <dataValidation type="date" allowBlank="1" showErrorMessage="1" errorStyle="stop" errorTitle="Date" error="Please type a date like 2012-03-31. If you only know the year, type the 1st of January of that year and say so in Notes." sqref="E12:E19">
      <formula1>7306</formula1>
      <formula2>73415</formula2>
    </dataValidation>
    <dataValidation type="decimal" operator="greaterThanOrEqual" allowBlank="1" showErrorMessage="1" errorStyle="stop" errorTitle="Amount" error="Please type the amount in rand as a number, without R or spaces, e.g. 1250000." sqref="E38:F52">
      <formula1>0</formula1>
    </dataValidation>
    <dataValidation type="decimal" operator="greaterThanOrEqual" allowBlank="1" showErrorMessage="1" errorStyle="stop" errorTitle="Amount" error="Please type the amount in rand as a number, without R or spaces, e.g. 1250000." sqref="E59:E70">
      <formula1>0</formula1>
    </dataValidation>
    <dataValidation type="decimal" operator="greaterThanOrEqual" allowBlank="1" showErrorMessage="1" errorStyle="stop" errorTitle="Amount" error="Please type the amount in rand as a number, without R or spaces, e.g. 1250000." sqref="F12:F19">
      <formula1>0</formula1>
    </dataValidation>
    <dataValidation type="decimal" allowBlank="1" showErrorMessage="1" errorStyle="stop" errorTitle="Number" error="Please type a number." sqref="F59:F70">
      <formula1>0</formula1>
      <formula2>1000</formula2>
    </dataValidation>
    <dataValidation type="date" allowBlank="1" showErrorMessage="1" errorStyle="stop" errorTitle="Date" error="Please type a date like 2012-03-31. If you only know the year, type the 1st of January of that year and say so in Notes." sqref="G12:G19">
      <formula1>7306</formula1>
      <formula2>73415</formula2>
    </dataValidation>
    <dataValidation type="list" allowBlank="1" showErrorMessage="1" errorStyle="stop" errorTitle="Please choose from the list" error="Please choose one of the options in the list." sqref="G26:G31">
      <formula1>'Lists'!$U$2:$U$4</formula1>
    </dataValidation>
    <dataValidation type="date" allowBlank="1" showErrorMessage="1" errorStyle="stop" errorTitle="Date" error="Please type a date like 2012-03-31. If you only know the year, type the 1st of January of that year and say so in Notes." sqref="G38:G52">
      <formula1>7306</formula1>
      <formula2>73415</formula2>
    </dataValidation>
    <dataValidation type="decimal" operator="greaterThanOrEqual" allowBlank="1" showErrorMessage="1" errorStyle="stop" errorTitle="Amount" error="Please type the amount in rand as a number, without R or spaces, e.g. 1250000." sqref="G59:G70">
      <formula1>0</formula1>
    </dataValidation>
    <dataValidation type="decimal" operator="greaterThanOrEqual" allowBlank="1" showErrorMessage="1" errorStyle="stop" errorTitle="Amount" error="Please type the amount in rand as a number, without R or spaces, e.g. 1250000." sqref="H12:J19">
      <formula1>0</formula1>
    </dataValidation>
    <dataValidation type="list" allowBlank="1" showErrorMessage="1" errorStyle="stop" errorTitle="Please choose from the list" error="Please choose one of the options in the list." sqref="H38:H52">
      <formula1>'Lists'!$U$2:$U$4</formula1>
    </dataValidation>
    <dataValidation type="list" allowBlank="1" showErrorMessage="1" errorStyle="stop" errorTitle="Please choose from the list" error="Please choose one of the options in the list." sqref="H59:H70">
      <formula1>'Lists'!$F$2:$F$3</formula1>
    </dataValidation>
    <dataValidation type="list" allowBlank="1" showErrorMessage="1" errorStyle="stop" errorTitle="Please choose from the list" error="Please choose one of the options in the list." sqref="I26:I31">
      <formula1>'Lists'!$F$2:$F$3</formula1>
    </dataValidation>
    <dataValidation type="list" allowBlank="1" showErrorMessage="1" errorStyle="stop" errorTitle="Please choose from the list" error="Please choose one of the options in the list." sqref="I59:I70">
      <formula1>'Lists'!$T$2:$T$5</formula1>
    </dataValidation>
    <dataValidation type="list" allowBlank="1" showErrorMessage="1" errorStyle="stop" errorTitle="Please choose from the list" error="Please choose one of the options in the list." sqref="J26:J31">
      <formula1>'Lists'!$T$2:$T$5</formula1>
    </dataValidation>
    <dataValidation type="list" allowBlank="1" showErrorMessage="1" errorStyle="stop" errorTitle="Please choose from the list" error="Please choose one of the options in the list." sqref="J38:J52">
      <formula1>'Lists'!$T$2:$T$5</formula1>
    </dataValidation>
    <dataValidation type="list" allowBlank="1" showErrorMessage="1" errorStyle="stop" errorTitle="Please choose from the list" error="Please choose one of the options in the list." sqref="K12:K19">
      <formula1>'Lists'!$F$2:$F$3</formula1>
    </dataValidation>
    <dataValidation type="list" allowBlank="1" showErrorMessage="1" errorStyle="stop" errorTitle="Please choose from the list" error="Please choose one of the options in the list." sqref="L12:L19">
      <formula1>'Lists'!$U$2:$U$4</formula1>
    </dataValidation>
    <dataValidation type="list" allowBlank="1" showErrorMessage="1" errorStyle="stop" errorTitle="Please choose from the list" error="Please choose one of the options in the list." sqref="N12:O19">
      <formula1>'Lists'!$F$2:$F$3</formula1>
    </dataValidation>
    <dataValidation type="list" allowBlank="1" showErrorMessage="1" errorStyle="stop" errorTitle="Please choose from the list" error="Please choose one of the options in the list." sqref="P12:P19">
      <formula1>'Lists'!$T$2:$T$5</formula1>
    </dataValidation>
  </dataValidations>
  <printOptions horizontalCentered="1"/>
  <pageMargins left="0.4" right="0.4" top="0.5" bottom="0.6" header="0.25" footer="0.3"/>
  <pageSetup paperSize="9" orientation="landscape" horizontalDpi="4294967295" verticalDpi="4294967295" scale="100" fitToWidth="1" fitToHeight="0"/>
  <headerFooter>
    <oddFooter>&amp;L&amp;8&amp;"Arial"Duwalcoe Financial Consultants CC  ·  FSP 9978  ·  Fact find&amp;R&amp;8&amp;"Arial"&amp;A  ·  page &amp;P</oddFooter>
  </headerFooter>
  <rowBreaks count="1" manualBreakCount="1">
    <brk id="53" max="1683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85"/>
  <sheetViews>
    <sheetView workbookViewId="0" showGridLines="0">
      <pane ySplit="2" topLeftCell="A3" activePane="bottomLeft" state="frozen"/>
      <selection pane="bottomLeft"/>
    </sheetView>
  </sheetViews>
  <sheetFormatPr defaultRowHeight="15" outlineLevelRow="0" outlineLevelCol="0" x14ac:dyDescent="55"/>
  <cols>
    <col min="1" max="1" width="2" customWidth="1"/>
    <col min="2" max="2" width="46" customWidth="1"/>
    <col min="3" max="4" width="22" customWidth="1"/>
    <col min="5" max="5" width="16" customWidth="1"/>
    <col min="6" max="6" width="14" customWidth="1"/>
    <col min="7" max="7" width="30" customWidth="1"/>
    <col min="26" max="26" width="18" hidden="1" customWidth="1"/>
  </cols>
  <sheetData>
    <row r="1" ht="21.75" customHeight="1" spans="2:7" x14ac:dyDescent="0.25">
      <c r="B1" s="1" t="s">
        <v>0</v>
      </c>
      <c r="C1" s="1"/>
      <c r="D1" s="1"/>
      <c r="E1" s="1"/>
      <c r="F1" s="1"/>
      <c r="G1" s="1"/>
    </row>
    <row r="2" ht="15" customHeight="1" spans="2:7" x14ac:dyDescent="0.25">
      <c r="B2" s="2" t="s">
        <v>1</v>
      </c>
      <c r="C2" s="2"/>
      <c r="D2" s="2"/>
      <c r="E2" s="2"/>
      <c r="F2" s="2"/>
      <c r="G2" s="2"/>
    </row>
    <row r="4" ht="20" customHeight="1" spans="2:2" x14ac:dyDescent="0.25">
      <c r="B4" s="3" t="s">
        <v>165</v>
      </c>
    </row>
    <row r="5" ht="26" customHeight="1" spans="2:7" x14ac:dyDescent="0.25">
      <c r="B5" s="12" t="s">
        <v>166</v>
      </c>
      <c r="C5" s="12"/>
      <c r="D5" s="12"/>
      <c r="E5" s="12"/>
      <c r="F5" s="12"/>
      <c r="G5" s="12"/>
    </row>
    <row r="7" ht="18" customHeight="1" spans="2:26" x14ac:dyDescent="0.25">
      <c r="B7" s="4" t="s">
        <v>167</v>
      </c>
      <c r="C7" s="5"/>
      <c r="D7" s="5"/>
      <c r="E7" s="5"/>
      <c r="F7" s="5"/>
      <c r="G7" s="5"/>
    </row>
    <row r="8" spans="2:5" x14ac:dyDescent="0.25">
      <c r="B8" s="7" t="s">
        <v>168</v>
      </c>
      <c r="C8" s="11"/>
      <c r="D8" s="11"/>
      <c r="E8" s="11"/>
    </row>
    <row r="9" spans="2:3" x14ac:dyDescent="0.25">
      <c r="B9" s="7" t="s">
        <v>49</v>
      </c>
      <c r="C9" s="14"/>
    </row>
    <row r="10" spans="2:3" x14ac:dyDescent="0.25">
      <c r="B10" s="7" t="s">
        <v>169</v>
      </c>
      <c r="C10" s="14"/>
    </row>
    <row r="11" spans="2:3" x14ac:dyDescent="0.25">
      <c r="B11" s="7" t="s">
        <v>170</v>
      </c>
      <c r="C11" s="14"/>
    </row>
    <row r="12" spans="2:3" x14ac:dyDescent="0.25">
      <c r="B12" s="7" t="s">
        <v>171</v>
      </c>
      <c r="C12" s="14"/>
    </row>
    <row r="13" spans="2:3" x14ac:dyDescent="0.25">
      <c r="B13" s="7" t="s">
        <v>172</v>
      </c>
      <c r="C13" s="10"/>
    </row>
    <row r="14" spans="2:3" x14ac:dyDescent="0.25">
      <c r="B14" s="7" t="s">
        <v>173</v>
      </c>
      <c r="C14" s="14"/>
    </row>
    <row r="15" spans="2:3" x14ac:dyDescent="0.25">
      <c r="B15" s="7" t="s">
        <v>174</v>
      </c>
      <c r="C15" s="14"/>
    </row>
    <row r="16" spans="2:5" x14ac:dyDescent="0.25">
      <c r="B16" s="7" t="s">
        <v>122</v>
      </c>
      <c r="C16" s="11"/>
      <c r="D16" s="11"/>
      <c r="E16" s="11"/>
    </row>
    <row r="17" spans="2:3" x14ac:dyDescent="0.25">
      <c r="B17" s="7" t="s">
        <v>175</v>
      </c>
      <c r="C17" s="14"/>
    </row>
    <row r="18" spans="2:3" x14ac:dyDescent="0.25">
      <c r="B18" s="7" t="s">
        <v>176</v>
      </c>
      <c r="C18" s="14"/>
    </row>
    <row r="19" spans="2:5" x14ac:dyDescent="0.25">
      <c r="B19" s="7" t="s">
        <v>74</v>
      </c>
      <c r="C19" s="11"/>
      <c r="D19" s="11"/>
      <c r="E19" s="11"/>
    </row>
    <row r="20" spans="2:4" x14ac:dyDescent="0.25">
      <c r="B20" s="13" t="s">
        <v>177</v>
      </c>
      <c r="C20" s="13">
        <f>'Lists'!$A$2</f>
      </c>
      <c r="D20" s="13">
        <f>'Lists'!$A$3</f>
      </c>
    </row>
    <row r="21" spans="2:4" x14ac:dyDescent="0.25">
      <c r="B21" s="7" t="s">
        <v>178</v>
      </c>
      <c r="C21" s="26"/>
      <c r="D21" s="26"/>
    </row>
    <row r="22" ht="26" customHeight="1" spans="2:4" x14ac:dyDescent="0.25">
      <c r="B22" s="7" t="s">
        <v>179</v>
      </c>
      <c r="C22" s="14"/>
      <c r="D22" s="14"/>
    </row>
    <row r="23" spans="2:4" x14ac:dyDescent="0.25">
      <c r="B23" s="7" t="s">
        <v>180</v>
      </c>
      <c r="C23" s="18"/>
      <c r="D23" s="18"/>
    </row>
    <row r="24" spans="2:4" x14ac:dyDescent="0.25">
      <c r="B24" s="7" t="s">
        <v>181</v>
      </c>
      <c r="C24" s="18"/>
      <c r="D24" s="18"/>
    </row>
    <row r="25" spans="2:4" x14ac:dyDescent="0.25">
      <c r="B25" s="7" t="s">
        <v>182</v>
      </c>
      <c r="C25" s="10"/>
      <c r="D25" s="10"/>
    </row>
    <row r="26" spans="2:4" x14ac:dyDescent="0.25">
      <c r="B26" s="7" t="s">
        <v>183</v>
      </c>
      <c r="C26" s="14"/>
      <c r="D26" s="14"/>
    </row>
    <row r="27" ht="26" customHeight="1" spans="2:4" x14ac:dyDescent="0.25">
      <c r="B27" s="7" t="s">
        <v>184</v>
      </c>
      <c r="C27" s="18"/>
      <c r="D27" s="18"/>
    </row>
    <row r="29" spans="2:2" x14ac:dyDescent="0.25">
      <c r="B29" s="27" t="s">
        <v>185</v>
      </c>
    </row>
    <row r="30" ht="15" customHeight="1" spans="2:7" x14ac:dyDescent="0.25">
      <c r="B30" s="12" t="s">
        <v>186</v>
      </c>
      <c r="C30" s="12"/>
      <c r="D30" s="12"/>
      <c r="E30" s="12"/>
      <c r="F30" s="12"/>
      <c r="G30" s="12"/>
    </row>
    <row r="31" hidden="1" spans="2:26" x14ac:dyDescent="0.25">
      <c r="B31" t="s">
        <v>62</v>
      </c>
      <c r="C31" t="s">
        <v>187</v>
      </c>
      <c r="D31" t="s">
        <v>98</v>
      </c>
      <c r="E31" t="s">
        <v>100</v>
      </c>
      <c r="F31" t="s">
        <v>110</v>
      </c>
      <c r="G31" t="s">
        <v>68</v>
      </c>
      <c r="Z31" t="s">
        <v>51</v>
      </c>
    </row>
    <row r="32" ht="30" customHeight="1" spans="2:7" x14ac:dyDescent="0.25">
      <c r="B32" s="13" t="s">
        <v>188</v>
      </c>
      <c r="C32" s="13" t="s">
        <v>189</v>
      </c>
      <c r="D32" s="13" t="s">
        <v>190</v>
      </c>
      <c r="E32" s="13" t="s">
        <v>191</v>
      </c>
      <c r="F32" s="13" t="s">
        <v>125</v>
      </c>
      <c r="G32" s="13" t="s">
        <v>74</v>
      </c>
    </row>
    <row r="33" spans="1:7" x14ac:dyDescent="0.25">
      <c r="B33" s="20" t="s">
        <v>192</v>
      </c>
      <c r="C33" s="20" t="s">
        <v>193</v>
      </c>
      <c r="D33" s="21">
        <v>5000000</v>
      </c>
      <c r="E33" s="21">
        <v>2000000</v>
      </c>
      <c r="F33" s="20" t="s">
        <v>194</v>
      </c>
      <c r="G33" s="20" t="s">
        <v>88</v>
      </c>
    </row>
    <row r="34" ht="15" customHeight="1" spans="2:7" x14ac:dyDescent="0.25">
      <c r="B34" s="11"/>
      <c r="C34" s="14"/>
      <c r="D34" s="18"/>
      <c r="E34" s="18"/>
      <c r="F34" s="14"/>
      <c r="G34" s="11"/>
    </row>
    <row r="35" ht="15" customHeight="1" spans="2:7" x14ac:dyDescent="0.25">
      <c r="B35" s="11"/>
      <c r="C35" s="14"/>
      <c r="D35" s="18"/>
      <c r="E35" s="18"/>
      <c r="F35" s="14"/>
      <c r="G35" s="11"/>
    </row>
    <row r="36" ht="15" customHeight="1" spans="2:7" x14ac:dyDescent="0.25">
      <c r="B36" s="11"/>
      <c r="C36" s="14"/>
      <c r="D36" s="18"/>
      <c r="E36" s="18"/>
      <c r="F36" s="14"/>
      <c r="G36" s="11"/>
    </row>
    <row r="37" ht="15" customHeight="1" spans="2:7" x14ac:dyDescent="0.25">
      <c r="B37" s="11"/>
      <c r="C37" s="14"/>
      <c r="D37" s="18"/>
      <c r="E37" s="18"/>
      <c r="F37" s="14"/>
      <c r="G37" s="11"/>
    </row>
    <row r="38" ht="15" customHeight="1" spans="2:7" x14ac:dyDescent="0.25">
      <c r="B38" s="11"/>
      <c r="C38" s="14"/>
      <c r="D38" s="18"/>
      <c r="E38" s="18"/>
      <c r="F38" s="14"/>
      <c r="G38" s="11"/>
    </row>
    <row r="39" ht="15" customHeight="1" spans="2:7" x14ac:dyDescent="0.25">
      <c r="B39" s="11"/>
      <c r="C39" s="14"/>
      <c r="D39" s="18"/>
      <c r="E39" s="18"/>
      <c r="F39" s="14"/>
      <c r="G39" s="11"/>
    </row>
    <row r="40" ht="15" customHeight="1" spans="2:7" x14ac:dyDescent="0.25">
      <c r="B40" s="11"/>
      <c r="C40" s="14"/>
      <c r="D40" s="18"/>
      <c r="E40" s="18"/>
      <c r="F40" s="14"/>
      <c r="G40" s="11"/>
    </row>
    <row r="41" ht="15" customHeight="1" spans="2:7" x14ac:dyDescent="0.25">
      <c r="B41" s="11"/>
      <c r="C41" s="14"/>
      <c r="D41" s="18"/>
      <c r="E41" s="18"/>
      <c r="F41" s="14"/>
      <c r="G41" s="11"/>
    </row>
    <row r="42" ht="15" customHeight="1" spans="2:7" x14ac:dyDescent="0.25">
      <c r="B42" s="11"/>
      <c r="C42" s="14"/>
      <c r="D42" s="18"/>
      <c r="E42" s="18"/>
      <c r="F42" s="14"/>
      <c r="G42" s="11"/>
    </row>
    <row r="43" ht="15" customHeight="1" spans="2:7" x14ac:dyDescent="0.25">
      <c r="B43" s="11"/>
      <c r="C43" s="14"/>
      <c r="D43" s="18"/>
      <c r="E43" s="18"/>
      <c r="F43" s="14"/>
      <c r="G43" s="11"/>
    </row>
    <row r="44" spans="2:3" x14ac:dyDescent="0.25">
      <c r="B44" s="7" t="s">
        <v>195</v>
      </c>
      <c r="C44" s="24">
        <f>SUMIFS(D34:D43,C34:C43,"Property")+SUMIFS(D34:D43,C34:C43,"Other asset")+IF(C22="Debit",N(C23),0)+IF(D22="Debit",N(D23),0)</f>
      </c>
    </row>
    <row r="45" spans="2:3" x14ac:dyDescent="0.25">
      <c r="B45" s="7" t="s">
        <v>196</v>
      </c>
      <c r="C45" s="24">
        <f>SUMIFS(D34:D43,C34:C43,"Bond")+SUMIFS(D34:D43,C34:C43,"Other debt")+IF(C22="Credit",N(C23),0)+IF(D22="Credit",N(D23),0)</f>
      </c>
    </row>
    <row r="46" spans="2:3" x14ac:dyDescent="0.25">
      <c r="B46" s="22" t="s">
        <v>197</v>
      </c>
      <c r="C46" s="23">
        <f>C44-C45</f>
      </c>
    </row>
    <row r="47" spans="2:4" x14ac:dyDescent="0.25">
      <c r="B47" s="13" t="s">
        <v>198</v>
      </c>
      <c r="C47" s="13">
        <f>'Lists'!$A$2</f>
      </c>
      <c r="D47" s="13">
        <f>'Lists'!$A$3</f>
      </c>
    </row>
    <row r="48" spans="2:4" x14ac:dyDescent="0.25">
      <c r="B48" s="7" t="s">
        <v>199</v>
      </c>
      <c r="C48" s="24">
        <f>IF(OR(C9="Trust",C21=""),"",ROUND(IF(OR(C9="Partnership",C9="Sole Proprietor"),C46,MAX(0,C46))*N(C21)/100,0))</f>
      </c>
      <c r="D48" s="24">
        <f>IF(OR(C9="Trust",D21=""),"",ROUND(IF(OR(C9="Partnership",C9="Sole Proprietor"),C46,MAX(0,C46))*N(D21)/100,0))</f>
      </c>
    </row>
    <row r="49" spans="2:4" x14ac:dyDescent="0.25">
      <c r="B49" s="22" t="s">
        <v>200</v>
      </c>
      <c r="C49" s="23">
        <f>IF(C9="Trust","",IF(C27&lt;&gt;"",C27,C48))</f>
      </c>
      <c r="D49" s="23">
        <f>IF(C9="Trust","",IF(D27&lt;&gt;"",D27,D48))</f>
      </c>
    </row>
    <row r="50" spans="2:2" x14ac:dyDescent="0.25">
      <c r="B50" s="28" t="s">
        <v>201</v>
      </c>
    </row>
    <row r="53" ht="18" customHeight="1" spans="2:26" x14ac:dyDescent="0.25">
      <c r="B53" s="4" t="s">
        <v>202</v>
      </c>
      <c r="C53" s="5"/>
      <c r="D53" s="5"/>
      <c r="E53" s="5"/>
      <c r="F53" s="5"/>
      <c r="G53" s="5"/>
    </row>
    <row r="54" spans="2:5" x14ac:dyDescent="0.25">
      <c r="B54" s="7" t="s">
        <v>168</v>
      </c>
      <c r="C54" s="11"/>
      <c r="D54" s="11"/>
      <c r="E54" s="11"/>
    </row>
    <row r="55" spans="2:3" x14ac:dyDescent="0.25">
      <c r="B55" s="7" t="s">
        <v>49</v>
      </c>
      <c r="C55" s="14"/>
    </row>
    <row r="56" spans="2:3" x14ac:dyDescent="0.25">
      <c r="B56" s="7" t="s">
        <v>169</v>
      </c>
      <c r="C56" s="14"/>
    </row>
    <row r="57" spans="2:3" x14ac:dyDescent="0.25">
      <c r="B57" s="7" t="s">
        <v>170</v>
      </c>
      <c r="C57" s="14"/>
    </row>
    <row r="58" spans="2:3" x14ac:dyDescent="0.25">
      <c r="B58" s="7" t="s">
        <v>171</v>
      </c>
      <c r="C58" s="14"/>
    </row>
    <row r="59" spans="2:3" x14ac:dyDescent="0.25">
      <c r="B59" s="7" t="s">
        <v>172</v>
      </c>
      <c r="C59" s="10"/>
    </row>
    <row r="60" spans="2:3" x14ac:dyDescent="0.25">
      <c r="B60" s="7" t="s">
        <v>173</v>
      </c>
      <c r="C60" s="14"/>
    </row>
    <row r="61" spans="2:3" x14ac:dyDescent="0.25">
      <c r="B61" s="7" t="s">
        <v>174</v>
      </c>
      <c r="C61" s="14"/>
    </row>
    <row r="62" spans="2:5" x14ac:dyDescent="0.25">
      <c r="B62" s="7" t="s">
        <v>122</v>
      </c>
      <c r="C62" s="11"/>
      <c r="D62" s="11"/>
      <c r="E62" s="11"/>
    </row>
    <row r="63" spans="2:3" x14ac:dyDescent="0.25">
      <c r="B63" s="7" t="s">
        <v>175</v>
      </c>
      <c r="C63" s="14"/>
    </row>
    <row r="64" spans="2:3" x14ac:dyDescent="0.25">
      <c r="B64" s="7" t="s">
        <v>176</v>
      </c>
      <c r="C64" s="14"/>
    </row>
    <row r="65" spans="2:5" x14ac:dyDescent="0.25">
      <c r="B65" s="7" t="s">
        <v>74</v>
      </c>
      <c r="C65" s="11"/>
      <c r="D65" s="11"/>
      <c r="E65" s="11"/>
    </row>
    <row r="66" spans="2:4" x14ac:dyDescent="0.25">
      <c r="B66" s="13" t="s">
        <v>177</v>
      </c>
      <c r="C66" s="13">
        <f>'Lists'!$A$2</f>
      </c>
      <c r="D66" s="13">
        <f>'Lists'!$A$3</f>
      </c>
    </row>
    <row r="67" spans="2:4" x14ac:dyDescent="0.25">
      <c r="B67" s="7" t="s">
        <v>178</v>
      </c>
      <c r="C67" s="26"/>
      <c r="D67" s="26"/>
    </row>
    <row r="68" ht="26" customHeight="1" spans="2:4" x14ac:dyDescent="0.25">
      <c r="B68" s="7" t="s">
        <v>179</v>
      </c>
      <c r="C68" s="14"/>
      <c r="D68" s="14"/>
    </row>
    <row r="69" spans="2:4" x14ac:dyDescent="0.25">
      <c r="B69" s="7" t="s">
        <v>180</v>
      </c>
      <c r="C69" s="18"/>
      <c r="D69" s="18"/>
    </row>
    <row r="70" spans="2:4" x14ac:dyDescent="0.25">
      <c r="B70" s="7" t="s">
        <v>181</v>
      </c>
      <c r="C70" s="18"/>
      <c r="D70" s="18"/>
    </row>
    <row r="71" spans="2:4" x14ac:dyDescent="0.25">
      <c r="B71" s="7" t="s">
        <v>182</v>
      </c>
      <c r="C71" s="10"/>
      <c r="D71" s="10"/>
    </row>
    <row r="72" spans="2:4" x14ac:dyDescent="0.25">
      <c r="B72" s="7" t="s">
        <v>183</v>
      </c>
      <c r="C72" s="14"/>
      <c r="D72" s="14"/>
    </row>
    <row r="73" ht="26" customHeight="1" spans="2:4" x14ac:dyDescent="0.25">
      <c r="B73" s="7" t="s">
        <v>184</v>
      </c>
      <c r="C73" s="18"/>
      <c r="D73" s="18"/>
    </row>
    <row r="75" spans="2:2" x14ac:dyDescent="0.25">
      <c r="B75" s="27" t="s">
        <v>185</v>
      </c>
    </row>
    <row r="76" ht="15" customHeight="1" spans="2:7" x14ac:dyDescent="0.25">
      <c r="B76" s="12" t="s">
        <v>186</v>
      </c>
      <c r="C76" s="12"/>
      <c r="D76" s="12"/>
      <c r="E76" s="12"/>
      <c r="F76" s="12"/>
      <c r="G76" s="12"/>
    </row>
    <row r="77" hidden="1" spans="2:26" x14ac:dyDescent="0.25">
      <c r="B77" t="s">
        <v>62</v>
      </c>
      <c r="C77" t="s">
        <v>187</v>
      </c>
      <c r="D77" t="s">
        <v>98</v>
      </c>
      <c r="E77" t="s">
        <v>100</v>
      </c>
      <c r="F77" t="s">
        <v>110</v>
      </c>
      <c r="G77" t="s">
        <v>68</v>
      </c>
      <c r="Z77" t="s">
        <v>51</v>
      </c>
    </row>
    <row r="78" ht="30" customHeight="1" spans="2:7" x14ac:dyDescent="0.25">
      <c r="B78" s="13" t="s">
        <v>188</v>
      </c>
      <c r="C78" s="13" t="s">
        <v>189</v>
      </c>
      <c r="D78" s="13" t="s">
        <v>190</v>
      </c>
      <c r="E78" s="13" t="s">
        <v>191</v>
      </c>
      <c r="F78" s="13" t="s">
        <v>125</v>
      </c>
      <c r="G78" s="13" t="s">
        <v>74</v>
      </c>
    </row>
    <row r="79" ht="15" customHeight="1" spans="2:7" x14ac:dyDescent="0.25">
      <c r="B79" s="11"/>
      <c r="C79" s="14"/>
      <c r="D79" s="18"/>
      <c r="E79" s="18"/>
      <c r="F79" s="14"/>
      <c r="G79" s="11"/>
    </row>
    <row r="80" ht="15" customHeight="1" spans="2:7" x14ac:dyDescent="0.25">
      <c r="B80" s="11"/>
      <c r="C80" s="14"/>
      <c r="D80" s="18"/>
      <c r="E80" s="18"/>
      <c r="F80" s="14"/>
      <c r="G80" s="11"/>
    </row>
    <row r="81" ht="15" customHeight="1" spans="2:7" x14ac:dyDescent="0.25">
      <c r="B81" s="11"/>
      <c r="C81" s="14"/>
      <c r="D81" s="18"/>
      <c r="E81" s="18"/>
      <c r="F81" s="14"/>
      <c r="G81" s="11"/>
    </row>
    <row r="82" ht="15" customHeight="1" spans="2:7" x14ac:dyDescent="0.25">
      <c r="B82" s="11"/>
      <c r="C82" s="14"/>
      <c r="D82" s="18"/>
      <c r="E82" s="18"/>
      <c r="F82" s="14"/>
      <c r="G82" s="11"/>
    </row>
    <row r="83" ht="15" customHeight="1" spans="2:7" x14ac:dyDescent="0.25">
      <c r="B83" s="11"/>
      <c r="C83" s="14"/>
      <c r="D83" s="18"/>
      <c r="E83" s="18"/>
      <c r="F83" s="14"/>
      <c r="G83" s="11"/>
    </row>
    <row r="84" ht="15" customHeight="1" spans="2:7" x14ac:dyDescent="0.25">
      <c r="B84" s="11"/>
      <c r="C84" s="14"/>
      <c r="D84" s="18"/>
      <c r="E84" s="18"/>
      <c r="F84" s="14"/>
      <c r="G84" s="11"/>
    </row>
    <row r="85" ht="15" customHeight="1" spans="2:7" x14ac:dyDescent="0.25">
      <c r="B85" s="11"/>
      <c r="C85" s="14"/>
      <c r="D85" s="18"/>
      <c r="E85" s="18"/>
      <c r="F85" s="14"/>
      <c r="G85" s="11"/>
    </row>
    <row r="86" ht="15" customHeight="1" spans="2:7" x14ac:dyDescent="0.25">
      <c r="B86" s="11"/>
      <c r="C86" s="14"/>
      <c r="D86" s="18"/>
      <c r="E86" s="18"/>
      <c r="F86" s="14"/>
      <c r="G86" s="11"/>
    </row>
    <row r="87" ht="15" customHeight="1" spans="2:7" x14ac:dyDescent="0.25">
      <c r="B87" s="11"/>
      <c r="C87" s="14"/>
      <c r="D87" s="18"/>
      <c r="E87" s="18"/>
      <c r="F87" s="14"/>
      <c r="G87" s="11"/>
    </row>
    <row r="88" ht="15" customHeight="1" spans="2:7" x14ac:dyDescent="0.25">
      <c r="B88" s="11"/>
      <c r="C88" s="14"/>
      <c r="D88" s="18"/>
      <c r="E88" s="18"/>
      <c r="F88" s="14"/>
      <c r="G88" s="11"/>
    </row>
    <row r="89" spans="2:3" x14ac:dyDescent="0.25">
      <c r="B89" s="7" t="s">
        <v>195</v>
      </c>
      <c r="C89" s="24">
        <f>SUMIFS(D79:D88,C79:C88,"Property")+SUMIFS(D79:D88,C79:C88,"Other asset")+IF(C68="Debit",N(C69),0)+IF(D68="Debit",N(D69),0)</f>
      </c>
    </row>
    <row r="90" spans="2:3" x14ac:dyDescent="0.25">
      <c r="B90" s="7" t="s">
        <v>196</v>
      </c>
      <c r="C90" s="24">
        <f>SUMIFS(D79:D88,C79:C88,"Bond")+SUMIFS(D79:D88,C79:C88,"Other debt")+IF(C68="Credit",N(C69),0)+IF(D68="Credit",N(D69),0)</f>
      </c>
    </row>
    <row r="91" spans="2:3" x14ac:dyDescent="0.25">
      <c r="B91" s="22" t="s">
        <v>197</v>
      </c>
      <c r="C91" s="23">
        <f>C89-C90</f>
      </c>
    </row>
    <row r="92" spans="2:4" x14ac:dyDescent="0.25">
      <c r="B92" s="13" t="s">
        <v>198</v>
      </c>
      <c r="C92" s="13">
        <f>'Lists'!$A$2</f>
      </c>
      <c r="D92" s="13">
        <f>'Lists'!$A$3</f>
      </c>
    </row>
    <row r="93" spans="2:4" x14ac:dyDescent="0.25">
      <c r="B93" s="7" t="s">
        <v>199</v>
      </c>
      <c r="C93" s="24">
        <f>IF(OR(C55="Trust",C67=""),"",ROUND(IF(OR(C55="Partnership",C55="Sole Proprietor"),C91,MAX(0,C91))*N(C67)/100,0))</f>
      </c>
      <c r="D93" s="24">
        <f>IF(OR(C55="Trust",D67=""),"",ROUND(IF(OR(C55="Partnership",C55="Sole Proprietor"),C91,MAX(0,C91))*N(D67)/100,0))</f>
      </c>
    </row>
    <row r="94" spans="2:4" x14ac:dyDescent="0.25">
      <c r="B94" s="22" t="s">
        <v>200</v>
      </c>
      <c r="C94" s="23">
        <f>IF(C55="Trust","",IF(C73&lt;&gt;"",C73,C93))</f>
      </c>
      <c r="D94" s="23">
        <f>IF(C55="Trust","",IF(D73&lt;&gt;"",D73,D93))</f>
      </c>
    </row>
    <row r="95" spans="2:2" x14ac:dyDescent="0.25">
      <c r="B95" s="28" t="s">
        <v>201</v>
      </c>
    </row>
    <row r="98" ht="18" customHeight="1" spans="2:26" x14ac:dyDescent="0.25">
      <c r="B98" s="4" t="s">
        <v>203</v>
      </c>
      <c r="C98" s="5"/>
      <c r="D98" s="5"/>
      <c r="E98" s="5"/>
      <c r="F98" s="5"/>
      <c r="G98" s="5"/>
    </row>
    <row r="99" spans="2:5" x14ac:dyDescent="0.25">
      <c r="B99" s="7" t="s">
        <v>168</v>
      </c>
      <c r="C99" s="11"/>
      <c r="D99" s="11"/>
      <c r="E99" s="11"/>
    </row>
    <row r="100" spans="2:3" x14ac:dyDescent="0.25">
      <c r="B100" s="7" t="s">
        <v>49</v>
      </c>
      <c r="C100" s="14"/>
    </row>
    <row r="101" spans="2:3" x14ac:dyDescent="0.25">
      <c r="B101" s="7" t="s">
        <v>169</v>
      </c>
      <c r="C101" s="14"/>
    </row>
    <row r="102" spans="2:3" x14ac:dyDescent="0.25">
      <c r="B102" s="7" t="s">
        <v>170</v>
      </c>
      <c r="C102" s="14"/>
    </row>
    <row r="103" spans="2:3" x14ac:dyDescent="0.25">
      <c r="B103" s="7" t="s">
        <v>171</v>
      </c>
      <c r="C103" s="14"/>
    </row>
    <row r="104" spans="2:3" x14ac:dyDescent="0.25">
      <c r="B104" s="7" t="s">
        <v>172</v>
      </c>
      <c r="C104" s="10"/>
    </row>
    <row r="105" spans="2:3" x14ac:dyDescent="0.25">
      <c r="B105" s="7" t="s">
        <v>173</v>
      </c>
      <c r="C105" s="14"/>
    </row>
    <row r="106" spans="2:3" x14ac:dyDescent="0.25">
      <c r="B106" s="7" t="s">
        <v>174</v>
      </c>
      <c r="C106" s="14"/>
    </row>
    <row r="107" spans="2:5" x14ac:dyDescent="0.25">
      <c r="B107" s="7" t="s">
        <v>122</v>
      </c>
      <c r="C107" s="11"/>
      <c r="D107" s="11"/>
      <c r="E107" s="11"/>
    </row>
    <row r="108" spans="2:3" x14ac:dyDescent="0.25">
      <c r="B108" s="7" t="s">
        <v>175</v>
      </c>
      <c r="C108" s="14"/>
    </row>
    <row r="109" spans="2:3" x14ac:dyDescent="0.25">
      <c r="B109" s="7" t="s">
        <v>176</v>
      </c>
      <c r="C109" s="14"/>
    </row>
    <row r="110" spans="2:5" x14ac:dyDescent="0.25">
      <c r="B110" s="7" t="s">
        <v>74</v>
      </c>
      <c r="C110" s="11"/>
      <c r="D110" s="11"/>
      <c r="E110" s="11"/>
    </row>
    <row r="111" spans="2:4" x14ac:dyDescent="0.25">
      <c r="B111" s="13" t="s">
        <v>177</v>
      </c>
      <c r="C111" s="13">
        <f>'Lists'!$A$2</f>
      </c>
      <c r="D111" s="13">
        <f>'Lists'!$A$3</f>
      </c>
    </row>
    <row r="112" spans="2:4" x14ac:dyDescent="0.25">
      <c r="B112" s="7" t="s">
        <v>178</v>
      </c>
      <c r="C112" s="26"/>
      <c r="D112" s="26"/>
    </row>
    <row r="113" ht="26" customHeight="1" spans="2:4" x14ac:dyDescent="0.25">
      <c r="B113" s="7" t="s">
        <v>179</v>
      </c>
      <c r="C113" s="14"/>
      <c r="D113" s="14"/>
    </row>
    <row r="114" spans="2:4" x14ac:dyDescent="0.25">
      <c r="B114" s="7" t="s">
        <v>180</v>
      </c>
      <c r="C114" s="18"/>
      <c r="D114" s="18"/>
    </row>
    <row r="115" spans="2:4" x14ac:dyDescent="0.25">
      <c r="B115" s="7" t="s">
        <v>181</v>
      </c>
      <c r="C115" s="18"/>
      <c r="D115" s="18"/>
    </row>
    <row r="116" spans="2:4" x14ac:dyDescent="0.25">
      <c r="B116" s="7" t="s">
        <v>182</v>
      </c>
      <c r="C116" s="10"/>
      <c r="D116" s="10"/>
    </row>
    <row r="117" spans="2:4" x14ac:dyDescent="0.25">
      <c r="B117" s="7" t="s">
        <v>183</v>
      </c>
      <c r="C117" s="14"/>
      <c r="D117" s="14"/>
    </row>
    <row r="118" ht="26" customHeight="1" spans="2:4" x14ac:dyDescent="0.25">
      <c r="B118" s="7" t="s">
        <v>184</v>
      </c>
      <c r="C118" s="18"/>
      <c r="D118" s="18"/>
    </row>
    <row r="120" spans="2:2" x14ac:dyDescent="0.25">
      <c r="B120" s="27" t="s">
        <v>185</v>
      </c>
    </row>
    <row r="121" ht="15" customHeight="1" spans="2:7" x14ac:dyDescent="0.25">
      <c r="B121" s="12" t="s">
        <v>186</v>
      </c>
      <c r="C121" s="12"/>
      <c r="D121" s="12"/>
      <c r="E121" s="12"/>
      <c r="F121" s="12"/>
      <c r="G121" s="12"/>
    </row>
    <row r="122" hidden="1" spans="2:26" x14ac:dyDescent="0.25">
      <c r="B122" t="s">
        <v>62</v>
      </c>
      <c r="C122" t="s">
        <v>187</v>
      </c>
      <c r="D122" t="s">
        <v>98</v>
      </c>
      <c r="E122" t="s">
        <v>100</v>
      </c>
      <c r="F122" t="s">
        <v>110</v>
      </c>
      <c r="G122" t="s">
        <v>68</v>
      </c>
      <c r="Z122" t="s">
        <v>51</v>
      </c>
    </row>
    <row r="123" ht="30" customHeight="1" spans="2:7" x14ac:dyDescent="0.25">
      <c r="B123" s="13" t="s">
        <v>188</v>
      </c>
      <c r="C123" s="13" t="s">
        <v>189</v>
      </c>
      <c r="D123" s="13" t="s">
        <v>190</v>
      </c>
      <c r="E123" s="13" t="s">
        <v>191</v>
      </c>
      <c r="F123" s="13" t="s">
        <v>125</v>
      </c>
      <c r="G123" s="13" t="s">
        <v>74</v>
      </c>
    </row>
    <row r="124" ht="15" customHeight="1" spans="2:7" x14ac:dyDescent="0.25">
      <c r="B124" s="11"/>
      <c r="C124" s="14"/>
      <c r="D124" s="18"/>
      <c r="E124" s="18"/>
      <c r="F124" s="14"/>
      <c r="G124" s="11"/>
    </row>
    <row r="125" ht="15" customHeight="1" spans="2:7" x14ac:dyDescent="0.25">
      <c r="B125" s="11"/>
      <c r="C125" s="14"/>
      <c r="D125" s="18"/>
      <c r="E125" s="18"/>
      <c r="F125" s="14"/>
      <c r="G125" s="11"/>
    </row>
    <row r="126" ht="15" customHeight="1" spans="2:7" x14ac:dyDescent="0.25">
      <c r="B126" s="11"/>
      <c r="C126" s="14"/>
      <c r="D126" s="18"/>
      <c r="E126" s="18"/>
      <c r="F126" s="14"/>
      <c r="G126" s="11"/>
    </row>
    <row r="127" ht="15" customHeight="1" spans="2:7" x14ac:dyDescent="0.25">
      <c r="B127" s="11"/>
      <c r="C127" s="14"/>
      <c r="D127" s="18"/>
      <c r="E127" s="18"/>
      <c r="F127" s="14"/>
      <c r="G127" s="11"/>
    </row>
    <row r="128" ht="15" customHeight="1" spans="2:7" x14ac:dyDescent="0.25">
      <c r="B128" s="11"/>
      <c r="C128" s="14"/>
      <c r="D128" s="18"/>
      <c r="E128" s="18"/>
      <c r="F128" s="14"/>
      <c r="G128" s="11"/>
    </row>
    <row r="129" ht="15" customHeight="1" spans="2:7" x14ac:dyDescent="0.25">
      <c r="B129" s="11"/>
      <c r="C129" s="14"/>
      <c r="D129" s="18"/>
      <c r="E129" s="18"/>
      <c r="F129" s="14"/>
      <c r="G129" s="11"/>
    </row>
    <row r="130" ht="15" customHeight="1" spans="2:7" x14ac:dyDescent="0.25">
      <c r="B130" s="11"/>
      <c r="C130" s="14"/>
      <c r="D130" s="18"/>
      <c r="E130" s="18"/>
      <c r="F130" s="14"/>
      <c r="G130" s="11"/>
    </row>
    <row r="131" ht="15" customHeight="1" spans="2:7" x14ac:dyDescent="0.25">
      <c r="B131" s="11"/>
      <c r="C131" s="14"/>
      <c r="D131" s="18"/>
      <c r="E131" s="18"/>
      <c r="F131" s="14"/>
      <c r="G131" s="11"/>
    </row>
    <row r="132" ht="15" customHeight="1" spans="2:7" x14ac:dyDescent="0.25">
      <c r="B132" s="11"/>
      <c r="C132" s="14"/>
      <c r="D132" s="18"/>
      <c r="E132" s="18"/>
      <c r="F132" s="14"/>
      <c r="G132" s="11"/>
    </row>
    <row r="133" ht="15" customHeight="1" spans="2:7" x14ac:dyDescent="0.25">
      <c r="B133" s="11"/>
      <c r="C133" s="14"/>
      <c r="D133" s="18"/>
      <c r="E133" s="18"/>
      <c r="F133" s="14"/>
      <c r="G133" s="11"/>
    </row>
    <row r="134" spans="2:3" x14ac:dyDescent="0.25">
      <c r="B134" s="7" t="s">
        <v>195</v>
      </c>
      <c r="C134" s="24">
        <f>SUMIFS(D124:D133,C124:C133,"Property")+SUMIFS(D124:D133,C124:C133,"Other asset")+IF(C113="Debit",N(C114),0)+IF(D113="Debit",N(D114),0)</f>
      </c>
    </row>
    <row r="135" spans="2:3" x14ac:dyDescent="0.25">
      <c r="B135" s="7" t="s">
        <v>196</v>
      </c>
      <c r="C135" s="24">
        <f>SUMIFS(D124:D133,C124:C133,"Bond")+SUMIFS(D124:D133,C124:C133,"Other debt")+IF(C113="Credit",N(C114),0)+IF(D113="Credit",N(D114),0)</f>
      </c>
    </row>
    <row r="136" spans="2:3" x14ac:dyDescent="0.25">
      <c r="B136" s="22" t="s">
        <v>197</v>
      </c>
      <c r="C136" s="23">
        <f>C134-C135</f>
      </c>
    </row>
    <row r="137" spans="2:4" x14ac:dyDescent="0.25">
      <c r="B137" s="13" t="s">
        <v>198</v>
      </c>
      <c r="C137" s="13">
        <f>'Lists'!$A$2</f>
      </c>
      <c r="D137" s="13">
        <f>'Lists'!$A$3</f>
      </c>
    </row>
    <row r="138" spans="2:4" x14ac:dyDescent="0.25">
      <c r="B138" s="7" t="s">
        <v>199</v>
      </c>
      <c r="C138" s="24">
        <f>IF(OR(C100="Trust",C112=""),"",ROUND(IF(OR(C100="Partnership",C100="Sole Proprietor"),C136,MAX(0,C136))*N(C112)/100,0))</f>
      </c>
      <c r="D138" s="24">
        <f>IF(OR(C100="Trust",D112=""),"",ROUND(IF(OR(C100="Partnership",C100="Sole Proprietor"),C136,MAX(0,C136))*N(D112)/100,0))</f>
      </c>
    </row>
    <row r="139" spans="2:4" x14ac:dyDescent="0.25">
      <c r="B139" s="22" t="s">
        <v>200</v>
      </c>
      <c r="C139" s="23">
        <f>IF(C100="Trust","",IF(C118&lt;&gt;"",C118,C138))</f>
      </c>
      <c r="D139" s="23">
        <f>IF(C100="Trust","",IF(D118&lt;&gt;"",D118,D138))</f>
      </c>
    </row>
    <row r="140" spans="2:2" x14ac:dyDescent="0.25">
      <c r="B140" s="28" t="s">
        <v>201</v>
      </c>
    </row>
    <row r="143" ht="18" customHeight="1" spans="2:26" x14ac:dyDescent="0.25">
      <c r="B143" s="4" t="s">
        <v>204</v>
      </c>
      <c r="C143" s="5"/>
      <c r="D143" s="5"/>
      <c r="E143" s="5"/>
      <c r="F143" s="5"/>
      <c r="G143" s="5"/>
    </row>
    <row r="144" spans="2:5" x14ac:dyDescent="0.25">
      <c r="B144" s="7" t="s">
        <v>168</v>
      </c>
      <c r="C144" s="11"/>
      <c r="D144" s="11"/>
      <c r="E144" s="11"/>
    </row>
    <row r="145" spans="2:3" x14ac:dyDescent="0.25">
      <c r="B145" s="7" t="s">
        <v>49</v>
      </c>
      <c r="C145" s="14"/>
    </row>
    <row r="146" spans="2:3" x14ac:dyDescent="0.25">
      <c r="B146" s="7" t="s">
        <v>169</v>
      </c>
      <c r="C146" s="14"/>
    </row>
    <row r="147" spans="2:3" x14ac:dyDescent="0.25">
      <c r="B147" s="7" t="s">
        <v>170</v>
      </c>
      <c r="C147" s="14"/>
    </row>
    <row r="148" spans="2:3" x14ac:dyDescent="0.25">
      <c r="B148" s="7" t="s">
        <v>171</v>
      </c>
      <c r="C148" s="14"/>
    </row>
    <row r="149" spans="2:3" x14ac:dyDescent="0.25">
      <c r="B149" s="7" t="s">
        <v>172</v>
      </c>
      <c r="C149" s="10"/>
    </row>
    <row r="150" spans="2:3" x14ac:dyDescent="0.25">
      <c r="B150" s="7" t="s">
        <v>173</v>
      </c>
      <c r="C150" s="14"/>
    </row>
    <row r="151" spans="2:3" x14ac:dyDescent="0.25">
      <c r="B151" s="7" t="s">
        <v>174</v>
      </c>
      <c r="C151" s="14"/>
    </row>
    <row r="152" spans="2:5" x14ac:dyDescent="0.25">
      <c r="B152" s="7" t="s">
        <v>122</v>
      </c>
      <c r="C152" s="11"/>
      <c r="D152" s="11"/>
      <c r="E152" s="11"/>
    </row>
    <row r="153" spans="2:3" x14ac:dyDescent="0.25">
      <c r="B153" s="7" t="s">
        <v>175</v>
      </c>
      <c r="C153" s="14"/>
    </row>
    <row r="154" spans="2:3" x14ac:dyDescent="0.25">
      <c r="B154" s="7" t="s">
        <v>176</v>
      </c>
      <c r="C154" s="14"/>
    </row>
    <row r="155" spans="2:5" x14ac:dyDescent="0.25">
      <c r="B155" s="7" t="s">
        <v>74</v>
      </c>
      <c r="C155" s="11"/>
      <c r="D155" s="11"/>
      <c r="E155" s="11"/>
    </row>
    <row r="156" spans="2:4" x14ac:dyDescent="0.25">
      <c r="B156" s="13" t="s">
        <v>177</v>
      </c>
      <c r="C156" s="13">
        <f>'Lists'!$A$2</f>
      </c>
      <c r="D156" s="13">
        <f>'Lists'!$A$3</f>
      </c>
    </row>
    <row r="157" spans="2:4" x14ac:dyDescent="0.25">
      <c r="B157" s="7" t="s">
        <v>178</v>
      </c>
      <c r="C157" s="26"/>
      <c r="D157" s="26"/>
    </row>
    <row r="158" ht="26" customHeight="1" spans="2:4" x14ac:dyDescent="0.25">
      <c r="B158" s="7" t="s">
        <v>179</v>
      </c>
      <c r="C158" s="14"/>
      <c r="D158" s="14"/>
    </row>
    <row r="159" spans="2:4" x14ac:dyDescent="0.25">
      <c r="B159" s="7" t="s">
        <v>180</v>
      </c>
      <c r="C159" s="18"/>
      <c r="D159" s="18"/>
    </row>
    <row r="160" spans="2:4" x14ac:dyDescent="0.25">
      <c r="B160" s="7" t="s">
        <v>181</v>
      </c>
      <c r="C160" s="18"/>
      <c r="D160" s="18"/>
    </row>
    <row r="161" spans="2:4" x14ac:dyDescent="0.25">
      <c r="B161" s="7" t="s">
        <v>182</v>
      </c>
      <c r="C161" s="10"/>
      <c r="D161" s="10"/>
    </row>
    <row r="162" spans="2:4" x14ac:dyDescent="0.25">
      <c r="B162" s="7" t="s">
        <v>183</v>
      </c>
      <c r="C162" s="14"/>
      <c r="D162" s="14"/>
    </row>
    <row r="163" ht="26" customHeight="1" spans="2:4" x14ac:dyDescent="0.25">
      <c r="B163" s="7" t="s">
        <v>184</v>
      </c>
      <c r="C163" s="18"/>
      <c r="D163" s="18"/>
    </row>
    <row r="165" spans="2:2" x14ac:dyDescent="0.25">
      <c r="B165" s="27" t="s">
        <v>185</v>
      </c>
    </row>
    <row r="166" ht="15" customHeight="1" spans="2:7" x14ac:dyDescent="0.25">
      <c r="B166" s="12" t="s">
        <v>186</v>
      </c>
      <c r="C166" s="12"/>
      <c r="D166" s="12"/>
      <c r="E166" s="12"/>
      <c r="F166" s="12"/>
      <c r="G166" s="12"/>
    </row>
    <row r="167" hidden="1" spans="2:26" x14ac:dyDescent="0.25">
      <c r="B167" t="s">
        <v>62</v>
      </c>
      <c r="C167" t="s">
        <v>187</v>
      </c>
      <c r="D167" t="s">
        <v>98</v>
      </c>
      <c r="E167" t="s">
        <v>100</v>
      </c>
      <c r="F167" t="s">
        <v>110</v>
      </c>
      <c r="G167" t="s">
        <v>68</v>
      </c>
      <c r="Z167" t="s">
        <v>51</v>
      </c>
    </row>
    <row r="168" ht="30" customHeight="1" spans="2:7" x14ac:dyDescent="0.25">
      <c r="B168" s="13" t="s">
        <v>188</v>
      </c>
      <c r="C168" s="13" t="s">
        <v>189</v>
      </c>
      <c r="D168" s="13" t="s">
        <v>190</v>
      </c>
      <c r="E168" s="13" t="s">
        <v>191</v>
      </c>
      <c r="F168" s="13" t="s">
        <v>125</v>
      </c>
      <c r="G168" s="13" t="s">
        <v>74</v>
      </c>
    </row>
    <row r="169" ht="15" customHeight="1" spans="2:7" x14ac:dyDescent="0.25">
      <c r="B169" s="11"/>
      <c r="C169" s="14"/>
      <c r="D169" s="18"/>
      <c r="E169" s="18"/>
      <c r="F169" s="14"/>
      <c r="G169" s="11"/>
    </row>
    <row r="170" ht="15" customHeight="1" spans="2:7" x14ac:dyDescent="0.25">
      <c r="B170" s="11"/>
      <c r="C170" s="14"/>
      <c r="D170" s="18"/>
      <c r="E170" s="18"/>
      <c r="F170" s="14"/>
      <c r="G170" s="11"/>
    </row>
    <row r="171" ht="15" customHeight="1" spans="2:7" x14ac:dyDescent="0.25">
      <c r="B171" s="11"/>
      <c r="C171" s="14"/>
      <c r="D171" s="18"/>
      <c r="E171" s="18"/>
      <c r="F171" s="14"/>
      <c r="G171" s="11"/>
    </row>
    <row r="172" ht="15" customHeight="1" spans="2:7" x14ac:dyDescent="0.25">
      <c r="B172" s="11"/>
      <c r="C172" s="14"/>
      <c r="D172" s="18"/>
      <c r="E172" s="18"/>
      <c r="F172" s="14"/>
      <c r="G172" s="11"/>
    </row>
    <row r="173" ht="15" customHeight="1" spans="2:7" x14ac:dyDescent="0.25">
      <c r="B173" s="11"/>
      <c r="C173" s="14"/>
      <c r="D173" s="18"/>
      <c r="E173" s="18"/>
      <c r="F173" s="14"/>
      <c r="G173" s="11"/>
    </row>
    <row r="174" ht="15" customHeight="1" spans="2:7" x14ac:dyDescent="0.25">
      <c r="B174" s="11"/>
      <c r="C174" s="14"/>
      <c r="D174" s="18"/>
      <c r="E174" s="18"/>
      <c r="F174" s="14"/>
      <c r="G174" s="11"/>
    </row>
    <row r="175" ht="15" customHeight="1" spans="2:7" x14ac:dyDescent="0.25">
      <c r="B175" s="11"/>
      <c r="C175" s="14"/>
      <c r="D175" s="18"/>
      <c r="E175" s="18"/>
      <c r="F175" s="14"/>
      <c r="G175" s="11"/>
    </row>
    <row r="176" ht="15" customHeight="1" spans="2:7" x14ac:dyDescent="0.25">
      <c r="B176" s="11"/>
      <c r="C176" s="14"/>
      <c r="D176" s="18"/>
      <c r="E176" s="18"/>
      <c r="F176" s="14"/>
      <c r="G176" s="11"/>
    </row>
    <row r="177" ht="15" customHeight="1" spans="2:7" x14ac:dyDescent="0.25">
      <c r="B177" s="11"/>
      <c r="C177" s="14"/>
      <c r="D177" s="18"/>
      <c r="E177" s="18"/>
      <c r="F177" s="14"/>
      <c r="G177" s="11"/>
    </row>
    <row r="178" ht="15" customHeight="1" spans="2:7" x14ac:dyDescent="0.25">
      <c r="B178" s="11"/>
      <c r="C178" s="14"/>
      <c r="D178" s="18"/>
      <c r="E178" s="18"/>
      <c r="F178" s="14"/>
      <c r="G178" s="11"/>
    </row>
    <row r="179" spans="2:3" x14ac:dyDescent="0.25">
      <c r="B179" s="7" t="s">
        <v>195</v>
      </c>
      <c r="C179" s="24">
        <f>SUMIFS(D169:D178,C169:C178,"Property")+SUMIFS(D169:D178,C169:C178,"Other asset")+IF(C158="Debit",N(C159),0)+IF(D158="Debit",N(D159),0)</f>
      </c>
    </row>
    <row r="180" spans="2:3" x14ac:dyDescent="0.25">
      <c r="B180" s="7" t="s">
        <v>196</v>
      </c>
      <c r="C180" s="24">
        <f>SUMIFS(D169:D178,C169:C178,"Bond")+SUMIFS(D169:D178,C169:C178,"Other debt")+IF(C158="Credit",N(C159),0)+IF(D158="Credit",N(D159),0)</f>
      </c>
    </row>
    <row r="181" spans="2:3" x14ac:dyDescent="0.25">
      <c r="B181" s="22" t="s">
        <v>197</v>
      </c>
      <c r="C181" s="23">
        <f>C179-C180</f>
      </c>
    </row>
    <row r="182" spans="2:4" x14ac:dyDescent="0.25">
      <c r="B182" s="13" t="s">
        <v>198</v>
      </c>
      <c r="C182" s="13">
        <f>'Lists'!$A$2</f>
      </c>
      <c r="D182" s="13">
        <f>'Lists'!$A$3</f>
      </c>
    </row>
    <row r="183" spans="2:4" x14ac:dyDescent="0.25">
      <c r="B183" s="7" t="s">
        <v>199</v>
      </c>
      <c r="C183" s="24">
        <f>IF(OR(C145="Trust",C157=""),"",ROUND(IF(OR(C145="Partnership",C145="Sole Proprietor"),C181,MAX(0,C181))*N(C157)/100,0))</f>
      </c>
      <c r="D183" s="24">
        <f>IF(OR(C145="Trust",D157=""),"",ROUND(IF(OR(C145="Partnership",C145="Sole Proprietor"),C181,MAX(0,C181))*N(D157)/100,0))</f>
      </c>
    </row>
    <row r="184" spans="2:4" x14ac:dyDescent="0.25">
      <c r="B184" s="22" t="s">
        <v>200</v>
      </c>
      <c r="C184" s="23">
        <f>IF(C145="Trust","",IF(C163&lt;&gt;"",C163,C183))</f>
      </c>
      <c r="D184" s="23">
        <f>IF(C145="Trust","",IF(D163&lt;&gt;"",D163,D183))</f>
      </c>
    </row>
    <row r="185" spans="2:2" x14ac:dyDescent="0.25">
      <c r="B185" s="28" t="s">
        <v>201</v>
      </c>
    </row>
  </sheetData>
  <sheetProtection sheet="1" formatRows="0"/>
  <mergeCells count="19">
    <mergeCell ref="B1:G1"/>
    <mergeCell ref="B2:G2"/>
    <mergeCell ref="B5:G5"/>
    <mergeCell ref="C8:E8"/>
    <mergeCell ref="C16:E16"/>
    <mergeCell ref="C19:E19"/>
    <mergeCell ref="B30:G30"/>
    <mergeCell ref="C54:E54"/>
    <mergeCell ref="C62:E62"/>
    <mergeCell ref="C65:E65"/>
    <mergeCell ref="B76:G76"/>
    <mergeCell ref="C99:E99"/>
    <mergeCell ref="C107:E107"/>
    <mergeCell ref="C110:E110"/>
    <mergeCell ref="B121:G121"/>
    <mergeCell ref="C144:E144"/>
    <mergeCell ref="C152:E152"/>
    <mergeCell ref="C155:E155"/>
    <mergeCell ref="B166:G166"/>
  </mergeCells>
  <dataValidations count="68">
    <dataValidation type="list" allowBlank="1" showErrorMessage="1" errorStyle="stop" errorTitle="Please choose from the list" error="Please choose one of the options in the list." sqref="C10">
      <formula1>'Lists'!$Q$2:$Q$5</formula1>
    </dataValidation>
    <dataValidation type="list" allowBlank="1" showErrorMessage="1" errorStyle="stop" errorTitle="Please choose from the list" error="Please choose one of the options in the list." sqref="C100">
      <formula1>'Lists'!$O$2:$O$7</formula1>
    </dataValidation>
    <dataValidation type="list" allowBlank="1" showErrorMessage="1" errorStyle="stop" errorTitle="Please choose from the list" error="Please choose one of the options in the list." sqref="C101">
      <formula1>'Lists'!$Q$2:$Q$5</formula1>
    </dataValidation>
    <dataValidation type="list" allowBlank="1" showErrorMessage="1" errorStyle="stop" errorTitle="Please choose from the list" error="Please choose one of the options in the list." sqref="C102">
      <formula1>'Lists'!$F$2:$F$3</formula1>
    </dataValidation>
    <dataValidation type="list" allowBlank="1" showErrorMessage="1" errorStyle="stop" errorTitle="Please choose from the list" error="Please choose one of the options in the list." sqref="C103">
      <formula1>'Lists'!$P$2:$P$4</formula1>
    </dataValidation>
    <dataValidation type="date" allowBlank="1" showErrorMessage="1" errorStyle="stop" errorTitle="Date" error="Please type a date like 2012-03-31. If you only know the year, type the 1st of January of that year and say so in Notes." sqref="C104">
      <formula1>7306</formula1>
      <formula2>73415</formula2>
    </dataValidation>
    <dataValidation type="list" allowBlank="1" showErrorMessage="1" errorStyle="stop" errorTitle="Please choose from the list" error="Please choose one of the options in the list." sqref="C105">
      <formula1>'Lists'!$T$2:$T$5</formula1>
    </dataValidation>
    <dataValidation type="list" allowBlank="1" showErrorMessage="1" errorStyle="stop" errorTitle="Please choose from the list" error="Please choose one of the options in the list." sqref="C106">
      <formula1>'Lists'!$U$2:$U$4</formula1>
    </dataValidation>
    <dataValidation type="list" allowBlank="1" showErrorMessage="1" errorStyle="stop" errorTitle="Please choose from the list" error="Please choose one of the options in the list." sqref="C108:C109">
      <formula1>'Lists'!$F$2:$F$3</formula1>
    </dataValidation>
    <dataValidation type="list" allowBlank="1" showErrorMessage="1" errorStyle="stop" errorTitle="Please choose from the list" error="Please choose one of the options in the list." sqref="C11">
      <formula1>'Lists'!$F$2:$F$3</formula1>
    </dataValidation>
    <dataValidation type="decimal" allowBlank="1" showErrorMessage="1" errorStyle="stop" errorTitle="Percentage" error="Please type the percentage as a plain number from 1 to 100, e.g. 60 for 60%. Do not add the % sign." sqref="C112:D112">
      <formula1>1</formula1>
      <formula2>100</formula2>
    </dataValidation>
    <dataValidation type="list" allowBlank="1" showErrorMessage="1" errorStyle="stop" errorTitle="Please choose from the list" error="Please choose one of the options in the list." sqref="C113:D113">
      <formula1>'Lists'!$R$2:$R$4</formula1>
    </dataValidation>
    <dataValidation type="decimal" operator="greaterThanOrEqual" allowBlank="1" showErrorMessage="1" errorStyle="stop" errorTitle="Amount" error="Please type the amount in rand as a number, without R or spaces, e.g. 1250000." sqref="C114:D115">
      <formula1>0</formula1>
    </dataValidation>
    <dataValidation type="date" allowBlank="1" showErrorMessage="1" errorStyle="stop" errorTitle="Date" error="Please type a date like 2012-03-31. If you only know the year, type the 1st of January of that year and say so in Notes." sqref="C116:D116">
      <formula1>7306</formula1>
      <formula2>73415</formula2>
    </dataValidation>
    <dataValidation type="list" allowBlank="1" showErrorMessage="1" errorStyle="stop" errorTitle="Please choose from the list" error="Please choose one of the options in the list." sqref="C117:D117">
      <formula1>'Lists'!$F$2:$F$3</formula1>
    </dataValidation>
    <dataValidation type="decimal" operator="greaterThanOrEqual" allowBlank="1" showErrorMessage="1" errorStyle="stop" errorTitle="Amount" error="Please type the amount in rand as a number, without R or spaces, e.g. 1250000." sqref="C118:D118">
      <formula1>0</formula1>
    </dataValidation>
    <dataValidation type="list" allowBlank="1" showErrorMessage="1" errorStyle="stop" errorTitle="Please choose from the list" error="Please choose one of the options in the list." sqref="C12">
      <formula1>'Lists'!$P$2:$P$4</formula1>
    </dataValidation>
    <dataValidation type="list" allowBlank="1" showErrorMessage="1" errorStyle="stop" errorTitle="Please choose from the list" error="Please choose one of the options in the list." sqref="C124:C133">
      <formula1>'Lists'!$S$2:$S$5</formula1>
    </dataValidation>
    <dataValidation type="date" allowBlank="1" showErrorMessage="1" errorStyle="stop" errorTitle="Date" error="Please type a date like 2012-03-31. If you only know the year, type the 1st of January of that year and say so in Notes." sqref="C13">
      <formula1>7306</formula1>
      <formula2>73415</formula2>
    </dataValidation>
    <dataValidation type="list" allowBlank="1" showErrorMessage="1" errorStyle="stop" errorTitle="Please choose from the list" error="Please choose one of the options in the list." sqref="C14">
      <formula1>'Lists'!$T$2:$T$5</formula1>
    </dataValidation>
    <dataValidation type="list" allowBlank="1" showErrorMessage="1" errorStyle="stop" errorTitle="Please choose from the list" error="Please choose one of the options in the list." sqref="C145">
      <formula1>'Lists'!$O$2:$O$7</formula1>
    </dataValidation>
    <dataValidation type="list" allowBlank="1" showErrorMessage="1" errorStyle="stop" errorTitle="Please choose from the list" error="Please choose one of the options in the list." sqref="C146">
      <formula1>'Lists'!$Q$2:$Q$5</formula1>
    </dataValidation>
    <dataValidation type="list" allowBlank="1" showErrorMessage="1" errorStyle="stop" errorTitle="Please choose from the list" error="Please choose one of the options in the list." sqref="C147">
      <formula1>'Lists'!$F$2:$F$3</formula1>
    </dataValidation>
    <dataValidation type="list" allowBlank="1" showErrorMessage="1" errorStyle="stop" errorTitle="Please choose from the list" error="Please choose one of the options in the list." sqref="C148">
      <formula1>'Lists'!$P$2:$P$4</formula1>
    </dataValidation>
    <dataValidation type="date" allowBlank="1" showErrorMessage="1" errorStyle="stop" errorTitle="Date" error="Please type a date like 2012-03-31. If you only know the year, type the 1st of January of that year and say so in Notes." sqref="C149">
      <formula1>7306</formula1>
      <formula2>73415</formula2>
    </dataValidation>
    <dataValidation type="list" allowBlank="1" showErrorMessage="1" errorStyle="stop" errorTitle="Please choose from the list" error="Please choose one of the options in the list." sqref="C15">
      <formula1>'Lists'!$U$2:$U$4</formula1>
    </dataValidation>
    <dataValidation type="list" allowBlank="1" showErrorMessage="1" errorStyle="stop" errorTitle="Please choose from the list" error="Please choose one of the options in the list." sqref="C150">
      <formula1>'Lists'!$T$2:$T$5</formula1>
    </dataValidation>
    <dataValidation type="list" allowBlank="1" showErrorMessage="1" errorStyle="stop" errorTitle="Please choose from the list" error="Please choose one of the options in the list." sqref="C151">
      <formula1>'Lists'!$U$2:$U$4</formula1>
    </dataValidation>
    <dataValidation type="list" allowBlank="1" showErrorMessage="1" errorStyle="stop" errorTitle="Please choose from the list" error="Please choose one of the options in the list." sqref="C153:C154">
      <formula1>'Lists'!$F$2:$F$3</formula1>
    </dataValidation>
    <dataValidation type="decimal" allowBlank="1" showErrorMessage="1" errorStyle="stop" errorTitle="Percentage" error="Please type the percentage as a plain number from 1 to 100, e.g. 60 for 60%. Do not add the % sign." sqref="C157:D157">
      <formula1>1</formula1>
      <formula2>100</formula2>
    </dataValidation>
    <dataValidation type="list" allowBlank="1" showErrorMessage="1" errorStyle="stop" errorTitle="Please choose from the list" error="Please choose one of the options in the list." sqref="C158:D158">
      <formula1>'Lists'!$R$2:$R$4</formula1>
    </dataValidation>
    <dataValidation type="decimal" operator="greaterThanOrEqual" allowBlank="1" showErrorMessage="1" errorStyle="stop" errorTitle="Amount" error="Please type the amount in rand as a number, without R or spaces, e.g. 1250000." sqref="C159:D160">
      <formula1>0</formula1>
    </dataValidation>
    <dataValidation type="date" allowBlank="1" showErrorMessage="1" errorStyle="stop" errorTitle="Date" error="Please type a date like 2012-03-31. If you only know the year, type the 1st of January of that year and say so in Notes." sqref="C161:D161">
      <formula1>7306</formula1>
      <formula2>73415</formula2>
    </dataValidation>
    <dataValidation type="list" allowBlank="1" showErrorMessage="1" errorStyle="stop" errorTitle="Please choose from the list" error="Please choose one of the options in the list." sqref="C162:D162">
      <formula1>'Lists'!$F$2:$F$3</formula1>
    </dataValidation>
    <dataValidation type="decimal" operator="greaterThanOrEqual" allowBlank="1" showErrorMessage="1" errorStyle="stop" errorTitle="Amount" error="Please type the amount in rand as a number, without R or spaces, e.g. 1250000." sqref="C163:D163">
      <formula1>0</formula1>
    </dataValidation>
    <dataValidation type="list" allowBlank="1" showErrorMessage="1" errorStyle="stop" errorTitle="Please choose from the list" error="Please choose one of the options in the list." sqref="C169:C178">
      <formula1>'Lists'!$S$2:$S$5</formula1>
    </dataValidation>
    <dataValidation type="list" allowBlank="1" showErrorMessage="1" errorStyle="stop" errorTitle="Please choose from the list" error="Please choose one of the options in the list." sqref="C17:C18">
      <formula1>'Lists'!$F$2:$F$3</formula1>
    </dataValidation>
    <dataValidation type="decimal" allowBlank="1" showErrorMessage="1" errorStyle="stop" errorTitle="Percentage" error="Please type the percentage as a plain number from 1 to 100, e.g. 60 for 60%. Do not add the % sign." sqref="C21:D21">
      <formula1>1</formula1>
      <formula2>100</formula2>
    </dataValidation>
    <dataValidation type="list" allowBlank="1" showErrorMessage="1" errorStyle="stop" errorTitle="Please choose from the list" error="Please choose one of the options in the list." sqref="C22:D22">
      <formula1>'Lists'!$R$2:$R$4</formula1>
    </dataValidation>
    <dataValidation type="decimal" operator="greaterThanOrEqual" allowBlank="1" showErrorMessage="1" errorStyle="stop" errorTitle="Amount" error="Please type the amount in rand as a number, without R or spaces, e.g. 1250000." sqref="C23:D24">
      <formula1>0</formula1>
    </dataValidation>
    <dataValidation type="date" allowBlank="1" showErrorMessage="1" errorStyle="stop" errorTitle="Date" error="Please type a date like 2012-03-31. If you only know the year, type the 1st of January of that year and say so in Notes." sqref="C25:D25">
      <formula1>7306</formula1>
      <formula2>73415</formula2>
    </dataValidation>
    <dataValidation type="list" allowBlank="1" showErrorMessage="1" errorStyle="stop" errorTitle="Please choose from the list" error="Please choose one of the options in the list." sqref="C26:D26">
      <formula1>'Lists'!$F$2:$F$3</formula1>
    </dataValidation>
    <dataValidation type="decimal" operator="greaterThanOrEqual" allowBlank="1" showErrorMessage="1" errorStyle="stop" errorTitle="Amount" error="Please type the amount in rand as a number, without R or spaces, e.g. 1250000." sqref="C27:D27">
      <formula1>0</formula1>
    </dataValidation>
    <dataValidation type="list" allowBlank="1" showErrorMessage="1" errorStyle="stop" errorTitle="Please choose from the list" error="Please choose one of the options in the list." sqref="C34:C43">
      <formula1>'Lists'!$S$2:$S$5</formula1>
    </dataValidation>
    <dataValidation type="list" allowBlank="1" showErrorMessage="1" errorStyle="stop" errorTitle="Please choose from the list" error="Please choose one of the options in the list." sqref="C55">
      <formula1>'Lists'!$O$2:$O$7</formula1>
    </dataValidation>
    <dataValidation type="list" allowBlank="1" showErrorMessage="1" errorStyle="stop" errorTitle="Please choose from the list" error="Please choose one of the options in the list." sqref="C56">
      <formula1>'Lists'!$Q$2:$Q$5</formula1>
    </dataValidation>
    <dataValidation type="list" allowBlank="1" showErrorMessage="1" errorStyle="stop" errorTitle="Please choose from the list" error="Please choose one of the options in the list." sqref="C57">
      <formula1>'Lists'!$F$2:$F$3</formula1>
    </dataValidation>
    <dataValidation type="list" allowBlank="1" showErrorMessage="1" errorStyle="stop" errorTitle="Please choose from the list" error="Please choose one of the options in the list." sqref="C58">
      <formula1>'Lists'!$P$2:$P$4</formula1>
    </dataValidation>
    <dataValidation type="date" allowBlank="1" showErrorMessage="1" errorStyle="stop" errorTitle="Date" error="Please type a date like 2012-03-31. If you only know the year, type the 1st of January of that year and say so in Notes." sqref="C59">
      <formula1>7306</formula1>
      <formula2>73415</formula2>
    </dataValidation>
    <dataValidation type="list" allowBlank="1" showErrorMessage="1" errorStyle="stop" errorTitle="Please choose from the list" error="Please choose one of the options in the list." sqref="C60">
      <formula1>'Lists'!$T$2:$T$5</formula1>
    </dataValidation>
    <dataValidation type="list" allowBlank="1" showErrorMessage="1" errorStyle="stop" errorTitle="Please choose from the list" error="Please choose one of the options in the list." sqref="C61">
      <formula1>'Lists'!$U$2:$U$4</formula1>
    </dataValidation>
    <dataValidation type="list" allowBlank="1" showErrorMessage="1" errorStyle="stop" errorTitle="Please choose from the list" error="Please choose one of the options in the list." sqref="C63:C64">
      <formula1>'Lists'!$F$2:$F$3</formula1>
    </dataValidation>
    <dataValidation type="decimal" allowBlank="1" showErrorMessage="1" errorStyle="stop" errorTitle="Percentage" error="Please type the percentage as a plain number from 1 to 100, e.g. 60 for 60%. Do not add the % sign." sqref="C67:D67">
      <formula1>1</formula1>
      <formula2>100</formula2>
    </dataValidation>
    <dataValidation type="list" allowBlank="1" showErrorMessage="1" errorStyle="stop" errorTitle="Please choose from the list" error="Please choose one of the options in the list." sqref="C68:D68">
      <formula1>'Lists'!$R$2:$R$4</formula1>
    </dataValidation>
    <dataValidation type="decimal" operator="greaterThanOrEqual" allowBlank="1" showErrorMessage="1" errorStyle="stop" errorTitle="Amount" error="Please type the amount in rand as a number, without R or spaces, e.g. 1250000." sqref="C69:D70">
      <formula1>0</formula1>
    </dataValidation>
    <dataValidation type="date" allowBlank="1" showErrorMessage="1" errorStyle="stop" errorTitle="Date" error="Please type a date like 2012-03-31. If you only know the year, type the 1st of January of that year and say so in Notes." sqref="C71:D71">
      <formula1>7306</formula1>
      <formula2>73415</formula2>
    </dataValidation>
    <dataValidation type="list" allowBlank="1" showErrorMessage="1" errorStyle="stop" errorTitle="Please choose from the list" error="Please choose one of the options in the list." sqref="C72:D72">
      <formula1>'Lists'!$F$2:$F$3</formula1>
    </dataValidation>
    <dataValidation type="decimal" operator="greaterThanOrEqual" allowBlank="1" showErrorMessage="1" errorStyle="stop" errorTitle="Amount" error="Please type the amount in rand as a number, without R or spaces, e.g. 1250000." sqref="C73:D73">
      <formula1>0</formula1>
    </dataValidation>
    <dataValidation type="list" allowBlank="1" showErrorMessage="1" errorStyle="stop" errorTitle="Please choose from the list" error="Please choose one of the options in the list." sqref="C79:C88">
      <formula1>'Lists'!$S$2:$S$5</formula1>
    </dataValidation>
    <dataValidation type="list" allowBlank="1" showErrorMessage="1" errorStyle="stop" errorTitle="Please choose from the list" error="Please choose one of the options in the list." sqref="C9">
      <formula1>'Lists'!$O$2:$O$7</formula1>
    </dataValidation>
    <dataValidation type="decimal" operator="greaterThanOrEqual" allowBlank="1" showErrorMessage="1" errorStyle="stop" errorTitle="Amount" error="Please type the amount in rand as a number, without R or spaces, e.g. 1250000." sqref="D124:E133">
      <formula1>0</formula1>
    </dataValidation>
    <dataValidation type="decimal" operator="greaterThanOrEqual" allowBlank="1" showErrorMessage="1" errorStyle="stop" errorTitle="Amount" error="Please type the amount in rand as a number, without R or spaces, e.g. 1250000." sqref="D169:E178">
      <formula1>0</formula1>
    </dataValidation>
    <dataValidation type="decimal" operator="greaterThanOrEqual" allowBlank="1" showErrorMessage="1" errorStyle="stop" errorTitle="Amount" error="Please type the amount in rand as a number, without R or spaces, e.g. 1250000." sqref="D34:E43">
      <formula1>0</formula1>
    </dataValidation>
    <dataValidation type="decimal" operator="greaterThanOrEqual" allowBlank="1" showErrorMessage="1" errorStyle="stop" errorTitle="Amount" error="Please type the amount in rand as a number, without R or spaces, e.g. 1250000." sqref="D79:E88">
      <formula1>0</formula1>
    </dataValidation>
    <dataValidation type="list" allowBlank="1" showErrorMessage="1" errorStyle="stop" errorTitle="Please choose from the list" error="Please choose one of the options in the list." sqref="F124:F133">
      <formula1>'Lists'!$T$2:$T$5</formula1>
    </dataValidation>
    <dataValidation type="list" allowBlank="1" showErrorMessage="1" errorStyle="stop" errorTitle="Please choose from the list" error="Please choose one of the options in the list." sqref="F169:F178">
      <formula1>'Lists'!$T$2:$T$5</formula1>
    </dataValidation>
    <dataValidation type="list" allowBlank="1" showErrorMessage="1" errorStyle="stop" errorTitle="Please choose from the list" error="Please choose one of the options in the list." sqref="F34:F43">
      <formula1>'Lists'!$T$2:$T$5</formula1>
    </dataValidation>
    <dataValidation type="list" allowBlank="1" showErrorMessage="1" errorStyle="stop" errorTitle="Please choose from the list" error="Please choose one of the options in the list." sqref="F79:F88">
      <formula1>'Lists'!$T$2:$T$5</formula1>
    </dataValidation>
  </dataValidations>
  <printOptions horizontalCentered="1"/>
  <pageMargins left="0.4" right="0.4" top="0.5" bottom="0.6" header="0.25" footer="0.3"/>
  <pageSetup paperSize="9" orientation="portrait" horizontalDpi="4294967295" verticalDpi="4294967295" scale="100" fitToWidth="1" fitToHeight="0"/>
  <headerFooter>
    <oddFooter>&amp;L&amp;8&amp;"Arial"Duwalcoe Financial Consultants CC  ·  FSP 9978  ·  Fact find&amp;R&amp;8&amp;"Arial"&amp;A  ·  page &amp;P</oddFooter>
  </headerFooter>
  <rowBreaks count="3" manualBreakCount="3">
    <brk id="51" max="16838" man="1"/>
    <brk id="96" max="16838" man="1"/>
    <brk id="141" max="16838"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22"/>
  <sheetViews>
    <sheetView workbookViewId="0" showGridLines="0">
      <pane ySplit="2" topLeftCell="A3" activePane="bottomLeft" state="frozen"/>
      <selection pane="bottomLeft"/>
    </sheetView>
  </sheetViews>
  <sheetFormatPr defaultRowHeight="15" outlineLevelRow="0" outlineLevelCol="0" x14ac:dyDescent="55"/>
  <cols>
    <col min="1" max="1" width="2" customWidth="1"/>
    <col min="2" max="2" width="36" customWidth="1"/>
    <col min="3" max="3" width="14" customWidth="1"/>
    <col min="4" max="5" width="16" customWidth="1"/>
    <col min="6" max="6" width="12" customWidth="1"/>
    <col min="7" max="8" width="13" customWidth="1"/>
    <col min="9" max="9" width="18" customWidth="1"/>
    <col min="10" max="10" width="28" customWidth="1"/>
    <col min="26" max="26" width="18" hidden="1" customWidth="1"/>
  </cols>
  <sheetData>
    <row r="1" ht="21.75" customHeight="1" spans="2:10" x14ac:dyDescent="0.25">
      <c r="B1" s="1" t="s">
        <v>0</v>
      </c>
      <c r="C1" s="1"/>
      <c r="D1" s="1"/>
      <c r="E1" s="1"/>
      <c r="F1" s="1"/>
      <c r="G1" s="1"/>
      <c r="H1" s="1"/>
      <c r="I1" s="1"/>
      <c r="J1" s="1"/>
    </row>
    <row r="2" ht="15" customHeight="1" spans="2:10" x14ac:dyDescent="0.25">
      <c r="B2" s="2" t="s">
        <v>1</v>
      </c>
      <c r="C2" s="2"/>
      <c r="D2" s="2"/>
      <c r="E2" s="2"/>
      <c r="F2" s="2"/>
      <c r="G2" s="2"/>
      <c r="H2" s="2"/>
      <c r="I2" s="2"/>
      <c r="J2" s="2"/>
    </row>
    <row r="4" ht="20" customHeight="1" spans="2:2" x14ac:dyDescent="0.25">
      <c r="B4" s="3" t="s">
        <v>205</v>
      </c>
    </row>
    <row r="6" ht="18" customHeight="1" spans="2:10" x14ac:dyDescent="0.25">
      <c r="B6" s="4" t="s">
        <v>206</v>
      </c>
      <c r="C6" s="5"/>
      <c r="D6" s="5"/>
      <c r="E6" s="5"/>
      <c r="F6" s="5"/>
      <c r="G6" s="5"/>
      <c r="H6" s="5"/>
      <c r="I6" s="5"/>
      <c r="J6" s="5"/>
    </row>
    <row r="7" ht="26" customHeight="1" spans="2:10" x14ac:dyDescent="0.25">
      <c r="B7" s="12" t="s">
        <v>207</v>
      </c>
      <c r="C7" s="12"/>
      <c r="D7" s="12"/>
      <c r="E7" s="12"/>
      <c r="F7" s="12"/>
      <c r="G7" s="12"/>
      <c r="H7" s="12"/>
      <c r="I7" s="12"/>
      <c r="J7" s="12"/>
    </row>
    <row r="8" hidden="1" spans="2:26" x14ac:dyDescent="0.25">
      <c r="B8" t="s">
        <v>62</v>
      </c>
      <c r="C8" t="s">
        <v>208</v>
      </c>
      <c r="D8" t="s">
        <v>209</v>
      </c>
      <c r="E8" t="s">
        <v>210</v>
      </c>
      <c r="F8" t="s">
        <v>211</v>
      </c>
      <c r="G8" t="s">
        <v>212</v>
      </c>
      <c r="H8" t="s">
        <v>213</v>
      </c>
      <c r="I8" t="s">
        <v>214</v>
      </c>
      <c r="J8" t="s">
        <v>68</v>
      </c>
      <c r="Z8" t="s">
        <v>51</v>
      </c>
    </row>
    <row r="9" ht="30" customHeight="1" spans="2:10" x14ac:dyDescent="0.25">
      <c r="B9" s="13" t="s">
        <v>215</v>
      </c>
      <c r="C9" s="13" t="s">
        <v>216</v>
      </c>
      <c r="D9" s="13" t="s">
        <v>217</v>
      </c>
      <c r="E9" s="13" t="s">
        <v>218</v>
      </c>
      <c r="F9" s="13" t="s">
        <v>219</v>
      </c>
      <c r="G9" s="13" t="s">
        <v>220</v>
      </c>
      <c r="H9" s="13" t="s">
        <v>221</v>
      </c>
      <c r="I9" s="13" t="s">
        <v>122</v>
      </c>
      <c r="J9" s="13" t="s">
        <v>74</v>
      </c>
    </row>
    <row r="10" spans="1:10" x14ac:dyDescent="0.25">
      <c r="B10" s="20" t="s">
        <v>222</v>
      </c>
      <c r="C10" s="20" t="s">
        <v>223</v>
      </c>
      <c r="D10" s="20" t="s">
        <v>224</v>
      </c>
      <c r="E10" s="21">
        <v>40000</v>
      </c>
      <c r="F10" s="20">
        <v>20</v>
      </c>
      <c r="G10" s="20" t="s">
        <v>88</v>
      </c>
      <c r="H10" s="20" t="s">
        <v>128</v>
      </c>
      <c r="I10" s="20" t="s">
        <v>88</v>
      </c>
      <c r="J10" s="20" t="s">
        <v>88</v>
      </c>
    </row>
    <row r="11" ht="15" customHeight="1" spans="2:10" x14ac:dyDescent="0.25">
      <c r="B11" s="11"/>
      <c r="C11" s="14"/>
      <c r="D11" s="14"/>
      <c r="E11" s="18"/>
      <c r="F11" s="26"/>
      <c r="G11" s="26"/>
      <c r="H11" s="14"/>
      <c r="I11" s="11"/>
      <c r="J11" s="11"/>
    </row>
    <row r="12" ht="15" customHeight="1" spans="2:10" x14ac:dyDescent="0.25">
      <c r="B12" s="11"/>
      <c r="C12" s="14"/>
      <c r="D12" s="14"/>
      <c r="E12" s="18"/>
      <c r="F12" s="26"/>
      <c r="G12" s="26"/>
      <c r="H12" s="14"/>
      <c r="I12" s="11"/>
      <c r="J12" s="11"/>
    </row>
    <row r="13" ht="15" customHeight="1" spans="2:10" x14ac:dyDescent="0.25">
      <c r="B13" s="11"/>
      <c r="C13" s="14"/>
      <c r="D13" s="14"/>
      <c r="E13" s="18"/>
      <c r="F13" s="26"/>
      <c r="G13" s="26"/>
      <c r="H13" s="14"/>
      <c r="I13" s="11"/>
      <c r="J13" s="11"/>
    </row>
    <row r="14" ht="15" customHeight="1" spans="2:10" x14ac:dyDescent="0.25">
      <c r="B14" s="11"/>
      <c r="C14" s="14"/>
      <c r="D14" s="14"/>
      <c r="E14" s="18"/>
      <c r="F14" s="26"/>
      <c r="G14" s="26"/>
      <c r="H14" s="14"/>
      <c r="I14" s="11"/>
      <c r="J14" s="11"/>
    </row>
    <row r="15" ht="15" customHeight="1" spans="2:10" x14ac:dyDescent="0.25">
      <c r="B15" s="11"/>
      <c r="C15" s="14"/>
      <c r="D15" s="14"/>
      <c r="E15" s="18"/>
      <c r="F15" s="26"/>
      <c r="G15" s="26"/>
      <c r="H15" s="14"/>
      <c r="I15" s="11"/>
      <c r="J15" s="11"/>
    </row>
    <row r="16" ht="15" customHeight="1" spans="2:10" x14ac:dyDescent="0.25">
      <c r="B16" s="11"/>
      <c r="C16" s="14"/>
      <c r="D16" s="14"/>
      <c r="E16" s="18"/>
      <c r="F16" s="26"/>
      <c r="G16" s="26"/>
      <c r="H16" s="14"/>
      <c r="I16" s="11"/>
      <c r="J16" s="11"/>
    </row>
    <row r="17" ht="15" customHeight="1" spans="2:10" x14ac:dyDescent="0.25">
      <c r="B17" s="11"/>
      <c r="C17" s="14"/>
      <c r="D17" s="14"/>
      <c r="E17" s="18"/>
      <c r="F17" s="26"/>
      <c r="G17" s="26"/>
      <c r="H17" s="14"/>
      <c r="I17" s="11"/>
      <c r="J17" s="11"/>
    </row>
    <row r="18" ht="15" customHeight="1" spans="2:10" x14ac:dyDescent="0.25">
      <c r="B18" s="11"/>
      <c r="C18" s="14"/>
      <c r="D18" s="14"/>
      <c r="E18" s="18"/>
      <c r="F18" s="26"/>
      <c r="G18" s="26"/>
      <c r="H18" s="14"/>
      <c r="I18" s="11"/>
      <c r="J18" s="11"/>
    </row>
    <row r="19" ht="15" customHeight="1" spans="2:10" x14ac:dyDescent="0.25">
      <c r="B19" s="11"/>
      <c r="C19" s="14"/>
      <c r="D19" s="14"/>
      <c r="E19" s="18"/>
      <c r="F19" s="26"/>
      <c r="G19" s="26"/>
      <c r="H19" s="14"/>
      <c r="I19" s="11"/>
      <c r="J19" s="11"/>
    </row>
    <row r="20" ht="15" customHeight="1" spans="2:10" x14ac:dyDescent="0.25">
      <c r="B20" s="11"/>
      <c r="C20" s="14"/>
      <c r="D20" s="14"/>
      <c r="E20" s="18"/>
      <c r="F20" s="26"/>
      <c r="G20" s="26"/>
      <c r="H20" s="14"/>
      <c r="I20" s="11"/>
      <c r="J20" s="11"/>
    </row>
    <row r="21" ht="15" customHeight="1" spans="2:10" x14ac:dyDescent="0.25">
      <c r="B21" s="11"/>
      <c r="C21" s="14"/>
      <c r="D21" s="14"/>
      <c r="E21" s="18"/>
      <c r="F21" s="26"/>
      <c r="G21" s="26"/>
      <c r="H21" s="14"/>
      <c r="I21" s="11"/>
      <c r="J21" s="11"/>
    </row>
    <row r="22" ht="15" customHeight="1" spans="2:10" x14ac:dyDescent="0.25">
      <c r="B22" s="11"/>
      <c r="C22" s="14"/>
      <c r="D22" s="14"/>
      <c r="E22" s="18"/>
      <c r="F22" s="26"/>
      <c r="G22" s="26"/>
      <c r="H22" s="14"/>
      <c r="I22" s="11"/>
      <c r="J22" s="11"/>
    </row>
  </sheetData>
  <sheetProtection sheet="1" formatRows="0"/>
  <mergeCells count="3">
    <mergeCell ref="B1:J1"/>
    <mergeCell ref="B2:J2"/>
    <mergeCell ref="B7:J7"/>
  </mergeCells>
  <dataValidations count="5">
    <dataValidation type="list" allowBlank="1" showErrorMessage="1" errorStyle="stop" errorTitle="Please choose from the list" error="Please choose one of the options in the list." sqref="C11:C22">
      <formula1>'Lists'!$V$2:$V$6</formula1>
    </dataValidation>
    <dataValidation type="list" allowBlank="1" showErrorMessage="1" errorStyle="stop" errorTitle="Please choose from the list" error="Please choose one of the options in the list." sqref="D11:D22">
      <formula1>'Lists'!$W$2:$W$3</formula1>
    </dataValidation>
    <dataValidation type="decimal" operator="greaterThanOrEqual" allowBlank="1" showErrorMessage="1" errorStyle="stop" errorTitle="Amount" error="Please type the amount in rand as a number, without R or spaces, e.g. 1250000." sqref="E11:E22">
      <formula1>0</formula1>
    </dataValidation>
    <dataValidation type="decimal" allowBlank="1" showErrorMessage="1" errorStyle="stop" errorTitle="Number" error="Please type a number." sqref="F11:G22">
      <formula1>0</formula1>
      <formula2>1000</formula2>
    </dataValidation>
    <dataValidation type="list" allowBlank="1" showErrorMessage="1" errorStyle="stop" errorTitle="Please choose from the list" error="Please choose one of the options in the list." sqref="H11:H22">
      <formula1>'Lists'!$X$2:$X$4</formula1>
    </dataValidation>
  </dataValidations>
  <printOptions horizontalCentered="1"/>
  <pageMargins left="0.4" right="0.4" top="0.5" bottom="0.6" header="0.25" footer="0.3"/>
  <pageSetup paperSize="9" orientation="landscape" horizontalDpi="4294967295" verticalDpi="4294967295" scale="100" fitToWidth="1" fitToHeight="0"/>
  <headerFooter>
    <oddFooter>&amp;L&amp;8&amp;"Arial"Duwalcoe Financial Consultants CC  ·  FSP 9978  ·  Fact find&amp;R&amp;8&amp;"Arial"&amp;A  ·  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E173"/>
  <sheetViews>
    <sheetView workbookViewId="0" showGridLines="0">
      <pane ySplit="2" topLeftCell="A3" activePane="bottomLeft" state="frozen"/>
      <selection pane="bottomLeft"/>
    </sheetView>
  </sheetViews>
  <sheetFormatPr defaultRowHeight="15" outlineLevelRow="0" outlineLevelCol="0" x14ac:dyDescent="55"/>
  <cols>
    <col min="1" max="1" width="2" customWidth="1"/>
    <col min="2" max="2" width="56" customWidth="1"/>
    <col min="3" max="3" width="34" customWidth="1"/>
    <col min="4" max="5" width="28" customWidth="1"/>
    <col min="26" max="26" width="18" hidden="1" customWidth="1"/>
  </cols>
  <sheetData>
    <row r="1" ht="21.75" customHeight="1" spans="2:5" x14ac:dyDescent="0.25">
      <c r="B1" s="1" t="s">
        <v>0</v>
      </c>
      <c r="C1" s="1"/>
      <c r="D1" s="1"/>
      <c r="E1" s="1"/>
    </row>
    <row r="2" ht="15" customHeight="1" spans="2:5" x14ac:dyDescent="0.25">
      <c r="B2" s="2" t="s">
        <v>1</v>
      </c>
      <c r="C2" s="2"/>
      <c r="D2" s="2"/>
      <c r="E2" s="2"/>
    </row>
    <row r="4" ht="20" customHeight="1" spans="2:2" x14ac:dyDescent="0.25">
      <c r="B4" s="3" t="s">
        <v>225</v>
      </c>
    </row>
    <row r="5" ht="15" customHeight="1" spans="2:5" x14ac:dyDescent="0.25">
      <c r="B5" s="12" t="s">
        <v>226</v>
      </c>
      <c r="C5" s="12"/>
      <c r="D5" s="12"/>
      <c r="E5" s="12"/>
    </row>
    <row r="8" ht="18" customHeight="1" spans="2:5" x14ac:dyDescent="0.25">
      <c r="B8" s="4" t="s">
        <v>227</v>
      </c>
      <c r="C8" s="5"/>
      <c r="D8" s="5"/>
      <c r="E8" s="5"/>
    </row>
    <row r="9" spans="2:5" x14ac:dyDescent="0.25">
      <c r="B9" s="7" t="s">
        <v>21</v>
      </c>
      <c r="C9" s="29">
        <f>'Client and family'!$C$10</f>
      </c>
      <c r="D9" s="29"/>
      <c r="E9" s="29"/>
    </row>
    <row r="10" spans="2:5" x14ac:dyDescent="0.25">
      <c r="B10" s="7" t="s">
        <v>228</v>
      </c>
      <c r="C10" s="30">
        <f>'Client and family'!$C$12</f>
      </c>
      <c r="D10" s="30"/>
      <c r="E10" s="30"/>
    </row>
    <row r="11" spans="2:5" x14ac:dyDescent="0.25">
      <c r="B11" s="7" t="s">
        <v>41</v>
      </c>
      <c r="C11" s="29">
        <f>'Client and family'!$C$30</f>
      </c>
      <c r="D11" s="29"/>
      <c r="E11" s="29"/>
    </row>
    <row r="12" spans="2:5" x14ac:dyDescent="0.25">
      <c r="B12" s="7" t="s">
        <v>229</v>
      </c>
      <c r="C12" s="11"/>
      <c r="D12" s="11"/>
      <c r="E12" s="11"/>
    </row>
    <row r="13" spans="2:5" x14ac:dyDescent="0.25">
      <c r="B13" s="7" t="s">
        <v>230</v>
      </c>
      <c r="C13" s="11"/>
      <c r="D13" s="11"/>
      <c r="E13" s="11"/>
    </row>
    <row r="15" ht="18" customHeight="1" spans="2:5" x14ac:dyDescent="0.25">
      <c r="B15" s="4" t="s">
        <v>231</v>
      </c>
      <c r="C15" s="5"/>
      <c r="D15" s="5"/>
      <c r="E15" s="5"/>
    </row>
    <row r="16" spans="2:5" x14ac:dyDescent="0.25">
      <c r="B16" s="7" t="s">
        <v>232</v>
      </c>
      <c r="C16" s="29">
        <f>'Client and family'!$D$10</f>
      </c>
      <c r="D16" s="29"/>
      <c r="E16" s="29"/>
    </row>
    <row r="17" spans="2:5" x14ac:dyDescent="0.25">
      <c r="B17" s="7" t="s">
        <v>233</v>
      </c>
      <c r="C17" s="31">
        <f>IF('Client and family'!$C$31="","",'Client and family'!$C$31)</f>
      </c>
      <c r="D17" s="31"/>
      <c r="E17" s="31"/>
    </row>
    <row r="18" spans="2:5" x14ac:dyDescent="0.25">
      <c r="B18" s="7" t="s">
        <v>234</v>
      </c>
      <c r="C18" s="11"/>
      <c r="D18" s="11"/>
      <c r="E18" s="11"/>
    </row>
    <row r="19" ht="36" customHeight="1" spans="2:5" x14ac:dyDescent="0.25">
      <c r="B19" s="7" t="s">
        <v>235</v>
      </c>
      <c r="C19" s="11"/>
      <c r="D19" s="11"/>
      <c r="E19" s="11"/>
    </row>
    <row r="21" ht="18" customHeight="1" spans="2:5" x14ac:dyDescent="0.25">
      <c r="B21" s="4" t="s">
        <v>236</v>
      </c>
      <c r="C21" s="5"/>
      <c r="D21" s="5"/>
      <c r="E21" s="5"/>
    </row>
    <row r="22" spans="2:5" x14ac:dyDescent="0.25">
      <c r="B22" s="13" t="s">
        <v>237</v>
      </c>
      <c r="C22" s="13" t="s">
        <v>238</v>
      </c>
      <c r="D22" s="13"/>
      <c r="E22" s="13"/>
    </row>
    <row r="23" spans="2:5" x14ac:dyDescent="0.25">
      <c r="B23" s="9">
        <f>IF('Client and family'!$B$38="","",'Client and family'!$B$38)</f>
      </c>
      <c r="C23" s="11"/>
      <c r="D23" s="11"/>
      <c r="E23" s="11"/>
    </row>
    <row r="24" spans="2:5" x14ac:dyDescent="0.25">
      <c r="B24" s="9">
        <f>IF('Client and family'!$B$39="","",'Client and family'!$B$39)</f>
      </c>
      <c r="C24" s="11"/>
      <c r="D24" s="11"/>
      <c r="E24" s="11"/>
    </row>
    <row r="25" spans="2:5" x14ac:dyDescent="0.25">
      <c r="B25" s="9">
        <f>IF('Client and family'!$B$40="","",'Client and family'!$B$40)</f>
      </c>
      <c r="C25" s="11"/>
      <c r="D25" s="11"/>
      <c r="E25" s="11"/>
    </row>
    <row r="26" spans="2:5" x14ac:dyDescent="0.25">
      <c r="B26" s="9">
        <f>IF('Client and family'!$B$41="","",'Client and family'!$B$41)</f>
      </c>
      <c r="C26" s="11"/>
      <c r="D26" s="11"/>
      <c r="E26" s="11"/>
    </row>
    <row r="27" spans="2:5" x14ac:dyDescent="0.25">
      <c r="B27" s="9">
        <f>IF('Client and family'!$B$42="","",'Client and family'!$B$42)</f>
      </c>
      <c r="C27" s="11"/>
      <c r="D27" s="11"/>
      <c r="E27" s="11"/>
    </row>
    <row r="28" spans="2:5" x14ac:dyDescent="0.25">
      <c r="B28" s="9">
        <f>IF('Client and family'!$B$43="","",'Client and family'!$B$43)</f>
      </c>
      <c r="C28" s="11"/>
      <c r="D28" s="11"/>
      <c r="E28" s="11"/>
    </row>
    <row r="29" spans="2:5" x14ac:dyDescent="0.25">
      <c r="B29" s="9">
        <f>IF('Client and family'!$B$44="","",'Client and family'!$B$44)</f>
      </c>
      <c r="C29" s="11"/>
      <c r="D29" s="11"/>
      <c r="E29" s="11"/>
    </row>
    <row r="30" spans="2:5" x14ac:dyDescent="0.25">
      <c r="B30" s="9">
        <f>IF('Client and family'!$B$45="","",'Client and family'!$B$45)</f>
      </c>
      <c r="C30" s="11"/>
      <c r="D30" s="11"/>
      <c r="E30" s="11"/>
    </row>
    <row r="31" ht="30" customHeight="1" spans="2:5" x14ac:dyDescent="0.25">
      <c r="B31" s="7" t="s">
        <v>58</v>
      </c>
      <c r="C31" s="29">
        <f>IF('Client and family'!$C$49="","",'Client and family'!$C$49)</f>
      </c>
      <c r="D31" s="29"/>
      <c r="E31" s="29"/>
    </row>
    <row r="33" ht="18" customHeight="1" spans="2:5" x14ac:dyDescent="0.25">
      <c r="B33" s="4" t="s">
        <v>239</v>
      </c>
      <c r="C33" s="5"/>
      <c r="D33" s="5"/>
      <c r="E33" s="5"/>
    </row>
    <row r="34" spans="2:5" x14ac:dyDescent="0.25">
      <c r="B34" s="7" t="s">
        <v>240</v>
      </c>
      <c r="C34" s="11"/>
      <c r="D34" s="11"/>
      <c r="E34" s="11"/>
    </row>
    <row r="35" spans="2:5" x14ac:dyDescent="0.25">
      <c r="B35" s="7" t="s">
        <v>241</v>
      </c>
      <c r="C35" s="11"/>
      <c r="D35" s="11"/>
      <c r="E35" s="11"/>
    </row>
    <row r="36" spans="2:5" x14ac:dyDescent="0.25">
      <c r="B36" s="7" t="s">
        <v>242</v>
      </c>
      <c r="C36" s="11"/>
      <c r="D36" s="11"/>
      <c r="E36" s="11"/>
    </row>
    <row r="37" ht="36" customHeight="1" spans="2:5" x14ac:dyDescent="0.25">
      <c r="B37" s="7" t="s">
        <v>243</v>
      </c>
      <c r="C37" s="11"/>
      <c r="D37" s="11"/>
      <c r="E37" s="11"/>
    </row>
    <row r="38" spans="2:5" x14ac:dyDescent="0.25">
      <c r="B38" s="7" t="s">
        <v>244</v>
      </c>
      <c r="C38" s="14"/>
      <c r="D38" s="14"/>
      <c r="E38" s="14"/>
    </row>
    <row r="40" ht="18" customHeight="1" spans="2:5" x14ac:dyDescent="0.25">
      <c r="B40" s="4" t="s">
        <v>245</v>
      </c>
      <c r="C40" s="5"/>
      <c r="D40" s="5"/>
      <c r="E40" s="5"/>
    </row>
    <row r="41" spans="2:5" x14ac:dyDescent="0.25">
      <c r="B41" s="7" t="s">
        <v>246</v>
      </c>
      <c r="C41" s="14"/>
      <c r="D41" s="14"/>
      <c r="E41" s="14"/>
    </row>
    <row r="42" spans="2:5" x14ac:dyDescent="0.25">
      <c r="B42" s="7" t="s">
        <v>247</v>
      </c>
      <c r="C42" s="11"/>
      <c r="D42" s="11"/>
      <c r="E42" s="11"/>
    </row>
    <row r="43" spans="2:5" x14ac:dyDescent="0.25">
      <c r="B43" s="7" t="s">
        <v>248</v>
      </c>
      <c r="C43" s="15"/>
      <c r="D43" s="15"/>
      <c r="E43" s="15"/>
    </row>
    <row r="44" spans="2:5" x14ac:dyDescent="0.25">
      <c r="B44" s="7" t="s">
        <v>249</v>
      </c>
      <c r="C44" s="11"/>
      <c r="D44" s="11"/>
      <c r="E44" s="11"/>
    </row>
    <row r="45" spans="2:5" x14ac:dyDescent="0.25">
      <c r="B45" s="7" t="s">
        <v>250</v>
      </c>
      <c r="C45" s="15"/>
      <c r="D45" s="15"/>
      <c r="E45" s="15"/>
    </row>
    <row r="46" spans="2:5" x14ac:dyDescent="0.25">
      <c r="B46" s="7" t="s">
        <v>251</v>
      </c>
      <c r="C46" s="11"/>
      <c r="D46" s="11"/>
      <c r="E46" s="11"/>
    </row>
    <row r="47" spans="2:5" x14ac:dyDescent="0.25">
      <c r="B47" s="7" t="s">
        <v>252</v>
      </c>
      <c r="C47" s="15"/>
      <c r="D47" s="15"/>
      <c r="E47" s="15"/>
    </row>
    <row r="48" spans="2:5" x14ac:dyDescent="0.25">
      <c r="B48" s="7" t="s">
        <v>253</v>
      </c>
      <c r="C48" s="11"/>
      <c r="D48" s="11"/>
      <c r="E48" s="11"/>
    </row>
    <row r="49" spans="2:5" x14ac:dyDescent="0.25">
      <c r="B49" s="7" t="s">
        <v>254</v>
      </c>
      <c r="C49" s="15"/>
      <c r="D49" s="15"/>
      <c r="E49" s="15"/>
    </row>
    <row r="50" spans="2:5" x14ac:dyDescent="0.25">
      <c r="B50" s="7" t="s">
        <v>255</v>
      </c>
      <c r="C50" s="14"/>
      <c r="D50" s="14"/>
      <c r="E50" s="14"/>
    </row>
    <row r="51" ht="36" customHeight="1" spans="2:5" x14ac:dyDescent="0.25">
      <c r="B51" s="7" t="s">
        <v>256</v>
      </c>
      <c r="C51" s="11"/>
      <c r="D51" s="11"/>
      <c r="E51" s="11"/>
    </row>
    <row r="53" ht="18" customHeight="1" spans="2:5" x14ac:dyDescent="0.25">
      <c r="B53" s="4" t="s">
        <v>257</v>
      </c>
      <c r="C53" s="5"/>
      <c r="D53" s="5"/>
      <c r="E53" s="5"/>
    </row>
    <row r="54" ht="26" customHeight="1" spans="2:5" x14ac:dyDescent="0.25">
      <c r="B54" s="7" t="s">
        <v>258</v>
      </c>
      <c r="C54" s="11"/>
      <c r="D54" s="11"/>
      <c r="E54" s="11"/>
    </row>
    <row r="55" spans="2:5" x14ac:dyDescent="0.25">
      <c r="B55" s="7" t="s">
        <v>259</v>
      </c>
      <c r="C55" s="11"/>
      <c r="D55" s="11"/>
      <c r="E55" s="11"/>
    </row>
    <row r="56" spans="2:5" x14ac:dyDescent="0.25">
      <c r="B56" s="7" t="s">
        <v>260</v>
      </c>
      <c r="C56" s="15"/>
      <c r="D56" s="15"/>
      <c r="E56" s="15"/>
    </row>
    <row r="57" spans="2:5" x14ac:dyDescent="0.25">
      <c r="B57" s="7" t="s">
        <v>261</v>
      </c>
      <c r="C57" s="11"/>
      <c r="D57" s="11"/>
      <c r="E57" s="11"/>
    </row>
    <row r="58" spans="2:5" x14ac:dyDescent="0.25">
      <c r="B58" s="7" t="s">
        <v>262</v>
      </c>
      <c r="C58" s="15"/>
      <c r="D58" s="15"/>
      <c r="E58" s="15"/>
    </row>
    <row r="59" spans="2:5" x14ac:dyDescent="0.25">
      <c r="B59" s="7" t="s">
        <v>263</v>
      </c>
      <c r="C59" s="11"/>
      <c r="D59" s="11"/>
      <c r="E59" s="11"/>
    </row>
    <row r="60" spans="2:5" x14ac:dyDescent="0.25">
      <c r="B60" s="7" t="s">
        <v>264</v>
      </c>
      <c r="C60" s="15"/>
      <c r="D60" s="15"/>
      <c r="E60" s="15"/>
    </row>
    <row r="61" ht="26" customHeight="1" spans="2:5" x14ac:dyDescent="0.25">
      <c r="B61" s="7" t="s">
        <v>265</v>
      </c>
      <c r="C61" s="11"/>
      <c r="D61" s="11"/>
      <c r="E61" s="11"/>
    </row>
    <row r="62" spans="2:5" x14ac:dyDescent="0.25">
      <c r="B62" s="7" t="s">
        <v>266</v>
      </c>
      <c r="C62" s="11"/>
      <c r="D62" s="11"/>
      <c r="E62" s="11"/>
    </row>
    <row r="63" ht="36" customHeight="1" spans="2:5" x14ac:dyDescent="0.25">
      <c r="B63" s="7" t="s">
        <v>267</v>
      </c>
      <c r="C63" s="11"/>
      <c r="D63" s="11"/>
      <c r="E63" s="11"/>
    </row>
    <row r="65" ht="18" customHeight="1" spans="2:5" x14ac:dyDescent="0.25">
      <c r="B65" s="4" t="s">
        <v>268</v>
      </c>
      <c r="C65" s="5"/>
      <c r="D65" s="5"/>
      <c r="E65" s="5"/>
    </row>
    <row r="66" hidden="1" spans="2:4" x14ac:dyDescent="0.25">
      <c r="B66" t="s">
        <v>269</v>
      </c>
      <c r="C66" t="s">
        <v>270</v>
      </c>
      <c r="D66" t="s">
        <v>271</v>
      </c>
    </row>
    <row r="67" ht="22" customHeight="1" spans="2:4" x14ac:dyDescent="0.25">
      <c r="B67" s="13" t="s">
        <v>272</v>
      </c>
      <c r="C67" s="13" t="s">
        <v>273</v>
      </c>
      <c r="D67" s="13" t="s">
        <v>274</v>
      </c>
    </row>
    <row r="68" spans="2:4" x14ac:dyDescent="0.25">
      <c r="B68" s="11"/>
      <c r="C68" s="11"/>
      <c r="D68" s="11"/>
    </row>
    <row r="69" spans="2:4" x14ac:dyDescent="0.25">
      <c r="B69" s="11"/>
      <c r="C69" s="11"/>
      <c r="D69" s="11"/>
    </row>
    <row r="70" spans="2:4" x14ac:dyDescent="0.25">
      <c r="B70" s="11"/>
      <c r="C70" s="11"/>
      <c r="D70" s="11"/>
    </row>
    <row r="71" spans="2:4" x14ac:dyDescent="0.25">
      <c r="B71" s="11"/>
      <c r="C71" s="11"/>
      <c r="D71" s="11"/>
    </row>
    <row r="72" spans="2:4" x14ac:dyDescent="0.25">
      <c r="B72" s="11"/>
      <c r="C72" s="11"/>
      <c r="D72" s="11"/>
    </row>
    <row r="73" spans="2:4" x14ac:dyDescent="0.25">
      <c r="B73" s="11"/>
      <c r="C73" s="11"/>
      <c r="D73" s="11"/>
    </row>
    <row r="75" ht="18" customHeight="1" spans="2:5" x14ac:dyDescent="0.25">
      <c r="B75" s="4" t="s">
        <v>275</v>
      </c>
      <c r="C75" s="5"/>
      <c r="D75" s="5"/>
      <c r="E75" s="5"/>
    </row>
    <row r="76" ht="26" customHeight="1" spans="2:5" x14ac:dyDescent="0.25">
      <c r="B76" s="7" t="s">
        <v>276</v>
      </c>
      <c r="C76" s="11"/>
      <c r="D76" s="11"/>
      <c r="E76" s="11"/>
    </row>
    <row r="77" hidden="1" spans="2:4" x14ac:dyDescent="0.25">
      <c r="B77" t="s">
        <v>270</v>
      </c>
      <c r="C77" t="s">
        <v>277</v>
      </c>
      <c r="D77" t="s">
        <v>271</v>
      </c>
    </row>
    <row r="78" ht="22" customHeight="1" spans="2:4" x14ac:dyDescent="0.25">
      <c r="B78" s="13" t="s">
        <v>278</v>
      </c>
      <c r="C78" s="13" t="s">
        <v>279</v>
      </c>
      <c r="D78" s="13" t="s">
        <v>274</v>
      </c>
    </row>
    <row r="79" spans="2:4" x14ac:dyDescent="0.25">
      <c r="B79" s="11"/>
      <c r="C79" s="26"/>
      <c r="D79" s="11"/>
    </row>
    <row r="80" spans="2:4" x14ac:dyDescent="0.25">
      <c r="B80" s="11"/>
      <c r="C80" s="26"/>
      <c r="D80" s="11"/>
    </row>
    <row r="81" spans="2:4" x14ac:dyDescent="0.25">
      <c r="B81" s="11"/>
      <c r="C81" s="26"/>
      <c r="D81" s="11"/>
    </row>
    <row r="82" spans="2:4" x14ac:dyDescent="0.25">
      <c r="B82" s="11"/>
      <c r="C82" s="26"/>
      <c r="D82" s="11"/>
    </row>
    <row r="83" spans="2:4" x14ac:dyDescent="0.25">
      <c r="B83" s="11"/>
      <c r="C83" s="26"/>
      <c r="D83" s="11"/>
    </row>
    <row r="85" ht="18" customHeight="1" spans="2:5" x14ac:dyDescent="0.25">
      <c r="B85" s="4" t="s">
        <v>280</v>
      </c>
      <c r="C85" s="5"/>
      <c r="D85" s="5"/>
      <c r="E85" s="5"/>
    </row>
    <row r="86" ht="26" customHeight="1" spans="2:5" x14ac:dyDescent="0.25">
      <c r="B86" s="28" t="s">
        <v>281</v>
      </c>
      <c r="C86" s="28"/>
      <c r="D86" s="28"/>
      <c r="E86" s="28"/>
    </row>
    <row r="87" ht="26" customHeight="1" spans="2:5" x14ac:dyDescent="0.25">
      <c r="B87" s="7" t="s">
        <v>282</v>
      </c>
      <c r="C87" s="11"/>
      <c r="D87" s="11"/>
      <c r="E87" s="11"/>
    </row>
    <row r="88" ht="36" customHeight="1" spans="2:5" x14ac:dyDescent="0.25">
      <c r="B88" s="7" t="s">
        <v>283</v>
      </c>
      <c r="C88" s="11"/>
      <c r="D88" s="11"/>
      <c r="E88" s="11"/>
    </row>
    <row r="89" ht="26" customHeight="1" spans="2:5" x14ac:dyDescent="0.25">
      <c r="B89" s="7" t="s">
        <v>284</v>
      </c>
      <c r="C89" s="11"/>
      <c r="D89" s="11"/>
      <c r="E89" s="11"/>
    </row>
    <row r="90" spans="2:5" x14ac:dyDescent="0.25">
      <c r="B90" s="7" t="s">
        <v>285</v>
      </c>
      <c r="C90" s="11"/>
      <c r="D90" s="11"/>
      <c r="E90" s="11"/>
    </row>
    <row r="91" spans="2:5" x14ac:dyDescent="0.25">
      <c r="B91" s="7" t="s">
        <v>286</v>
      </c>
      <c r="C91" s="11"/>
      <c r="D91" s="11"/>
      <c r="E91" s="11"/>
    </row>
    <row r="93" ht="18" customHeight="1" spans="2:5" x14ac:dyDescent="0.25">
      <c r="B93" s="4" t="s">
        <v>287</v>
      </c>
      <c r="C93" s="5"/>
      <c r="D93" s="5"/>
      <c r="E93" s="5"/>
    </row>
    <row r="94" spans="2:5" x14ac:dyDescent="0.25">
      <c r="B94" s="7" t="s">
        <v>288</v>
      </c>
      <c r="C94" s="11"/>
      <c r="D94" s="11"/>
      <c r="E94" s="11"/>
    </row>
    <row r="95" spans="2:5" x14ac:dyDescent="0.25">
      <c r="B95" s="7" t="s">
        <v>289</v>
      </c>
      <c r="C95" s="11"/>
      <c r="D95" s="11"/>
      <c r="E95" s="11"/>
    </row>
    <row r="96" ht="26" customHeight="1" spans="2:5" x14ac:dyDescent="0.25">
      <c r="B96" s="7" t="s">
        <v>290</v>
      </c>
      <c r="C96" s="11"/>
      <c r="D96" s="11"/>
      <c r="E96" s="11"/>
    </row>
    <row r="97" spans="2:5" x14ac:dyDescent="0.25">
      <c r="B97" s="7" t="s">
        <v>291</v>
      </c>
      <c r="C97" s="14"/>
      <c r="D97" s="14"/>
      <c r="E97" s="14"/>
    </row>
    <row r="99" ht="18" customHeight="1" spans="2:5" x14ac:dyDescent="0.25">
      <c r="B99" s="4" t="s">
        <v>292</v>
      </c>
      <c r="C99" s="5"/>
      <c r="D99" s="5"/>
      <c r="E99" s="5"/>
    </row>
    <row r="100" spans="2:5" x14ac:dyDescent="0.25">
      <c r="B100" s="7" t="s">
        <v>293</v>
      </c>
      <c r="C100" s="11"/>
      <c r="D100" s="11"/>
      <c r="E100" s="11"/>
    </row>
    <row r="101" ht="36" customHeight="1" spans="2:5" x14ac:dyDescent="0.25">
      <c r="B101" s="7" t="s">
        <v>294</v>
      </c>
      <c r="C101" s="11"/>
      <c r="D101" s="11"/>
      <c r="E101" s="11"/>
    </row>
    <row r="102" ht="36" customHeight="1" spans="2:5" x14ac:dyDescent="0.25">
      <c r="B102" s="7" t="s">
        <v>295</v>
      </c>
      <c r="C102" s="11"/>
      <c r="D102" s="11"/>
      <c r="E102" s="11"/>
    </row>
    <row r="103" spans="2:5" x14ac:dyDescent="0.25">
      <c r="B103" s="7" t="s">
        <v>296</v>
      </c>
      <c r="C103" s="11"/>
      <c r="D103" s="11"/>
      <c r="E103" s="11"/>
    </row>
    <row r="104" spans="2:5" x14ac:dyDescent="0.25">
      <c r="B104" s="7" t="s">
        <v>297</v>
      </c>
      <c r="C104" s="11"/>
      <c r="D104" s="11"/>
      <c r="E104" s="11"/>
    </row>
    <row r="105" spans="2:5" x14ac:dyDescent="0.25">
      <c r="B105" s="7" t="s">
        <v>298</v>
      </c>
      <c r="C105" s="15"/>
      <c r="D105" s="15"/>
      <c r="E105" s="15"/>
    </row>
    <row r="106" spans="2:5" x14ac:dyDescent="0.25">
      <c r="B106" s="7" t="s">
        <v>299</v>
      </c>
      <c r="C106" s="11"/>
      <c r="D106" s="11"/>
      <c r="E106" s="11"/>
    </row>
    <row r="108" ht="18" customHeight="1" spans="2:5" x14ac:dyDescent="0.25">
      <c r="B108" s="4" t="s">
        <v>300</v>
      </c>
      <c r="C108" s="5"/>
      <c r="D108" s="5"/>
      <c r="E108" s="5"/>
    </row>
    <row r="109" spans="2:5" x14ac:dyDescent="0.25">
      <c r="B109" s="7" t="s">
        <v>301</v>
      </c>
      <c r="C109" s="14"/>
      <c r="D109" s="14"/>
      <c r="E109" s="14"/>
    </row>
    <row r="110" spans="2:5" x14ac:dyDescent="0.25">
      <c r="B110" s="7" t="s">
        <v>302</v>
      </c>
      <c r="C110" s="11"/>
      <c r="D110" s="11"/>
      <c r="E110" s="11"/>
    </row>
    <row r="111" spans="2:5" x14ac:dyDescent="0.25">
      <c r="B111" s="7" t="s">
        <v>303</v>
      </c>
      <c r="C111" s="11"/>
      <c r="D111" s="11"/>
      <c r="E111" s="11"/>
    </row>
    <row r="112" spans="2:5" x14ac:dyDescent="0.25">
      <c r="B112" s="7" t="s">
        <v>304</v>
      </c>
      <c r="C112" s="14"/>
      <c r="D112" s="14"/>
      <c r="E112" s="14"/>
    </row>
    <row r="113" spans="2:5" x14ac:dyDescent="0.25">
      <c r="B113" s="7" t="s">
        <v>305</v>
      </c>
      <c r="C113" s="11"/>
      <c r="D113" s="11"/>
      <c r="E113" s="11"/>
    </row>
    <row r="115" ht="18" customHeight="1" spans="2:5" x14ac:dyDescent="0.25">
      <c r="B115" s="4" t="s">
        <v>306</v>
      </c>
      <c r="C115" s="5"/>
      <c r="D115" s="5"/>
      <c r="E115" s="5"/>
    </row>
    <row r="116" spans="2:5" x14ac:dyDescent="0.25">
      <c r="B116" s="7" t="s">
        <v>307</v>
      </c>
      <c r="C116" s="14"/>
      <c r="D116" s="14"/>
      <c r="E116" s="14"/>
    </row>
    <row r="117" spans="2:5" x14ac:dyDescent="0.25">
      <c r="B117" s="7" t="s">
        <v>308</v>
      </c>
      <c r="C117" s="11"/>
      <c r="D117" s="11"/>
      <c r="E117" s="11"/>
    </row>
    <row r="118" spans="2:5" x14ac:dyDescent="0.25">
      <c r="B118" s="7" t="s">
        <v>309</v>
      </c>
      <c r="C118" s="11"/>
      <c r="D118" s="11"/>
      <c r="E118" s="11"/>
    </row>
    <row r="120" ht="18" customHeight="1" spans="2:5" x14ac:dyDescent="0.25">
      <c r="B120" s="4" t="s">
        <v>310</v>
      </c>
      <c r="C120" s="5"/>
      <c r="D120" s="5"/>
      <c r="E120" s="5"/>
    </row>
    <row r="121" ht="26" customHeight="1" spans="2:5" x14ac:dyDescent="0.25">
      <c r="B121" s="7" t="s">
        <v>311</v>
      </c>
      <c r="C121" s="11"/>
      <c r="D121" s="11"/>
      <c r="E121" s="11"/>
    </row>
    <row r="123" ht="18" customHeight="1" spans="2:5" x14ac:dyDescent="0.25">
      <c r="B123" s="4" t="s">
        <v>312</v>
      </c>
      <c r="C123" s="5"/>
      <c r="D123" s="5"/>
      <c r="E123" s="5"/>
    </row>
    <row r="124" ht="36" customHeight="1" spans="2:5" x14ac:dyDescent="0.25">
      <c r="B124" s="7" t="s">
        <v>313</v>
      </c>
      <c r="C124" s="11"/>
      <c r="D124" s="11"/>
      <c r="E124" s="11"/>
    </row>
    <row r="126" ht="18" customHeight="1" spans="2:5" x14ac:dyDescent="0.25">
      <c r="B126" s="4" t="s">
        <v>314</v>
      </c>
      <c r="C126" s="5"/>
      <c r="D126" s="5"/>
      <c r="E126" s="5"/>
    </row>
    <row r="127" spans="2:5" x14ac:dyDescent="0.25">
      <c r="B127" s="7" t="s">
        <v>315</v>
      </c>
      <c r="C127" s="11"/>
      <c r="D127" s="11"/>
      <c r="E127" s="11"/>
    </row>
    <row r="128" spans="2:5" x14ac:dyDescent="0.25">
      <c r="B128" s="7" t="s">
        <v>316</v>
      </c>
      <c r="C128" s="15"/>
      <c r="D128" s="15"/>
      <c r="E128" s="15"/>
    </row>
    <row r="129" spans="2:5" x14ac:dyDescent="0.25">
      <c r="B129" s="7" t="s">
        <v>317</v>
      </c>
      <c r="C129" s="11"/>
      <c r="D129" s="11"/>
      <c r="E129" s="11"/>
    </row>
    <row r="130" spans="2:5" x14ac:dyDescent="0.25">
      <c r="B130" s="7" t="s">
        <v>318</v>
      </c>
      <c r="C130" s="15"/>
      <c r="D130" s="15"/>
      <c r="E130" s="15"/>
    </row>
    <row r="131" spans="2:5" x14ac:dyDescent="0.25">
      <c r="B131" s="7" t="s">
        <v>319</v>
      </c>
      <c r="C131" s="11"/>
      <c r="D131" s="11"/>
      <c r="E131" s="11"/>
    </row>
    <row r="132" spans="2:5" x14ac:dyDescent="0.25">
      <c r="B132" s="7" t="s">
        <v>320</v>
      </c>
      <c r="C132" s="11"/>
      <c r="D132" s="11"/>
      <c r="E132" s="11"/>
    </row>
    <row r="133" spans="2:5" x14ac:dyDescent="0.25">
      <c r="B133" s="7" t="s">
        <v>321</v>
      </c>
      <c r="C133" s="15"/>
      <c r="D133" s="15"/>
      <c r="E133" s="15"/>
    </row>
    <row r="134" spans="2:5" x14ac:dyDescent="0.25">
      <c r="B134" s="7" t="s">
        <v>322</v>
      </c>
      <c r="C134" s="11"/>
      <c r="D134" s="11"/>
      <c r="E134" s="11"/>
    </row>
    <row r="135" spans="2:5" x14ac:dyDescent="0.25">
      <c r="B135" s="7" t="s">
        <v>323</v>
      </c>
      <c r="C135" s="15"/>
      <c r="D135" s="15"/>
      <c r="E135" s="15"/>
    </row>
    <row r="136" ht="26" customHeight="1" spans="2:5" x14ac:dyDescent="0.25">
      <c r="B136" s="7" t="s">
        <v>324</v>
      </c>
      <c r="C136" s="11"/>
      <c r="D136" s="11"/>
      <c r="E136" s="11"/>
    </row>
    <row r="137" spans="2:5" x14ac:dyDescent="0.25">
      <c r="B137" s="7" t="s">
        <v>325</v>
      </c>
      <c r="C137" s="11"/>
      <c r="D137" s="11"/>
      <c r="E137" s="11"/>
    </row>
    <row r="138" spans="2:5" x14ac:dyDescent="0.25">
      <c r="B138" s="7" t="s">
        <v>326</v>
      </c>
      <c r="C138" s="11"/>
      <c r="D138" s="11"/>
      <c r="E138" s="11"/>
    </row>
    <row r="139" spans="2:5" x14ac:dyDescent="0.25">
      <c r="B139" s="7" t="s">
        <v>327</v>
      </c>
      <c r="C139" s="14"/>
      <c r="D139" s="14"/>
      <c r="E139" s="14"/>
    </row>
    <row r="140" ht="36" customHeight="1" spans="2:5" x14ac:dyDescent="0.25">
      <c r="B140" s="7" t="s">
        <v>328</v>
      </c>
      <c r="C140" s="11"/>
      <c r="D140" s="11"/>
      <c r="E140" s="11"/>
    </row>
    <row r="142" ht="18" customHeight="1" spans="2:5" x14ac:dyDescent="0.25">
      <c r="B142" s="4" t="s">
        <v>329</v>
      </c>
      <c r="C142" s="5"/>
      <c r="D142" s="5"/>
      <c r="E142" s="5"/>
    </row>
    <row r="143" spans="2:5" x14ac:dyDescent="0.25">
      <c r="B143" s="7" t="s">
        <v>330</v>
      </c>
      <c r="C143" s="11"/>
      <c r="D143" s="11"/>
      <c r="E143" s="11"/>
    </row>
    <row r="144" spans="2:5" x14ac:dyDescent="0.25">
      <c r="B144" s="7" t="s">
        <v>331</v>
      </c>
      <c r="C144" s="11"/>
      <c r="D144" s="11"/>
      <c r="E144" s="11"/>
    </row>
    <row r="145" spans="2:5" x14ac:dyDescent="0.25">
      <c r="B145" s="7" t="s">
        <v>332</v>
      </c>
      <c r="C145" s="11"/>
      <c r="D145" s="11"/>
      <c r="E145" s="11"/>
    </row>
    <row r="146" spans="2:5" x14ac:dyDescent="0.25">
      <c r="B146" s="7" t="s">
        <v>333</v>
      </c>
      <c r="C146" s="11"/>
      <c r="D146" s="11"/>
      <c r="E146" s="11"/>
    </row>
    <row r="147" spans="2:5" x14ac:dyDescent="0.25">
      <c r="B147" s="7" t="s">
        <v>334</v>
      </c>
      <c r="C147" s="11"/>
      <c r="D147" s="11"/>
      <c r="E147" s="11"/>
    </row>
    <row r="148" spans="2:5" x14ac:dyDescent="0.25">
      <c r="B148" s="7" t="s">
        <v>335</v>
      </c>
      <c r="C148" s="11"/>
      <c r="D148" s="11"/>
      <c r="E148" s="11"/>
    </row>
    <row r="149" spans="2:5" x14ac:dyDescent="0.25">
      <c r="B149" s="7" t="s">
        <v>336</v>
      </c>
      <c r="C149" s="11"/>
      <c r="D149" s="11"/>
      <c r="E149" s="11"/>
    </row>
    <row r="150" spans="2:5" x14ac:dyDescent="0.25">
      <c r="B150" s="7" t="s">
        <v>337</v>
      </c>
      <c r="C150" s="11"/>
      <c r="D150" s="11"/>
      <c r="E150" s="11"/>
    </row>
    <row r="151" spans="2:5" x14ac:dyDescent="0.25">
      <c r="B151" s="7" t="s">
        <v>338</v>
      </c>
      <c r="C151" s="11"/>
      <c r="D151" s="11"/>
      <c r="E151" s="11"/>
    </row>
    <row r="152" spans="2:5" x14ac:dyDescent="0.25">
      <c r="B152" s="7" t="s">
        <v>339</v>
      </c>
      <c r="C152" s="11"/>
      <c r="D152" s="11"/>
      <c r="E152" s="11"/>
    </row>
    <row r="153" spans="2:5" x14ac:dyDescent="0.25">
      <c r="B153" s="7" t="s">
        <v>340</v>
      </c>
      <c r="C153" s="11"/>
      <c r="D153" s="11"/>
      <c r="E153" s="11"/>
    </row>
    <row r="154" spans="2:5" x14ac:dyDescent="0.25">
      <c r="B154" s="7" t="s">
        <v>341</v>
      </c>
      <c r="C154" s="11"/>
      <c r="D154" s="11"/>
      <c r="E154" s="11"/>
    </row>
    <row r="155" spans="2:5" x14ac:dyDescent="0.25">
      <c r="B155" s="7" t="s">
        <v>342</v>
      </c>
      <c r="C155" s="11"/>
      <c r="D155" s="11"/>
      <c r="E155" s="11"/>
    </row>
    <row r="156" spans="2:5" x14ac:dyDescent="0.25">
      <c r="B156" s="7" t="s">
        <v>343</v>
      </c>
      <c r="C156" s="11"/>
      <c r="D156" s="11"/>
      <c r="E156" s="11"/>
    </row>
    <row r="157" spans="2:5" x14ac:dyDescent="0.25">
      <c r="B157" s="7" t="s">
        <v>344</v>
      </c>
      <c r="C157" s="11"/>
      <c r="D157" s="11"/>
      <c r="E157" s="11"/>
    </row>
    <row r="158" spans="2:5" x14ac:dyDescent="0.25">
      <c r="B158" s="7" t="s">
        <v>345</v>
      </c>
      <c r="C158" s="15"/>
      <c r="D158" s="15"/>
      <c r="E158" s="15"/>
    </row>
    <row r="159" spans="2:5" x14ac:dyDescent="0.25">
      <c r="B159" s="7" t="s">
        <v>346</v>
      </c>
      <c r="C159" s="11"/>
      <c r="D159" s="11"/>
      <c r="E159" s="11"/>
    </row>
    <row r="160" spans="2:5" x14ac:dyDescent="0.25">
      <c r="B160" s="7" t="s">
        <v>347</v>
      </c>
      <c r="C160" s="11"/>
      <c r="D160" s="11"/>
      <c r="E160" s="11"/>
    </row>
    <row r="161" spans="2:5" x14ac:dyDescent="0.25">
      <c r="B161" s="7" t="s">
        <v>348</v>
      </c>
      <c r="C161" s="15"/>
      <c r="D161" s="15"/>
      <c r="E161" s="15"/>
    </row>
    <row r="162" spans="2:5" x14ac:dyDescent="0.25">
      <c r="B162" s="7" t="s">
        <v>349</v>
      </c>
      <c r="C162" s="11"/>
      <c r="D162" s="11"/>
      <c r="E162" s="11"/>
    </row>
    <row r="163" spans="2:5" x14ac:dyDescent="0.25">
      <c r="B163" s="7" t="s">
        <v>350</v>
      </c>
      <c r="C163" s="11"/>
      <c r="D163" s="11"/>
      <c r="E163" s="11"/>
    </row>
    <row r="164" spans="2:5" x14ac:dyDescent="0.25">
      <c r="B164" s="7" t="s">
        <v>351</v>
      </c>
      <c r="C164" s="15"/>
      <c r="D164" s="15"/>
      <c r="E164" s="15"/>
    </row>
    <row r="165" spans="2:5" x14ac:dyDescent="0.25">
      <c r="B165" s="7" t="s">
        <v>352</v>
      </c>
      <c r="C165" s="11"/>
      <c r="D165" s="11"/>
      <c r="E165" s="11"/>
    </row>
    <row r="166" spans="2:5" x14ac:dyDescent="0.25">
      <c r="B166" s="7" t="s">
        <v>353</v>
      </c>
      <c r="C166" s="11"/>
      <c r="D166" s="11"/>
      <c r="E166" s="11"/>
    </row>
    <row r="167" spans="2:5" x14ac:dyDescent="0.25">
      <c r="B167" s="7" t="s">
        <v>354</v>
      </c>
      <c r="C167" s="11"/>
      <c r="D167" s="11"/>
      <c r="E167" s="11"/>
    </row>
    <row r="168" spans="2:5" x14ac:dyDescent="0.25">
      <c r="B168" s="7" t="s">
        <v>355</v>
      </c>
      <c r="C168" s="15"/>
      <c r="D168" s="15"/>
      <c r="E168" s="15"/>
    </row>
    <row r="169" spans="2:5" x14ac:dyDescent="0.25">
      <c r="B169" s="7" t="s">
        <v>356</v>
      </c>
      <c r="C169" s="11"/>
      <c r="D169" s="11"/>
      <c r="E169" s="11"/>
    </row>
    <row r="170" spans="2:5" x14ac:dyDescent="0.25">
      <c r="B170" s="7" t="s">
        <v>357</v>
      </c>
      <c r="C170" s="11"/>
      <c r="D170" s="11"/>
      <c r="E170" s="11"/>
    </row>
    <row r="171" spans="2:5" x14ac:dyDescent="0.25">
      <c r="B171" s="7" t="s">
        <v>358</v>
      </c>
      <c r="C171" s="15"/>
      <c r="D171" s="15"/>
      <c r="E171" s="15"/>
    </row>
    <row r="172" spans="2:5" x14ac:dyDescent="0.25">
      <c r="B172" s="7" t="s">
        <v>359</v>
      </c>
      <c r="C172" s="11"/>
      <c r="D172" s="11"/>
      <c r="E172" s="11"/>
    </row>
    <row r="173" spans="2:5" x14ac:dyDescent="0.25">
      <c r="B173" s="7" t="s">
        <v>360</v>
      </c>
      <c r="C173" s="11"/>
      <c r="D173" s="11"/>
      <c r="E173" s="11"/>
    </row>
  </sheetData>
  <sheetProtection sheet="1" formatRows="0"/>
  <mergeCells count="121">
    <mergeCell ref="B1:E1"/>
    <mergeCell ref="B2:E2"/>
    <mergeCell ref="B5:E5"/>
    <mergeCell ref="C9:E9"/>
    <mergeCell ref="C10:E10"/>
    <mergeCell ref="C11:E11"/>
    <mergeCell ref="C12:E12"/>
    <mergeCell ref="C13:E13"/>
    <mergeCell ref="C16:E16"/>
    <mergeCell ref="C17:E17"/>
    <mergeCell ref="C18:E18"/>
    <mergeCell ref="C19:E19"/>
    <mergeCell ref="C22:E22"/>
    <mergeCell ref="C23:E23"/>
    <mergeCell ref="C24:E24"/>
    <mergeCell ref="C25:E25"/>
    <mergeCell ref="C26:E26"/>
    <mergeCell ref="C27:E27"/>
    <mergeCell ref="C28:E28"/>
    <mergeCell ref="C29:E29"/>
    <mergeCell ref="C30:E30"/>
    <mergeCell ref="C31:E31"/>
    <mergeCell ref="C34:E34"/>
    <mergeCell ref="C35:E35"/>
    <mergeCell ref="C36:E36"/>
    <mergeCell ref="C37:E37"/>
    <mergeCell ref="C38:E38"/>
    <mergeCell ref="C41:E41"/>
    <mergeCell ref="C42:E42"/>
    <mergeCell ref="C43:E43"/>
    <mergeCell ref="C44:E44"/>
    <mergeCell ref="C45:E45"/>
    <mergeCell ref="C46:E46"/>
    <mergeCell ref="C47:E47"/>
    <mergeCell ref="C48:E48"/>
    <mergeCell ref="C49:E49"/>
    <mergeCell ref="C50:E50"/>
    <mergeCell ref="C51:E51"/>
    <mergeCell ref="C54:E54"/>
    <mergeCell ref="C55:E55"/>
    <mergeCell ref="C56:E56"/>
    <mergeCell ref="C57:E57"/>
    <mergeCell ref="C58:E58"/>
    <mergeCell ref="C59:E59"/>
    <mergeCell ref="C60:E60"/>
    <mergeCell ref="C61:E61"/>
    <mergeCell ref="C62:E62"/>
    <mergeCell ref="C63:E63"/>
    <mergeCell ref="C76:E76"/>
    <mergeCell ref="B86:E86"/>
    <mergeCell ref="C87:E87"/>
    <mergeCell ref="C88:E88"/>
    <mergeCell ref="C89:E89"/>
    <mergeCell ref="C90:E90"/>
    <mergeCell ref="C91:E91"/>
    <mergeCell ref="C94:E94"/>
    <mergeCell ref="C95:E95"/>
    <mergeCell ref="C96:E96"/>
    <mergeCell ref="C97:E97"/>
    <mergeCell ref="C100:E100"/>
    <mergeCell ref="C101:E101"/>
    <mergeCell ref="C102:E102"/>
    <mergeCell ref="C103:E103"/>
    <mergeCell ref="C104:E104"/>
    <mergeCell ref="C105:E105"/>
    <mergeCell ref="C106:E106"/>
    <mergeCell ref="C109:E109"/>
    <mergeCell ref="C110:E110"/>
    <mergeCell ref="C111:E111"/>
    <mergeCell ref="C112:E112"/>
    <mergeCell ref="C113:E113"/>
    <mergeCell ref="C116:E116"/>
    <mergeCell ref="C117:E117"/>
    <mergeCell ref="C118:E118"/>
    <mergeCell ref="C121:E121"/>
    <mergeCell ref="C124:E124"/>
    <mergeCell ref="C127:E127"/>
    <mergeCell ref="C128:E128"/>
    <mergeCell ref="C129:E129"/>
    <mergeCell ref="C130:E130"/>
    <mergeCell ref="C131:E131"/>
    <mergeCell ref="C132:E132"/>
    <mergeCell ref="C133:E133"/>
    <mergeCell ref="C134:E134"/>
    <mergeCell ref="C135:E135"/>
    <mergeCell ref="C136:E136"/>
    <mergeCell ref="C137:E137"/>
    <mergeCell ref="C138:E138"/>
    <mergeCell ref="C139:E139"/>
    <mergeCell ref="C140:E140"/>
    <mergeCell ref="C143:E143"/>
    <mergeCell ref="C144:E144"/>
    <mergeCell ref="C145:E145"/>
    <mergeCell ref="C146:E146"/>
    <mergeCell ref="C147:E147"/>
    <mergeCell ref="C148:E148"/>
    <mergeCell ref="C149:E149"/>
    <mergeCell ref="C150:E150"/>
    <mergeCell ref="C151:E151"/>
    <mergeCell ref="C152:E152"/>
    <mergeCell ref="C153:E153"/>
    <mergeCell ref="C154:E154"/>
    <mergeCell ref="C155:E155"/>
    <mergeCell ref="C156:E156"/>
    <mergeCell ref="C157:E157"/>
    <mergeCell ref="C158:E158"/>
    <mergeCell ref="C159:E159"/>
    <mergeCell ref="C160:E160"/>
    <mergeCell ref="C161:E161"/>
    <mergeCell ref="C162:E162"/>
    <mergeCell ref="C163:E163"/>
    <mergeCell ref="C164:E164"/>
    <mergeCell ref="C165:E165"/>
    <mergeCell ref="C166:E166"/>
    <mergeCell ref="C167:E167"/>
    <mergeCell ref="C168:E168"/>
    <mergeCell ref="C169:E169"/>
    <mergeCell ref="C170:E170"/>
    <mergeCell ref="C171:E171"/>
    <mergeCell ref="C172:E172"/>
    <mergeCell ref="C173:E173"/>
  </mergeCells>
  <dataValidations count="33">
    <dataValidation type="list" allowBlank="1" showInputMessage="1" promptTitle="Item or amount" prompt="Pick one of your assets from the list, or type an item or an amount." sqref="B68:B73">
      <formula1>'Lists'!$C$2:$C$34</formula1>
    </dataValidation>
    <dataValidation type="list" allowBlank="1" showInputMessage="1" promptTitle="Name" prompt="Pick a family member from the list, or type any name." sqref="B79:B83">
      <formula1>'Lists'!$B$2:$B$10</formula1>
    </dataValidation>
    <dataValidation type="list" allowBlank="1" showErrorMessage="1" errorStyle="stop" errorTitle="Please choose from the list" error="Please choose one of the options in the list." sqref="C100">
      <formula1>'Lists'!$AG$2:$AG$4</formula1>
    </dataValidation>
    <dataValidation type="list" allowBlank="1" showErrorMessage="1" errorStyle="stop" errorTitle="Please choose from the list" error="Please choose one of the options in the list." sqref="C103">
      <formula1>'Lists'!$AH$2:$AH$3</formula1>
    </dataValidation>
    <dataValidation type="list" allowBlank="1" showErrorMessage="1" errorStyle="stop" errorTitle="Please choose from the list" error="Please choose one of the options in the list." sqref="C109">
      <formula1>'Lists'!$F$2:$F$3</formula1>
    </dataValidation>
    <dataValidation type="list" allowBlank="1" showErrorMessage="1" errorStyle="stop" errorTitle="Please choose from the list" error="Please choose one of the options in the list." sqref="C111">
      <formula1>'Lists'!$AI$2:$AI$4</formula1>
    </dataValidation>
    <dataValidation type="list" allowBlank="1" showErrorMessage="1" errorStyle="stop" errorTitle="Please choose from the list" error="Please choose one of the options in the list." sqref="C112">
      <formula1>'Lists'!$F$2:$F$3</formula1>
    </dataValidation>
    <dataValidation type="list" allowBlank="1" showErrorMessage="1" errorStyle="stop" errorTitle="Please choose from the list" error="Please choose one of the options in the list." sqref="C116">
      <formula1>'Lists'!$F$2:$F$3</formula1>
    </dataValidation>
    <dataValidation type="list" allowBlank="1" showErrorMessage="1" errorStyle="stop" errorTitle="Please choose from the list" error="Please choose one of the options in the list." sqref="C121">
      <formula1>'Lists'!$AJ$2:$AJ$3</formula1>
    </dataValidation>
    <dataValidation type="list" allowBlank="1" showErrorMessage="1" errorStyle="stop" errorTitle="Please choose from the list" error="Please choose one of the options in the list." sqref="C136">
      <formula1>'Lists'!$AK$2:$AK$3</formula1>
    </dataValidation>
    <dataValidation type="list" allowBlank="1" showErrorMessage="1" errorStyle="stop" errorTitle="Please choose from the list" error="Please choose one of the options in the list." sqref="C137">
      <formula1>'Lists'!$AL$2:$AL$3</formula1>
    </dataValidation>
    <dataValidation type="list" allowBlank="1" showErrorMessage="1" errorStyle="stop" errorTitle="Please choose from the list" error="Please choose one of the options in the list." sqref="C139">
      <formula1>'Lists'!$F$2:$F$3</formula1>
    </dataValidation>
    <dataValidation type="list" allowBlank="1" showErrorMessage="1" errorStyle="stop" errorTitle="Please choose from the list" error="Please choose one of the options in the list." sqref="C143">
      <formula1>'Lists'!$AM$2:$AM$4</formula1>
    </dataValidation>
    <dataValidation type="list" allowBlank="1" showErrorMessage="1" errorStyle="stop" errorTitle="Please choose from the list" error="Please choose one of the options in the list." sqref="C145">
      <formula1>'Lists'!$AN$2:$AN$3</formula1>
    </dataValidation>
    <dataValidation type="list" allowBlank="1" showErrorMessage="1" errorStyle="stop" errorTitle="Please choose from the list" error="Please choose one of the options in the list." sqref="C146">
      <formula1>'Lists'!$AO$2:$AO$3</formula1>
    </dataValidation>
    <dataValidation type="list" allowBlank="1" showErrorMessage="1" errorStyle="stop" errorTitle="Please choose from the list" error="Please choose one of the options in the list." sqref="C147">
      <formula1>'Lists'!$AP$2:$AP$3</formula1>
    </dataValidation>
    <dataValidation type="list" allowBlank="1" showErrorMessage="1" errorStyle="stop" errorTitle="Please choose from the list" error="Please choose one of the options in the list." sqref="C166">
      <formula1>'Lists'!$AQ$2:$AQ$3</formula1>
    </dataValidation>
    <dataValidation type="list" allowBlank="1" showErrorMessage="1" errorStyle="stop" errorTitle="Please choose from the list" error="Please choose one of the options in the list." sqref="C173">
      <formula1>'Lists'!$AR$2:$AR$3</formula1>
    </dataValidation>
    <dataValidation type="list" allowBlank="1" showErrorMessage="1" errorStyle="stop" errorTitle="Please choose from the list" error="Please choose one of the options in the list." sqref="C34">
      <formula1>'Lists'!$Y$2:$Y$4</formula1>
    </dataValidation>
    <dataValidation type="list" allowBlank="1" showErrorMessage="1" errorStyle="stop" errorTitle="Please choose from the list" error="Please choose one of the options in the list." sqref="C38">
      <formula1>'Lists'!$F$2:$F$3</formula1>
    </dataValidation>
    <dataValidation type="list" allowBlank="1" showErrorMessage="1" errorStyle="stop" errorTitle="Please choose from the list" error="Please choose one of the options in the list." sqref="C41">
      <formula1>'Lists'!$F$2:$F$3</formula1>
    </dataValidation>
    <dataValidation type="list" allowBlank="1" showErrorMessage="1" errorStyle="stop" errorTitle="Please choose from the list" error="Please choose one of the options in the list." sqref="C50">
      <formula1>'Lists'!$F$2:$F$3</formula1>
    </dataValidation>
    <dataValidation type="list" allowBlank="1" showErrorMessage="1" errorStyle="stop" errorTitle="Please choose from the list" error="Please choose one of the options in the list." sqref="C54">
      <formula1>'Lists'!$Z$2:$Z$4</formula1>
    </dataValidation>
    <dataValidation type="list" allowBlank="1" showErrorMessage="1" errorStyle="stop" errorTitle="Please choose from the list" error="Please choose one of the options in the list." sqref="C61">
      <formula1>'Lists'!$AA$2:$AA$4</formula1>
    </dataValidation>
    <dataValidation type="list" allowBlank="1" showInputMessage="1" promptTitle="Name" prompt="Pick a family member from the list, or type any name." sqref="C68:D73">
      <formula1>'Lists'!$B$2:$B$10</formula1>
    </dataValidation>
    <dataValidation type="list" allowBlank="1" showErrorMessage="1" errorStyle="stop" errorTitle="Please choose from the list" error="Please choose one of the options in the list." sqref="C76">
      <formula1>'Lists'!$AB$2:$AB$5</formula1>
    </dataValidation>
    <dataValidation type="decimal" allowBlank="1" showErrorMessage="1" errorStyle="stop" errorTitle="Percentage" error="Please type the percentage as a plain number from 1 to 100, e.g. 60 for 60%. Do not add the % sign." sqref="C79:C83">
      <formula1>1</formula1>
      <formula2>100</formula2>
    </dataValidation>
    <dataValidation type="list" allowBlank="1" showErrorMessage="1" errorStyle="stop" errorTitle="Please choose from the list" error="Please choose one of the options in the list." sqref="C87">
      <formula1>'Lists'!$AC$2:$AC$3</formula1>
    </dataValidation>
    <dataValidation type="list" allowBlank="1" showErrorMessage="1" errorStyle="stop" errorTitle="Please choose from the list" error="Please choose one of the options in the list." sqref="C89">
      <formula1>'Lists'!$AD$2:$AD$3</formula1>
    </dataValidation>
    <dataValidation type="list" allowBlank="1" showErrorMessage="1" errorStyle="stop" errorTitle="Please choose from the list" error="Please choose one of the options in the list." sqref="C94">
      <formula1>'Lists'!$AE$2:$AE$4</formula1>
    </dataValidation>
    <dataValidation type="list" allowBlank="1" showErrorMessage="1" errorStyle="stop" errorTitle="Please choose from the list" error="Please choose one of the options in the list." sqref="C96">
      <formula1>'Lists'!$AF$2:$AF$4</formula1>
    </dataValidation>
    <dataValidation type="list" allowBlank="1" showErrorMessage="1" errorStyle="stop" errorTitle="Please choose from the list" error="Please choose one of the options in the list." sqref="C97">
      <formula1>'Lists'!$F$2:$F$3</formula1>
    </dataValidation>
    <dataValidation type="list" allowBlank="1" showInputMessage="1" promptTitle="Name" prompt="Pick a family member from the list, or type any name." sqref="D79:D83">
      <formula1>'Lists'!$B$2:$B$10</formula1>
    </dataValidation>
  </dataValidations>
  <printOptions horizontalCentered="1"/>
  <pageMargins left="0.4" right="0.4" top="0.5" bottom="0.6" header="0.25" footer="0.3"/>
  <pageSetup paperSize="9" orientation="portrait" horizontalDpi="4294967295" verticalDpi="4294967295" scale="100" fitToWidth="1" fitToHeight="0"/>
  <headerFooter>
    <oddFooter>&amp;L&amp;8&amp;"Arial"Duwalcoe Financial Consultants CC  ·  FSP 9978  ·  Fact find&amp;R&amp;8&amp;"Arial"&amp;A  ·  page &amp;P</oddFooter>
  </headerFooter>
  <rowBreaks count="1" manualBreakCount="1">
    <brk id="63" max="1683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F34"/>
  <sheetViews>
    <sheetView workbookViewId="0" showGridLines="0">
      <pane ySplit="2" topLeftCell="A3" activePane="bottomLeft" state="frozen"/>
      <selection pane="bottomLeft"/>
    </sheetView>
  </sheetViews>
  <sheetFormatPr defaultRowHeight="15" outlineLevelRow="0" outlineLevelCol="0" x14ac:dyDescent="55"/>
  <cols>
    <col min="1" max="1" width="2" customWidth="1"/>
    <col min="2" max="2" width="52" customWidth="1"/>
    <col min="3" max="6" width="18" customWidth="1"/>
    <col min="26" max="26" width="18" hidden="1" customWidth="1"/>
  </cols>
  <sheetData>
    <row r="1" ht="21.75" customHeight="1" spans="2:6" x14ac:dyDescent="0.25">
      <c r="B1" s="1" t="s">
        <v>0</v>
      </c>
      <c r="C1" s="1"/>
      <c r="D1" s="1"/>
      <c r="E1" s="1"/>
      <c r="F1" s="1"/>
    </row>
    <row r="2" ht="15" customHeight="1" spans="2:6" x14ac:dyDescent="0.25">
      <c r="B2" s="2" t="s">
        <v>1</v>
      </c>
      <c r="C2" s="2"/>
      <c r="D2" s="2"/>
      <c r="E2" s="2"/>
      <c r="F2" s="2"/>
    </row>
    <row r="4" ht="20" customHeight="1" spans="2:2" x14ac:dyDescent="0.25">
      <c r="B4" s="3" t="s">
        <v>361</v>
      </c>
    </row>
    <row r="5" ht="15" customHeight="1" spans="2:6" x14ac:dyDescent="0.25">
      <c r="B5" s="12" t="s">
        <v>362</v>
      </c>
      <c r="C5" s="12"/>
      <c r="D5" s="12"/>
      <c r="E5" s="12"/>
      <c r="F5" s="12"/>
    </row>
    <row r="6" spans="2:3" x14ac:dyDescent="0.25">
      <c r="B6" s="32" t="s">
        <v>363</v>
      </c>
      <c r="C6" s="33">
        <f>IF('Start here'!$C$19="","Not yet given",'Start here'!$C$19)</f>
      </c>
    </row>
    <row r="8" spans="2:6" x14ac:dyDescent="0.25">
      <c r="B8" s="13" t="s">
        <v>88</v>
      </c>
      <c r="C8" s="34">
        <f>'Lists'!$A$2</f>
      </c>
      <c r="D8" s="34">
        <f>'Lists'!$A$3</f>
      </c>
      <c r="E8" s="34" t="s">
        <v>127</v>
      </c>
      <c r="F8" s="34" t="s">
        <v>364</v>
      </c>
    </row>
    <row r="9" spans="2:2" x14ac:dyDescent="0.25">
      <c r="B9" s="27" t="s">
        <v>365</v>
      </c>
    </row>
    <row r="10" spans="2:6" x14ac:dyDescent="0.25">
      <c r="B10" s="7" t="s">
        <v>366</v>
      </c>
      <c r="C10" s="24">
        <f>SUMIFS('Assets and debts'!$D$12:$D$19,'Assets and debts'!$C$12:$C$19,'Lists'!$A$2)</f>
      </c>
      <c r="D10" s="24">
        <f>SUMIFS('Assets and debts'!$D$12:$D$19,'Assets and debts'!$C$12:$C$19,'Lists'!$A$3)</f>
      </c>
      <c r="E10" s="24">
        <f>SUMIFS('Assets and debts'!$D$12:$D$19,'Assets and debts'!$C$12:$C$19,"Joint")</f>
      </c>
      <c r="F10" s="24">
        <f>SUM(C10:E10)</f>
      </c>
    </row>
    <row r="11" spans="2:6" x14ac:dyDescent="0.25">
      <c r="B11" s="7" t="s">
        <v>367</v>
      </c>
      <c r="C11" s="24">
        <f>N('Companies and trusts'!$C$49)+N('Companies and trusts'!$C$94)+N('Companies and trusts'!$C$139)+N('Companies and trusts'!$C$184)</f>
      </c>
      <c r="D11" s="24">
        <f>N('Companies and trusts'!$D$49)+N('Companies and trusts'!$D$94)+N('Companies and trusts'!$D$139)+N('Companies and trusts'!$D$184)</f>
      </c>
      <c r="E11" s="24">
        <v>0</v>
      </c>
      <c r="F11" s="24">
        <f>SUM(C11:E11)</f>
      </c>
    </row>
    <row r="12" spans="2:6" x14ac:dyDescent="0.25">
      <c r="B12" s="7" t="s">
        <v>368</v>
      </c>
      <c r="C12" s="24">
        <f>IF('Companies and trusts'!$C$22="Credit",N('Companies and trusts'!$C$23),0)+IF('Companies and trusts'!$C$68="Credit",N('Companies and trusts'!$C$69),0)+IF('Companies and trusts'!$C$113="Credit",N('Companies and trusts'!$C$114),0)+IF('Companies and trusts'!$C$158="Credit",N('Companies and trusts'!$C$159),0)+SUMIFS('Assets and debts'!$E$38:$E$52,'Assets and debts'!$C$38:$C$52,'Lists'!$A$2,'Assets and debts'!$D$38:$D$52,"Loan Account")</f>
      </c>
      <c r="D12" s="24">
        <f>IF('Companies and trusts'!$D$22="Credit",N('Companies and trusts'!$D$23),0)+IF('Companies and trusts'!$D$68="Credit",N('Companies and trusts'!$D$69),0)+IF('Companies and trusts'!$D$113="Credit",N('Companies and trusts'!$D$114),0)+IF('Companies and trusts'!$D$158="Credit",N('Companies and trusts'!$D$159),0)+SUMIFS('Assets and debts'!$E$38:$E$52,'Assets and debts'!$C$38:$C$52,'Lists'!$A$3,'Assets and debts'!$D$38:$D$52,"Loan Account")</f>
      </c>
      <c r="E12" s="24">
        <f>SUMIFS('Assets and debts'!$E$38:$E$52,'Assets and debts'!$C$38:$C$52,"Joint",'Assets and debts'!$D$38:$D$52,"Loan Account")</f>
      </c>
      <c r="F12" s="24">
        <f>SUM(C12:E12)</f>
      </c>
    </row>
    <row r="13" spans="2:6" x14ac:dyDescent="0.25">
      <c r="B13" s="7" t="s">
        <v>369</v>
      </c>
      <c r="C13" s="24">
        <f>SUM(SUMIFS('Assets and debts'!$E$38:$E$52,'Assets and debts'!$C$38:$C$52,'Lists'!$A$2,'Assets and debts'!$D$38:$D$52,{"Cash / Savings","Fixed Deposit","Shares / Unit Trusts","Crypto"}))</f>
      </c>
      <c r="D13" s="24">
        <f>SUM(SUMIFS('Assets and debts'!$E$38:$E$52,'Assets and debts'!$C$38:$C$52,'Lists'!$A$3,'Assets and debts'!$D$38:$D$52,{"Cash / Savings","Fixed Deposit","Shares / Unit Trusts","Crypto"}))</f>
      </c>
      <c r="E13" s="24">
        <f>SUM(SUMIFS('Assets and debts'!$E$38:$E$52,'Assets and debts'!$C$38:$C$52,"Joint",'Assets and debts'!$D$38:$D$52,{"Cash / Savings","Fixed Deposit","Shares / Unit Trusts","Crypto"}))</f>
      </c>
      <c r="F13" s="24">
        <f>SUM(C13:E13)</f>
      </c>
    </row>
    <row r="14" spans="2:6" x14ac:dyDescent="0.25">
      <c r="B14" s="7" t="s">
        <v>370</v>
      </c>
      <c r="C14" s="24">
        <f>SUMIFS('Assets and debts'!$D$26:$D$31,'Assets and debts'!$C$26:$C$31,'Lists'!$A$2)+SUMIFS('Assets and debts'!$E$38:$E$52,'Assets and debts'!$C$38:$C$52,'Lists'!$A$2,'Assets and debts'!$D$38:$D$52,"&lt;&gt;Loan Account",'Assets and debts'!$D$38:$D$52,"&lt;&gt;Cash / Savings",'Assets and debts'!$D$38:$D$52,"&lt;&gt;Fixed Deposit",'Assets and debts'!$D$38:$D$52,"&lt;&gt;Shares / Unit Trusts",'Assets and debts'!$D$38:$D$52,"&lt;&gt;Crypto")</f>
      </c>
      <c r="D14" s="24">
        <f>SUMIFS('Assets and debts'!$D$26:$D$31,'Assets and debts'!$C$26:$C$31,'Lists'!$A$3)+SUMIFS('Assets and debts'!$E$38:$E$52,'Assets and debts'!$C$38:$C$52,'Lists'!$A$3,'Assets and debts'!$D$38:$D$52,"&lt;&gt;Loan Account",'Assets and debts'!$D$38:$D$52,"&lt;&gt;Cash / Savings",'Assets and debts'!$D$38:$D$52,"&lt;&gt;Fixed Deposit",'Assets and debts'!$D$38:$D$52,"&lt;&gt;Shares / Unit Trusts",'Assets and debts'!$D$38:$D$52,"&lt;&gt;Crypto")</f>
      </c>
      <c r="E14" s="24">
        <f>SUMIFS('Assets and debts'!$D$26:$D$31,'Assets and debts'!$C$26:$C$31,"Joint")+SUMIFS('Assets and debts'!$E$38:$E$52,'Assets and debts'!$C$38:$C$52,"Joint",'Assets and debts'!$D$38:$D$52,"&lt;&gt;Loan Account",'Assets and debts'!$D$38:$D$52,"&lt;&gt;Cash / Savings",'Assets and debts'!$D$38:$D$52,"&lt;&gt;Fixed Deposit",'Assets and debts'!$D$38:$D$52,"&lt;&gt;Shares / Unit Trusts",'Assets and debts'!$D$38:$D$52,"&lt;&gt;Crypto")</f>
      </c>
      <c r="F14" s="24">
        <f>SUM(C14:E14)</f>
      </c>
    </row>
    <row r="15" spans="2:6" x14ac:dyDescent="0.25">
      <c r="B15" s="35" t="s">
        <v>371</v>
      </c>
      <c r="C15" s="23">
        <f>C10+C11+C12+C13+C14</f>
      </c>
      <c r="D15" s="23">
        <f>D10+D11+D12+D13+D14</f>
      </c>
      <c r="E15" s="23">
        <f>E10+E11+E12+E13+E14</f>
      </c>
      <c r="F15" s="23">
        <f>SUM(C15:E15)</f>
      </c>
    </row>
    <row r="17" spans="2:2" x14ac:dyDescent="0.25">
      <c r="B17" s="27" t="s">
        <v>372</v>
      </c>
    </row>
    <row r="18" spans="2:6" x14ac:dyDescent="0.25">
      <c r="B18" s="7" t="s">
        <v>373</v>
      </c>
      <c r="C18" s="24">
        <f>SUMIFS('Assets and debts'!$H$12:$H$19,'Assets and debts'!$C$12:$C$19,'Lists'!$A$2)</f>
      </c>
      <c r="D18" s="24">
        <f>SUMIFS('Assets and debts'!$H$12:$H$19,'Assets and debts'!$C$12:$C$19,'Lists'!$A$3)</f>
      </c>
      <c r="E18" s="24">
        <f>SUMIFS('Assets and debts'!$H$12:$H$19,'Assets and debts'!$C$12:$C$19,"Joint")</f>
      </c>
      <c r="F18" s="24">
        <f>SUM(C18:E18)</f>
      </c>
    </row>
    <row r="19" spans="2:6" x14ac:dyDescent="0.25">
      <c r="B19" s="7" t="s">
        <v>374</v>
      </c>
      <c r="C19" s="24">
        <f>SUMIFS('Assets and debts'!$E$26:$E$31,'Assets and debts'!$C$26:$C$31,'Lists'!$A$2)</f>
      </c>
      <c r="D19" s="24">
        <f>SUMIFS('Assets and debts'!$E$26:$E$31,'Assets and debts'!$C$26:$C$31,'Lists'!$A$3)</f>
      </c>
      <c r="E19" s="24">
        <f>SUMIFS('Assets and debts'!$E$26:$E$31,'Assets and debts'!$C$26:$C$31,"Joint")</f>
      </c>
      <c r="F19" s="24">
        <f>SUM(C19:E19)</f>
      </c>
    </row>
    <row r="20" spans="2:6" x14ac:dyDescent="0.25">
      <c r="B20" s="7" t="s">
        <v>375</v>
      </c>
      <c r="C20" s="24">
        <f>SUMIFS('Assets and debts'!$E$59:$E$70,'Assets and debts'!$C$59:$C$70,'Lists'!$A$2)</f>
      </c>
      <c r="D20" s="24">
        <f>SUMIFS('Assets and debts'!$E$59:$E$70,'Assets and debts'!$C$59:$C$70,'Lists'!$A$3)</f>
      </c>
      <c r="E20" s="24">
        <f>SUMIFS('Assets and debts'!$E$59:$E$70,'Assets and debts'!$C$59:$C$70,"Joint")</f>
      </c>
      <c r="F20" s="24">
        <f>SUM(C20:E20)</f>
      </c>
    </row>
    <row r="21" spans="2:6" x14ac:dyDescent="0.25">
      <c r="B21" s="7" t="s">
        <v>376</v>
      </c>
      <c r="C21" s="24">
        <f>IF('Companies and trusts'!$C$22="Debit",N('Companies and trusts'!$C$23),0)+IF('Companies and trusts'!$C$68="Debit",N('Companies and trusts'!$C$69),0)+IF('Companies and trusts'!$C$113="Debit",N('Companies and trusts'!$C$114),0)+IF('Companies and trusts'!$C$158="Debit",N('Companies and trusts'!$C$159),0)</f>
      </c>
      <c r="D21" s="24">
        <f>IF('Companies and trusts'!$D$22="Debit",N('Companies and trusts'!$D$23),0)+IF('Companies and trusts'!$D$68="Debit",N('Companies and trusts'!$D$69),0)+IF('Companies and trusts'!$D$113="Debit",N('Companies and trusts'!$D$114),0)+IF('Companies and trusts'!$D$158="Debit",N('Companies and trusts'!$D$159),0)</f>
      </c>
      <c r="E21" s="24">
        <v>0</v>
      </c>
      <c r="F21" s="24">
        <f>SUM(C21:E21)</f>
      </c>
    </row>
    <row r="22" spans="2:6" x14ac:dyDescent="0.25">
      <c r="B22" s="35" t="s">
        <v>377</v>
      </c>
      <c r="C22" s="23">
        <f>C18+C19+C20+C21</f>
      </c>
      <c r="D22" s="23">
        <f>D18+D19+D20+D21</f>
      </c>
      <c r="E22" s="23">
        <f>E18+E19+E20+E21</f>
      </c>
      <c r="F22" s="23">
        <f>SUM(C22:E22)</f>
      </c>
    </row>
    <row r="24" spans="2:6" x14ac:dyDescent="0.25">
      <c r="B24" s="36" t="s">
        <v>378</v>
      </c>
      <c r="C24" s="37">
        <f>C15-C22</f>
      </c>
      <c r="D24" s="37">
        <f>D15-D22</f>
      </c>
      <c r="E24" s="37">
        <f>E15-E22</f>
      </c>
      <c r="F24" s="37">
        <f>SUM(C24:E24)</f>
      </c>
    </row>
    <row r="26" spans="2:2" x14ac:dyDescent="0.25">
      <c r="B26" s="27" t="s">
        <v>379</v>
      </c>
    </row>
    <row r="27" spans="2:6" x14ac:dyDescent="0.25">
      <c r="B27" s="7" t="s">
        <v>380</v>
      </c>
      <c r="F27" s="24">
        <f>SUMIFS('Companies and trusts'!$D$34:$D$43,'Companies and trusts'!$C$34:$C$43,"Property")+SUMIFS('Companies and trusts'!$D$79:$D$88,'Companies and trusts'!$C$79:$C$88,"Property")+SUMIFS('Companies and trusts'!$D$124:$D$133,'Companies and trusts'!$C$124:$C$133,"Property")+SUMIFS('Companies and trusts'!$D$169:$D$178,'Companies and trusts'!$C$169:$C$178,"Property")</f>
      </c>
    </row>
    <row r="28" spans="2:6" x14ac:dyDescent="0.25">
      <c r="B28" s="7" t="s">
        <v>381</v>
      </c>
      <c r="F28" s="24">
        <f>SUMIFS('Companies and trusts'!$D$34:$D$43,'Companies and trusts'!$C$34:$C$43,"Bond")+SUMIFS('Companies and trusts'!$D$79:$D$88,'Companies and trusts'!$C$79:$C$88,"Bond")+SUMIFS('Companies and trusts'!$D$124:$D$133,'Companies and trusts'!$C$124:$C$133,"Bond")+SUMIFS('Companies and trusts'!$D$169:$D$178,'Companies and trusts'!$C$169:$C$178,"Bond")+SUMIFS('Companies and trusts'!$D$34:$D$43,'Companies and trusts'!$C$34:$C$43,"Other debt")+SUMIFS('Companies and trusts'!$D$79:$D$88,'Companies and trusts'!$C$79:$C$88,"Other debt")+SUMIFS('Companies and trusts'!$D$124:$D$133,'Companies and trusts'!$C$124:$C$133,"Other debt")+SUMIFS('Companies and trusts'!$D$169:$D$178,'Companies and trusts'!$C$169:$C$178,"Other debt")</f>
      </c>
    </row>
    <row r="30" spans="2:2" x14ac:dyDescent="0.25">
      <c r="B30" s="27" t="s">
        <v>382</v>
      </c>
    </row>
    <row r="31" spans="2:6" x14ac:dyDescent="0.25">
      <c r="B31" s="7" t="s">
        <v>383</v>
      </c>
      <c r="F31" s="19">
        <f>COUNTIF('Assets and debts'!$P$12:$P$19,"Estimate")+COUNTIF('Assets and debts'!$J$26:$J$31,"Estimate")+COUNTIF('Assets and debts'!$J$38:$J$52,"Estimate")+COUNTIF('Assets and debts'!$I$59:$I$70,"Estimate")+COUNTIF('Companies and trusts'!$C$14,"Estimate")+COUNTIF('Companies and trusts'!$C$60,"Estimate")+COUNTIF('Companies and trusts'!$C$105,"Estimate")+COUNTIF('Companies and trusts'!$C$150,"Estimate")+COUNTIF('Companies and trusts'!$F$34:$F$43,"Estimate")+COUNTIF('Companies and trusts'!$F$79:$F$88,"Estimate")+COUNTIF('Companies and trusts'!$F$124:$F$133,"Estimate")+COUNTIF('Companies and trusts'!$F$169:$F$178,"Estimate")</f>
      </c>
    </row>
    <row r="32" spans="2:6" x14ac:dyDescent="0.25">
      <c r="B32" s="7" t="s">
        <v>384</v>
      </c>
      <c r="F32" s="19">
        <f>SUMPRODUCT(('Assets and debts'!$D$12:$D$19&gt;0)*('Assets and debts'!$F$12:$F$19=""))+SUMPRODUCT(('Assets and debts'!$E$38:$E$52&gt;0)*('Assets and debts'!$D$38:$D$52="Shares / Unit Trusts")*('Assets and debts'!$F$38:$F$52=""))+SUMPRODUCT(('Assets and debts'!$E$38:$E$52&gt;0)*('Assets and debts'!$D$38:$D$52="Business Interest")*('Assets and debts'!$F$38:$F$52=""))+SUMPRODUCT(('Assets and debts'!$E$38:$E$52&gt;0)*('Assets and debts'!$D$38:$D$52="Crypto")*('Assets and debts'!$F$38:$F$52=""))+IF(AND(N('Companies and trusts'!$C$21)&gt;0,'Companies and trusts'!$C$24=""),1,0)+IF(AND(N('Companies and trusts'!$D$21)&gt;0,'Companies and trusts'!$D$24=""),1,0)+IF(AND(N('Companies and trusts'!$C$67)&gt;0,'Companies and trusts'!$C$70=""),1,0)+IF(AND(N('Companies and trusts'!$D$67)&gt;0,'Companies and trusts'!$D$70=""),1,0)+IF(AND(N('Companies and trusts'!$C$112)&gt;0,'Companies and trusts'!$C$115=""),1,0)+IF(AND(N('Companies and trusts'!$D$112)&gt;0,'Companies and trusts'!$D$115=""),1,0)+IF(AND(N('Companies and trusts'!$C$157)&gt;0,'Companies and trusts'!$C$160=""),1,0)+IF(AND(N('Companies and trusts'!$D$157)&gt;0,'Companies and trusts'!$D$160=""),1,0)+SUMPRODUCT(('Companies and trusts'!$D$34:$D$43&gt;0)*('Companies and trusts'!$C$34:$C$43="Property")*('Companies and trusts'!$E$34:$E$43=""))+SUMPRODUCT(('Companies and trusts'!$D$79:$D$88&gt;0)*('Companies and trusts'!$C$79:$C$88="Property")*('Companies and trusts'!$E$79:$E$88=""))+SUMPRODUCT(('Companies and trusts'!$D$124:$D$133&gt;0)*('Companies and trusts'!$C$124:$C$133="Property")*('Companies and trusts'!$E$124:$E$133=""))+SUMPRODUCT(('Companies and trusts'!$D$169:$D$178&gt;0)*('Companies and trusts'!$C$169:$C$178="Property")*('Companies and trusts'!$E$169:$E$178=""))</f>
      </c>
    </row>
    <row r="34" ht="44" customHeight="1" spans="2:6" x14ac:dyDescent="0.25">
      <c r="B34" s="38">
        <f>IF('Client and family'!$D$10="","You own R ","Together you own R ")&amp;TEXT(F15,"#,##0")&amp;" and owe R "&amp;TEXT(F22,"#,##0")&amp;", a net worth of R "&amp;TEXT(F24,"#,##0")&amp;"."&amp;IF(F31&gt;0," "&amp;F31&amp;IF(F31=1," figure is an estimate."," figures are estimates."),"")&amp;IF(F32&gt;0," "&amp;F32&amp;IF(F32=1," asset has"," assets have")&amp;" no base cost yet, which we need for capital gains tax.","")</f>
      </c>
      <c r="C34" s="38"/>
      <c r="D34" s="38"/>
      <c r="E34" s="38"/>
      <c r="F34" s="38"/>
    </row>
  </sheetData>
  <sheetProtection sheet="1" formatRows="0"/>
  <mergeCells count="4">
    <mergeCell ref="B1:F1"/>
    <mergeCell ref="B2:F2"/>
    <mergeCell ref="B5:F5"/>
    <mergeCell ref="B34:F34"/>
  </mergeCells>
  <printOptions horizontalCentered="1"/>
  <pageMargins left="0.4" right="0.4" top="0.5" bottom="0.6" header="0.25" footer="0.3"/>
  <pageSetup paperSize="9" orientation="portrait" horizontalDpi="4294967295" verticalDpi="4294967295" scale="100" fitToWidth="1" fitToHeight="0"/>
  <headerFooter>
    <oddFooter>&amp;L&amp;8&amp;"Arial"Duwalcoe Financial Consultants CC  ·  FSP 9978  ·  Fact find&amp;R&amp;8&amp;"Arial"&amp;A  ·  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Start here</vt:lpstr>
      <vt:lpstr>Client and family</vt:lpstr>
      <vt:lpstr>Income and expenses</vt:lpstr>
      <vt:lpstr>Assets and debts</vt:lpstr>
      <vt:lpstr>Companies and trusts</vt:lpstr>
      <vt:lpstr>Needs</vt:lpstr>
      <vt:lpstr>Will</vt:lpstr>
      <vt:lpstr>Summary</vt:lpstr>
      <vt:lpstr>Lists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Duwalcoe Financial Consultants CC</dc:creator>
  <dc:title/>
  <dc:subject/>
  <dc:description/>
  <cp:keywords/>
  <cp:category/>
  <cp:lastModifiedBy>Unknown</cp:lastModifiedBy>
  <dcterms:created xsi:type="dcterms:W3CDTF">2026-10-12T18:49:35Z</dcterms:created>
  <dcterms:modified xsi:type="dcterms:W3CDTF">2026-10-12T18:49:35Z</dcterms:modified>
</cp:coreProperties>
</file>